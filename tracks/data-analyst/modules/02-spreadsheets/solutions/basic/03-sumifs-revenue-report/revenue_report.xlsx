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ta" sheetId="2" state="visible" r:id="rId4"/>
    <sheet name="Re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de-learning</author>
  </authors>
  <commentList>
    <comment ref="I2" authorId="0">
      <text>
        <r>
          <rPr>
            <sz val="10"/>
            <rFont val="Arial"/>
            <family val="2"/>
          </rPr>
          <t xml:space="preserve">TODO: 1 nếu dòng hợp lệ: Invoice không bắt đầu bằng C, Quantity &gt; 0, Price &gt; 0; ngược lại 0</t>
        </r>
      </text>
    </comment>
    <comment ref="J2" authorId="0">
      <text>
        <r>
          <rPr>
            <sz val="10"/>
            <rFont val="Arial"/>
            <family val="2"/>
          </rPr>
          <t xml:space="preserve">TODO: Quantity * Price nếu Valid = 1, ngược lại 0</t>
        </r>
      </text>
    </comment>
    <comment ref="K2" authorId="0">
      <text>
        <r>
          <rPr>
            <sz val="10"/>
            <rFont val="Arial"/>
            <family val="2"/>
          </rPr>
          <t xml:space="preserve">TODO: Tháng dạng số yyyymm, vd. 201109 (YEAR, MONTH)</t>
        </r>
      </text>
    </comment>
    <comment ref="L2" authorId="0">
      <text>
        <r>
          <rPr>
            <sz val="10"/>
            <rFont val="Arial"/>
            <family val="2"/>
          </rPr>
          <t xml:space="preserve">TODO: 1 ở dòng đầu tiên của mỗi hoá đơn không huỷ (dữ liệu đã sắp theo thời gian, hoá đơn), ngược lại 0</t>
        </r>
      </text>
    </comment>
  </commentList>
</comments>
</file>

<file path=xl/sharedStrings.xml><?xml version="1.0" encoding="utf-8"?>
<sst xmlns="http://schemas.openxmlformats.org/spreadsheetml/2006/main" count="27293" uniqueCount="3418">
  <si>
    <t xml:space="preserve">Bài 03 — Báo cáo doanh thu bằng IF, SUMIFS, COUNTIFS</t>
  </si>
  <si>
    <t xml:space="preserve">Nguồn dữ liệu</t>
  </si>
  <si>
    <t xml:space="preserve">Online Retail II (UCI Machine Learning Repository, Daqing Chen, 2019), https://archive.ics.uci.edu/dataset/502/online+retail+ii — giấy phép CC BY 4.0</t>
  </si>
  <si>
    <t xml:space="preserve">Trích mẫu</t>
  </si>
  <si>
    <t xml:space="preserve">6810 dòng (mọi dòng, kể cả đơn huỷ và dòng điều chỉnh) của khách Germany và France, 01/09–30/11/2011, sheet 'Year 2010-2011', sắp theo InvoiceDate rồi Invoice.</t>
  </si>
  <si>
    <t xml:space="preserve">Giấy phép</t>
  </si>
  <si>
    <t xml:space="preserve">CC BY 4.0: được chia sẻ và chỉnh sửa, phải ghi nguồn như trên. Trích mẫu này chỉ để học.</t>
  </si>
  <si>
    <t xml:space="preserve">Quy ước</t>
  </si>
  <si>
    <t xml:space="preserve">Ô nền vàng là ô TODO: điền CÔNG THỨC (bắt đầu bằng =), không gõ số. Test đọc cả công thức lẫn giá trị.</t>
  </si>
  <si>
    <t xml:space="preserve">Lưu tệp</t>
  </si>
  <si>
    <t xml:space="preserve">LibreOffice: File &gt; Save, chọn 'Use Excel 2007-365!' (giữ định dạng .xlsx). Excel: Ctrl+S.</t>
  </si>
  <si>
    <t xml:space="preserve">Chạy test</t>
  </si>
  <si>
    <t xml:space="preserve">uv run pytest &lt;thư mục bài&gt; -q (xem lệnh trong đề bài trên app)</t>
  </si>
  <si>
    <t xml:space="preserve">Việc cần làm</t>
  </si>
  <si>
    <t xml:space="preserve">1. Sheet Data: điền công thức hàng 2 các cột I–L (ô vàng), kéo xuống hết bảng. Ô L2 so với A1 (tiêu đề) là đúng.</t>
  </si>
  <si>
    <t xml:space="preserve">2. Sheet Report: ba bảng Doanh thu (B3:E5), Số đơn (B8:E10), AOV (B13:E15) và khối chỉ số H2:H8.</t>
  </si>
  <si>
    <t xml:space="preserve">3. Doanh thu dùng định nghĩa chung của track: chỉ dòng hợp lệ, Quantity * Price.</t>
  </si>
  <si>
    <t xml:space="preserve">4. Lưu .xlsx rồi chạy test.</t>
  </si>
  <si>
    <t xml:space="preserve">Invoice</t>
  </si>
  <si>
    <t xml:space="preserve">StockCode</t>
  </si>
  <si>
    <t xml:space="preserve">Description</t>
  </si>
  <si>
    <t xml:space="preserve">Quantity</t>
  </si>
  <si>
    <t xml:space="preserve">InvoiceDate</t>
  </si>
  <si>
    <t xml:space="preserve">Price</t>
  </si>
  <si>
    <t xml:space="preserve">Customer ID</t>
  </si>
  <si>
    <t xml:space="preserve">Country</t>
  </si>
  <si>
    <t xml:space="preserve">Valid</t>
  </si>
  <si>
    <t xml:space="preserve">Revenue</t>
  </si>
  <si>
    <t xml:space="preserve">Month</t>
  </si>
  <si>
    <t xml:space="preserve">OrderStart</t>
  </si>
  <si>
    <t xml:space="preserve">C565085</t>
  </si>
  <si>
    <t xml:space="preserve">23079</t>
  </si>
  <si>
    <t xml:space="preserve">TOADSTOOL BEDSIDE LIGHT </t>
  </si>
  <si>
    <t xml:space="preserve">Germany</t>
  </si>
  <si>
    <t xml:space="preserve">C565089</t>
  </si>
  <si>
    <t xml:space="preserve">22553</t>
  </si>
  <si>
    <t xml:space="preserve">PLASTERS IN TIN SKULLS</t>
  </si>
  <si>
    <t xml:space="preserve">C565227</t>
  </si>
  <si>
    <t xml:space="preserve">85053</t>
  </si>
  <si>
    <t xml:space="preserve">FRENCH ENAMEL CANDLEHOLDER</t>
  </si>
  <si>
    <t xml:space="preserve">565239</t>
  </si>
  <si>
    <t xml:space="preserve">85014A</t>
  </si>
  <si>
    <t xml:space="preserve">BLACK/BLUE POLKADOT UMBRELLA</t>
  </si>
  <si>
    <t xml:space="preserve">France</t>
  </si>
  <si>
    <t xml:space="preserve">21883</t>
  </si>
  <si>
    <t xml:space="preserve">STARS GIFT TAPE </t>
  </si>
  <si>
    <t xml:space="preserve">21881</t>
  </si>
  <si>
    <t xml:space="preserve">CUTE CATS TAPE</t>
  </si>
  <si>
    <t xml:space="preserve">21880</t>
  </si>
  <si>
    <t xml:space="preserve">RED RETROSPOT TAPE</t>
  </si>
  <si>
    <t xml:space="preserve">22991</t>
  </si>
  <si>
    <t xml:space="preserve">GIRAFFE WOODEN RULER</t>
  </si>
  <si>
    <t xml:space="preserve">22992</t>
  </si>
  <si>
    <t xml:space="preserve">REVOLVER WOODEN RULER </t>
  </si>
  <si>
    <t xml:space="preserve">22561</t>
  </si>
  <si>
    <t xml:space="preserve">WOODEN SCHOOL COLOURING SET</t>
  </si>
  <si>
    <t xml:space="preserve">22382</t>
  </si>
  <si>
    <t xml:space="preserve">LUNCH BAG SPACEBOY DESIGN </t>
  </si>
  <si>
    <t xml:space="preserve">22352</t>
  </si>
  <si>
    <t xml:space="preserve">LUNCH BOX WITH CUTLERY RETROSPOT </t>
  </si>
  <si>
    <t xml:space="preserve">21559</t>
  </si>
  <si>
    <t xml:space="preserve">STRAWBERRY LUNCH BOX WITH CUTLERY</t>
  </si>
  <si>
    <t xml:space="preserve">23084</t>
  </si>
  <si>
    <t xml:space="preserve">RABBIT NIGHT LIGHT</t>
  </si>
  <si>
    <t xml:space="preserve">21731</t>
  </si>
  <si>
    <t xml:space="preserve">RED TOADSTOOL LED NIGHT LIGHT</t>
  </si>
  <si>
    <t xml:space="preserve">21452</t>
  </si>
  <si>
    <t xml:space="preserve">TOADSTOOL MONEY BOX</t>
  </si>
  <si>
    <t xml:space="preserve">20725</t>
  </si>
  <si>
    <t xml:space="preserve">LUNCH BAG RED RETROSPOT</t>
  </si>
  <si>
    <t xml:space="preserve">20726</t>
  </si>
  <si>
    <t xml:space="preserve">LUNCH BAG WOODLAND</t>
  </si>
  <si>
    <t xml:space="preserve">22659</t>
  </si>
  <si>
    <t xml:space="preserve">LUNCH BOX I LOVE LONDON</t>
  </si>
  <si>
    <t xml:space="preserve">22629</t>
  </si>
  <si>
    <t xml:space="preserve">SPACEBOY LUNCH BOX </t>
  </si>
  <si>
    <t xml:space="preserve">22631</t>
  </si>
  <si>
    <t xml:space="preserve">CIRCUS PARADE LUNCH BOX </t>
  </si>
  <si>
    <t xml:space="preserve">23206</t>
  </si>
  <si>
    <t xml:space="preserve">LUNCH BAG APPLE DESIGN</t>
  </si>
  <si>
    <t xml:space="preserve">23445</t>
  </si>
  <si>
    <t xml:space="preserve">ICE CREAM BUBBLES</t>
  </si>
  <si>
    <t xml:space="preserve">85014B</t>
  </si>
  <si>
    <t xml:space="preserve">RED RETROSPOT UMBRELLA</t>
  </si>
  <si>
    <t xml:space="preserve">POST</t>
  </si>
  <si>
    <t xml:space="preserve">POSTAGE</t>
  </si>
  <si>
    <t xml:space="preserve">565261</t>
  </si>
  <si>
    <t xml:space="preserve">84997D</t>
  </si>
  <si>
    <t xml:space="preserve">CHILDRENS CUTLERY POLKADOT PINK</t>
  </si>
  <si>
    <t xml:space="preserve">23254</t>
  </si>
  <si>
    <t xml:space="preserve">CHILDRENS CUTLERY DOLLY GIRL </t>
  </si>
  <si>
    <t xml:space="preserve">23255</t>
  </si>
  <si>
    <t xml:space="preserve">CHILDRENS CUTLERY CIRCUS PARADE</t>
  </si>
  <si>
    <t xml:space="preserve">23256</t>
  </si>
  <si>
    <t xml:space="preserve">CHILDRENS CUTLERY SPACEBOY </t>
  </si>
  <si>
    <t xml:space="preserve">21096</t>
  </si>
  <si>
    <t xml:space="preserve">SET/6 FRUIT SALAD  PAPER PLATES</t>
  </si>
  <si>
    <t xml:space="preserve">22555</t>
  </si>
  <si>
    <t xml:space="preserve">PLASTERS IN TIN STRONGMAN</t>
  </si>
  <si>
    <t xml:space="preserve">22569</t>
  </si>
  <si>
    <t xml:space="preserve">FELTCRAFT CUSHION BUTTERFLY</t>
  </si>
  <si>
    <t xml:space="preserve">22907</t>
  </si>
  <si>
    <t xml:space="preserve">PACK OF 20 NAPKINS PANTRY DESIGN</t>
  </si>
  <si>
    <t xml:space="preserve">23307</t>
  </si>
  <si>
    <t xml:space="preserve">SET OF 60 PANTRY DESIGN CAKE CASES </t>
  </si>
  <si>
    <t xml:space="preserve">21088</t>
  </si>
  <si>
    <t xml:space="preserve">SET/6 FRUIT SALAD PAPER CUPS</t>
  </si>
  <si>
    <t xml:space="preserve">22467</t>
  </si>
  <si>
    <t xml:space="preserve">GUMBALL COAT RACK</t>
  </si>
  <si>
    <t xml:space="preserve">23293</t>
  </si>
  <si>
    <t xml:space="preserve">SET OF 12 FAIRY CAKE BAKING CASES</t>
  </si>
  <si>
    <t xml:space="preserve">22302</t>
  </si>
  <si>
    <t xml:space="preserve">COFFEE MUG PEARS  DESIGN</t>
  </si>
  <si>
    <t xml:space="preserve">21914</t>
  </si>
  <si>
    <t xml:space="preserve">BLUE HARMONICA IN BOX </t>
  </si>
  <si>
    <t xml:space="preserve">22908</t>
  </si>
  <si>
    <t xml:space="preserve">PACK OF 20 NAPKINS RED APPLES</t>
  </si>
  <si>
    <t xml:space="preserve">22613</t>
  </si>
  <si>
    <t xml:space="preserve">PACK OF 20 SPACEBOY NAPKINS</t>
  </si>
  <si>
    <t xml:space="preserve">22029</t>
  </si>
  <si>
    <t xml:space="preserve">SPACEBOY BIRTHDAY CARD</t>
  </si>
  <si>
    <t xml:space="preserve">23207</t>
  </si>
  <si>
    <t xml:space="preserve">LUNCH BAG ALPHABET DESIGN</t>
  </si>
  <si>
    <t xml:space="preserve">22326</t>
  </si>
  <si>
    <t xml:space="preserve">ROUND SNACK BOXES SET OF4 WOODLAND </t>
  </si>
  <si>
    <t xml:space="preserve">21121</t>
  </si>
  <si>
    <t xml:space="preserve">SET/10 RED POLKADOT PARTY CANDLES</t>
  </si>
  <si>
    <t xml:space="preserve">22331</t>
  </si>
  <si>
    <t xml:space="preserve">WOODLAND PARTY BAG + STICKER SET</t>
  </si>
  <si>
    <t xml:space="preserve">22322</t>
  </si>
  <si>
    <t xml:space="preserve">BIRD DECORATION GREEN POLKADOT</t>
  </si>
  <si>
    <t xml:space="preserve">22333</t>
  </si>
  <si>
    <t xml:space="preserve">RETROSPOT PARTY BAG + STICKER SET</t>
  </si>
  <si>
    <t xml:space="preserve">20682</t>
  </si>
  <si>
    <t xml:space="preserve">RED RETROSPOT CHILDRENS UMBRELLA</t>
  </si>
  <si>
    <t xml:space="preserve">C565284</t>
  </si>
  <si>
    <t xml:space="preserve">23245</t>
  </si>
  <si>
    <t xml:space="preserve">SET OF 3 REGENCY CAKE TINS</t>
  </si>
  <si>
    <t xml:space="preserve">23241</t>
  </si>
  <si>
    <t xml:space="preserve">TREASURE TIN GYMKHANA DESIGN</t>
  </si>
  <si>
    <t xml:space="preserve">23198</t>
  </si>
  <si>
    <t xml:space="preserve">PANTRY MAGNETIC  SHOPPING LIST</t>
  </si>
  <si>
    <t xml:space="preserve">23197</t>
  </si>
  <si>
    <t xml:space="preserve">SKETCHBOOK MAGNETIC SHOPPING LIST</t>
  </si>
  <si>
    <t xml:space="preserve">21232</t>
  </si>
  <si>
    <t xml:space="preserve">STRAWBERRY CERAMIC TRINKET BOX</t>
  </si>
  <si>
    <t xml:space="preserve">23236</t>
  </si>
  <si>
    <t xml:space="preserve">STORAGE TIN VINTAGE DOILY </t>
  </si>
  <si>
    <t xml:space="preserve">22423</t>
  </si>
  <si>
    <t xml:space="preserve">REGENCY CAKESTAND 3 TIER</t>
  </si>
  <si>
    <t xml:space="preserve">565321</t>
  </si>
  <si>
    <t xml:space="preserve">21080</t>
  </si>
  <si>
    <t xml:space="preserve">SET/20 RED RETROSPOT PAPER NAPKINS </t>
  </si>
  <si>
    <t xml:space="preserve">21208</t>
  </si>
  <si>
    <t xml:space="preserve">PASTEL COLOUR HONEYCOMB FAN</t>
  </si>
  <si>
    <t xml:space="preserve">21843</t>
  </si>
  <si>
    <t xml:space="preserve">RED RETROSPOT CAKE STAND</t>
  </si>
  <si>
    <t xml:space="preserve">21987</t>
  </si>
  <si>
    <t xml:space="preserve">PACK OF 6 SKULL PAPER CUPS</t>
  </si>
  <si>
    <t xml:space="preserve">21558</t>
  </si>
  <si>
    <t xml:space="preserve">SKULL LUNCH BOX WITH CUTLERY </t>
  </si>
  <si>
    <t xml:space="preserve">565322</t>
  </si>
  <si>
    <t xml:space="preserve">21058</t>
  </si>
  <si>
    <t xml:space="preserve">PARTY INVITES WOODLAND</t>
  </si>
  <si>
    <t xml:space="preserve">20676</t>
  </si>
  <si>
    <t xml:space="preserve">RED RETROSPOT BOWL</t>
  </si>
  <si>
    <t xml:space="preserve">20675</t>
  </si>
  <si>
    <t xml:space="preserve">BLUE POLKADOT BOWL</t>
  </si>
  <si>
    <t xml:space="preserve">22356</t>
  </si>
  <si>
    <t xml:space="preserve">CHARLOTTE BAG PINK POLKADOT</t>
  </si>
  <si>
    <t xml:space="preserve">565416</t>
  </si>
  <si>
    <t xml:space="preserve">23290</t>
  </si>
  <si>
    <t xml:space="preserve">SPACEBOY CHILDRENS BOWL</t>
  </si>
  <si>
    <t xml:space="preserve">23292</t>
  </si>
  <si>
    <t xml:space="preserve">SPACEBOY CHILDRENS CUP</t>
  </si>
  <si>
    <t xml:space="preserve">23291</t>
  </si>
  <si>
    <t xml:space="preserve">DOLLY GIRL CHILDRENS CUP</t>
  </si>
  <si>
    <t xml:space="preserve">23289</t>
  </si>
  <si>
    <t xml:space="preserve">DOLLY GIRL CHILDRENS BOWL</t>
  </si>
  <si>
    <t xml:space="preserve">22819</t>
  </si>
  <si>
    <t xml:space="preserve">BIRTHDAY CARD, RETRO SPOT</t>
  </si>
  <si>
    <t xml:space="preserve">22716</t>
  </si>
  <si>
    <t xml:space="preserve">CARD CIRCUS PARADE</t>
  </si>
  <si>
    <t xml:space="preserve">22712</t>
  </si>
  <si>
    <t xml:space="preserve">CARD DOLLY GIRL </t>
  </si>
  <si>
    <t xml:space="preserve">47590A</t>
  </si>
  <si>
    <t xml:space="preserve">BLUE HAPPY BIRTHDAY BUNTING</t>
  </si>
  <si>
    <t xml:space="preserve">47590B</t>
  </si>
  <si>
    <t xml:space="preserve">PINK HAPPY BIRTHDAY BUNTING</t>
  </si>
  <si>
    <t xml:space="preserve">22083</t>
  </si>
  <si>
    <t xml:space="preserve">PAPER CHAIN KIT RETROSPOT</t>
  </si>
  <si>
    <t xml:space="preserve">22085</t>
  </si>
  <si>
    <t xml:space="preserve">PAPER CHAIN KIT SKULLS </t>
  </si>
  <si>
    <t xml:space="preserve">21086</t>
  </si>
  <si>
    <t xml:space="preserve">SET/6 RED SPOTTY PAPER CUPS</t>
  </si>
  <si>
    <t xml:space="preserve">21988</t>
  </si>
  <si>
    <t xml:space="preserve">PACK OF 6 SKULL PAPER PLATES</t>
  </si>
  <si>
    <t xml:space="preserve">21094</t>
  </si>
  <si>
    <t xml:space="preserve">SET/6 RED SPOTTY PAPER PLATES</t>
  </si>
  <si>
    <t xml:space="preserve">21989</t>
  </si>
  <si>
    <t xml:space="preserve">PACK OF 20 SKULL PAPER NAPKINS</t>
  </si>
  <si>
    <t xml:space="preserve">21967</t>
  </si>
  <si>
    <t xml:space="preserve">PACK OF 12 SKULL TISSUES</t>
  </si>
  <si>
    <t xml:space="preserve">21980</t>
  </si>
  <si>
    <t xml:space="preserve">PACK OF 12 RED RETROSPOT TISSUES </t>
  </si>
  <si>
    <t xml:space="preserve">21986</t>
  </si>
  <si>
    <t xml:space="preserve">PACK OF 12 PINK POLKADOT TISSUES</t>
  </si>
  <si>
    <t xml:space="preserve">21981</t>
  </si>
  <si>
    <t xml:space="preserve">PACK OF 12 WOODLAND TISSUES </t>
  </si>
  <si>
    <t xml:space="preserve">22614</t>
  </si>
  <si>
    <t xml:space="preserve">PACK OF 12 SPACEBOY TISSUES</t>
  </si>
  <si>
    <t xml:space="preserve">23080</t>
  </si>
  <si>
    <t xml:space="preserve">RED METAL BOX TOP SECRET</t>
  </si>
  <si>
    <t xml:space="preserve">22197</t>
  </si>
  <si>
    <t xml:space="preserve">POPCORN HOLDER</t>
  </si>
  <si>
    <t xml:space="preserve">22951</t>
  </si>
  <si>
    <t xml:space="preserve">60 CAKE CASES DOLLY GIRL DESIGN</t>
  </si>
  <si>
    <t xml:space="preserve">21212</t>
  </si>
  <si>
    <t xml:space="preserve">PACK OF 72 RETROSPOT CAKE CASES</t>
  </si>
  <si>
    <t xml:space="preserve">21213</t>
  </si>
  <si>
    <t xml:space="preserve">PACK OF 72 SKULL CAKE CASES</t>
  </si>
  <si>
    <t xml:space="preserve">565423</t>
  </si>
  <si>
    <t xml:space="preserve">21581</t>
  </si>
  <si>
    <t xml:space="preserve">SKULLS  DESIGN  COTTON TOTE BAG</t>
  </si>
  <si>
    <t xml:space="preserve">22055</t>
  </si>
  <si>
    <t xml:space="preserve">MINI CAKE STAND  HANGING STRAWBERY</t>
  </si>
  <si>
    <t xml:space="preserve">37450</t>
  </si>
  <si>
    <t xml:space="preserve">CERAMIC CAKE BOWL + HANGING CAKES</t>
  </si>
  <si>
    <t xml:space="preserve">21035</t>
  </si>
  <si>
    <t xml:space="preserve">SET/2 RED RETROSPOT TEA TOWELS </t>
  </si>
  <si>
    <t xml:space="preserve">15036</t>
  </si>
  <si>
    <t xml:space="preserve">ASSORTED COLOURS SILK FAN</t>
  </si>
  <si>
    <t xml:space="preserve">565430</t>
  </si>
  <si>
    <t xml:space="preserve">21908</t>
  </si>
  <si>
    <t xml:space="preserve">CHOCOLATE THIS WAY METAL SIGN</t>
  </si>
  <si>
    <t xml:space="preserve">21899</t>
  </si>
  <si>
    <t xml:space="preserve">GARAGE KEY FOB</t>
  </si>
  <si>
    <t xml:space="preserve">22637</t>
  </si>
  <si>
    <t xml:space="preserve">PIGGY BANK RETROSPOT </t>
  </si>
  <si>
    <t xml:space="preserve">21892</t>
  </si>
  <si>
    <t xml:space="preserve">TRADITIONAL WOODEN CATCH CUP GAME </t>
  </si>
  <si>
    <t xml:space="preserve">22620</t>
  </si>
  <si>
    <t xml:space="preserve">4 TRADITIONAL SPINNING TOPS</t>
  </si>
  <si>
    <t xml:space="preserve">21890</t>
  </si>
  <si>
    <t xml:space="preserve">S/6 WOODEN SKITTLES IN COTTON BAG</t>
  </si>
  <si>
    <t xml:space="preserve">16169E</t>
  </si>
  <si>
    <t xml:space="preserve">WRAP 50'S  CHRISTMAS</t>
  </si>
  <si>
    <t xml:space="preserve">22704</t>
  </si>
  <si>
    <t xml:space="preserve">WRAP RED APPLES </t>
  </si>
  <si>
    <t xml:space="preserve">16169K</t>
  </si>
  <si>
    <t xml:space="preserve">WRAP FOLK ART</t>
  </si>
  <si>
    <t xml:space="preserve">23232</t>
  </si>
  <si>
    <t xml:space="preserve">WRAP VINTAGE LEAF DESIGN</t>
  </si>
  <si>
    <t xml:space="preserve">23547</t>
  </si>
  <si>
    <t xml:space="preserve">WRAP FLOWER SHOP  </t>
  </si>
  <si>
    <t xml:space="preserve">23233</t>
  </si>
  <si>
    <t xml:space="preserve">WRAP POPPIES  DESIGN</t>
  </si>
  <si>
    <t xml:space="preserve">21715</t>
  </si>
  <si>
    <t xml:space="preserve">GIRLS VINTAGE TIN SEASIDE BUCKET</t>
  </si>
  <si>
    <t xml:space="preserve">22673</t>
  </si>
  <si>
    <t xml:space="preserve">FRENCH GARDEN SIGN BLUE METAL</t>
  </si>
  <si>
    <t xml:space="preserve">16258A</t>
  </si>
  <si>
    <t xml:space="preserve">SWIRLY CIRCULAR RUBBERS IN BAG</t>
  </si>
  <si>
    <t xml:space="preserve">21917</t>
  </si>
  <si>
    <t xml:space="preserve">SET 12 KIDS  WHITE CHALK STICKS</t>
  </si>
  <si>
    <t xml:space="preserve">22035</t>
  </si>
  <si>
    <t xml:space="preserve">VINTAGE CARAVAN GREETING CARD </t>
  </si>
  <si>
    <t xml:space="preserve">22371</t>
  </si>
  <si>
    <t xml:space="preserve">AIRLINE BAG VINTAGE TOKYO 78</t>
  </si>
  <si>
    <t xml:space="preserve">22372</t>
  </si>
  <si>
    <t xml:space="preserve">AIRLINE BAG VINTAGE WORLD CHAMPION </t>
  </si>
  <si>
    <t xml:space="preserve">22375</t>
  </si>
  <si>
    <t xml:space="preserve">AIRLINE BAG VINTAGE JET SET BROWN</t>
  </si>
  <si>
    <t xml:space="preserve">22507</t>
  </si>
  <si>
    <t xml:space="preserve">MEMO BOARD RETROSPOT  DESIGN</t>
  </si>
  <si>
    <t xml:space="preserve">22893</t>
  </si>
  <si>
    <t xml:space="preserve">MINI CAKE STAND T-LIGHT HOLDER</t>
  </si>
  <si>
    <t xml:space="preserve">22174</t>
  </si>
  <si>
    <t xml:space="preserve">PHOTO CUBE</t>
  </si>
  <si>
    <t xml:space="preserve">15039</t>
  </si>
  <si>
    <t xml:space="preserve">SANDALWOOD FAN</t>
  </si>
  <si>
    <t xml:space="preserve">84806B</t>
  </si>
  <si>
    <t xml:space="preserve">WHITE CANDYSTUFT ARTIFICIAL FLOWER</t>
  </si>
  <si>
    <t xml:space="preserve">84806A</t>
  </si>
  <si>
    <t xml:space="preserve">PINK CANDYSTUFT ARTIFICIAL FLOWER</t>
  </si>
  <si>
    <t xml:space="preserve">22941</t>
  </si>
  <si>
    <t xml:space="preserve">CHRISTMAS LIGHTS 10 REINDEER</t>
  </si>
  <si>
    <t xml:space="preserve">22187</t>
  </si>
  <si>
    <t xml:space="preserve">GREEN CHRISTMAS TREE CARD HOLDER</t>
  </si>
  <si>
    <t xml:space="preserve">23252</t>
  </si>
  <si>
    <t xml:space="preserve">VINTAGE RED ENAMEL TRIM JUG </t>
  </si>
  <si>
    <t xml:space="preserve">20774</t>
  </si>
  <si>
    <t xml:space="preserve">GREEN FERN NOTEBOOK</t>
  </si>
  <si>
    <t xml:space="preserve">22624</t>
  </si>
  <si>
    <t xml:space="preserve">IVORY KITCHEN SCALES</t>
  </si>
  <si>
    <t xml:space="preserve">22725</t>
  </si>
  <si>
    <t xml:space="preserve">ALARM CLOCK BAKELIKE CHOCOLATE</t>
  </si>
  <si>
    <t xml:space="preserve">22727</t>
  </si>
  <si>
    <t xml:space="preserve">ALARM CLOCK BAKELIKE RED </t>
  </si>
  <si>
    <t xml:space="preserve">22729</t>
  </si>
  <si>
    <t xml:space="preserve">ALARM CLOCK BAKELIKE ORANGE</t>
  </si>
  <si>
    <t xml:space="preserve">22303</t>
  </si>
  <si>
    <t xml:space="preserve">COFFEE MUG APPLES DESIGN</t>
  </si>
  <si>
    <t xml:space="preserve">22093</t>
  </si>
  <si>
    <t xml:space="preserve">MOTORING TISSUE BOX</t>
  </si>
  <si>
    <t xml:space="preserve">22099</t>
  </si>
  <si>
    <t xml:space="preserve">CARAVAN SQUARE TISSUE BOX</t>
  </si>
  <si>
    <t xml:space="preserve">565440</t>
  </si>
  <si>
    <t xml:space="preserve">22966</t>
  </si>
  <si>
    <t xml:space="preserve">GINGERBREAD MAN COOKIE CUTTER</t>
  </si>
  <si>
    <t xml:space="preserve">23243</t>
  </si>
  <si>
    <t xml:space="preserve">SET OF TEA COFFEE SUGAR TINS PANTRY</t>
  </si>
  <si>
    <t xml:space="preserve">23328</t>
  </si>
  <si>
    <t xml:space="preserve">SET 6 SCHOOL MILK BOTTLES IN CRATE</t>
  </si>
  <si>
    <t xml:space="preserve">23306</t>
  </si>
  <si>
    <t xml:space="preserve">SET OF 36 DOILIES PANTRY DESIGN</t>
  </si>
  <si>
    <t xml:space="preserve">23298</t>
  </si>
  <si>
    <t xml:space="preserve">SPOTTY BUNTING</t>
  </si>
  <si>
    <t xml:space="preserve">22726</t>
  </si>
  <si>
    <t xml:space="preserve">ALARM CLOCK BAKELIKE GREEN</t>
  </si>
  <si>
    <t xml:space="preserve">22728</t>
  </si>
  <si>
    <t xml:space="preserve">ALARM CLOCK BAKELIKE PINK</t>
  </si>
  <si>
    <t xml:space="preserve">22730</t>
  </si>
  <si>
    <t xml:space="preserve">ALARM CLOCK BAKELIKE IVORY</t>
  </si>
  <si>
    <t xml:space="preserve">47566</t>
  </si>
  <si>
    <t xml:space="preserve">PARTY BUNTING</t>
  </si>
  <si>
    <t xml:space="preserve">22627</t>
  </si>
  <si>
    <t xml:space="preserve">MINT KITCHEN SCALES</t>
  </si>
  <si>
    <t xml:space="preserve">22354</t>
  </si>
  <si>
    <t xml:space="preserve">RETROSPOT PADDED SEAT CUSHION</t>
  </si>
  <si>
    <t xml:space="preserve">22489</t>
  </si>
  <si>
    <t xml:space="preserve">PACK OF 12 TRADITIONAL CRAYONS</t>
  </si>
  <si>
    <t xml:space="preserve">565442</t>
  </si>
  <si>
    <t xml:space="preserve">22551</t>
  </si>
  <si>
    <t xml:space="preserve">PLASTERS IN TIN SPACEBOY</t>
  </si>
  <si>
    <t xml:space="preserve">22554</t>
  </si>
  <si>
    <t xml:space="preserve">PLASTERS IN TIN WOODLAND ANIMALS</t>
  </si>
  <si>
    <t xml:space="preserve">20914</t>
  </si>
  <si>
    <t xml:space="preserve">SET/5 RED RETROSPOT LID GLASS BOWLS</t>
  </si>
  <si>
    <t xml:space="preserve">21156</t>
  </si>
  <si>
    <t xml:space="preserve">RETROSPOT CHILDRENS APRON</t>
  </si>
  <si>
    <t xml:space="preserve">21668</t>
  </si>
  <si>
    <t xml:space="preserve">RED STRIPE CERAMIC DRAWER KNOB</t>
  </si>
  <si>
    <t xml:space="preserve">21672</t>
  </si>
  <si>
    <t xml:space="preserve">WHITE SPOT RED CERAMIC DRAWER KNOB</t>
  </si>
  <si>
    <t xml:space="preserve">21671</t>
  </si>
  <si>
    <t xml:space="preserve">RED SPOT CERAMIC DRAWER KNOB</t>
  </si>
  <si>
    <t xml:space="preserve">22329</t>
  </si>
  <si>
    <t xml:space="preserve">ROUND CONTAINER SET OF 5 RETROSPOT</t>
  </si>
  <si>
    <t xml:space="preserve">21670</t>
  </si>
  <si>
    <t xml:space="preserve">BLUE SPOT CERAMIC DRAWER KNOB</t>
  </si>
  <si>
    <t xml:space="preserve">22324</t>
  </si>
  <si>
    <t xml:space="preserve">BLUE POLKADOT KIDS BAG</t>
  </si>
  <si>
    <t xml:space="preserve">22200</t>
  </si>
  <si>
    <t xml:space="preserve">FRYING PAN PINK POLKADOT</t>
  </si>
  <si>
    <t xml:space="preserve">22384</t>
  </si>
  <si>
    <t xml:space="preserve">LUNCH BAG PINK POLKADOT</t>
  </si>
  <si>
    <t xml:space="preserve">22650</t>
  </si>
  <si>
    <t xml:space="preserve">CERAMIC PIRATE CHEST MONEY BANK</t>
  </si>
  <si>
    <t xml:space="preserve">22327</t>
  </si>
  <si>
    <t xml:space="preserve">ROUND SNACK BOXES SET OF 4 SKULLS</t>
  </si>
  <si>
    <t xml:space="preserve">21579</t>
  </si>
  <si>
    <t xml:space="preserve">LOLITA  DESIGN  COTTON TOTE BAG</t>
  </si>
  <si>
    <t xml:space="preserve">21577</t>
  </si>
  <si>
    <t xml:space="preserve">SAVE THE PLANET COTTON TOTE BAG</t>
  </si>
  <si>
    <t xml:space="preserve">22452</t>
  </si>
  <si>
    <t xml:space="preserve">MEASURING TAPE BABUSHKA PINK</t>
  </si>
  <si>
    <t xml:space="preserve">22755</t>
  </si>
  <si>
    <t xml:space="preserve">SMALL PURPLE BABUSHKA NOTEBOOK </t>
  </si>
  <si>
    <t xml:space="preserve">16045</t>
  </si>
  <si>
    <t xml:space="preserve">POPART WOODEN PENCILS ASST</t>
  </si>
  <si>
    <t xml:space="preserve">565443</t>
  </si>
  <si>
    <t xml:space="preserve">23345</t>
  </si>
  <si>
    <t xml:space="preserve"> DOLLY GIRL BEAKER</t>
  </si>
  <si>
    <t xml:space="preserve">23346</t>
  </si>
  <si>
    <t xml:space="preserve">SPACEBOY BEAKER</t>
  </si>
  <si>
    <t xml:space="preserve">84707B</t>
  </si>
  <si>
    <t xml:space="preserve">PINK JEWELLED MIRROR TRINKET TRAY</t>
  </si>
  <si>
    <t xml:space="preserve">21643</t>
  </si>
  <si>
    <t xml:space="preserve">ASSORTED TUTTI FRUTTI MIRROR</t>
  </si>
  <si>
    <t xml:space="preserve">22181</t>
  </si>
  <si>
    <t xml:space="preserve">SNOWSTORM PHOTO FRAME FRIDGE MAGNET</t>
  </si>
  <si>
    <t xml:space="preserve">21380</t>
  </si>
  <si>
    <t xml:space="preserve">WOODEN HAPPY BIRTHDAY GARLAND</t>
  </si>
  <si>
    <t xml:space="preserve">22341</t>
  </si>
  <si>
    <t xml:space="preserve">LOVE GARLAND PAINTED ZINC </t>
  </si>
  <si>
    <t xml:space="preserve">22948</t>
  </si>
  <si>
    <t xml:space="preserve">METAL DECORATION NAUGHTY CHILDREN </t>
  </si>
  <si>
    <t xml:space="preserve">84879</t>
  </si>
  <si>
    <t xml:space="preserve">ASSORTED COLOUR BIRD ORNAMENT</t>
  </si>
  <si>
    <t xml:space="preserve">15044C</t>
  </si>
  <si>
    <t xml:space="preserve">PURPLE PAPER PARASOL</t>
  </si>
  <si>
    <t xml:space="preserve">79191C</t>
  </si>
  <si>
    <t xml:space="preserve">RETRO PLASTIC ELEPHANT TRAY</t>
  </si>
  <si>
    <t xml:space="preserve">79190A</t>
  </si>
  <si>
    <t xml:space="preserve">RETRO PLASTIC 70'S TRAY</t>
  </si>
  <si>
    <t xml:space="preserve">21833</t>
  </si>
  <si>
    <t xml:space="preserve">CAMOUFLAGE LED TORCH</t>
  </si>
  <si>
    <t xml:space="preserve">21990</t>
  </si>
  <si>
    <t xml:space="preserve">MODERN FLORAL STATIONERY SET</t>
  </si>
  <si>
    <t xml:space="preserve">20983</t>
  </si>
  <si>
    <t xml:space="preserve">12 PENCILS TALL TUBE RED RETROSPOT</t>
  </si>
  <si>
    <t xml:space="preserve">20981</t>
  </si>
  <si>
    <t xml:space="preserve">12 PENCILS TALL TUBE WOODLAND</t>
  </si>
  <si>
    <t xml:space="preserve">23191</t>
  </si>
  <si>
    <t xml:space="preserve">BUNDLE OF 3 RETRO NOTE BOOKS</t>
  </si>
  <si>
    <t xml:space="preserve">23194</t>
  </si>
  <si>
    <t xml:space="preserve">GYMKHANA TREASURE BOOK BOX</t>
  </si>
  <si>
    <t xml:space="preserve">23193</t>
  </si>
  <si>
    <t xml:space="preserve">BUFFALO BILL TREASURE BOOK BOX</t>
  </si>
  <si>
    <t xml:space="preserve">23078</t>
  </si>
  <si>
    <t xml:space="preserve">ICE CREAM PEN LIP GLOSS </t>
  </si>
  <si>
    <t xml:space="preserve">21915</t>
  </si>
  <si>
    <t xml:space="preserve">RED  HARMONICA IN BOX </t>
  </si>
  <si>
    <t xml:space="preserve">11001</t>
  </si>
  <si>
    <t xml:space="preserve">ASSTD DESIGN RACING CAR PEN</t>
  </si>
  <si>
    <t xml:space="preserve">22492</t>
  </si>
  <si>
    <t xml:space="preserve">MINI PAINT SET VINTAGE </t>
  </si>
  <si>
    <t xml:space="preserve">22895</t>
  </si>
  <si>
    <t xml:space="preserve">SET OF 2 TEA TOWELS APPLE AND PEARS</t>
  </si>
  <si>
    <t xml:space="preserve">22378</t>
  </si>
  <si>
    <t xml:space="preserve">WALL TIDY RETROSPOT </t>
  </si>
  <si>
    <t xml:space="preserve">23049</t>
  </si>
  <si>
    <t xml:space="preserve">RECYCLED ACAPULCO MAT RED</t>
  </si>
  <si>
    <t xml:space="preserve">23051</t>
  </si>
  <si>
    <t xml:space="preserve">RECYCLED ACAPULCO MAT BLUE</t>
  </si>
  <si>
    <t xml:space="preserve">23054</t>
  </si>
  <si>
    <t xml:space="preserve">RECYCLED ACAPULCO MAT LAVENDER</t>
  </si>
  <si>
    <t xml:space="preserve">23052</t>
  </si>
  <si>
    <t xml:space="preserve">RECYCLED ACAPULCO MAT TURQUOISE</t>
  </si>
  <si>
    <t xml:space="preserve">21871</t>
  </si>
  <si>
    <t xml:space="preserve">SAVE THE PLANET MUG</t>
  </si>
  <si>
    <t xml:space="preserve">22374</t>
  </si>
  <si>
    <t xml:space="preserve">AIRLINE BAG VINTAGE JET SET RED</t>
  </si>
  <si>
    <t xml:space="preserve">565587</t>
  </si>
  <si>
    <t xml:space="preserve">23024</t>
  </si>
  <si>
    <t xml:space="preserve">LARGE BONNE JAM JAR  T-LIGHT HOLDER</t>
  </si>
  <si>
    <t xml:space="preserve">22795</t>
  </si>
  <si>
    <t xml:space="preserve">SWEETHEART RECIPE BOOK STAND</t>
  </si>
  <si>
    <t xml:space="preserve">15056N</t>
  </si>
  <si>
    <t xml:space="preserve">EDWARDIAN PARASOL NATURAL</t>
  </si>
  <si>
    <t xml:space="preserve">22215</t>
  </si>
  <si>
    <t xml:space="preserve">CAKE STAND WHITE TWO TIER LACE</t>
  </si>
  <si>
    <t xml:space="preserve">22151</t>
  </si>
  <si>
    <t xml:space="preserve">PLACE SETTING WHITE HEART</t>
  </si>
  <si>
    <t xml:space="preserve">82484</t>
  </si>
  <si>
    <t xml:space="preserve">WOOD BLACK BOARD ANT WHITE FINISH</t>
  </si>
  <si>
    <t xml:space="preserve">C565597</t>
  </si>
  <si>
    <t xml:space="preserve">22980</t>
  </si>
  <si>
    <t xml:space="preserve">PANTRY SCRUBBING BRUSH</t>
  </si>
  <si>
    <t xml:space="preserve">22666</t>
  </si>
  <si>
    <t xml:space="preserve">RECIPE BOX PANTRY YELLOW DESIGN</t>
  </si>
  <si>
    <t xml:space="preserve">22625</t>
  </si>
  <si>
    <t xml:space="preserve">RED KITCHEN SCALES</t>
  </si>
  <si>
    <t xml:space="preserve">21658</t>
  </si>
  <si>
    <t xml:space="preserve">GLASS  BEURRE DISH</t>
  </si>
  <si>
    <t xml:space="preserve">565612</t>
  </si>
  <si>
    <t xml:space="preserve">21791</t>
  </si>
  <si>
    <t xml:space="preserve">VINTAGE HEADS AND TAILS CARD GAME </t>
  </si>
  <si>
    <t xml:space="preserve">22548</t>
  </si>
  <si>
    <t xml:space="preserve">HEADS AND TAILS SPORTING FUN</t>
  </si>
  <si>
    <t xml:space="preserve">22549</t>
  </si>
  <si>
    <t xml:space="preserve">PICTURE DOMINOES</t>
  </si>
  <si>
    <t xml:space="preserve">20750</t>
  </si>
  <si>
    <t xml:space="preserve">RED RETROSPOT MINI CASES</t>
  </si>
  <si>
    <t xml:space="preserve">20749</t>
  </si>
  <si>
    <t xml:space="preserve">ASSORTED COLOUR MINI CASES</t>
  </si>
  <si>
    <t xml:space="preserve">22367</t>
  </si>
  <si>
    <t xml:space="preserve">CHILDRENS APRON SPACEBOY DESIGN</t>
  </si>
  <si>
    <t xml:space="preserve">22899</t>
  </si>
  <si>
    <t xml:space="preserve">CHILDREN'S APRON DOLLY GIRL </t>
  </si>
  <si>
    <t xml:space="preserve">22556</t>
  </si>
  <si>
    <t xml:space="preserve">PLASTERS IN TIN CIRCUS PARADE </t>
  </si>
  <si>
    <t xml:space="preserve">22634</t>
  </si>
  <si>
    <t xml:space="preserve">CHILDS BREAKFAST SET SPACEBOY </t>
  </si>
  <si>
    <t xml:space="preserve">22635</t>
  </si>
  <si>
    <t xml:space="preserve">CHILDS BREAKFAST SET DOLLY GIRL </t>
  </si>
  <si>
    <t xml:space="preserve">C565615</t>
  </si>
  <si>
    <t xml:space="preserve">23325</t>
  </si>
  <si>
    <t xml:space="preserve">RUSTIC STRAWBERRY JAM POT SMALL</t>
  </si>
  <si>
    <t xml:space="preserve">21197</t>
  </si>
  <si>
    <t xml:space="preserve">MULTICOLOUR  CONFETTI IN TUBE</t>
  </si>
  <si>
    <t xml:space="preserve">22976</t>
  </si>
  <si>
    <t xml:space="preserve">CIRCUS PARADE CHILDRENS EGG CUP </t>
  </si>
  <si>
    <t xml:space="preserve">22972</t>
  </si>
  <si>
    <t xml:space="preserve">CHILDREN'S SPACEBOY MUG</t>
  </si>
  <si>
    <t xml:space="preserve">23249</t>
  </si>
  <si>
    <t xml:space="preserve">VINTAGE RED ENAMEL TRIM PLATE</t>
  </si>
  <si>
    <t xml:space="preserve">22842</t>
  </si>
  <si>
    <t xml:space="preserve">BISCUIT TIN VINTAGE RED</t>
  </si>
  <si>
    <t xml:space="preserve">23348</t>
  </si>
  <si>
    <t xml:space="preserve">CHILDRENS TOY COOKING UTENSIL SET</t>
  </si>
  <si>
    <t xml:space="preserve">565759</t>
  </si>
  <si>
    <t xml:space="preserve">21238</t>
  </si>
  <si>
    <t xml:space="preserve">RED RETROSPOT CUP</t>
  </si>
  <si>
    <t xml:space="preserve">22667</t>
  </si>
  <si>
    <t xml:space="preserve">RECIPE BOX RETROSPOT </t>
  </si>
  <si>
    <t xml:space="preserve">21933</t>
  </si>
  <si>
    <t xml:space="preserve">PINK VINTAGE PAISLEY PICNIC BAG</t>
  </si>
  <si>
    <t xml:space="preserve">21984</t>
  </si>
  <si>
    <t xml:space="preserve">PACK OF 12 PINK PAISLEY TISSUES </t>
  </si>
  <si>
    <t xml:space="preserve">21500</t>
  </si>
  <si>
    <t xml:space="preserve">PINK POLKADOT WRAP </t>
  </si>
  <si>
    <t xml:space="preserve">23231</t>
  </si>
  <si>
    <t xml:space="preserve">WRAP  VINTAGE DOILY </t>
  </si>
  <si>
    <t xml:space="preserve">23380</t>
  </si>
  <si>
    <t xml:space="preserve">PACK OF 12 VINTAGE DOILY TISSUES</t>
  </si>
  <si>
    <t xml:space="preserve">23403</t>
  </si>
  <si>
    <t xml:space="preserve">LETTER HOLDER HOME SWEET HOME</t>
  </si>
  <si>
    <t xml:space="preserve">23404</t>
  </si>
  <si>
    <t xml:space="preserve">HOME SWEET HOME BLACKBOARD</t>
  </si>
  <si>
    <t xml:space="preserve">21936</t>
  </si>
  <si>
    <t xml:space="preserve">RED RETROSPOT PICNIC BAG</t>
  </si>
  <si>
    <t xml:space="preserve">565760</t>
  </si>
  <si>
    <t xml:space="preserve">565765</t>
  </si>
  <si>
    <t xml:space="preserve">20713</t>
  </si>
  <si>
    <t xml:space="preserve">JUMBO BAG OWLS</t>
  </si>
  <si>
    <t xml:space="preserve">23203</t>
  </si>
  <si>
    <t xml:space="preserve">JUMBO BAG VINTAGE DOILY </t>
  </si>
  <si>
    <t xml:space="preserve">23344</t>
  </si>
  <si>
    <t xml:space="preserve">JUMBO BAG 50'S CHRISTMAS </t>
  </si>
  <si>
    <t xml:space="preserve">21429</t>
  </si>
  <si>
    <t xml:space="preserve">RED GINGHAM ROSE JEWELLERY BOX</t>
  </si>
  <si>
    <t xml:space="preserve">20971</t>
  </si>
  <si>
    <t xml:space="preserve">PINK BLUE FELT CRAFT TRINKET BOX</t>
  </si>
  <si>
    <t xml:space="preserve">22271</t>
  </si>
  <si>
    <t xml:space="preserve">FELTCRAFT DOLL ROSIE</t>
  </si>
  <si>
    <t xml:space="preserve">22273</t>
  </si>
  <si>
    <t xml:space="preserve">FELTCRAFT DOLL MOLLY</t>
  </si>
  <si>
    <t xml:space="preserve">22586</t>
  </si>
  <si>
    <t xml:space="preserve">FELTCRAFT HAIRBAND PINK AND BLUE</t>
  </si>
  <si>
    <t xml:space="preserve">22209</t>
  </si>
  <si>
    <t xml:space="preserve">WOOD STAMP SET HAPPY BIRTHDAY</t>
  </si>
  <si>
    <t xml:space="preserve">20979</t>
  </si>
  <si>
    <t xml:space="preserve">36 PENCILS TUBE RED RETROSPOT</t>
  </si>
  <si>
    <t xml:space="preserve">20977</t>
  </si>
  <si>
    <t xml:space="preserve">36 PENCILS TUBE WOODLAND</t>
  </si>
  <si>
    <t xml:space="preserve">23240</t>
  </si>
  <si>
    <t xml:space="preserve">SET OF 4 KNICK KNACK TINS DOILY </t>
  </si>
  <si>
    <t xml:space="preserve">22534</t>
  </si>
  <si>
    <t xml:space="preserve">MAGIC DRAWING SLATE SPACEBOY </t>
  </si>
  <si>
    <t xml:space="preserve">22530</t>
  </si>
  <si>
    <t xml:space="preserve">MAGIC DRAWING SLATE DOLLY GIRL </t>
  </si>
  <si>
    <t xml:space="preserve">22531</t>
  </si>
  <si>
    <t xml:space="preserve">MAGIC DRAWING SLATE CIRCUS PARADE  </t>
  </si>
  <si>
    <t xml:space="preserve">22138</t>
  </si>
  <si>
    <t xml:space="preserve">BAKING SET 9 PIECE RETROSPOT </t>
  </si>
  <si>
    <t xml:space="preserve">22617</t>
  </si>
  <si>
    <t xml:space="preserve">BAKING SET SPACEBOY DESIGN</t>
  </si>
  <si>
    <t xml:space="preserve">21891</t>
  </si>
  <si>
    <t xml:space="preserve">TRADITIONAL WOODEN SKIPPING ROPE</t>
  </si>
  <si>
    <t xml:space="preserve">565777</t>
  </si>
  <si>
    <t xml:space="preserve">22649</t>
  </si>
  <si>
    <t xml:space="preserve">STRAWBERRY FAIRY CAKE TEAPOT</t>
  </si>
  <si>
    <t xml:space="preserve">47567B</t>
  </si>
  <si>
    <t xml:space="preserve">TEA TIME KITCHEN APRON</t>
  </si>
  <si>
    <t xml:space="preserve">565801</t>
  </si>
  <si>
    <t xml:space="preserve">22630</t>
  </si>
  <si>
    <t xml:space="preserve">DOLLY GIRL LUNCH BOX</t>
  </si>
  <si>
    <t xml:space="preserve">22661</t>
  </si>
  <si>
    <t xml:space="preserve">CHARLOTTE BAG DOLLY GIRL DESIGN</t>
  </si>
  <si>
    <t xml:space="preserve">22949</t>
  </si>
  <si>
    <t xml:space="preserve">36 DOILIES DOLLY GIRL</t>
  </si>
  <si>
    <t xml:space="preserve">22663</t>
  </si>
  <si>
    <t xml:space="preserve">JUMBO BAG DOLLY GIRL DESIGN</t>
  </si>
  <si>
    <t xml:space="preserve">22416</t>
  </si>
  <si>
    <t xml:space="preserve">SET OF 36 DOILIES SPACEBOY DESIGN </t>
  </si>
  <si>
    <t xml:space="preserve">23209</t>
  </si>
  <si>
    <t xml:space="preserve">LUNCH BAG VINTAGE DOILY </t>
  </si>
  <si>
    <t xml:space="preserve">20712</t>
  </si>
  <si>
    <t xml:space="preserve">JUMBO BAG WOODLAND ANIMALS</t>
  </si>
  <si>
    <t xml:space="preserve">21424</t>
  </si>
  <si>
    <t xml:space="preserve">WOODLAND STORAGE BOX LARGE </t>
  </si>
  <si>
    <t xml:space="preserve">84510A</t>
  </si>
  <si>
    <t xml:space="preserve">SET OF 4 ENGLISH ROSE COASTERS</t>
  </si>
  <si>
    <t xml:space="preserve">22386</t>
  </si>
  <si>
    <t xml:space="preserve">JUMBO BAG PINK POLKADOT</t>
  </si>
  <si>
    <t xml:space="preserve">84997A</t>
  </si>
  <si>
    <t xml:space="preserve">CHILDRENS CUTLERY POLKADOT GREEN </t>
  </si>
  <si>
    <t xml:space="preserve">22962</t>
  </si>
  <si>
    <t xml:space="preserve">JAM JAR WITH PINK LID</t>
  </si>
  <si>
    <t xml:space="preserve">22963</t>
  </si>
  <si>
    <t xml:space="preserve">JAM JAR WITH GREEN LID</t>
  </si>
  <si>
    <t xml:space="preserve">22961</t>
  </si>
  <si>
    <t xml:space="preserve">JAM MAKING SET PRINTED</t>
  </si>
  <si>
    <t xml:space="preserve">565854</t>
  </si>
  <si>
    <t xml:space="preserve">21122</t>
  </si>
  <si>
    <t xml:space="preserve">SET/10 PINK POLKADOT PARTY CANDLES</t>
  </si>
  <si>
    <t xml:space="preserve">20727</t>
  </si>
  <si>
    <t xml:space="preserve">LUNCH BAG  BLACK SKULL.</t>
  </si>
  <si>
    <t xml:space="preserve">21564</t>
  </si>
  <si>
    <t xml:space="preserve">PINK  HEART SHAPE LOVE BUCKET </t>
  </si>
  <si>
    <t xml:space="preserve">21563</t>
  </si>
  <si>
    <t xml:space="preserve">RED HEART SHAPE LOVE BUCKET </t>
  </si>
  <si>
    <t xml:space="preserve">23159</t>
  </si>
  <si>
    <t xml:space="preserve">SET OF 5 PANCAKE DAY MAGNETS</t>
  </si>
  <si>
    <t xml:space="preserve">20963</t>
  </si>
  <si>
    <t xml:space="preserve">APPLE BATH SPONGE</t>
  </si>
  <si>
    <t xml:space="preserve">22898</t>
  </si>
  <si>
    <t xml:space="preserve">CHILDRENS APRON APPLES DESIGN</t>
  </si>
  <si>
    <t xml:space="preserve">22343</t>
  </si>
  <si>
    <t xml:space="preserve">PARTY PIZZA DISH RED RETROSPOT</t>
  </si>
  <si>
    <t xml:space="preserve">22131</t>
  </si>
  <si>
    <t xml:space="preserve">FOOD CONTAINER SET 3 LOVE HEART </t>
  </si>
  <si>
    <t xml:space="preserve">22922</t>
  </si>
  <si>
    <t xml:space="preserve">FRIDGE MAGNETS US DINER ASSORTED</t>
  </si>
  <si>
    <t xml:space="preserve">22027</t>
  </si>
  <si>
    <t xml:space="preserve">TEA PARTY BIRTHDAY CARD</t>
  </si>
  <si>
    <t xml:space="preserve">21098</t>
  </si>
  <si>
    <t xml:space="preserve">CHRISTMAS TOILET ROLL</t>
  </si>
  <si>
    <t xml:space="preserve">22328</t>
  </si>
  <si>
    <t xml:space="preserve">ROUND SNACK BOXES SET OF 4 FRUITS </t>
  </si>
  <si>
    <t xml:space="preserve">22315</t>
  </si>
  <si>
    <t xml:space="preserve">200 RED + WHITE BENDY STRAWS</t>
  </si>
  <si>
    <t xml:space="preserve">21354</t>
  </si>
  <si>
    <t xml:space="preserve">TOAST ITS - BEST MUM</t>
  </si>
  <si>
    <t xml:space="preserve">21124</t>
  </si>
  <si>
    <t xml:space="preserve">SET/10 BLUE POLKADOT PARTY CANDLES</t>
  </si>
  <si>
    <t xml:space="preserve">22313</t>
  </si>
  <si>
    <t xml:space="preserve">OFFICE MUG WARMER PINK</t>
  </si>
  <si>
    <t xml:space="preserve">84997C</t>
  </si>
  <si>
    <t xml:space="preserve">CHILDRENS CUTLERY POLKADOT BLUE</t>
  </si>
  <si>
    <t xml:space="preserve">565865</t>
  </si>
  <si>
    <t xml:space="preserve">23200</t>
  </si>
  <si>
    <t xml:space="preserve">JUMBO BAG PEARS</t>
  </si>
  <si>
    <t xml:space="preserve">23199</t>
  </si>
  <si>
    <t xml:space="preserve">JUMBO BAG APPLES</t>
  </si>
  <si>
    <t xml:space="preserve">23204</t>
  </si>
  <si>
    <t xml:space="preserve">CHARLOTTE BAG APPLES DESIGN</t>
  </si>
  <si>
    <t xml:space="preserve">22752</t>
  </si>
  <si>
    <t xml:space="preserve">SET 7 BABUSHKA NESTING BOXES</t>
  </si>
  <si>
    <t xml:space="preserve">23201</t>
  </si>
  <si>
    <t xml:space="preserve">JUMBO BAG ALPHABET</t>
  </si>
  <si>
    <t xml:space="preserve">21329</t>
  </si>
  <si>
    <t xml:space="preserve">DINOSAURS  WRITING SET </t>
  </si>
  <si>
    <t xml:space="preserve">21328</t>
  </si>
  <si>
    <t xml:space="preserve">BALLOONS  WRITING SET </t>
  </si>
  <si>
    <t xml:space="preserve">23205</t>
  </si>
  <si>
    <t xml:space="preserve">CHARLOTTE BAG VINTAGE ALPHABET </t>
  </si>
  <si>
    <t xml:space="preserve">23190</t>
  </si>
  <si>
    <t xml:space="preserve">BUNDLE OF 3 SCHOOL EXERCISE BOOKS  </t>
  </si>
  <si>
    <t xml:space="preserve">23192</t>
  </si>
  <si>
    <t xml:space="preserve">BUNDLE OF 3 ALPHABET EXERCISE BOOKS</t>
  </si>
  <si>
    <t xml:space="preserve">23229</t>
  </si>
  <si>
    <t xml:space="preserve">VINTAGE DONKEY TAIL GAME </t>
  </si>
  <si>
    <t xml:space="preserve">22385</t>
  </si>
  <si>
    <t xml:space="preserve">JUMBO BAG SPACEBOY DESIGN</t>
  </si>
  <si>
    <t xml:space="preserve">22940</t>
  </si>
  <si>
    <t xml:space="preserve">FELTCRAFT CHRISTMAS FAIRY</t>
  </si>
  <si>
    <t xml:space="preserve">22398</t>
  </si>
  <si>
    <t xml:space="preserve">MAGNETS PACK OF 4 SWALLOWS</t>
  </si>
  <si>
    <t xml:space="preserve">22662</t>
  </si>
  <si>
    <t xml:space="preserve">LUNCH BAG DOLLY GIRL DESIGN</t>
  </si>
  <si>
    <t xml:space="preserve">23108</t>
  </si>
  <si>
    <t xml:space="preserve">SET OF 10 LED DOLLY LIGHTS</t>
  </si>
  <si>
    <t xml:space="preserve">22750</t>
  </si>
  <si>
    <t xml:space="preserve">FELTCRAFT PRINCESS LOLA DOLL</t>
  </si>
  <si>
    <t xml:space="preserve">23347</t>
  </si>
  <si>
    <t xml:space="preserve">I LOVE LONDON BEAKER</t>
  </si>
  <si>
    <t xml:space="preserve">23238</t>
  </si>
  <si>
    <t xml:space="preserve">SET OF 4 KNICK KNACK TINS LONDON </t>
  </si>
  <si>
    <t xml:space="preserve">23173</t>
  </si>
  <si>
    <t xml:space="preserve">REGENCY TEAPOT ROSES </t>
  </si>
  <si>
    <t xml:space="preserve">23170</t>
  </si>
  <si>
    <t xml:space="preserve">REGENCY TEA PLATE ROSES </t>
  </si>
  <si>
    <t xml:space="preserve">84692</t>
  </si>
  <si>
    <t xml:space="preserve">BOX OF 24 COCKTAIL PARASOLS</t>
  </si>
  <si>
    <t xml:space="preserve">20724</t>
  </si>
  <si>
    <t xml:space="preserve">RED RETROSPOT CHARLOTTE BAG</t>
  </si>
  <si>
    <t xml:space="preserve">22321</t>
  </si>
  <si>
    <t xml:space="preserve">BIRD DECORATION RED RETROSPOT</t>
  </si>
  <si>
    <t xml:space="preserve">21680</t>
  </si>
  <si>
    <t xml:space="preserve">WOODLAND  STICKERS</t>
  </si>
  <si>
    <t xml:space="preserve">C565925</t>
  </si>
  <si>
    <t xml:space="preserve">565930</t>
  </si>
  <si>
    <t xml:space="preserve">22559</t>
  </si>
  <si>
    <t xml:space="preserve">SEASIDE FLYING DISC</t>
  </si>
  <si>
    <t xml:space="preserve">22748</t>
  </si>
  <si>
    <t xml:space="preserve">POPPY'S PLAYHOUSE KITCHEN</t>
  </si>
  <si>
    <t xml:space="preserve">22745</t>
  </si>
  <si>
    <t xml:space="preserve">POPPY'S PLAYHOUSE BEDROOM </t>
  </si>
  <si>
    <t xml:space="preserve">20819</t>
  </si>
  <si>
    <t xml:space="preserve">SILVER TEDDY BEAR</t>
  </si>
  <si>
    <t xml:space="preserve">22118</t>
  </si>
  <si>
    <t xml:space="preserve">JOY WOODEN BLOCK LETTERS</t>
  </si>
  <si>
    <t xml:space="preserve">22930</t>
  </si>
  <si>
    <t xml:space="preserve">BAKING MOULD HEART MILK CHOCOLATE</t>
  </si>
  <si>
    <t xml:space="preserve">23242</t>
  </si>
  <si>
    <t xml:space="preserve">TREASURE TIN BUFFALO BILL </t>
  </si>
  <si>
    <t xml:space="preserve">23296</t>
  </si>
  <si>
    <t xml:space="preserve">SET OF 6 TEA TIME BAKING CASES</t>
  </si>
  <si>
    <t xml:space="preserve">20866</t>
  </si>
  <si>
    <t xml:space="preserve">BLUE ROSE FABRIC MIRROR</t>
  </si>
  <si>
    <t xml:space="preserve">23280</t>
  </si>
  <si>
    <t xml:space="preserve">FOLDING BUTTERFLY MIRROR HOT PINK </t>
  </si>
  <si>
    <t xml:space="preserve">84509B</t>
  </si>
  <si>
    <t xml:space="preserve">SET OF 4 FAIRY CAKE PLACEMATS</t>
  </si>
  <si>
    <t xml:space="preserve">35970</t>
  </si>
  <si>
    <t xml:space="preserve">ZINC FOLKART SLEIGH BELLS</t>
  </si>
  <si>
    <t xml:space="preserve">23213</t>
  </si>
  <si>
    <t xml:space="preserve">STAR WREATH DECORATION WITH BELL</t>
  </si>
  <si>
    <t xml:space="preserve">23264</t>
  </si>
  <si>
    <t xml:space="preserve">SET OF 3 WOODEN SLEIGH DECORATIONS</t>
  </si>
  <si>
    <t xml:space="preserve">23268</t>
  </si>
  <si>
    <t xml:space="preserve">SET OF 2 CERAMIC CHRISTMAS REINDEER</t>
  </si>
  <si>
    <t xml:space="preserve">22571</t>
  </si>
  <si>
    <t xml:space="preserve">ROCKING HORSE RED CHRISTMAS </t>
  </si>
  <si>
    <t xml:space="preserve">22572</t>
  </si>
  <si>
    <t xml:space="preserve">ROCKING HORSE GREEN CHRISTMAS </t>
  </si>
  <si>
    <t xml:space="preserve">22601</t>
  </si>
  <si>
    <t xml:space="preserve">CHRISTMAS RETROSPOT ANGEL WOOD</t>
  </si>
  <si>
    <t xml:space="preserve">22142</t>
  </si>
  <si>
    <t xml:space="preserve">CHRISTMAS CRAFT WHITE FAIRY </t>
  </si>
  <si>
    <t xml:space="preserve">22732</t>
  </si>
  <si>
    <t xml:space="preserve">3D VINTAGE CHRISTMAS STICKERS </t>
  </si>
  <si>
    <t xml:space="preserve">40001</t>
  </si>
  <si>
    <t xml:space="preserve">WHITE BAMBOO RIBS LAMPSHADE</t>
  </si>
  <si>
    <t xml:space="preserve">23295</t>
  </si>
  <si>
    <t xml:space="preserve">SET OF 12 MINI LOAF BAKING CASES</t>
  </si>
  <si>
    <t xml:space="preserve">23285</t>
  </si>
  <si>
    <t xml:space="preserve">PINK VINTAGE SPOT BEAKER</t>
  </si>
  <si>
    <t xml:space="preserve">22955</t>
  </si>
  <si>
    <t xml:space="preserve">36 FOIL STAR CAKE CASES </t>
  </si>
  <si>
    <t xml:space="preserve">22956</t>
  </si>
  <si>
    <t xml:space="preserve">36 FOIL HEART CAKE CASES</t>
  </si>
  <si>
    <t xml:space="preserve">22434</t>
  </si>
  <si>
    <t xml:space="preserve">BALLOON PUMP WITH 10 BALLOONS</t>
  </si>
  <si>
    <t xml:space="preserve">22110</t>
  </si>
  <si>
    <t xml:space="preserve">BIRD HOUSE HOT WATER BOTTLE</t>
  </si>
  <si>
    <t xml:space="preserve">21485</t>
  </si>
  <si>
    <t xml:space="preserve">RETROSPOT HEART HOT WATER BOTTLE</t>
  </si>
  <si>
    <t xml:space="preserve">84086C</t>
  </si>
  <si>
    <t xml:space="preserve">PINK/PURPLE RETRO RADIO</t>
  </si>
  <si>
    <t xml:space="preserve">23076</t>
  </si>
  <si>
    <t xml:space="preserve">ICE CREAM SUNDAE LIP GLOSS</t>
  </si>
  <si>
    <t xml:space="preserve">21706</t>
  </si>
  <si>
    <t xml:space="preserve">FOLDING UMBRELLA RED/WHITE POLKADOT</t>
  </si>
  <si>
    <t xml:space="preserve">21710</t>
  </si>
  <si>
    <t xml:space="preserve">FOLDING UMBRELLA PINKWHITE POLKADOT</t>
  </si>
  <si>
    <t xml:space="preserve">23320</t>
  </si>
  <si>
    <t xml:space="preserve">GIANT 50'S CHRISTMAS CRACKER</t>
  </si>
  <si>
    <t xml:space="preserve">21509</t>
  </si>
  <si>
    <t xml:space="preserve">COWBOYS AND INDIANS BIRTHDAY CARD </t>
  </si>
  <si>
    <t xml:space="preserve">22024</t>
  </si>
  <si>
    <t xml:space="preserve">RAINY LADIES BIRTHDAY CARD</t>
  </si>
  <si>
    <t xml:space="preserve">22810</t>
  </si>
  <si>
    <t xml:space="preserve">SET OF 6 T-LIGHTS SNOWMEN</t>
  </si>
  <si>
    <t xml:space="preserve">22037</t>
  </si>
  <si>
    <t xml:space="preserve">ROBOT BIRTHDAY CARD</t>
  </si>
  <si>
    <t xml:space="preserve">565931</t>
  </si>
  <si>
    <t xml:space="preserve">21242</t>
  </si>
  <si>
    <t xml:space="preserve">RED RETROSPOT PLATE </t>
  </si>
  <si>
    <t xml:space="preserve">22558</t>
  </si>
  <si>
    <t xml:space="preserve">CLOTHES PEGS RETROSPOT PACK 24 </t>
  </si>
  <si>
    <t xml:space="preserve">22632</t>
  </si>
  <si>
    <t xml:space="preserve">HAND WARMER RED RETROSPOT</t>
  </si>
  <si>
    <t xml:space="preserve">21481</t>
  </si>
  <si>
    <t xml:space="preserve">FAWN BLUE HOT WATER BOTTLE</t>
  </si>
  <si>
    <t xml:space="preserve">20685</t>
  </si>
  <si>
    <t xml:space="preserve">DOORMAT RED RETROSPOT</t>
  </si>
  <si>
    <t xml:space="preserve">22960</t>
  </si>
  <si>
    <t xml:space="preserve">JAM MAKING SET WITH JARS</t>
  </si>
  <si>
    <t xml:space="preserve">21407</t>
  </si>
  <si>
    <t xml:space="preserve">BROWN CHECK CAT DOORSTOP </t>
  </si>
  <si>
    <t xml:space="preserve">23377</t>
  </si>
  <si>
    <t xml:space="preserve">PACK OF 12 DOLLY GIRL TISSUES</t>
  </si>
  <si>
    <t xml:space="preserve">23176</t>
  </si>
  <si>
    <t xml:space="preserve">ABC TREASURE BOOK BOX </t>
  </si>
  <si>
    <t xml:space="preserve">566041</t>
  </si>
  <si>
    <t xml:space="preserve">21210</t>
  </si>
  <si>
    <t xml:space="preserve">SET OF 72 RETROSPOT PAPER  DOILIES</t>
  </si>
  <si>
    <t xml:space="preserve">22417</t>
  </si>
  <si>
    <t xml:space="preserve">PACK OF 60 SPACEBOY CAKE CASES</t>
  </si>
  <si>
    <t xml:space="preserve">23308</t>
  </si>
  <si>
    <t xml:space="preserve">SET OF 60 VINTAGE LEAF CAKE CASES </t>
  </si>
  <si>
    <t xml:space="preserve">23228</t>
  </si>
  <si>
    <t xml:space="preserve">FILIGREE HEART BIRD WHITE </t>
  </si>
  <si>
    <t xml:space="preserve">23226</t>
  </si>
  <si>
    <t xml:space="preserve">FILIGREE HEART DAISY WHITE</t>
  </si>
  <si>
    <t xml:space="preserve">21216</t>
  </si>
  <si>
    <t xml:space="preserve">SET 3 RETROSPOT TEA,COFFEE,SUGAR</t>
  </si>
  <si>
    <t xml:space="preserve">21539</t>
  </si>
  <si>
    <t xml:space="preserve">RED RETROSPOT BUTTER DISH</t>
  </si>
  <si>
    <t xml:space="preserve">22964</t>
  </si>
  <si>
    <t xml:space="preserve">3 PIECE SPACEBOY COOKIE CUTTER SET</t>
  </si>
  <si>
    <t xml:space="preserve">84380</t>
  </si>
  <si>
    <t xml:space="preserve">SET OF 3 BUTTERFLY COOKIE CUTTERS</t>
  </si>
  <si>
    <t xml:space="preserve">84378</t>
  </si>
  <si>
    <t xml:space="preserve">SET OF 3 HEART COOKIE CUTTERS</t>
  </si>
  <si>
    <t xml:space="preserve">23244</t>
  </si>
  <si>
    <t xml:space="preserve">ROUND STORAGE TIN VINTAGE LEAF</t>
  </si>
  <si>
    <t xml:space="preserve">566054</t>
  </si>
  <si>
    <t xml:space="preserve">22812</t>
  </si>
  <si>
    <t xml:space="preserve">PACK 3 BOXES CHRISTMAS PANNETONE</t>
  </si>
  <si>
    <t xml:space="preserve">20719</t>
  </si>
  <si>
    <t xml:space="preserve">WOODLAND CHARLOTTE BAG</t>
  </si>
  <si>
    <t xml:space="preserve">566059</t>
  </si>
  <si>
    <t xml:space="preserve">566074</t>
  </si>
  <si>
    <t xml:space="preserve">90184C</t>
  </si>
  <si>
    <t xml:space="preserve">BLACK CHUNKY BEAD BRACELET W STRAP</t>
  </si>
  <si>
    <t xml:space="preserve">21155</t>
  </si>
  <si>
    <t xml:space="preserve">RED RETROSPOT PEG BAG</t>
  </si>
  <si>
    <t xml:space="preserve">22112</t>
  </si>
  <si>
    <t xml:space="preserve">CHOCOLATE HOT WATER BOTTLE</t>
  </si>
  <si>
    <t xml:space="preserve">22111</t>
  </si>
  <si>
    <t xml:space="preserve">SCOTTIE DOG HOT WATER BOTTLE</t>
  </si>
  <si>
    <t xml:space="preserve">23398</t>
  </si>
  <si>
    <t xml:space="preserve">HANGING HEART BONHEUR</t>
  </si>
  <si>
    <t xml:space="preserve">23395</t>
  </si>
  <si>
    <t xml:space="preserve">BELLE JARDINIERE CUSHION COVER</t>
  </si>
  <si>
    <t xml:space="preserve">23396</t>
  </si>
  <si>
    <t xml:space="preserve">LA JARDIN BOTANIQUE CUSHION COVER</t>
  </si>
  <si>
    <t xml:space="preserve">23393</t>
  </si>
  <si>
    <t xml:space="preserve">HOME SWEET HOME CUSHION COVER </t>
  </si>
  <si>
    <t xml:space="preserve">46000S</t>
  </si>
  <si>
    <t xml:space="preserve">POLYESTER FILLER PAD 40x40cm</t>
  </si>
  <si>
    <t xml:space="preserve">22626</t>
  </si>
  <si>
    <t xml:space="preserve">BLACK KITCHEN SCALES</t>
  </si>
  <si>
    <t xml:space="preserve">90184B</t>
  </si>
  <si>
    <t xml:space="preserve">AMETHYST CHUNKY BEAD BRACELET W STR</t>
  </si>
  <si>
    <t xml:space="preserve">C566084</t>
  </si>
  <si>
    <t xml:space="preserve">23172</t>
  </si>
  <si>
    <t xml:space="preserve">REGENCY TEA PLATE PINK</t>
  </si>
  <si>
    <t xml:space="preserve">22699</t>
  </si>
  <si>
    <t xml:space="preserve">ROSES REGENCY TEACUP AND SAUCER </t>
  </si>
  <si>
    <t xml:space="preserve">22698</t>
  </si>
  <si>
    <t xml:space="preserve">PINK REGENCY TEACUP AND SAUCER</t>
  </si>
  <si>
    <t xml:space="preserve">22697</t>
  </si>
  <si>
    <t xml:space="preserve">GREEN REGENCY TEACUP AND SAUCER</t>
  </si>
  <si>
    <t xml:space="preserve">C566090</t>
  </si>
  <si>
    <t xml:space="preserve">23155</t>
  </si>
  <si>
    <t xml:space="preserve">KNICKERBOCKERGLORY MAGNET ASSORTED </t>
  </si>
  <si>
    <t xml:space="preserve">566115</t>
  </si>
  <si>
    <t xml:space="preserve">23119</t>
  </si>
  <si>
    <t xml:space="preserve">PACK OF 6 LARGE FRUIT STRAWS </t>
  </si>
  <si>
    <t xml:space="preserve">23381</t>
  </si>
  <si>
    <t xml:space="preserve">PACK OF 12 VINTAGE LEAF TISSUES </t>
  </si>
  <si>
    <t xml:space="preserve">23237</t>
  </si>
  <si>
    <t xml:space="preserve">SET OF 4 KNICK KNACK TINS LEAF</t>
  </si>
  <si>
    <t xml:space="preserve">22753</t>
  </si>
  <si>
    <t xml:space="preserve">SMALL YELLOW BABUSHKA NOTEBOOK </t>
  </si>
  <si>
    <t xml:space="preserve">22449</t>
  </si>
  <si>
    <t xml:space="preserve">SILK PURSE BABUSHKA PINK</t>
  </si>
  <si>
    <t xml:space="preserve">22418</t>
  </si>
  <si>
    <t xml:space="preserve">10 COLOUR SPACEBOY PEN</t>
  </si>
  <si>
    <t xml:space="preserve">566163</t>
  </si>
  <si>
    <t xml:space="preserve">566233</t>
  </si>
  <si>
    <t xml:space="preserve">23196</t>
  </si>
  <si>
    <t xml:space="preserve">VINTAGE LEAF MAGNETIC NOTEPAD</t>
  </si>
  <si>
    <t xml:space="preserve">23145</t>
  </si>
  <si>
    <t xml:space="preserve">ZINC T-LIGHT HOLDER STAR LARGE</t>
  </si>
  <si>
    <t xml:space="preserve">23144</t>
  </si>
  <si>
    <t xml:space="preserve">ZINC T-LIGHT HOLDER STARS SMALL</t>
  </si>
  <si>
    <t xml:space="preserve">23273</t>
  </si>
  <si>
    <t xml:space="preserve">HEART T-LIGHT HOLDER WILLIE WINKIE</t>
  </si>
  <si>
    <t xml:space="preserve">23274</t>
  </si>
  <si>
    <t xml:space="preserve">STAR T-LIGHT HOLDER WILLIE WINKIE</t>
  </si>
  <si>
    <t xml:space="preserve">23294</t>
  </si>
  <si>
    <t xml:space="preserve">SET OF 6 SNACK LOAF BAKING CASES</t>
  </si>
  <si>
    <t xml:space="preserve">23297</t>
  </si>
  <si>
    <t xml:space="preserve">SET 40 HEART SHAPE PETIT FOUR CASES</t>
  </si>
  <si>
    <t xml:space="preserve">23311</t>
  </si>
  <si>
    <t xml:space="preserve">VINTAGE CHRISTMAS STOCKING </t>
  </si>
  <si>
    <t xml:space="preserve">23326</t>
  </si>
  <si>
    <t xml:space="preserve">HANGING MINI COLOURED BOTTLES</t>
  </si>
  <si>
    <t xml:space="preserve">23323</t>
  </si>
  <si>
    <t xml:space="preserve">WHITE WICKER STAR </t>
  </si>
  <si>
    <t xml:space="preserve">23322</t>
  </si>
  <si>
    <t xml:space="preserve">LARGE WHITE HEART OF WICKER</t>
  </si>
  <si>
    <t xml:space="preserve">23321</t>
  </si>
  <si>
    <t xml:space="preserve">SMALL WHITE HEART OF WICKER</t>
  </si>
  <si>
    <t xml:space="preserve">23354</t>
  </si>
  <si>
    <t xml:space="preserve">6 GIFT TAGS 50'S CHRISTMAS </t>
  </si>
  <si>
    <t xml:space="preserve">23353</t>
  </si>
  <si>
    <t xml:space="preserve">6 GIFT TAGS VINTAGE CHRISTMAS </t>
  </si>
  <si>
    <t xml:space="preserve">23432</t>
  </si>
  <si>
    <t xml:space="preserve">PRETTY HANGING QUILTED HEARTS</t>
  </si>
  <si>
    <t xml:space="preserve">23433</t>
  </si>
  <si>
    <t xml:space="preserve">HANGING QUILTED PATCHWORK APPLES</t>
  </si>
  <si>
    <t xml:space="preserve">23431</t>
  </si>
  <si>
    <t xml:space="preserve">NATURAL HANGING QUILTED HEARTS </t>
  </si>
  <si>
    <t xml:space="preserve">20984</t>
  </si>
  <si>
    <t xml:space="preserve">12 PENCILS TALL TUBE POSY</t>
  </si>
  <si>
    <t xml:space="preserve">21402</t>
  </si>
  <si>
    <t xml:space="preserve">RED  EGG  SPOON</t>
  </si>
  <si>
    <t xml:space="preserve">21403</t>
  </si>
  <si>
    <t xml:space="preserve">BLUE EGG  SPOON</t>
  </si>
  <si>
    <t xml:space="preserve">22403</t>
  </si>
  <si>
    <t xml:space="preserve">MAGNETS PACK OF 4 VINTAGE LABELS </t>
  </si>
  <si>
    <t xml:space="preserve">35810A</t>
  </si>
  <si>
    <t xml:space="preserve">ENAMEL PINK COFFEE CONTAINER</t>
  </si>
  <si>
    <t xml:space="preserve">84929</t>
  </si>
  <si>
    <t xml:space="preserve">ASSTD FRUIT+FLOWERS FRIDGE MAGNETS</t>
  </si>
  <si>
    <t xml:space="preserve">21249</t>
  </si>
  <si>
    <t xml:space="preserve">WOODLAND  HEIGHT CHART STICKERS </t>
  </si>
  <si>
    <t xml:space="preserve">23247</t>
  </si>
  <si>
    <t xml:space="preserve">BISCUIT TIN 50'S CHRISTMAS</t>
  </si>
  <si>
    <t xml:space="preserve">22720</t>
  </si>
  <si>
    <t xml:space="preserve">SET OF 3 CAKE TINS PANTRY DESIGN </t>
  </si>
  <si>
    <t xml:space="preserve">22979</t>
  </si>
  <si>
    <t xml:space="preserve">PANTRY WASHING UP BRUSH</t>
  </si>
  <si>
    <t xml:space="preserve">22890</t>
  </si>
  <si>
    <t xml:space="preserve">NOVELTY BISCUITS CAKE STAND 3 TIER</t>
  </si>
  <si>
    <t xml:space="preserve">22894</t>
  </si>
  <si>
    <t xml:space="preserve">TABLECLOTH RED APPLES DESIGN </t>
  </si>
  <si>
    <t xml:space="preserve">23050</t>
  </si>
  <si>
    <t xml:space="preserve">RECYCLED ACAPULCO MAT GREEN</t>
  </si>
  <si>
    <t xml:space="preserve">22953</t>
  </si>
  <si>
    <t xml:space="preserve">BIRTHDAY PARTY CORDON BARRIER TAPE</t>
  </si>
  <si>
    <t xml:space="preserve">22585</t>
  </si>
  <si>
    <t xml:space="preserve">PACK OF 6 BIRDY GIFT TAGS</t>
  </si>
  <si>
    <t xml:space="preserve">21165</t>
  </si>
  <si>
    <t xml:space="preserve">BEWARE OF THE CAT METAL SIGN </t>
  </si>
  <si>
    <t xml:space="preserve">84755</t>
  </si>
  <si>
    <t xml:space="preserve">COLOUR GLASS T-LIGHT HOLDER HANGING</t>
  </si>
  <si>
    <t xml:space="preserve">84950</t>
  </si>
  <si>
    <t xml:space="preserve">ASSORTED COLOUR T-LIGHT HOLDER</t>
  </si>
  <si>
    <t xml:space="preserve">21666</t>
  </si>
  <si>
    <t xml:space="preserve">RIDGED GLASS T-LIGHT HOLDER</t>
  </si>
  <si>
    <t xml:space="preserve">23086</t>
  </si>
  <si>
    <t xml:space="preserve">ZINC  STAR T-LIGHT HOLDER </t>
  </si>
  <si>
    <t xml:space="preserve">23087</t>
  </si>
  <si>
    <t xml:space="preserve">ZINC  HEART T-LIGHT HOLDER</t>
  </si>
  <si>
    <t xml:space="preserve">566256</t>
  </si>
  <si>
    <t xml:space="preserve">37495</t>
  </si>
  <si>
    <t xml:space="preserve">FAIRY CAKE BIRTHDAY CANDLE SET</t>
  </si>
  <si>
    <t xml:space="preserve">20751</t>
  </si>
  <si>
    <t xml:space="preserve">FUNKY WASHING UP GLOVES ASSORTED</t>
  </si>
  <si>
    <t xml:space="preserve">566267</t>
  </si>
  <si>
    <t xml:space="preserve">23401</t>
  </si>
  <si>
    <t xml:space="preserve">RUSTIC MIRROR WITH LACE HEART</t>
  </si>
  <si>
    <t xml:space="preserve">23400</t>
  </si>
  <si>
    <t xml:space="preserve">SHELF WITH 4 HOOKS HOME SWEET HOME</t>
  </si>
  <si>
    <t xml:space="preserve">23407</t>
  </si>
  <si>
    <t xml:space="preserve">SET OF 2 TRAYS HOME SWEET HOME</t>
  </si>
  <si>
    <t xml:space="preserve">23425</t>
  </si>
  <si>
    <t xml:space="preserve">STORAGE TIN HOME SWEET HOME</t>
  </si>
  <si>
    <t xml:space="preserve">23423</t>
  </si>
  <si>
    <t xml:space="preserve">PANTRY 3 HOOK ROLLING PIN HANGER</t>
  </si>
  <si>
    <t xml:space="preserve">21787</t>
  </si>
  <si>
    <t xml:space="preserve">RAIN PONCHO RETROSPOT</t>
  </si>
  <si>
    <t xml:space="preserve">21976</t>
  </si>
  <si>
    <t xml:space="preserve">PACK OF 60 MUSHROOM CAKE CASES</t>
  </si>
  <si>
    <t xml:space="preserve">22077</t>
  </si>
  <si>
    <t xml:space="preserve">6 RIBBONS RUSTIC CHARM</t>
  </si>
  <si>
    <t xml:space="preserve">21789</t>
  </si>
  <si>
    <t xml:space="preserve">KIDS RAIN MAC PINK</t>
  </si>
  <si>
    <t xml:space="preserve">21277</t>
  </si>
  <si>
    <t xml:space="preserve">FRENCH STYLE EMBOSSED HEART CABINET</t>
  </si>
  <si>
    <t xml:space="preserve">22427</t>
  </si>
  <si>
    <t xml:space="preserve">ENAMEL FLOWER JUG CREAM</t>
  </si>
  <si>
    <t xml:space="preserve">47559B</t>
  </si>
  <si>
    <t xml:space="preserve">TEA TIME OVEN GLOVE</t>
  </si>
  <si>
    <t xml:space="preserve">21154</t>
  </si>
  <si>
    <t xml:space="preserve">RED RETROSPOT OVEN GLOVE </t>
  </si>
  <si>
    <t xml:space="preserve">566268</t>
  </si>
  <si>
    <t xml:space="preserve">15056P</t>
  </si>
  <si>
    <t xml:space="preserve">EDWARDIAN PARASOL PINK</t>
  </si>
  <si>
    <t xml:space="preserve">20679</t>
  </si>
  <si>
    <t xml:space="preserve">EDWARDIAN PARASOL RED</t>
  </si>
  <si>
    <t xml:space="preserve">22189</t>
  </si>
  <si>
    <t xml:space="preserve">CREAM HEART CARD HOLDER</t>
  </si>
  <si>
    <t xml:space="preserve">23287</t>
  </si>
  <si>
    <t xml:space="preserve">RED VINTAGE SPOT BEAKER</t>
  </si>
  <si>
    <t xml:space="preserve">566492</t>
  </si>
  <si>
    <t xml:space="preserve">566586</t>
  </si>
  <si>
    <t xml:space="preserve">21977</t>
  </si>
  <si>
    <t xml:space="preserve">PACK OF 60 PINK PAISLEY CAKE CASES</t>
  </si>
  <si>
    <t xml:space="preserve">22737</t>
  </si>
  <si>
    <t xml:space="preserve">RIBBON REEL CHRISTMAS PRESENT </t>
  </si>
  <si>
    <t xml:space="preserve">22739</t>
  </si>
  <si>
    <t xml:space="preserve">RIBBON REEL CHRISTMAS SOCK BAUBLE</t>
  </si>
  <si>
    <t xml:space="preserve">566736</t>
  </si>
  <si>
    <t xml:space="preserve">21498</t>
  </si>
  <si>
    <t xml:space="preserve">RED RETROSPOT WRAP </t>
  </si>
  <si>
    <t xml:space="preserve">22082</t>
  </si>
  <si>
    <t xml:space="preserve">RIBBON REEL STRIPES DESIGN </t>
  </si>
  <si>
    <t xml:space="preserve">22080</t>
  </si>
  <si>
    <t xml:space="preserve">RIBBON REEL POLKADOTS </t>
  </si>
  <si>
    <t xml:space="preserve">22529</t>
  </si>
  <si>
    <t xml:space="preserve">MAGIC DRAWING SLATE GO TO THE FAIR </t>
  </si>
  <si>
    <t xml:space="preserve">22535</t>
  </si>
  <si>
    <t xml:space="preserve">MAGIC DRAWING SLATE BUNNIES </t>
  </si>
  <si>
    <t xml:space="preserve">22437</t>
  </si>
  <si>
    <t xml:space="preserve">SET OF 9 BLACK SKULL BALLOONS</t>
  </si>
  <si>
    <t xml:space="preserve">85175</t>
  </si>
  <si>
    <t xml:space="preserve">CACTI T-LIGHT CANDLES</t>
  </si>
  <si>
    <t xml:space="preserve">21679</t>
  </si>
  <si>
    <t xml:space="preserve">SKULLS  STICKERS</t>
  </si>
  <si>
    <t xml:space="preserve">21207</t>
  </si>
  <si>
    <t xml:space="preserve">SKULL AND CROSSBONES  GARLAND </t>
  </si>
  <si>
    <t xml:space="preserve">22544</t>
  </si>
  <si>
    <t xml:space="preserve">MINI JIGSAW SPACEBOY</t>
  </si>
  <si>
    <t xml:space="preserve">566739</t>
  </si>
  <si>
    <t xml:space="preserve">21231</t>
  </si>
  <si>
    <t xml:space="preserve">SWEETHEART CERAMIC TRINKET BOX</t>
  </si>
  <si>
    <t xml:space="preserve">22064</t>
  </si>
  <si>
    <t xml:space="preserve">PINK DOUGHNUT TRINKET POT </t>
  </si>
  <si>
    <t xml:space="preserve">22066</t>
  </si>
  <si>
    <t xml:space="preserve">LOVE HEART TRINKET POT</t>
  </si>
  <si>
    <t xml:space="preserve">22628</t>
  </si>
  <si>
    <t xml:space="preserve">PICNIC BOXES SET OF 3 RETROSPOT </t>
  </si>
  <si>
    <t xml:space="preserve">22915</t>
  </si>
  <si>
    <t xml:space="preserve">ASSORTED BOTTLE TOP  MAGNETS </t>
  </si>
  <si>
    <t xml:space="preserve">16156S</t>
  </si>
  <si>
    <t xml:space="preserve">WRAP PINK FAIRY CAKES </t>
  </si>
  <si>
    <t xml:space="preserve">22045</t>
  </si>
  <si>
    <t xml:space="preserve">SPACEBOY GIFT WRAP</t>
  </si>
  <si>
    <t xml:space="preserve">566816</t>
  </si>
  <si>
    <t xml:space="preserve">23008</t>
  </si>
  <si>
    <t xml:space="preserve">DOLLY GIRL BABY GIFT SET</t>
  </si>
  <si>
    <t xml:space="preserve">23007</t>
  </si>
  <si>
    <t xml:space="preserve"> SPACEBOY BABY GIFT SET</t>
  </si>
  <si>
    <t xml:space="preserve">23009</t>
  </si>
  <si>
    <t xml:space="preserve">I LOVE LONDON BABY GIFT SET</t>
  </si>
  <si>
    <t xml:space="preserve">23171</t>
  </si>
  <si>
    <t xml:space="preserve">REGENCY TEA PLATE GREEN </t>
  </si>
  <si>
    <t xml:space="preserve">22971</t>
  </si>
  <si>
    <t xml:space="preserve">QUEENS GUARD COFFEE MUG</t>
  </si>
  <si>
    <t xml:space="preserve">21524</t>
  </si>
  <si>
    <t xml:space="preserve">DOORMAT SPOTTY HOME SWEET HOME</t>
  </si>
  <si>
    <t xml:space="preserve">48138</t>
  </si>
  <si>
    <t xml:space="preserve">DOORMAT UNION FLAG</t>
  </si>
  <si>
    <t xml:space="preserve">22688</t>
  </si>
  <si>
    <t xml:space="preserve">DOORMAT PEACE ON EARTH BLUE</t>
  </si>
  <si>
    <t xml:space="preserve">22690</t>
  </si>
  <si>
    <t xml:space="preserve">DOORMAT HOME SWEET HOME BLUE </t>
  </si>
  <si>
    <t xml:space="preserve">23349</t>
  </si>
  <si>
    <t xml:space="preserve">ROLL WRAP VINTAGE CHRISTMAS</t>
  </si>
  <si>
    <t xml:space="preserve">23352</t>
  </si>
  <si>
    <t xml:space="preserve">ROLL WRAP 50'S RED CHRISTMAS </t>
  </si>
  <si>
    <t xml:space="preserve">84029G</t>
  </si>
  <si>
    <t xml:space="preserve">KNITTED UNION FLAG HOT WATER BOTTLE</t>
  </si>
  <si>
    <t xml:space="preserve">84029E</t>
  </si>
  <si>
    <t xml:space="preserve">RED WOOLLY HOTTIE WHITE HEART.</t>
  </si>
  <si>
    <t xml:space="preserve">21479</t>
  </si>
  <si>
    <t xml:space="preserve">WHITE SKULL HOT WATER BOTTLE </t>
  </si>
  <si>
    <t xml:space="preserve">23222</t>
  </si>
  <si>
    <t xml:space="preserve">CHRISTMAS TREE HANGING GOLD</t>
  </si>
  <si>
    <t xml:space="preserve">23224</t>
  </si>
  <si>
    <t xml:space="preserve">CHERUB HEART DECORATION GOLD</t>
  </si>
  <si>
    <t xml:space="preserve">566873</t>
  </si>
  <si>
    <t xml:space="preserve">23389</t>
  </si>
  <si>
    <t xml:space="preserve">SPACEBOY MINI BACKPACK</t>
  </si>
  <si>
    <t xml:space="preserve">23390</t>
  </si>
  <si>
    <t xml:space="preserve">DOLLY GIRL MINI BACKPACK</t>
  </si>
  <si>
    <t xml:space="preserve">23391</t>
  </si>
  <si>
    <t xml:space="preserve"> I LOVE LONDON MINI BACKPACK</t>
  </si>
  <si>
    <t xml:space="preserve">23388</t>
  </si>
  <si>
    <t xml:space="preserve">WOODLAND MINI BACKPACK</t>
  </si>
  <si>
    <t xml:space="preserve">566918</t>
  </si>
  <si>
    <t xml:space="preserve">35599B</t>
  </si>
  <si>
    <t xml:space="preserve">BLACK CHRISTMAS TREE 120CM</t>
  </si>
  <si>
    <t xml:space="preserve">48194</t>
  </si>
  <si>
    <t xml:space="preserve">DOORMAT HEARTS</t>
  </si>
  <si>
    <t xml:space="preserve">C566960</t>
  </si>
  <si>
    <t xml:space="preserve">566984</t>
  </si>
  <si>
    <t xml:space="preserve">23316</t>
  </si>
  <si>
    <t xml:space="preserve">RED REFECTORY CLOCK </t>
  </si>
  <si>
    <t xml:space="preserve">23158</t>
  </si>
  <si>
    <t xml:space="preserve">SET OF 5 LUCKY CAT MAGNETS </t>
  </si>
  <si>
    <t xml:space="preserve">23175</t>
  </si>
  <si>
    <t xml:space="preserve">REGENCY MILK JUG PINK </t>
  </si>
  <si>
    <t xml:space="preserve">23424</t>
  </si>
  <si>
    <t xml:space="preserve">GINGHAM RECIPE BOOK BOX</t>
  </si>
  <si>
    <t xml:space="preserve">23559</t>
  </si>
  <si>
    <t xml:space="preserve">WOODLAND BUNNIES LOLLY MAKERS</t>
  </si>
  <si>
    <t xml:space="preserve">23375</t>
  </si>
  <si>
    <t xml:space="preserve">50'S CHRISTMAS PAPER GIFT BAG</t>
  </si>
  <si>
    <t xml:space="preserve">C566986</t>
  </si>
  <si>
    <t xml:space="preserve">84663A</t>
  </si>
  <si>
    <t xml:space="preserve">GRASS HOPPER WOODEN WALL CLOCK </t>
  </si>
  <si>
    <t xml:space="preserve">566987</t>
  </si>
  <si>
    <t xml:space="preserve">23165</t>
  </si>
  <si>
    <t xml:space="preserve">LARGE CERAMIC TOP STORAGE JAR</t>
  </si>
  <si>
    <t xml:space="preserve">23018</t>
  </si>
  <si>
    <t xml:space="preserve">LARGE APOTHECARY MEASURING JAR </t>
  </si>
  <si>
    <t xml:space="preserve">23202</t>
  </si>
  <si>
    <t xml:space="preserve">JUMBO BAG VINTAGE LEAF</t>
  </si>
  <si>
    <t xml:space="preserve">C567091</t>
  </si>
  <si>
    <t xml:space="preserve">567134</t>
  </si>
  <si>
    <t xml:space="preserve">20718</t>
  </si>
  <si>
    <t xml:space="preserve">RED RETROSPOT SHOPPER BAG</t>
  </si>
  <si>
    <t xml:space="preserve">C567147</t>
  </si>
  <si>
    <t xml:space="preserve">C567187</t>
  </si>
  <si>
    <t xml:space="preserve">22383</t>
  </si>
  <si>
    <t xml:space="preserve">LUNCH BAG SUKI DESIGN </t>
  </si>
  <si>
    <t xml:space="preserve">567191</t>
  </si>
  <si>
    <t xml:space="preserve">21394</t>
  </si>
  <si>
    <t xml:space="preserve">RED POLKADOT BEAKER </t>
  </si>
  <si>
    <t xml:space="preserve">22355</t>
  </si>
  <si>
    <t xml:space="preserve">CHARLOTTE BAG SUKI DESIGN</t>
  </si>
  <si>
    <t xml:space="preserve">23286</t>
  </si>
  <si>
    <t xml:space="preserve">BLUE VINTAGE SPOT BEAKER</t>
  </si>
  <si>
    <t xml:space="preserve">22466</t>
  </si>
  <si>
    <t xml:space="preserve">FAIRY TALE COTTAGE NIGHT LIGHT</t>
  </si>
  <si>
    <t xml:space="preserve">567291</t>
  </si>
  <si>
    <t xml:space="preserve">22222</t>
  </si>
  <si>
    <t xml:space="preserve">CAKE PLATE LOVEBIRD WHITE</t>
  </si>
  <si>
    <t xml:space="preserve">23319</t>
  </si>
  <si>
    <t xml:space="preserve">BOX OF 6 MINI 50'S CRACKERS</t>
  </si>
  <si>
    <t xml:space="preserve">567293</t>
  </si>
  <si>
    <t xml:space="preserve">21535</t>
  </si>
  <si>
    <t xml:space="preserve">RED RETROSPOT SMALL MILK JUG</t>
  </si>
  <si>
    <t xml:space="preserve">21531</t>
  </si>
  <si>
    <t xml:space="preserve">RED RETROSPOT SUGAR JAM BOWL</t>
  </si>
  <si>
    <t xml:space="preserve">22072</t>
  </si>
  <si>
    <t xml:space="preserve">RED RETROSPOT TEA CUP AND SAUCER </t>
  </si>
  <si>
    <t xml:space="preserve">22348</t>
  </si>
  <si>
    <t xml:space="preserve">TEA BAG PLATE RED RETROSPOT</t>
  </si>
  <si>
    <t xml:space="preserve">23174</t>
  </si>
  <si>
    <t xml:space="preserve">REGENCY SUGAR BOWL GREEN</t>
  </si>
  <si>
    <t xml:space="preserve">22847</t>
  </si>
  <si>
    <t xml:space="preserve">BREAD BIN DINER STYLE IVORY</t>
  </si>
  <si>
    <t xml:space="preserve">22645</t>
  </si>
  <si>
    <t xml:space="preserve">CERAMIC HEART FAIRY CAKE MONEY BANK</t>
  </si>
  <si>
    <t xml:space="preserve">21703</t>
  </si>
  <si>
    <t xml:space="preserve">BAG 125g SWIRLY MARBLES</t>
  </si>
  <si>
    <t xml:space="preserve">21889</t>
  </si>
  <si>
    <t xml:space="preserve">WOODEN BOX OF DOMINOES</t>
  </si>
  <si>
    <t xml:space="preserve">22619</t>
  </si>
  <si>
    <t xml:space="preserve">SET OF 6 SOLDIER SKITTLES</t>
  </si>
  <si>
    <t xml:space="preserve">23101</t>
  </si>
  <si>
    <t xml:space="preserve">SILVER STARS TABLE DECORATION</t>
  </si>
  <si>
    <t xml:space="preserve">22192</t>
  </si>
  <si>
    <t xml:space="preserve">BLUE DINER WALL CLOCK</t>
  </si>
  <si>
    <t xml:space="preserve">22191</t>
  </si>
  <si>
    <t xml:space="preserve">IVORY DINER WALL CLOCK</t>
  </si>
  <si>
    <t xml:space="preserve">22193</t>
  </si>
  <si>
    <t xml:space="preserve">RED DINER WALL CLOCK</t>
  </si>
  <si>
    <t xml:space="preserve">23160</t>
  </si>
  <si>
    <t xml:space="preserve">REGENCY TEA SPOON</t>
  </si>
  <si>
    <t xml:space="preserve">23161</t>
  </si>
  <si>
    <t xml:space="preserve">REGENCY CAKE FORK</t>
  </si>
  <si>
    <t xml:space="preserve">23164</t>
  </si>
  <si>
    <t xml:space="preserve">REGENCY CAKE SLICE</t>
  </si>
  <si>
    <t xml:space="preserve">22785</t>
  </si>
  <si>
    <t xml:space="preserve">SQUARECUSHION COVER PINK UNION JACK</t>
  </si>
  <si>
    <t xml:space="preserve">21622</t>
  </si>
  <si>
    <t xml:space="preserve">VINTAGE UNION JACK CUSHION COVER</t>
  </si>
  <si>
    <t xml:space="preserve">22207</t>
  </si>
  <si>
    <t xml:space="preserve">FRYING PAN UNION FLAG</t>
  </si>
  <si>
    <t xml:space="preserve">22377</t>
  </si>
  <si>
    <t xml:space="preserve">BOTTLE BAG RETROSPOT </t>
  </si>
  <si>
    <t xml:space="preserve">22379</t>
  </si>
  <si>
    <t xml:space="preserve">RECYCLING BAG RETROSPOT </t>
  </si>
  <si>
    <t xml:space="preserve">23343</t>
  </si>
  <si>
    <t xml:space="preserve">JUMBO BAG VINTAGE CHRISTMAS </t>
  </si>
  <si>
    <t xml:space="preserve">567296</t>
  </si>
  <si>
    <t xml:space="preserve">15056BL</t>
  </si>
  <si>
    <t xml:space="preserve">EDWARDIAN PARASOL BLACK</t>
  </si>
  <si>
    <t xml:space="preserve">23427</t>
  </si>
  <si>
    <t xml:space="preserve">STOOL HOME SWEET HOME </t>
  </si>
  <si>
    <t xml:space="preserve">23397</t>
  </si>
  <si>
    <t xml:space="preserve">FOOT STOOL HOME SWEET HOME </t>
  </si>
  <si>
    <t xml:space="preserve">23411</t>
  </si>
  <si>
    <t xml:space="preserve"> TRELLIS COAT RACK</t>
  </si>
  <si>
    <t xml:space="preserve">22998</t>
  </si>
  <si>
    <t xml:space="preserve">TRAVEL CARD WALLET KEEP CALM</t>
  </si>
  <si>
    <t xml:space="preserve">23004</t>
  </si>
  <si>
    <t xml:space="preserve">TRAVEL CARD WALLET PANTRY</t>
  </si>
  <si>
    <t xml:space="preserve">567298</t>
  </si>
  <si>
    <t xml:space="preserve">16161U</t>
  </si>
  <si>
    <t xml:space="preserve">WRAP SUKI AND FRIENDS</t>
  </si>
  <si>
    <t xml:space="preserve">22985</t>
  </si>
  <si>
    <t xml:space="preserve">WRAP BILLBOARD FONTS DESIGN</t>
  </si>
  <si>
    <t xml:space="preserve">21497</t>
  </si>
  <si>
    <t xml:space="preserve">FANCY FONTS BIRTHDAY WRAP</t>
  </si>
  <si>
    <t xml:space="preserve">21499</t>
  </si>
  <si>
    <t xml:space="preserve">BLUE POLKADOT WRAP</t>
  </si>
  <si>
    <t xml:space="preserve">21495</t>
  </si>
  <si>
    <t xml:space="preserve">SKULLS AND CROSSBONES WRAP</t>
  </si>
  <si>
    <t xml:space="preserve">567300</t>
  </si>
  <si>
    <t xml:space="preserve">22121</t>
  </si>
  <si>
    <t xml:space="preserve">NOEL WOODEN BLOCK LETTERS </t>
  </si>
  <si>
    <t xml:space="preserve">23392</t>
  </si>
  <si>
    <t xml:space="preserve">SPACEBOY ROCKET LOLLY MAKERS</t>
  </si>
  <si>
    <t xml:space="preserve">21561</t>
  </si>
  <si>
    <t xml:space="preserve">DINOSAUR LUNCH BOX WITH CUTLERY</t>
  </si>
  <si>
    <t xml:space="preserve">567305</t>
  </si>
  <si>
    <t xml:space="preserve">21209</t>
  </si>
  <si>
    <t xml:space="preserve">MULTICOLOUR HONEYCOMB FAN</t>
  </si>
  <si>
    <t xml:space="preserve">567336</t>
  </si>
  <si>
    <t xml:space="preserve">23374</t>
  </si>
  <si>
    <t xml:space="preserve">RED SPOT PAPER GIFT BAG</t>
  </si>
  <si>
    <t xml:space="preserve">23438</t>
  </si>
  <si>
    <t xml:space="preserve"> RED SPOT GIFT BAG LARGE</t>
  </si>
  <si>
    <t xml:space="preserve">22580</t>
  </si>
  <si>
    <t xml:space="preserve">ADVENT CALENDAR GINGHAM SACK</t>
  </si>
  <si>
    <t xml:space="preserve">22734</t>
  </si>
  <si>
    <t xml:space="preserve">SET OF 6 RIBBONS VINTAGE CHRISTMAS</t>
  </si>
  <si>
    <t xml:space="preserve">567380</t>
  </si>
  <si>
    <t xml:space="preserve">21262</t>
  </si>
  <si>
    <t xml:space="preserve">WHITE GOOSE FEATHER CHRISTMAS TREE </t>
  </si>
  <si>
    <t xml:space="preserve">21845</t>
  </si>
  <si>
    <t xml:space="preserve">DAIRY MAID STRIPE MUG</t>
  </si>
  <si>
    <t xml:space="preserve">23187</t>
  </si>
  <si>
    <t xml:space="preserve">FRENCH STYLE STORAGE JAR BONBONS</t>
  </si>
  <si>
    <t xml:space="preserve">47504K</t>
  </si>
  <si>
    <t xml:space="preserve">ENGLISH ROSE GARDEN SECATEURS</t>
  </si>
  <si>
    <t xml:space="preserve">22969</t>
  </si>
  <si>
    <t xml:space="preserve">HOMEMADE JAM SCENTED CANDLES</t>
  </si>
  <si>
    <t xml:space="preserve">85159B</t>
  </si>
  <si>
    <t xml:space="preserve">WHITE TEA,COFFEE,SUGAR JARS</t>
  </si>
  <si>
    <t xml:space="preserve">21217</t>
  </si>
  <si>
    <t xml:space="preserve">RED RETROSPOT ROUND CAKE TINS</t>
  </si>
  <si>
    <t xml:space="preserve">21533</t>
  </si>
  <si>
    <t xml:space="preserve">RETROSPOT LARGE MILK JUG</t>
  </si>
  <si>
    <t xml:space="preserve">21039</t>
  </si>
  <si>
    <t xml:space="preserve">RED RETROSPOT SHOPPING BAG</t>
  </si>
  <si>
    <t xml:space="preserve">20728</t>
  </si>
  <si>
    <t xml:space="preserve">LUNCH BAG CARS BLUE</t>
  </si>
  <si>
    <t xml:space="preserve">20674</t>
  </si>
  <si>
    <t xml:space="preserve">GREEN POLKADOT BOWL</t>
  </si>
  <si>
    <t xml:space="preserve">20677</t>
  </si>
  <si>
    <t xml:space="preserve">PINK POLKADOT BOWL</t>
  </si>
  <si>
    <t xml:space="preserve">23288</t>
  </si>
  <si>
    <t xml:space="preserve">GREEN VINTAGE SPOT BEAKER</t>
  </si>
  <si>
    <t xml:space="preserve">23574</t>
  </si>
  <si>
    <t xml:space="preserve">PACKING CHARGE</t>
  </si>
  <si>
    <t xml:space="preserve">567512</t>
  </si>
  <si>
    <t xml:space="preserve">22621</t>
  </si>
  <si>
    <t xml:space="preserve">TRADITIONAL KNITTING NANCY</t>
  </si>
  <si>
    <t xml:space="preserve">C567519</t>
  </si>
  <si>
    <t xml:space="preserve">567552</t>
  </si>
  <si>
    <t xml:space="preserve">23169</t>
  </si>
  <si>
    <t xml:space="preserve">CLASSIC GLASS COOKIE JAR</t>
  </si>
  <si>
    <t xml:space="preserve">23373</t>
  </si>
  <si>
    <t xml:space="preserve">VINTAGE CHRISTMAS PAPER GIFT BAG</t>
  </si>
  <si>
    <t xml:space="preserve">22778</t>
  </si>
  <si>
    <t xml:space="preserve">GLASS CLOCHE SMALL</t>
  </si>
  <si>
    <t xml:space="preserve">567578</t>
  </si>
  <si>
    <t xml:space="preserve">22149</t>
  </si>
  <si>
    <t xml:space="preserve">FELTCRAFT 6 FLOWER FRIENDS</t>
  </si>
  <si>
    <t xml:space="preserve">21975</t>
  </si>
  <si>
    <t xml:space="preserve">PACK OF 60 DINOSAUR CAKE CASES</t>
  </si>
  <si>
    <t xml:space="preserve">21708</t>
  </si>
  <si>
    <t xml:space="preserve">FOLDING UMBRELLA CREAM POLKADOT</t>
  </si>
  <si>
    <t xml:space="preserve">23545</t>
  </si>
  <si>
    <t xml:space="preserve">WRAP RED VINTAGE DOILY</t>
  </si>
  <si>
    <t xml:space="preserve">15034</t>
  </si>
  <si>
    <t xml:space="preserve">PAPER POCKET TRAVELING FAN </t>
  </si>
  <si>
    <t xml:space="preserve">21993</t>
  </si>
  <si>
    <t xml:space="preserve">FLORAL FOLK STATIONERY SET</t>
  </si>
  <si>
    <t xml:space="preserve">21218</t>
  </si>
  <si>
    <t xml:space="preserve">RED SPOTTY BISCUIT TIN</t>
  </si>
  <si>
    <t xml:space="preserve">16014</t>
  </si>
  <si>
    <t xml:space="preserve">SMALL CHINESE STYLE SCISSOR</t>
  </si>
  <si>
    <t xml:space="preserve">22278</t>
  </si>
  <si>
    <t xml:space="preserve">OVERNIGHT BAG VINTAGE ROSE PAISLEY</t>
  </si>
  <si>
    <t xml:space="preserve">23551</t>
  </si>
  <si>
    <t xml:space="preserve">PACK OF 12 PAISLEY PARK TISSUES </t>
  </si>
  <si>
    <t xml:space="preserve">567618</t>
  </si>
  <si>
    <t xml:space="preserve">22708</t>
  </si>
  <si>
    <t xml:space="preserve">WRAP DOLLY GIRL</t>
  </si>
  <si>
    <t xml:space="preserve">22046</t>
  </si>
  <si>
    <t xml:space="preserve">TEA PARTY  WRAPPING PAPER </t>
  </si>
  <si>
    <t xml:space="preserve">22986</t>
  </si>
  <si>
    <t xml:space="preserve">WRAP GINGHAM ROSE </t>
  </si>
  <si>
    <t xml:space="preserve">16161P</t>
  </si>
  <si>
    <t xml:space="preserve">WRAP ENGLISH ROSE </t>
  </si>
  <si>
    <t xml:space="preserve">84992</t>
  </si>
  <si>
    <t xml:space="preserve">72 SWEETHEART FAIRY CAKE CASES</t>
  </si>
  <si>
    <t xml:space="preserve">47599A</t>
  </si>
  <si>
    <t xml:space="preserve">PINK PARTY BAGS</t>
  </si>
  <si>
    <t xml:space="preserve">567640</t>
  </si>
  <si>
    <t xml:space="preserve">47591D</t>
  </si>
  <si>
    <t xml:space="preserve">PINK FAIRY CAKE CHILDRENS APRON</t>
  </si>
  <si>
    <t xml:space="preserve">567657</t>
  </si>
  <si>
    <t xml:space="preserve">22866</t>
  </si>
  <si>
    <t xml:space="preserve">HAND WARMER SCOTTY DOG DESIGN</t>
  </si>
  <si>
    <t xml:space="preserve">22776</t>
  </si>
  <si>
    <t xml:space="preserve">SWEETHEART 3 TIER CAKE STAND </t>
  </si>
  <si>
    <t xml:space="preserve">23147</t>
  </si>
  <si>
    <t xml:space="preserve">SINGLE ANTIQUE ROSE HOOK IVORY</t>
  </si>
  <si>
    <t xml:space="preserve">567666</t>
  </si>
  <si>
    <t xml:space="preserve">51014A</t>
  </si>
  <si>
    <t xml:space="preserve">FEATHER PEN,HOT PINK</t>
  </si>
  <si>
    <t xml:space="preserve">51014C</t>
  </si>
  <si>
    <t xml:space="preserve">FEATHER PEN,COAL BLACK</t>
  </si>
  <si>
    <t xml:space="preserve">51014L</t>
  </si>
  <si>
    <t xml:space="preserve">FEATHER PEN,LIGHT PINK</t>
  </si>
  <si>
    <t xml:space="preserve">23313</t>
  </si>
  <si>
    <t xml:space="preserve">VINTAGE CHRISTMAS BUNTING</t>
  </si>
  <si>
    <t xml:space="preserve">35599D</t>
  </si>
  <si>
    <t xml:space="preserve">PINK AND WHITE CHRISTMAS TREE 120CM</t>
  </si>
  <si>
    <t xml:space="preserve">23189</t>
  </si>
  <si>
    <t xml:space="preserve">SET OF 12 FORK CANDLES</t>
  </si>
  <si>
    <t xml:space="preserve">35471D</t>
  </si>
  <si>
    <t xml:space="preserve">SET OF 3 BIRD LIGHT PINK FEATHER </t>
  </si>
  <si>
    <t xml:space="preserve">22900</t>
  </si>
  <si>
    <t xml:space="preserve">SET 2 TEA TOWELS I LOVE LONDON </t>
  </si>
  <si>
    <t xml:space="preserve">22476</t>
  </si>
  <si>
    <t xml:space="preserve">EMPIRE UNION JACK TV DINNER TRAY</t>
  </si>
  <si>
    <t xml:space="preserve">22816</t>
  </si>
  <si>
    <t xml:space="preserve">CARD MOTORBIKE SANTA</t>
  </si>
  <si>
    <t xml:space="preserve">21673</t>
  </si>
  <si>
    <t xml:space="preserve">WHITE SPOT BLUE CERAMIC DRAWER KNOB</t>
  </si>
  <si>
    <t xml:space="preserve">567756</t>
  </si>
  <si>
    <t xml:space="preserve">567793</t>
  </si>
  <si>
    <t xml:space="preserve">23309</t>
  </si>
  <si>
    <t xml:space="preserve">SET OF 60 I LOVE LONDON CAKE CASES </t>
  </si>
  <si>
    <t xml:space="preserve">23163</t>
  </si>
  <si>
    <t xml:space="preserve">REGENCY SUGAR TONGS</t>
  </si>
  <si>
    <t xml:space="preserve">22710</t>
  </si>
  <si>
    <t xml:space="preserve">WRAP I LOVE LONDON </t>
  </si>
  <si>
    <t xml:space="preserve">22988</t>
  </si>
  <si>
    <t xml:space="preserve">SOLDIERS EGG CUP </t>
  </si>
  <si>
    <t xml:space="preserve">22485</t>
  </si>
  <si>
    <t xml:space="preserve">SET OF 2 WOODEN MARKET CRATES</t>
  </si>
  <si>
    <t xml:space="preserve">22784</t>
  </si>
  <si>
    <t xml:space="preserve">LANTERN CREAM GAZEBO </t>
  </si>
  <si>
    <t xml:space="preserve">21326</t>
  </si>
  <si>
    <t xml:space="preserve">AGED GLASS SILVER T-LIGHT HOLDER</t>
  </si>
  <si>
    <t xml:space="preserve">21174</t>
  </si>
  <si>
    <t xml:space="preserve">POTTERING IN THE SHED METAL SIGN</t>
  </si>
  <si>
    <t xml:space="preserve">21166</t>
  </si>
  <si>
    <t xml:space="preserve">COOK WITH WINE METAL SIGN </t>
  </si>
  <si>
    <t xml:space="preserve">22721</t>
  </si>
  <si>
    <t xml:space="preserve">SET OF 3 CAKE TINS SKETCHBOOK</t>
  </si>
  <si>
    <t xml:space="preserve">22897</t>
  </si>
  <si>
    <t xml:space="preserve">OVEN MITT APPLES DESIGN</t>
  </si>
  <si>
    <t xml:space="preserve">567904</t>
  </si>
  <si>
    <t xml:space="preserve">22505</t>
  </si>
  <si>
    <t xml:space="preserve">MEMO BOARD COTTAGE DESIGN</t>
  </si>
  <si>
    <t xml:space="preserve">21755</t>
  </si>
  <si>
    <t xml:space="preserve">LOVE BUILDING BLOCK WORD</t>
  </si>
  <si>
    <t xml:space="preserve">21754</t>
  </si>
  <si>
    <t xml:space="preserve">HOME BUILDING BLOCK WORD</t>
  </si>
  <si>
    <t xml:space="preserve">23421</t>
  </si>
  <si>
    <t xml:space="preserve">PANTRY HOOK SPATULA</t>
  </si>
  <si>
    <t xml:space="preserve">23422</t>
  </si>
  <si>
    <t xml:space="preserve">PANTRY HOOK BALLOON WHISK </t>
  </si>
  <si>
    <t xml:space="preserve">85183A</t>
  </si>
  <si>
    <t xml:space="preserve">CHARLIE &amp; LOLA WASTEPAPER BIN BLUE</t>
  </si>
  <si>
    <t xml:space="preserve">567910</t>
  </si>
  <si>
    <t xml:space="preserve">22435</t>
  </si>
  <si>
    <t xml:space="preserve">SET OF 9 HEART SHAPED BALLOONS</t>
  </si>
  <si>
    <t xml:space="preserve">22090</t>
  </si>
  <si>
    <t xml:space="preserve">PAPER BUNTING RETROSPOT</t>
  </si>
  <si>
    <t xml:space="preserve">567914</t>
  </si>
  <si>
    <t xml:space="preserve">23113</t>
  </si>
  <si>
    <t xml:space="preserve">PANTRY CHOPPING BOARD</t>
  </si>
  <si>
    <t xml:space="preserve">567915</t>
  </si>
  <si>
    <t xml:space="preserve">20665</t>
  </si>
  <si>
    <t xml:space="preserve">RED RETROSPOT PURSE </t>
  </si>
  <si>
    <t xml:space="preserve">20686</t>
  </si>
  <si>
    <t xml:space="preserve">DOLLY MIXTURE CHILDREN'S UMBRELLA</t>
  </si>
  <si>
    <t xml:space="preserve">62018</t>
  </si>
  <si>
    <t xml:space="preserve">SOMBRERO </t>
  </si>
  <si>
    <t xml:space="preserve">16156L</t>
  </si>
  <si>
    <t xml:space="preserve">WRAP CAROUSEL</t>
  </si>
  <si>
    <t xml:space="preserve">22526</t>
  </si>
  <si>
    <t xml:space="preserve">WHEELBARROW FOR CHILDREN </t>
  </si>
  <si>
    <t xml:space="preserve">21746</t>
  </si>
  <si>
    <t xml:space="preserve">SMALL RED RETROSPOT WINDMILL</t>
  </si>
  <si>
    <t xml:space="preserve">22432</t>
  </si>
  <si>
    <t xml:space="preserve">WATERING CAN PINK BUNNY</t>
  </si>
  <si>
    <t xml:space="preserve">21244</t>
  </si>
  <si>
    <t xml:space="preserve">BLUE POLKADOT PLATE </t>
  </si>
  <si>
    <t xml:space="preserve">21240</t>
  </si>
  <si>
    <t xml:space="preserve">BLUE POLKADOT CUP</t>
  </si>
  <si>
    <t xml:space="preserve">C567916</t>
  </si>
  <si>
    <t xml:space="preserve">567924</t>
  </si>
  <si>
    <t xml:space="preserve">22813</t>
  </si>
  <si>
    <t xml:space="preserve">PACK 3 BOXES BIRD PANNETONE </t>
  </si>
  <si>
    <t xml:space="preserve">22741</t>
  </si>
  <si>
    <t xml:space="preserve">FUNKY DIVA PEN</t>
  </si>
  <si>
    <t xml:space="preserve">567958</t>
  </si>
  <si>
    <t xml:space="preserve">21817</t>
  </si>
  <si>
    <t xml:space="preserve">GLITTER CHRISTMAS TREE</t>
  </si>
  <si>
    <t xml:space="preserve">21014</t>
  </si>
  <si>
    <t xml:space="preserve">SWISS CHALET TREE DECORATION </t>
  </si>
  <si>
    <t xml:space="preserve">35954</t>
  </si>
  <si>
    <t xml:space="preserve">SMALL FOLKART STAR CHRISTMAS DEC</t>
  </si>
  <si>
    <t xml:space="preserve">21974</t>
  </si>
  <si>
    <t xml:space="preserve">SET OF 36 PAISLEY FLOWER DOILIES</t>
  </si>
  <si>
    <t xml:space="preserve">567959</t>
  </si>
  <si>
    <t xml:space="preserve">22945</t>
  </si>
  <si>
    <t xml:space="preserve">CHRISTMAS METAL TAGS ASSORTED </t>
  </si>
  <si>
    <t xml:space="preserve">22952</t>
  </si>
  <si>
    <t xml:space="preserve">60 CAKE CASES VINTAGE CHRISTMAS</t>
  </si>
  <si>
    <t xml:space="preserve">44242B</t>
  </si>
  <si>
    <t xml:space="preserve">PINK FEATHERS CURTAIN</t>
  </si>
  <si>
    <t xml:space="preserve">85032D</t>
  </si>
  <si>
    <t xml:space="preserve">YULETIDE IMAGES GIFT WRAP SET</t>
  </si>
  <si>
    <t xml:space="preserve">85099B</t>
  </si>
  <si>
    <t xml:space="preserve">JUMBO BAG RED RETROSPOT</t>
  </si>
  <si>
    <t xml:space="preserve">85099F</t>
  </si>
  <si>
    <t xml:space="preserve">JUMBO BAG STRAWBERRY</t>
  </si>
  <si>
    <t xml:space="preserve">22411</t>
  </si>
  <si>
    <t xml:space="preserve">JUMBO SHOPPER VINTAGE RED PAISLEY</t>
  </si>
  <si>
    <t xml:space="preserve">568040</t>
  </si>
  <si>
    <t xml:space="preserve">21137</t>
  </si>
  <si>
    <t xml:space="preserve">BLACK RECORD COVER FRAME</t>
  </si>
  <si>
    <t xml:space="preserve">22904</t>
  </si>
  <si>
    <t xml:space="preserve">CALENDAR PAPER CUT DESIGN</t>
  </si>
  <si>
    <t xml:space="preserve">22312</t>
  </si>
  <si>
    <t xml:space="preserve">OFFICE MUG WARMER POLKADOT</t>
  </si>
  <si>
    <t xml:space="preserve">22314</t>
  </si>
  <si>
    <t xml:space="preserve">OFFICE MUG WARMER CHOC+BLUE</t>
  </si>
  <si>
    <t xml:space="preserve">22652</t>
  </si>
  <si>
    <t xml:space="preserve">TRAVEL SEWING KIT</t>
  </si>
  <si>
    <t xml:space="preserve">22301</t>
  </si>
  <si>
    <t xml:space="preserve">COFFEE MUG CAT + BIRD DESIGN</t>
  </si>
  <si>
    <t xml:space="preserve">23168</t>
  </si>
  <si>
    <t xml:space="preserve">CLASSIC CAFE SUGAR DISPENSER</t>
  </si>
  <si>
    <t xml:space="preserve">22616</t>
  </si>
  <si>
    <t xml:space="preserve">PACK OF 12 LONDON TISSUES </t>
  </si>
  <si>
    <t xml:space="preserve">21544</t>
  </si>
  <si>
    <t xml:space="preserve">SKULLS  WATER TRANSFER TATTOOS </t>
  </si>
  <si>
    <t xml:space="preserve">568056</t>
  </si>
  <si>
    <t xml:space="preserve">21786</t>
  </si>
  <si>
    <t xml:space="preserve">POLKADOT RAIN HAT </t>
  </si>
  <si>
    <t xml:space="preserve">23550</t>
  </si>
  <si>
    <t xml:space="preserve">WRAP ALPHABET POSTER  </t>
  </si>
  <si>
    <t xml:space="preserve">21669</t>
  </si>
  <si>
    <t xml:space="preserve">BLUE STRIPE CERAMIC DRAWER KNOB</t>
  </si>
  <si>
    <t xml:space="preserve">85049E</t>
  </si>
  <si>
    <t xml:space="preserve">SCANDINAVIAN REDS RIBBONS</t>
  </si>
  <si>
    <t xml:space="preserve">23355</t>
  </si>
  <si>
    <t xml:space="preserve">HOT WATER BOTTLE KEEP CALM</t>
  </si>
  <si>
    <t xml:space="preserve">568103</t>
  </si>
  <si>
    <t xml:space="preserve">22220</t>
  </si>
  <si>
    <t xml:space="preserve">CAKE STAND LOVEBIRD 2 TIER WHITE</t>
  </si>
  <si>
    <t xml:space="preserve">22636</t>
  </si>
  <si>
    <t xml:space="preserve">CHILDS BREAKFAST SET CIRCUS PARADE</t>
  </si>
  <si>
    <t xml:space="preserve">22487</t>
  </si>
  <si>
    <t xml:space="preserve">WHITE WOOD GARDEN PLANT LADDER</t>
  </si>
  <si>
    <t xml:space="preserve">21243</t>
  </si>
  <si>
    <t xml:space="preserve">PINK  POLKADOT PLATE </t>
  </si>
  <si>
    <t xml:space="preserve">568137</t>
  </si>
  <si>
    <t xml:space="preserve">22175</t>
  </si>
  <si>
    <t xml:space="preserve">PINK OWL SOFT TOY</t>
  </si>
  <si>
    <t xml:space="preserve">22176</t>
  </si>
  <si>
    <t xml:space="preserve">BLUE OWL SOFT TOY</t>
  </si>
  <si>
    <t xml:space="preserve">22139</t>
  </si>
  <si>
    <t xml:space="preserve">RETROSPOT TEA SET CERAMIC 11 PC </t>
  </si>
  <si>
    <t xml:space="preserve">22747</t>
  </si>
  <si>
    <t xml:space="preserve">POPPY'S PLAYHOUSE BATHROOM</t>
  </si>
  <si>
    <t xml:space="preserve">22746</t>
  </si>
  <si>
    <t xml:space="preserve">POPPY'S PLAYHOUSE LIVINGROOM </t>
  </si>
  <si>
    <t xml:space="preserve">21090</t>
  </si>
  <si>
    <t xml:space="preserve">SET/6 COLLAGE PAPER PLATES</t>
  </si>
  <si>
    <t xml:space="preserve">21084</t>
  </si>
  <si>
    <t xml:space="preserve">SET/6 COLLAGE PAPER CUPS</t>
  </si>
  <si>
    <t xml:space="preserve">22468</t>
  </si>
  <si>
    <t xml:space="preserve">BABUSHKA LIGHTS STRING OF 10</t>
  </si>
  <si>
    <t xml:space="preserve">22179</t>
  </si>
  <si>
    <t xml:space="preserve">SET 10 NIGHT OWL LIGHTS</t>
  </si>
  <si>
    <t xml:space="preserve">22779</t>
  </si>
  <si>
    <t xml:space="preserve">WOODEN OWLS LIGHT GARLAND </t>
  </si>
  <si>
    <t xml:space="preserve">568176</t>
  </si>
  <si>
    <t xml:space="preserve">23372</t>
  </si>
  <si>
    <t xml:space="preserve">SET 36 COLOUR PENCILS DOLLY GIRL</t>
  </si>
  <si>
    <t xml:space="preserve">85015</t>
  </si>
  <si>
    <t xml:space="preserve">SET OF 12  VINTAGE POSTCARD SET</t>
  </si>
  <si>
    <t xml:space="preserve">21739</t>
  </si>
  <si>
    <t xml:space="preserve">COSY SLIPPER SHOES SMALL GREEN</t>
  </si>
  <si>
    <t xml:space="preserve">22722</t>
  </si>
  <si>
    <t xml:space="preserve">SET OF 6 SPICE TINS PANTRY DESIGN</t>
  </si>
  <si>
    <t xml:space="preserve">C568244</t>
  </si>
  <si>
    <t xml:space="preserve">568350</t>
  </si>
  <si>
    <t xml:space="preserve">90160A</t>
  </si>
  <si>
    <t xml:space="preserve">PURPLE BOUDICCA LARGE BRACELET</t>
  </si>
  <si>
    <t xml:space="preserve">90160D</t>
  </si>
  <si>
    <t xml:space="preserve">PINK BOUDICCA LARGE BRACELET</t>
  </si>
  <si>
    <t xml:space="preserve">90160B</t>
  </si>
  <si>
    <t xml:space="preserve">RED BOUDICCA LARGE BRACELET</t>
  </si>
  <si>
    <t xml:space="preserve">90160C</t>
  </si>
  <si>
    <t xml:space="preserve">TURQ+RED BOUDICCA LARGE BRACELET</t>
  </si>
  <si>
    <t xml:space="preserve">90161B</t>
  </si>
  <si>
    <t xml:space="preserve">ANT COPPER TURQ BOUDICCA BRACELET</t>
  </si>
  <si>
    <t xml:space="preserve">90161C</t>
  </si>
  <si>
    <t xml:space="preserve">ANT COPPER LIME BOUDICCA BRACELET</t>
  </si>
  <si>
    <t xml:space="preserve">90161D</t>
  </si>
  <si>
    <t xml:space="preserve">ANT COPPER PINK BOUDICCA BRACELET</t>
  </si>
  <si>
    <t xml:space="preserve">90201B</t>
  </si>
  <si>
    <t xml:space="preserve">BLACK ENAMEL FLOWER RING</t>
  </si>
  <si>
    <t xml:space="preserve">90201D</t>
  </si>
  <si>
    <t xml:space="preserve">GREEN ENAMEL FLOWER RING</t>
  </si>
  <si>
    <t xml:space="preserve">90201A</t>
  </si>
  <si>
    <t xml:space="preserve">PURPLE ENAMEL FLOWER RING</t>
  </si>
  <si>
    <t xml:space="preserve">90201C</t>
  </si>
  <si>
    <t xml:space="preserve">RED ENAMEL FLOWER RING</t>
  </si>
  <si>
    <t xml:space="preserve">17003</t>
  </si>
  <si>
    <t xml:space="preserve">BROCADE RING PURSE </t>
  </si>
  <si>
    <t xml:space="preserve">22512</t>
  </si>
  <si>
    <t xml:space="preserve">DOORSTOP RACING CAR DESIGN</t>
  </si>
  <si>
    <t xml:space="preserve">22513</t>
  </si>
  <si>
    <t xml:space="preserve">DOORSTOP FOOTBALL DESIGN</t>
  </si>
  <si>
    <t xml:space="preserve">90030B</t>
  </si>
  <si>
    <t xml:space="preserve">RED KUKUI COCONUT SEED NECKLACE</t>
  </si>
  <si>
    <t xml:space="preserve">90030A</t>
  </si>
  <si>
    <t xml:space="preserve">SPOTTED WHITE NATURAL SEED NECKLACE</t>
  </si>
  <si>
    <t xml:space="preserve">90031</t>
  </si>
  <si>
    <t xml:space="preserve">BILI NUT AND WOOD NECKLACE</t>
  </si>
  <si>
    <t xml:space="preserve">90030C</t>
  </si>
  <si>
    <t xml:space="preserve">BROWN KUKUI COCONUT SEED NECKLACE</t>
  </si>
  <si>
    <t xml:space="preserve">C568386</t>
  </si>
  <si>
    <t xml:space="preserve">568472</t>
  </si>
  <si>
    <t xml:space="preserve">23367</t>
  </si>
  <si>
    <t xml:space="preserve">SET 12 COLOUR PENCILS SPACEBOY </t>
  </si>
  <si>
    <t xml:space="preserve">22381</t>
  </si>
  <si>
    <t xml:space="preserve">TOY TIDY PINK POLKADOT</t>
  </si>
  <si>
    <t xml:space="preserve">22380</t>
  </si>
  <si>
    <t xml:space="preserve">TOY TIDY SPACEBOY  </t>
  </si>
  <si>
    <t xml:space="preserve">568518</t>
  </si>
  <si>
    <t xml:space="preserve">C568534</t>
  </si>
  <si>
    <t xml:space="preserve">C568557</t>
  </si>
  <si>
    <t xml:space="preserve">C568580</t>
  </si>
  <si>
    <t xml:space="preserve">568645</t>
  </si>
  <si>
    <t xml:space="preserve">21906</t>
  </si>
  <si>
    <t xml:space="preserve">PHARMACIE FIRST AID TIN</t>
  </si>
  <si>
    <t xml:space="preserve">568674</t>
  </si>
  <si>
    <t xml:space="preserve">22119</t>
  </si>
  <si>
    <t xml:space="preserve">PEACE WOODEN BLOCK LETTERS</t>
  </si>
  <si>
    <t xml:space="preserve">23215</t>
  </si>
  <si>
    <t xml:space="preserve">JINGLE BELL HEART ANTIQUE SILVER</t>
  </si>
  <si>
    <t xml:space="preserve">23221</t>
  </si>
  <si>
    <t xml:space="preserve">REINDEER HEART DECORATION SILVER</t>
  </si>
  <si>
    <t xml:space="preserve">84030E</t>
  </si>
  <si>
    <t xml:space="preserve">ENGLISH ROSE HOT WATER BOTTLE</t>
  </si>
  <si>
    <t xml:space="preserve">22832</t>
  </si>
  <si>
    <t xml:space="preserve">BROCANTE SHELF WITH HOOKS</t>
  </si>
  <si>
    <t xml:space="preserve">23546</t>
  </si>
  <si>
    <t xml:space="preserve">WRAP PAISLEY PARK </t>
  </si>
  <si>
    <t xml:space="preserve">22989</t>
  </si>
  <si>
    <t xml:space="preserve">SET 2 PANTRY DESIGN TEA TOWELS</t>
  </si>
  <si>
    <t xml:space="preserve">22178</t>
  </si>
  <si>
    <t xml:space="preserve">VICTORIAN GLASS HANGING T-LIGHT</t>
  </si>
  <si>
    <t xml:space="preserve">C568677</t>
  </si>
  <si>
    <t xml:space="preserve">568798</t>
  </si>
  <si>
    <t xml:space="preserve">23350</t>
  </si>
  <si>
    <t xml:space="preserve">ROLL WRAP VINTAGE SPOT </t>
  </si>
  <si>
    <t xml:space="preserve">21929</t>
  </si>
  <si>
    <t xml:space="preserve">JUMBO BAG PINK VINTAGE PAISLEY</t>
  </si>
  <si>
    <t xml:space="preserve">22349</t>
  </si>
  <si>
    <t xml:space="preserve">DOG BOWL CHASING BALL DESIGN</t>
  </si>
  <si>
    <t xml:space="preserve">22350</t>
  </si>
  <si>
    <t xml:space="preserve">ILLUSTRATED CAT BOWL </t>
  </si>
  <si>
    <t xml:space="preserve">84077</t>
  </si>
  <si>
    <t xml:space="preserve">WORLD WAR 2 GLIDERS ASSTD DESIGNS</t>
  </si>
  <si>
    <t xml:space="preserve">C568899</t>
  </si>
  <si>
    <t xml:space="preserve">568953</t>
  </si>
  <si>
    <t xml:space="preserve">22319</t>
  </si>
  <si>
    <t xml:space="preserve">HAIRCLIPS FORTIES FABRIC ASSORTED</t>
  </si>
  <si>
    <t xml:space="preserve">23021</t>
  </si>
  <si>
    <t xml:space="preserve">GLASS BONNE JAM JAR</t>
  </si>
  <si>
    <t xml:space="preserve">22109</t>
  </si>
  <si>
    <t xml:space="preserve">FULL ENGLISH BREAKFAST PLATE</t>
  </si>
  <si>
    <t xml:space="preserve">22983</t>
  </si>
  <si>
    <t xml:space="preserve">CARD BILLBOARD FONT</t>
  </si>
  <si>
    <t xml:space="preserve">568987</t>
  </si>
  <si>
    <t xml:space="preserve">568988</t>
  </si>
  <si>
    <t xml:space="preserve">22818</t>
  </si>
  <si>
    <t xml:space="preserve">CARD CHRISTMAS VILLAGE</t>
  </si>
  <si>
    <t xml:space="preserve">22950</t>
  </si>
  <si>
    <t xml:space="preserve">36 DOILIES VINTAGE CHRISTMAS</t>
  </si>
  <si>
    <t xml:space="preserve">22144</t>
  </si>
  <si>
    <t xml:space="preserve">CHRISTMAS CRAFT LITTLE FRIENDS</t>
  </si>
  <si>
    <t xml:space="preserve">22028</t>
  </si>
  <si>
    <t xml:space="preserve">PENNY FARTHING BIRTHDAY CARD</t>
  </si>
  <si>
    <t xml:space="preserve">85169D</t>
  </si>
  <si>
    <t xml:space="preserve">PINK LOVE BIRD CANDLE</t>
  </si>
  <si>
    <t xml:space="preserve">22133</t>
  </si>
  <si>
    <t xml:space="preserve">PINK LOVE HEART SHAPE CUP</t>
  </si>
  <si>
    <t xml:space="preserve">568994</t>
  </si>
  <si>
    <t xml:space="preserve">23371</t>
  </si>
  <si>
    <t xml:space="preserve">SET 36 COLOUR PENCILS SPACEBOY </t>
  </si>
  <si>
    <t xml:space="preserve">22609</t>
  </si>
  <si>
    <t xml:space="preserve">PENS ASSORTED SPACEBALL</t>
  </si>
  <si>
    <t xml:space="preserve">22610</t>
  </si>
  <si>
    <t xml:space="preserve">PENS ASSORTED FUNNY FACE</t>
  </si>
  <si>
    <t xml:space="preserve">569001</t>
  </si>
  <si>
    <t xml:space="preserve">82582</t>
  </si>
  <si>
    <t xml:space="preserve">AREA PATROLLED METAL SIGN</t>
  </si>
  <si>
    <t xml:space="preserve">84945</t>
  </si>
  <si>
    <t xml:space="preserve">MULTI COLOUR SILVER T-LIGHT HOLDER</t>
  </si>
  <si>
    <t xml:space="preserve">22743</t>
  </si>
  <si>
    <t xml:space="preserve">MAKE YOUR OWN FLOWERPOWER CARD KIT</t>
  </si>
  <si>
    <t xml:space="preserve">22759</t>
  </si>
  <si>
    <t xml:space="preserve">SET OF 3 NOTEBOOKS IN PARCEL</t>
  </si>
  <si>
    <t xml:space="preserve">22865</t>
  </si>
  <si>
    <t xml:space="preserve">HAND WARMER OWL DESIGN</t>
  </si>
  <si>
    <t xml:space="preserve">569017</t>
  </si>
  <si>
    <t xml:space="preserve">23515</t>
  </si>
  <si>
    <t xml:space="preserve">EMBROIDERED RIBBON REEL DAISY </t>
  </si>
  <si>
    <t xml:space="preserve">23518</t>
  </si>
  <si>
    <t xml:space="preserve">EMBROIDERED RIBBON REEL RACHEL </t>
  </si>
  <si>
    <t xml:space="preserve">23513</t>
  </si>
  <si>
    <t xml:space="preserve">EMBROIDERED RIBBON REEL SUSIE </t>
  </si>
  <si>
    <t xml:space="preserve">23517</t>
  </si>
  <si>
    <t xml:space="preserve">EMBROIDERED RIBBON REEL REBECCA </t>
  </si>
  <si>
    <t xml:space="preserve">23520</t>
  </si>
  <si>
    <t xml:space="preserve">EMBROIDERED RIBBON REEL RUBY </t>
  </si>
  <si>
    <t xml:space="preserve">23508</t>
  </si>
  <si>
    <t xml:space="preserve">MINI PLAYING CARDS DOLLY GIRL </t>
  </si>
  <si>
    <t xml:space="preserve">23502</t>
  </si>
  <si>
    <t xml:space="preserve">PLAYING CARDS VINTAGE DOILY </t>
  </si>
  <si>
    <t xml:space="preserve">23493</t>
  </si>
  <si>
    <t xml:space="preserve">VINTAGE DOILY TRAVEL SEWING KIT</t>
  </si>
  <si>
    <t xml:space="preserve">22186</t>
  </si>
  <si>
    <t xml:space="preserve">RED STAR CARD HOLDER</t>
  </si>
  <si>
    <t xml:space="preserve">22393</t>
  </si>
  <si>
    <t xml:space="preserve">PAPERWEIGHT VINTAGE COLLAGE</t>
  </si>
  <si>
    <t xml:space="preserve">569097</t>
  </si>
  <si>
    <t xml:space="preserve">23506</t>
  </si>
  <si>
    <t xml:space="preserve">MINI PLAYING CARDS SPACEBOY </t>
  </si>
  <si>
    <t xml:space="preserve">23509</t>
  </si>
  <si>
    <t xml:space="preserve">MINI PLAYING CARDS FUN FAIR </t>
  </si>
  <si>
    <t xml:space="preserve">23510</t>
  </si>
  <si>
    <t xml:space="preserve">MINI PLAYING CARDS GYMKHANA</t>
  </si>
  <si>
    <t xml:space="preserve">23507</t>
  </si>
  <si>
    <t xml:space="preserve">MINI PLAYING CARDS BUFFALO BILL </t>
  </si>
  <si>
    <t xml:space="preserve">23010</t>
  </si>
  <si>
    <t xml:space="preserve">CIRCUS PARADE BABY GIFT SET</t>
  </si>
  <si>
    <t xml:space="preserve">10125</t>
  </si>
  <si>
    <t xml:space="preserve">MINI FUNKY DESIGN TAPES</t>
  </si>
  <si>
    <t xml:space="preserve">569120</t>
  </si>
  <si>
    <t xml:space="preserve">23368</t>
  </si>
  <si>
    <t xml:space="preserve">SET 12 COLOUR PENCILS DOLLY GIRL </t>
  </si>
  <si>
    <t xml:space="preserve">22539</t>
  </si>
  <si>
    <t xml:space="preserve">MINI JIGSAW DOLLY GIRL</t>
  </si>
  <si>
    <t xml:space="preserve">569122</t>
  </si>
  <si>
    <t xml:space="preserve">22845</t>
  </si>
  <si>
    <t xml:space="preserve">VINTAGE CREAM CAT FOOD CONTAINER</t>
  </si>
  <si>
    <t xml:space="preserve">21200</t>
  </si>
  <si>
    <t xml:space="preserve">MULTICOLOUR HONEYCOMB PAPER GARLAND</t>
  </si>
  <si>
    <t xml:space="preserve">22236</t>
  </si>
  <si>
    <t xml:space="preserve">CAKE STAND 3 TIER MAGIC GARDEN</t>
  </si>
  <si>
    <t xml:space="preserve">22669</t>
  </si>
  <si>
    <t xml:space="preserve">RED BABY BUNTING </t>
  </si>
  <si>
    <t xml:space="preserve">569332</t>
  </si>
  <si>
    <t xml:space="preserve">22943</t>
  </si>
  <si>
    <t xml:space="preserve">CHRISTMAS LIGHTS 10 VINTAGE BAUBLES</t>
  </si>
  <si>
    <t xml:space="preserve">23265</t>
  </si>
  <si>
    <t xml:space="preserve">SET OF 3 WOODEN TREE DECORATIONS</t>
  </si>
  <si>
    <t xml:space="preserve">22399</t>
  </si>
  <si>
    <t xml:space="preserve">MAGNETS PACK OF 4 CHILDHOOD MEMORY</t>
  </si>
  <si>
    <t xml:space="preserve">22396</t>
  </si>
  <si>
    <t xml:space="preserve">MAGNETS PACK OF 4 RETRO PHOTO</t>
  </si>
  <si>
    <t xml:space="preserve">84596B</t>
  </si>
  <si>
    <t xml:space="preserve">SMALL DOLLY MIX DESIGN ORANGE BOWL</t>
  </si>
  <si>
    <t xml:space="preserve">84596F</t>
  </si>
  <si>
    <t xml:space="preserve">SMALL MARSHMALLOWS PINK BOWL</t>
  </si>
  <si>
    <t xml:space="preserve">23208</t>
  </si>
  <si>
    <t xml:space="preserve">LUNCH BAG VINTAGE LEAF DESIGN</t>
  </si>
  <si>
    <t xml:space="preserve">23117</t>
  </si>
  <si>
    <t xml:space="preserve">POPPY FIELDS CHOPPING BOARD</t>
  </si>
  <si>
    <t xml:space="preserve">23114</t>
  </si>
  <si>
    <t xml:space="preserve">VINTAGE LEAF CHOPPING BOARD  </t>
  </si>
  <si>
    <t xml:space="preserve">23115</t>
  </si>
  <si>
    <t xml:space="preserve">RED APPLES CHOPPING BOARD   </t>
  </si>
  <si>
    <t xml:space="preserve">22124</t>
  </si>
  <si>
    <t xml:space="preserve">SET OF 2 TEA TOWELS PING MICROWAVE</t>
  </si>
  <si>
    <t xml:space="preserve">21930</t>
  </si>
  <si>
    <t xml:space="preserve">JUMBO STORAGE BAG SKULLS</t>
  </si>
  <si>
    <t xml:space="preserve">84050</t>
  </si>
  <si>
    <t xml:space="preserve">PINK HEART SHAPE EGG FRYING PAN</t>
  </si>
  <si>
    <t xml:space="preserve">569402</t>
  </si>
  <si>
    <t xml:space="preserve">22457</t>
  </si>
  <si>
    <t xml:space="preserve">NATURAL SLATE HEART CHALKBOARD </t>
  </si>
  <si>
    <t xml:space="preserve">C569485</t>
  </si>
  <si>
    <t xml:space="preserve">569531</t>
  </si>
  <si>
    <t xml:space="preserve">21621</t>
  </si>
  <si>
    <t xml:space="preserve">VINTAGE UNION JACK BUNTING</t>
  </si>
  <si>
    <t xml:space="preserve">21922</t>
  </si>
  <si>
    <t xml:space="preserve">UNION STRIPE WITH FRINGE  HAMMOCK</t>
  </si>
  <si>
    <t xml:space="preserve">23301</t>
  </si>
  <si>
    <t xml:space="preserve">GARDENERS KNEELING PAD KEEP CALM </t>
  </si>
  <si>
    <t xml:space="preserve">23284</t>
  </si>
  <si>
    <t xml:space="preserve">DOORMAT KEEP CALM AND COME IN</t>
  </si>
  <si>
    <t xml:space="preserve">569562</t>
  </si>
  <si>
    <t xml:space="preserve">22494</t>
  </si>
  <si>
    <t xml:space="preserve">EMERGENCY FIRST AID TIN </t>
  </si>
  <si>
    <t xml:space="preserve">23494</t>
  </si>
  <si>
    <t xml:space="preserve">VINTAGE DOILY DELUXE SEWING KIT </t>
  </si>
  <si>
    <t xml:space="preserve">23366</t>
  </si>
  <si>
    <t xml:space="preserve">SET 12 COLOURING PENCILS DOILY</t>
  </si>
  <si>
    <t xml:space="preserve">23365</t>
  </si>
  <si>
    <t xml:space="preserve">SET 12 COLOUR PENCILS LOVE LONDON</t>
  </si>
  <si>
    <t xml:space="preserve">23434</t>
  </si>
  <si>
    <t xml:space="preserve">3 RAFFIA RIBBONS 50'S CHRISTMAS </t>
  </si>
  <si>
    <t xml:space="preserve">23378</t>
  </si>
  <si>
    <t xml:space="preserve">PACK OF 12 50'S CHRISTMAS TISSUES</t>
  </si>
  <si>
    <t xml:space="preserve">22130</t>
  </si>
  <si>
    <t xml:space="preserve">PARTY CONE CHRISTMAS DECORATION </t>
  </si>
  <si>
    <t xml:space="preserve">22094</t>
  </si>
  <si>
    <t xml:space="preserve">RED RETROSPOT TISSUE BOX</t>
  </si>
  <si>
    <t xml:space="preserve">569563</t>
  </si>
  <si>
    <t xml:space="preserve">23073</t>
  </si>
  <si>
    <t xml:space="preserve">GEORGIAN TRINKET BOX</t>
  </si>
  <si>
    <t xml:space="preserve">23118</t>
  </si>
  <si>
    <t xml:space="preserve">PARISIENNE JEWELLERY DRAWER </t>
  </si>
  <si>
    <t xml:space="preserve">23250</t>
  </si>
  <si>
    <t xml:space="preserve">VINTAGE RED TRIM ENAMEL BOWL </t>
  </si>
  <si>
    <t xml:space="preserve">23251</t>
  </si>
  <si>
    <t xml:space="preserve">VINTAGE RED ENAMEL TRIM MUG </t>
  </si>
  <si>
    <t xml:space="preserve">23184</t>
  </si>
  <si>
    <t xml:space="preserve">BULL DOG BOTTLE OPENER</t>
  </si>
  <si>
    <t xml:space="preserve">23379</t>
  </si>
  <si>
    <t xml:space="preserve">PACK OF 12 RED APPLE TISSUES</t>
  </si>
  <si>
    <t xml:space="preserve">21916</t>
  </si>
  <si>
    <t xml:space="preserve">SET 12 RETRO WHITE CHALK STICKS</t>
  </si>
  <si>
    <t xml:space="preserve">23342</t>
  </si>
  <si>
    <t xml:space="preserve">MINT DINER WALL CLOCK</t>
  </si>
  <si>
    <t xml:space="preserve">22846</t>
  </si>
  <si>
    <t xml:space="preserve">BREAD BIN DINER STYLE RED </t>
  </si>
  <si>
    <t xml:space="preserve">569568</t>
  </si>
  <si>
    <t xml:space="preserve">84535B</t>
  </si>
  <si>
    <t xml:space="preserve">FAIRY CAKES NOTEBOOK A6 SIZE</t>
  </si>
  <si>
    <t xml:space="preserve">16048</t>
  </si>
  <si>
    <t xml:space="preserve">TEATIME ROUND PENCIL SHARPENER </t>
  </si>
  <si>
    <t xml:space="preserve">22299</t>
  </si>
  <si>
    <t xml:space="preserve">PIG KEYRING WITH LIGHT &amp; SOUND </t>
  </si>
  <si>
    <t xml:space="preserve">22990</t>
  </si>
  <si>
    <t xml:space="preserve">COTTON APRON PANTRY DESIGN</t>
  </si>
  <si>
    <t xml:space="preserve">23065</t>
  </si>
  <si>
    <t xml:space="preserve">LARGE DECO JEWELLERY STAND</t>
  </si>
  <si>
    <t xml:space="preserve">23066</t>
  </si>
  <si>
    <t xml:space="preserve">SMALL DECO JEWELLERY STAND</t>
  </si>
  <si>
    <t xml:space="preserve">22026</t>
  </si>
  <si>
    <t xml:space="preserve">BANQUET BIRTHDAY  CARD  </t>
  </si>
  <si>
    <t xml:space="preserve">16236</t>
  </si>
  <si>
    <t xml:space="preserve">KITTY PENCIL ERASERS</t>
  </si>
  <si>
    <t xml:space="preserve">16238</t>
  </si>
  <si>
    <t xml:space="preserve">PARTY TIME PENCIL ERASERS</t>
  </si>
  <si>
    <t xml:space="preserve">22973</t>
  </si>
  <si>
    <t xml:space="preserve">CHILDREN'S CIRCUS PARADE MUG</t>
  </si>
  <si>
    <t xml:space="preserve">22974</t>
  </si>
  <si>
    <t xml:space="preserve">CHILDRENS DOLLY GIRL MUG</t>
  </si>
  <si>
    <t xml:space="preserve">22977</t>
  </si>
  <si>
    <t xml:space="preserve">DOLLY GIRL CHILDRENS EGG CUP</t>
  </si>
  <si>
    <t xml:space="preserve">23053</t>
  </si>
  <si>
    <t xml:space="preserve">RECYCLED ACAPULCO MAT PINK</t>
  </si>
  <si>
    <t xml:space="preserve">22714</t>
  </si>
  <si>
    <t xml:space="preserve">CARD BIRTHDAY COWBOY</t>
  </si>
  <si>
    <t xml:space="preserve">23077</t>
  </si>
  <si>
    <t xml:space="preserve">DOUGHNUT LIP GLOSS </t>
  </si>
  <si>
    <t xml:space="preserve">84536A</t>
  </si>
  <si>
    <t xml:space="preserve">ENGLISH ROSE NOTEBOOK A7 SIZE</t>
  </si>
  <si>
    <t xml:space="preserve">84536B</t>
  </si>
  <si>
    <t xml:space="preserve">FAIRY CAKES NOTEBOOK A7 SIZE</t>
  </si>
  <si>
    <t xml:space="preserve">20723</t>
  </si>
  <si>
    <t xml:space="preserve">STRAWBERRY CHARLOTTE BAG</t>
  </si>
  <si>
    <t xml:space="preserve">569639</t>
  </si>
  <si>
    <t xml:space="preserve">569640</t>
  </si>
  <si>
    <t xml:space="preserve">569686</t>
  </si>
  <si>
    <t xml:space="preserve">22358</t>
  </si>
  <si>
    <t xml:space="preserve">KINGS CHOICE TEA CADDY </t>
  </si>
  <si>
    <t xml:space="preserve">22993</t>
  </si>
  <si>
    <t xml:space="preserve">SET OF 4 PANTRY JELLY MOULDS</t>
  </si>
  <si>
    <t xml:space="preserve">23162</t>
  </si>
  <si>
    <t xml:space="preserve">REGENCY TEA STRAINER</t>
  </si>
  <si>
    <t xml:space="preserve">22970</t>
  </si>
  <si>
    <t xml:space="preserve">LONDON BUS COFFEE MUG</t>
  </si>
  <si>
    <t xml:space="preserve">21790</t>
  </si>
  <si>
    <t xml:space="preserve">VINTAGE SNAP CARDS</t>
  </si>
  <si>
    <t xml:space="preserve">72741</t>
  </si>
  <si>
    <t xml:space="preserve">GRAND CHOCOLATECANDLE</t>
  </si>
  <si>
    <t xml:space="preserve">23341</t>
  </si>
  <si>
    <t xml:space="preserve">PINK DINER WALL CLOCK</t>
  </si>
  <si>
    <t xml:space="preserve">569699</t>
  </si>
  <si>
    <t xml:space="preserve">23415</t>
  </si>
  <si>
    <t xml:space="preserve">HOME SWEET HOME HOOK</t>
  </si>
  <si>
    <t xml:space="preserve">22809</t>
  </si>
  <si>
    <t xml:space="preserve">SET OF 6 T-LIGHTS SANTA</t>
  </si>
  <si>
    <t xml:space="preserve">21470</t>
  </si>
  <si>
    <t xml:space="preserve">FLOWER VINE RAFFIA FOOD COVER</t>
  </si>
  <si>
    <t xml:space="preserve">21471</t>
  </si>
  <si>
    <t xml:space="preserve">STRAWBERRY RAFFIA FOOD COVER</t>
  </si>
  <si>
    <t xml:space="preserve">21469</t>
  </si>
  <si>
    <t xml:space="preserve">POLKA DOT RAFFIA FOOD COVER</t>
  </si>
  <si>
    <t xml:space="preserve">22751</t>
  </si>
  <si>
    <t xml:space="preserve">FELTCRAFT PRINCESS OLIVIA DOLL</t>
  </si>
  <si>
    <t xml:space="preserve">22115</t>
  </si>
  <si>
    <t xml:space="preserve">METAL SIGN EMPIRE TEA</t>
  </si>
  <si>
    <t xml:space="preserve">23504</t>
  </si>
  <si>
    <t xml:space="preserve">PLAYING CARDS JUBILEE UNION JACK</t>
  </si>
  <si>
    <t xml:space="preserve">23505</t>
  </si>
  <si>
    <t xml:space="preserve">PLAYING CARDS I LOVE LONDON </t>
  </si>
  <si>
    <t xml:space="preserve">22023</t>
  </si>
  <si>
    <t xml:space="preserve">EMPIRE BIRTHDAY CARD</t>
  </si>
  <si>
    <t xml:space="preserve">23501</t>
  </si>
  <si>
    <t xml:space="preserve">KEY RING BASEBALL BOOT UNION JACK</t>
  </si>
  <si>
    <t xml:space="preserve">23369</t>
  </si>
  <si>
    <t xml:space="preserve">SET 36 COLOUR PENCILS LOVE LONDON</t>
  </si>
  <si>
    <t xml:space="preserve">22718</t>
  </si>
  <si>
    <t xml:space="preserve">CARD CAT AND TREE </t>
  </si>
  <si>
    <t xml:space="preserve">22713</t>
  </si>
  <si>
    <t xml:space="preserve">CARD I LOVE LONDON </t>
  </si>
  <si>
    <t xml:space="preserve">22911</t>
  </si>
  <si>
    <t xml:space="preserve">PAPER CHAIN KIT LONDON</t>
  </si>
  <si>
    <t xml:space="preserve">23318</t>
  </si>
  <si>
    <t xml:space="preserve">BOX OF 6 MINI VINTAGE CRACKERS</t>
  </si>
  <si>
    <t xml:space="preserve">569701</t>
  </si>
  <si>
    <t xml:space="preserve">569721</t>
  </si>
  <si>
    <t xml:space="preserve">21125</t>
  </si>
  <si>
    <t xml:space="preserve">SET 6 FOOTBALL CELEBRATION CANDLES</t>
  </si>
  <si>
    <t xml:space="preserve">21126</t>
  </si>
  <si>
    <t xml:space="preserve">SET OF 6 GIRLS CELEBRATION CANDLES</t>
  </si>
  <si>
    <t xml:space="preserve">22821</t>
  </si>
  <si>
    <t xml:space="preserve">GIFT BAG PSYCHEDELIC APPLES</t>
  </si>
  <si>
    <t xml:space="preserve">22815</t>
  </si>
  <si>
    <t xml:space="preserve">CARD PSYCHEDELIC APPLES</t>
  </si>
  <si>
    <t xml:space="preserve">21723</t>
  </si>
  <si>
    <t xml:space="preserve">ALPHABET HEARTS STICKER SHEET</t>
  </si>
  <si>
    <t xml:space="preserve">23239</t>
  </si>
  <si>
    <t xml:space="preserve">SET OF 4 KNICK KNACK TINS POPPIES</t>
  </si>
  <si>
    <t xml:space="preserve">569727</t>
  </si>
  <si>
    <t xml:space="preserve">22471</t>
  </si>
  <si>
    <t xml:space="preserve">TV DINNER TRAY AIR HOSTESS </t>
  </si>
  <si>
    <t xml:space="preserve">78033</t>
  </si>
  <si>
    <t xml:space="preserve">FLAG OF ST GEORGE CHAIR</t>
  </si>
  <si>
    <t xml:space="preserve">C569733</t>
  </si>
  <si>
    <t xml:space="preserve">569844</t>
  </si>
  <si>
    <t xml:space="preserve">21427</t>
  </si>
  <si>
    <t xml:space="preserve">SKULLS STORAGE BOX SMALL</t>
  </si>
  <si>
    <t xml:space="preserve">22546</t>
  </si>
  <si>
    <t xml:space="preserve">MINI JIGSAW PURDEY</t>
  </si>
  <si>
    <t xml:space="preserve">22543</t>
  </si>
  <si>
    <t xml:space="preserve">MINI JIGSAW BAKE A CAKE </t>
  </si>
  <si>
    <t xml:space="preserve">22541</t>
  </si>
  <si>
    <t xml:space="preserve">MINI JIGSAW LEAP FROG</t>
  </si>
  <si>
    <t xml:space="preserve">21426</t>
  </si>
  <si>
    <t xml:space="preserve">WOODLAND STORAGE BOX SMALL</t>
  </si>
  <si>
    <t xml:space="preserve">21430</t>
  </si>
  <si>
    <t xml:space="preserve">SET/3 RED GINGHAM ROSE STORAGE BOX</t>
  </si>
  <si>
    <t xml:space="preserve">23360</t>
  </si>
  <si>
    <t xml:space="preserve">SET 8 CANDLES VINTAGE DOILY</t>
  </si>
  <si>
    <t xml:space="preserve">84509E</t>
  </si>
  <si>
    <t xml:space="preserve">SET OF 4 CAROUSEL PLACEMATS </t>
  </si>
  <si>
    <t xml:space="preserve">84509C</t>
  </si>
  <si>
    <t xml:space="preserve">SET OF 4 POLKADOT PLACEMATS </t>
  </si>
  <si>
    <t xml:space="preserve">84509A</t>
  </si>
  <si>
    <t xml:space="preserve">SET OF 4 ENGLISH ROSE PLACEMATS</t>
  </si>
  <si>
    <t xml:space="preserve">21245</t>
  </si>
  <si>
    <t xml:space="preserve">GREEN POLKADOT PLATE </t>
  </si>
  <si>
    <t xml:space="preserve">22422</t>
  </si>
  <si>
    <t xml:space="preserve">TOOTHPASTE TUBE PEN</t>
  </si>
  <si>
    <t xml:space="preserve">22419</t>
  </si>
  <si>
    <t xml:space="preserve">LIPSTICK PEN RED</t>
  </si>
  <si>
    <t xml:space="preserve">20974</t>
  </si>
  <si>
    <t xml:space="preserve">12 PENCILS SMALL TUBE SKULL</t>
  </si>
  <si>
    <t xml:space="preserve">21832</t>
  </si>
  <si>
    <t xml:space="preserve">CHOCOLATE CALCULATOR</t>
  </si>
  <si>
    <t xml:space="preserve">569860</t>
  </si>
  <si>
    <t xml:space="preserve">569861</t>
  </si>
  <si>
    <t xml:space="preserve">84078A</t>
  </si>
  <si>
    <t xml:space="preserve">SET/4 WHITE RETRO STORAGE CUBES </t>
  </si>
  <si>
    <t xml:space="preserve">85183B</t>
  </si>
  <si>
    <t xml:space="preserve">CHARLIE &amp; LOLA WASTEPAPER BIN FLORA</t>
  </si>
  <si>
    <t xml:space="preserve">569867</t>
  </si>
  <si>
    <t xml:space="preserve">21211</t>
  </si>
  <si>
    <t xml:space="preserve">SET OF 72 SKULL PAPER  DOILIES</t>
  </si>
  <si>
    <t xml:space="preserve">84987</t>
  </si>
  <si>
    <t xml:space="preserve">SET OF 36 TEATIME PAPER DOILIES</t>
  </si>
  <si>
    <t xml:space="preserve">84988</t>
  </si>
  <si>
    <t xml:space="preserve">SET OF 72 PINK HEART PAPER DOILIES</t>
  </si>
  <si>
    <t xml:space="preserve">569893</t>
  </si>
  <si>
    <t xml:space="preserve">23500</t>
  </si>
  <si>
    <t xml:space="preserve">KEY RING BASEBALL BOOT ASSORTED </t>
  </si>
  <si>
    <t xml:space="preserve">21773</t>
  </si>
  <si>
    <t xml:space="preserve">DECORATIVE ROSE BATHROOM BOTTLE</t>
  </si>
  <si>
    <t xml:space="preserve">21774</t>
  </si>
  <si>
    <t xml:space="preserve">DECORATIVE CATS BATHROOM BOTTLE</t>
  </si>
  <si>
    <t xml:space="preserve">21775</t>
  </si>
  <si>
    <t xml:space="preserve">DECORATIVE FLORE BATHROOM BOTTLE</t>
  </si>
  <si>
    <t xml:space="preserve">22362</t>
  </si>
  <si>
    <t xml:space="preserve">GLASS JAR PEACOCK BATH SALTS</t>
  </si>
  <si>
    <t xml:space="preserve">23419</t>
  </si>
  <si>
    <t xml:space="preserve">HOME SWEET HOME BOTTLE </t>
  </si>
  <si>
    <t xml:space="preserve">22509</t>
  </si>
  <si>
    <t xml:space="preserve">SEWING BOX RETROSPOT DESIGN </t>
  </si>
  <si>
    <t xml:space="preserve">22692</t>
  </si>
  <si>
    <t xml:space="preserve">DOORMAT WELCOME TO OUR HOME</t>
  </si>
  <si>
    <t xml:space="preserve">21928</t>
  </si>
  <si>
    <t xml:space="preserve">JUMBO BAG SCANDINAVIAN BLUE PAISLEY</t>
  </si>
  <si>
    <t xml:space="preserve">22670</t>
  </si>
  <si>
    <t xml:space="preserve">FRENCH WC SIGN BLUE METAL</t>
  </si>
  <si>
    <t xml:space="preserve">22672</t>
  </si>
  <si>
    <t xml:space="preserve">FRENCH BATHROOM SIGN BLUE METAL</t>
  </si>
  <si>
    <t xml:space="preserve">48184</t>
  </si>
  <si>
    <t xml:space="preserve">DOORMAT ENGLISH ROSE </t>
  </si>
  <si>
    <t xml:space="preserve">22615</t>
  </si>
  <si>
    <t xml:space="preserve">PACK OF 12 CIRCUS PARADE TISSUES </t>
  </si>
  <si>
    <t xml:space="preserve">569907</t>
  </si>
  <si>
    <t xml:space="preserve">22223</t>
  </si>
  <si>
    <t xml:space="preserve">CAKE PLATE LOVEBIRD PINK</t>
  </si>
  <si>
    <t xml:space="preserve">569921</t>
  </si>
  <si>
    <t xml:space="preserve">LE JARDIN BOTANIQUE CUSHION COVER</t>
  </si>
  <si>
    <t xml:space="preserve">23468</t>
  </si>
  <si>
    <t xml:space="preserve">TUSCAN VILLA BIRD TABLE </t>
  </si>
  <si>
    <t xml:space="preserve">23466</t>
  </si>
  <si>
    <t xml:space="preserve">TUSCAN VILLA DOVECOTE</t>
  </si>
  <si>
    <t xml:space="preserve">C569973</t>
  </si>
  <si>
    <t xml:space="preserve">C569981</t>
  </si>
  <si>
    <t xml:space="preserve">570002</t>
  </si>
  <si>
    <t xml:space="preserve">84687</t>
  </si>
  <si>
    <t xml:space="preserve">BEACH HUT SHELF W 3 DRAWERS</t>
  </si>
  <si>
    <t xml:space="preserve">23406</t>
  </si>
  <si>
    <t xml:space="preserve">HOME SWEET HOME KEY HOLDER</t>
  </si>
  <si>
    <t xml:space="preserve">82486</t>
  </si>
  <si>
    <t xml:space="preserve">3 DRAWER ANTIQUE WHITE WOOD CABINET</t>
  </si>
  <si>
    <t xml:space="preserve">48116</t>
  </si>
  <si>
    <t xml:space="preserve">DOORMAT MULTICOLOUR STRIPE</t>
  </si>
  <si>
    <t xml:space="preserve">48187</t>
  </si>
  <si>
    <t xml:space="preserve">DOORMAT NEW ENGLAND</t>
  </si>
  <si>
    <t xml:space="preserve">82482</t>
  </si>
  <si>
    <t xml:space="preserve">WOODEN PICTURE FRAME WHITE FINISH</t>
  </si>
  <si>
    <t xml:space="preserve">82580</t>
  </si>
  <si>
    <t xml:space="preserve">BATHROOM METAL SIGN</t>
  </si>
  <si>
    <t xml:space="preserve">82578</t>
  </si>
  <si>
    <t xml:space="preserve">KITCHEN METAL SIGN</t>
  </si>
  <si>
    <t xml:space="preserve">21164</t>
  </si>
  <si>
    <t xml:space="preserve">HOME SWEET HOME METAL SIGN </t>
  </si>
  <si>
    <t xml:space="preserve">23179</t>
  </si>
  <si>
    <t xml:space="preserve">CLOCK MAGNET MUM'S KITCHEN</t>
  </si>
  <si>
    <t xml:space="preserve">22892</t>
  </si>
  <si>
    <t xml:space="preserve">SET OF SALT AND PEPPER TOADSTOOLS</t>
  </si>
  <si>
    <t xml:space="preserve">570007</t>
  </si>
  <si>
    <t xml:space="preserve">21555</t>
  </si>
  <si>
    <t xml:space="preserve">CERAMIC STRAWBERRY TRINKET TRAY</t>
  </si>
  <si>
    <t xml:space="preserve">84674</t>
  </si>
  <si>
    <t xml:space="preserve">FLYING PIG WATERING CAN</t>
  </si>
  <si>
    <t xml:space="preserve">22646</t>
  </si>
  <si>
    <t xml:space="preserve">CERAMIC STRAWBERRY CAKE MONEY BANK</t>
  </si>
  <si>
    <t xml:space="preserve">20975</t>
  </si>
  <si>
    <t xml:space="preserve">12 PENCILS SMALL TUBE RED RETROSPOT</t>
  </si>
  <si>
    <t xml:space="preserve">22588</t>
  </si>
  <si>
    <t xml:space="preserve">CARD HOLDER GINGHAM HEART</t>
  </si>
  <si>
    <t xml:space="preserve">570020</t>
  </si>
  <si>
    <t xml:space="preserve">22557</t>
  </si>
  <si>
    <t xml:space="preserve">PLASTERS IN TIN VINTAGE PAISLEY </t>
  </si>
  <si>
    <t xml:space="preserve">22493</t>
  </si>
  <si>
    <t xml:space="preserve">PAINT YOUR OWN CANVAS SET</t>
  </si>
  <si>
    <t xml:space="preserve">21650</t>
  </si>
  <si>
    <t xml:space="preserve">ASSORTED TUTTI FRUTTI BRACELET</t>
  </si>
  <si>
    <t xml:space="preserve">570030</t>
  </si>
  <si>
    <t xml:space="preserve">22431</t>
  </si>
  <si>
    <t xml:space="preserve">WATERING CAN BLUE ELEPHANT</t>
  </si>
  <si>
    <t xml:space="preserve">570082</t>
  </si>
  <si>
    <t xml:space="preserve">22608</t>
  </si>
  <si>
    <t xml:space="preserve">PENS ASSORTED FUNKY JEWELED </t>
  </si>
  <si>
    <t xml:space="preserve">16008</t>
  </si>
  <si>
    <t xml:space="preserve">SMALL FOLDING SCISSOR(POINTED EDGE)</t>
  </si>
  <si>
    <t xml:space="preserve">90087</t>
  </si>
  <si>
    <t xml:space="preserve">CRYSTAL SEA HORSE PHONE CHARM</t>
  </si>
  <si>
    <t xml:space="preserve">35964</t>
  </si>
  <si>
    <t xml:space="preserve">FOLKART CLIP ON STARS</t>
  </si>
  <si>
    <t xml:space="preserve">22579</t>
  </si>
  <si>
    <t xml:space="preserve">WOODEN TREE CHRISTMAS SCANDINAVIAN</t>
  </si>
  <si>
    <t xml:space="preserve">21015</t>
  </si>
  <si>
    <t xml:space="preserve">DARK BIRD HOUSE TREE DECORATION</t>
  </si>
  <si>
    <t xml:space="preserve">22336</t>
  </si>
  <si>
    <t xml:space="preserve">DOVE DECORATION PAINTED ZINC </t>
  </si>
  <si>
    <t xml:space="preserve">23483</t>
  </si>
  <si>
    <t xml:space="preserve">HANGING  BUTTERFLY T-LIGHT HOLDER</t>
  </si>
  <si>
    <t xml:space="preserve">23540</t>
  </si>
  <si>
    <t xml:space="preserve">WALL ART THE MAGIC FOREST </t>
  </si>
  <si>
    <t xml:space="preserve">23542</t>
  </si>
  <si>
    <t xml:space="preserve">WALL ART 70'S ALPHABET </t>
  </si>
  <si>
    <t xml:space="preserve">570095</t>
  </si>
  <si>
    <t xml:space="preserve">48185</t>
  </si>
  <si>
    <t xml:space="preserve">DOORMAT FAIRY CAKE</t>
  </si>
  <si>
    <t xml:space="preserve">15060B</t>
  </si>
  <si>
    <t xml:space="preserve">FAIRY CAKE DESIGN UMBRELLA</t>
  </si>
  <si>
    <t xml:space="preserve">47585A</t>
  </si>
  <si>
    <t xml:space="preserve">PINK FAIRY CAKE CUSHION COVER</t>
  </si>
  <si>
    <t xml:space="preserve">37448</t>
  </si>
  <si>
    <t xml:space="preserve">CERAMIC CAKE DESIGN SPOTTED MUG</t>
  </si>
  <si>
    <t xml:space="preserve">21108</t>
  </si>
  <si>
    <t xml:space="preserve">FAIRY CAKE FLANNEL ASSORTED COLOUR</t>
  </si>
  <si>
    <t xml:space="preserve">37446</t>
  </si>
  <si>
    <t xml:space="preserve">MINI CAKE STAND WITH HANGING CAKES</t>
  </si>
  <si>
    <t xml:space="preserve">37447</t>
  </si>
  <si>
    <t xml:space="preserve">CERAMIC CAKE DESIGN SPOTTED PLATE</t>
  </si>
  <si>
    <t xml:space="preserve">37449</t>
  </si>
  <si>
    <t xml:space="preserve">CERAMIC CAKE STAND + HANGING CAKES</t>
  </si>
  <si>
    <t xml:space="preserve">570189</t>
  </si>
  <si>
    <t xml:space="preserve">20973</t>
  </si>
  <si>
    <t xml:space="preserve">12 PENCIL SMALL TUBE WOODLAND</t>
  </si>
  <si>
    <t xml:space="preserve">23437</t>
  </si>
  <si>
    <t xml:space="preserve"> 50'S CHRISTMAS GIFT BAG LARGE</t>
  </si>
  <si>
    <t xml:space="preserve">570267</t>
  </si>
  <si>
    <t xml:space="preserve">22361</t>
  </si>
  <si>
    <t xml:space="preserve">GLASS JAR DAISY FRESH COTTON WOOL</t>
  </si>
  <si>
    <t xml:space="preserve">C570283</t>
  </si>
  <si>
    <t xml:space="preserve">C570291</t>
  </si>
  <si>
    <t xml:space="preserve">570409</t>
  </si>
  <si>
    <t xml:space="preserve">22859</t>
  </si>
  <si>
    <t xml:space="preserve">EASTER TIN BUNNY BOUQUET</t>
  </si>
  <si>
    <t xml:space="preserve">570452</t>
  </si>
  <si>
    <t xml:space="preserve">22320</t>
  </si>
  <si>
    <t xml:space="preserve">BIRDS MOBILE VINTAGE DESIGN</t>
  </si>
  <si>
    <t xml:space="preserve">22975</t>
  </si>
  <si>
    <t xml:space="preserve">SPACEBOY CHILDRENS EGG CUP</t>
  </si>
  <si>
    <t xml:space="preserve">C570515</t>
  </si>
  <si>
    <t xml:space="preserve">570637</t>
  </si>
  <si>
    <t xml:space="preserve">22445</t>
  </si>
  <si>
    <t xml:space="preserve">PENCIL CASE LIFE IS BEAUTIFUL</t>
  </si>
  <si>
    <t xml:space="preserve">22578</t>
  </si>
  <si>
    <t xml:space="preserve">WOODEN STAR CHRISTMAS SCANDINAVIAN</t>
  </si>
  <si>
    <t xml:space="preserve">22338</t>
  </si>
  <si>
    <t xml:space="preserve">STAR DECORATION PAINTED ZINC </t>
  </si>
  <si>
    <t xml:space="preserve">570640</t>
  </si>
  <si>
    <t xml:space="preserve">570672</t>
  </si>
  <si>
    <t xml:space="preserve">17012A</t>
  </si>
  <si>
    <t xml:space="preserve">ORIGAMI VANILLA INCENSE/CANDLE SET </t>
  </si>
  <si>
    <t xml:space="preserve">17012B</t>
  </si>
  <si>
    <t xml:space="preserve">ORIGAMI JASMINE INCENSE/CANDLE SET</t>
  </si>
  <si>
    <t xml:space="preserve">20704</t>
  </si>
  <si>
    <t xml:space="preserve">MR ROBOT SOFT TOY</t>
  </si>
  <si>
    <t xml:space="preserve">20717</t>
  </si>
  <si>
    <t xml:space="preserve">STRAWBERRY SHOPPER BAG</t>
  </si>
  <si>
    <t xml:space="preserve">20832</t>
  </si>
  <si>
    <t xml:space="preserve">RED FLOCK LOVE HEART PHOTO FRAME</t>
  </si>
  <si>
    <t xml:space="preserve">20978</t>
  </si>
  <si>
    <t xml:space="preserve">36 PENCILS TUBE SKULLS</t>
  </si>
  <si>
    <t xml:space="preserve">21055</t>
  </si>
  <si>
    <t xml:space="preserve">TOOL BOX SOFT TOY </t>
  </si>
  <si>
    <t xml:space="preserve">21114</t>
  </si>
  <si>
    <t xml:space="preserve">LAVENDER SCENTED FABRIC HEART</t>
  </si>
  <si>
    <t xml:space="preserve">21136</t>
  </si>
  <si>
    <t xml:space="preserve">PAINTED METAL PEARS ASSORTED</t>
  </si>
  <si>
    <t xml:space="preserve">21219</t>
  </si>
  <si>
    <t xml:space="preserve">SET/4 BADGES BALLOON GIRL</t>
  </si>
  <si>
    <t xml:space="preserve">21224</t>
  </si>
  <si>
    <t xml:space="preserve">SET/4 SKULL BADGES</t>
  </si>
  <si>
    <t xml:space="preserve">21356</t>
  </si>
  <si>
    <t xml:space="preserve">TOAST ITS - FAIRY FLOWER</t>
  </si>
  <si>
    <t xml:space="preserve">21428</t>
  </si>
  <si>
    <t xml:space="preserve">SET3 BOOK BOX GREEN GINGHAM FLOWER </t>
  </si>
  <si>
    <t xml:space="preserve">21439</t>
  </si>
  <si>
    <t xml:space="preserve">BASKET OF TOADSTOOLS</t>
  </si>
  <si>
    <t xml:space="preserve">21576</t>
  </si>
  <si>
    <t xml:space="preserve">LETS GO SHOPPING COTTON TOTE BAG</t>
  </si>
  <si>
    <t xml:space="preserve">21591</t>
  </si>
  <si>
    <t xml:space="preserve">COSY HOUR CIGAR BOX MATCHES </t>
  </si>
  <si>
    <t xml:space="preserve">21648</t>
  </si>
  <si>
    <t xml:space="preserve">ASSORTED TUTTI FRUTTI SMALL PURSE</t>
  </si>
  <si>
    <t xml:space="preserve">21704</t>
  </si>
  <si>
    <t xml:space="preserve">BAG 250g SWIRLY MARBLES</t>
  </si>
  <si>
    <t xml:space="preserve">21770</t>
  </si>
  <si>
    <t xml:space="preserve">OPEN CLOSED METAL SIGN</t>
  </si>
  <si>
    <t xml:space="preserve">21844</t>
  </si>
  <si>
    <t xml:space="preserve">RED RETROSPOT MUG</t>
  </si>
  <si>
    <t xml:space="preserve">21866</t>
  </si>
  <si>
    <t xml:space="preserve">UNION JACK FLAG LUGGAGE TAG</t>
  </si>
  <si>
    <t xml:space="preserve">21872</t>
  </si>
  <si>
    <t xml:space="preserve">GLAMOROUS  MUG</t>
  </si>
  <si>
    <t xml:space="preserve">21875</t>
  </si>
  <si>
    <t xml:space="preserve">KINGS CHOICE MUG</t>
  </si>
  <si>
    <t xml:space="preserve">21877</t>
  </si>
  <si>
    <t xml:space="preserve">HOME SWEET HOME MUG</t>
  </si>
  <si>
    <t xml:space="preserve">21888</t>
  </si>
  <si>
    <t xml:space="preserve">BINGO SET</t>
  </si>
  <si>
    <t xml:space="preserve">21905</t>
  </si>
  <si>
    <t xml:space="preserve">MORE BUTTER METAL SIGN </t>
  </si>
  <si>
    <t xml:space="preserve">21918</t>
  </si>
  <si>
    <t xml:space="preserve">SET 12 KIDS COLOUR  CHALK STICKS</t>
  </si>
  <si>
    <t xml:space="preserve">21934</t>
  </si>
  <si>
    <t xml:space="preserve">SKULL SHOULDER BAG</t>
  </si>
  <si>
    <t xml:space="preserve">21947</t>
  </si>
  <si>
    <t xml:space="preserve">SET OF 6 HEART CHOPSTICKS</t>
  </si>
  <si>
    <t xml:space="preserve">22070</t>
  </si>
  <si>
    <t xml:space="preserve">SMALL RED RETROSPOT MUG IN BOX </t>
  </si>
  <si>
    <t xml:space="preserve">22071</t>
  </si>
  <si>
    <t xml:space="preserve">SMALL WHITE RETROSPOT MUG IN BOX </t>
  </si>
  <si>
    <t xml:space="preserve">22091</t>
  </si>
  <si>
    <t xml:space="preserve">EMPIRE TISSUE BOX</t>
  </si>
  <si>
    <t xml:space="preserve">22132</t>
  </si>
  <si>
    <t xml:space="preserve">RED LOVE HEART SHAPE CUP</t>
  </si>
  <si>
    <t xml:space="preserve">22180</t>
  </si>
  <si>
    <t xml:space="preserve">RETROSPOT LAMP</t>
  </si>
  <si>
    <t xml:space="preserve">22199</t>
  </si>
  <si>
    <t xml:space="preserve">FRYING PAN RED RETROSPOT</t>
  </si>
  <si>
    <t xml:space="preserve">22203</t>
  </si>
  <si>
    <t xml:space="preserve">MILK PAN RED RETROSPOT</t>
  </si>
  <si>
    <t xml:space="preserve">22204</t>
  </si>
  <si>
    <t xml:space="preserve">MILK PAN BLUE POLKADOT</t>
  </si>
  <si>
    <t xml:space="preserve">22232</t>
  </si>
  <si>
    <t xml:space="preserve">JIGSAW TOADSTOOLS 3 PIECE</t>
  </si>
  <si>
    <t xml:space="preserve">22309</t>
  </si>
  <si>
    <t xml:space="preserve">TEA COSY RED  STRIPE</t>
  </si>
  <si>
    <t xml:space="preserve">22318</t>
  </si>
  <si>
    <t xml:space="preserve">FIVE HEART HANGING DECORATION</t>
  </si>
  <si>
    <t xml:space="preserve">22357</t>
  </si>
  <si>
    <t xml:space="preserve">KINGS CHOICE BISCUIT TIN</t>
  </si>
  <si>
    <t xml:space="preserve">22389</t>
  </si>
  <si>
    <t xml:space="preserve">PAPERWEIGHT SAVE THE PLANET</t>
  </si>
  <si>
    <t xml:space="preserve">22390</t>
  </si>
  <si>
    <t xml:space="preserve">PAPERWEIGHT CHILDHOOD MEMORIES</t>
  </si>
  <si>
    <t xml:space="preserve">22400</t>
  </si>
  <si>
    <t xml:space="preserve">MAGNETS PACK OF 4 HOME SWEET HOME</t>
  </si>
  <si>
    <t xml:space="preserve">22408</t>
  </si>
  <si>
    <t xml:space="preserve">MONEY BOX CONFECTIONERY DESIGN</t>
  </si>
  <si>
    <t xml:space="preserve">22413</t>
  </si>
  <si>
    <t xml:space="preserve">METAL SIGN TAKE IT OR LEAVE IT </t>
  </si>
  <si>
    <t xml:space="preserve">22483</t>
  </si>
  <si>
    <t xml:space="preserve">RED GINGHAM TEDDY BEAR </t>
  </si>
  <si>
    <t xml:space="preserve">22491</t>
  </si>
  <si>
    <t xml:space="preserve">PACK OF 12 COLOURED PENCILS</t>
  </si>
  <si>
    <t xml:space="preserve">22499</t>
  </si>
  <si>
    <t xml:space="preserve">WOODEN UNION JACK BUNTING</t>
  </si>
  <si>
    <t xml:space="preserve">22508</t>
  </si>
  <si>
    <t xml:space="preserve">DOORSTOP RETROSPOT HEART</t>
  </si>
  <si>
    <t xml:space="preserve">22532</t>
  </si>
  <si>
    <t xml:space="preserve">MAGIC DRAWING SLATE LEAP FROG </t>
  </si>
  <si>
    <t xml:space="preserve">22537</t>
  </si>
  <si>
    <t xml:space="preserve">MAGIC DRAWING SLATE DINOSAUR</t>
  </si>
  <si>
    <t xml:space="preserve">22550</t>
  </si>
  <si>
    <t xml:space="preserve">HOLIDAY FUN LUDO</t>
  </si>
  <si>
    <t xml:space="preserve">22567</t>
  </si>
  <si>
    <t xml:space="preserve">20 DOLLY PEGS RETROSPOT</t>
  </si>
  <si>
    <t xml:space="preserve">22595</t>
  </si>
  <si>
    <t xml:space="preserve">GINGHAM HEART DECORATION</t>
  </si>
  <si>
    <t xml:space="preserve">22633</t>
  </si>
  <si>
    <t xml:space="preserve">HAND WARMER UNION JACK</t>
  </si>
  <si>
    <t xml:space="preserve">22689</t>
  </si>
  <si>
    <t xml:space="preserve">DOORMAT MERRY CHRISTMAS RED </t>
  </si>
  <si>
    <t xml:space="preserve">22702</t>
  </si>
  <si>
    <t xml:space="preserve">BLACK AND WHITE CAT BOWL</t>
  </si>
  <si>
    <t xml:space="preserve">22749</t>
  </si>
  <si>
    <t xml:space="preserve">FELTCRAFT PRINCESS CHARLOTTE DOLL</t>
  </si>
  <si>
    <t xml:space="preserve">22768</t>
  </si>
  <si>
    <t xml:space="preserve">FAMILY PHOTO FRAME CORNICE</t>
  </si>
  <si>
    <t xml:space="preserve">22807</t>
  </si>
  <si>
    <t xml:space="preserve">SET OF 6 T-LIGHTS TOADSTOOLS</t>
  </si>
  <si>
    <t xml:space="preserve">22840</t>
  </si>
  <si>
    <t xml:space="preserve">ROUND CAKE TIN VINTAGE RED</t>
  </si>
  <si>
    <t xml:space="preserve">22844</t>
  </si>
  <si>
    <t xml:space="preserve">VINTAGE CREAM DOG FOOD CONTAINER</t>
  </si>
  <si>
    <t xml:space="preserve">22852</t>
  </si>
  <si>
    <t xml:space="preserve">DOG BOWL VINTAGE CREAM</t>
  </si>
  <si>
    <t xml:space="preserve">22902</t>
  </si>
  <si>
    <t xml:space="preserve">TOTE BAG I LOVE LONDON</t>
  </si>
  <si>
    <t xml:space="preserve">22959</t>
  </si>
  <si>
    <t xml:space="preserve">WRAP CHRISTMAS VILLAGE</t>
  </si>
  <si>
    <t xml:space="preserve">22994</t>
  </si>
  <si>
    <t xml:space="preserve">TRAVEL CARD WALLET RETROSPOT</t>
  </si>
  <si>
    <t xml:space="preserve">22996</t>
  </si>
  <si>
    <t xml:space="preserve">TRAVEL CARD WALLET VINTAGE TICKET</t>
  </si>
  <si>
    <t xml:space="preserve">23005</t>
  </si>
  <si>
    <t xml:space="preserve">TRAVEL CARD WALLET I LOVE LONDON</t>
  </si>
  <si>
    <t xml:space="preserve">23123</t>
  </si>
  <si>
    <t xml:space="preserve">COCKTAIL SWORDS 50 PIECES</t>
  </si>
  <si>
    <t xml:space="preserve">23156</t>
  </si>
  <si>
    <t xml:space="preserve">SET OF 5 MINI GROCERY MAGNETS</t>
  </si>
  <si>
    <t xml:space="preserve">23157</t>
  </si>
  <si>
    <t xml:space="preserve">SET OF 6 NATIVITY MAGNETS </t>
  </si>
  <si>
    <t xml:space="preserve">23234</t>
  </si>
  <si>
    <t xml:space="preserve">BISCUIT TIN VINTAGE CHRISTMAS</t>
  </si>
  <si>
    <t xml:space="preserve">23253</t>
  </si>
  <si>
    <t xml:space="preserve">16 PIECE CUTLERY SET PANTRY DESIGN</t>
  </si>
  <si>
    <t xml:space="preserve">23263</t>
  </si>
  <si>
    <t xml:space="preserve">SET OF 3 WOODEN HEART DECORATIONS</t>
  </si>
  <si>
    <t xml:space="preserve">23266</t>
  </si>
  <si>
    <t xml:space="preserve">SET OF 3 WOODEN STOCKING DECORATION</t>
  </si>
  <si>
    <t xml:space="preserve">23269</t>
  </si>
  <si>
    <t xml:space="preserve">SET OF 2 CERAMIC CHRISTMAS TREES</t>
  </si>
  <si>
    <t xml:space="preserve">23270</t>
  </si>
  <si>
    <t xml:space="preserve">SET OF 2 CERAMIC PAINTED HEARTS </t>
  </si>
  <si>
    <t xml:space="preserve">23275</t>
  </si>
  <si>
    <t xml:space="preserve">SET OF 3 HANGING OWLS OLLIE BEAK</t>
  </si>
  <si>
    <t xml:space="preserve">23312</t>
  </si>
  <si>
    <t xml:space="preserve">VINTAGE CHRISTMAS GIFT SACK</t>
  </si>
  <si>
    <t xml:space="preserve">35953</t>
  </si>
  <si>
    <t xml:space="preserve">FOLKART STAR CHRISTMAS DECORATIONS</t>
  </si>
  <si>
    <t xml:space="preserve">47578A</t>
  </si>
  <si>
    <t xml:space="preserve">ENGLISH ROSE SMALL SCENTED FLOWER</t>
  </si>
  <si>
    <t xml:space="preserve">48173C</t>
  </si>
  <si>
    <t xml:space="preserve">DOORMAT BLACK FLOCK </t>
  </si>
  <si>
    <t xml:space="preserve">70007</t>
  </si>
  <si>
    <t xml:space="preserve">HI TEC ALPINE HAND WARMER</t>
  </si>
  <si>
    <t xml:space="preserve">72586</t>
  </si>
  <si>
    <t xml:space="preserve">SET OF 6 HALLOWEEN GHOST T-LIGHTS</t>
  </si>
  <si>
    <t xml:space="preserve">84279P</t>
  </si>
  <si>
    <t xml:space="preserve">CHERRY BLOSSOM  DECORATIVE FLASK</t>
  </si>
  <si>
    <t xml:space="preserve">84580</t>
  </si>
  <si>
    <t xml:space="preserve">MOUSE TOY WITH PINK T-SHIRT</t>
  </si>
  <si>
    <t xml:space="preserve">84817</t>
  </si>
  <si>
    <t xml:space="preserve">DANISH ROSE DECORATIVE PLATE</t>
  </si>
  <si>
    <t xml:space="preserve">84819</t>
  </si>
  <si>
    <t xml:space="preserve">DANISH ROSE ROUND SEWING BOX</t>
  </si>
  <si>
    <t xml:space="preserve">84821</t>
  </si>
  <si>
    <t xml:space="preserve">DANISH ROSE DELUXE COASTER</t>
  </si>
  <si>
    <t xml:space="preserve">84828</t>
  </si>
  <si>
    <t xml:space="preserve">JUNGLE POPSICLES ICE LOLLY MOULDS</t>
  </si>
  <si>
    <t xml:space="preserve">84920</t>
  </si>
  <si>
    <t xml:space="preserve">PINK FLOWER FABRIC PONY</t>
  </si>
  <si>
    <t xml:space="preserve">85039A</t>
  </si>
  <si>
    <t xml:space="preserve">SET/4 RED MINI ROSE CANDLE IN BOWL</t>
  </si>
  <si>
    <t xml:space="preserve">85040A</t>
  </si>
  <si>
    <t xml:space="preserve">S/4 PINK FLOWER CANDLES IN BOWL</t>
  </si>
  <si>
    <t xml:space="preserve">85095</t>
  </si>
  <si>
    <t xml:space="preserve">THREE CANVAS LUGGAGE TAGS</t>
  </si>
  <si>
    <t xml:space="preserve">85170D</t>
  </si>
  <si>
    <t xml:space="preserve">SET/6 PINK BIRD T-LIGHT CANDLES</t>
  </si>
  <si>
    <t xml:space="preserve">85172</t>
  </si>
  <si>
    <t xml:space="preserve">HYACINTH BULB T-LIGHT CANDLES</t>
  </si>
  <si>
    <t xml:space="preserve">85199L</t>
  </si>
  <si>
    <t xml:space="preserve">LARGE HANGING IVORY &amp; RED WOOD BIRD</t>
  </si>
  <si>
    <t xml:space="preserve">85227</t>
  </si>
  <si>
    <t xml:space="preserve">SET OF 6 3D KIT CARDS FOR KIDS</t>
  </si>
  <si>
    <t xml:space="preserve">570718</t>
  </si>
  <si>
    <t xml:space="preserve">22274</t>
  </si>
  <si>
    <t xml:space="preserve">FELTCRAFT DOLL EMILY</t>
  </si>
  <si>
    <t xml:space="preserve">22705</t>
  </si>
  <si>
    <t xml:space="preserve">WRAP GREEN PEARS </t>
  </si>
  <si>
    <t xml:space="preserve">23351</t>
  </si>
  <si>
    <t xml:space="preserve">ROLL WRAP 50'S CHRISTMAS</t>
  </si>
  <si>
    <t xml:space="preserve">570724</t>
  </si>
  <si>
    <t xml:space="preserve">22622</t>
  </si>
  <si>
    <t xml:space="preserve">BOX OF VINTAGE ALPHABET BLOCKS</t>
  </si>
  <si>
    <t xml:space="preserve">23512</t>
  </si>
  <si>
    <t xml:space="preserve">EMBROIDERED RIBBON REEL ROSIE</t>
  </si>
  <si>
    <t xml:space="preserve">C570727</t>
  </si>
  <si>
    <t xml:space="preserve">570754</t>
  </si>
  <si>
    <t xml:space="preserve">23075</t>
  </si>
  <si>
    <t xml:space="preserve">PARLOUR CERAMIC WALL HOOK</t>
  </si>
  <si>
    <t xml:space="preserve">23146</t>
  </si>
  <si>
    <t xml:space="preserve">TRIPLE HOOK ANTIQUE IVORY ROSE</t>
  </si>
  <si>
    <t xml:space="preserve">23148</t>
  </si>
  <si>
    <t xml:space="preserve">MINIATURE ANTIQUE ROSE HOOK IVORY</t>
  </si>
  <si>
    <t xml:space="preserve">23514</t>
  </si>
  <si>
    <t xml:space="preserve">EMBROIDERED RIBBON REEL SALLY </t>
  </si>
  <si>
    <t xml:space="preserve">570784</t>
  </si>
  <si>
    <t xml:space="preserve">570792</t>
  </si>
  <si>
    <t xml:space="preserve">21411</t>
  </si>
  <si>
    <t xml:space="preserve">GINGHAM HEART  DOORSTOP RED</t>
  </si>
  <si>
    <t xml:space="preserve">570798</t>
  </si>
  <si>
    <t xml:space="preserve">570823</t>
  </si>
  <si>
    <t xml:space="preserve">570841</t>
  </si>
  <si>
    <t xml:space="preserve">21931</t>
  </si>
  <si>
    <t xml:space="preserve">JUMBO STORAGE BAG SUKI</t>
  </si>
  <si>
    <t xml:space="preserve">570851</t>
  </si>
  <si>
    <t xml:space="preserve">570879</t>
  </si>
  <si>
    <t xml:space="preserve">570881</t>
  </si>
  <si>
    <t xml:space="preserve">22325</t>
  </si>
  <si>
    <t xml:space="preserve">MOBILE VINTAGE HEARTS </t>
  </si>
  <si>
    <t xml:space="preserve">22317</t>
  </si>
  <si>
    <t xml:space="preserve">FIVE CATS HANGING DECORATION</t>
  </si>
  <si>
    <t xml:space="preserve">21484</t>
  </si>
  <si>
    <t xml:space="preserve">CHICK GREY HOT WATER BOTTLE</t>
  </si>
  <si>
    <t xml:space="preserve">21624</t>
  </si>
  <si>
    <t xml:space="preserve">VINTAGE UNION JACK DOORSTOP</t>
  </si>
  <si>
    <t xml:space="preserve">22576</t>
  </si>
  <si>
    <t xml:space="preserve">SWALLOW WOODEN CHRISTMAS DECORATION</t>
  </si>
  <si>
    <t xml:space="preserve">C570963</t>
  </si>
  <si>
    <t xml:space="preserve">C571009</t>
  </si>
  <si>
    <t xml:space="preserve">571065</t>
  </si>
  <si>
    <t xml:space="preserve">22448</t>
  </si>
  <si>
    <t xml:space="preserve">PIN CUSHION BABUSHKA RED</t>
  </si>
  <si>
    <t xml:space="preserve">84946</t>
  </si>
  <si>
    <t xml:space="preserve">ANTIQUE SILVER T-LIGHT GLASS</t>
  </si>
  <si>
    <t xml:space="preserve">22978</t>
  </si>
  <si>
    <t xml:space="preserve">PANTRY ROLLING PIN</t>
  </si>
  <si>
    <t xml:space="preserve">22965</t>
  </si>
  <si>
    <t xml:space="preserve">3 TRADITIONAl BISCUIT CUTTERS  SET</t>
  </si>
  <si>
    <t xml:space="preserve">22332</t>
  </si>
  <si>
    <t xml:space="preserve">SKULLS PARTY BAG + STICKER SET</t>
  </si>
  <si>
    <t xml:space="preserve">21504</t>
  </si>
  <si>
    <t xml:space="preserve">SKULLS GREETING CARD</t>
  </si>
  <si>
    <t xml:space="preserve">23235</t>
  </si>
  <si>
    <t xml:space="preserve">STORAGE TIN VINTAGE LEAF</t>
  </si>
  <si>
    <t xml:space="preserve">22334</t>
  </si>
  <si>
    <t xml:space="preserve">DINOSAUR PARTY BAG + STICKER SET</t>
  </si>
  <si>
    <t xml:space="preserve">23034</t>
  </si>
  <si>
    <t xml:space="preserve">DRAWER KNOB CERAMIC BLACK</t>
  </si>
  <si>
    <t xml:space="preserve">23035</t>
  </si>
  <si>
    <t xml:space="preserve">DRAWER KNOB CERAMIC IVORY</t>
  </si>
  <si>
    <t xml:space="preserve">84375</t>
  </si>
  <si>
    <t xml:space="preserve">SET OF 20 KIDS COOKIE CUTTERS</t>
  </si>
  <si>
    <t xml:space="preserve">21949</t>
  </si>
  <si>
    <t xml:space="preserve">SET OF 6 STRAWBERRY CHOPSTICKS</t>
  </si>
  <si>
    <t xml:space="preserve">C571066</t>
  </si>
  <si>
    <t xml:space="preserve">22405</t>
  </si>
  <si>
    <t xml:space="preserve">MONEY BOX POCKET MONEY DESIGN</t>
  </si>
  <si>
    <t xml:space="preserve">C571127</t>
  </si>
  <si>
    <t xml:space="preserve">571215</t>
  </si>
  <si>
    <t xml:space="preserve">22947</t>
  </si>
  <si>
    <t xml:space="preserve">WOODEN ADVENT CALENDAR RED</t>
  </si>
  <si>
    <t xml:space="preserve">C571220</t>
  </si>
  <si>
    <t xml:space="preserve">M</t>
  </si>
  <si>
    <t xml:space="preserve">Manual</t>
  </si>
  <si>
    <t xml:space="preserve">571223</t>
  </si>
  <si>
    <t xml:space="preserve">571227</t>
  </si>
  <si>
    <t xml:space="preserve">22365</t>
  </si>
  <si>
    <t xml:space="preserve">DOORMAT RESPECTABLE HOUSE</t>
  </si>
  <si>
    <t xml:space="preserve">23402</t>
  </si>
  <si>
    <t xml:space="preserve">HOME SWEET HOME 3 PEG HANGER </t>
  </si>
  <si>
    <t xml:space="preserve">20998</t>
  </si>
  <si>
    <t xml:space="preserve">ROSE DU SUD OVEN GLOVE</t>
  </si>
  <si>
    <t xml:space="preserve">22134</t>
  </si>
  <si>
    <t xml:space="preserve">MINI LADLE LOVE HEART RED </t>
  </si>
  <si>
    <t xml:space="preserve">22366</t>
  </si>
  <si>
    <t xml:space="preserve">DOORMAT AIRMAIL </t>
  </si>
  <si>
    <t xml:space="preserve">22414</t>
  </si>
  <si>
    <t xml:space="preserve">DOORMAT NEIGHBOURHOOD WITCH </t>
  </si>
  <si>
    <t xml:space="preserve">21284</t>
  </si>
  <si>
    <t xml:space="preserve">RETROSPOT CANDLE  SMALL</t>
  </si>
  <si>
    <t xml:space="preserve">22212</t>
  </si>
  <si>
    <t xml:space="preserve">FOUR HOOK  WHITE LOVEBIRDS</t>
  </si>
  <si>
    <t xml:space="preserve">84792</t>
  </si>
  <si>
    <t xml:space="preserve">ENCHANTED BIRD COATHANGER 5 HOOK</t>
  </si>
  <si>
    <t xml:space="preserve">21257</t>
  </si>
  <si>
    <t xml:space="preserve">VICTORIAN SEWING BOX MEDIUM</t>
  </si>
  <si>
    <t xml:space="preserve">22781</t>
  </si>
  <si>
    <t xml:space="preserve">GUMBALL MAGAZINE RACK</t>
  </si>
  <si>
    <t xml:space="preserve">21116</t>
  </si>
  <si>
    <t xml:space="preserve">OWL DOORSTOP</t>
  </si>
  <si>
    <t xml:space="preserve">571240</t>
  </si>
  <si>
    <t xml:space="preserve">23382</t>
  </si>
  <si>
    <t xml:space="preserve">BOX OF 6 CHRISTMAS CAKE DECORATIONS</t>
  </si>
  <si>
    <t xml:space="preserve">C571251</t>
  </si>
  <si>
    <t xml:space="preserve">571304</t>
  </si>
  <si>
    <t xml:space="preserve">22164</t>
  </si>
  <si>
    <t xml:space="preserve">STRING OF STARS CARD HOLDER</t>
  </si>
  <si>
    <t xml:space="preserve">22141</t>
  </si>
  <si>
    <t xml:space="preserve">CHRISTMAS CRAFT TREE TOP ANGEL</t>
  </si>
  <si>
    <t xml:space="preserve">22591</t>
  </si>
  <si>
    <t xml:space="preserve">CARDHOLDER GINGHAM CHRISTMAS TREE</t>
  </si>
  <si>
    <t xml:space="preserve">571308</t>
  </si>
  <si>
    <t xml:space="preserve">23310</t>
  </si>
  <si>
    <t xml:space="preserve">BUBBLEGUM RING ASSORTED</t>
  </si>
  <si>
    <t xml:space="preserve">20766</t>
  </si>
  <si>
    <t xml:space="preserve">GARDEN PATH SKETCHBOOK</t>
  </si>
  <si>
    <t xml:space="preserve">23040</t>
  </si>
  <si>
    <t xml:space="preserve">PAPER LANTERN 9 POINT SNOW STAR </t>
  </si>
  <si>
    <t xml:space="preserve">23126</t>
  </si>
  <si>
    <t xml:space="preserve">FELTCRAFT GIRL AMELIE KIT</t>
  </si>
  <si>
    <t xml:space="preserve">571312</t>
  </si>
  <si>
    <t xml:space="preserve">16054</t>
  </si>
  <si>
    <t xml:space="preserve">POPART RECT PENCIL SHARPENER ASST</t>
  </si>
  <si>
    <t xml:space="preserve">47518F</t>
  </si>
  <si>
    <t xml:space="preserve">ICON PLACEMAT POP ART ELVIS</t>
  </si>
  <si>
    <t xml:space="preserve">22984</t>
  </si>
  <si>
    <t xml:space="preserve">CARD GINGHAM ROSE </t>
  </si>
  <si>
    <t xml:space="preserve">22032</t>
  </si>
  <si>
    <t xml:space="preserve">BOTANICAL LILY GREETING CARD</t>
  </si>
  <si>
    <t xml:space="preserve">84251G</t>
  </si>
  <si>
    <t xml:space="preserve">GREETING CARD, OVERCROWDED POOL.</t>
  </si>
  <si>
    <t xml:space="preserve">21991</t>
  </si>
  <si>
    <t xml:space="preserve">BOHEMIAN COLLAGE STATIONERY SET</t>
  </si>
  <si>
    <t xml:space="preserve">22208</t>
  </si>
  <si>
    <t xml:space="preserve">WOOD STAMP SET THANK YOU</t>
  </si>
  <si>
    <t xml:space="preserve">22211</t>
  </si>
  <si>
    <t xml:space="preserve">WOOD STAMP SET FLOWERS</t>
  </si>
  <si>
    <t xml:space="preserve">20755</t>
  </si>
  <si>
    <t xml:space="preserve">BLUE PAISLEY POCKET BOOK</t>
  </si>
  <si>
    <t xml:space="preserve">20761</t>
  </si>
  <si>
    <t xml:space="preserve">BLUE PAISLEY SKETCHBOOK</t>
  </si>
  <si>
    <t xml:space="preserve">20767</t>
  </si>
  <si>
    <t xml:space="preserve">BLUE PAISLEY JOURNAL </t>
  </si>
  <si>
    <t xml:space="preserve">571328</t>
  </si>
  <si>
    <t xml:space="preserve">22573</t>
  </si>
  <si>
    <t xml:space="preserve">STAR WOODEN CHRISTMAS DECORATION</t>
  </si>
  <si>
    <t xml:space="preserve">35819P</t>
  </si>
  <si>
    <t xml:space="preserve">ACRYLIC HANGING JEWEL,PINK</t>
  </si>
  <si>
    <t xml:space="preserve">21494</t>
  </si>
  <si>
    <t xml:space="preserve">ROTATING LEAVES T-LIGHT HOLDER</t>
  </si>
  <si>
    <t xml:space="preserve">22307</t>
  </si>
  <si>
    <t xml:space="preserve">GOLD MUG BONE CHINA TREE OF LIFE</t>
  </si>
  <si>
    <t xml:space="preserve">22909</t>
  </si>
  <si>
    <t xml:space="preserve">SET OF 20 VINTAGE CHRISTMAS NAPKINS</t>
  </si>
  <si>
    <t xml:space="preserve">23271</t>
  </si>
  <si>
    <t xml:space="preserve">CHRISTMAS TABLE SILVER CANDLE SPIKE</t>
  </si>
  <si>
    <t xml:space="preserve">22402</t>
  </si>
  <si>
    <t xml:space="preserve">MAGNETS PACK OF 4 VINTAGE COLLAGE</t>
  </si>
  <si>
    <t xml:space="preserve">47504H</t>
  </si>
  <si>
    <t xml:space="preserve">ENGLISH ROSE SPIRIT LEVEL </t>
  </si>
  <si>
    <t xml:space="preserve">47593B</t>
  </si>
  <si>
    <t xml:space="preserve">SCOTTIE DOGS BABY BIB</t>
  </si>
  <si>
    <t xml:space="preserve">84926D</t>
  </si>
  <si>
    <t xml:space="preserve">LA PALMIERA TILE COASTER</t>
  </si>
  <si>
    <t xml:space="preserve">85032B</t>
  </si>
  <si>
    <t xml:space="preserve">BLOSSOM IMAGES GIFT WRAP SET</t>
  </si>
  <si>
    <t xml:space="preserve">85032C</t>
  </si>
  <si>
    <t xml:space="preserve">CURIOUS IMAGES GIFT WRAP SET</t>
  </si>
  <si>
    <t xml:space="preserve">85130B</t>
  </si>
  <si>
    <t xml:space="preserve">BEADED CRYSTAL HEART GREEN LARGE</t>
  </si>
  <si>
    <t xml:space="preserve">22279</t>
  </si>
  <si>
    <t xml:space="preserve">POCKET BAG BLUE PAISLEY RED SPOT</t>
  </si>
  <si>
    <t xml:space="preserve">21935</t>
  </si>
  <si>
    <t xml:space="preserve">SUKI  SHOULDER BAG</t>
  </si>
  <si>
    <t xml:space="preserve">22376</t>
  </si>
  <si>
    <t xml:space="preserve">AIRLINE BAG VINTAGE JET SET WHITE</t>
  </si>
  <si>
    <t xml:space="preserve">84913B</t>
  </si>
  <si>
    <t xml:space="preserve">MINT GREEN ROSE TOWEL</t>
  </si>
  <si>
    <t xml:space="preserve">22584</t>
  </si>
  <si>
    <t xml:space="preserve">PACK OF 6 PANNETONE GIFT BOXES</t>
  </si>
  <si>
    <t xml:space="preserve">85049G</t>
  </si>
  <si>
    <t xml:space="preserve">CHOCOLATE BOX RIBBONS </t>
  </si>
  <si>
    <t xml:space="preserve">85049H</t>
  </si>
  <si>
    <t xml:space="preserve">URBAN BLACK RIBBONS </t>
  </si>
  <si>
    <t xml:space="preserve">23032</t>
  </si>
  <si>
    <t xml:space="preserve">DRAWER KNOB CRACKLE GLAZE IVORY</t>
  </si>
  <si>
    <t xml:space="preserve">23033</t>
  </si>
  <si>
    <t xml:space="preserve">DRAWER KNOB CERAMIC RED</t>
  </si>
  <si>
    <t xml:space="preserve">21251</t>
  </si>
  <si>
    <t xml:space="preserve">DINOSAUR HEIGHT CHART STICKER SET</t>
  </si>
  <si>
    <t xml:space="preserve">23048</t>
  </si>
  <si>
    <t xml:space="preserve">SET OF 10 LANTERNS FAIRY LIGHT STAR</t>
  </si>
  <si>
    <t xml:space="preserve">22436</t>
  </si>
  <si>
    <t xml:space="preserve">12 COLOURED PARTY BALLOONS</t>
  </si>
  <si>
    <t xml:space="preserve">16011</t>
  </si>
  <si>
    <t xml:space="preserve">ANIMAL STICKERS</t>
  </si>
  <si>
    <t xml:space="preserve">21724</t>
  </si>
  <si>
    <t xml:space="preserve">PANDA AND BUNNIES STICKER SHEET</t>
  </si>
  <si>
    <t xml:space="preserve">16235</t>
  </si>
  <si>
    <t xml:space="preserve">RECYCLED PENCIL WITH RABBIT ERASER</t>
  </si>
  <si>
    <t xml:space="preserve">72816</t>
  </si>
  <si>
    <t xml:space="preserve">SET/3 CHRISTMAS DECOUPAGE CANDLES</t>
  </si>
  <si>
    <t xml:space="preserve">22044</t>
  </si>
  <si>
    <t xml:space="preserve">CHRISTMAS CARD STACK OF PRESENTS</t>
  </si>
  <si>
    <t xml:space="preserve">85049A</t>
  </si>
  <si>
    <t xml:space="preserve">TRADITIONAL CHRISTMAS RIBBONS</t>
  </si>
  <si>
    <t xml:space="preserve">22731</t>
  </si>
  <si>
    <t xml:space="preserve">3D CHRISTMAS STAMPS STICKERS </t>
  </si>
  <si>
    <t xml:space="preserve">22733</t>
  </si>
  <si>
    <t xml:space="preserve">3D TRADITIONAL CHRISTMAS STICKERS</t>
  </si>
  <si>
    <t xml:space="preserve">22049</t>
  </si>
  <si>
    <t xml:space="preserve">WRAP CHRISTMAS SCREEN PRINT</t>
  </si>
  <si>
    <t xml:space="preserve">22296</t>
  </si>
  <si>
    <t xml:space="preserve">HEART IVORY TRELLIS LARGE</t>
  </si>
  <si>
    <t xml:space="preserve">22337</t>
  </si>
  <si>
    <t xml:space="preserve">ANGEL DECORATION PAINTED ZINC </t>
  </si>
  <si>
    <t xml:space="preserve">22339</t>
  </si>
  <si>
    <t xml:space="preserve">CHRISTMAS TREE PAINTED ZINC </t>
  </si>
  <si>
    <t xml:space="preserve">C571473</t>
  </si>
  <si>
    <t xml:space="preserve">571556</t>
  </si>
  <si>
    <t xml:space="preserve">22504</t>
  </si>
  <si>
    <t xml:space="preserve">CABIN BAG VINTAGE RETROSPOT</t>
  </si>
  <si>
    <t xml:space="preserve">84347</t>
  </si>
  <si>
    <t xml:space="preserve">ROTATING SILVER ANGELS T-LIGHT HLDR</t>
  </si>
  <si>
    <t xml:space="preserve">84997B</t>
  </si>
  <si>
    <t xml:space="preserve">CHILDRENS CUTLERY RETROSPOT RED </t>
  </si>
  <si>
    <t xml:space="preserve">23082</t>
  </si>
  <si>
    <t xml:space="preserve">SET 6 PAPER TABLE LANTERN HEARTS </t>
  </si>
  <si>
    <t xml:space="preserve">571565</t>
  </si>
  <si>
    <t xml:space="preserve">571658</t>
  </si>
  <si>
    <t xml:space="preserve">22867</t>
  </si>
  <si>
    <t xml:space="preserve">HAND WARMER BIRD DESIGN</t>
  </si>
  <si>
    <t xml:space="preserve">C571678</t>
  </si>
  <si>
    <t xml:space="preserve">C571680</t>
  </si>
  <si>
    <t xml:space="preserve">571724</t>
  </si>
  <si>
    <t xml:space="preserve">22583</t>
  </si>
  <si>
    <t xml:space="preserve">PACK OF 6 HANDBAG GIFT BOXES</t>
  </si>
  <si>
    <t xml:space="preserve">22946</t>
  </si>
  <si>
    <t xml:space="preserve">WOODEN ADVENT CALENDAR CREAM</t>
  </si>
  <si>
    <t xml:space="preserve">23410</t>
  </si>
  <si>
    <t xml:space="preserve">CURIO CABINET LINEN AND LACE </t>
  </si>
  <si>
    <t xml:space="preserve">22135</t>
  </si>
  <si>
    <t xml:space="preserve">MINI LADLE LOVE HEART PINK</t>
  </si>
  <si>
    <t xml:space="preserve">16161G</t>
  </si>
  <si>
    <t xml:space="preserve">WRAP BAD HAIR DAY</t>
  </si>
  <si>
    <t xml:space="preserve">85017B</t>
  </si>
  <si>
    <t xml:space="preserve">ENVELOPE 50 BLOSSOM IMAGES</t>
  </si>
  <si>
    <t xml:space="preserve">71279</t>
  </si>
  <si>
    <t xml:space="preserve">PINK GLASS CANDLEHOLDER</t>
  </si>
  <si>
    <t xml:space="preserve">571729</t>
  </si>
  <si>
    <t xml:space="preserve">23210</t>
  </si>
  <si>
    <t xml:space="preserve">WHITE ROCKING HORSE HAND PAINTED</t>
  </si>
  <si>
    <t xml:space="preserve">23211</t>
  </si>
  <si>
    <t xml:space="preserve">RED ROCKING HORSE HAND PAINTED</t>
  </si>
  <si>
    <t xml:space="preserve">23212</t>
  </si>
  <si>
    <t xml:space="preserve">HEART WREATH DECORATION WITH BELL</t>
  </si>
  <si>
    <t xml:space="preserve">571739</t>
  </si>
  <si>
    <t xml:space="preserve">23702</t>
  </si>
  <si>
    <t xml:space="preserve">High Resolution Image</t>
  </si>
  <si>
    <t xml:space="preserve">571824</t>
  </si>
  <si>
    <t xml:space="preserve">23511</t>
  </si>
  <si>
    <t xml:space="preserve">EMBROIDERED RIBBON REEL EMILY </t>
  </si>
  <si>
    <t xml:space="preserve">22711</t>
  </si>
  <si>
    <t xml:space="preserve">WRAP CIRCUS PARADE</t>
  </si>
  <si>
    <t xml:space="preserve">22078</t>
  </si>
  <si>
    <t xml:space="preserve">RIBBON REEL LACE DESIGN </t>
  </si>
  <si>
    <t xml:space="preserve">23000</t>
  </si>
  <si>
    <t xml:space="preserve">TRAVEL CARD WALLET TRANSPORT</t>
  </si>
  <si>
    <t xml:space="preserve">22025</t>
  </si>
  <si>
    <t xml:space="preserve">RING OF ROSES BIRTHDAY CARD</t>
  </si>
  <si>
    <t xml:space="preserve">22051</t>
  </si>
  <si>
    <t xml:space="preserve">BLUE SCANDINAVIAN PAISLEY WRAP</t>
  </si>
  <si>
    <t xml:space="preserve">22706</t>
  </si>
  <si>
    <t xml:space="preserve">WRAP COWBOYS  </t>
  </si>
  <si>
    <t xml:space="preserve">22814</t>
  </si>
  <si>
    <t xml:space="preserve">CARD PARTY GAMES </t>
  </si>
  <si>
    <t xml:space="preserve">22817</t>
  </si>
  <si>
    <t xml:space="preserve">CARD SUKI BIRTHDAY</t>
  </si>
  <si>
    <t xml:space="preserve">571864</t>
  </si>
  <si>
    <t xml:space="preserve">571904</t>
  </si>
  <si>
    <t xml:space="preserve">571923</t>
  </si>
  <si>
    <t xml:space="preserve">C571928</t>
  </si>
  <si>
    <t xml:space="preserve">572054</t>
  </si>
  <si>
    <t xml:space="preserve">572060</t>
  </si>
  <si>
    <t xml:space="preserve">22067</t>
  </si>
  <si>
    <t xml:space="preserve">CHOC TRUFFLE GOLD TRINKET POT </t>
  </si>
  <si>
    <t xml:space="preserve">572061</t>
  </si>
  <si>
    <t xml:space="preserve">22568</t>
  </si>
  <si>
    <t xml:space="preserve">FELTCRAFT CUSHION OWL</t>
  </si>
  <si>
    <t xml:space="preserve">22147</t>
  </si>
  <si>
    <t xml:space="preserve">FELTCRAFT BUTTERFLY HEARTS</t>
  </si>
  <si>
    <t xml:space="preserve">22150</t>
  </si>
  <si>
    <t xml:space="preserve">3 STRIPEY MICE FELTCRAFT</t>
  </si>
  <si>
    <t xml:space="preserve">21206</t>
  </si>
  <si>
    <t xml:space="preserve">STRAWBERRY HONEYCOMB  GARLAND </t>
  </si>
  <si>
    <t xml:space="preserve">22246</t>
  </si>
  <si>
    <t xml:space="preserve">MAGIC GARDEN FELT GARLAND </t>
  </si>
  <si>
    <t xml:space="preserve">22780</t>
  </si>
  <si>
    <t xml:space="preserve">LIGHT GARLAND BUTTERFILES PINK</t>
  </si>
  <si>
    <t xml:space="preserve">572087</t>
  </si>
  <si>
    <t xml:space="preserve">21123</t>
  </si>
  <si>
    <t xml:space="preserve">SET/10 IVORY POLKADOT PARTY CANDLES</t>
  </si>
  <si>
    <t xml:space="preserve">21946</t>
  </si>
  <si>
    <t xml:space="preserve">PARTY TIME DESIGN FLANNEL</t>
  </si>
  <si>
    <t xml:space="preserve">47599B</t>
  </si>
  <si>
    <t xml:space="preserve">BLUE PARTY BAGS </t>
  </si>
  <si>
    <t xml:space="preserve">21948</t>
  </si>
  <si>
    <t xml:space="preserve">SET OF 6 CAKE CHOPSTICKS</t>
  </si>
  <si>
    <t xml:space="preserve">21943</t>
  </si>
  <si>
    <t xml:space="preserve">CAKES AND RABBITS DESIGN FLANNEL </t>
  </si>
  <si>
    <t xml:space="preserve">572134</t>
  </si>
  <si>
    <t xml:space="preserve">21615</t>
  </si>
  <si>
    <t xml:space="preserve">4 LAVENDER BOTANICAL DINNER CANDLES</t>
  </si>
  <si>
    <t xml:space="preserve">21620</t>
  </si>
  <si>
    <t xml:space="preserve">SET OF 4 ROSE BOTANICAL CANDLES</t>
  </si>
  <si>
    <t xml:space="preserve">22446</t>
  </si>
  <si>
    <t xml:space="preserve">PIN CUSHION BABUSHKA PINK</t>
  </si>
  <si>
    <t xml:space="preserve">572241</t>
  </si>
  <si>
    <t xml:space="preserve">22114</t>
  </si>
  <si>
    <t xml:space="preserve">HOT WATER BOTTLE TEA AND SYMPATHY</t>
  </si>
  <si>
    <t xml:space="preserve">22834</t>
  </si>
  <si>
    <t xml:space="preserve">HAND WARMER BABUSHKA DESIGN</t>
  </si>
  <si>
    <t xml:space="preserve">85054</t>
  </si>
  <si>
    <t xml:space="preserve">FRENCH ENAMEL POT W LID</t>
  </si>
  <si>
    <t xml:space="preserve">C572275</t>
  </si>
  <si>
    <t xml:space="preserve">C572488</t>
  </si>
  <si>
    <t xml:space="preserve">572559</t>
  </si>
  <si>
    <t xml:space="preserve">23104</t>
  </si>
  <si>
    <t xml:space="preserve">IVORY CAFE HANGING LAMP </t>
  </si>
  <si>
    <t xml:space="preserve">23356</t>
  </si>
  <si>
    <t xml:space="preserve">LOVE HOT WATER BOTTLE</t>
  </si>
  <si>
    <t xml:space="preserve">23571</t>
  </si>
  <si>
    <t xml:space="preserve">TRADITIONAL NAUGHTS &amp; CROSSES</t>
  </si>
  <si>
    <t xml:space="preserve">22086</t>
  </si>
  <si>
    <t xml:space="preserve">PAPER CHAIN KIT 50'S CHRISTMAS </t>
  </si>
  <si>
    <t xml:space="preserve">572560</t>
  </si>
  <si>
    <t xml:space="preserve">22691</t>
  </si>
  <si>
    <t xml:space="preserve">DOORMAT WELCOME SUNRISE</t>
  </si>
  <si>
    <t xml:space="preserve">22660</t>
  </si>
  <si>
    <t xml:space="preserve">DOORMAT I LOVE LONDON</t>
  </si>
  <si>
    <t xml:space="preserve">572894</t>
  </si>
  <si>
    <t xml:space="preserve">572895</t>
  </si>
  <si>
    <t xml:space="preserve">572925</t>
  </si>
  <si>
    <t xml:space="preserve">23485</t>
  </si>
  <si>
    <t xml:space="preserve">BOTANICAL GARDENS WALL CLOCK </t>
  </si>
  <si>
    <t xml:space="preserve">23479</t>
  </si>
  <si>
    <t xml:space="preserve">WIRE EGG BASKET </t>
  </si>
  <si>
    <t xml:space="preserve">22153</t>
  </si>
  <si>
    <t xml:space="preserve">ANGEL DECORATION STARS ON DRESS</t>
  </si>
  <si>
    <t xml:space="preserve">572986</t>
  </si>
  <si>
    <t xml:space="preserve">23534</t>
  </si>
  <si>
    <t xml:space="preserve">WALL ART STOP FOR TEA </t>
  </si>
  <si>
    <t xml:space="preserve">23541</t>
  </si>
  <si>
    <t xml:space="preserve">WALL ART CLASSIC PUDDINGS </t>
  </si>
  <si>
    <t xml:space="preserve">23317</t>
  </si>
  <si>
    <t xml:space="preserve">BLUE REFECTORY CLOCK </t>
  </si>
  <si>
    <t xml:space="preserve">572992</t>
  </si>
  <si>
    <t xml:space="preserve">573036</t>
  </si>
  <si>
    <t xml:space="preserve">23112</t>
  </si>
  <si>
    <t xml:space="preserve">PARISIENNE CURIO CABINET</t>
  </si>
  <si>
    <t xml:space="preserve">23480</t>
  </si>
  <si>
    <t xml:space="preserve">MINI LIGHTS WOODLAND MUSHROOMS</t>
  </si>
  <si>
    <t xml:space="preserve">C573037</t>
  </si>
  <si>
    <t xml:space="preserve">STRAWBERRY CERAMIC TRINKET POT</t>
  </si>
  <si>
    <t xml:space="preserve">573077</t>
  </si>
  <si>
    <t xml:space="preserve">C573079</t>
  </si>
  <si>
    <t xml:space="preserve">573080</t>
  </si>
  <si>
    <t xml:space="preserve">573106</t>
  </si>
  <si>
    <t xml:space="preserve">22736</t>
  </si>
  <si>
    <t xml:space="preserve">RIBBON REEL MAKING SNOWMEN </t>
  </si>
  <si>
    <t xml:space="preserve">22738</t>
  </si>
  <si>
    <t xml:space="preserve">RIBBON REEL SNOWY VILLAGE</t>
  </si>
  <si>
    <t xml:space="preserve">22593</t>
  </si>
  <si>
    <t xml:space="preserve">CHRISTMAS GINGHAM STAR</t>
  </si>
  <si>
    <t xml:space="preserve">22594</t>
  </si>
  <si>
    <t xml:space="preserve">CHRISTMAS GINGHAM TREE</t>
  </si>
  <si>
    <t xml:space="preserve">23476</t>
  </si>
  <si>
    <t xml:space="preserve">WOODLAND LARGE RED FELT HEART</t>
  </si>
  <si>
    <t xml:space="preserve">23474</t>
  </si>
  <si>
    <t xml:space="preserve">WOODLAND SMALL BLUE FELT HEART</t>
  </si>
  <si>
    <t xml:space="preserve">23570</t>
  </si>
  <si>
    <t xml:space="preserve">TRADITIONAL PICK UP STICKS GAME </t>
  </si>
  <si>
    <t xml:space="preserve">573136</t>
  </si>
  <si>
    <t xml:space="preserve">573153</t>
  </si>
  <si>
    <t xml:space="preserve">22560</t>
  </si>
  <si>
    <t xml:space="preserve">TRADITIONAL MODELLING CLAY</t>
  </si>
  <si>
    <t xml:space="preserve">84991</t>
  </si>
  <si>
    <t xml:space="preserve">60 TEATIME FAIRY CAKE CASES</t>
  </si>
  <si>
    <t xml:space="preserve">C573187</t>
  </si>
  <si>
    <t xml:space="preserve">573273</t>
  </si>
  <si>
    <t xml:space="preserve">23497</t>
  </si>
  <si>
    <t xml:space="preserve">CLASSIC CHROME BICYCLE BELL </t>
  </si>
  <si>
    <t xml:space="preserve">573284</t>
  </si>
  <si>
    <t xml:space="preserve">573289</t>
  </si>
  <si>
    <t xml:space="preserve">23358</t>
  </si>
  <si>
    <t xml:space="preserve">HOT STUFF HOT WATER BOTTLE</t>
  </si>
  <si>
    <t xml:space="preserve">84600</t>
  </si>
  <si>
    <t xml:space="preserve">NEW BAROQUE JEWELLERY BOX </t>
  </si>
  <si>
    <t xml:space="preserve">22113</t>
  </si>
  <si>
    <t xml:space="preserve">GREY HEART HOT WATER BOTTLE</t>
  </si>
  <si>
    <t xml:space="preserve">22076</t>
  </si>
  <si>
    <t xml:space="preserve">6 RIBBONS EMPIRE  </t>
  </si>
  <si>
    <t xml:space="preserve">85049C</t>
  </si>
  <si>
    <t xml:space="preserve">ROMANTIC PINKS RIBBONS </t>
  </si>
  <si>
    <t xml:space="preserve">23566</t>
  </si>
  <si>
    <t xml:space="preserve">EGG CUP MILKMAID HEIDI</t>
  </si>
  <si>
    <t xml:space="preserve">23564</t>
  </si>
  <si>
    <t xml:space="preserve">EGG CUP MILKMAID INGRID</t>
  </si>
  <si>
    <t xml:space="preserve">23459</t>
  </si>
  <si>
    <t xml:space="preserve">DOLLY CABINET 2 DRAWERS </t>
  </si>
  <si>
    <t xml:space="preserve">573316</t>
  </si>
  <si>
    <t xml:space="preserve">573402</t>
  </si>
  <si>
    <t xml:space="preserve">21557</t>
  </si>
  <si>
    <t xml:space="preserve">SET OF 6 FUNKY BEAKERS</t>
  </si>
  <si>
    <t xml:space="preserve">573417</t>
  </si>
  <si>
    <t xml:space="preserve">16016</t>
  </si>
  <si>
    <t xml:space="preserve">LARGE CHINESE STYLE SCISSOR</t>
  </si>
  <si>
    <t xml:space="preserve">23414</t>
  </si>
  <si>
    <t xml:space="preserve">ZINC BOX SIGN HOME</t>
  </si>
  <si>
    <t xml:space="preserve">23090</t>
  </si>
  <si>
    <t xml:space="preserve">VINTAGE GLASS T-LIGHT HOLDER</t>
  </si>
  <si>
    <t xml:space="preserve">23037</t>
  </si>
  <si>
    <t xml:space="preserve">CANDLE HOLDER SILVER MADELINE</t>
  </si>
  <si>
    <t xml:space="preserve">84836</t>
  </si>
  <si>
    <t xml:space="preserve">ZINC METAL HEART DECORATION</t>
  </si>
  <si>
    <t xml:space="preserve">84832</t>
  </si>
  <si>
    <t xml:space="preserve">ZINC WILLIE WINKIE  CANDLE STICK</t>
  </si>
  <si>
    <t xml:space="preserve">20846</t>
  </si>
  <si>
    <t xml:space="preserve">ZINC HEART LATTICE T-LIGHT HOLDER</t>
  </si>
  <si>
    <t xml:space="preserve">573424</t>
  </si>
  <si>
    <t xml:space="preserve">573428</t>
  </si>
  <si>
    <t xml:space="preserve">22210</t>
  </si>
  <si>
    <t xml:space="preserve">WOOD STAMP SET BEST WISHES</t>
  </si>
  <si>
    <t xml:space="preserve">85032A</t>
  </si>
  <si>
    <t xml:space="preserve">ROMANTIC IMAGES GIFT WRAP SET</t>
  </si>
  <si>
    <t xml:space="preserve">20972</t>
  </si>
  <si>
    <t xml:space="preserve">PINK CREAM FELT CRAFT TRINKET BOX </t>
  </si>
  <si>
    <t xml:space="preserve">23475</t>
  </si>
  <si>
    <t xml:space="preserve">WOODLAND SMALL PINK FELT HEART</t>
  </si>
  <si>
    <t xml:space="preserve">22820</t>
  </si>
  <si>
    <t xml:space="preserve">GIFT BAG BIRTHDAY</t>
  </si>
  <si>
    <t xml:space="preserve">573430</t>
  </si>
  <si>
    <t xml:space="preserve">23569</t>
  </si>
  <si>
    <t xml:space="preserve">TRADTIONAL ALPHABET STAMP SET</t>
  </si>
  <si>
    <t xml:space="preserve">573442</t>
  </si>
  <si>
    <t xml:space="preserve">573629</t>
  </si>
  <si>
    <t xml:space="preserve">22163</t>
  </si>
  <si>
    <t xml:space="preserve">HEART STRING MEMO HOLDER HANGING</t>
  </si>
  <si>
    <t xml:space="preserve">573867</t>
  </si>
  <si>
    <t xml:space="preserve">573868</t>
  </si>
  <si>
    <t xml:space="preserve">C573869</t>
  </si>
  <si>
    <t xml:space="preserve">573891</t>
  </si>
  <si>
    <t xml:space="preserve">23499</t>
  </si>
  <si>
    <t xml:space="preserve">SET 12 VINTAGE DOILY CHALK </t>
  </si>
  <si>
    <t xml:space="preserve">23453</t>
  </si>
  <si>
    <t xml:space="preserve">OVAL  MINI PORTRAIT FRAME</t>
  </si>
  <si>
    <t xml:space="preserve">C574061</t>
  </si>
  <si>
    <t xml:space="preserve">574068</t>
  </si>
  <si>
    <t xml:space="preserve">23314</t>
  </si>
  <si>
    <t xml:space="preserve">VINTAGE CHRISTMAS TABLECLOTH</t>
  </si>
  <si>
    <t xml:space="preserve">574071</t>
  </si>
  <si>
    <t xml:space="preserve">23439</t>
  </si>
  <si>
    <t xml:space="preserve">HAND WARMER RED LOVE HEART</t>
  </si>
  <si>
    <t xml:space="preserve">23031</t>
  </si>
  <si>
    <t xml:space="preserve">DRAWER KNOB CRACKLE GLAZE PINK</t>
  </si>
  <si>
    <t xml:space="preserve">574093</t>
  </si>
  <si>
    <t xml:space="preserve">22742</t>
  </si>
  <si>
    <t xml:space="preserve">MAKE YOUR OWN PLAYTIME CARD KIT</t>
  </si>
  <si>
    <t xml:space="preserve">22744</t>
  </si>
  <si>
    <t xml:space="preserve">MAKE YOUR OWN MONSOON CARD KIT</t>
  </si>
  <si>
    <t xml:space="preserve">22693</t>
  </si>
  <si>
    <t xml:space="preserve">GROW A FLYTRAP OR SUNFLOWER IN TIN</t>
  </si>
  <si>
    <t xml:space="preserve">22668</t>
  </si>
  <si>
    <t xml:space="preserve">PINK BABY BUNTING</t>
  </si>
  <si>
    <t xml:space="preserve">22937</t>
  </si>
  <si>
    <t xml:space="preserve">BAKING MOULD CHOCOLATE CUPCAKES</t>
  </si>
  <si>
    <t xml:space="preserve">21358</t>
  </si>
  <si>
    <t xml:space="preserve">TOAST ITS - HAPPY BIRTHDAY</t>
  </si>
  <si>
    <t xml:space="preserve">22440</t>
  </si>
  <si>
    <t xml:space="preserve">BALLOON WATER BOMB PACK OF 35</t>
  </si>
  <si>
    <t xml:space="preserve">72760B</t>
  </si>
  <si>
    <t xml:space="preserve">VINTAGE CREAM 3 BASKET CAKE STAND</t>
  </si>
  <si>
    <t xml:space="preserve">SET OF 36 SPACEBOY PAPER DOILIES</t>
  </si>
  <si>
    <t xml:space="preserve">21972</t>
  </si>
  <si>
    <t xml:space="preserve">SET OF 36 DINOSAUR PAPER DOILIES</t>
  </si>
  <si>
    <t xml:space="preserve">SET OF 36 DOLLY GIRL PAPER DOILIES</t>
  </si>
  <si>
    <t xml:space="preserve">C574095</t>
  </si>
  <si>
    <t xml:space="preserve">574097</t>
  </si>
  <si>
    <t xml:space="preserve">23100</t>
  </si>
  <si>
    <t xml:space="preserve">SILVER BELLS TABLE DECORATION</t>
  </si>
  <si>
    <t xml:space="preserve">23102</t>
  </si>
  <si>
    <t xml:space="preserve">SILVER HEARTS TABLE DECORATION</t>
  </si>
  <si>
    <t xml:space="preserve">23473</t>
  </si>
  <si>
    <t xml:space="preserve">WOODLAND SMALL RED FELT HEART</t>
  </si>
  <si>
    <t xml:space="preserve">574104</t>
  </si>
  <si>
    <t xml:space="preserve">23267</t>
  </si>
  <si>
    <t xml:space="preserve">SET OF 4 SANTA PLACE SETTINGS</t>
  </si>
  <si>
    <t xml:space="preserve">23214</t>
  </si>
  <si>
    <t xml:space="preserve">JINGLE BELL HEART ANTIQUE GOLD</t>
  </si>
  <si>
    <t xml:space="preserve">23216</t>
  </si>
  <si>
    <t xml:space="preserve">LAUREL HEART ANTIQUE GOLD</t>
  </si>
  <si>
    <t xml:space="preserve">22574</t>
  </si>
  <si>
    <t xml:space="preserve">HEART WOODEN CHRISTMAS DECORATION</t>
  </si>
  <si>
    <t xml:space="preserve">574252</t>
  </si>
  <si>
    <t xml:space="preserve">574255</t>
  </si>
  <si>
    <t xml:space="preserve">21874</t>
  </si>
  <si>
    <t xml:space="preserve">GIN AND TONIC MUG</t>
  </si>
  <si>
    <t xml:space="preserve">C574261</t>
  </si>
  <si>
    <t xml:space="preserve">C574347</t>
  </si>
  <si>
    <t xml:space="preserve">574501</t>
  </si>
  <si>
    <t xml:space="preserve">21365</t>
  </si>
  <si>
    <t xml:space="preserve">MIRRORED WALL ART STARS</t>
  </si>
  <si>
    <t xml:space="preserve">21371</t>
  </si>
  <si>
    <t xml:space="preserve">MIRRORED WALL ART POPPIES</t>
  </si>
  <si>
    <t xml:space="preserve">21374</t>
  </si>
  <si>
    <t xml:space="preserve">MIRRORED WALL ART SKULLS</t>
  </si>
  <si>
    <t xml:space="preserve">21369</t>
  </si>
  <si>
    <t xml:space="preserve">MIRRORED WALL ART SPLODGES</t>
  </si>
  <si>
    <t xml:space="preserve">84519B</t>
  </si>
  <si>
    <t xml:space="preserve">CARROT CHARLIE+LOLA COASTER SET</t>
  </si>
  <si>
    <t xml:space="preserve">84519A</t>
  </si>
  <si>
    <t xml:space="preserve">TOMATO CHARLIE+LOLA COASTER SET</t>
  </si>
  <si>
    <t xml:space="preserve">23332</t>
  </si>
  <si>
    <t xml:space="preserve">IVORY WICKER HEART LARGE</t>
  </si>
  <si>
    <t xml:space="preserve">22065</t>
  </si>
  <si>
    <t xml:space="preserve">CHRISTMAS PUDDING TRINKET POT </t>
  </si>
  <si>
    <t xml:space="preserve">22306</t>
  </si>
  <si>
    <t xml:space="preserve">SILVER MUG BONE CHINA TREE OF LIFE</t>
  </si>
  <si>
    <t xml:space="preserve">22791</t>
  </si>
  <si>
    <t xml:space="preserve">T-LIGHT GLASS FLUTED ANTIQUE</t>
  </si>
  <si>
    <t xml:space="preserve">23103</t>
  </si>
  <si>
    <t xml:space="preserve">JINGLE BELL HEART DECORATION</t>
  </si>
  <si>
    <t xml:space="preserve">21070</t>
  </si>
  <si>
    <t xml:space="preserve">VINTAGE BILLBOARD MUG </t>
  </si>
  <si>
    <t xml:space="preserve">21012</t>
  </si>
  <si>
    <t xml:space="preserve">ANTIQUE ALL GLASS CANDLESTICK</t>
  </si>
  <si>
    <t xml:space="preserve">16225</t>
  </si>
  <si>
    <t xml:space="preserve">RATTLE SNAKE EGGS</t>
  </si>
  <si>
    <t xml:space="preserve">20961</t>
  </si>
  <si>
    <t xml:space="preserve">STRAWBERRY BATH SPONGE </t>
  </si>
  <si>
    <t xml:space="preserve">79066K</t>
  </si>
  <si>
    <t xml:space="preserve">RETRO MOD TRAY</t>
  </si>
  <si>
    <t xml:space="preserve">21306</t>
  </si>
  <si>
    <t xml:space="preserve">SET/4 DAISY MIRROR MAGNETS</t>
  </si>
  <si>
    <t xml:space="preserve">23281</t>
  </si>
  <si>
    <t xml:space="preserve">FOLDING BUTTERFLY MIRROR RED  </t>
  </si>
  <si>
    <t xml:space="preserve">23282</t>
  </si>
  <si>
    <t xml:space="preserve">FOLDING BUTTERFLY MIRROR IVORY </t>
  </si>
  <si>
    <t xml:space="preserve">16237</t>
  </si>
  <si>
    <t xml:space="preserve">SLEEPING CAT ERASERS</t>
  </si>
  <si>
    <t xml:space="preserve">23503</t>
  </si>
  <si>
    <t xml:space="preserve">PLAYING CARDS KEEP CALM &amp; CARRY ON</t>
  </si>
  <si>
    <t xml:space="preserve">23121</t>
  </si>
  <si>
    <t xml:space="preserve">PACK OF 6 COCKTAIL PARASOL STRAWS</t>
  </si>
  <si>
    <t xml:space="preserve">23120</t>
  </si>
  <si>
    <t xml:space="preserve">PACK OF 6 SMALL FRUIT STRAWS</t>
  </si>
  <si>
    <t xml:space="preserve">10120</t>
  </si>
  <si>
    <t xml:space="preserve">DOGGY RUBBER</t>
  </si>
  <si>
    <t xml:space="preserve">22596</t>
  </si>
  <si>
    <t xml:space="preserve">CHRISTMAS STAR WISH LIST CHALKBOARD</t>
  </si>
  <si>
    <t xml:space="preserve">22068</t>
  </si>
  <si>
    <t xml:space="preserve">BLACK PIRATE TREASURE CHEST</t>
  </si>
  <si>
    <t xml:space="preserve">47503A</t>
  </si>
  <si>
    <t xml:space="preserve">ASS FLORAL PRINT MULTI SCREWDRIVER</t>
  </si>
  <si>
    <t xml:space="preserve">21034</t>
  </si>
  <si>
    <t xml:space="preserve">REX CASH+CARRY JUMBO SHOPPER</t>
  </si>
  <si>
    <t xml:space="preserve">574506</t>
  </si>
  <si>
    <t xml:space="preserve">23583</t>
  </si>
  <si>
    <t xml:space="preserve">LUNCH BAG PAISLEY PARK  </t>
  </si>
  <si>
    <t xml:space="preserve">23489</t>
  </si>
  <si>
    <t xml:space="preserve">VINTAGE BELLS GARLAND</t>
  </si>
  <si>
    <t xml:space="preserve">23085</t>
  </si>
  <si>
    <t xml:space="preserve">ANTIQUE SILVER BAUBLE LAMP  </t>
  </si>
  <si>
    <t xml:space="preserve">84673B</t>
  </si>
  <si>
    <t xml:space="preserve">BLUE FLY SWAT</t>
  </si>
  <si>
    <t xml:space="preserve">23283</t>
  </si>
  <si>
    <t xml:space="preserve">DOORMAT VINTAGE LEAF</t>
  </si>
  <si>
    <t xml:space="preserve">21372</t>
  </si>
  <si>
    <t xml:space="preserve">MIRRORED WALL ART TABLE LAMP</t>
  </si>
  <si>
    <t xml:space="preserve">22910</t>
  </si>
  <si>
    <t xml:space="preserve">PAPER CHAIN KIT VINTAGE CHRISTMAS</t>
  </si>
  <si>
    <t xml:space="preserve">22792</t>
  </si>
  <si>
    <t xml:space="preserve">FLUTED ANTIQUE CANDLE HOLDER</t>
  </si>
  <si>
    <t xml:space="preserve">C574512</t>
  </si>
  <si>
    <t xml:space="preserve">574653</t>
  </si>
  <si>
    <t xml:space="preserve">22079</t>
  </si>
  <si>
    <t xml:space="preserve">RIBBON REEL HEARTS DESIGN </t>
  </si>
  <si>
    <t xml:space="preserve">574679</t>
  </si>
  <si>
    <t xml:space="preserve">21264</t>
  </si>
  <si>
    <t xml:space="preserve">WHITE GOOSE FEATHER TREE 60CM </t>
  </si>
  <si>
    <t xml:space="preserve">574713</t>
  </si>
  <si>
    <t xml:space="preserve">23582</t>
  </si>
  <si>
    <t xml:space="preserve">VINTAGE DOILY JUMBO BAG RED </t>
  </si>
  <si>
    <t xml:space="preserve">22654</t>
  </si>
  <si>
    <t xml:space="preserve">DELUXE SEWING KIT </t>
  </si>
  <si>
    <t xml:space="preserve">574869</t>
  </si>
  <si>
    <t xml:space="preserve">574885</t>
  </si>
  <si>
    <t xml:space="preserve">574918</t>
  </si>
  <si>
    <t xml:space="preserve">22227</t>
  </si>
  <si>
    <t xml:space="preserve">HANGING HEART MIRROR DECORATION </t>
  </si>
  <si>
    <t xml:space="preserve">22602</t>
  </si>
  <si>
    <t xml:space="preserve">RETROSPOT WOODEN HEART DECORATION</t>
  </si>
  <si>
    <t xml:space="preserve">21818</t>
  </si>
  <si>
    <t xml:space="preserve">GLITTER HEART DECORATION</t>
  </si>
  <si>
    <t xml:space="preserve">22219</t>
  </si>
  <si>
    <t xml:space="preserve">LOVEBIRD HANGING DECORATION WHITE </t>
  </si>
  <si>
    <t xml:space="preserve">22335</t>
  </si>
  <si>
    <t xml:space="preserve">HEART DECORATION PAINTED ZINC </t>
  </si>
  <si>
    <t xml:space="preserve">85136A</t>
  </si>
  <si>
    <t xml:space="preserve">YELLOW SHARK HELICOPTER</t>
  </si>
  <si>
    <t xml:space="preserve">21822</t>
  </si>
  <si>
    <t xml:space="preserve">GLITTER CHRISTMAS TREE WITH BELLS</t>
  </si>
  <si>
    <t xml:space="preserve">21811</t>
  </si>
  <si>
    <t xml:space="preserve">HANGING HEART WITH BELL</t>
  </si>
  <si>
    <t xml:space="preserve">23394</t>
  </si>
  <si>
    <t xml:space="preserve">POSTE FRANCE CUSHION COVER</t>
  </si>
  <si>
    <t xml:space="preserve">21003</t>
  </si>
  <si>
    <t xml:space="preserve">ROSE DU SUD CUSHION COVER</t>
  </si>
  <si>
    <t xml:space="preserve">84032B</t>
  </si>
  <si>
    <t xml:space="preserve">CHARLIE + LOLA RED HOT WATER BOTTLE</t>
  </si>
  <si>
    <t xml:space="preserve">23535</t>
  </si>
  <si>
    <t xml:space="preserve">WALL ART BICYCLE SAFETY</t>
  </si>
  <si>
    <t xml:space="preserve">C574946</t>
  </si>
  <si>
    <t xml:space="preserve">575049</t>
  </si>
  <si>
    <t xml:space="preserve">C575064</t>
  </si>
  <si>
    <t xml:space="preserve">575067</t>
  </si>
  <si>
    <t xml:space="preserve">C575082</t>
  </si>
  <si>
    <t xml:space="preserve">C575150</t>
  </si>
  <si>
    <t xml:space="preserve">575193</t>
  </si>
  <si>
    <t xml:space="preserve">23324</t>
  </si>
  <si>
    <t xml:space="preserve">RUSTIC STRAWBERRY JAM POT LARGE </t>
  </si>
  <si>
    <t xml:space="preserve">20615</t>
  </si>
  <si>
    <t xml:space="preserve">BLUE POLKADOT PASSPORT COVER</t>
  </si>
  <si>
    <t xml:space="preserve">23565</t>
  </si>
  <si>
    <t xml:space="preserve">EGG CUP MILKMAID HELGA </t>
  </si>
  <si>
    <t xml:space="preserve">85232D</t>
  </si>
  <si>
    <t xml:space="preserve">SET/3 DECOUPAGE STACKING TINS</t>
  </si>
  <si>
    <t xml:space="preserve">C575223</t>
  </si>
  <si>
    <t xml:space="preserve">575326</t>
  </si>
  <si>
    <t xml:space="preserve">22340</t>
  </si>
  <si>
    <t xml:space="preserve">NOEL GARLAND PAINTED ZINC </t>
  </si>
  <si>
    <t xml:space="preserve">23083</t>
  </si>
  <si>
    <t xml:space="preserve">SET 6 PAPER TABLE LANTERN STARS </t>
  </si>
  <si>
    <t xml:space="preserve">23491</t>
  </si>
  <si>
    <t xml:space="preserve">VINTAGE JINGLE BELLS HEART</t>
  </si>
  <si>
    <t xml:space="preserve">575352</t>
  </si>
  <si>
    <t xml:space="preserve">575498</t>
  </si>
  <si>
    <t xml:space="preserve">575519</t>
  </si>
  <si>
    <t xml:space="preserve">575581</t>
  </si>
  <si>
    <t xml:space="preserve">22944</t>
  </si>
  <si>
    <t xml:space="preserve">CHRISTMAS METAL POSTCARD WITH BELLS</t>
  </si>
  <si>
    <t xml:space="preserve">575584</t>
  </si>
  <si>
    <t xml:space="preserve">C575592</t>
  </si>
  <si>
    <t xml:space="preserve">575629</t>
  </si>
  <si>
    <t xml:space="preserve">22540</t>
  </si>
  <si>
    <t xml:space="preserve">MINI JIGSAW CIRCUS PARADE </t>
  </si>
  <si>
    <t xml:space="preserve">575632</t>
  </si>
  <si>
    <t xml:space="preserve">C575635</t>
  </si>
  <si>
    <t xml:space="preserve">575636</t>
  </si>
  <si>
    <t xml:space="preserve">C575638</t>
  </si>
  <si>
    <t xml:space="preserve">575661</t>
  </si>
  <si>
    <t xml:space="preserve">22607</t>
  </si>
  <si>
    <t xml:space="preserve">WOODEN ROUNDERS GARDEN SET </t>
  </si>
  <si>
    <t xml:space="preserve">23490</t>
  </si>
  <si>
    <t xml:space="preserve">T-LIGHT HOLDER HANGING LOVE BIRD</t>
  </si>
  <si>
    <t xml:space="preserve">22081</t>
  </si>
  <si>
    <t xml:space="preserve">RIBBON REEL FLORA + FAUNA </t>
  </si>
  <si>
    <t xml:space="preserve">90099</t>
  </si>
  <si>
    <t xml:space="preserve">NECKLACE+BRACELET SET BLUE HIBISCUS</t>
  </si>
  <si>
    <t xml:space="preserve">22469</t>
  </si>
  <si>
    <t xml:space="preserve">HEART OF WICKER SMALL</t>
  </si>
  <si>
    <t xml:space="preserve">23329</t>
  </si>
  <si>
    <t xml:space="preserve">DECORATIVE WICKER HEART LARGE</t>
  </si>
  <si>
    <t xml:space="preserve">22577</t>
  </si>
  <si>
    <t xml:space="preserve">WOODEN HEART CHRISTMAS SCANDINAVIAN</t>
  </si>
  <si>
    <t xml:space="preserve">23333</t>
  </si>
  <si>
    <t xml:space="preserve">IVORY WICKER HEART MEDIUM</t>
  </si>
  <si>
    <t xml:space="preserve">575671</t>
  </si>
  <si>
    <t xml:space="preserve">575692</t>
  </si>
  <si>
    <t xml:space="preserve">23597</t>
  </si>
  <si>
    <t xml:space="preserve">PAPER BUNTING PAISLEY PARK</t>
  </si>
  <si>
    <t xml:space="preserve">21819</t>
  </si>
  <si>
    <t xml:space="preserve">GLITTER CHRISTMAS STAR </t>
  </si>
  <si>
    <t xml:space="preserve">85199S</t>
  </si>
  <si>
    <t xml:space="preserve">SMALL HANGING IVORY/RED WOOD BIRD</t>
  </si>
  <si>
    <t xml:space="preserve">23452</t>
  </si>
  <si>
    <t xml:space="preserve">HEART MINI PORTRAIT FRAME</t>
  </si>
  <si>
    <t xml:space="preserve">85130C</t>
  </si>
  <si>
    <t xml:space="preserve">BEADED CRYSTAL HEART BLUE  LARGE</t>
  </si>
  <si>
    <t xml:space="preserve">22255</t>
  </si>
  <si>
    <t xml:space="preserve">FELT TOADSTOOL  SMALL</t>
  </si>
  <si>
    <t xml:space="preserve">23334</t>
  </si>
  <si>
    <t xml:space="preserve">IVORY WICKER HEART SMALL</t>
  </si>
  <si>
    <t xml:space="preserve">22696</t>
  </si>
  <si>
    <t xml:space="preserve">WICKER WREATH LARGE</t>
  </si>
  <si>
    <t xml:space="preserve">22695</t>
  </si>
  <si>
    <t xml:space="preserve">WICKER WREATH SMALL</t>
  </si>
  <si>
    <t xml:space="preserve">21926</t>
  </si>
  <si>
    <t xml:space="preserve">RED/CREAM STRIPE CUSHION COVER </t>
  </si>
  <si>
    <t xml:space="preserve">575713</t>
  </si>
  <si>
    <t xml:space="preserve">575732</t>
  </si>
  <si>
    <t xml:space="preserve">575733</t>
  </si>
  <si>
    <t xml:space="preserve">21506</t>
  </si>
  <si>
    <t xml:space="preserve">FANCY FONT BIRTHDAY CARD, </t>
  </si>
  <si>
    <t xml:space="preserve">22717</t>
  </si>
  <si>
    <t xml:space="preserve">CARD DOG AND BALL </t>
  </si>
  <si>
    <t xml:space="preserve">575747</t>
  </si>
  <si>
    <t xml:space="preserve">22838</t>
  </si>
  <si>
    <t xml:space="preserve">3 TIER CAKE TIN RED AND CREAM</t>
  </si>
  <si>
    <t xml:space="preserve">575750</t>
  </si>
  <si>
    <t xml:space="preserve">85061W</t>
  </si>
  <si>
    <t xml:space="preserve">WHITE JEWELLED HEART DECORATION</t>
  </si>
  <si>
    <t xml:space="preserve">72817</t>
  </si>
  <si>
    <t xml:space="preserve">SET OF 2 CHRISTMAS DECOUPAGE CANDLE</t>
  </si>
  <si>
    <t xml:space="preserve">575759</t>
  </si>
  <si>
    <t xml:space="preserve">23481</t>
  </si>
  <si>
    <t xml:space="preserve">PEARLISED IVORY HEART SMALL </t>
  </si>
  <si>
    <t xml:space="preserve">84559A</t>
  </si>
  <si>
    <t xml:space="preserve">3D SHEET OF DOG STICKERS</t>
  </si>
  <si>
    <t xml:space="preserve">84569A</t>
  </si>
  <si>
    <t xml:space="preserve">PACK 3 IRON ON DOG PATCHES</t>
  </si>
  <si>
    <t xml:space="preserve">84558A</t>
  </si>
  <si>
    <t xml:space="preserve">3D DOG PICTURE PLAYING CARDS</t>
  </si>
  <si>
    <t xml:space="preserve">21107</t>
  </si>
  <si>
    <t xml:space="preserve">CREAM SLICE FLANNEL PINK SPOT </t>
  </si>
  <si>
    <t xml:space="preserve">575787</t>
  </si>
  <si>
    <t xml:space="preserve">21882</t>
  </si>
  <si>
    <t xml:space="preserve">SKULLS TAPE</t>
  </si>
  <si>
    <t xml:space="preserve">21884</t>
  </si>
  <si>
    <t xml:space="preserve">CAKES AND BOWS GIFT  TAPE</t>
  </si>
  <si>
    <t xml:space="preserve">C575839</t>
  </si>
  <si>
    <t xml:space="preserve">575845</t>
  </si>
  <si>
    <t xml:space="preserve">575880</t>
  </si>
  <si>
    <t xml:space="preserve">21912</t>
  </si>
  <si>
    <t xml:space="preserve">VINTAGE SNAKES &amp; LADDERS</t>
  </si>
  <si>
    <t xml:space="preserve">21913</t>
  </si>
  <si>
    <t xml:space="preserve">VINTAGE SEASIDE JIGSAW PUZZLES</t>
  </si>
  <si>
    <t xml:space="preserve">575884</t>
  </si>
  <si>
    <t xml:space="preserve">85048</t>
  </si>
  <si>
    <t xml:space="preserve">15CM CHRISTMAS GLASS BALL 20 LIGHTS</t>
  </si>
  <si>
    <t xml:space="preserve">23058</t>
  </si>
  <si>
    <t xml:space="preserve">CHRISTMAS HANGING SNOWFLAKE</t>
  </si>
  <si>
    <t xml:space="preserve">22575</t>
  </si>
  <si>
    <t xml:space="preserve">METAL MERRY CHRISTMAS WREATH</t>
  </si>
  <si>
    <t xml:space="preserve">85230B</t>
  </si>
  <si>
    <t xml:space="preserve">CINNAMON SCENTED VOTIVE CANDLE</t>
  </si>
  <si>
    <t xml:space="preserve">21135</t>
  </si>
  <si>
    <t xml:space="preserve">VICTORIAN  METAL POSTCARD SPRING</t>
  </si>
  <si>
    <t xml:space="preserve">23109</t>
  </si>
  <si>
    <t xml:space="preserve">PACK OF SIX LED TEA LIGHTS</t>
  </si>
  <si>
    <t xml:space="preserve">575886</t>
  </si>
  <si>
    <t xml:space="preserve">21175</t>
  </si>
  <si>
    <t xml:space="preserve">GIN + TONIC DIET METAL SIGN</t>
  </si>
  <si>
    <t xml:space="preserve">23581</t>
  </si>
  <si>
    <t xml:space="preserve">JUMBO BAG PAISLEY PARK</t>
  </si>
  <si>
    <t xml:space="preserve">21355</t>
  </si>
  <si>
    <t xml:space="preserve">TOAST ITS - I LOVE YOU </t>
  </si>
  <si>
    <t xml:space="preserve">22201</t>
  </si>
  <si>
    <t xml:space="preserve">FRYING PAN BLUE POLKADOT</t>
  </si>
  <si>
    <t xml:space="preserve">22059</t>
  </si>
  <si>
    <t xml:space="preserve">CERAMIC STRAWBERRY DESIGN MUG</t>
  </si>
  <si>
    <t xml:space="preserve">21462</t>
  </si>
  <si>
    <t xml:space="preserve">NURSERY A,B,C PAINTED LETTERS</t>
  </si>
  <si>
    <t xml:space="preserve">22057</t>
  </si>
  <si>
    <t xml:space="preserve">CERAMIC PLATE STRAWBERRY DESIGN</t>
  </si>
  <si>
    <t xml:space="preserve">22063</t>
  </si>
  <si>
    <t xml:space="preserve">CERAMIC BOWL WITH STRAWBERRY DESIGN</t>
  </si>
  <si>
    <t xml:space="preserve">22061</t>
  </si>
  <si>
    <t xml:space="preserve">LARGE CAKE STAND  HANGING STRAWBERY</t>
  </si>
  <si>
    <t xml:space="preserve">575888</t>
  </si>
  <si>
    <t xml:space="preserve">575896</t>
  </si>
  <si>
    <t xml:space="preserve">22935</t>
  </si>
  <si>
    <t xml:space="preserve">BAKING MOULD ROSE MILK CHOCOLATE</t>
  </si>
  <si>
    <t xml:space="preserve">79051A</t>
  </si>
  <si>
    <t xml:space="preserve">SMOKEY GREY COLOUR GLASS</t>
  </si>
  <si>
    <t xml:space="preserve">47310M</t>
  </si>
  <si>
    <t xml:space="preserve">SMALL POP BOX FUNKY MONKEY</t>
  </si>
  <si>
    <t xml:space="preserve">575916</t>
  </si>
  <si>
    <t xml:space="preserve">576064</t>
  </si>
  <si>
    <t xml:space="preserve">576087</t>
  </si>
  <si>
    <t xml:space="preserve">79191B</t>
  </si>
  <si>
    <t xml:space="preserve">RETRO PLASTIC POLKA TRAY</t>
  </si>
  <si>
    <t xml:space="preserve">C576183</t>
  </si>
  <si>
    <t xml:space="preserve">576222</t>
  </si>
  <si>
    <t xml:space="preserve">C576229</t>
  </si>
  <si>
    <t xml:space="preserve">576245</t>
  </si>
  <si>
    <t xml:space="preserve">576322</t>
  </si>
  <si>
    <t xml:space="preserve">576327</t>
  </si>
  <si>
    <t xml:space="preserve">23558</t>
  </si>
  <si>
    <t xml:space="preserve">LANDMARK FRAME LONDON BRIDGE </t>
  </si>
  <si>
    <t xml:space="preserve">23516</t>
  </si>
  <si>
    <t xml:space="preserve">EMBROIDERED RIBBON REEL SOPHIE  </t>
  </si>
  <si>
    <t xml:space="preserve">23531</t>
  </si>
  <si>
    <t xml:space="preserve">WALL ART BIG LOVE </t>
  </si>
  <si>
    <t xml:space="preserve">576373</t>
  </si>
  <si>
    <t xml:space="preserve">23543</t>
  </si>
  <si>
    <t xml:space="preserve">WALL ART KEEP CALM </t>
  </si>
  <si>
    <t xml:space="preserve">23554</t>
  </si>
  <si>
    <t xml:space="preserve">LANDMARK FRAME OXFORD STREET</t>
  </si>
  <si>
    <t xml:space="preserve">23555</t>
  </si>
  <si>
    <t xml:space="preserve">LANDMARK FRAME NOTTING HILL </t>
  </si>
  <si>
    <t xml:space="preserve">23556</t>
  </si>
  <si>
    <t xml:space="preserve">LANDMARK FRAME COVENT GARDEN </t>
  </si>
  <si>
    <t xml:space="preserve">576390</t>
  </si>
  <si>
    <t xml:space="preserve">23180</t>
  </si>
  <si>
    <t xml:space="preserve">MUM'S KITCHEN CLOCK</t>
  </si>
  <si>
    <t xml:space="preserve">576399</t>
  </si>
  <si>
    <t xml:space="preserve">576607</t>
  </si>
  <si>
    <t xml:space="preserve">22564</t>
  </si>
  <si>
    <t xml:space="preserve">ALPHABET STENCIL CRAFT</t>
  </si>
  <si>
    <t xml:space="preserve">576629</t>
  </si>
  <si>
    <t xml:space="preserve">576630</t>
  </si>
  <si>
    <t xml:space="preserve">84032A</t>
  </si>
  <si>
    <t xml:space="preserve">CHARLIE+LOLA PINK HOT WATER BOTTLE</t>
  </si>
  <si>
    <t xml:space="preserve">576657</t>
  </si>
  <si>
    <t xml:space="preserve">23681</t>
  </si>
  <si>
    <t xml:space="preserve">LUNCH BAG RED VINTAGE DOILY</t>
  </si>
  <si>
    <t xml:space="preserve">23695</t>
  </si>
  <si>
    <t xml:space="preserve">DOILY THANK YOU CARD</t>
  </si>
  <si>
    <t xml:space="preserve">23110</t>
  </si>
  <si>
    <t xml:space="preserve">PARISIENNE KEY CABINET </t>
  </si>
  <si>
    <t xml:space="preserve">576669</t>
  </si>
  <si>
    <t xml:space="preserve">576672</t>
  </si>
  <si>
    <t xml:space="preserve">48111</t>
  </si>
  <si>
    <t xml:space="preserve">DOORMAT 3 SMILEY CATS</t>
  </si>
  <si>
    <t xml:space="preserve">576787</t>
  </si>
  <si>
    <t xml:space="preserve">22075</t>
  </si>
  <si>
    <t xml:space="preserve">6 RIBBONS ELEGANT CHRISTMAS </t>
  </si>
  <si>
    <t xml:space="preserve">22735</t>
  </si>
  <si>
    <t xml:space="preserve">RIBBON REEL SOCKS AND MITTENS</t>
  </si>
  <si>
    <t xml:space="preserve">22129</t>
  </si>
  <si>
    <t xml:space="preserve">PARTY CONES CANDY DECORATION</t>
  </si>
  <si>
    <t xml:space="preserve">576789</t>
  </si>
  <si>
    <t xml:space="preserve">22100</t>
  </si>
  <si>
    <t xml:space="preserve">SKULLS SQUARE TISSUE BOX</t>
  </si>
  <si>
    <t xml:space="preserve">576790</t>
  </si>
  <si>
    <t xml:space="preserve">C576816</t>
  </si>
  <si>
    <t xml:space="preserve">576863</t>
  </si>
  <si>
    <t xml:space="preserve">21062</t>
  </si>
  <si>
    <t xml:space="preserve">PARTY INVITES SPACEMAN</t>
  </si>
  <si>
    <t xml:space="preserve">576869</t>
  </si>
  <si>
    <t xml:space="preserve">576890</t>
  </si>
  <si>
    <t xml:space="preserve">22939</t>
  </si>
  <si>
    <t xml:space="preserve">ADULT APRON APPLE DELIGHT</t>
  </si>
  <si>
    <t xml:space="preserve">576891</t>
  </si>
  <si>
    <t xml:space="preserve">576893</t>
  </si>
  <si>
    <t xml:space="preserve">576894</t>
  </si>
  <si>
    <t xml:space="preserve">C576903</t>
  </si>
  <si>
    <t xml:space="preserve">C576908</t>
  </si>
  <si>
    <t xml:space="preserve">576909</t>
  </si>
  <si>
    <t xml:space="preserve">84012</t>
  </si>
  <si>
    <t xml:space="preserve">MAGIC SHEEP WOOL GROWING FROM PAPER</t>
  </si>
  <si>
    <t xml:space="preserve">576910</t>
  </si>
  <si>
    <t xml:space="preserve">21707</t>
  </si>
  <si>
    <t xml:space="preserve">FOLDING UMBRELLA BLACKBLUE POLKADOT</t>
  </si>
  <si>
    <t xml:space="preserve">35598D</t>
  </si>
  <si>
    <t xml:space="preserve">PINK/WHITE CHRISTMAS TREE 60CM</t>
  </si>
  <si>
    <t xml:space="preserve">22173</t>
  </si>
  <si>
    <t xml:space="preserve">METAL 4 HOOK HANGER FRENCH CHATEAU</t>
  </si>
  <si>
    <t xml:space="preserve">21523</t>
  </si>
  <si>
    <t xml:space="preserve">DOORMAT FANCY FONT HOME SWEET HOME</t>
  </si>
  <si>
    <t xml:space="preserve">48129</t>
  </si>
  <si>
    <t xml:space="preserve">DOORMAT TOPIARY</t>
  </si>
  <si>
    <t xml:space="preserve">48188</t>
  </si>
  <si>
    <t xml:space="preserve">DOORMAT WELCOME PUPPIES</t>
  </si>
  <si>
    <t xml:space="preserve">84356</t>
  </si>
  <si>
    <t xml:space="preserve">POMPOM CURTAIN</t>
  </si>
  <si>
    <t xml:space="preserve">22511</t>
  </si>
  <si>
    <t xml:space="preserve">RETROSPOT BABUSHKA DOORSTOP</t>
  </si>
  <si>
    <t xml:space="preserve">15044A</t>
  </si>
  <si>
    <t xml:space="preserve">PINK PAPER PARASOL </t>
  </si>
  <si>
    <t xml:space="preserve">84406B</t>
  </si>
  <si>
    <t xml:space="preserve">CREAM CUPID HEARTS COAT HANGER</t>
  </si>
  <si>
    <t xml:space="preserve">576927</t>
  </si>
  <si>
    <t xml:space="preserve">21813</t>
  </si>
  <si>
    <t xml:space="preserve">GARLAND WITH STARS AND BELLS</t>
  </si>
  <si>
    <t xml:space="preserve">21812</t>
  </si>
  <si>
    <t xml:space="preserve">GARLAND WITH HEARTS AND BELLS</t>
  </si>
  <si>
    <t xml:space="preserve">21821</t>
  </si>
  <si>
    <t xml:space="preserve">GLITTER STAR GARLAND WITH BELLS </t>
  </si>
  <si>
    <t xml:space="preserve">21194</t>
  </si>
  <si>
    <t xml:space="preserve">PINK  HONEYCOMB PAPER FAN</t>
  </si>
  <si>
    <t xml:space="preserve">21463</t>
  </si>
  <si>
    <t xml:space="preserve">MIRRORED DISCO BALL </t>
  </si>
  <si>
    <t xml:space="preserve">23177</t>
  </si>
  <si>
    <t xml:space="preserve">TREASURE ISLAND BOOK BOX</t>
  </si>
  <si>
    <t xml:space="preserve">23128</t>
  </si>
  <si>
    <t xml:space="preserve">FELTCRAFT BOY JEAN-PAUL KIT</t>
  </si>
  <si>
    <t xml:space="preserve">23068</t>
  </si>
  <si>
    <t xml:space="preserve">ALUMINIUM STAMPED HEART</t>
  </si>
  <si>
    <t xml:space="preserve">21202</t>
  </si>
  <si>
    <t xml:space="preserve">DOLLY HONEYCOMB GARLAND</t>
  </si>
  <si>
    <t xml:space="preserve">576941</t>
  </si>
  <si>
    <t xml:space="preserve">C576974</t>
  </si>
  <si>
    <t xml:space="preserve">577027</t>
  </si>
  <si>
    <t xml:space="preserve">577054</t>
  </si>
  <si>
    <t xml:space="preserve">577121</t>
  </si>
  <si>
    <t xml:space="preserve">20668</t>
  </si>
  <si>
    <t xml:space="preserve">DISCO BALL CHRISTMAS DECORATION</t>
  </si>
  <si>
    <t xml:space="preserve">577135</t>
  </si>
  <si>
    <t xml:space="preserve">84598</t>
  </si>
  <si>
    <t xml:space="preserve">BOYS ALPHABET IRON ON PATCHES</t>
  </si>
  <si>
    <t xml:space="preserve">577152</t>
  </si>
  <si>
    <t xml:space="preserve">22754</t>
  </si>
  <si>
    <t xml:space="preserve">SMALL RED BABUSHKA NOTEBOOK </t>
  </si>
  <si>
    <t xml:space="preserve">577168</t>
  </si>
  <si>
    <t xml:space="preserve">577295</t>
  </si>
  <si>
    <t xml:space="preserve">577299</t>
  </si>
  <si>
    <t xml:space="preserve">577301</t>
  </si>
  <si>
    <t xml:space="preserve">21408</t>
  </si>
  <si>
    <t xml:space="preserve">SPOTTY PINK DUCK DOORSTOP</t>
  </si>
  <si>
    <t xml:space="preserve">577344</t>
  </si>
  <si>
    <t xml:space="preserve">C577397</t>
  </si>
  <si>
    <t xml:space="preserve">577406</t>
  </si>
  <si>
    <t xml:space="preserve">22835</t>
  </si>
  <si>
    <t xml:space="preserve">HOT WATER BOTTLE I AM SO POORLY</t>
  </si>
  <si>
    <t xml:space="preserve">23357</t>
  </si>
  <si>
    <t xml:space="preserve">HOT WATER BOTTLE SEX BOMB</t>
  </si>
  <si>
    <t xml:space="preserve">577502</t>
  </si>
  <si>
    <t xml:space="preserve">577512</t>
  </si>
  <si>
    <t xml:space="preserve">23463</t>
  </si>
  <si>
    <t xml:space="preserve">VINTAGE ZINC WATERING CAN</t>
  </si>
  <si>
    <t xml:space="preserve">23020</t>
  </si>
  <si>
    <t xml:space="preserve">GLASS  SONGBIRD STORAGE JAR</t>
  </si>
  <si>
    <t xml:space="preserve">22294</t>
  </si>
  <si>
    <t xml:space="preserve">HEART FILIGREE DOVE  SMALL</t>
  </si>
  <si>
    <t xml:space="preserve">577615</t>
  </si>
  <si>
    <t xml:space="preserve">85163A</t>
  </si>
  <si>
    <t xml:space="preserve">WHITE BAROQUE WALL CLOCK </t>
  </si>
  <si>
    <t xml:space="preserve">21682</t>
  </si>
  <si>
    <t xml:space="preserve">LARGE MEDINA STAMPED METAL BOWL </t>
  </si>
  <si>
    <t xml:space="preserve">84820</t>
  </si>
  <si>
    <t xml:space="preserve">DANISH ROSE TRINKET TRAYS</t>
  </si>
  <si>
    <t xml:space="preserve">21415</t>
  </si>
  <si>
    <t xml:space="preserve">CLAM SHELL SMALL </t>
  </si>
  <si>
    <t xml:space="preserve">21292</t>
  </si>
  <si>
    <t xml:space="preserve">SMALL STRIPES CHOCOLATE GIFT BAG </t>
  </si>
  <si>
    <t xml:space="preserve">PACK OF 6 PANETTONE GIFT BOXES</t>
  </si>
  <si>
    <t xml:space="preserve">577687</t>
  </si>
  <si>
    <t xml:space="preserve">23598</t>
  </si>
  <si>
    <t xml:space="preserve">PAPER BUNTING VINTAGE PARTY</t>
  </si>
  <si>
    <t xml:space="preserve">C577693</t>
  </si>
  <si>
    <t xml:space="preserve">C577775</t>
  </si>
  <si>
    <t xml:space="preserve">577776</t>
  </si>
  <si>
    <t xml:space="preserve">577856</t>
  </si>
  <si>
    <t xml:space="preserve">578024</t>
  </si>
  <si>
    <t xml:space="preserve">23430</t>
  </si>
  <si>
    <t xml:space="preserve">BLUE RETRO KITCHEN WALL CLOCK</t>
  </si>
  <si>
    <t xml:space="preserve">23429</t>
  </si>
  <si>
    <t xml:space="preserve">RED RETRO KITCHEN WALL CLOCK</t>
  </si>
  <si>
    <t xml:space="preserve">23428</t>
  </si>
  <si>
    <t xml:space="preserve">IVORY RETRO KITCHEN WALL CLOCK</t>
  </si>
  <si>
    <t xml:space="preserve">23568</t>
  </si>
  <si>
    <t xml:space="preserve">EGG CUP HENRIETTA HEN CREAM </t>
  </si>
  <si>
    <t xml:space="preserve">578033</t>
  </si>
  <si>
    <t xml:space="preserve">22942</t>
  </si>
  <si>
    <t xml:space="preserve">CHRISTMAS LIGHTS 10 SANTAS </t>
  </si>
  <si>
    <t xml:space="preserve">21383</t>
  </si>
  <si>
    <t xml:space="preserve">PACK OF 12 STICKY BUNNIES</t>
  </si>
  <si>
    <t xml:space="preserve">578043</t>
  </si>
  <si>
    <t xml:space="preserve">20711</t>
  </si>
  <si>
    <t xml:space="preserve">JUMBO BAG TOYS </t>
  </si>
  <si>
    <t xml:space="preserve">C578062</t>
  </si>
  <si>
    <t xml:space="preserve">578273</t>
  </si>
  <si>
    <t xml:space="preserve">22409</t>
  </si>
  <si>
    <t xml:space="preserve">MONEY BOX BISCUITS DESIGN</t>
  </si>
  <si>
    <t xml:space="preserve">22999</t>
  </si>
  <si>
    <t xml:space="preserve">TRAVEL CARD WALLET VINTAGE LEAF</t>
  </si>
  <si>
    <t xml:space="preserve">22097</t>
  </si>
  <si>
    <t xml:space="preserve">SWALLOW SQUARE TISSUE BOX</t>
  </si>
  <si>
    <t xml:space="preserve">578277</t>
  </si>
  <si>
    <t xml:space="preserve">21467</t>
  </si>
  <si>
    <t xml:space="preserve">CHERRY CROCHET FOOD COVER</t>
  </si>
  <si>
    <t xml:space="preserve">23376</t>
  </si>
  <si>
    <t xml:space="preserve">PACK OF 12 VINTAGE CHRISTMAS TISSUE</t>
  </si>
  <si>
    <t xml:space="preserve">578287</t>
  </si>
  <si>
    <t xml:space="preserve">578295</t>
  </si>
  <si>
    <t xml:space="preserve">37500</t>
  </si>
  <si>
    <t xml:space="preserve">TEA TIME TEAPOT IN GIFT BOX</t>
  </si>
  <si>
    <t xml:space="preserve">84509G</t>
  </si>
  <si>
    <t xml:space="preserve">SET OF 4 FAIRY CAKE PLACEMATS </t>
  </si>
  <si>
    <t xml:space="preserve">22851</t>
  </si>
  <si>
    <t xml:space="preserve">SET 20 NAPKINS FAIRY CAKES DESIGN </t>
  </si>
  <si>
    <t xml:space="preserve">578298</t>
  </si>
  <si>
    <t xml:space="preserve">22031</t>
  </si>
  <si>
    <t xml:space="preserve">BOTANICAL LAVENDER BIRTHDAY CARD</t>
  </si>
  <si>
    <t xml:space="preserve">578333</t>
  </si>
  <si>
    <t xml:space="preserve">578348</t>
  </si>
  <si>
    <t xml:space="preserve">C578377</t>
  </si>
  <si>
    <t xml:space="preserve">22923</t>
  </si>
  <si>
    <t xml:space="preserve">FRIDGE MAGNETS LES ENFANTS ASSORTED</t>
  </si>
  <si>
    <t xml:space="preserve">22924</t>
  </si>
  <si>
    <t xml:space="preserve">FRIDGE MAGNETS LA VIE EN ROSE</t>
  </si>
  <si>
    <t xml:space="preserve">578425</t>
  </si>
  <si>
    <t xml:space="preserve">578469</t>
  </si>
  <si>
    <t xml:space="preserve">84006</t>
  </si>
  <si>
    <t xml:space="preserve">MAGIC TREE -PAPER FLOWERS</t>
  </si>
  <si>
    <t xml:space="preserve">578472</t>
  </si>
  <si>
    <t xml:space="preserve">22853</t>
  </si>
  <si>
    <t xml:space="preserve">CAT BOWL VINTAGE CREAM</t>
  </si>
  <si>
    <t xml:space="preserve">21293</t>
  </si>
  <si>
    <t xml:space="preserve">MIRRORED DOVE WALL DECORATION</t>
  </si>
  <si>
    <t xml:space="preserve">23462</t>
  </si>
  <si>
    <t xml:space="preserve">ROCOCO WALL MIRROR WHITE</t>
  </si>
  <si>
    <t xml:space="preserve">82494L</t>
  </si>
  <si>
    <t xml:space="preserve">WOODEN FRAME ANTIQUE WHITE </t>
  </si>
  <si>
    <t xml:space="preserve">22169</t>
  </si>
  <si>
    <t xml:space="preserve">FAMILY ALBUM WHITE PICTURE FRAME</t>
  </si>
  <si>
    <t xml:space="preserve">85127</t>
  </si>
  <si>
    <t xml:space="preserve">SMALL SQUARE CUT GLASS CANDLESTICK</t>
  </si>
  <si>
    <t xml:space="preserve">23530</t>
  </si>
  <si>
    <t xml:space="preserve">WALL ART ONLY ONE PERSON </t>
  </si>
  <si>
    <t xml:space="preserve">23532</t>
  </si>
  <si>
    <t xml:space="preserve">WALL ART WORK REST AND PLAY  </t>
  </si>
  <si>
    <t xml:space="preserve">85123A</t>
  </si>
  <si>
    <t xml:space="preserve">WHITE HANGING HEART T-LIGHT HOLDER</t>
  </si>
  <si>
    <t xml:space="preserve">22364</t>
  </si>
  <si>
    <t xml:space="preserve">GLASS JAR DIGESTIVE BISCUITS</t>
  </si>
  <si>
    <t xml:space="preserve">578509</t>
  </si>
  <si>
    <t xml:space="preserve">578541</t>
  </si>
  <si>
    <t xml:space="preserve">84924A</t>
  </si>
  <si>
    <t xml:space="preserve">WAKE UP COCKEREL CALENDAR SIGN </t>
  </si>
  <si>
    <t xml:space="preserve">82583</t>
  </si>
  <si>
    <t xml:space="preserve">HOT BATHS METAL SIGN</t>
  </si>
  <si>
    <t xml:space="preserve">22928</t>
  </si>
  <si>
    <t xml:space="preserve">YELLOW GIANT GARDEN THERMOMETER</t>
  </si>
  <si>
    <t xml:space="preserve">21259</t>
  </si>
  <si>
    <t xml:space="preserve">VICTORIAN SEWING BOX SMALL </t>
  </si>
  <si>
    <t xml:space="preserve">22805</t>
  </si>
  <si>
    <t xml:space="preserve">BLUE DRAWER KNOB ACRYLIC EDWARDIAN</t>
  </si>
  <si>
    <t xml:space="preserve">22775</t>
  </si>
  <si>
    <t xml:space="preserve">PURPLE DRAWERKNOB ACRYLIC EDWARDIAN</t>
  </si>
  <si>
    <t xml:space="preserve">22774</t>
  </si>
  <si>
    <t xml:space="preserve">RED DRAWER KNOB ACRYLIC EDWARDIAN</t>
  </si>
  <si>
    <t xml:space="preserve">22605</t>
  </si>
  <si>
    <t xml:space="preserve">WOODEN CROQUET GARDEN SET</t>
  </si>
  <si>
    <t xml:space="preserve">23472</t>
  </si>
  <si>
    <t xml:space="preserve"> NINE DRAWER OFFICE TIDY</t>
  </si>
  <si>
    <t xml:space="preserve">23026</t>
  </si>
  <si>
    <t xml:space="preserve">DRAWER KNOB VINTAGE GLASS STAR</t>
  </si>
  <si>
    <t xml:space="preserve">23027</t>
  </si>
  <si>
    <t xml:space="preserve">DRAWER KNOB VINTAGE GLASS HEXAGON</t>
  </si>
  <si>
    <t xml:space="preserve">23025</t>
  </si>
  <si>
    <t xml:space="preserve">DRAWER KNOB VINTAGE GLASS BALL</t>
  </si>
  <si>
    <t xml:space="preserve">23015</t>
  </si>
  <si>
    <t xml:space="preserve">CORDIAL GLASS JUG</t>
  </si>
  <si>
    <t xml:space="preserve">21466</t>
  </si>
  <si>
    <t xml:space="preserve">RED FLOWER CROCHET FOOD COVER</t>
  </si>
  <si>
    <t xml:space="preserve">23338</t>
  </si>
  <si>
    <t xml:space="preserve">EGG FRYING PAN RED </t>
  </si>
  <si>
    <t xml:space="preserve">35443</t>
  </si>
  <si>
    <t xml:space="preserve">RASTA IN BATH W SPLIFF ASHTRAY</t>
  </si>
  <si>
    <t xml:space="preserve">17174</t>
  </si>
  <si>
    <t xml:space="preserve">ASSTD RASTA KEY-CHAINS</t>
  </si>
  <si>
    <t xml:space="preserve">21351</t>
  </si>
  <si>
    <t xml:space="preserve">CINAMMON &amp; ORANGE WREATH</t>
  </si>
  <si>
    <t xml:space="preserve">23129</t>
  </si>
  <si>
    <t xml:space="preserve">HEART SHAPED HOLLY WREATH</t>
  </si>
  <si>
    <t xml:space="preserve">23469</t>
  </si>
  <si>
    <t xml:space="preserve">CARD HOLDER LOVE BIRD SMALL</t>
  </si>
  <si>
    <t xml:space="preserve">35810B</t>
  </si>
  <si>
    <t xml:space="preserve">ENAMEL BLUE RIM COFFEE CONTAINER</t>
  </si>
  <si>
    <t xml:space="preserve">37413</t>
  </si>
  <si>
    <t xml:space="preserve">ICON MUG REVOLUTIONARY</t>
  </si>
  <si>
    <t xml:space="preserve">22300</t>
  </si>
  <si>
    <t xml:space="preserve">COFFEE MUG DOG + BALL DESIGN</t>
  </si>
  <si>
    <t xml:space="preserve">22841</t>
  </si>
  <si>
    <t xml:space="preserve">ROUND CAKE TIN VINTAGE GREEN</t>
  </si>
  <si>
    <t xml:space="preserve">22311</t>
  </si>
  <si>
    <t xml:space="preserve">OFFICE MUG WARMER BLACK+SILVER </t>
  </si>
  <si>
    <t xml:space="preserve">23116</t>
  </si>
  <si>
    <t xml:space="preserve">VEGETABLE GARDEN CHOPPING BOARD</t>
  </si>
  <si>
    <t xml:space="preserve">22782</t>
  </si>
  <si>
    <t xml:space="preserve">SET 3 WICKER STORAGE BASKETS </t>
  </si>
  <si>
    <t xml:space="preserve">21733</t>
  </si>
  <si>
    <t xml:space="preserve">RED HANGING HEART T-LIGHT HOLDER</t>
  </si>
  <si>
    <t xml:space="preserve">21675</t>
  </si>
  <si>
    <t xml:space="preserve">BUTTERFLIES STICKERS</t>
  </si>
  <si>
    <t xml:space="preserve">21677</t>
  </si>
  <si>
    <t xml:space="preserve">HEARTS  STICKERS</t>
  </si>
  <si>
    <t xml:space="preserve">22498</t>
  </si>
  <si>
    <t xml:space="preserve">WOODEN REGATTA BUNTING</t>
  </si>
  <si>
    <t xml:space="preserve">21623</t>
  </si>
  <si>
    <t xml:space="preserve">VINTAGE UNION JACK MEMOBOARD</t>
  </si>
  <si>
    <t xml:space="preserve">23181</t>
  </si>
  <si>
    <t xml:space="preserve">BULL DOG BOTTLE TOP WALL CLOCK</t>
  </si>
  <si>
    <t xml:space="preserve">23465</t>
  </si>
  <si>
    <t xml:space="preserve">TUSCAN VILLA BIRD FEEDER</t>
  </si>
  <si>
    <t xml:space="preserve">578547</t>
  </si>
  <si>
    <t xml:space="preserve">578550</t>
  </si>
  <si>
    <t xml:space="preserve">578626</t>
  </si>
  <si>
    <t xml:space="preserve">21592</t>
  </si>
  <si>
    <t xml:space="preserve">RETROSPOT CIGAR BOX MATCHES </t>
  </si>
  <si>
    <t xml:space="preserve">578698</t>
  </si>
  <si>
    <t xml:space="preserve">22603</t>
  </si>
  <si>
    <t xml:space="preserve">CHRISTMAS RETROSPOT TREE WOOD</t>
  </si>
  <si>
    <t xml:space="preserve">23660</t>
  </si>
  <si>
    <t xml:space="preserve">HENRIETTA HEN MUG </t>
  </si>
  <si>
    <t xml:space="preserve">23697</t>
  </si>
  <si>
    <t xml:space="preserve">A PRETTY THANK YOU CARD</t>
  </si>
  <si>
    <t xml:space="preserve">22043</t>
  </si>
  <si>
    <t xml:space="preserve">CHRISTMAS CARD SCREEN PRINT </t>
  </si>
  <si>
    <t xml:space="preserve">22228</t>
  </si>
  <si>
    <t xml:space="preserve">BUNNY WOODEN PAINTED WITH BIRD </t>
  </si>
  <si>
    <t xml:space="preserve">578705</t>
  </si>
  <si>
    <t xml:space="preserve">22196</t>
  </si>
  <si>
    <t xml:space="preserve">SMALL HEART MEASURING SPOONS</t>
  </si>
  <si>
    <t xml:space="preserve">22195</t>
  </si>
  <si>
    <t xml:space="preserve">LARGE HEART MEASURING SPOONS</t>
  </si>
  <si>
    <t xml:space="preserve">21226</t>
  </si>
  <si>
    <t xml:space="preserve">POCKET MIRROR WOODLAND</t>
  </si>
  <si>
    <t xml:space="preserve">578736</t>
  </si>
  <si>
    <t xml:space="preserve">21698</t>
  </si>
  <si>
    <t xml:space="preserve">MOCK LOBSTER FRIDGE MAGNET</t>
  </si>
  <si>
    <t xml:space="preserve">C578743</t>
  </si>
  <si>
    <t xml:space="preserve">578835</t>
  </si>
  <si>
    <t xml:space="preserve">C579090</t>
  </si>
  <si>
    <t xml:space="preserve">579094</t>
  </si>
  <si>
    <t xml:space="preserve">22644</t>
  </si>
  <si>
    <t xml:space="preserve">CERAMIC CHERRY CAKE MONEY BANK</t>
  </si>
  <si>
    <t xml:space="preserve">C579127</t>
  </si>
  <si>
    <t xml:space="preserve">579152</t>
  </si>
  <si>
    <t xml:space="preserve">23370</t>
  </si>
  <si>
    <t xml:space="preserve">SET 36 COLOURING PENCILS DOILY</t>
  </si>
  <si>
    <t xml:space="preserve">579153</t>
  </si>
  <si>
    <t xml:space="preserve">84931B</t>
  </si>
  <si>
    <t xml:space="preserve">BLUE SCOTTIE DOG W FLOWER PATTERN</t>
  </si>
  <si>
    <t xml:space="preserve">22453</t>
  </si>
  <si>
    <t xml:space="preserve">MEASURING TAPE BABUSHKA BLUE</t>
  </si>
  <si>
    <t xml:space="preserve">579190</t>
  </si>
  <si>
    <t xml:space="preserve">C579192</t>
  </si>
  <si>
    <t xml:space="preserve">579193</t>
  </si>
  <si>
    <t xml:space="preserve">579276</t>
  </si>
  <si>
    <t xml:space="preserve">22562</t>
  </si>
  <si>
    <t xml:space="preserve">MONSTERS STENCIL CRAFT</t>
  </si>
  <si>
    <t xml:space="preserve">22563</t>
  </si>
  <si>
    <t xml:space="preserve">HAPPY STENCIL CRAFT</t>
  </si>
  <si>
    <t xml:space="preserve">579345</t>
  </si>
  <si>
    <t xml:space="preserve">23081</t>
  </si>
  <si>
    <t xml:space="preserve">GREEN METAL BOX ARMY SUPPLIES</t>
  </si>
  <si>
    <t xml:space="preserve">16218</t>
  </si>
  <si>
    <t xml:space="preserve">CARTOON  PENCIL SHARPENERS</t>
  </si>
  <si>
    <t xml:space="preserve">579393</t>
  </si>
  <si>
    <t xml:space="preserve">23498</t>
  </si>
  <si>
    <t xml:space="preserve">CLASSIC BICYCLE CLIPS </t>
  </si>
  <si>
    <t xml:space="preserve">23552</t>
  </si>
  <si>
    <t xml:space="preserve">BICYCLE PUNCTURE REPAIR KIT </t>
  </si>
  <si>
    <t xml:space="preserve">21068</t>
  </si>
  <si>
    <t xml:space="preserve">VINTAGE BILLBOARD LOVE/HATE MUG</t>
  </si>
  <si>
    <t xml:space="preserve">85169A</t>
  </si>
  <si>
    <t xml:space="preserve">IVORY LOVE BIRD CANDLE</t>
  </si>
  <si>
    <t xml:space="preserve">579416</t>
  </si>
  <si>
    <t xml:space="preserve">579419</t>
  </si>
  <si>
    <t xml:space="preserve">23579</t>
  </si>
  <si>
    <t xml:space="preserve">SNACK TRAY I LOVE LONDON</t>
  </si>
  <si>
    <t xml:space="preserve">23560</t>
  </si>
  <si>
    <t xml:space="preserve">SET OF 6 RIBBONS COUNTRY STYLE</t>
  </si>
  <si>
    <t xml:space="preserve">23576</t>
  </si>
  <si>
    <t xml:space="preserve">SNACK TRAY RED VINTAGE DOILY</t>
  </si>
  <si>
    <t xml:space="preserve">23580</t>
  </si>
  <si>
    <t xml:space="preserve">SNACK TRAY HAPPY FOREST  </t>
  </si>
  <si>
    <t xml:space="preserve">579492</t>
  </si>
  <si>
    <t xml:space="preserve">579529</t>
  </si>
  <si>
    <t xml:space="preserve">84931A</t>
  </si>
  <si>
    <t xml:space="preserve">PINK SCOTTIE DOG W FLOWER PATTERN</t>
  </si>
  <si>
    <t xml:space="preserve">10135</t>
  </si>
  <si>
    <t xml:space="preserve">COLOURING PENCILS BROWN TUBE</t>
  </si>
  <si>
    <t xml:space="preserve">C579532</t>
  </si>
  <si>
    <t xml:space="preserve">C579562</t>
  </si>
  <si>
    <t xml:space="preserve">579634</t>
  </si>
  <si>
    <t xml:space="preserve">23575</t>
  </si>
  <si>
    <t xml:space="preserve">SNACK TRAY PAISLEY PARK</t>
  </si>
  <si>
    <t xml:space="preserve">23578</t>
  </si>
  <si>
    <t xml:space="preserve">SNACK TRAY RED GINGHAM</t>
  </si>
  <si>
    <t xml:space="preserve">579708</t>
  </si>
  <si>
    <t xml:space="preserve">579747</t>
  </si>
  <si>
    <t xml:space="preserve">579786</t>
  </si>
  <si>
    <t xml:space="preserve">21580</t>
  </si>
  <si>
    <t xml:space="preserve">RABBIT  DESIGN  COTTON TOTE BAG</t>
  </si>
  <si>
    <t xml:space="preserve">579792</t>
  </si>
  <si>
    <t xml:space="preserve">23478</t>
  </si>
  <si>
    <t xml:space="preserve">WOODLAND LARGE PINK FELT HEART</t>
  </si>
  <si>
    <t xml:space="preserve">23477</t>
  </si>
  <si>
    <t xml:space="preserve">WOODLAND LARGE BLUE FELT HEART</t>
  </si>
  <si>
    <t xml:space="preserve">22758</t>
  </si>
  <si>
    <t xml:space="preserve">LARGE PURPLE BABUSHKA NOTEBOOK  </t>
  </si>
  <si>
    <t xml:space="preserve">22756</t>
  </si>
  <si>
    <t xml:space="preserve">LARGE YELLOW BABUSHKA NOTEBOOK </t>
  </si>
  <si>
    <t xml:space="preserve">22757</t>
  </si>
  <si>
    <t xml:space="preserve">LARGE RED BABUSHKA NOTEBOOK </t>
  </si>
  <si>
    <t xml:space="preserve">579870</t>
  </si>
  <si>
    <t xml:space="preserve">Doanh thu (GBP) — SUMIFS</t>
  </si>
  <si>
    <t xml:space="preserve">Chỉ số tổng quan</t>
  </si>
  <si>
    <t xml:space="preserve">Tổng 3 tháng</t>
  </si>
  <si>
    <t xml:space="preserve">Số dòng dữ liệu</t>
  </si>
  <si>
    <t xml:space="preserve">Số dòng hợp lệ</t>
  </si>
  <si>
    <t xml:space="preserve">Doanh thu TB mỗi dòng hợp lệ</t>
  </si>
  <si>
    <t xml:space="preserve">Tổng</t>
  </si>
  <si>
    <t xml:space="preserve">Doanh thu dòng lớn nhất</t>
  </si>
  <si>
    <t xml:space="preserve">Số đơn — COUNTIFS trên OrderStart</t>
  </si>
  <si>
    <t xml:space="preserve">Ngày giao dịch đầu</t>
  </si>
  <si>
    <t xml:space="preserve">Ngày giao dịch cuối</t>
  </si>
  <si>
    <t xml:space="preserve">Số dòng có Customer ID</t>
  </si>
  <si>
    <t xml:space="preserve">AOV = doanh thu / số đơn</t>
  </si>
  <si>
    <t xml:space="preserve">Cả hai nước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</si>
</sst>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8.35" hidden="false" customHeight="false" outlineLevel="0" collapsed="false">
      <c r="A3" s="2" t="s">
        <v>1</v>
      </c>
      <c r="B3" s="3" t="s">
        <v>2</v>
      </c>
    </row>
    <row r="4" customFormat="false" ht="28.3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B11" s="3" t="s">
        <v>15</v>
      </c>
    </row>
    <row r="12" customFormat="false" ht="15" hidden="false" customHeight="false" outlineLevel="0" collapsed="false">
      <c r="B12" s="3" t="s">
        <v>16</v>
      </c>
    </row>
    <row r="13" customFormat="false" ht="15" hidden="false" customHeight="false" outlineLevel="0" collapsed="false">
      <c r="B13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8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3" min="3" style="0" width="36"/>
    <col collapsed="false" customWidth="true" hidden="false" outlineLevel="0" max="5" min="5" style="0" width="17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5" t="s">
        <v>26</v>
      </c>
      <c r="J1" s="5" t="s">
        <v>27</v>
      </c>
      <c r="K1" s="5" t="s">
        <v>28</v>
      </c>
      <c r="L1" s="5" t="s">
        <v>29</v>
      </c>
    </row>
    <row r="2" customFormat="false" ht="15" hidden="false" customHeight="false" outlineLevel="0" collapsed="false">
      <c r="A2" s="0" t="s">
        <v>30</v>
      </c>
      <c r="B2" s="0" t="s">
        <v>31</v>
      </c>
      <c r="C2" s="0" t="s">
        <v>32</v>
      </c>
      <c r="D2" s="0" t="n">
        <v>-2</v>
      </c>
      <c r="E2" s="6" t="n">
        <v>40787.4027777778</v>
      </c>
      <c r="F2" s="0" t="n">
        <v>8.95</v>
      </c>
      <c r="G2" s="0" t="n">
        <v>12474</v>
      </c>
      <c r="H2" s="0" t="s">
        <v>33</v>
      </c>
      <c r="I2" s="7" t="n">
        <f aca="false">IF(AND(LEFT(A2,1)&lt;&gt;"C",D2&gt;0,F2&gt;0),1,0)</f>
        <v>0</v>
      </c>
      <c r="J2" s="7" t="n">
        <f aca="false">IF(I2=1,D2*F2,0)</f>
        <v>0</v>
      </c>
      <c r="K2" s="7" t="n">
        <f aca="false">YEAR(E2)*100+MONTH(E2)</f>
        <v>201109</v>
      </c>
      <c r="L2" s="7" t="n">
        <f aca="false">IF(AND(A2&lt;&gt;A1,LEFT(A2,1)&lt;&gt;"C"),1,0)</f>
        <v>0</v>
      </c>
    </row>
    <row r="3" customFormat="false" ht="15" hidden="false" customHeight="false" outlineLevel="0" collapsed="false">
      <c r="A3" s="0" t="s">
        <v>34</v>
      </c>
      <c r="B3" s="0" t="s">
        <v>35</v>
      </c>
      <c r="C3" s="0" t="s">
        <v>36</v>
      </c>
      <c r="D3" s="0" t="n">
        <v>-12</v>
      </c>
      <c r="E3" s="6" t="n">
        <v>40787.4354166667</v>
      </c>
      <c r="F3" s="0" t="n">
        <v>1.65</v>
      </c>
      <c r="G3" s="0" t="n">
        <v>12645</v>
      </c>
      <c r="H3" s="0" t="s">
        <v>33</v>
      </c>
      <c r="I3" s="7" t="n">
        <f aca="false">IF(AND(LEFT(A3,1)&lt;&gt;"C",D3&gt;0,F3&gt;0),1,0)</f>
        <v>0</v>
      </c>
      <c r="J3" s="7" t="n">
        <f aca="false">IF(I3=1,D3*F3,0)</f>
        <v>0</v>
      </c>
      <c r="K3" s="7" t="n">
        <f aca="false">YEAR(E3)*100+MONTH(E3)</f>
        <v>201109</v>
      </c>
      <c r="L3" s="7" t="n">
        <f aca="false">IF(AND(A3&lt;&gt;A2,LEFT(A3,1)&lt;&gt;"C"),1,0)</f>
        <v>0</v>
      </c>
    </row>
    <row r="4" customFormat="false" ht="15" hidden="false" customHeight="false" outlineLevel="0" collapsed="false">
      <c r="A4" s="0" t="s">
        <v>37</v>
      </c>
      <c r="B4" s="0" t="s">
        <v>38</v>
      </c>
      <c r="C4" s="0" t="s">
        <v>39</v>
      </c>
      <c r="D4" s="0" t="n">
        <v>-1</v>
      </c>
      <c r="E4" s="6" t="n">
        <v>40788.3791666667</v>
      </c>
      <c r="F4" s="0" t="n">
        <v>2.1</v>
      </c>
      <c r="G4" s="0" t="n">
        <v>12708</v>
      </c>
      <c r="H4" s="0" t="s">
        <v>33</v>
      </c>
      <c r="I4" s="7" t="n">
        <f aca="false">IF(AND(LEFT(A4,1)&lt;&gt;"C",D4&gt;0,F4&gt;0),1,0)</f>
        <v>0</v>
      </c>
      <c r="J4" s="7" t="n">
        <f aca="false">IF(I4=1,D4*F4,0)</f>
        <v>0</v>
      </c>
      <c r="K4" s="7" t="n">
        <f aca="false">YEAR(E4)*100+MONTH(E4)</f>
        <v>201109</v>
      </c>
      <c r="L4" s="7" t="n">
        <f aca="false">IF(AND(A4&lt;&gt;A3,LEFT(A4,1)&lt;&gt;"C"),1,0)</f>
        <v>0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s">
        <v>42</v>
      </c>
      <c r="D5" s="0" t="n">
        <v>6</v>
      </c>
      <c r="E5" s="6" t="n">
        <v>40788.4104166667</v>
      </c>
      <c r="F5" s="0" t="n">
        <v>5.95</v>
      </c>
      <c r="G5" s="0" t="n">
        <v>12670</v>
      </c>
      <c r="H5" s="0" t="s">
        <v>43</v>
      </c>
      <c r="I5" s="7" t="n">
        <f aca="false">IF(AND(LEFT(A5,1)&lt;&gt;"C",D5&gt;0,F5&gt;0),1,0)</f>
        <v>1</v>
      </c>
      <c r="J5" s="7" t="n">
        <f aca="false">IF(I5=1,D5*F5,0)</f>
        <v>35.7</v>
      </c>
      <c r="K5" s="7" t="n">
        <f aca="false">YEAR(E5)*100+MONTH(E5)</f>
        <v>201109</v>
      </c>
      <c r="L5" s="7" t="n">
        <f aca="false">IF(AND(A5&lt;&gt;A4,LEFT(A5,1)&lt;&gt;"C"),1,0)</f>
        <v>1</v>
      </c>
    </row>
    <row r="6" customFormat="false" ht="15" hidden="false" customHeight="false" outlineLevel="0" collapsed="false">
      <c r="A6" s="0" t="s">
        <v>40</v>
      </c>
      <c r="B6" s="0" t="s">
        <v>44</v>
      </c>
      <c r="C6" s="0" t="s">
        <v>45</v>
      </c>
      <c r="D6" s="0" t="n">
        <v>12</v>
      </c>
      <c r="E6" s="6" t="n">
        <v>40788.4104166667</v>
      </c>
      <c r="F6" s="0" t="n">
        <v>0.65</v>
      </c>
      <c r="G6" s="0" t="n">
        <v>12670</v>
      </c>
      <c r="H6" s="0" t="s">
        <v>43</v>
      </c>
      <c r="I6" s="7" t="n">
        <f aca="false">IF(AND(LEFT(A6,1)&lt;&gt;"C",D6&gt;0,F6&gt;0),1,0)</f>
        <v>1</v>
      </c>
      <c r="J6" s="7" t="n">
        <f aca="false">IF(I6=1,D6*F6,0)</f>
        <v>7.8</v>
      </c>
      <c r="K6" s="7" t="n">
        <f aca="false">YEAR(E6)*100+MONTH(E6)</f>
        <v>201109</v>
      </c>
      <c r="L6" s="7" t="n">
        <f aca="false">IF(AND(A6&lt;&gt;A5,LEFT(A6,1)&lt;&gt;"C"),1,0)</f>
        <v>0</v>
      </c>
    </row>
    <row r="7" customFormat="false" ht="15" hidden="false" customHeight="false" outlineLevel="0" collapsed="false">
      <c r="A7" s="0" t="s">
        <v>40</v>
      </c>
      <c r="B7" s="0" t="s">
        <v>46</v>
      </c>
      <c r="C7" s="0" t="s">
        <v>47</v>
      </c>
      <c r="D7" s="0" t="n">
        <v>12</v>
      </c>
      <c r="E7" s="6" t="n">
        <v>40788.4104166667</v>
      </c>
      <c r="F7" s="0" t="n">
        <v>0.65</v>
      </c>
      <c r="G7" s="0" t="n">
        <v>12670</v>
      </c>
      <c r="H7" s="0" t="s">
        <v>43</v>
      </c>
      <c r="I7" s="7" t="n">
        <f aca="false">IF(AND(LEFT(A7,1)&lt;&gt;"C",D7&gt;0,F7&gt;0),1,0)</f>
        <v>1</v>
      </c>
      <c r="J7" s="7" t="n">
        <f aca="false">IF(I7=1,D7*F7,0)</f>
        <v>7.8</v>
      </c>
      <c r="K7" s="7" t="n">
        <f aca="false">YEAR(E7)*100+MONTH(E7)</f>
        <v>201109</v>
      </c>
      <c r="L7" s="7" t="n">
        <f aca="false">IF(AND(A7&lt;&gt;A6,LEFT(A7,1)&lt;&gt;"C"),1,0)</f>
        <v>0</v>
      </c>
    </row>
    <row r="8" customFormat="false" ht="15" hidden="false" customHeight="false" outlineLevel="0" collapsed="false">
      <c r="A8" s="0" t="s">
        <v>40</v>
      </c>
      <c r="B8" s="0" t="s">
        <v>48</v>
      </c>
      <c r="C8" s="0" t="s">
        <v>49</v>
      </c>
      <c r="D8" s="0" t="n">
        <v>12</v>
      </c>
      <c r="E8" s="6" t="n">
        <v>40788.4104166667</v>
      </c>
      <c r="F8" s="0" t="n">
        <v>0.65</v>
      </c>
      <c r="G8" s="0" t="n">
        <v>12670</v>
      </c>
      <c r="H8" s="0" t="s">
        <v>43</v>
      </c>
      <c r="I8" s="7" t="n">
        <f aca="false">IF(AND(LEFT(A8,1)&lt;&gt;"C",D8&gt;0,F8&gt;0),1,0)</f>
        <v>1</v>
      </c>
      <c r="J8" s="7" t="n">
        <f aca="false">IF(I8=1,D8*F8,0)</f>
        <v>7.8</v>
      </c>
      <c r="K8" s="7" t="n">
        <f aca="false">YEAR(E8)*100+MONTH(E8)</f>
        <v>201109</v>
      </c>
      <c r="L8" s="7" t="n">
        <f aca="false">IF(AND(A8&lt;&gt;A7,LEFT(A8,1)&lt;&gt;"C"),1,0)</f>
        <v>0</v>
      </c>
    </row>
    <row r="9" customFormat="false" ht="15" hidden="false" customHeight="false" outlineLevel="0" collapsed="false">
      <c r="A9" s="0" t="s">
        <v>40</v>
      </c>
      <c r="B9" s="0" t="s">
        <v>50</v>
      </c>
      <c r="C9" s="0" t="s">
        <v>51</v>
      </c>
      <c r="D9" s="0" t="n">
        <v>12</v>
      </c>
      <c r="E9" s="6" t="n">
        <v>40788.4104166667</v>
      </c>
      <c r="F9" s="0" t="n">
        <v>1.95</v>
      </c>
      <c r="G9" s="0" t="n">
        <v>12670</v>
      </c>
      <c r="H9" s="0" t="s">
        <v>43</v>
      </c>
      <c r="I9" s="7" t="n">
        <f aca="false">IF(AND(LEFT(A9,1)&lt;&gt;"C",D9&gt;0,F9&gt;0),1,0)</f>
        <v>1</v>
      </c>
      <c r="J9" s="7" t="n">
        <f aca="false">IF(I9=1,D9*F9,0)</f>
        <v>23.4</v>
      </c>
      <c r="K9" s="7" t="n">
        <f aca="false">YEAR(E9)*100+MONTH(E9)</f>
        <v>201109</v>
      </c>
      <c r="L9" s="7" t="n">
        <f aca="false">IF(AND(A9&lt;&gt;A8,LEFT(A9,1)&lt;&gt;"C"),1,0)</f>
        <v>0</v>
      </c>
    </row>
    <row r="10" customFormat="false" ht="15" hidden="false" customHeight="false" outlineLevel="0" collapsed="false">
      <c r="A10" s="0" t="s">
        <v>40</v>
      </c>
      <c r="B10" s="0" t="s">
        <v>52</v>
      </c>
      <c r="C10" s="0" t="s">
        <v>53</v>
      </c>
      <c r="D10" s="0" t="n">
        <v>12</v>
      </c>
      <c r="E10" s="6" t="n">
        <v>40788.4104166667</v>
      </c>
      <c r="F10" s="0" t="n">
        <v>1.95</v>
      </c>
      <c r="G10" s="0" t="n">
        <v>12670</v>
      </c>
      <c r="H10" s="0" t="s">
        <v>43</v>
      </c>
      <c r="I10" s="7" t="n">
        <f aca="false">IF(AND(LEFT(A10,1)&lt;&gt;"C",D10&gt;0,F10&gt;0),1,0)</f>
        <v>1</v>
      </c>
      <c r="J10" s="7" t="n">
        <f aca="false">IF(I10=1,D10*F10,0)</f>
        <v>23.4</v>
      </c>
      <c r="K10" s="7" t="n">
        <f aca="false">YEAR(E10)*100+MONTH(E10)</f>
        <v>201109</v>
      </c>
      <c r="L10" s="7" t="n">
        <f aca="false">IF(AND(A10&lt;&gt;A9,LEFT(A10,1)&lt;&gt;"C"),1,0)</f>
        <v>0</v>
      </c>
    </row>
    <row r="11" customFormat="false" ht="15" hidden="false" customHeight="false" outlineLevel="0" collapsed="false">
      <c r="A11" s="0" t="s">
        <v>40</v>
      </c>
      <c r="B11" s="0" t="s">
        <v>54</v>
      </c>
      <c r="C11" s="0" t="s">
        <v>55</v>
      </c>
      <c r="D11" s="0" t="n">
        <v>12</v>
      </c>
      <c r="E11" s="6" t="n">
        <v>40788.4104166667</v>
      </c>
      <c r="F11" s="0" t="n">
        <v>1.65</v>
      </c>
      <c r="G11" s="0" t="n">
        <v>12670</v>
      </c>
      <c r="H11" s="0" t="s">
        <v>43</v>
      </c>
      <c r="I11" s="7" t="n">
        <f aca="false">IF(AND(LEFT(A11,1)&lt;&gt;"C",D11&gt;0,F11&gt;0),1,0)</f>
        <v>1</v>
      </c>
      <c r="J11" s="7" t="n">
        <f aca="false">IF(I11=1,D11*F11,0)</f>
        <v>19.8</v>
      </c>
      <c r="K11" s="7" t="n">
        <f aca="false">YEAR(E11)*100+MONTH(E11)</f>
        <v>201109</v>
      </c>
      <c r="L11" s="7" t="n">
        <f aca="false">IF(AND(A11&lt;&gt;A10,LEFT(A11,1)&lt;&gt;"C"),1,0)</f>
        <v>0</v>
      </c>
    </row>
    <row r="12" customFormat="false" ht="15" hidden="false" customHeight="false" outlineLevel="0" collapsed="false">
      <c r="A12" s="0" t="s">
        <v>40</v>
      </c>
      <c r="B12" s="0" t="s">
        <v>56</v>
      </c>
      <c r="C12" s="0" t="s">
        <v>57</v>
      </c>
      <c r="D12" s="0" t="n">
        <v>10</v>
      </c>
      <c r="E12" s="6" t="n">
        <v>40788.4104166667</v>
      </c>
      <c r="F12" s="0" t="n">
        <v>1.65</v>
      </c>
      <c r="G12" s="0" t="n">
        <v>12670</v>
      </c>
      <c r="H12" s="0" t="s">
        <v>43</v>
      </c>
      <c r="I12" s="7" t="n">
        <f aca="false">IF(AND(LEFT(A12,1)&lt;&gt;"C",D12&gt;0,F12&gt;0),1,0)</f>
        <v>1</v>
      </c>
      <c r="J12" s="7" t="n">
        <f aca="false">IF(I12=1,D12*F12,0)</f>
        <v>16.5</v>
      </c>
      <c r="K12" s="7" t="n">
        <f aca="false">YEAR(E12)*100+MONTH(E12)</f>
        <v>201109</v>
      </c>
      <c r="L12" s="7" t="n">
        <f aca="false">IF(AND(A12&lt;&gt;A11,LEFT(A12,1)&lt;&gt;"C"),1,0)</f>
        <v>0</v>
      </c>
    </row>
    <row r="13" customFormat="false" ht="15" hidden="false" customHeight="false" outlineLevel="0" collapsed="false">
      <c r="A13" s="0" t="s">
        <v>40</v>
      </c>
      <c r="B13" s="0" t="s">
        <v>58</v>
      </c>
      <c r="C13" s="0" t="s">
        <v>59</v>
      </c>
      <c r="D13" s="0" t="n">
        <v>12</v>
      </c>
      <c r="E13" s="6" t="n">
        <v>40788.4104166667</v>
      </c>
      <c r="F13" s="0" t="n">
        <v>2.55</v>
      </c>
      <c r="G13" s="0" t="n">
        <v>12670</v>
      </c>
      <c r="H13" s="0" t="s">
        <v>43</v>
      </c>
      <c r="I13" s="7" t="n">
        <f aca="false">IF(AND(LEFT(A13,1)&lt;&gt;"C",D13&gt;0,F13&gt;0),1,0)</f>
        <v>1</v>
      </c>
      <c r="J13" s="7" t="n">
        <f aca="false">IF(I13=1,D13*F13,0)</f>
        <v>30.6</v>
      </c>
      <c r="K13" s="7" t="n">
        <f aca="false">YEAR(E13)*100+MONTH(E13)</f>
        <v>201109</v>
      </c>
      <c r="L13" s="7" t="n">
        <f aca="false">IF(AND(A13&lt;&gt;A12,LEFT(A13,1)&lt;&gt;"C"),1,0)</f>
        <v>0</v>
      </c>
    </row>
    <row r="14" customFormat="false" ht="15" hidden="false" customHeight="false" outlineLevel="0" collapsed="false">
      <c r="A14" s="0" t="s">
        <v>40</v>
      </c>
      <c r="B14" s="0" t="s">
        <v>60</v>
      </c>
      <c r="C14" s="0" t="s">
        <v>61</v>
      </c>
      <c r="D14" s="0" t="n">
        <v>12</v>
      </c>
      <c r="E14" s="6" t="n">
        <v>40788.4104166667</v>
      </c>
      <c r="F14" s="0" t="n">
        <v>2.55</v>
      </c>
      <c r="G14" s="0" t="n">
        <v>12670</v>
      </c>
      <c r="H14" s="0" t="s">
        <v>43</v>
      </c>
      <c r="I14" s="7" t="n">
        <f aca="false">IF(AND(LEFT(A14,1)&lt;&gt;"C",D14&gt;0,F14&gt;0),1,0)</f>
        <v>1</v>
      </c>
      <c r="J14" s="7" t="n">
        <f aca="false">IF(I14=1,D14*F14,0)</f>
        <v>30.6</v>
      </c>
      <c r="K14" s="7" t="n">
        <f aca="false">YEAR(E14)*100+MONTH(E14)</f>
        <v>201109</v>
      </c>
      <c r="L14" s="7" t="n">
        <f aca="false">IF(AND(A14&lt;&gt;A13,LEFT(A14,1)&lt;&gt;"C"),1,0)</f>
        <v>0</v>
      </c>
    </row>
    <row r="15" customFormat="false" ht="15" hidden="false" customHeight="false" outlineLevel="0" collapsed="false">
      <c r="A15" s="0" t="s">
        <v>40</v>
      </c>
      <c r="B15" s="0" t="s">
        <v>62</v>
      </c>
      <c r="C15" s="0" t="s">
        <v>63</v>
      </c>
      <c r="D15" s="0" t="n">
        <v>6</v>
      </c>
      <c r="E15" s="6" t="n">
        <v>40788.4104166667</v>
      </c>
      <c r="F15" s="0" t="n">
        <v>2.08</v>
      </c>
      <c r="G15" s="0" t="n">
        <v>12670</v>
      </c>
      <c r="H15" s="0" t="s">
        <v>43</v>
      </c>
      <c r="I15" s="7" t="n">
        <f aca="false">IF(AND(LEFT(A15,1)&lt;&gt;"C",D15&gt;0,F15&gt;0),1,0)</f>
        <v>1</v>
      </c>
      <c r="J15" s="7" t="n">
        <f aca="false">IF(I15=1,D15*F15,0)</f>
        <v>12.48</v>
      </c>
      <c r="K15" s="7" t="n">
        <f aca="false">YEAR(E15)*100+MONTH(E15)</f>
        <v>201109</v>
      </c>
      <c r="L15" s="7" t="n">
        <f aca="false">IF(AND(A15&lt;&gt;A14,LEFT(A15,1)&lt;&gt;"C"),1,0)</f>
        <v>0</v>
      </c>
    </row>
    <row r="16" customFormat="false" ht="15" hidden="false" customHeight="false" outlineLevel="0" collapsed="false">
      <c r="A16" s="0" t="s">
        <v>40</v>
      </c>
      <c r="B16" s="0" t="s">
        <v>64</v>
      </c>
      <c r="C16" s="0" t="s">
        <v>65</v>
      </c>
      <c r="D16" s="0" t="n">
        <v>36</v>
      </c>
      <c r="E16" s="6" t="n">
        <v>40788.4104166667</v>
      </c>
      <c r="F16" s="0" t="n">
        <v>1.65</v>
      </c>
      <c r="G16" s="0" t="n">
        <v>12670</v>
      </c>
      <c r="H16" s="0" t="s">
        <v>43</v>
      </c>
      <c r="I16" s="7" t="n">
        <f aca="false">IF(AND(LEFT(A16,1)&lt;&gt;"C",D16&gt;0,F16&gt;0),1,0)</f>
        <v>1</v>
      </c>
      <c r="J16" s="7" t="n">
        <f aca="false">IF(I16=1,D16*F16,0)</f>
        <v>59.4</v>
      </c>
      <c r="K16" s="7" t="n">
        <f aca="false">YEAR(E16)*100+MONTH(E16)</f>
        <v>201109</v>
      </c>
      <c r="L16" s="7" t="n">
        <f aca="false">IF(AND(A16&lt;&gt;A15,LEFT(A16,1)&lt;&gt;"C"),1,0)</f>
        <v>0</v>
      </c>
    </row>
    <row r="17" customFormat="false" ht="15" hidden="false" customHeight="false" outlineLevel="0" collapsed="false">
      <c r="A17" s="0" t="s">
        <v>40</v>
      </c>
      <c r="B17" s="0" t="s">
        <v>66</v>
      </c>
      <c r="C17" s="0" t="s">
        <v>67</v>
      </c>
      <c r="D17" s="0" t="n">
        <v>18</v>
      </c>
      <c r="E17" s="6" t="n">
        <v>40788.4104166667</v>
      </c>
      <c r="F17" s="0" t="n">
        <v>2.95</v>
      </c>
      <c r="G17" s="0" t="n">
        <v>12670</v>
      </c>
      <c r="H17" s="0" t="s">
        <v>43</v>
      </c>
      <c r="I17" s="7" t="n">
        <f aca="false">IF(AND(LEFT(A17,1)&lt;&gt;"C",D17&gt;0,F17&gt;0),1,0)</f>
        <v>1</v>
      </c>
      <c r="J17" s="7" t="n">
        <f aca="false">IF(I17=1,D17*F17,0)</f>
        <v>53.1</v>
      </c>
      <c r="K17" s="7" t="n">
        <f aca="false">YEAR(E17)*100+MONTH(E17)</f>
        <v>201109</v>
      </c>
      <c r="L17" s="7" t="n">
        <f aca="false">IF(AND(A17&lt;&gt;A16,LEFT(A17,1)&lt;&gt;"C"),1,0)</f>
        <v>0</v>
      </c>
    </row>
    <row r="18" customFormat="false" ht="15" hidden="false" customHeight="false" outlineLevel="0" collapsed="false">
      <c r="A18" s="0" t="s">
        <v>40</v>
      </c>
      <c r="B18" s="0" t="s">
        <v>31</v>
      </c>
      <c r="C18" s="0" t="s">
        <v>32</v>
      </c>
      <c r="D18" s="0" t="n">
        <v>6</v>
      </c>
      <c r="E18" s="6" t="n">
        <v>40788.4104166667</v>
      </c>
      <c r="F18" s="0" t="n">
        <v>8.95</v>
      </c>
      <c r="G18" s="0" t="n">
        <v>12670</v>
      </c>
      <c r="H18" s="0" t="s">
        <v>43</v>
      </c>
      <c r="I18" s="7" t="n">
        <f aca="false">IF(AND(LEFT(A18,1)&lt;&gt;"C",D18&gt;0,F18&gt;0),1,0)</f>
        <v>1</v>
      </c>
      <c r="J18" s="7" t="n">
        <f aca="false">IF(I18=1,D18*F18,0)</f>
        <v>53.7</v>
      </c>
      <c r="K18" s="7" t="n">
        <f aca="false">YEAR(E18)*100+MONTH(E18)</f>
        <v>201109</v>
      </c>
      <c r="L18" s="7" t="n">
        <f aca="false">IF(AND(A18&lt;&gt;A17,LEFT(A18,1)&lt;&gt;"C"),1,0)</f>
        <v>0</v>
      </c>
    </row>
    <row r="19" customFormat="false" ht="15" hidden="false" customHeight="false" outlineLevel="0" collapsed="false">
      <c r="A19" s="0" t="s">
        <v>40</v>
      </c>
      <c r="B19" s="0" t="s">
        <v>68</v>
      </c>
      <c r="C19" s="0" t="s">
        <v>69</v>
      </c>
      <c r="D19" s="0" t="n">
        <v>10</v>
      </c>
      <c r="E19" s="6" t="n">
        <v>40788.4104166667</v>
      </c>
      <c r="F19" s="0" t="n">
        <v>1.65</v>
      </c>
      <c r="G19" s="0" t="n">
        <v>12670</v>
      </c>
      <c r="H19" s="0" t="s">
        <v>43</v>
      </c>
      <c r="I19" s="7" t="n">
        <f aca="false">IF(AND(LEFT(A19,1)&lt;&gt;"C",D19&gt;0,F19&gt;0),1,0)</f>
        <v>1</v>
      </c>
      <c r="J19" s="7" t="n">
        <f aca="false">IF(I19=1,D19*F19,0)</f>
        <v>16.5</v>
      </c>
      <c r="K19" s="7" t="n">
        <f aca="false">YEAR(E19)*100+MONTH(E19)</f>
        <v>201109</v>
      </c>
      <c r="L19" s="7" t="n">
        <f aca="false">IF(AND(A19&lt;&gt;A18,LEFT(A19,1)&lt;&gt;"C"),1,0)</f>
        <v>0</v>
      </c>
    </row>
    <row r="20" customFormat="false" ht="15" hidden="false" customHeight="false" outlineLevel="0" collapsed="false">
      <c r="A20" s="0" t="s">
        <v>40</v>
      </c>
      <c r="B20" s="0" t="s">
        <v>70</v>
      </c>
      <c r="C20" s="0" t="s">
        <v>71</v>
      </c>
      <c r="D20" s="0" t="n">
        <v>10</v>
      </c>
      <c r="E20" s="6" t="n">
        <v>40788.4104166667</v>
      </c>
      <c r="F20" s="0" t="n">
        <v>1.65</v>
      </c>
      <c r="G20" s="0" t="n">
        <v>12670</v>
      </c>
      <c r="H20" s="0" t="s">
        <v>43</v>
      </c>
      <c r="I20" s="7" t="n">
        <f aca="false">IF(AND(LEFT(A20,1)&lt;&gt;"C",D20&gt;0,F20&gt;0),1,0)</f>
        <v>1</v>
      </c>
      <c r="J20" s="7" t="n">
        <f aca="false">IF(I20=1,D20*F20,0)</f>
        <v>16.5</v>
      </c>
      <c r="K20" s="7" t="n">
        <f aca="false">YEAR(E20)*100+MONTH(E20)</f>
        <v>201109</v>
      </c>
      <c r="L20" s="7" t="n">
        <f aca="false">IF(AND(A20&lt;&gt;A19,LEFT(A20,1)&lt;&gt;"C"),1,0)</f>
        <v>0</v>
      </c>
    </row>
    <row r="21" customFormat="false" ht="15" hidden="false" customHeight="false" outlineLevel="0" collapsed="false">
      <c r="A21" s="0" t="s">
        <v>40</v>
      </c>
      <c r="B21" s="0" t="s">
        <v>72</v>
      </c>
      <c r="C21" s="0" t="s">
        <v>73</v>
      </c>
      <c r="D21" s="0" t="n">
        <v>12</v>
      </c>
      <c r="E21" s="6" t="n">
        <v>40788.4104166667</v>
      </c>
      <c r="F21" s="0" t="n">
        <v>1.95</v>
      </c>
      <c r="G21" s="0" t="n">
        <v>12670</v>
      </c>
      <c r="H21" s="0" t="s">
        <v>43</v>
      </c>
      <c r="I21" s="7" t="n">
        <f aca="false">IF(AND(LEFT(A21,1)&lt;&gt;"C",D21&gt;0,F21&gt;0),1,0)</f>
        <v>1</v>
      </c>
      <c r="J21" s="7" t="n">
        <f aca="false">IF(I21=1,D21*F21,0)</f>
        <v>23.4</v>
      </c>
      <c r="K21" s="7" t="n">
        <f aca="false">YEAR(E21)*100+MONTH(E21)</f>
        <v>201109</v>
      </c>
      <c r="L21" s="7" t="n">
        <f aca="false">IF(AND(A21&lt;&gt;A20,LEFT(A21,1)&lt;&gt;"C"),1,0)</f>
        <v>0</v>
      </c>
    </row>
    <row r="22" customFormat="false" ht="15" hidden="false" customHeight="false" outlineLevel="0" collapsed="false">
      <c r="A22" s="0" t="s">
        <v>40</v>
      </c>
      <c r="B22" s="0" t="s">
        <v>74</v>
      </c>
      <c r="C22" s="0" t="s">
        <v>75</v>
      </c>
      <c r="D22" s="0" t="n">
        <v>12</v>
      </c>
      <c r="E22" s="6" t="n">
        <v>40788.4104166667</v>
      </c>
      <c r="F22" s="0" t="n">
        <v>1.95</v>
      </c>
      <c r="G22" s="0" t="n">
        <v>12670</v>
      </c>
      <c r="H22" s="0" t="s">
        <v>43</v>
      </c>
      <c r="I22" s="7" t="n">
        <f aca="false">IF(AND(LEFT(A22,1)&lt;&gt;"C",D22&gt;0,F22&gt;0),1,0)</f>
        <v>1</v>
      </c>
      <c r="J22" s="7" t="n">
        <f aca="false">IF(I22=1,D22*F22,0)</f>
        <v>23.4</v>
      </c>
      <c r="K22" s="7" t="n">
        <f aca="false">YEAR(E22)*100+MONTH(E22)</f>
        <v>201109</v>
      </c>
      <c r="L22" s="7" t="n">
        <f aca="false">IF(AND(A22&lt;&gt;A21,LEFT(A22,1)&lt;&gt;"C"),1,0)</f>
        <v>0</v>
      </c>
    </row>
    <row r="23" customFormat="false" ht="15" hidden="false" customHeight="false" outlineLevel="0" collapsed="false">
      <c r="A23" s="0" t="s">
        <v>40</v>
      </c>
      <c r="B23" s="0" t="s">
        <v>76</v>
      </c>
      <c r="C23" s="0" t="s">
        <v>77</v>
      </c>
      <c r="D23" s="0" t="n">
        <v>12</v>
      </c>
      <c r="E23" s="6" t="n">
        <v>40788.4104166667</v>
      </c>
      <c r="F23" s="0" t="n">
        <v>1.95</v>
      </c>
      <c r="G23" s="0" t="n">
        <v>12670</v>
      </c>
      <c r="H23" s="0" t="s">
        <v>43</v>
      </c>
      <c r="I23" s="7" t="n">
        <f aca="false">IF(AND(LEFT(A23,1)&lt;&gt;"C",D23&gt;0,F23&gt;0),1,0)</f>
        <v>1</v>
      </c>
      <c r="J23" s="7" t="n">
        <f aca="false">IF(I23=1,D23*F23,0)</f>
        <v>23.4</v>
      </c>
      <c r="K23" s="7" t="n">
        <f aca="false">YEAR(E23)*100+MONTH(E23)</f>
        <v>201109</v>
      </c>
      <c r="L23" s="7" t="n">
        <f aca="false">IF(AND(A23&lt;&gt;A22,LEFT(A23,1)&lt;&gt;"C"),1,0)</f>
        <v>0</v>
      </c>
    </row>
    <row r="24" customFormat="false" ht="15" hidden="false" customHeight="false" outlineLevel="0" collapsed="false">
      <c r="A24" s="0" t="s">
        <v>40</v>
      </c>
      <c r="B24" s="0" t="s">
        <v>78</v>
      </c>
      <c r="C24" s="0" t="s">
        <v>79</v>
      </c>
      <c r="D24" s="0" t="n">
        <v>10</v>
      </c>
      <c r="E24" s="6" t="n">
        <v>40788.4104166667</v>
      </c>
      <c r="F24" s="0" t="n">
        <v>1.65</v>
      </c>
      <c r="G24" s="0" t="n">
        <v>12670</v>
      </c>
      <c r="H24" s="0" t="s">
        <v>43</v>
      </c>
      <c r="I24" s="7" t="n">
        <f aca="false">IF(AND(LEFT(A24,1)&lt;&gt;"C",D24&gt;0,F24&gt;0),1,0)</f>
        <v>1</v>
      </c>
      <c r="J24" s="7" t="n">
        <f aca="false">IF(I24=1,D24*F24,0)</f>
        <v>16.5</v>
      </c>
      <c r="K24" s="7" t="n">
        <f aca="false">YEAR(E24)*100+MONTH(E24)</f>
        <v>201109</v>
      </c>
      <c r="L24" s="7" t="n">
        <f aca="false">IF(AND(A24&lt;&gt;A23,LEFT(A24,1)&lt;&gt;"C"),1,0)</f>
        <v>0</v>
      </c>
    </row>
    <row r="25" customFormat="false" ht="15" hidden="false" customHeight="false" outlineLevel="0" collapsed="false">
      <c r="A25" s="0" t="s">
        <v>40</v>
      </c>
      <c r="B25" s="0" t="s">
        <v>80</v>
      </c>
      <c r="C25" s="0" t="s">
        <v>81</v>
      </c>
      <c r="D25" s="0" t="n">
        <v>20</v>
      </c>
      <c r="E25" s="6" t="n">
        <v>40788.4104166667</v>
      </c>
      <c r="F25" s="0" t="n">
        <v>0.83</v>
      </c>
      <c r="G25" s="0" t="n">
        <v>12670</v>
      </c>
      <c r="H25" s="0" t="s">
        <v>43</v>
      </c>
      <c r="I25" s="7" t="n">
        <f aca="false">IF(AND(LEFT(A25,1)&lt;&gt;"C",D25&gt;0,F25&gt;0),1,0)</f>
        <v>1</v>
      </c>
      <c r="J25" s="7" t="n">
        <f aca="false">IF(I25=1,D25*F25,0)</f>
        <v>16.6</v>
      </c>
      <c r="K25" s="7" t="n">
        <f aca="false">YEAR(E25)*100+MONTH(E25)</f>
        <v>201109</v>
      </c>
      <c r="L25" s="7" t="n">
        <f aca="false">IF(AND(A25&lt;&gt;A24,LEFT(A25,1)&lt;&gt;"C"),1,0)</f>
        <v>0</v>
      </c>
    </row>
    <row r="26" customFormat="false" ht="15" hidden="false" customHeight="false" outlineLevel="0" collapsed="false">
      <c r="A26" s="0" t="s">
        <v>40</v>
      </c>
      <c r="B26" s="0" t="s">
        <v>82</v>
      </c>
      <c r="C26" s="0" t="s">
        <v>83</v>
      </c>
      <c r="D26" s="0" t="n">
        <v>6</v>
      </c>
      <c r="E26" s="6" t="n">
        <v>40788.4104166667</v>
      </c>
      <c r="F26" s="0" t="n">
        <v>5.95</v>
      </c>
      <c r="G26" s="0" t="n">
        <v>12670</v>
      </c>
      <c r="H26" s="0" t="s">
        <v>43</v>
      </c>
      <c r="I26" s="7" t="n">
        <f aca="false">IF(AND(LEFT(A26,1)&lt;&gt;"C",D26&gt;0,F26&gt;0),1,0)</f>
        <v>1</v>
      </c>
      <c r="J26" s="7" t="n">
        <f aca="false">IF(I26=1,D26*F26,0)</f>
        <v>35.7</v>
      </c>
      <c r="K26" s="7" t="n">
        <f aca="false">YEAR(E26)*100+MONTH(E26)</f>
        <v>201109</v>
      </c>
      <c r="L26" s="7" t="n">
        <f aca="false">IF(AND(A26&lt;&gt;A25,LEFT(A26,1)&lt;&gt;"C"),1,0)</f>
        <v>0</v>
      </c>
    </row>
    <row r="27" customFormat="false" ht="15" hidden="false" customHeight="false" outlineLevel="0" collapsed="false">
      <c r="A27" s="0" t="s">
        <v>40</v>
      </c>
      <c r="B27" s="0" t="s">
        <v>84</v>
      </c>
      <c r="C27" s="0" t="s">
        <v>85</v>
      </c>
      <c r="D27" s="0" t="n">
        <v>3</v>
      </c>
      <c r="E27" s="6" t="n">
        <v>40788.4104166667</v>
      </c>
      <c r="F27" s="0" t="n">
        <v>18</v>
      </c>
      <c r="G27" s="0" t="n">
        <v>12670</v>
      </c>
      <c r="H27" s="0" t="s">
        <v>43</v>
      </c>
      <c r="I27" s="7" t="n">
        <f aca="false">IF(AND(LEFT(A27,1)&lt;&gt;"C",D27&gt;0,F27&gt;0),1,0)</f>
        <v>1</v>
      </c>
      <c r="J27" s="7" t="n">
        <f aca="false">IF(I27=1,D27*F27,0)</f>
        <v>54</v>
      </c>
      <c r="K27" s="7" t="n">
        <f aca="false">YEAR(E27)*100+MONTH(E27)</f>
        <v>201109</v>
      </c>
      <c r="L27" s="7" t="n">
        <f aca="false">IF(AND(A27&lt;&gt;A26,LEFT(A27,1)&lt;&gt;"C"),1,0)</f>
        <v>0</v>
      </c>
    </row>
    <row r="28" customFormat="false" ht="15" hidden="false" customHeight="false" outlineLevel="0" collapsed="false">
      <c r="A28" s="0" t="s">
        <v>86</v>
      </c>
      <c r="B28" s="0" t="s">
        <v>87</v>
      </c>
      <c r="C28" s="0" t="s">
        <v>88</v>
      </c>
      <c r="D28" s="0" t="n">
        <v>4</v>
      </c>
      <c r="E28" s="6" t="n">
        <v>40788.4534722222</v>
      </c>
      <c r="F28" s="0" t="n">
        <v>4.15</v>
      </c>
      <c r="G28" s="0" t="n">
        <v>12474</v>
      </c>
      <c r="H28" s="0" t="s">
        <v>33</v>
      </c>
      <c r="I28" s="7" t="n">
        <f aca="false">IF(AND(LEFT(A28,1)&lt;&gt;"C",D28&gt;0,F28&gt;0),1,0)</f>
        <v>1</v>
      </c>
      <c r="J28" s="7" t="n">
        <f aca="false">IF(I28=1,D28*F28,0)</f>
        <v>16.6</v>
      </c>
      <c r="K28" s="7" t="n">
        <f aca="false">YEAR(E28)*100+MONTH(E28)</f>
        <v>201109</v>
      </c>
      <c r="L28" s="7" t="n">
        <f aca="false">IF(AND(A28&lt;&gt;A27,LEFT(A28,1)&lt;&gt;"C"),1,0)</f>
        <v>1</v>
      </c>
    </row>
    <row r="29" customFormat="false" ht="15" hidden="false" customHeight="false" outlineLevel="0" collapsed="false">
      <c r="A29" s="0" t="s">
        <v>86</v>
      </c>
      <c r="B29" s="0" t="s">
        <v>89</v>
      </c>
      <c r="C29" s="0" t="s">
        <v>90</v>
      </c>
      <c r="D29" s="0" t="n">
        <v>4</v>
      </c>
      <c r="E29" s="6" t="n">
        <v>40788.4534722222</v>
      </c>
      <c r="F29" s="0" t="n">
        <v>4.15</v>
      </c>
      <c r="G29" s="0" t="n">
        <v>12474</v>
      </c>
      <c r="H29" s="0" t="s">
        <v>33</v>
      </c>
      <c r="I29" s="7" t="n">
        <f aca="false">IF(AND(LEFT(A29,1)&lt;&gt;"C",D29&gt;0,F29&gt;0),1,0)</f>
        <v>1</v>
      </c>
      <c r="J29" s="7" t="n">
        <f aca="false">IF(I29=1,D29*F29,0)</f>
        <v>16.6</v>
      </c>
      <c r="K29" s="7" t="n">
        <f aca="false">YEAR(E29)*100+MONTH(E29)</f>
        <v>201109</v>
      </c>
      <c r="L29" s="7" t="n">
        <f aca="false">IF(AND(A29&lt;&gt;A28,LEFT(A29,1)&lt;&gt;"C"),1,0)</f>
        <v>0</v>
      </c>
    </row>
    <row r="30" customFormat="false" ht="15" hidden="false" customHeight="false" outlineLevel="0" collapsed="false">
      <c r="A30" s="0" t="s">
        <v>86</v>
      </c>
      <c r="B30" s="0" t="s">
        <v>91</v>
      </c>
      <c r="C30" s="0" t="s">
        <v>92</v>
      </c>
      <c r="D30" s="0" t="n">
        <v>4</v>
      </c>
      <c r="E30" s="6" t="n">
        <v>40788.4534722222</v>
      </c>
      <c r="F30" s="0" t="n">
        <v>4.15</v>
      </c>
      <c r="G30" s="0" t="n">
        <v>12474</v>
      </c>
      <c r="H30" s="0" t="s">
        <v>33</v>
      </c>
      <c r="I30" s="7" t="n">
        <f aca="false">IF(AND(LEFT(A30,1)&lt;&gt;"C",D30&gt;0,F30&gt;0),1,0)</f>
        <v>1</v>
      </c>
      <c r="J30" s="7" t="n">
        <f aca="false">IF(I30=1,D30*F30,0)</f>
        <v>16.6</v>
      </c>
      <c r="K30" s="7" t="n">
        <f aca="false">YEAR(E30)*100+MONTH(E30)</f>
        <v>201109</v>
      </c>
      <c r="L30" s="7" t="n">
        <f aca="false">IF(AND(A30&lt;&gt;A29,LEFT(A30,1)&lt;&gt;"C"),1,0)</f>
        <v>0</v>
      </c>
    </row>
    <row r="31" customFormat="false" ht="15" hidden="false" customHeight="false" outlineLevel="0" collapsed="false">
      <c r="A31" s="0" t="s">
        <v>86</v>
      </c>
      <c r="B31" s="0" t="s">
        <v>93</v>
      </c>
      <c r="C31" s="0" t="s">
        <v>94</v>
      </c>
      <c r="D31" s="0" t="n">
        <v>4</v>
      </c>
      <c r="E31" s="6" t="n">
        <v>40788.4534722222</v>
      </c>
      <c r="F31" s="0" t="n">
        <v>4.15</v>
      </c>
      <c r="G31" s="0" t="n">
        <v>12474</v>
      </c>
      <c r="H31" s="0" t="s">
        <v>33</v>
      </c>
      <c r="I31" s="7" t="n">
        <f aca="false">IF(AND(LEFT(A31,1)&lt;&gt;"C",D31&gt;0,F31&gt;0),1,0)</f>
        <v>1</v>
      </c>
      <c r="J31" s="7" t="n">
        <f aca="false">IF(I31=1,D31*F31,0)</f>
        <v>16.6</v>
      </c>
      <c r="K31" s="7" t="n">
        <f aca="false">YEAR(E31)*100+MONTH(E31)</f>
        <v>201109</v>
      </c>
      <c r="L31" s="7" t="n">
        <f aca="false">IF(AND(A31&lt;&gt;A30,LEFT(A31,1)&lt;&gt;"C"),1,0)</f>
        <v>0</v>
      </c>
    </row>
    <row r="32" customFormat="false" ht="15" hidden="false" customHeight="false" outlineLevel="0" collapsed="false">
      <c r="A32" s="0" t="s">
        <v>86</v>
      </c>
      <c r="B32" s="0" t="s">
        <v>95</v>
      </c>
      <c r="C32" s="0" t="s">
        <v>96</v>
      </c>
      <c r="D32" s="0" t="n">
        <v>12</v>
      </c>
      <c r="E32" s="6" t="n">
        <v>40788.4534722222</v>
      </c>
      <c r="F32" s="0" t="n">
        <v>0.39</v>
      </c>
      <c r="G32" s="0" t="n">
        <v>12474</v>
      </c>
      <c r="H32" s="0" t="s">
        <v>33</v>
      </c>
      <c r="I32" s="7" t="n">
        <f aca="false">IF(AND(LEFT(A32,1)&lt;&gt;"C",D32&gt;0,F32&gt;0),1,0)</f>
        <v>1</v>
      </c>
      <c r="J32" s="7" t="n">
        <f aca="false">IF(I32=1,D32*F32,0)</f>
        <v>4.68</v>
      </c>
      <c r="K32" s="7" t="n">
        <f aca="false">YEAR(E32)*100+MONTH(E32)</f>
        <v>201109</v>
      </c>
      <c r="L32" s="7" t="n">
        <f aca="false">IF(AND(A32&lt;&gt;A31,LEFT(A32,1)&lt;&gt;"C"),1,0)</f>
        <v>0</v>
      </c>
    </row>
    <row r="33" customFormat="false" ht="15" hidden="false" customHeight="false" outlineLevel="0" collapsed="false">
      <c r="A33" s="0" t="s">
        <v>86</v>
      </c>
      <c r="B33" s="0" t="s">
        <v>97</v>
      </c>
      <c r="C33" s="0" t="s">
        <v>98</v>
      </c>
      <c r="D33" s="0" t="n">
        <v>12</v>
      </c>
      <c r="E33" s="6" t="n">
        <v>40788.4534722222</v>
      </c>
      <c r="F33" s="0" t="n">
        <v>1.65</v>
      </c>
      <c r="G33" s="0" t="n">
        <v>12474</v>
      </c>
      <c r="H33" s="0" t="s">
        <v>33</v>
      </c>
      <c r="I33" s="7" t="n">
        <f aca="false">IF(AND(LEFT(A33,1)&lt;&gt;"C",D33&gt;0,F33&gt;0),1,0)</f>
        <v>1</v>
      </c>
      <c r="J33" s="7" t="n">
        <f aca="false">IF(I33=1,D33*F33,0)</f>
        <v>19.8</v>
      </c>
      <c r="K33" s="7" t="n">
        <f aca="false">YEAR(E33)*100+MONTH(E33)</f>
        <v>201109</v>
      </c>
      <c r="L33" s="7" t="n">
        <f aca="false">IF(AND(A33&lt;&gt;A32,LEFT(A33,1)&lt;&gt;"C"),1,0)</f>
        <v>0</v>
      </c>
    </row>
    <row r="34" customFormat="false" ht="15" hidden="false" customHeight="false" outlineLevel="0" collapsed="false">
      <c r="A34" s="0" t="s">
        <v>86</v>
      </c>
      <c r="B34" s="0" t="s">
        <v>99</v>
      </c>
      <c r="C34" s="0" t="s">
        <v>100</v>
      </c>
      <c r="D34" s="0" t="n">
        <v>4</v>
      </c>
      <c r="E34" s="6" t="n">
        <v>40788.4534722222</v>
      </c>
      <c r="F34" s="0" t="n">
        <v>3.75</v>
      </c>
      <c r="G34" s="0" t="n">
        <v>12474</v>
      </c>
      <c r="H34" s="0" t="s">
        <v>33</v>
      </c>
      <c r="I34" s="7" t="n">
        <f aca="false">IF(AND(LEFT(A34,1)&lt;&gt;"C",D34&gt;0,F34&gt;0),1,0)</f>
        <v>1</v>
      </c>
      <c r="J34" s="7" t="n">
        <f aca="false">IF(I34=1,D34*F34,0)</f>
        <v>15</v>
      </c>
      <c r="K34" s="7" t="n">
        <f aca="false">YEAR(E34)*100+MONTH(E34)</f>
        <v>201109</v>
      </c>
      <c r="L34" s="7" t="n">
        <f aca="false">IF(AND(A34&lt;&gt;A33,LEFT(A34,1)&lt;&gt;"C"),1,0)</f>
        <v>0</v>
      </c>
    </row>
    <row r="35" customFormat="false" ht="15" hidden="false" customHeight="false" outlineLevel="0" collapsed="false">
      <c r="A35" s="0" t="s">
        <v>86</v>
      </c>
      <c r="B35" s="0" t="s">
        <v>58</v>
      </c>
      <c r="C35" s="0" t="s">
        <v>59</v>
      </c>
      <c r="D35" s="0" t="n">
        <v>12</v>
      </c>
      <c r="E35" s="6" t="n">
        <v>40788.4534722222</v>
      </c>
      <c r="F35" s="0" t="n">
        <v>2.55</v>
      </c>
      <c r="G35" s="0" t="n">
        <v>12474</v>
      </c>
      <c r="H35" s="0" t="s">
        <v>33</v>
      </c>
      <c r="I35" s="7" t="n">
        <f aca="false">IF(AND(LEFT(A35,1)&lt;&gt;"C",D35&gt;0,F35&gt;0),1,0)</f>
        <v>1</v>
      </c>
      <c r="J35" s="7" t="n">
        <f aca="false">IF(I35=1,D35*F35,0)</f>
        <v>30.6</v>
      </c>
      <c r="K35" s="7" t="n">
        <f aca="false">YEAR(E35)*100+MONTH(E35)</f>
        <v>201109</v>
      </c>
      <c r="L35" s="7" t="n">
        <f aca="false">IF(AND(A35&lt;&gt;A34,LEFT(A35,1)&lt;&gt;"C"),1,0)</f>
        <v>0</v>
      </c>
    </row>
    <row r="36" customFormat="false" ht="15" hidden="false" customHeight="false" outlineLevel="0" collapsed="false">
      <c r="A36" s="0" t="s">
        <v>86</v>
      </c>
      <c r="B36" s="0" t="s">
        <v>101</v>
      </c>
      <c r="C36" s="0" t="s">
        <v>102</v>
      </c>
      <c r="D36" s="0" t="n">
        <v>12</v>
      </c>
      <c r="E36" s="6" t="n">
        <v>40788.4534722222</v>
      </c>
      <c r="F36" s="0" t="n">
        <v>0.85</v>
      </c>
      <c r="G36" s="0" t="n">
        <v>12474</v>
      </c>
      <c r="H36" s="0" t="s">
        <v>33</v>
      </c>
      <c r="I36" s="7" t="n">
        <f aca="false">IF(AND(LEFT(A36,1)&lt;&gt;"C",D36&gt;0,F36&gt;0),1,0)</f>
        <v>1</v>
      </c>
      <c r="J36" s="7" t="n">
        <f aca="false">IF(I36=1,D36*F36,0)</f>
        <v>10.2</v>
      </c>
      <c r="K36" s="7" t="n">
        <f aca="false">YEAR(E36)*100+MONTH(E36)</f>
        <v>201109</v>
      </c>
      <c r="L36" s="7" t="n">
        <f aca="false">IF(AND(A36&lt;&gt;A35,LEFT(A36,1)&lt;&gt;"C"),1,0)</f>
        <v>0</v>
      </c>
    </row>
    <row r="37" customFormat="false" ht="15" hidden="false" customHeight="false" outlineLevel="0" collapsed="false">
      <c r="A37" s="0" t="s">
        <v>86</v>
      </c>
      <c r="B37" s="0" t="s">
        <v>103</v>
      </c>
      <c r="C37" s="0" t="s">
        <v>104</v>
      </c>
      <c r="D37" s="0" t="n">
        <v>24</v>
      </c>
      <c r="E37" s="6" t="n">
        <v>40788.4534722222</v>
      </c>
      <c r="F37" s="0" t="n">
        <v>0.55</v>
      </c>
      <c r="G37" s="0" t="n">
        <v>12474</v>
      </c>
      <c r="H37" s="0" t="s">
        <v>33</v>
      </c>
      <c r="I37" s="7" t="n">
        <f aca="false">IF(AND(LEFT(A37,1)&lt;&gt;"C",D37&gt;0,F37&gt;0),1,0)</f>
        <v>1</v>
      </c>
      <c r="J37" s="7" t="n">
        <f aca="false">IF(I37=1,D37*F37,0)</f>
        <v>13.2</v>
      </c>
      <c r="K37" s="7" t="n">
        <f aca="false">YEAR(E37)*100+MONTH(E37)</f>
        <v>201109</v>
      </c>
      <c r="L37" s="7" t="n">
        <f aca="false">IF(AND(A37&lt;&gt;A36,LEFT(A37,1)&lt;&gt;"C"),1,0)</f>
        <v>0</v>
      </c>
    </row>
    <row r="38" customFormat="false" ht="15" hidden="false" customHeight="false" outlineLevel="0" collapsed="false">
      <c r="A38" s="0" t="s">
        <v>86</v>
      </c>
      <c r="B38" s="0" t="s">
        <v>105</v>
      </c>
      <c r="C38" s="0" t="s">
        <v>106</v>
      </c>
      <c r="D38" s="0" t="n">
        <v>48</v>
      </c>
      <c r="E38" s="6" t="n">
        <v>40788.4534722222</v>
      </c>
      <c r="F38" s="0" t="n">
        <v>0.19</v>
      </c>
      <c r="G38" s="0" t="n">
        <v>12474</v>
      </c>
      <c r="H38" s="0" t="s">
        <v>33</v>
      </c>
      <c r="I38" s="7" t="n">
        <f aca="false">IF(AND(LEFT(A38,1)&lt;&gt;"C",D38&gt;0,F38&gt;0),1,0)</f>
        <v>1</v>
      </c>
      <c r="J38" s="7" t="n">
        <f aca="false">IF(I38=1,D38*F38,0)</f>
        <v>9.12</v>
      </c>
      <c r="K38" s="7" t="n">
        <f aca="false">YEAR(E38)*100+MONTH(E38)</f>
        <v>201109</v>
      </c>
      <c r="L38" s="7" t="n">
        <f aca="false">IF(AND(A38&lt;&gt;A37,LEFT(A38,1)&lt;&gt;"C"),1,0)</f>
        <v>0</v>
      </c>
    </row>
    <row r="39" customFormat="false" ht="15" hidden="false" customHeight="false" outlineLevel="0" collapsed="false">
      <c r="A39" s="0" t="s">
        <v>86</v>
      </c>
      <c r="B39" s="0" t="s">
        <v>107</v>
      </c>
      <c r="C39" s="0" t="s">
        <v>108</v>
      </c>
      <c r="D39" s="0" t="n">
        <v>12</v>
      </c>
      <c r="E39" s="6" t="n">
        <v>40788.4534722222</v>
      </c>
      <c r="F39" s="0" t="n">
        <v>2.55</v>
      </c>
      <c r="G39" s="0" t="n">
        <v>12474</v>
      </c>
      <c r="H39" s="0" t="s">
        <v>33</v>
      </c>
      <c r="I39" s="7" t="n">
        <f aca="false">IF(AND(LEFT(A39,1)&lt;&gt;"C",D39&gt;0,F39&gt;0),1,0)</f>
        <v>1</v>
      </c>
      <c r="J39" s="7" t="n">
        <f aca="false">IF(I39=1,D39*F39,0)</f>
        <v>30.6</v>
      </c>
      <c r="K39" s="7" t="n">
        <f aca="false">YEAR(E39)*100+MONTH(E39)</f>
        <v>201109</v>
      </c>
      <c r="L39" s="7" t="n">
        <f aca="false">IF(AND(A39&lt;&gt;A38,LEFT(A39,1)&lt;&gt;"C"),1,0)</f>
        <v>0</v>
      </c>
    </row>
    <row r="40" customFormat="false" ht="15" hidden="false" customHeight="false" outlineLevel="0" collapsed="false">
      <c r="A40" s="0" t="s">
        <v>86</v>
      </c>
      <c r="B40" s="0" t="s">
        <v>109</v>
      </c>
      <c r="C40" s="0" t="s">
        <v>110</v>
      </c>
      <c r="D40" s="0" t="n">
        <v>8</v>
      </c>
      <c r="E40" s="6" t="n">
        <v>40788.4534722222</v>
      </c>
      <c r="F40" s="0" t="n">
        <v>0.83</v>
      </c>
      <c r="G40" s="0" t="n">
        <v>12474</v>
      </c>
      <c r="H40" s="0" t="s">
        <v>33</v>
      </c>
      <c r="I40" s="7" t="n">
        <f aca="false">IF(AND(LEFT(A40,1)&lt;&gt;"C",D40&gt;0,F40&gt;0),1,0)</f>
        <v>1</v>
      </c>
      <c r="J40" s="7" t="n">
        <f aca="false">IF(I40=1,D40*F40,0)</f>
        <v>6.64</v>
      </c>
      <c r="K40" s="7" t="n">
        <f aca="false">YEAR(E40)*100+MONTH(E40)</f>
        <v>201109</v>
      </c>
      <c r="L40" s="7" t="n">
        <f aca="false">IF(AND(A40&lt;&gt;A39,LEFT(A40,1)&lt;&gt;"C"),1,0)</f>
        <v>0</v>
      </c>
    </row>
    <row r="41" customFormat="false" ht="15" hidden="false" customHeight="false" outlineLevel="0" collapsed="false">
      <c r="A41" s="0" t="s">
        <v>86</v>
      </c>
      <c r="B41" s="0" t="s">
        <v>111</v>
      </c>
      <c r="C41" s="0" t="s">
        <v>112</v>
      </c>
      <c r="D41" s="0" t="n">
        <v>6</v>
      </c>
      <c r="E41" s="6" t="n">
        <v>40788.4534722222</v>
      </c>
      <c r="F41" s="0" t="n">
        <v>2.55</v>
      </c>
      <c r="G41" s="0" t="n">
        <v>12474</v>
      </c>
      <c r="H41" s="0" t="s">
        <v>33</v>
      </c>
      <c r="I41" s="7" t="n">
        <f aca="false">IF(AND(LEFT(A41,1)&lt;&gt;"C",D41&gt;0,F41&gt;0),1,0)</f>
        <v>1</v>
      </c>
      <c r="J41" s="7" t="n">
        <f aca="false">IF(I41=1,D41*F41,0)</f>
        <v>15.3</v>
      </c>
      <c r="K41" s="7" t="n">
        <f aca="false">YEAR(E41)*100+MONTH(E41)</f>
        <v>201109</v>
      </c>
      <c r="L41" s="7" t="n">
        <f aca="false">IF(AND(A41&lt;&gt;A40,LEFT(A41,1)&lt;&gt;"C"),1,0)</f>
        <v>0</v>
      </c>
    </row>
    <row r="42" customFormat="false" ht="15" hidden="false" customHeight="false" outlineLevel="0" collapsed="false">
      <c r="A42" s="0" t="s">
        <v>86</v>
      </c>
      <c r="B42" s="0" t="s">
        <v>113</v>
      </c>
      <c r="C42" s="0" t="s">
        <v>114</v>
      </c>
      <c r="D42" s="0" t="n">
        <v>12</v>
      </c>
      <c r="E42" s="6" t="n">
        <v>40788.4534722222</v>
      </c>
      <c r="F42" s="0" t="n">
        <v>1.25</v>
      </c>
      <c r="G42" s="0" t="n">
        <v>12474</v>
      </c>
      <c r="H42" s="0" t="s">
        <v>33</v>
      </c>
      <c r="I42" s="7" t="n">
        <f aca="false">IF(AND(LEFT(A42,1)&lt;&gt;"C",D42&gt;0,F42&gt;0),1,0)</f>
        <v>1</v>
      </c>
      <c r="J42" s="7" t="n">
        <f aca="false">IF(I42=1,D42*F42,0)</f>
        <v>15</v>
      </c>
      <c r="K42" s="7" t="n">
        <f aca="false">YEAR(E42)*100+MONTH(E42)</f>
        <v>201109</v>
      </c>
      <c r="L42" s="7" t="n">
        <f aca="false">IF(AND(A42&lt;&gt;A41,LEFT(A42,1)&lt;&gt;"C"),1,0)</f>
        <v>0</v>
      </c>
    </row>
    <row r="43" customFormat="false" ht="15" hidden="false" customHeight="false" outlineLevel="0" collapsed="false">
      <c r="A43" s="0" t="s">
        <v>86</v>
      </c>
      <c r="B43" s="0" t="s">
        <v>115</v>
      </c>
      <c r="C43" s="0" t="s">
        <v>116</v>
      </c>
      <c r="D43" s="0" t="n">
        <v>12</v>
      </c>
      <c r="E43" s="6" t="n">
        <v>40788.4534722222</v>
      </c>
      <c r="F43" s="0" t="n">
        <v>0.85</v>
      </c>
      <c r="G43" s="0" t="n">
        <v>12474</v>
      </c>
      <c r="H43" s="0" t="s">
        <v>33</v>
      </c>
      <c r="I43" s="7" t="n">
        <f aca="false">IF(AND(LEFT(A43,1)&lt;&gt;"C",D43&gt;0,F43&gt;0),1,0)</f>
        <v>1</v>
      </c>
      <c r="J43" s="7" t="n">
        <f aca="false">IF(I43=1,D43*F43,0)</f>
        <v>10.2</v>
      </c>
      <c r="K43" s="7" t="n">
        <f aca="false">YEAR(E43)*100+MONTH(E43)</f>
        <v>201109</v>
      </c>
      <c r="L43" s="7" t="n">
        <f aca="false">IF(AND(A43&lt;&gt;A42,LEFT(A43,1)&lt;&gt;"C"),1,0)</f>
        <v>0</v>
      </c>
    </row>
    <row r="44" customFormat="false" ht="15" hidden="false" customHeight="false" outlineLevel="0" collapsed="false">
      <c r="A44" s="0" t="s">
        <v>86</v>
      </c>
      <c r="B44" s="0" t="s">
        <v>117</v>
      </c>
      <c r="C44" s="0" t="s">
        <v>118</v>
      </c>
      <c r="D44" s="0" t="n">
        <v>24</v>
      </c>
      <c r="E44" s="6" t="n">
        <v>40788.4534722222</v>
      </c>
      <c r="F44" s="0" t="n">
        <v>0.85</v>
      </c>
      <c r="G44" s="0" t="n">
        <v>12474</v>
      </c>
      <c r="H44" s="0" t="s">
        <v>33</v>
      </c>
      <c r="I44" s="7" t="n">
        <f aca="false">IF(AND(LEFT(A44,1)&lt;&gt;"C",D44&gt;0,F44&gt;0),1,0)</f>
        <v>1</v>
      </c>
      <c r="J44" s="7" t="n">
        <f aca="false">IF(I44=1,D44*F44,0)</f>
        <v>20.4</v>
      </c>
      <c r="K44" s="7" t="n">
        <f aca="false">YEAR(E44)*100+MONTH(E44)</f>
        <v>201109</v>
      </c>
      <c r="L44" s="7" t="n">
        <f aca="false">IF(AND(A44&lt;&gt;A43,LEFT(A44,1)&lt;&gt;"C"),1,0)</f>
        <v>0</v>
      </c>
    </row>
    <row r="45" customFormat="false" ht="15" hidden="false" customHeight="false" outlineLevel="0" collapsed="false">
      <c r="A45" s="0" t="s">
        <v>86</v>
      </c>
      <c r="B45" s="0" t="s">
        <v>119</v>
      </c>
      <c r="C45" s="0" t="s">
        <v>120</v>
      </c>
      <c r="D45" s="0" t="n">
        <v>12</v>
      </c>
      <c r="E45" s="6" t="n">
        <v>40788.4534722222</v>
      </c>
      <c r="F45" s="0" t="n">
        <v>0.42</v>
      </c>
      <c r="G45" s="0" t="n">
        <v>12474</v>
      </c>
      <c r="H45" s="0" t="s">
        <v>33</v>
      </c>
      <c r="I45" s="7" t="n">
        <f aca="false">IF(AND(LEFT(A45,1)&lt;&gt;"C",D45&gt;0,F45&gt;0),1,0)</f>
        <v>1</v>
      </c>
      <c r="J45" s="7" t="n">
        <f aca="false">IF(I45=1,D45*F45,0)</f>
        <v>5.04</v>
      </c>
      <c r="K45" s="7" t="n">
        <f aca="false">YEAR(E45)*100+MONTH(E45)</f>
        <v>201109</v>
      </c>
      <c r="L45" s="7" t="n">
        <f aca="false">IF(AND(A45&lt;&gt;A44,LEFT(A45,1)&lt;&gt;"C"),1,0)</f>
        <v>0</v>
      </c>
    </row>
    <row r="46" customFormat="false" ht="15" hidden="false" customHeight="false" outlineLevel="0" collapsed="false">
      <c r="A46" s="0" t="s">
        <v>86</v>
      </c>
      <c r="B46" s="0" t="s">
        <v>121</v>
      </c>
      <c r="C46" s="0" t="s">
        <v>122</v>
      </c>
      <c r="D46" s="0" t="n">
        <v>10</v>
      </c>
      <c r="E46" s="6" t="n">
        <v>40788.4534722222</v>
      </c>
      <c r="F46" s="0" t="n">
        <v>1.65</v>
      </c>
      <c r="G46" s="0" t="n">
        <v>12474</v>
      </c>
      <c r="H46" s="0" t="s">
        <v>33</v>
      </c>
      <c r="I46" s="7" t="n">
        <f aca="false">IF(AND(LEFT(A46,1)&lt;&gt;"C",D46&gt;0,F46&gt;0),1,0)</f>
        <v>1</v>
      </c>
      <c r="J46" s="7" t="n">
        <f aca="false">IF(I46=1,D46*F46,0)</f>
        <v>16.5</v>
      </c>
      <c r="K46" s="7" t="n">
        <f aca="false">YEAR(E46)*100+MONTH(E46)</f>
        <v>201109</v>
      </c>
      <c r="L46" s="7" t="n">
        <f aca="false">IF(AND(A46&lt;&gt;A45,LEFT(A46,1)&lt;&gt;"C"),1,0)</f>
        <v>0</v>
      </c>
    </row>
    <row r="47" customFormat="false" ht="15" hidden="false" customHeight="false" outlineLevel="0" collapsed="false">
      <c r="A47" s="0" t="s">
        <v>86</v>
      </c>
      <c r="B47" s="0" t="s">
        <v>123</v>
      </c>
      <c r="C47" s="0" t="s">
        <v>124</v>
      </c>
      <c r="D47" s="0" t="n">
        <v>12</v>
      </c>
      <c r="E47" s="6" t="n">
        <v>40788.4534722222</v>
      </c>
      <c r="F47" s="0" t="n">
        <v>2.95</v>
      </c>
      <c r="G47" s="0" t="n">
        <v>12474</v>
      </c>
      <c r="H47" s="0" t="s">
        <v>33</v>
      </c>
      <c r="I47" s="7" t="n">
        <f aca="false">IF(AND(LEFT(A47,1)&lt;&gt;"C",D47&gt;0,F47&gt;0),1,0)</f>
        <v>1</v>
      </c>
      <c r="J47" s="7" t="n">
        <f aca="false">IF(I47=1,D47*F47,0)</f>
        <v>35.4</v>
      </c>
      <c r="K47" s="7" t="n">
        <f aca="false">YEAR(E47)*100+MONTH(E47)</f>
        <v>201109</v>
      </c>
      <c r="L47" s="7" t="n">
        <f aca="false">IF(AND(A47&lt;&gt;A46,LEFT(A47,1)&lt;&gt;"C"),1,0)</f>
        <v>0</v>
      </c>
    </row>
    <row r="48" customFormat="false" ht="15" hidden="false" customHeight="false" outlineLevel="0" collapsed="false">
      <c r="A48" s="0" t="s">
        <v>86</v>
      </c>
      <c r="B48" s="0" t="s">
        <v>84</v>
      </c>
      <c r="C48" s="0" t="s">
        <v>85</v>
      </c>
      <c r="D48" s="0" t="n">
        <v>2</v>
      </c>
      <c r="E48" s="6" t="n">
        <v>40788.4534722222</v>
      </c>
      <c r="F48" s="0" t="n">
        <v>18</v>
      </c>
      <c r="G48" s="0" t="n">
        <v>12474</v>
      </c>
      <c r="H48" s="0" t="s">
        <v>33</v>
      </c>
      <c r="I48" s="7" t="n">
        <f aca="false">IF(AND(LEFT(A48,1)&lt;&gt;"C",D48&gt;0,F48&gt;0),1,0)</f>
        <v>1</v>
      </c>
      <c r="J48" s="7" t="n">
        <f aca="false">IF(I48=1,D48*F48,0)</f>
        <v>36</v>
      </c>
      <c r="K48" s="7" t="n">
        <f aca="false">YEAR(E48)*100+MONTH(E48)</f>
        <v>201109</v>
      </c>
      <c r="L48" s="7" t="n">
        <f aca="false">IF(AND(A48&lt;&gt;A47,LEFT(A48,1)&lt;&gt;"C"),1,0)</f>
        <v>0</v>
      </c>
    </row>
    <row r="49" customFormat="false" ht="15" hidden="false" customHeight="false" outlineLevel="0" collapsed="false">
      <c r="A49" s="0" t="s">
        <v>86</v>
      </c>
      <c r="B49" s="0" t="s">
        <v>125</v>
      </c>
      <c r="C49" s="0" t="s">
        <v>126</v>
      </c>
      <c r="D49" s="0" t="n">
        <v>24</v>
      </c>
      <c r="E49" s="6" t="n">
        <v>40788.4534722222</v>
      </c>
      <c r="F49" s="0" t="n">
        <v>1.25</v>
      </c>
      <c r="G49" s="0" t="n">
        <v>12474</v>
      </c>
      <c r="H49" s="0" t="s">
        <v>33</v>
      </c>
      <c r="I49" s="7" t="n">
        <f aca="false">IF(AND(LEFT(A49,1)&lt;&gt;"C",D49&gt;0,F49&gt;0),1,0)</f>
        <v>1</v>
      </c>
      <c r="J49" s="7" t="n">
        <f aca="false">IF(I49=1,D49*F49,0)</f>
        <v>30</v>
      </c>
      <c r="K49" s="7" t="n">
        <f aca="false">YEAR(E49)*100+MONTH(E49)</f>
        <v>201109</v>
      </c>
      <c r="L49" s="7" t="n">
        <f aca="false">IF(AND(A49&lt;&gt;A48,LEFT(A49,1)&lt;&gt;"C"),1,0)</f>
        <v>0</v>
      </c>
    </row>
    <row r="50" customFormat="false" ht="15" hidden="false" customHeight="false" outlineLevel="0" collapsed="false">
      <c r="A50" s="0" t="s">
        <v>86</v>
      </c>
      <c r="B50" s="0" t="s">
        <v>127</v>
      </c>
      <c r="C50" s="0" t="s">
        <v>128</v>
      </c>
      <c r="D50" s="0" t="n">
        <v>8</v>
      </c>
      <c r="E50" s="6" t="n">
        <v>40788.4534722222</v>
      </c>
      <c r="F50" s="0" t="n">
        <v>1.65</v>
      </c>
      <c r="G50" s="0" t="n">
        <v>12474</v>
      </c>
      <c r="H50" s="0" t="s">
        <v>33</v>
      </c>
      <c r="I50" s="7" t="n">
        <f aca="false">IF(AND(LEFT(A50,1)&lt;&gt;"C",D50&gt;0,F50&gt;0),1,0)</f>
        <v>1</v>
      </c>
      <c r="J50" s="7" t="n">
        <f aca="false">IF(I50=1,D50*F50,0)</f>
        <v>13.2</v>
      </c>
      <c r="K50" s="7" t="n">
        <f aca="false">YEAR(E50)*100+MONTH(E50)</f>
        <v>201109</v>
      </c>
      <c r="L50" s="7" t="n">
        <f aca="false">IF(AND(A50&lt;&gt;A49,LEFT(A50,1)&lt;&gt;"C"),1,0)</f>
        <v>0</v>
      </c>
    </row>
    <row r="51" customFormat="false" ht="15" hidden="false" customHeight="false" outlineLevel="0" collapsed="false">
      <c r="A51" s="0" t="s">
        <v>86</v>
      </c>
      <c r="B51" s="0" t="s">
        <v>129</v>
      </c>
      <c r="C51" s="0" t="s">
        <v>130</v>
      </c>
      <c r="D51" s="0" t="n">
        <v>12</v>
      </c>
      <c r="E51" s="6" t="n">
        <v>40788.4534722222</v>
      </c>
      <c r="F51" s="0" t="n">
        <v>0.85</v>
      </c>
      <c r="G51" s="0" t="n">
        <v>12474</v>
      </c>
      <c r="H51" s="0" t="s">
        <v>33</v>
      </c>
      <c r="I51" s="7" t="n">
        <f aca="false">IF(AND(LEFT(A51,1)&lt;&gt;"C",D51&gt;0,F51&gt;0),1,0)</f>
        <v>1</v>
      </c>
      <c r="J51" s="7" t="n">
        <f aca="false">IF(I51=1,D51*F51,0)</f>
        <v>10.2</v>
      </c>
      <c r="K51" s="7" t="n">
        <f aca="false">YEAR(E51)*100+MONTH(E51)</f>
        <v>201109</v>
      </c>
      <c r="L51" s="7" t="n">
        <f aca="false">IF(AND(A51&lt;&gt;A50,LEFT(A51,1)&lt;&gt;"C"),1,0)</f>
        <v>0</v>
      </c>
    </row>
    <row r="52" customFormat="false" ht="15" hidden="false" customHeight="false" outlineLevel="0" collapsed="false">
      <c r="A52" s="0" t="s">
        <v>86</v>
      </c>
      <c r="B52" s="0" t="s">
        <v>131</v>
      </c>
      <c r="C52" s="0" t="s">
        <v>132</v>
      </c>
      <c r="D52" s="0" t="n">
        <v>8</v>
      </c>
      <c r="E52" s="6" t="n">
        <v>40788.4534722222</v>
      </c>
      <c r="F52" s="0" t="n">
        <v>1.65</v>
      </c>
      <c r="G52" s="0" t="n">
        <v>12474</v>
      </c>
      <c r="H52" s="0" t="s">
        <v>33</v>
      </c>
      <c r="I52" s="7" t="n">
        <f aca="false">IF(AND(LEFT(A52,1)&lt;&gt;"C",D52&gt;0,F52&gt;0),1,0)</f>
        <v>1</v>
      </c>
      <c r="J52" s="7" t="n">
        <f aca="false">IF(I52=1,D52*F52,0)</f>
        <v>13.2</v>
      </c>
      <c r="K52" s="7" t="n">
        <f aca="false">YEAR(E52)*100+MONTH(E52)</f>
        <v>201109</v>
      </c>
      <c r="L52" s="7" t="n">
        <f aca="false">IF(AND(A52&lt;&gt;A51,LEFT(A52,1)&lt;&gt;"C"),1,0)</f>
        <v>0</v>
      </c>
    </row>
    <row r="53" customFormat="false" ht="15" hidden="false" customHeight="false" outlineLevel="0" collapsed="false">
      <c r="A53" s="0" t="s">
        <v>86</v>
      </c>
      <c r="B53" s="0" t="s">
        <v>133</v>
      </c>
      <c r="C53" s="0" t="s">
        <v>134</v>
      </c>
      <c r="D53" s="0" t="n">
        <v>12</v>
      </c>
      <c r="E53" s="6" t="n">
        <v>40788.4534722222</v>
      </c>
      <c r="F53" s="0" t="n">
        <v>3.25</v>
      </c>
      <c r="G53" s="0" t="n">
        <v>12474</v>
      </c>
      <c r="H53" s="0" t="s">
        <v>33</v>
      </c>
      <c r="I53" s="7" t="n">
        <f aca="false">IF(AND(LEFT(A53,1)&lt;&gt;"C",D53&gt;0,F53&gt;0),1,0)</f>
        <v>1</v>
      </c>
      <c r="J53" s="7" t="n">
        <f aca="false">IF(I53=1,D53*F53,0)</f>
        <v>39</v>
      </c>
      <c r="K53" s="7" t="n">
        <f aca="false">YEAR(E53)*100+MONTH(E53)</f>
        <v>201109</v>
      </c>
      <c r="L53" s="7" t="n">
        <f aca="false">IF(AND(A53&lt;&gt;A52,LEFT(A53,1)&lt;&gt;"C"),1,0)</f>
        <v>0</v>
      </c>
    </row>
    <row r="54" customFormat="false" ht="15" hidden="false" customHeight="false" outlineLevel="0" collapsed="false">
      <c r="A54" s="0" t="s">
        <v>135</v>
      </c>
      <c r="B54" s="0" t="s">
        <v>136</v>
      </c>
      <c r="C54" s="0" t="s">
        <v>137</v>
      </c>
      <c r="D54" s="0" t="n">
        <v>-2</v>
      </c>
      <c r="E54" s="6" t="n">
        <v>40788.4798611111</v>
      </c>
      <c r="F54" s="0" t="n">
        <v>4.95</v>
      </c>
      <c r="G54" s="0" t="n">
        <v>12471</v>
      </c>
      <c r="H54" s="0" t="s">
        <v>33</v>
      </c>
      <c r="I54" s="7" t="n">
        <f aca="false">IF(AND(LEFT(A54,1)&lt;&gt;"C",D54&gt;0,F54&gt;0),1,0)</f>
        <v>0</v>
      </c>
      <c r="J54" s="7" t="n">
        <f aca="false">IF(I54=1,D54*F54,0)</f>
        <v>0</v>
      </c>
      <c r="K54" s="7" t="n">
        <f aca="false">YEAR(E54)*100+MONTH(E54)</f>
        <v>201109</v>
      </c>
      <c r="L54" s="7" t="n">
        <f aca="false">IF(AND(A54&lt;&gt;A53,LEFT(A54,1)&lt;&gt;"C"),1,0)</f>
        <v>0</v>
      </c>
    </row>
    <row r="55" customFormat="false" ht="15" hidden="false" customHeight="false" outlineLevel="0" collapsed="false">
      <c r="A55" s="0" t="s">
        <v>135</v>
      </c>
      <c r="B55" s="0" t="s">
        <v>138</v>
      </c>
      <c r="C55" s="0" t="s">
        <v>139</v>
      </c>
      <c r="D55" s="0" t="n">
        <v>-1</v>
      </c>
      <c r="E55" s="6" t="n">
        <v>40788.4798611111</v>
      </c>
      <c r="F55" s="0" t="n">
        <v>2.08</v>
      </c>
      <c r="G55" s="0" t="n">
        <v>12471</v>
      </c>
      <c r="H55" s="0" t="s">
        <v>33</v>
      </c>
      <c r="I55" s="7" t="n">
        <f aca="false">IF(AND(LEFT(A55,1)&lt;&gt;"C",D55&gt;0,F55&gt;0),1,0)</f>
        <v>0</v>
      </c>
      <c r="J55" s="7" t="n">
        <f aca="false">IF(I55=1,D55*F55,0)</f>
        <v>0</v>
      </c>
      <c r="K55" s="7" t="n">
        <f aca="false">YEAR(E55)*100+MONTH(E55)</f>
        <v>201109</v>
      </c>
      <c r="L55" s="7" t="n">
        <f aca="false">IF(AND(A55&lt;&gt;A54,LEFT(A55,1)&lt;&gt;"C"),1,0)</f>
        <v>0</v>
      </c>
    </row>
    <row r="56" customFormat="false" ht="15" hidden="false" customHeight="false" outlineLevel="0" collapsed="false">
      <c r="A56" s="0" t="s">
        <v>135</v>
      </c>
      <c r="B56" s="0" t="s">
        <v>140</v>
      </c>
      <c r="C56" s="0" t="s">
        <v>141</v>
      </c>
      <c r="D56" s="0" t="n">
        <v>-1</v>
      </c>
      <c r="E56" s="6" t="n">
        <v>40788.4798611111</v>
      </c>
      <c r="F56" s="0" t="n">
        <v>1.45</v>
      </c>
      <c r="G56" s="0" t="n">
        <v>12471</v>
      </c>
      <c r="H56" s="0" t="s">
        <v>33</v>
      </c>
      <c r="I56" s="7" t="n">
        <f aca="false">IF(AND(LEFT(A56,1)&lt;&gt;"C",D56&gt;0,F56&gt;0),1,0)</f>
        <v>0</v>
      </c>
      <c r="J56" s="7" t="n">
        <f aca="false">IF(I56=1,D56*F56,0)</f>
        <v>0</v>
      </c>
      <c r="K56" s="7" t="n">
        <f aca="false">YEAR(E56)*100+MONTH(E56)</f>
        <v>201109</v>
      </c>
      <c r="L56" s="7" t="n">
        <f aca="false">IF(AND(A56&lt;&gt;A55,LEFT(A56,1)&lt;&gt;"C"),1,0)</f>
        <v>0</v>
      </c>
    </row>
    <row r="57" customFormat="false" ht="15" hidden="false" customHeight="false" outlineLevel="0" collapsed="false">
      <c r="A57" s="0" t="s">
        <v>135</v>
      </c>
      <c r="B57" s="0" t="s">
        <v>142</v>
      </c>
      <c r="C57" s="0" t="s">
        <v>143</v>
      </c>
      <c r="D57" s="0" t="n">
        <v>-1</v>
      </c>
      <c r="E57" s="6" t="n">
        <v>40788.4798611111</v>
      </c>
      <c r="F57" s="0" t="n">
        <v>1.45</v>
      </c>
      <c r="G57" s="0" t="n">
        <v>12471</v>
      </c>
      <c r="H57" s="0" t="s">
        <v>33</v>
      </c>
      <c r="I57" s="7" t="n">
        <f aca="false">IF(AND(LEFT(A57,1)&lt;&gt;"C",D57&gt;0,F57&gt;0),1,0)</f>
        <v>0</v>
      </c>
      <c r="J57" s="7" t="n">
        <f aca="false">IF(I57=1,D57*F57,0)</f>
        <v>0</v>
      </c>
      <c r="K57" s="7" t="n">
        <f aca="false">YEAR(E57)*100+MONTH(E57)</f>
        <v>201109</v>
      </c>
      <c r="L57" s="7" t="n">
        <f aca="false">IF(AND(A57&lt;&gt;A56,LEFT(A57,1)&lt;&gt;"C"),1,0)</f>
        <v>0</v>
      </c>
    </row>
    <row r="58" customFormat="false" ht="15" hidden="false" customHeight="false" outlineLevel="0" collapsed="false">
      <c r="A58" s="0" t="s">
        <v>135</v>
      </c>
      <c r="B58" s="0" t="s">
        <v>144</v>
      </c>
      <c r="C58" s="0" t="s">
        <v>145</v>
      </c>
      <c r="D58" s="0" t="n">
        <v>-1</v>
      </c>
      <c r="E58" s="6" t="n">
        <v>40788.4798611111</v>
      </c>
      <c r="F58" s="0" t="n">
        <v>1.25</v>
      </c>
      <c r="G58" s="0" t="n">
        <v>12471</v>
      </c>
      <c r="H58" s="0" t="s">
        <v>33</v>
      </c>
      <c r="I58" s="7" t="n">
        <f aca="false">IF(AND(LEFT(A58,1)&lt;&gt;"C",D58&gt;0,F58&gt;0),1,0)</f>
        <v>0</v>
      </c>
      <c r="J58" s="7" t="n">
        <f aca="false">IF(I58=1,D58*F58,0)</f>
        <v>0</v>
      </c>
      <c r="K58" s="7" t="n">
        <f aca="false">YEAR(E58)*100+MONTH(E58)</f>
        <v>201109</v>
      </c>
      <c r="L58" s="7" t="n">
        <f aca="false">IF(AND(A58&lt;&gt;A57,LEFT(A58,1)&lt;&gt;"C"),1,0)</f>
        <v>0</v>
      </c>
    </row>
    <row r="59" customFormat="false" ht="15" hidden="false" customHeight="false" outlineLevel="0" collapsed="false">
      <c r="A59" s="0" t="s">
        <v>135</v>
      </c>
      <c r="B59" s="0" t="s">
        <v>146</v>
      </c>
      <c r="C59" s="0" t="s">
        <v>147</v>
      </c>
      <c r="D59" s="0" t="n">
        <v>-1</v>
      </c>
      <c r="E59" s="6" t="n">
        <v>40788.4798611111</v>
      </c>
      <c r="F59" s="0" t="n">
        <v>2.89</v>
      </c>
      <c r="G59" s="0" t="n">
        <v>12471</v>
      </c>
      <c r="H59" s="0" t="s">
        <v>33</v>
      </c>
      <c r="I59" s="7" t="n">
        <f aca="false">IF(AND(LEFT(A59,1)&lt;&gt;"C",D59&gt;0,F59&gt;0),1,0)</f>
        <v>0</v>
      </c>
      <c r="J59" s="7" t="n">
        <f aca="false">IF(I59=1,D59*F59,0)</f>
        <v>0</v>
      </c>
      <c r="K59" s="7" t="n">
        <f aca="false">YEAR(E59)*100+MONTH(E59)</f>
        <v>201109</v>
      </c>
      <c r="L59" s="7" t="n">
        <f aca="false">IF(AND(A59&lt;&gt;A58,LEFT(A59,1)&lt;&gt;"C"),1,0)</f>
        <v>0</v>
      </c>
    </row>
    <row r="60" customFormat="false" ht="15" hidden="false" customHeight="false" outlineLevel="0" collapsed="false">
      <c r="A60" s="0" t="s">
        <v>135</v>
      </c>
      <c r="B60" s="0" t="s">
        <v>148</v>
      </c>
      <c r="C60" s="0" t="s">
        <v>149</v>
      </c>
      <c r="D60" s="0" t="n">
        <v>-6</v>
      </c>
      <c r="E60" s="6" t="n">
        <v>40788.4798611111</v>
      </c>
      <c r="F60" s="0" t="n">
        <v>10.95</v>
      </c>
      <c r="G60" s="0" t="n">
        <v>12471</v>
      </c>
      <c r="H60" s="0" t="s">
        <v>33</v>
      </c>
      <c r="I60" s="7" t="n">
        <f aca="false">IF(AND(LEFT(A60,1)&lt;&gt;"C",D60&gt;0,F60&gt;0),1,0)</f>
        <v>0</v>
      </c>
      <c r="J60" s="7" t="n">
        <f aca="false">IF(I60=1,D60*F60,0)</f>
        <v>0</v>
      </c>
      <c r="K60" s="7" t="n">
        <f aca="false">YEAR(E60)*100+MONTH(E60)</f>
        <v>201109</v>
      </c>
      <c r="L60" s="7" t="n">
        <f aca="false">IF(AND(A60&lt;&gt;A59,LEFT(A60,1)&lt;&gt;"C"),1,0)</f>
        <v>0</v>
      </c>
    </row>
    <row r="61" customFormat="false" ht="15" hidden="false" customHeight="false" outlineLevel="0" collapsed="false">
      <c r="A61" s="0" t="s">
        <v>150</v>
      </c>
      <c r="B61" s="0" t="s">
        <v>148</v>
      </c>
      <c r="C61" s="0" t="s">
        <v>149</v>
      </c>
      <c r="D61" s="0" t="n">
        <v>6</v>
      </c>
      <c r="E61" s="6" t="n">
        <v>40788.5513888889</v>
      </c>
      <c r="F61" s="0" t="n">
        <v>12.75</v>
      </c>
      <c r="G61" s="0" t="n">
        <v>12437</v>
      </c>
      <c r="H61" s="0" t="s">
        <v>43</v>
      </c>
      <c r="I61" s="7" t="n">
        <f aca="false">IF(AND(LEFT(A61,1)&lt;&gt;"C",D61&gt;0,F61&gt;0),1,0)</f>
        <v>1</v>
      </c>
      <c r="J61" s="7" t="n">
        <f aca="false">IF(I61=1,D61*F61,0)</f>
        <v>76.5</v>
      </c>
      <c r="K61" s="7" t="n">
        <f aca="false">YEAR(E61)*100+MONTH(E61)</f>
        <v>201109</v>
      </c>
      <c r="L61" s="7" t="n">
        <f aca="false">IF(AND(A61&lt;&gt;A60,LEFT(A61,1)&lt;&gt;"C"),1,0)</f>
        <v>1</v>
      </c>
    </row>
    <row r="62" customFormat="false" ht="15" hidden="false" customHeight="false" outlineLevel="0" collapsed="false">
      <c r="A62" s="0" t="s">
        <v>150</v>
      </c>
      <c r="B62" s="0" t="s">
        <v>125</v>
      </c>
      <c r="C62" s="0" t="s">
        <v>126</v>
      </c>
      <c r="D62" s="0" t="n">
        <v>24</v>
      </c>
      <c r="E62" s="6" t="n">
        <v>40788.5513888889</v>
      </c>
      <c r="F62" s="0" t="n">
        <v>1.25</v>
      </c>
      <c r="G62" s="0" t="n">
        <v>12437</v>
      </c>
      <c r="H62" s="0" t="s">
        <v>43</v>
      </c>
      <c r="I62" s="7" t="n">
        <f aca="false">IF(AND(LEFT(A62,1)&lt;&gt;"C",D62&gt;0,F62&gt;0),1,0)</f>
        <v>1</v>
      </c>
      <c r="J62" s="7" t="n">
        <f aca="false">IF(I62=1,D62*F62,0)</f>
        <v>30</v>
      </c>
      <c r="K62" s="7" t="n">
        <f aca="false">YEAR(E62)*100+MONTH(E62)</f>
        <v>201109</v>
      </c>
      <c r="L62" s="7" t="n">
        <f aca="false">IF(AND(A62&lt;&gt;A61,LEFT(A62,1)&lt;&gt;"C"),1,0)</f>
        <v>0</v>
      </c>
    </row>
    <row r="63" customFormat="false" ht="15" hidden="false" customHeight="false" outlineLevel="0" collapsed="false">
      <c r="A63" s="0" t="s">
        <v>150</v>
      </c>
      <c r="B63" s="0" t="s">
        <v>151</v>
      </c>
      <c r="C63" s="0" t="s">
        <v>152</v>
      </c>
      <c r="D63" s="0" t="n">
        <v>24</v>
      </c>
      <c r="E63" s="6" t="n">
        <v>40788.5513888889</v>
      </c>
      <c r="F63" s="0" t="n">
        <v>0.85</v>
      </c>
      <c r="G63" s="0" t="n">
        <v>12437</v>
      </c>
      <c r="H63" s="0" t="s">
        <v>43</v>
      </c>
      <c r="I63" s="7" t="n">
        <f aca="false">IF(AND(LEFT(A63,1)&lt;&gt;"C",D63&gt;0,F63&gt;0),1,0)</f>
        <v>1</v>
      </c>
      <c r="J63" s="7" t="n">
        <f aca="false">IF(I63=1,D63*F63,0)</f>
        <v>20.4</v>
      </c>
      <c r="K63" s="7" t="n">
        <f aca="false">YEAR(E63)*100+MONTH(E63)</f>
        <v>201109</v>
      </c>
      <c r="L63" s="7" t="n">
        <f aca="false">IF(AND(A63&lt;&gt;A62,LEFT(A63,1)&lt;&gt;"C"),1,0)</f>
        <v>0</v>
      </c>
    </row>
    <row r="64" customFormat="false" ht="15" hidden="false" customHeight="false" outlineLevel="0" collapsed="false">
      <c r="A64" s="0" t="s">
        <v>150</v>
      </c>
      <c r="B64" s="0" t="s">
        <v>153</v>
      </c>
      <c r="C64" s="0" t="s">
        <v>154</v>
      </c>
      <c r="D64" s="0" t="n">
        <v>12</v>
      </c>
      <c r="E64" s="6" t="n">
        <v>40788.5513888889</v>
      </c>
      <c r="F64" s="0" t="n">
        <v>0.39</v>
      </c>
      <c r="G64" s="0" t="n">
        <v>12437</v>
      </c>
      <c r="H64" s="0" t="s">
        <v>43</v>
      </c>
      <c r="I64" s="7" t="n">
        <f aca="false">IF(AND(LEFT(A64,1)&lt;&gt;"C",D64&gt;0,F64&gt;0),1,0)</f>
        <v>1</v>
      </c>
      <c r="J64" s="7" t="n">
        <f aca="false">IF(I64=1,D64*F64,0)</f>
        <v>4.68</v>
      </c>
      <c r="K64" s="7" t="n">
        <f aca="false">YEAR(E64)*100+MONTH(E64)</f>
        <v>201109</v>
      </c>
      <c r="L64" s="7" t="n">
        <f aca="false">IF(AND(A64&lt;&gt;A63,LEFT(A64,1)&lt;&gt;"C"),1,0)</f>
        <v>0</v>
      </c>
    </row>
    <row r="65" customFormat="false" ht="15" hidden="false" customHeight="false" outlineLevel="0" collapsed="false">
      <c r="A65" s="0" t="s">
        <v>150</v>
      </c>
      <c r="B65" s="0" t="s">
        <v>155</v>
      </c>
      <c r="C65" s="0" t="s">
        <v>156</v>
      </c>
      <c r="D65" s="0" t="n">
        <v>6</v>
      </c>
      <c r="E65" s="6" t="n">
        <v>40788.5513888889</v>
      </c>
      <c r="F65" s="0" t="n">
        <v>10.95</v>
      </c>
      <c r="G65" s="0" t="n">
        <v>12437</v>
      </c>
      <c r="H65" s="0" t="s">
        <v>43</v>
      </c>
      <c r="I65" s="7" t="n">
        <f aca="false">IF(AND(LEFT(A65,1)&lt;&gt;"C",D65&gt;0,F65&gt;0),1,0)</f>
        <v>1</v>
      </c>
      <c r="J65" s="7" t="n">
        <f aca="false">IF(I65=1,D65*F65,0)</f>
        <v>65.7</v>
      </c>
      <c r="K65" s="7" t="n">
        <f aca="false">YEAR(E65)*100+MONTH(E65)</f>
        <v>201109</v>
      </c>
      <c r="L65" s="7" t="n">
        <f aca="false">IF(AND(A65&lt;&gt;A64,LEFT(A65,1)&lt;&gt;"C"),1,0)</f>
        <v>0</v>
      </c>
    </row>
    <row r="66" customFormat="false" ht="15" hidden="false" customHeight="false" outlineLevel="0" collapsed="false">
      <c r="A66" s="0" t="s">
        <v>150</v>
      </c>
      <c r="B66" s="0" t="s">
        <v>157</v>
      </c>
      <c r="C66" s="0" t="s">
        <v>158</v>
      </c>
      <c r="D66" s="0" t="n">
        <v>12</v>
      </c>
      <c r="E66" s="6" t="n">
        <v>40788.5513888889</v>
      </c>
      <c r="F66" s="0" t="n">
        <v>0.65</v>
      </c>
      <c r="G66" s="0" t="n">
        <v>12437</v>
      </c>
      <c r="H66" s="0" t="s">
        <v>43</v>
      </c>
      <c r="I66" s="7" t="n">
        <f aca="false">IF(AND(LEFT(A66,1)&lt;&gt;"C",D66&gt;0,F66&gt;0),1,0)</f>
        <v>1</v>
      </c>
      <c r="J66" s="7" t="n">
        <f aca="false">IF(I66=1,D66*F66,0)</f>
        <v>7.8</v>
      </c>
      <c r="K66" s="7" t="n">
        <f aca="false">YEAR(E66)*100+MONTH(E66)</f>
        <v>201109</v>
      </c>
      <c r="L66" s="7" t="n">
        <f aca="false">IF(AND(A66&lt;&gt;A65,LEFT(A66,1)&lt;&gt;"C"),1,0)</f>
        <v>0</v>
      </c>
    </row>
    <row r="67" customFormat="false" ht="15" hidden="false" customHeight="false" outlineLevel="0" collapsed="false">
      <c r="A67" s="0" t="s">
        <v>150</v>
      </c>
      <c r="B67" s="0" t="s">
        <v>159</v>
      </c>
      <c r="C67" s="0" t="s">
        <v>160</v>
      </c>
      <c r="D67" s="0" t="n">
        <v>6</v>
      </c>
      <c r="E67" s="6" t="n">
        <v>40788.5513888889</v>
      </c>
      <c r="F67" s="0" t="n">
        <v>2.55</v>
      </c>
      <c r="G67" s="0" t="n">
        <v>12437</v>
      </c>
      <c r="H67" s="0" t="s">
        <v>43</v>
      </c>
      <c r="I67" s="7" t="n">
        <f aca="false">IF(AND(LEFT(A67,1)&lt;&gt;"C",D67&gt;0,F67&gt;0),1,0)</f>
        <v>1</v>
      </c>
      <c r="J67" s="7" t="n">
        <f aca="false">IF(I67=1,D67*F67,0)</f>
        <v>15.3</v>
      </c>
      <c r="K67" s="7" t="n">
        <f aca="false">YEAR(E67)*100+MONTH(E67)</f>
        <v>201109</v>
      </c>
      <c r="L67" s="7" t="n">
        <f aca="false">IF(AND(A67&lt;&gt;A66,LEFT(A67,1)&lt;&gt;"C"),1,0)</f>
        <v>0</v>
      </c>
    </row>
    <row r="68" customFormat="false" ht="15" hidden="false" customHeight="false" outlineLevel="0" collapsed="false">
      <c r="A68" s="0" t="s">
        <v>150</v>
      </c>
      <c r="B68" s="0" t="s">
        <v>131</v>
      </c>
      <c r="C68" s="0" t="s">
        <v>132</v>
      </c>
      <c r="D68" s="0" t="n">
        <v>8</v>
      </c>
      <c r="E68" s="6" t="n">
        <v>40788.5513888889</v>
      </c>
      <c r="F68" s="0" t="n">
        <v>1.65</v>
      </c>
      <c r="G68" s="0" t="n">
        <v>12437</v>
      </c>
      <c r="H68" s="0" t="s">
        <v>43</v>
      </c>
      <c r="I68" s="7" t="n">
        <f aca="false">IF(AND(LEFT(A68,1)&lt;&gt;"C",D68&gt;0,F68&gt;0),1,0)</f>
        <v>1</v>
      </c>
      <c r="J68" s="7" t="n">
        <f aca="false">IF(I68=1,D68*F68,0)</f>
        <v>13.2</v>
      </c>
      <c r="K68" s="7" t="n">
        <f aca="false">YEAR(E68)*100+MONTH(E68)</f>
        <v>201109</v>
      </c>
      <c r="L68" s="7" t="n">
        <f aca="false">IF(AND(A68&lt;&gt;A67,LEFT(A68,1)&lt;&gt;"C"),1,0)</f>
        <v>0</v>
      </c>
    </row>
    <row r="69" customFormat="false" ht="15" hidden="false" customHeight="false" outlineLevel="0" collapsed="false">
      <c r="A69" s="0" t="s">
        <v>150</v>
      </c>
      <c r="B69" s="0" t="s">
        <v>84</v>
      </c>
      <c r="C69" s="0" t="s">
        <v>85</v>
      </c>
      <c r="D69" s="0" t="n">
        <v>2</v>
      </c>
      <c r="E69" s="6" t="n">
        <v>40788.5513888889</v>
      </c>
      <c r="F69" s="0" t="n">
        <v>18</v>
      </c>
      <c r="G69" s="0" t="n">
        <v>12437</v>
      </c>
      <c r="H69" s="0" t="s">
        <v>43</v>
      </c>
      <c r="I69" s="7" t="n">
        <f aca="false">IF(AND(LEFT(A69,1)&lt;&gt;"C",D69&gt;0,F69&gt;0),1,0)</f>
        <v>1</v>
      </c>
      <c r="J69" s="7" t="n">
        <f aca="false">IF(I69=1,D69*F69,0)</f>
        <v>36</v>
      </c>
      <c r="K69" s="7" t="n">
        <f aca="false">YEAR(E69)*100+MONTH(E69)</f>
        <v>201109</v>
      </c>
      <c r="L69" s="7" t="n">
        <f aca="false">IF(AND(A69&lt;&gt;A68,LEFT(A69,1)&lt;&gt;"C"),1,0)</f>
        <v>0</v>
      </c>
    </row>
    <row r="70" customFormat="false" ht="15" hidden="false" customHeight="false" outlineLevel="0" collapsed="false">
      <c r="A70" s="0" t="s">
        <v>161</v>
      </c>
      <c r="B70" s="0" t="s">
        <v>162</v>
      </c>
      <c r="C70" s="0" t="s">
        <v>163</v>
      </c>
      <c r="D70" s="0" t="n">
        <v>12</v>
      </c>
      <c r="E70" s="6" t="n">
        <v>40788.5520833333</v>
      </c>
      <c r="F70" s="0" t="n">
        <v>0.85</v>
      </c>
      <c r="G70" s="0" t="n">
        <v>12437</v>
      </c>
      <c r="H70" s="0" t="s">
        <v>43</v>
      </c>
      <c r="I70" s="7" t="n">
        <f aca="false">IF(AND(LEFT(A70,1)&lt;&gt;"C",D70&gt;0,F70&gt;0),1,0)</f>
        <v>1</v>
      </c>
      <c r="J70" s="7" t="n">
        <f aca="false">IF(I70=1,D70*F70,0)</f>
        <v>10.2</v>
      </c>
      <c r="K70" s="7" t="n">
        <f aca="false">YEAR(E70)*100+MONTH(E70)</f>
        <v>201109</v>
      </c>
      <c r="L70" s="7" t="n">
        <f aca="false">IF(AND(A70&lt;&gt;A69,LEFT(A70,1)&lt;&gt;"C"),1,0)</f>
        <v>1</v>
      </c>
    </row>
    <row r="71" customFormat="false" ht="15" hidden="false" customHeight="false" outlineLevel="0" collapsed="false">
      <c r="A71" s="0" t="s">
        <v>161</v>
      </c>
      <c r="B71" s="0" t="s">
        <v>127</v>
      </c>
      <c r="C71" s="0" t="s">
        <v>128</v>
      </c>
      <c r="D71" s="0" t="n">
        <v>16</v>
      </c>
      <c r="E71" s="6" t="n">
        <v>40788.5520833333</v>
      </c>
      <c r="F71" s="0" t="n">
        <v>1.65</v>
      </c>
      <c r="G71" s="0" t="n">
        <v>12437</v>
      </c>
      <c r="H71" s="0" t="s">
        <v>43</v>
      </c>
      <c r="I71" s="7" t="n">
        <f aca="false">IF(AND(LEFT(A71,1)&lt;&gt;"C",D71&gt;0,F71&gt;0),1,0)</f>
        <v>1</v>
      </c>
      <c r="J71" s="7" t="n">
        <f aca="false">IF(I71=1,D71*F71,0)</f>
        <v>26.4</v>
      </c>
      <c r="K71" s="7" t="n">
        <f aca="false">YEAR(E71)*100+MONTH(E71)</f>
        <v>201109</v>
      </c>
      <c r="L71" s="7" t="n">
        <f aca="false">IF(AND(A71&lt;&gt;A70,LEFT(A71,1)&lt;&gt;"C"),1,0)</f>
        <v>0</v>
      </c>
    </row>
    <row r="72" customFormat="false" ht="15" hidden="false" customHeight="false" outlineLevel="0" collapsed="false">
      <c r="A72" s="0" t="s">
        <v>161</v>
      </c>
      <c r="B72" s="0" t="s">
        <v>164</v>
      </c>
      <c r="C72" s="0" t="s">
        <v>165</v>
      </c>
      <c r="D72" s="0" t="n">
        <v>8</v>
      </c>
      <c r="E72" s="6" t="n">
        <v>40788.5520833333</v>
      </c>
      <c r="F72" s="0" t="n">
        <v>1.25</v>
      </c>
      <c r="G72" s="0" t="n">
        <v>12437</v>
      </c>
      <c r="H72" s="0" t="s">
        <v>43</v>
      </c>
      <c r="I72" s="7" t="n">
        <f aca="false">IF(AND(LEFT(A72,1)&lt;&gt;"C",D72&gt;0,F72&gt;0),1,0)</f>
        <v>1</v>
      </c>
      <c r="J72" s="7" t="n">
        <f aca="false">IF(I72=1,D72*F72,0)</f>
        <v>10</v>
      </c>
      <c r="K72" s="7" t="n">
        <f aca="false">YEAR(E72)*100+MONTH(E72)</f>
        <v>201109</v>
      </c>
      <c r="L72" s="7" t="n">
        <f aca="false">IF(AND(A72&lt;&gt;A71,LEFT(A72,1)&lt;&gt;"C"),1,0)</f>
        <v>0</v>
      </c>
    </row>
    <row r="73" customFormat="false" ht="15" hidden="false" customHeight="false" outlineLevel="0" collapsed="false">
      <c r="A73" s="0" t="s">
        <v>161</v>
      </c>
      <c r="B73" s="0" t="s">
        <v>166</v>
      </c>
      <c r="C73" s="0" t="s">
        <v>167</v>
      </c>
      <c r="D73" s="0" t="n">
        <v>8</v>
      </c>
      <c r="E73" s="6" t="n">
        <v>40788.5520833333</v>
      </c>
      <c r="F73" s="0" t="n">
        <v>1.25</v>
      </c>
      <c r="G73" s="0" t="n">
        <v>12437</v>
      </c>
      <c r="H73" s="0" t="s">
        <v>43</v>
      </c>
      <c r="I73" s="7" t="n">
        <f aca="false">IF(AND(LEFT(A73,1)&lt;&gt;"C",D73&gt;0,F73&gt;0),1,0)</f>
        <v>1</v>
      </c>
      <c r="J73" s="7" t="n">
        <f aca="false">IF(I73=1,D73*F73,0)</f>
        <v>10</v>
      </c>
      <c r="K73" s="7" t="n">
        <f aca="false">YEAR(E73)*100+MONTH(E73)</f>
        <v>201109</v>
      </c>
      <c r="L73" s="7" t="n">
        <f aca="false">IF(AND(A73&lt;&gt;A72,LEFT(A73,1)&lt;&gt;"C"),1,0)</f>
        <v>0</v>
      </c>
    </row>
    <row r="74" customFormat="false" ht="15" hidden="false" customHeight="false" outlineLevel="0" collapsed="false">
      <c r="A74" s="0" t="s">
        <v>161</v>
      </c>
      <c r="B74" s="0" t="s">
        <v>168</v>
      </c>
      <c r="C74" s="0" t="s">
        <v>169</v>
      </c>
      <c r="D74" s="0" t="n">
        <v>10</v>
      </c>
      <c r="E74" s="6" t="n">
        <v>40788.5520833333</v>
      </c>
      <c r="F74" s="0" t="n">
        <v>0.85</v>
      </c>
      <c r="G74" s="0" t="n">
        <v>12437</v>
      </c>
      <c r="H74" s="0" t="s">
        <v>43</v>
      </c>
      <c r="I74" s="7" t="n">
        <f aca="false">IF(AND(LEFT(A74,1)&lt;&gt;"C",D74&gt;0,F74&gt;0),1,0)</f>
        <v>1</v>
      </c>
      <c r="J74" s="7" t="n">
        <f aca="false">IF(I74=1,D74*F74,0)</f>
        <v>8.5</v>
      </c>
      <c r="K74" s="7" t="n">
        <f aca="false">YEAR(E74)*100+MONTH(E74)</f>
        <v>201109</v>
      </c>
      <c r="L74" s="7" t="n">
        <f aca="false">IF(AND(A74&lt;&gt;A73,LEFT(A74,1)&lt;&gt;"C"),1,0)</f>
        <v>0</v>
      </c>
    </row>
    <row r="75" customFormat="false" ht="15" hidden="false" customHeight="false" outlineLevel="0" collapsed="false">
      <c r="A75" s="0" t="s">
        <v>170</v>
      </c>
      <c r="B75" s="0" t="s">
        <v>171</v>
      </c>
      <c r="C75" s="0" t="s">
        <v>172</v>
      </c>
      <c r="D75" s="0" t="n">
        <v>8</v>
      </c>
      <c r="E75" s="6" t="n">
        <v>40790.5</v>
      </c>
      <c r="F75" s="0" t="n">
        <v>1.25</v>
      </c>
      <c r="G75" s="0" t="n">
        <v>12710</v>
      </c>
      <c r="H75" s="0" t="s">
        <v>33</v>
      </c>
      <c r="I75" s="7" t="n">
        <f aca="false">IF(AND(LEFT(A75,1)&lt;&gt;"C",D75&gt;0,F75&gt;0),1,0)</f>
        <v>1</v>
      </c>
      <c r="J75" s="7" t="n">
        <f aca="false">IF(I75=1,D75*F75,0)</f>
        <v>10</v>
      </c>
      <c r="K75" s="7" t="n">
        <f aca="false">YEAR(E75)*100+MONTH(E75)</f>
        <v>201109</v>
      </c>
      <c r="L75" s="7" t="n">
        <f aca="false">IF(AND(A75&lt;&gt;A74,LEFT(A75,1)&lt;&gt;"C"),1,0)</f>
        <v>1</v>
      </c>
    </row>
    <row r="76" customFormat="false" ht="15" hidden="false" customHeight="false" outlineLevel="0" collapsed="false">
      <c r="A76" s="0" t="s">
        <v>170</v>
      </c>
      <c r="B76" s="0" t="s">
        <v>173</v>
      </c>
      <c r="C76" s="0" t="s">
        <v>174</v>
      </c>
      <c r="D76" s="0" t="n">
        <v>8</v>
      </c>
      <c r="E76" s="6" t="n">
        <v>40790.5</v>
      </c>
      <c r="F76" s="0" t="n">
        <v>1.25</v>
      </c>
      <c r="G76" s="0" t="n">
        <v>12710</v>
      </c>
      <c r="H76" s="0" t="s">
        <v>33</v>
      </c>
      <c r="I76" s="7" t="n">
        <f aca="false">IF(AND(LEFT(A76,1)&lt;&gt;"C",D76&gt;0,F76&gt;0),1,0)</f>
        <v>1</v>
      </c>
      <c r="J76" s="7" t="n">
        <f aca="false">IF(I76=1,D76*F76,0)</f>
        <v>10</v>
      </c>
      <c r="K76" s="7" t="n">
        <f aca="false">YEAR(E76)*100+MONTH(E76)</f>
        <v>201109</v>
      </c>
      <c r="L76" s="7" t="n">
        <f aca="false">IF(AND(A76&lt;&gt;A75,LEFT(A76,1)&lt;&gt;"C"),1,0)</f>
        <v>0</v>
      </c>
    </row>
    <row r="77" customFormat="false" ht="15" hidden="false" customHeight="false" outlineLevel="0" collapsed="false">
      <c r="A77" s="0" t="s">
        <v>170</v>
      </c>
      <c r="B77" s="0" t="s">
        <v>175</v>
      </c>
      <c r="C77" s="0" t="s">
        <v>176</v>
      </c>
      <c r="D77" s="0" t="n">
        <v>8</v>
      </c>
      <c r="E77" s="6" t="n">
        <v>40790.5</v>
      </c>
      <c r="F77" s="0" t="n">
        <v>1.25</v>
      </c>
      <c r="G77" s="0" t="n">
        <v>12710</v>
      </c>
      <c r="H77" s="0" t="s">
        <v>33</v>
      </c>
      <c r="I77" s="7" t="n">
        <f aca="false">IF(AND(LEFT(A77,1)&lt;&gt;"C",D77&gt;0,F77&gt;0),1,0)</f>
        <v>1</v>
      </c>
      <c r="J77" s="7" t="n">
        <f aca="false">IF(I77=1,D77*F77,0)</f>
        <v>10</v>
      </c>
      <c r="K77" s="7" t="n">
        <f aca="false">YEAR(E77)*100+MONTH(E77)</f>
        <v>201109</v>
      </c>
      <c r="L77" s="7" t="n">
        <f aca="false">IF(AND(A77&lt;&gt;A76,LEFT(A77,1)&lt;&gt;"C"),1,0)</f>
        <v>0</v>
      </c>
    </row>
    <row r="78" customFormat="false" ht="15" hidden="false" customHeight="false" outlineLevel="0" collapsed="false">
      <c r="A78" s="0" t="s">
        <v>170</v>
      </c>
      <c r="B78" s="0" t="s">
        <v>177</v>
      </c>
      <c r="C78" s="0" t="s">
        <v>178</v>
      </c>
      <c r="D78" s="0" t="n">
        <v>8</v>
      </c>
      <c r="E78" s="6" t="n">
        <v>40790.5</v>
      </c>
      <c r="F78" s="0" t="n">
        <v>1.25</v>
      </c>
      <c r="G78" s="0" t="n">
        <v>12710</v>
      </c>
      <c r="H78" s="0" t="s">
        <v>33</v>
      </c>
      <c r="I78" s="7" t="n">
        <f aca="false">IF(AND(LEFT(A78,1)&lt;&gt;"C",D78&gt;0,F78&gt;0),1,0)</f>
        <v>1</v>
      </c>
      <c r="J78" s="7" t="n">
        <f aca="false">IF(I78=1,D78*F78,0)</f>
        <v>10</v>
      </c>
      <c r="K78" s="7" t="n">
        <f aca="false">YEAR(E78)*100+MONTH(E78)</f>
        <v>201109</v>
      </c>
      <c r="L78" s="7" t="n">
        <f aca="false">IF(AND(A78&lt;&gt;A77,LEFT(A78,1)&lt;&gt;"C"),1,0)</f>
        <v>0</v>
      </c>
    </row>
    <row r="79" customFormat="false" ht="15" hidden="false" customHeight="false" outlineLevel="0" collapsed="false">
      <c r="A79" s="0" t="s">
        <v>170</v>
      </c>
      <c r="B79" s="0" t="s">
        <v>179</v>
      </c>
      <c r="C79" s="0" t="s">
        <v>180</v>
      </c>
      <c r="D79" s="0" t="n">
        <v>12</v>
      </c>
      <c r="E79" s="6" t="n">
        <v>40790.5</v>
      </c>
      <c r="F79" s="0" t="n">
        <v>0.42</v>
      </c>
      <c r="G79" s="0" t="n">
        <v>12710</v>
      </c>
      <c r="H79" s="0" t="s">
        <v>33</v>
      </c>
      <c r="I79" s="7" t="n">
        <f aca="false">IF(AND(LEFT(A79,1)&lt;&gt;"C",D79&gt;0,F79&gt;0),1,0)</f>
        <v>1</v>
      </c>
      <c r="J79" s="7" t="n">
        <f aca="false">IF(I79=1,D79*F79,0)</f>
        <v>5.04</v>
      </c>
      <c r="K79" s="7" t="n">
        <f aca="false">YEAR(E79)*100+MONTH(E79)</f>
        <v>201109</v>
      </c>
      <c r="L79" s="7" t="n">
        <f aca="false">IF(AND(A79&lt;&gt;A78,LEFT(A79,1)&lt;&gt;"C"),1,0)</f>
        <v>0</v>
      </c>
    </row>
    <row r="80" customFormat="false" ht="15" hidden="false" customHeight="false" outlineLevel="0" collapsed="false">
      <c r="A80" s="0" t="s">
        <v>170</v>
      </c>
      <c r="B80" s="0" t="s">
        <v>181</v>
      </c>
      <c r="C80" s="0" t="s">
        <v>182</v>
      </c>
      <c r="D80" s="0" t="n">
        <v>12</v>
      </c>
      <c r="E80" s="6" t="n">
        <v>40790.5</v>
      </c>
      <c r="F80" s="0" t="n">
        <v>0.42</v>
      </c>
      <c r="G80" s="0" t="n">
        <v>12710</v>
      </c>
      <c r="H80" s="0" t="s">
        <v>33</v>
      </c>
      <c r="I80" s="7" t="n">
        <f aca="false">IF(AND(LEFT(A80,1)&lt;&gt;"C",D80&gt;0,F80&gt;0),1,0)</f>
        <v>1</v>
      </c>
      <c r="J80" s="7" t="n">
        <f aca="false">IF(I80=1,D80*F80,0)</f>
        <v>5.04</v>
      </c>
      <c r="K80" s="7" t="n">
        <f aca="false">YEAR(E80)*100+MONTH(E80)</f>
        <v>201109</v>
      </c>
      <c r="L80" s="7" t="n">
        <f aca="false">IF(AND(A80&lt;&gt;A79,LEFT(A80,1)&lt;&gt;"C"),1,0)</f>
        <v>0</v>
      </c>
    </row>
    <row r="81" customFormat="false" ht="15" hidden="false" customHeight="false" outlineLevel="0" collapsed="false">
      <c r="A81" s="0" t="s">
        <v>170</v>
      </c>
      <c r="B81" s="0" t="s">
        <v>119</v>
      </c>
      <c r="C81" s="0" t="s">
        <v>120</v>
      </c>
      <c r="D81" s="0" t="n">
        <v>12</v>
      </c>
      <c r="E81" s="6" t="n">
        <v>40790.5</v>
      </c>
      <c r="F81" s="0" t="n">
        <v>0.42</v>
      </c>
      <c r="G81" s="0" t="n">
        <v>12710</v>
      </c>
      <c r="H81" s="0" t="s">
        <v>33</v>
      </c>
      <c r="I81" s="7" t="n">
        <f aca="false">IF(AND(LEFT(A81,1)&lt;&gt;"C",D81&gt;0,F81&gt;0),1,0)</f>
        <v>1</v>
      </c>
      <c r="J81" s="7" t="n">
        <f aca="false">IF(I81=1,D81*F81,0)</f>
        <v>5.04</v>
      </c>
      <c r="K81" s="7" t="n">
        <f aca="false">YEAR(E81)*100+MONTH(E81)</f>
        <v>201109</v>
      </c>
      <c r="L81" s="7" t="n">
        <f aca="false">IF(AND(A81&lt;&gt;A80,LEFT(A81,1)&lt;&gt;"C"),1,0)</f>
        <v>0</v>
      </c>
    </row>
    <row r="82" customFormat="false" ht="15" hidden="false" customHeight="false" outlineLevel="0" collapsed="false">
      <c r="A82" s="0" t="s">
        <v>170</v>
      </c>
      <c r="B82" s="0" t="s">
        <v>183</v>
      </c>
      <c r="C82" s="0" t="s">
        <v>184</v>
      </c>
      <c r="D82" s="0" t="n">
        <v>12</v>
      </c>
      <c r="E82" s="6" t="n">
        <v>40790.5</v>
      </c>
      <c r="F82" s="0" t="n">
        <v>0.42</v>
      </c>
      <c r="G82" s="0" t="n">
        <v>12710</v>
      </c>
      <c r="H82" s="0" t="s">
        <v>33</v>
      </c>
      <c r="I82" s="7" t="n">
        <f aca="false">IF(AND(LEFT(A82,1)&lt;&gt;"C",D82&gt;0,F82&gt;0),1,0)</f>
        <v>1</v>
      </c>
      <c r="J82" s="7" t="n">
        <f aca="false">IF(I82=1,D82*F82,0)</f>
        <v>5.04</v>
      </c>
      <c r="K82" s="7" t="n">
        <f aca="false">YEAR(E82)*100+MONTH(E82)</f>
        <v>201109</v>
      </c>
      <c r="L82" s="7" t="n">
        <f aca="false">IF(AND(A82&lt;&gt;A81,LEFT(A82,1)&lt;&gt;"C"),1,0)</f>
        <v>0</v>
      </c>
    </row>
    <row r="83" customFormat="false" ht="15" hidden="false" customHeight="false" outlineLevel="0" collapsed="false">
      <c r="A83" s="0" t="s">
        <v>170</v>
      </c>
      <c r="B83" s="0" t="s">
        <v>185</v>
      </c>
      <c r="C83" s="0" t="s">
        <v>186</v>
      </c>
      <c r="D83" s="0" t="n">
        <v>3</v>
      </c>
      <c r="E83" s="6" t="n">
        <v>40790.5</v>
      </c>
      <c r="F83" s="0" t="n">
        <v>5.45</v>
      </c>
      <c r="G83" s="0" t="n">
        <v>12710</v>
      </c>
      <c r="H83" s="0" t="s">
        <v>33</v>
      </c>
      <c r="I83" s="7" t="n">
        <f aca="false">IF(AND(LEFT(A83,1)&lt;&gt;"C",D83&gt;0,F83&gt;0),1,0)</f>
        <v>1</v>
      </c>
      <c r="J83" s="7" t="n">
        <f aca="false">IF(I83=1,D83*F83,0)</f>
        <v>16.35</v>
      </c>
      <c r="K83" s="7" t="n">
        <f aca="false">YEAR(E83)*100+MONTH(E83)</f>
        <v>201109</v>
      </c>
      <c r="L83" s="7" t="n">
        <f aca="false">IF(AND(A83&lt;&gt;A82,LEFT(A83,1)&lt;&gt;"C"),1,0)</f>
        <v>0</v>
      </c>
    </row>
    <row r="84" customFormat="false" ht="15" hidden="false" customHeight="false" outlineLevel="0" collapsed="false">
      <c r="A84" s="0" t="s">
        <v>170</v>
      </c>
      <c r="B84" s="0" t="s">
        <v>187</v>
      </c>
      <c r="C84" s="0" t="s">
        <v>188</v>
      </c>
      <c r="D84" s="0" t="n">
        <v>3</v>
      </c>
      <c r="E84" s="6" t="n">
        <v>40790.5</v>
      </c>
      <c r="F84" s="0" t="n">
        <v>5.45</v>
      </c>
      <c r="G84" s="0" t="n">
        <v>12710</v>
      </c>
      <c r="H84" s="0" t="s">
        <v>33</v>
      </c>
      <c r="I84" s="7" t="n">
        <f aca="false">IF(AND(LEFT(A84,1)&lt;&gt;"C",D84&gt;0,F84&gt;0),1,0)</f>
        <v>1</v>
      </c>
      <c r="J84" s="7" t="n">
        <f aca="false">IF(I84=1,D84*F84,0)</f>
        <v>16.35</v>
      </c>
      <c r="K84" s="7" t="n">
        <f aca="false">YEAR(E84)*100+MONTH(E84)</f>
        <v>201109</v>
      </c>
      <c r="L84" s="7" t="n">
        <f aca="false">IF(AND(A84&lt;&gt;A83,LEFT(A84,1)&lt;&gt;"C"),1,0)</f>
        <v>0</v>
      </c>
    </row>
    <row r="85" customFormat="false" ht="15" hidden="false" customHeight="false" outlineLevel="0" collapsed="false">
      <c r="A85" s="0" t="s">
        <v>170</v>
      </c>
      <c r="B85" s="0" t="s">
        <v>189</v>
      </c>
      <c r="C85" s="0" t="s">
        <v>190</v>
      </c>
      <c r="D85" s="0" t="n">
        <v>6</v>
      </c>
      <c r="E85" s="6" t="n">
        <v>40790.5</v>
      </c>
      <c r="F85" s="0" t="n">
        <v>2.95</v>
      </c>
      <c r="G85" s="0" t="n">
        <v>12710</v>
      </c>
      <c r="H85" s="0" t="s">
        <v>33</v>
      </c>
      <c r="I85" s="7" t="n">
        <f aca="false">IF(AND(LEFT(A85,1)&lt;&gt;"C",D85&gt;0,F85&gt;0),1,0)</f>
        <v>1</v>
      </c>
      <c r="J85" s="7" t="n">
        <f aca="false">IF(I85=1,D85*F85,0)</f>
        <v>17.7</v>
      </c>
      <c r="K85" s="7" t="n">
        <f aca="false">YEAR(E85)*100+MONTH(E85)</f>
        <v>201109</v>
      </c>
      <c r="L85" s="7" t="n">
        <f aca="false">IF(AND(A85&lt;&gt;A84,LEFT(A85,1)&lt;&gt;"C"),1,0)</f>
        <v>0</v>
      </c>
    </row>
    <row r="86" customFormat="false" ht="15" hidden="false" customHeight="false" outlineLevel="0" collapsed="false">
      <c r="A86" s="0" t="s">
        <v>170</v>
      </c>
      <c r="B86" s="0" t="s">
        <v>191</v>
      </c>
      <c r="C86" s="0" t="s">
        <v>192</v>
      </c>
      <c r="D86" s="0" t="n">
        <v>6</v>
      </c>
      <c r="E86" s="6" t="n">
        <v>40790.5</v>
      </c>
      <c r="F86" s="0" t="n">
        <v>2.95</v>
      </c>
      <c r="G86" s="0" t="n">
        <v>12710</v>
      </c>
      <c r="H86" s="0" t="s">
        <v>33</v>
      </c>
      <c r="I86" s="7" t="n">
        <f aca="false">IF(AND(LEFT(A86,1)&lt;&gt;"C",D86&gt;0,F86&gt;0),1,0)</f>
        <v>1</v>
      </c>
      <c r="J86" s="7" t="n">
        <f aca="false">IF(I86=1,D86*F86,0)</f>
        <v>17.7</v>
      </c>
      <c r="K86" s="7" t="n">
        <f aca="false">YEAR(E86)*100+MONTH(E86)</f>
        <v>201109</v>
      </c>
      <c r="L86" s="7" t="n">
        <f aca="false">IF(AND(A86&lt;&gt;A85,LEFT(A86,1)&lt;&gt;"C"),1,0)</f>
        <v>0</v>
      </c>
    </row>
    <row r="87" customFormat="false" ht="15" hidden="false" customHeight="false" outlineLevel="0" collapsed="false">
      <c r="A87" s="0" t="s">
        <v>170</v>
      </c>
      <c r="B87" s="0" t="s">
        <v>193</v>
      </c>
      <c r="C87" s="0" t="s">
        <v>194</v>
      </c>
      <c r="D87" s="0" t="n">
        <v>12</v>
      </c>
      <c r="E87" s="6" t="n">
        <v>40790.5</v>
      </c>
      <c r="F87" s="0" t="n">
        <v>0.65</v>
      </c>
      <c r="G87" s="0" t="n">
        <v>12710</v>
      </c>
      <c r="H87" s="0" t="s">
        <v>33</v>
      </c>
      <c r="I87" s="7" t="n">
        <f aca="false">IF(AND(LEFT(A87,1)&lt;&gt;"C",D87&gt;0,F87&gt;0),1,0)</f>
        <v>1</v>
      </c>
      <c r="J87" s="7" t="n">
        <f aca="false">IF(I87=1,D87*F87,0)</f>
        <v>7.8</v>
      </c>
      <c r="K87" s="7" t="n">
        <f aca="false">YEAR(E87)*100+MONTH(E87)</f>
        <v>201109</v>
      </c>
      <c r="L87" s="7" t="n">
        <f aca="false">IF(AND(A87&lt;&gt;A86,LEFT(A87,1)&lt;&gt;"C"),1,0)</f>
        <v>0</v>
      </c>
    </row>
    <row r="88" customFormat="false" ht="15" hidden="false" customHeight="false" outlineLevel="0" collapsed="false">
      <c r="A88" s="0" t="s">
        <v>170</v>
      </c>
      <c r="B88" s="0" t="s">
        <v>157</v>
      </c>
      <c r="C88" s="0" t="s">
        <v>158</v>
      </c>
      <c r="D88" s="0" t="n">
        <v>12</v>
      </c>
      <c r="E88" s="6" t="n">
        <v>40790.5</v>
      </c>
      <c r="F88" s="0" t="n">
        <v>0.65</v>
      </c>
      <c r="G88" s="0" t="n">
        <v>12710</v>
      </c>
      <c r="H88" s="0" t="s">
        <v>33</v>
      </c>
      <c r="I88" s="7" t="n">
        <f aca="false">IF(AND(LEFT(A88,1)&lt;&gt;"C",D88&gt;0,F88&gt;0),1,0)</f>
        <v>1</v>
      </c>
      <c r="J88" s="7" t="n">
        <f aca="false">IF(I88=1,D88*F88,0)</f>
        <v>7.8</v>
      </c>
      <c r="K88" s="7" t="n">
        <f aca="false">YEAR(E88)*100+MONTH(E88)</f>
        <v>201109</v>
      </c>
      <c r="L88" s="7" t="n">
        <f aca="false">IF(AND(A88&lt;&gt;A87,LEFT(A88,1)&lt;&gt;"C"),1,0)</f>
        <v>0</v>
      </c>
    </row>
    <row r="89" customFormat="false" ht="15" hidden="false" customHeight="false" outlineLevel="0" collapsed="false">
      <c r="A89" s="0" t="s">
        <v>170</v>
      </c>
      <c r="B89" s="0" t="s">
        <v>195</v>
      </c>
      <c r="C89" s="0" t="s">
        <v>196</v>
      </c>
      <c r="D89" s="0" t="n">
        <v>12</v>
      </c>
      <c r="E89" s="6" t="n">
        <v>40790.5</v>
      </c>
      <c r="F89" s="0" t="n">
        <v>0.85</v>
      </c>
      <c r="G89" s="0" t="n">
        <v>12710</v>
      </c>
      <c r="H89" s="0" t="s">
        <v>33</v>
      </c>
      <c r="I89" s="7" t="n">
        <f aca="false">IF(AND(LEFT(A89,1)&lt;&gt;"C",D89&gt;0,F89&gt;0),1,0)</f>
        <v>1</v>
      </c>
      <c r="J89" s="7" t="n">
        <f aca="false">IF(I89=1,D89*F89,0)</f>
        <v>10.2</v>
      </c>
      <c r="K89" s="7" t="n">
        <f aca="false">YEAR(E89)*100+MONTH(E89)</f>
        <v>201109</v>
      </c>
      <c r="L89" s="7" t="n">
        <f aca="false">IF(AND(A89&lt;&gt;A88,LEFT(A89,1)&lt;&gt;"C"),1,0)</f>
        <v>0</v>
      </c>
    </row>
    <row r="90" customFormat="false" ht="15" hidden="false" customHeight="false" outlineLevel="0" collapsed="false">
      <c r="A90" s="0" t="s">
        <v>170</v>
      </c>
      <c r="B90" s="0" t="s">
        <v>197</v>
      </c>
      <c r="C90" s="0" t="s">
        <v>198</v>
      </c>
      <c r="D90" s="0" t="n">
        <v>24</v>
      </c>
      <c r="E90" s="6" t="n">
        <v>40790.5</v>
      </c>
      <c r="F90" s="0" t="n">
        <v>0.85</v>
      </c>
      <c r="G90" s="0" t="n">
        <v>12710</v>
      </c>
      <c r="H90" s="0" t="s">
        <v>33</v>
      </c>
      <c r="I90" s="7" t="n">
        <f aca="false">IF(AND(LEFT(A90,1)&lt;&gt;"C",D90&gt;0,F90&gt;0),1,0)</f>
        <v>1</v>
      </c>
      <c r="J90" s="7" t="n">
        <f aca="false">IF(I90=1,D90*F90,0)</f>
        <v>20.4</v>
      </c>
      <c r="K90" s="7" t="n">
        <f aca="false">YEAR(E90)*100+MONTH(E90)</f>
        <v>201109</v>
      </c>
      <c r="L90" s="7" t="n">
        <f aca="false">IF(AND(A90&lt;&gt;A89,LEFT(A90,1)&lt;&gt;"C"),1,0)</f>
        <v>0</v>
      </c>
    </row>
    <row r="91" customFormat="false" ht="15" hidden="false" customHeight="false" outlineLevel="0" collapsed="false">
      <c r="A91" s="0" t="s">
        <v>170</v>
      </c>
      <c r="B91" s="0" t="s">
        <v>151</v>
      </c>
      <c r="C91" s="0" t="s">
        <v>152</v>
      </c>
      <c r="D91" s="0" t="n">
        <v>12</v>
      </c>
      <c r="E91" s="6" t="n">
        <v>40790.5</v>
      </c>
      <c r="F91" s="0" t="n">
        <v>0.85</v>
      </c>
      <c r="G91" s="0" t="n">
        <v>12710</v>
      </c>
      <c r="H91" s="0" t="s">
        <v>33</v>
      </c>
      <c r="I91" s="7" t="n">
        <f aca="false">IF(AND(LEFT(A91,1)&lt;&gt;"C",D91&gt;0,F91&gt;0),1,0)</f>
        <v>1</v>
      </c>
      <c r="J91" s="7" t="n">
        <f aca="false">IF(I91=1,D91*F91,0)</f>
        <v>10.2</v>
      </c>
      <c r="K91" s="7" t="n">
        <f aca="false">YEAR(E91)*100+MONTH(E91)</f>
        <v>201109</v>
      </c>
      <c r="L91" s="7" t="n">
        <f aca="false">IF(AND(A91&lt;&gt;A90,LEFT(A91,1)&lt;&gt;"C"),1,0)</f>
        <v>0</v>
      </c>
    </row>
    <row r="92" customFormat="false" ht="15" hidden="false" customHeight="false" outlineLevel="0" collapsed="false">
      <c r="A92" s="0" t="s">
        <v>170</v>
      </c>
      <c r="B92" s="0" t="s">
        <v>199</v>
      </c>
      <c r="C92" s="0" t="s">
        <v>200</v>
      </c>
      <c r="D92" s="0" t="n">
        <v>24</v>
      </c>
      <c r="E92" s="6" t="n">
        <v>40790.5</v>
      </c>
      <c r="F92" s="0" t="n">
        <v>0.85</v>
      </c>
      <c r="G92" s="0" t="n">
        <v>12710</v>
      </c>
      <c r="H92" s="0" t="s">
        <v>33</v>
      </c>
      <c r="I92" s="7" t="n">
        <f aca="false">IF(AND(LEFT(A92,1)&lt;&gt;"C",D92&gt;0,F92&gt;0),1,0)</f>
        <v>1</v>
      </c>
      <c r="J92" s="7" t="n">
        <f aca="false">IF(I92=1,D92*F92,0)</f>
        <v>20.4</v>
      </c>
      <c r="K92" s="7" t="n">
        <f aca="false">YEAR(E92)*100+MONTH(E92)</f>
        <v>201109</v>
      </c>
      <c r="L92" s="7" t="n">
        <f aca="false">IF(AND(A92&lt;&gt;A91,LEFT(A92,1)&lt;&gt;"C"),1,0)</f>
        <v>0</v>
      </c>
    </row>
    <row r="93" customFormat="false" ht="15" hidden="false" customHeight="false" outlineLevel="0" collapsed="false">
      <c r="A93" s="0" t="s">
        <v>170</v>
      </c>
      <c r="B93" s="0" t="s">
        <v>201</v>
      </c>
      <c r="C93" s="0" t="s">
        <v>202</v>
      </c>
      <c r="D93" s="0" t="n">
        <v>24</v>
      </c>
      <c r="E93" s="6" t="n">
        <v>40790.5</v>
      </c>
      <c r="F93" s="0" t="n">
        <v>0.29</v>
      </c>
      <c r="G93" s="0" t="n">
        <v>12710</v>
      </c>
      <c r="H93" s="0" t="s">
        <v>33</v>
      </c>
      <c r="I93" s="7" t="n">
        <f aca="false">IF(AND(LEFT(A93,1)&lt;&gt;"C",D93&gt;0,F93&gt;0),1,0)</f>
        <v>1</v>
      </c>
      <c r="J93" s="7" t="n">
        <f aca="false">IF(I93=1,D93*F93,0)</f>
        <v>6.96</v>
      </c>
      <c r="K93" s="7" t="n">
        <f aca="false">YEAR(E93)*100+MONTH(E93)</f>
        <v>201109</v>
      </c>
      <c r="L93" s="7" t="n">
        <f aca="false">IF(AND(A93&lt;&gt;A92,LEFT(A93,1)&lt;&gt;"C"),1,0)</f>
        <v>0</v>
      </c>
    </row>
    <row r="94" customFormat="false" ht="15" hidden="false" customHeight="false" outlineLevel="0" collapsed="false">
      <c r="A94" s="0" t="s">
        <v>170</v>
      </c>
      <c r="B94" s="0" t="s">
        <v>203</v>
      </c>
      <c r="C94" s="0" t="s">
        <v>204</v>
      </c>
      <c r="D94" s="0" t="n">
        <v>24</v>
      </c>
      <c r="E94" s="6" t="n">
        <v>40790.5</v>
      </c>
      <c r="F94" s="0" t="n">
        <v>0.29</v>
      </c>
      <c r="G94" s="0" t="n">
        <v>12710</v>
      </c>
      <c r="H94" s="0" t="s">
        <v>33</v>
      </c>
      <c r="I94" s="7" t="n">
        <f aca="false">IF(AND(LEFT(A94,1)&lt;&gt;"C",D94&gt;0,F94&gt;0),1,0)</f>
        <v>1</v>
      </c>
      <c r="J94" s="7" t="n">
        <f aca="false">IF(I94=1,D94*F94,0)</f>
        <v>6.96</v>
      </c>
      <c r="K94" s="7" t="n">
        <f aca="false">YEAR(E94)*100+MONTH(E94)</f>
        <v>201109</v>
      </c>
      <c r="L94" s="7" t="n">
        <f aca="false">IF(AND(A94&lt;&gt;A93,LEFT(A94,1)&lt;&gt;"C"),1,0)</f>
        <v>0</v>
      </c>
    </row>
    <row r="95" customFormat="false" ht="15" hidden="false" customHeight="false" outlineLevel="0" collapsed="false">
      <c r="A95" s="0" t="s">
        <v>170</v>
      </c>
      <c r="B95" s="0" t="s">
        <v>205</v>
      </c>
      <c r="C95" s="0" t="s">
        <v>206</v>
      </c>
      <c r="D95" s="0" t="n">
        <v>24</v>
      </c>
      <c r="E95" s="6" t="n">
        <v>40790.5</v>
      </c>
      <c r="F95" s="0" t="n">
        <v>0.29</v>
      </c>
      <c r="G95" s="0" t="n">
        <v>12710</v>
      </c>
      <c r="H95" s="0" t="s">
        <v>33</v>
      </c>
      <c r="I95" s="7" t="n">
        <f aca="false">IF(AND(LEFT(A95,1)&lt;&gt;"C",D95&gt;0,F95&gt;0),1,0)</f>
        <v>1</v>
      </c>
      <c r="J95" s="7" t="n">
        <f aca="false">IF(I95=1,D95*F95,0)</f>
        <v>6.96</v>
      </c>
      <c r="K95" s="7" t="n">
        <f aca="false">YEAR(E95)*100+MONTH(E95)</f>
        <v>201109</v>
      </c>
      <c r="L95" s="7" t="n">
        <f aca="false">IF(AND(A95&lt;&gt;A94,LEFT(A95,1)&lt;&gt;"C"),1,0)</f>
        <v>0</v>
      </c>
    </row>
    <row r="96" customFormat="false" ht="15" hidden="false" customHeight="false" outlineLevel="0" collapsed="false">
      <c r="A96" s="0" t="s">
        <v>170</v>
      </c>
      <c r="B96" s="0" t="s">
        <v>207</v>
      </c>
      <c r="C96" s="0" t="s">
        <v>208</v>
      </c>
      <c r="D96" s="0" t="n">
        <v>24</v>
      </c>
      <c r="E96" s="6" t="n">
        <v>40790.5</v>
      </c>
      <c r="F96" s="0" t="n">
        <v>0.29</v>
      </c>
      <c r="G96" s="0" t="n">
        <v>12710</v>
      </c>
      <c r="H96" s="0" t="s">
        <v>33</v>
      </c>
      <c r="I96" s="7" t="n">
        <f aca="false">IF(AND(LEFT(A96,1)&lt;&gt;"C",D96&gt;0,F96&gt;0),1,0)</f>
        <v>1</v>
      </c>
      <c r="J96" s="7" t="n">
        <f aca="false">IF(I96=1,D96*F96,0)</f>
        <v>6.96</v>
      </c>
      <c r="K96" s="7" t="n">
        <f aca="false">YEAR(E96)*100+MONTH(E96)</f>
        <v>201109</v>
      </c>
      <c r="L96" s="7" t="n">
        <f aca="false">IF(AND(A96&lt;&gt;A95,LEFT(A96,1)&lt;&gt;"C"),1,0)</f>
        <v>0</v>
      </c>
    </row>
    <row r="97" customFormat="false" ht="15" hidden="false" customHeight="false" outlineLevel="0" collapsed="false">
      <c r="A97" s="0" t="s">
        <v>170</v>
      </c>
      <c r="B97" s="0" t="s">
        <v>209</v>
      </c>
      <c r="C97" s="0" t="s">
        <v>210</v>
      </c>
      <c r="D97" s="0" t="n">
        <v>24</v>
      </c>
      <c r="E97" s="6" t="n">
        <v>40790.5</v>
      </c>
      <c r="F97" s="0" t="n">
        <v>0.29</v>
      </c>
      <c r="G97" s="0" t="n">
        <v>12710</v>
      </c>
      <c r="H97" s="0" t="s">
        <v>33</v>
      </c>
      <c r="I97" s="7" t="n">
        <f aca="false">IF(AND(LEFT(A97,1)&lt;&gt;"C",D97&gt;0,F97&gt;0),1,0)</f>
        <v>1</v>
      </c>
      <c r="J97" s="7" t="n">
        <f aca="false">IF(I97=1,D97*F97,0)</f>
        <v>6.96</v>
      </c>
      <c r="K97" s="7" t="n">
        <f aca="false">YEAR(E97)*100+MONTH(E97)</f>
        <v>201109</v>
      </c>
      <c r="L97" s="7" t="n">
        <f aca="false">IF(AND(A97&lt;&gt;A96,LEFT(A97,1)&lt;&gt;"C"),1,0)</f>
        <v>0</v>
      </c>
    </row>
    <row r="98" customFormat="false" ht="15" hidden="false" customHeight="false" outlineLevel="0" collapsed="false">
      <c r="A98" s="0" t="s">
        <v>170</v>
      </c>
      <c r="B98" s="0" t="s">
        <v>211</v>
      </c>
      <c r="C98" s="0" t="s">
        <v>212</v>
      </c>
      <c r="D98" s="0" t="n">
        <v>4</v>
      </c>
      <c r="E98" s="6" t="n">
        <v>40790.5</v>
      </c>
      <c r="F98" s="0" t="n">
        <v>8.25</v>
      </c>
      <c r="G98" s="0" t="n">
        <v>12710</v>
      </c>
      <c r="H98" s="0" t="s">
        <v>33</v>
      </c>
      <c r="I98" s="7" t="n">
        <f aca="false">IF(AND(LEFT(A98,1)&lt;&gt;"C",D98&gt;0,F98&gt;0),1,0)</f>
        <v>1</v>
      </c>
      <c r="J98" s="7" t="n">
        <f aca="false">IF(I98=1,D98*F98,0)</f>
        <v>33</v>
      </c>
      <c r="K98" s="7" t="n">
        <f aca="false">YEAR(E98)*100+MONTH(E98)</f>
        <v>201109</v>
      </c>
      <c r="L98" s="7" t="n">
        <f aca="false">IF(AND(A98&lt;&gt;A97,LEFT(A98,1)&lt;&gt;"C"),1,0)</f>
        <v>0</v>
      </c>
    </row>
    <row r="99" customFormat="false" ht="15" hidden="false" customHeight="false" outlineLevel="0" collapsed="false">
      <c r="A99" s="0" t="s">
        <v>170</v>
      </c>
      <c r="B99" s="0" t="s">
        <v>213</v>
      </c>
      <c r="C99" s="0" t="s">
        <v>214</v>
      </c>
      <c r="D99" s="0" t="n">
        <v>12</v>
      </c>
      <c r="E99" s="6" t="n">
        <v>40790.5</v>
      </c>
      <c r="F99" s="0" t="n">
        <v>0.85</v>
      </c>
      <c r="G99" s="0" t="n">
        <v>12710</v>
      </c>
      <c r="H99" s="0" t="s">
        <v>33</v>
      </c>
      <c r="I99" s="7" t="n">
        <f aca="false">IF(AND(LEFT(A99,1)&lt;&gt;"C",D99&gt;0,F99&gt;0),1,0)</f>
        <v>1</v>
      </c>
      <c r="J99" s="7" t="n">
        <f aca="false">IF(I99=1,D99*F99,0)</f>
        <v>10.2</v>
      </c>
      <c r="K99" s="7" t="n">
        <f aca="false">YEAR(E99)*100+MONTH(E99)</f>
        <v>201109</v>
      </c>
      <c r="L99" s="7" t="n">
        <f aca="false">IF(AND(A99&lt;&gt;A98,LEFT(A99,1)&lt;&gt;"C"),1,0)</f>
        <v>0</v>
      </c>
    </row>
    <row r="100" customFormat="false" ht="15" hidden="false" customHeight="false" outlineLevel="0" collapsed="false">
      <c r="A100" s="0" t="s">
        <v>170</v>
      </c>
      <c r="B100" s="0" t="s">
        <v>215</v>
      </c>
      <c r="C100" s="0" t="s">
        <v>216</v>
      </c>
      <c r="D100" s="0" t="n">
        <v>24</v>
      </c>
      <c r="E100" s="6" t="n">
        <v>40790.5</v>
      </c>
      <c r="F100" s="0" t="n">
        <v>0.55</v>
      </c>
      <c r="G100" s="0" t="n">
        <v>12710</v>
      </c>
      <c r="H100" s="0" t="s">
        <v>33</v>
      </c>
      <c r="I100" s="7" t="n">
        <f aca="false">IF(AND(LEFT(A100,1)&lt;&gt;"C",D100&gt;0,F100&gt;0),1,0)</f>
        <v>1</v>
      </c>
      <c r="J100" s="7" t="n">
        <f aca="false">IF(I100=1,D100*F100,0)</f>
        <v>13.2</v>
      </c>
      <c r="K100" s="7" t="n">
        <f aca="false">YEAR(E100)*100+MONTH(E100)</f>
        <v>201109</v>
      </c>
      <c r="L100" s="7" t="n">
        <f aca="false">IF(AND(A100&lt;&gt;A99,LEFT(A100,1)&lt;&gt;"C"),1,0)</f>
        <v>0</v>
      </c>
    </row>
    <row r="101" customFormat="false" ht="15" hidden="false" customHeight="false" outlineLevel="0" collapsed="false">
      <c r="A101" s="0" t="s">
        <v>170</v>
      </c>
      <c r="B101" s="0" t="s">
        <v>217</v>
      </c>
      <c r="C101" s="0" t="s">
        <v>218</v>
      </c>
      <c r="D101" s="0" t="n">
        <v>24</v>
      </c>
      <c r="E101" s="6" t="n">
        <v>40790.5</v>
      </c>
      <c r="F101" s="0" t="n">
        <v>0.55</v>
      </c>
      <c r="G101" s="0" t="n">
        <v>12710</v>
      </c>
      <c r="H101" s="0" t="s">
        <v>33</v>
      </c>
      <c r="I101" s="7" t="n">
        <f aca="false">IF(AND(LEFT(A101,1)&lt;&gt;"C",D101&gt;0,F101&gt;0),1,0)</f>
        <v>1</v>
      </c>
      <c r="J101" s="7" t="n">
        <f aca="false">IF(I101=1,D101*F101,0)</f>
        <v>13.2</v>
      </c>
      <c r="K101" s="7" t="n">
        <f aca="false">YEAR(E101)*100+MONTH(E101)</f>
        <v>201109</v>
      </c>
      <c r="L101" s="7" t="n">
        <f aca="false">IF(AND(A101&lt;&gt;A100,LEFT(A101,1)&lt;&gt;"C"),1,0)</f>
        <v>0</v>
      </c>
    </row>
    <row r="102" customFormat="false" ht="15" hidden="false" customHeight="false" outlineLevel="0" collapsed="false">
      <c r="A102" s="0" t="s">
        <v>170</v>
      </c>
      <c r="B102" s="0" t="s">
        <v>219</v>
      </c>
      <c r="C102" s="0" t="s">
        <v>220</v>
      </c>
      <c r="D102" s="0" t="n">
        <v>24</v>
      </c>
      <c r="E102" s="6" t="n">
        <v>40790.5</v>
      </c>
      <c r="F102" s="0" t="n">
        <v>0.55</v>
      </c>
      <c r="G102" s="0" t="n">
        <v>12710</v>
      </c>
      <c r="H102" s="0" t="s">
        <v>33</v>
      </c>
      <c r="I102" s="7" t="n">
        <f aca="false">IF(AND(LEFT(A102,1)&lt;&gt;"C",D102&gt;0,F102&gt;0),1,0)</f>
        <v>1</v>
      </c>
      <c r="J102" s="7" t="n">
        <f aca="false">IF(I102=1,D102*F102,0)</f>
        <v>13.2</v>
      </c>
      <c r="K102" s="7" t="n">
        <f aca="false">YEAR(E102)*100+MONTH(E102)</f>
        <v>201109</v>
      </c>
      <c r="L102" s="7" t="n">
        <f aca="false">IF(AND(A102&lt;&gt;A101,LEFT(A102,1)&lt;&gt;"C"),1,0)</f>
        <v>0</v>
      </c>
    </row>
    <row r="103" customFormat="false" ht="15" hidden="false" customHeight="false" outlineLevel="0" collapsed="false">
      <c r="A103" s="0" t="s">
        <v>170</v>
      </c>
      <c r="B103" s="0" t="s">
        <v>84</v>
      </c>
      <c r="C103" s="0" t="s">
        <v>85</v>
      </c>
      <c r="D103" s="0" t="n">
        <v>2</v>
      </c>
      <c r="E103" s="6" t="n">
        <v>40790.5</v>
      </c>
      <c r="F103" s="0" t="n">
        <v>18</v>
      </c>
      <c r="G103" s="0" t="n">
        <v>12710</v>
      </c>
      <c r="H103" s="0" t="s">
        <v>33</v>
      </c>
      <c r="I103" s="7" t="n">
        <f aca="false">IF(AND(LEFT(A103,1)&lt;&gt;"C",D103&gt;0,F103&gt;0),1,0)</f>
        <v>1</v>
      </c>
      <c r="J103" s="7" t="n">
        <f aca="false">IF(I103=1,D103*F103,0)</f>
        <v>36</v>
      </c>
      <c r="K103" s="7" t="n">
        <f aca="false">YEAR(E103)*100+MONTH(E103)</f>
        <v>201109</v>
      </c>
      <c r="L103" s="7" t="n">
        <f aca="false">IF(AND(A103&lt;&gt;A102,LEFT(A103,1)&lt;&gt;"C"),1,0)</f>
        <v>0</v>
      </c>
    </row>
    <row r="104" customFormat="false" ht="15" hidden="false" customHeight="false" outlineLevel="0" collapsed="false">
      <c r="A104" s="0" t="s">
        <v>221</v>
      </c>
      <c r="B104" s="0" t="s">
        <v>222</v>
      </c>
      <c r="C104" s="0" t="s">
        <v>223</v>
      </c>
      <c r="D104" s="0" t="n">
        <v>6</v>
      </c>
      <c r="E104" s="6" t="n">
        <v>40790.5159722222</v>
      </c>
      <c r="F104" s="0" t="n">
        <v>2.25</v>
      </c>
      <c r="G104" s="0" t="n">
        <v>12569</v>
      </c>
      <c r="H104" s="0" t="s">
        <v>33</v>
      </c>
      <c r="I104" s="7" t="n">
        <f aca="false">IF(AND(LEFT(A104,1)&lt;&gt;"C",D104&gt;0,F104&gt;0),1,0)</f>
        <v>1</v>
      </c>
      <c r="J104" s="7" t="n">
        <f aca="false">IF(I104=1,D104*F104,0)</f>
        <v>13.5</v>
      </c>
      <c r="K104" s="7" t="n">
        <f aca="false">YEAR(E104)*100+MONTH(E104)</f>
        <v>201109</v>
      </c>
      <c r="L104" s="7" t="n">
        <f aca="false">IF(AND(A104&lt;&gt;A103,LEFT(A104,1)&lt;&gt;"C"),1,0)</f>
        <v>1</v>
      </c>
    </row>
    <row r="105" customFormat="false" ht="15" hidden="false" customHeight="false" outlineLevel="0" collapsed="false">
      <c r="A105" s="0" t="s">
        <v>221</v>
      </c>
      <c r="B105" s="0" t="s">
        <v>224</v>
      </c>
      <c r="C105" s="0" t="s">
        <v>225</v>
      </c>
      <c r="D105" s="0" t="n">
        <v>8</v>
      </c>
      <c r="E105" s="6" t="n">
        <v>40790.5159722222</v>
      </c>
      <c r="F105" s="0" t="n">
        <v>1.65</v>
      </c>
      <c r="G105" s="0" t="n">
        <v>12569</v>
      </c>
      <c r="H105" s="0" t="s">
        <v>33</v>
      </c>
      <c r="I105" s="7" t="n">
        <f aca="false">IF(AND(LEFT(A105,1)&lt;&gt;"C",D105&gt;0,F105&gt;0),1,0)</f>
        <v>1</v>
      </c>
      <c r="J105" s="7" t="n">
        <f aca="false">IF(I105=1,D105*F105,0)</f>
        <v>13.2</v>
      </c>
      <c r="K105" s="7" t="n">
        <f aca="false">YEAR(E105)*100+MONTH(E105)</f>
        <v>201109</v>
      </c>
      <c r="L105" s="7" t="n">
        <f aca="false">IF(AND(A105&lt;&gt;A104,LEFT(A105,1)&lt;&gt;"C"),1,0)</f>
        <v>0</v>
      </c>
    </row>
    <row r="106" customFormat="false" ht="15" hidden="false" customHeight="false" outlineLevel="0" collapsed="false">
      <c r="A106" s="0" t="s">
        <v>221</v>
      </c>
      <c r="B106" s="0" t="s">
        <v>226</v>
      </c>
      <c r="C106" s="0" t="s">
        <v>227</v>
      </c>
      <c r="D106" s="0" t="n">
        <v>6</v>
      </c>
      <c r="E106" s="6" t="n">
        <v>40790.5159722222</v>
      </c>
      <c r="F106" s="0" t="n">
        <v>2.95</v>
      </c>
      <c r="G106" s="0" t="n">
        <v>12569</v>
      </c>
      <c r="H106" s="0" t="s">
        <v>33</v>
      </c>
      <c r="I106" s="7" t="n">
        <f aca="false">IF(AND(LEFT(A106,1)&lt;&gt;"C",D106&gt;0,F106&gt;0),1,0)</f>
        <v>1</v>
      </c>
      <c r="J106" s="7" t="n">
        <f aca="false">IF(I106=1,D106*F106,0)</f>
        <v>17.7</v>
      </c>
      <c r="K106" s="7" t="n">
        <f aca="false">YEAR(E106)*100+MONTH(E106)</f>
        <v>201109</v>
      </c>
      <c r="L106" s="7" t="n">
        <f aca="false">IF(AND(A106&lt;&gt;A105,LEFT(A106,1)&lt;&gt;"C"),1,0)</f>
        <v>0</v>
      </c>
    </row>
    <row r="107" customFormat="false" ht="15" hidden="false" customHeight="false" outlineLevel="0" collapsed="false">
      <c r="A107" s="0" t="s">
        <v>221</v>
      </c>
      <c r="B107" s="0" t="s">
        <v>228</v>
      </c>
      <c r="C107" s="0" t="s">
        <v>229</v>
      </c>
      <c r="D107" s="0" t="n">
        <v>6</v>
      </c>
      <c r="E107" s="6" t="n">
        <v>40790.5159722222</v>
      </c>
      <c r="F107" s="0" t="n">
        <v>3.25</v>
      </c>
      <c r="G107" s="0" t="n">
        <v>12569</v>
      </c>
      <c r="H107" s="0" t="s">
        <v>33</v>
      </c>
      <c r="I107" s="7" t="n">
        <f aca="false">IF(AND(LEFT(A107,1)&lt;&gt;"C",D107&gt;0,F107&gt;0),1,0)</f>
        <v>1</v>
      </c>
      <c r="J107" s="7" t="n">
        <f aca="false">IF(I107=1,D107*F107,0)</f>
        <v>19.5</v>
      </c>
      <c r="K107" s="7" t="n">
        <f aca="false">YEAR(E107)*100+MONTH(E107)</f>
        <v>201109</v>
      </c>
      <c r="L107" s="7" t="n">
        <f aca="false">IF(AND(A107&lt;&gt;A106,LEFT(A107,1)&lt;&gt;"C"),1,0)</f>
        <v>0</v>
      </c>
    </row>
    <row r="108" customFormat="false" ht="15" hidden="false" customHeight="false" outlineLevel="0" collapsed="false">
      <c r="A108" s="0" t="s">
        <v>221</v>
      </c>
      <c r="B108" s="0" t="s">
        <v>230</v>
      </c>
      <c r="C108" s="0" t="s">
        <v>231</v>
      </c>
      <c r="D108" s="0" t="n">
        <v>12</v>
      </c>
      <c r="E108" s="6" t="n">
        <v>40790.5159722222</v>
      </c>
      <c r="F108" s="0" t="n">
        <v>0.83</v>
      </c>
      <c r="G108" s="0" t="n">
        <v>12569</v>
      </c>
      <c r="H108" s="0" t="s">
        <v>33</v>
      </c>
      <c r="I108" s="7" t="n">
        <f aca="false">IF(AND(LEFT(A108,1)&lt;&gt;"C",D108&gt;0,F108&gt;0),1,0)</f>
        <v>1</v>
      </c>
      <c r="J108" s="7" t="n">
        <f aca="false">IF(I108=1,D108*F108,0)</f>
        <v>9.96</v>
      </c>
      <c r="K108" s="7" t="n">
        <f aca="false">YEAR(E108)*100+MONTH(E108)</f>
        <v>201109</v>
      </c>
      <c r="L108" s="7" t="n">
        <f aca="false">IF(AND(A108&lt;&gt;A107,LEFT(A108,1)&lt;&gt;"C"),1,0)</f>
        <v>0</v>
      </c>
    </row>
    <row r="109" customFormat="false" ht="15" hidden="false" customHeight="false" outlineLevel="0" collapsed="false">
      <c r="A109" s="0" t="s">
        <v>221</v>
      </c>
      <c r="B109" s="0" t="s">
        <v>84</v>
      </c>
      <c r="C109" s="0" t="s">
        <v>85</v>
      </c>
      <c r="D109" s="0" t="n">
        <v>1</v>
      </c>
      <c r="E109" s="6" t="n">
        <v>40790.5159722222</v>
      </c>
      <c r="F109" s="0" t="n">
        <v>18</v>
      </c>
      <c r="G109" s="0" t="n">
        <v>12569</v>
      </c>
      <c r="H109" s="0" t="s">
        <v>33</v>
      </c>
      <c r="I109" s="7" t="n">
        <f aca="false">IF(AND(LEFT(A109,1)&lt;&gt;"C",D109&gt;0,F109&gt;0),1,0)</f>
        <v>1</v>
      </c>
      <c r="J109" s="7" t="n">
        <f aca="false">IF(I109=1,D109*F109,0)</f>
        <v>18</v>
      </c>
      <c r="K109" s="7" t="n">
        <f aca="false">YEAR(E109)*100+MONTH(E109)</f>
        <v>201109</v>
      </c>
      <c r="L109" s="7" t="n">
        <f aca="false">IF(AND(A109&lt;&gt;A108,LEFT(A109,1)&lt;&gt;"C"),1,0)</f>
        <v>0</v>
      </c>
    </row>
    <row r="110" customFormat="false" ht="15" hidden="false" customHeight="false" outlineLevel="0" collapsed="false">
      <c r="A110" s="0" t="s">
        <v>232</v>
      </c>
      <c r="B110" s="0" t="s">
        <v>233</v>
      </c>
      <c r="C110" s="0" t="s">
        <v>234</v>
      </c>
      <c r="D110" s="0" t="n">
        <v>3</v>
      </c>
      <c r="E110" s="6" t="n">
        <v>40790.5465277778</v>
      </c>
      <c r="F110" s="0" t="n">
        <v>2.1</v>
      </c>
      <c r="G110" s="0" t="n">
        <v>14335</v>
      </c>
      <c r="H110" s="0" t="s">
        <v>33</v>
      </c>
      <c r="I110" s="7" t="n">
        <f aca="false">IF(AND(LEFT(A110,1)&lt;&gt;"C",D110&gt;0,F110&gt;0),1,0)</f>
        <v>1</v>
      </c>
      <c r="J110" s="7" t="n">
        <f aca="false">IF(I110=1,D110*F110,0)</f>
        <v>6.3</v>
      </c>
      <c r="K110" s="7" t="n">
        <f aca="false">YEAR(E110)*100+MONTH(E110)</f>
        <v>201109</v>
      </c>
      <c r="L110" s="7" t="n">
        <f aca="false">IF(AND(A110&lt;&gt;A109,LEFT(A110,1)&lt;&gt;"C"),1,0)</f>
        <v>1</v>
      </c>
    </row>
    <row r="111" customFormat="false" ht="15" hidden="false" customHeight="false" outlineLevel="0" collapsed="false">
      <c r="A111" s="0" t="s">
        <v>232</v>
      </c>
      <c r="B111" s="0" t="s">
        <v>235</v>
      </c>
      <c r="C111" s="0" t="s">
        <v>236</v>
      </c>
      <c r="D111" s="0" t="n">
        <v>3</v>
      </c>
      <c r="E111" s="6" t="n">
        <v>40790.5465277778</v>
      </c>
      <c r="F111" s="0" t="n">
        <v>0.65</v>
      </c>
      <c r="G111" s="0" t="n">
        <v>14335</v>
      </c>
      <c r="H111" s="0" t="s">
        <v>33</v>
      </c>
      <c r="I111" s="7" t="n">
        <f aca="false">IF(AND(LEFT(A111,1)&lt;&gt;"C",D111&gt;0,F111&gt;0),1,0)</f>
        <v>1</v>
      </c>
      <c r="J111" s="7" t="n">
        <f aca="false">IF(I111=1,D111*F111,0)</f>
        <v>1.95</v>
      </c>
      <c r="K111" s="7" t="n">
        <f aca="false">YEAR(E111)*100+MONTH(E111)</f>
        <v>201109</v>
      </c>
      <c r="L111" s="7" t="n">
        <f aca="false">IF(AND(A111&lt;&gt;A110,LEFT(A111,1)&lt;&gt;"C"),1,0)</f>
        <v>0</v>
      </c>
    </row>
    <row r="112" customFormat="false" ht="15" hidden="false" customHeight="false" outlineLevel="0" collapsed="false">
      <c r="A112" s="0" t="s">
        <v>232</v>
      </c>
      <c r="B112" s="0" t="s">
        <v>237</v>
      </c>
      <c r="C112" s="0" t="s">
        <v>238</v>
      </c>
      <c r="D112" s="0" t="n">
        <v>8</v>
      </c>
      <c r="E112" s="6" t="n">
        <v>40790.5465277778</v>
      </c>
      <c r="F112" s="0" t="n">
        <v>2.55</v>
      </c>
      <c r="G112" s="0" t="n">
        <v>14335</v>
      </c>
      <c r="H112" s="0" t="s">
        <v>33</v>
      </c>
      <c r="I112" s="7" t="n">
        <f aca="false">IF(AND(LEFT(A112,1)&lt;&gt;"C",D112&gt;0,F112&gt;0),1,0)</f>
        <v>1</v>
      </c>
      <c r="J112" s="7" t="n">
        <f aca="false">IF(I112=1,D112*F112,0)</f>
        <v>20.4</v>
      </c>
      <c r="K112" s="7" t="n">
        <f aca="false">YEAR(E112)*100+MONTH(E112)</f>
        <v>201109</v>
      </c>
      <c r="L112" s="7" t="n">
        <f aca="false">IF(AND(A112&lt;&gt;A111,LEFT(A112,1)&lt;&gt;"C"),1,0)</f>
        <v>0</v>
      </c>
    </row>
    <row r="113" customFormat="false" ht="15" hidden="false" customHeight="false" outlineLevel="0" collapsed="false">
      <c r="A113" s="0" t="s">
        <v>232</v>
      </c>
      <c r="B113" s="0" t="s">
        <v>239</v>
      </c>
      <c r="C113" s="0" t="s">
        <v>240</v>
      </c>
      <c r="D113" s="0" t="n">
        <v>2</v>
      </c>
      <c r="E113" s="6" t="n">
        <v>40790.5465277778</v>
      </c>
      <c r="F113" s="0" t="n">
        <v>1.25</v>
      </c>
      <c r="G113" s="0" t="n">
        <v>14335</v>
      </c>
      <c r="H113" s="0" t="s">
        <v>33</v>
      </c>
      <c r="I113" s="7" t="n">
        <f aca="false">IF(AND(LEFT(A113,1)&lt;&gt;"C",D113&gt;0,F113&gt;0),1,0)</f>
        <v>1</v>
      </c>
      <c r="J113" s="7" t="n">
        <f aca="false">IF(I113=1,D113*F113,0)</f>
        <v>2.5</v>
      </c>
      <c r="K113" s="7" t="n">
        <f aca="false">YEAR(E113)*100+MONTH(E113)</f>
        <v>201109</v>
      </c>
      <c r="L113" s="7" t="n">
        <f aca="false">IF(AND(A113&lt;&gt;A112,LEFT(A113,1)&lt;&gt;"C"),1,0)</f>
        <v>0</v>
      </c>
    </row>
    <row r="114" customFormat="false" ht="15" hidden="false" customHeight="false" outlineLevel="0" collapsed="false">
      <c r="A114" s="0" t="s">
        <v>232</v>
      </c>
      <c r="B114" s="0" t="s">
        <v>241</v>
      </c>
      <c r="C114" s="0" t="s">
        <v>242</v>
      </c>
      <c r="D114" s="0" t="n">
        <v>2</v>
      </c>
      <c r="E114" s="6" t="n">
        <v>40790.5465277778</v>
      </c>
      <c r="F114" s="0" t="n">
        <v>1.45</v>
      </c>
      <c r="G114" s="0" t="n">
        <v>14335</v>
      </c>
      <c r="H114" s="0" t="s">
        <v>33</v>
      </c>
      <c r="I114" s="7" t="n">
        <f aca="false">IF(AND(LEFT(A114,1)&lt;&gt;"C",D114&gt;0,F114&gt;0),1,0)</f>
        <v>1</v>
      </c>
      <c r="J114" s="7" t="n">
        <f aca="false">IF(I114=1,D114*F114,0)</f>
        <v>2.9</v>
      </c>
      <c r="K114" s="7" t="n">
        <f aca="false">YEAR(E114)*100+MONTH(E114)</f>
        <v>201109</v>
      </c>
      <c r="L114" s="7" t="n">
        <f aca="false">IF(AND(A114&lt;&gt;A113,LEFT(A114,1)&lt;&gt;"C"),1,0)</f>
        <v>0</v>
      </c>
    </row>
    <row r="115" customFormat="false" ht="15" hidden="false" customHeight="false" outlineLevel="0" collapsed="false">
      <c r="A115" s="0" t="s">
        <v>232</v>
      </c>
      <c r="B115" s="0" t="s">
        <v>243</v>
      </c>
      <c r="C115" s="0" t="s">
        <v>244</v>
      </c>
      <c r="D115" s="0" t="n">
        <v>5</v>
      </c>
      <c r="E115" s="6" t="n">
        <v>40790.5465277778</v>
      </c>
      <c r="F115" s="0" t="n">
        <v>3.25</v>
      </c>
      <c r="G115" s="0" t="n">
        <v>14335</v>
      </c>
      <c r="H115" s="0" t="s">
        <v>33</v>
      </c>
      <c r="I115" s="7" t="n">
        <f aca="false">IF(AND(LEFT(A115,1)&lt;&gt;"C",D115&gt;0,F115&gt;0),1,0)</f>
        <v>1</v>
      </c>
      <c r="J115" s="7" t="n">
        <f aca="false">IF(I115=1,D115*F115,0)</f>
        <v>16.25</v>
      </c>
      <c r="K115" s="7" t="n">
        <f aca="false">YEAR(E115)*100+MONTH(E115)</f>
        <v>201109</v>
      </c>
      <c r="L115" s="7" t="n">
        <f aca="false">IF(AND(A115&lt;&gt;A114,LEFT(A115,1)&lt;&gt;"C"),1,0)</f>
        <v>0</v>
      </c>
    </row>
    <row r="116" customFormat="false" ht="15" hidden="false" customHeight="false" outlineLevel="0" collapsed="false">
      <c r="A116" s="0" t="s">
        <v>232</v>
      </c>
      <c r="B116" s="0" t="s">
        <v>245</v>
      </c>
      <c r="C116" s="0" t="s">
        <v>246</v>
      </c>
      <c r="D116" s="0" t="n">
        <v>25</v>
      </c>
      <c r="E116" s="6" t="n">
        <v>40790.5465277778</v>
      </c>
      <c r="F116" s="0" t="n">
        <v>0.42</v>
      </c>
      <c r="G116" s="0" t="n">
        <v>14335</v>
      </c>
      <c r="H116" s="0" t="s">
        <v>33</v>
      </c>
      <c r="I116" s="7" t="n">
        <f aca="false">IF(AND(LEFT(A116,1)&lt;&gt;"C",D116&gt;0,F116&gt;0),1,0)</f>
        <v>1</v>
      </c>
      <c r="J116" s="7" t="n">
        <f aca="false">IF(I116=1,D116*F116,0)</f>
        <v>10.5</v>
      </c>
      <c r="K116" s="7" t="n">
        <f aca="false">YEAR(E116)*100+MONTH(E116)</f>
        <v>201109</v>
      </c>
      <c r="L116" s="7" t="n">
        <f aca="false">IF(AND(A116&lt;&gt;A115,LEFT(A116,1)&lt;&gt;"C"),1,0)</f>
        <v>0</v>
      </c>
    </row>
    <row r="117" customFormat="false" ht="15" hidden="false" customHeight="false" outlineLevel="0" collapsed="false">
      <c r="A117" s="0" t="s">
        <v>232</v>
      </c>
      <c r="B117" s="0" t="s">
        <v>247</v>
      </c>
      <c r="C117" s="0" t="s">
        <v>248</v>
      </c>
      <c r="D117" s="0" t="n">
        <v>25</v>
      </c>
      <c r="E117" s="6" t="n">
        <v>40790.5465277778</v>
      </c>
      <c r="F117" s="0" t="n">
        <v>0.42</v>
      </c>
      <c r="G117" s="0" t="n">
        <v>14335</v>
      </c>
      <c r="H117" s="0" t="s">
        <v>33</v>
      </c>
      <c r="I117" s="7" t="n">
        <f aca="false">IF(AND(LEFT(A117,1)&lt;&gt;"C",D117&gt;0,F117&gt;0),1,0)</f>
        <v>1</v>
      </c>
      <c r="J117" s="7" t="n">
        <f aca="false">IF(I117=1,D117*F117,0)</f>
        <v>10.5</v>
      </c>
      <c r="K117" s="7" t="n">
        <f aca="false">YEAR(E117)*100+MONTH(E117)</f>
        <v>201109</v>
      </c>
      <c r="L117" s="7" t="n">
        <f aca="false">IF(AND(A117&lt;&gt;A116,LEFT(A117,1)&lt;&gt;"C"),1,0)</f>
        <v>0</v>
      </c>
    </row>
    <row r="118" customFormat="false" ht="15" hidden="false" customHeight="false" outlineLevel="0" collapsed="false">
      <c r="A118" s="0" t="s">
        <v>232</v>
      </c>
      <c r="B118" s="0" t="s">
        <v>249</v>
      </c>
      <c r="C118" s="0" t="s">
        <v>250</v>
      </c>
      <c r="D118" s="0" t="n">
        <v>25</v>
      </c>
      <c r="E118" s="6" t="n">
        <v>40790.5465277778</v>
      </c>
      <c r="F118" s="0" t="n">
        <v>0.42</v>
      </c>
      <c r="G118" s="0" t="n">
        <v>14335</v>
      </c>
      <c r="H118" s="0" t="s">
        <v>33</v>
      </c>
      <c r="I118" s="7" t="n">
        <f aca="false">IF(AND(LEFT(A118,1)&lt;&gt;"C",D118&gt;0,F118&gt;0),1,0)</f>
        <v>1</v>
      </c>
      <c r="J118" s="7" t="n">
        <f aca="false">IF(I118=1,D118*F118,0)</f>
        <v>10.5</v>
      </c>
      <c r="K118" s="7" t="n">
        <f aca="false">YEAR(E118)*100+MONTH(E118)</f>
        <v>201109</v>
      </c>
      <c r="L118" s="7" t="n">
        <f aca="false">IF(AND(A118&lt;&gt;A117,LEFT(A118,1)&lt;&gt;"C"),1,0)</f>
        <v>0</v>
      </c>
    </row>
    <row r="119" customFormat="false" ht="15" hidden="false" customHeight="false" outlineLevel="0" collapsed="false">
      <c r="A119" s="0" t="s">
        <v>232</v>
      </c>
      <c r="B119" s="0" t="s">
        <v>251</v>
      </c>
      <c r="C119" s="0" t="s">
        <v>252</v>
      </c>
      <c r="D119" s="0" t="n">
        <v>25</v>
      </c>
      <c r="E119" s="6" t="n">
        <v>40790.5465277778</v>
      </c>
      <c r="F119" s="0" t="n">
        <v>0.42</v>
      </c>
      <c r="G119" s="0" t="n">
        <v>14335</v>
      </c>
      <c r="H119" s="0" t="s">
        <v>33</v>
      </c>
      <c r="I119" s="7" t="n">
        <f aca="false">IF(AND(LEFT(A119,1)&lt;&gt;"C",D119&gt;0,F119&gt;0),1,0)</f>
        <v>1</v>
      </c>
      <c r="J119" s="7" t="n">
        <f aca="false">IF(I119=1,D119*F119,0)</f>
        <v>10.5</v>
      </c>
      <c r="K119" s="7" t="n">
        <f aca="false">YEAR(E119)*100+MONTH(E119)</f>
        <v>201109</v>
      </c>
      <c r="L119" s="7" t="n">
        <f aca="false">IF(AND(A119&lt;&gt;A118,LEFT(A119,1)&lt;&gt;"C"),1,0)</f>
        <v>0</v>
      </c>
    </row>
    <row r="120" customFormat="false" ht="15" hidden="false" customHeight="false" outlineLevel="0" collapsed="false">
      <c r="A120" s="0" t="s">
        <v>232</v>
      </c>
      <c r="B120" s="0" t="s">
        <v>253</v>
      </c>
      <c r="C120" s="0" t="s">
        <v>254</v>
      </c>
      <c r="D120" s="0" t="n">
        <v>25</v>
      </c>
      <c r="E120" s="6" t="n">
        <v>40790.5465277778</v>
      </c>
      <c r="F120" s="0" t="n">
        <v>0.42</v>
      </c>
      <c r="G120" s="0" t="n">
        <v>14335</v>
      </c>
      <c r="H120" s="0" t="s">
        <v>33</v>
      </c>
      <c r="I120" s="7" t="n">
        <f aca="false">IF(AND(LEFT(A120,1)&lt;&gt;"C",D120&gt;0,F120&gt;0),1,0)</f>
        <v>1</v>
      </c>
      <c r="J120" s="7" t="n">
        <f aca="false">IF(I120=1,D120*F120,0)</f>
        <v>10.5</v>
      </c>
      <c r="K120" s="7" t="n">
        <f aca="false">YEAR(E120)*100+MONTH(E120)</f>
        <v>201109</v>
      </c>
      <c r="L120" s="7" t="n">
        <f aca="false">IF(AND(A120&lt;&gt;A119,LEFT(A120,1)&lt;&gt;"C"),1,0)</f>
        <v>0</v>
      </c>
    </row>
    <row r="121" customFormat="false" ht="15" hidden="false" customHeight="false" outlineLevel="0" collapsed="false">
      <c r="A121" s="0" t="s">
        <v>232</v>
      </c>
      <c r="B121" s="0" t="s">
        <v>255</v>
      </c>
      <c r="C121" s="0" t="s">
        <v>256</v>
      </c>
      <c r="D121" s="0" t="n">
        <v>25</v>
      </c>
      <c r="E121" s="6" t="n">
        <v>40790.5465277778</v>
      </c>
      <c r="F121" s="0" t="n">
        <v>0.42</v>
      </c>
      <c r="G121" s="0" t="n">
        <v>14335</v>
      </c>
      <c r="H121" s="0" t="s">
        <v>33</v>
      </c>
      <c r="I121" s="7" t="n">
        <f aca="false">IF(AND(LEFT(A121,1)&lt;&gt;"C",D121&gt;0,F121&gt;0),1,0)</f>
        <v>1</v>
      </c>
      <c r="J121" s="7" t="n">
        <f aca="false">IF(I121=1,D121*F121,0)</f>
        <v>10.5</v>
      </c>
      <c r="K121" s="7" t="n">
        <f aca="false">YEAR(E121)*100+MONTH(E121)</f>
        <v>201109</v>
      </c>
      <c r="L121" s="7" t="n">
        <f aca="false">IF(AND(A121&lt;&gt;A120,LEFT(A121,1)&lt;&gt;"C"),1,0)</f>
        <v>0</v>
      </c>
    </row>
    <row r="122" customFormat="false" ht="15" hidden="false" customHeight="false" outlineLevel="0" collapsed="false">
      <c r="A122" s="0" t="s">
        <v>232</v>
      </c>
      <c r="B122" s="0" t="s">
        <v>257</v>
      </c>
      <c r="C122" s="0" t="s">
        <v>258</v>
      </c>
      <c r="D122" s="0" t="n">
        <v>2</v>
      </c>
      <c r="E122" s="6" t="n">
        <v>40790.5465277778</v>
      </c>
      <c r="F122" s="0" t="n">
        <v>2.55</v>
      </c>
      <c r="G122" s="0" t="n">
        <v>14335</v>
      </c>
      <c r="H122" s="0" t="s">
        <v>33</v>
      </c>
      <c r="I122" s="7" t="n">
        <f aca="false">IF(AND(LEFT(A122,1)&lt;&gt;"C",D122&gt;0,F122&gt;0),1,0)</f>
        <v>1</v>
      </c>
      <c r="J122" s="7" t="n">
        <f aca="false">IF(I122=1,D122*F122,0)</f>
        <v>5.1</v>
      </c>
      <c r="K122" s="7" t="n">
        <f aca="false">YEAR(E122)*100+MONTH(E122)</f>
        <v>201109</v>
      </c>
      <c r="L122" s="7" t="n">
        <f aca="false">IF(AND(A122&lt;&gt;A121,LEFT(A122,1)&lt;&gt;"C"),1,0)</f>
        <v>0</v>
      </c>
    </row>
    <row r="123" customFormat="false" ht="15" hidden="false" customHeight="false" outlineLevel="0" collapsed="false">
      <c r="A123" s="0" t="s">
        <v>232</v>
      </c>
      <c r="B123" s="0" t="s">
        <v>259</v>
      </c>
      <c r="C123" s="0" t="s">
        <v>260</v>
      </c>
      <c r="D123" s="0" t="n">
        <v>6</v>
      </c>
      <c r="E123" s="6" t="n">
        <v>40790.5465277778</v>
      </c>
      <c r="F123" s="0" t="n">
        <v>1.25</v>
      </c>
      <c r="G123" s="0" t="n">
        <v>14335</v>
      </c>
      <c r="H123" s="0" t="s">
        <v>33</v>
      </c>
      <c r="I123" s="7" t="n">
        <f aca="false">IF(AND(LEFT(A123,1)&lt;&gt;"C",D123&gt;0,F123&gt;0),1,0)</f>
        <v>1</v>
      </c>
      <c r="J123" s="7" t="n">
        <f aca="false">IF(I123=1,D123*F123,0)</f>
        <v>7.5</v>
      </c>
      <c r="K123" s="7" t="n">
        <f aca="false">YEAR(E123)*100+MONTH(E123)</f>
        <v>201109</v>
      </c>
      <c r="L123" s="7" t="n">
        <f aca="false">IF(AND(A123&lt;&gt;A122,LEFT(A123,1)&lt;&gt;"C"),1,0)</f>
        <v>0</v>
      </c>
    </row>
    <row r="124" customFormat="false" ht="15" hidden="false" customHeight="false" outlineLevel="0" collapsed="false">
      <c r="A124" s="0" t="s">
        <v>232</v>
      </c>
      <c r="B124" s="0" t="s">
        <v>261</v>
      </c>
      <c r="C124" s="0" t="s">
        <v>262</v>
      </c>
      <c r="D124" s="0" t="n">
        <v>4</v>
      </c>
      <c r="E124" s="6" t="n">
        <v>40790.5465277778</v>
      </c>
      <c r="F124" s="0" t="n">
        <v>0.42</v>
      </c>
      <c r="G124" s="0" t="n">
        <v>14335</v>
      </c>
      <c r="H124" s="0" t="s">
        <v>33</v>
      </c>
      <c r="I124" s="7" t="n">
        <f aca="false">IF(AND(LEFT(A124,1)&lt;&gt;"C",D124&gt;0,F124&gt;0),1,0)</f>
        <v>1</v>
      </c>
      <c r="J124" s="7" t="n">
        <f aca="false">IF(I124=1,D124*F124,0)</f>
        <v>1.68</v>
      </c>
      <c r="K124" s="7" t="n">
        <f aca="false">YEAR(E124)*100+MONTH(E124)</f>
        <v>201109</v>
      </c>
      <c r="L124" s="7" t="n">
        <f aca="false">IF(AND(A124&lt;&gt;A123,LEFT(A124,1)&lt;&gt;"C"),1,0)</f>
        <v>0</v>
      </c>
    </row>
    <row r="125" customFormat="false" ht="15" hidden="false" customHeight="false" outlineLevel="0" collapsed="false">
      <c r="A125" s="0" t="s">
        <v>232</v>
      </c>
      <c r="B125" s="0" t="s">
        <v>263</v>
      </c>
      <c r="C125" s="0" t="s">
        <v>264</v>
      </c>
      <c r="D125" s="0" t="n">
        <v>5</v>
      </c>
      <c r="E125" s="6" t="n">
        <v>40790.5465277778</v>
      </c>
      <c r="F125" s="0" t="n">
        <v>0.42</v>
      </c>
      <c r="G125" s="0" t="n">
        <v>14335</v>
      </c>
      <c r="H125" s="0" t="s">
        <v>33</v>
      </c>
      <c r="I125" s="7" t="n">
        <f aca="false">IF(AND(LEFT(A125,1)&lt;&gt;"C",D125&gt;0,F125&gt;0),1,0)</f>
        <v>1</v>
      </c>
      <c r="J125" s="7" t="n">
        <f aca="false">IF(I125=1,D125*F125,0)</f>
        <v>2.1</v>
      </c>
      <c r="K125" s="7" t="n">
        <f aca="false">YEAR(E125)*100+MONTH(E125)</f>
        <v>201109</v>
      </c>
      <c r="L125" s="7" t="n">
        <f aca="false">IF(AND(A125&lt;&gt;A124,LEFT(A125,1)&lt;&gt;"C"),1,0)</f>
        <v>0</v>
      </c>
    </row>
    <row r="126" customFormat="false" ht="15" hidden="false" customHeight="false" outlineLevel="0" collapsed="false">
      <c r="A126" s="0" t="s">
        <v>232</v>
      </c>
      <c r="B126" s="0" t="s">
        <v>265</v>
      </c>
      <c r="C126" s="0" t="s">
        <v>266</v>
      </c>
      <c r="D126" s="0" t="n">
        <v>12</v>
      </c>
      <c r="E126" s="6" t="n">
        <v>40790.5465277778</v>
      </c>
      <c r="F126" s="0" t="n">
        <v>0.42</v>
      </c>
      <c r="G126" s="0" t="n">
        <v>14335</v>
      </c>
      <c r="H126" s="0" t="s">
        <v>33</v>
      </c>
      <c r="I126" s="7" t="n">
        <f aca="false">IF(AND(LEFT(A126,1)&lt;&gt;"C",D126&gt;0,F126&gt;0),1,0)</f>
        <v>1</v>
      </c>
      <c r="J126" s="7" t="n">
        <f aca="false">IF(I126=1,D126*F126,0)</f>
        <v>5.04</v>
      </c>
      <c r="K126" s="7" t="n">
        <f aca="false">YEAR(E126)*100+MONTH(E126)</f>
        <v>201109</v>
      </c>
      <c r="L126" s="7" t="n">
        <f aca="false">IF(AND(A126&lt;&gt;A125,LEFT(A126,1)&lt;&gt;"C"),1,0)</f>
        <v>0</v>
      </c>
    </row>
    <row r="127" customFormat="false" ht="15" hidden="false" customHeight="false" outlineLevel="0" collapsed="false">
      <c r="A127" s="0" t="s">
        <v>232</v>
      </c>
      <c r="B127" s="0" t="s">
        <v>267</v>
      </c>
      <c r="C127" s="0" t="s">
        <v>268</v>
      </c>
      <c r="D127" s="0" t="n">
        <v>4</v>
      </c>
      <c r="E127" s="6" t="n">
        <v>40790.5465277778</v>
      </c>
      <c r="F127" s="0" t="n">
        <v>4.25</v>
      </c>
      <c r="G127" s="0" t="n">
        <v>14335</v>
      </c>
      <c r="H127" s="0" t="s">
        <v>33</v>
      </c>
      <c r="I127" s="7" t="n">
        <f aca="false">IF(AND(LEFT(A127,1)&lt;&gt;"C",D127&gt;0,F127&gt;0),1,0)</f>
        <v>1</v>
      </c>
      <c r="J127" s="7" t="n">
        <f aca="false">IF(I127=1,D127*F127,0)</f>
        <v>17</v>
      </c>
      <c r="K127" s="7" t="n">
        <f aca="false">YEAR(E127)*100+MONTH(E127)</f>
        <v>201109</v>
      </c>
      <c r="L127" s="7" t="n">
        <f aca="false">IF(AND(A127&lt;&gt;A126,LEFT(A127,1)&lt;&gt;"C"),1,0)</f>
        <v>0</v>
      </c>
    </row>
    <row r="128" customFormat="false" ht="15" hidden="false" customHeight="false" outlineLevel="0" collapsed="false">
      <c r="A128" s="0" t="s">
        <v>232</v>
      </c>
      <c r="B128" s="0" t="s">
        <v>269</v>
      </c>
      <c r="C128" s="0" t="s">
        <v>270</v>
      </c>
      <c r="D128" s="0" t="n">
        <v>3</v>
      </c>
      <c r="E128" s="6" t="n">
        <v>40790.5465277778</v>
      </c>
      <c r="F128" s="0" t="n">
        <v>4.25</v>
      </c>
      <c r="G128" s="0" t="n">
        <v>14335</v>
      </c>
      <c r="H128" s="0" t="s">
        <v>33</v>
      </c>
      <c r="I128" s="7" t="n">
        <f aca="false">IF(AND(LEFT(A128,1)&lt;&gt;"C",D128&gt;0,F128&gt;0),1,0)</f>
        <v>1</v>
      </c>
      <c r="J128" s="7" t="n">
        <f aca="false">IF(I128=1,D128*F128,0)</f>
        <v>12.75</v>
      </c>
      <c r="K128" s="7" t="n">
        <f aca="false">YEAR(E128)*100+MONTH(E128)</f>
        <v>201109</v>
      </c>
      <c r="L128" s="7" t="n">
        <f aca="false">IF(AND(A128&lt;&gt;A127,LEFT(A128,1)&lt;&gt;"C"),1,0)</f>
        <v>0</v>
      </c>
    </row>
    <row r="129" customFormat="false" ht="15" hidden="false" customHeight="false" outlineLevel="0" collapsed="false">
      <c r="A129" s="0" t="s">
        <v>232</v>
      </c>
      <c r="B129" s="0" t="s">
        <v>271</v>
      </c>
      <c r="C129" s="0" t="s">
        <v>272</v>
      </c>
      <c r="D129" s="0" t="n">
        <v>1</v>
      </c>
      <c r="E129" s="6" t="n">
        <v>40790.5465277778</v>
      </c>
      <c r="F129" s="0" t="n">
        <v>4.25</v>
      </c>
      <c r="G129" s="0" t="n">
        <v>14335</v>
      </c>
      <c r="H129" s="0" t="s">
        <v>33</v>
      </c>
      <c r="I129" s="7" t="n">
        <f aca="false">IF(AND(LEFT(A129,1)&lt;&gt;"C",D129&gt;0,F129&gt;0),1,0)</f>
        <v>1</v>
      </c>
      <c r="J129" s="7" t="n">
        <f aca="false">IF(I129=1,D129*F129,0)</f>
        <v>4.25</v>
      </c>
      <c r="K129" s="7" t="n">
        <f aca="false">YEAR(E129)*100+MONTH(E129)</f>
        <v>201109</v>
      </c>
      <c r="L129" s="7" t="n">
        <f aca="false">IF(AND(A129&lt;&gt;A128,LEFT(A129,1)&lt;&gt;"C"),1,0)</f>
        <v>0</v>
      </c>
    </row>
    <row r="130" customFormat="false" ht="15" hidden="false" customHeight="false" outlineLevel="0" collapsed="false">
      <c r="A130" s="0" t="s">
        <v>232</v>
      </c>
      <c r="B130" s="0" t="s">
        <v>271</v>
      </c>
      <c r="C130" s="0" t="s">
        <v>272</v>
      </c>
      <c r="D130" s="0" t="n">
        <v>1</v>
      </c>
      <c r="E130" s="6" t="n">
        <v>40790.5465277778</v>
      </c>
      <c r="F130" s="0" t="n">
        <v>4.25</v>
      </c>
      <c r="G130" s="0" t="n">
        <v>14335</v>
      </c>
      <c r="H130" s="0" t="s">
        <v>33</v>
      </c>
      <c r="I130" s="7" t="n">
        <f aca="false">IF(AND(LEFT(A130,1)&lt;&gt;"C",D130&gt;0,F130&gt;0),1,0)</f>
        <v>1</v>
      </c>
      <c r="J130" s="7" t="n">
        <f aca="false">IF(I130=1,D130*F130,0)</f>
        <v>4.25</v>
      </c>
      <c r="K130" s="7" t="n">
        <f aca="false">YEAR(E130)*100+MONTH(E130)</f>
        <v>201109</v>
      </c>
      <c r="L130" s="7" t="n">
        <f aca="false">IF(AND(A130&lt;&gt;A129,LEFT(A130,1)&lt;&gt;"C"),1,0)</f>
        <v>0</v>
      </c>
    </row>
    <row r="131" customFormat="false" ht="15" hidden="false" customHeight="false" outlineLevel="0" collapsed="false">
      <c r="A131" s="0" t="s">
        <v>232</v>
      </c>
      <c r="B131" s="0" t="s">
        <v>66</v>
      </c>
      <c r="C131" s="0" t="s">
        <v>67</v>
      </c>
      <c r="D131" s="0" t="n">
        <v>3</v>
      </c>
      <c r="E131" s="6" t="n">
        <v>40790.5465277778</v>
      </c>
      <c r="F131" s="0" t="n">
        <v>2.95</v>
      </c>
      <c r="G131" s="0" t="n">
        <v>14335</v>
      </c>
      <c r="H131" s="0" t="s">
        <v>33</v>
      </c>
      <c r="I131" s="7" t="n">
        <f aca="false">IF(AND(LEFT(A131,1)&lt;&gt;"C",D131&gt;0,F131&gt;0),1,0)</f>
        <v>1</v>
      </c>
      <c r="J131" s="7" t="n">
        <f aca="false">IF(I131=1,D131*F131,0)</f>
        <v>8.85</v>
      </c>
      <c r="K131" s="7" t="n">
        <f aca="false">YEAR(E131)*100+MONTH(E131)</f>
        <v>201109</v>
      </c>
      <c r="L131" s="7" t="n">
        <f aca="false">IF(AND(A131&lt;&gt;A130,LEFT(A131,1)&lt;&gt;"C"),1,0)</f>
        <v>0</v>
      </c>
    </row>
    <row r="132" customFormat="false" ht="15" hidden="false" customHeight="false" outlineLevel="0" collapsed="false">
      <c r="A132" s="0" t="s">
        <v>232</v>
      </c>
      <c r="B132" s="0" t="s">
        <v>273</v>
      </c>
      <c r="C132" s="0" t="s">
        <v>274</v>
      </c>
      <c r="D132" s="0" t="n">
        <v>1</v>
      </c>
      <c r="E132" s="6" t="n">
        <v>40790.5465277778</v>
      </c>
      <c r="F132" s="0" t="n">
        <v>4.95</v>
      </c>
      <c r="G132" s="0" t="n">
        <v>14335</v>
      </c>
      <c r="H132" s="0" t="s">
        <v>33</v>
      </c>
      <c r="I132" s="7" t="n">
        <f aca="false">IF(AND(LEFT(A132,1)&lt;&gt;"C",D132&gt;0,F132&gt;0),1,0)</f>
        <v>1</v>
      </c>
      <c r="J132" s="7" t="n">
        <f aca="false">IF(I132=1,D132*F132,0)</f>
        <v>4.95</v>
      </c>
      <c r="K132" s="7" t="n">
        <f aca="false">YEAR(E132)*100+MONTH(E132)</f>
        <v>201109</v>
      </c>
      <c r="L132" s="7" t="n">
        <f aca="false">IF(AND(A132&lt;&gt;A131,LEFT(A132,1)&lt;&gt;"C"),1,0)</f>
        <v>0</v>
      </c>
    </row>
    <row r="133" customFormat="false" ht="15" hidden="false" customHeight="false" outlineLevel="0" collapsed="false">
      <c r="A133" s="0" t="s">
        <v>232</v>
      </c>
      <c r="B133" s="0" t="s">
        <v>275</v>
      </c>
      <c r="C133" s="0" t="s">
        <v>276</v>
      </c>
      <c r="D133" s="0" t="n">
        <v>48</v>
      </c>
      <c r="E133" s="6" t="n">
        <v>40790.5465277778</v>
      </c>
      <c r="F133" s="0" t="n">
        <v>0.42</v>
      </c>
      <c r="G133" s="0" t="n">
        <v>14335</v>
      </c>
      <c r="H133" s="0" t="s">
        <v>33</v>
      </c>
      <c r="I133" s="7" t="n">
        <f aca="false">IF(AND(LEFT(A133,1)&lt;&gt;"C",D133&gt;0,F133&gt;0),1,0)</f>
        <v>1</v>
      </c>
      <c r="J133" s="7" t="n">
        <f aca="false">IF(I133=1,D133*F133,0)</f>
        <v>20.16</v>
      </c>
      <c r="K133" s="7" t="n">
        <f aca="false">YEAR(E133)*100+MONTH(E133)</f>
        <v>201109</v>
      </c>
      <c r="L133" s="7" t="n">
        <f aca="false">IF(AND(A133&lt;&gt;A132,LEFT(A133,1)&lt;&gt;"C"),1,0)</f>
        <v>0</v>
      </c>
    </row>
    <row r="134" customFormat="false" ht="15" hidden="false" customHeight="false" outlineLevel="0" collapsed="false">
      <c r="A134" s="0" t="s">
        <v>232</v>
      </c>
      <c r="B134" s="0" t="s">
        <v>277</v>
      </c>
      <c r="C134" s="0" t="s">
        <v>278</v>
      </c>
      <c r="D134" s="0" t="n">
        <v>12</v>
      </c>
      <c r="E134" s="6" t="n">
        <v>40790.5465277778</v>
      </c>
      <c r="F134" s="0" t="n">
        <v>1.65</v>
      </c>
      <c r="G134" s="0" t="n">
        <v>14335</v>
      </c>
      <c r="H134" s="0" t="s">
        <v>33</v>
      </c>
      <c r="I134" s="7" t="n">
        <f aca="false">IF(AND(LEFT(A134,1)&lt;&gt;"C",D134&gt;0,F134&gt;0),1,0)</f>
        <v>1</v>
      </c>
      <c r="J134" s="7" t="n">
        <f aca="false">IF(I134=1,D134*F134,0)</f>
        <v>19.8</v>
      </c>
      <c r="K134" s="7" t="n">
        <f aca="false">YEAR(E134)*100+MONTH(E134)</f>
        <v>201109</v>
      </c>
      <c r="L134" s="7" t="n">
        <f aca="false">IF(AND(A134&lt;&gt;A133,LEFT(A134,1)&lt;&gt;"C"),1,0)</f>
        <v>0</v>
      </c>
    </row>
    <row r="135" customFormat="false" ht="15" hidden="false" customHeight="false" outlineLevel="0" collapsed="false">
      <c r="A135" s="0" t="s">
        <v>232</v>
      </c>
      <c r="B135" s="0" t="s">
        <v>279</v>
      </c>
      <c r="C135" s="0" t="s">
        <v>280</v>
      </c>
      <c r="D135" s="0" t="n">
        <v>1</v>
      </c>
      <c r="E135" s="6" t="n">
        <v>40790.5465277778</v>
      </c>
      <c r="F135" s="0" t="n">
        <v>0.85</v>
      </c>
      <c r="G135" s="0" t="n">
        <v>14335</v>
      </c>
      <c r="H135" s="0" t="s">
        <v>33</v>
      </c>
      <c r="I135" s="7" t="n">
        <f aca="false">IF(AND(LEFT(A135,1)&lt;&gt;"C",D135&gt;0,F135&gt;0),1,0)</f>
        <v>1</v>
      </c>
      <c r="J135" s="7" t="n">
        <f aca="false">IF(I135=1,D135*F135,0)</f>
        <v>0.85</v>
      </c>
      <c r="K135" s="7" t="n">
        <f aca="false">YEAR(E135)*100+MONTH(E135)</f>
        <v>201109</v>
      </c>
      <c r="L135" s="7" t="n">
        <f aca="false">IF(AND(A135&lt;&gt;A134,LEFT(A135,1)&lt;&gt;"C"),1,0)</f>
        <v>0</v>
      </c>
    </row>
    <row r="136" customFormat="false" ht="15" hidden="false" customHeight="false" outlineLevel="0" collapsed="false">
      <c r="A136" s="0" t="s">
        <v>232</v>
      </c>
      <c r="B136" s="0" t="s">
        <v>281</v>
      </c>
      <c r="C136" s="0" t="s">
        <v>282</v>
      </c>
      <c r="D136" s="0" t="n">
        <v>2</v>
      </c>
      <c r="E136" s="6" t="n">
        <v>40790.5465277778</v>
      </c>
      <c r="F136" s="0" t="n">
        <v>1.45</v>
      </c>
      <c r="G136" s="0" t="n">
        <v>14335</v>
      </c>
      <c r="H136" s="0" t="s">
        <v>33</v>
      </c>
      <c r="I136" s="7" t="n">
        <f aca="false">IF(AND(LEFT(A136,1)&lt;&gt;"C",D136&gt;0,F136&gt;0),1,0)</f>
        <v>1</v>
      </c>
      <c r="J136" s="7" t="n">
        <f aca="false">IF(I136=1,D136*F136,0)</f>
        <v>2.9</v>
      </c>
      <c r="K136" s="7" t="n">
        <f aca="false">YEAR(E136)*100+MONTH(E136)</f>
        <v>201109</v>
      </c>
      <c r="L136" s="7" t="n">
        <f aca="false">IF(AND(A136&lt;&gt;A135,LEFT(A136,1)&lt;&gt;"C"),1,0)</f>
        <v>0</v>
      </c>
    </row>
    <row r="137" customFormat="false" ht="15" hidden="false" customHeight="false" outlineLevel="0" collapsed="false">
      <c r="A137" s="0" t="s">
        <v>232</v>
      </c>
      <c r="B137" s="0" t="s">
        <v>283</v>
      </c>
      <c r="C137" s="0" t="s">
        <v>284</v>
      </c>
      <c r="D137" s="0" t="n">
        <v>2</v>
      </c>
      <c r="E137" s="6" t="n">
        <v>40790.5465277778</v>
      </c>
      <c r="F137" s="0" t="n">
        <v>1.45</v>
      </c>
      <c r="G137" s="0" t="n">
        <v>14335</v>
      </c>
      <c r="H137" s="0" t="s">
        <v>33</v>
      </c>
      <c r="I137" s="7" t="n">
        <f aca="false">IF(AND(LEFT(A137,1)&lt;&gt;"C",D137&gt;0,F137&gt;0),1,0)</f>
        <v>1</v>
      </c>
      <c r="J137" s="7" t="n">
        <f aca="false">IF(I137=1,D137*F137,0)</f>
        <v>2.9</v>
      </c>
      <c r="K137" s="7" t="n">
        <f aca="false">YEAR(E137)*100+MONTH(E137)</f>
        <v>201109</v>
      </c>
      <c r="L137" s="7" t="n">
        <f aca="false">IF(AND(A137&lt;&gt;A136,LEFT(A137,1)&lt;&gt;"C"),1,0)</f>
        <v>0</v>
      </c>
    </row>
    <row r="138" customFormat="false" ht="15" hidden="false" customHeight="false" outlineLevel="0" collapsed="false">
      <c r="A138" s="0" t="s">
        <v>232</v>
      </c>
      <c r="B138" s="0" t="s">
        <v>285</v>
      </c>
      <c r="C138" s="0" t="s">
        <v>286</v>
      </c>
      <c r="D138" s="0" t="n">
        <v>1</v>
      </c>
      <c r="E138" s="6" t="n">
        <v>40790.5465277778</v>
      </c>
      <c r="F138" s="0" t="n">
        <v>8.5</v>
      </c>
      <c r="G138" s="0" t="n">
        <v>14335</v>
      </c>
      <c r="H138" s="0" t="s">
        <v>33</v>
      </c>
      <c r="I138" s="7" t="n">
        <f aca="false">IF(AND(LEFT(A138,1)&lt;&gt;"C",D138&gt;0,F138&gt;0),1,0)</f>
        <v>1</v>
      </c>
      <c r="J138" s="7" t="n">
        <f aca="false">IF(I138=1,D138*F138,0)</f>
        <v>8.5</v>
      </c>
      <c r="K138" s="7" t="n">
        <f aca="false">YEAR(E138)*100+MONTH(E138)</f>
        <v>201109</v>
      </c>
      <c r="L138" s="7" t="n">
        <f aca="false">IF(AND(A138&lt;&gt;A137,LEFT(A138,1)&lt;&gt;"C"),1,0)</f>
        <v>0</v>
      </c>
    </row>
    <row r="139" customFormat="false" ht="15" hidden="false" customHeight="false" outlineLevel="0" collapsed="false">
      <c r="A139" s="0" t="s">
        <v>232</v>
      </c>
      <c r="B139" s="0" t="s">
        <v>287</v>
      </c>
      <c r="C139" s="0" t="s">
        <v>288</v>
      </c>
      <c r="D139" s="0" t="n">
        <v>2</v>
      </c>
      <c r="E139" s="6" t="n">
        <v>40790.5465277778</v>
      </c>
      <c r="F139" s="0" t="n">
        <v>4.25</v>
      </c>
      <c r="G139" s="0" t="n">
        <v>14335</v>
      </c>
      <c r="H139" s="0" t="s">
        <v>33</v>
      </c>
      <c r="I139" s="7" t="n">
        <f aca="false">IF(AND(LEFT(A139,1)&lt;&gt;"C",D139&gt;0,F139&gt;0),1,0)</f>
        <v>1</v>
      </c>
      <c r="J139" s="7" t="n">
        <f aca="false">IF(I139=1,D139*F139,0)</f>
        <v>8.5</v>
      </c>
      <c r="K139" s="7" t="n">
        <f aca="false">YEAR(E139)*100+MONTH(E139)</f>
        <v>201109</v>
      </c>
      <c r="L139" s="7" t="n">
        <f aca="false">IF(AND(A139&lt;&gt;A138,LEFT(A139,1)&lt;&gt;"C"),1,0)</f>
        <v>0</v>
      </c>
    </row>
    <row r="140" customFormat="false" ht="15" hidden="false" customHeight="false" outlineLevel="0" collapsed="false">
      <c r="A140" s="0" t="s">
        <v>232</v>
      </c>
      <c r="B140" s="0" t="s">
        <v>289</v>
      </c>
      <c r="C140" s="0" t="s">
        <v>290</v>
      </c>
      <c r="D140" s="0" t="n">
        <v>2</v>
      </c>
      <c r="E140" s="6" t="n">
        <v>40790.5465277778</v>
      </c>
      <c r="F140" s="0" t="n">
        <v>3.75</v>
      </c>
      <c r="G140" s="0" t="n">
        <v>14335</v>
      </c>
      <c r="H140" s="0" t="s">
        <v>33</v>
      </c>
      <c r="I140" s="7" t="n">
        <f aca="false">IF(AND(LEFT(A140,1)&lt;&gt;"C",D140&gt;0,F140&gt;0),1,0)</f>
        <v>1</v>
      </c>
      <c r="J140" s="7" t="n">
        <f aca="false">IF(I140=1,D140*F140,0)</f>
        <v>7.5</v>
      </c>
      <c r="K140" s="7" t="n">
        <f aca="false">YEAR(E140)*100+MONTH(E140)</f>
        <v>201109</v>
      </c>
      <c r="L140" s="7" t="n">
        <f aca="false">IF(AND(A140&lt;&gt;A139,LEFT(A140,1)&lt;&gt;"C"),1,0)</f>
        <v>0</v>
      </c>
    </row>
    <row r="141" customFormat="false" ht="15" hidden="false" customHeight="false" outlineLevel="0" collapsed="false">
      <c r="A141" s="0" t="s">
        <v>232</v>
      </c>
      <c r="B141" s="0" t="s">
        <v>291</v>
      </c>
      <c r="C141" s="0" t="s">
        <v>292</v>
      </c>
      <c r="D141" s="0" t="n">
        <v>5</v>
      </c>
      <c r="E141" s="6" t="n">
        <v>40790.5465277778</v>
      </c>
      <c r="F141" s="0" t="n">
        <v>1.65</v>
      </c>
      <c r="G141" s="0" t="n">
        <v>14335</v>
      </c>
      <c r="H141" s="0" t="s">
        <v>33</v>
      </c>
      <c r="I141" s="7" t="n">
        <f aca="false">IF(AND(LEFT(A141,1)&lt;&gt;"C",D141&gt;0,F141&gt;0),1,0)</f>
        <v>1</v>
      </c>
      <c r="J141" s="7" t="n">
        <f aca="false">IF(I141=1,D141*F141,0)</f>
        <v>8.25</v>
      </c>
      <c r="K141" s="7" t="n">
        <f aca="false">YEAR(E141)*100+MONTH(E141)</f>
        <v>201109</v>
      </c>
      <c r="L141" s="7" t="n">
        <f aca="false">IF(AND(A141&lt;&gt;A140,LEFT(A141,1)&lt;&gt;"C"),1,0)</f>
        <v>0</v>
      </c>
    </row>
    <row r="142" customFormat="false" ht="15" hidden="false" customHeight="false" outlineLevel="0" collapsed="false">
      <c r="A142" s="0" t="s">
        <v>232</v>
      </c>
      <c r="B142" s="0" t="s">
        <v>115</v>
      </c>
      <c r="C142" s="0" t="s">
        <v>116</v>
      </c>
      <c r="D142" s="0" t="n">
        <v>10</v>
      </c>
      <c r="E142" s="6" t="n">
        <v>40790.5465277778</v>
      </c>
      <c r="F142" s="0" t="n">
        <v>0.85</v>
      </c>
      <c r="G142" s="0" t="n">
        <v>14335</v>
      </c>
      <c r="H142" s="0" t="s">
        <v>33</v>
      </c>
      <c r="I142" s="7" t="n">
        <f aca="false">IF(AND(LEFT(A142,1)&lt;&gt;"C",D142&gt;0,F142&gt;0),1,0)</f>
        <v>1</v>
      </c>
      <c r="J142" s="7" t="n">
        <f aca="false">IF(I142=1,D142*F142,0)</f>
        <v>8.5</v>
      </c>
      <c r="K142" s="7" t="n">
        <f aca="false">YEAR(E142)*100+MONTH(E142)</f>
        <v>201109</v>
      </c>
      <c r="L142" s="7" t="n">
        <f aca="false">IF(AND(A142&lt;&gt;A141,LEFT(A142,1)&lt;&gt;"C"),1,0)</f>
        <v>0</v>
      </c>
    </row>
    <row r="143" customFormat="false" ht="15" hidden="false" customHeight="false" outlineLevel="0" collapsed="false">
      <c r="A143" s="0" t="s">
        <v>232</v>
      </c>
      <c r="B143" s="0" t="s">
        <v>293</v>
      </c>
      <c r="C143" s="0" t="s">
        <v>294</v>
      </c>
      <c r="D143" s="0" t="n">
        <v>2</v>
      </c>
      <c r="E143" s="6" t="n">
        <v>40790.5465277778</v>
      </c>
      <c r="F143" s="0" t="n">
        <v>8.5</v>
      </c>
      <c r="G143" s="0" t="n">
        <v>14335</v>
      </c>
      <c r="H143" s="0" t="s">
        <v>33</v>
      </c>
      <c r="I143" s="7" t="n">
        <f aca="false">IF(AND(LEFT(A143,1)&lt;&gt;"C",D143&gt;0,F143&gt;0),1,0)</f>
        <v>1</v>
      </c>
      <c r="J143" s="7" t="n">
        <f aca="false">IF(I143=1,D143*F143,0)</f>
        <v>17</v>
      </c>
      <c r="K143" s="7" t="n">
        <f aca="false">YEAR(E143)*100+MONTH(E143)</f>
        <v>201109</v>
      </c>
      <c r="L143" s="7" t="n">
        <f aca="false">IF(AND(A143&lt;&gt;A142,LEFT(A143,1)&lt;&gt;"C"),1,0)</f>
        <v>0</v>
      </c>
    </row>
    <row r="144" customFormat="false" ht="15" hidden="false" customHeight="false" outlineLevel="0" collapsed="false">
      <c r="A144" s="0" t="s">
        <v>232</v>
      </c>
      <c r="B144" s="0" t="s">
        <v>295</v>
      </c>
      <c r="C144" s="0" t="s">
        <v>296</v>
      </c>
      <c r="D144" s="0" t="n">
        <v>2</v>
      </c>
      <c r="E144" s="6" t="n">
        <v>40790.5465277778</v>
      </c>
      <c r="F144" s="0" t="n">
        <v>3.75</v>
      </c>
      <c r="G144" s="0" t="n">
        <v>14335</v>
      </c>
      <c r="H144" s="0" t="s">
        <v>33</v>
      </c>
      <c r="I144" s="7" t="n">
        <f aca="false">IF(AND(LEFT(A144,1)&lt;&gt;"C",D144&gt;0,F144&gt;0),1,0)</f>
        <v>1</v>
      </c>
      <c r="J144" s="7" t="n">
        <f aca="false">IF(I144=1,D144*F144,0)</f>
        <v>7.5</v>
      </c>
      <c r="K144" s="7" t="n">
        <f aca="false">YEAR(E144)*100+MONTH(E144)</f>
        <v>201109</v>
      </c>
      <c r="L144" s="7" t="n">
        <f aca="false">IF(AND(A144&lt;&gt;A143,LEFT(A144,1)&lt;&gt;"C"),1,0)</f>
        <v>0</v>
      </c>
    </row>
    <row r="145" customFormat="false" ht="15" hidden="false" customHeight="false" outlineLevel="0" collapsed="false">
      <c r="A145" s="0" t="s">
        <v>232</v>
      </c>
      <c r="B145" s="0" t="s">
        <v>295</v>
      </c>
      <c r="C145" s="0" t="s">
        <v>296</v>
      </c>
      <c r="D145" s="0" t="n">
        <v>2</v>
      </c>
      <c r="E145" s="6" t="n">
        <v>40790.5465277778</v>
      </c>
      <c r="F145" s="0" t="n">
        <v>3.75</v>
      </c>
      <c r="G145" s="0" t="n">
        <v>14335</v>
      </c>
      <c r="H145" s="0" t="s">
        <v>33</v>
      </c>
      <c r="I145" s="7" t="n">
        <f aca="false">IF(AND(LEFT(A145,1)&lt;&gt;"C",D145&gt;0,F145&gt;0),1,0)</f>
        <v>1</v>
      </c>
      <c r="J145" s="7" t="n">
        <f aca="false">IF(I145=1,D145*F145,0)</f>
        <v>7.5</v>
      </c>
      <c r="K145" s="7" t="n">
        <f aca="false">YEAR(E145)*100+MONTH(E145)</f>
        <v>201109</v>
      </c>
      <c r="L145" s="7" t="n">
        <f aca="false">IF(AND(A145&lt;&gt;A144,LEFT(A145,1)&lt;&gt;"C"),1,0)</f>
        <v>0</v>
      </c>
    </row>
    <row r="146" customFormat="false" ht="15" hidden="false" customHeight="false" outlineLevel="0" collapsed="false">
      <c r="A146" s="0" t="s">
        <v>232</v>
      </c>
      <c r="B146" s="0" t="s">
        <v>297</v>
      </c>
      <c r="C146" s="0" t="s">
        <v>298</v>
      </c>
      <c r="D146" s="0" t="n">
        <v>2</v>
      </c>
      <c r="E146" s="6" t="n">
        <v>40790.5465277778</v>
      </c>
      <c r="F146" s="0" t="n">
        <v>3.75</v>
      </c>
      <c r="G146" s="0" t="n">
        <v>14335</v>
      </c>
      <c r="H146" s="0" t="s">
        <v>33</v>
      </c>
      <c r="I146" s="7" t="n">
        <f aca="false">IF(AND(LEFT(A146,1)&lt;&gt;"C",D146&gt;0,F146&gt;0),1,0)</f>
        <v>1</v>
      </c>
      <c r="J146" s="7" t="n">
        <f aca="false">IF(I146=1,D146*F146,0)</f>
        <v>7.5</v>
      </c>
      <c r="K146" s="7" t="n">
        <f aca="false">YEAR(E146)*100+MONTH(E146)</f>
        <v>201109</v>
      </c>
      <c r="L146" s="7" t="n">
        <f aca="false">IF(AND(A146&lt;&gt;A145,LEFT(A146,1)&lt;&gt;"C"),1,0)</f>
        <v>0</v>
      </c>
    </row>
    <row r="147" customFormat="false" ht="15" hidden="false" customHeight="false" outlineLevel="0" collapsed="false">
      <c r="A147" s="0" t="s">
        <v>232</v>
      </c>
      <c r="B147" s="0" t="s">
        <v>299</v>
      </c>
      <c r="C147" s="0" t="s">
        <v>300</v>
      </c>
      <c r="D147" s="0" t="n">
        <v>2</v>
      </c>
      <c r="E147" s="6" t="n">
        <v>40790.5465277778</v>
      </c>
      <c r="F147" s="0" t="n">
        <v>3.75</v>
      </c>
      <c r="G147" s="0" t="n">
        <v>14335</v>
      </c>
      <c r="H147" s="0" t="s">
        <v>33</v>
      </c>
      <c r="I147" s="7" t="n">
        <f aca="false">IF(AND(LEFT(A147,1)&lt;&gt;"C",D147&gt;0,F147&gt;0),1,0)</f>
        <v>1</v>
      </c>
      <c r="J147" s="7" t="n">
        <f aca="false">IF(I147=1,D147*F147,0)</f>
        <v>7.5</v>
      </c>
      <c r="K147" s="7" t="n">
        <f aca="false">YEAR(E147)*100+MONTH(E147)</f>
        <v>201109</v>
      </c>
      <c r="L147" s="7" t="n">
        <f aca="false">IF(AND(A147&lt;&gt;A146,LEFT(A147,1)&lt;&gt;"C"),1,0)</f>
        <v>0</v>
      </c>
    </row>
    <row r="148" customFormat="false" ht="15" hidden="false" customHeight="false" outlineLevel="0" collapsed="false">
      <c r="A148" s="0" t="s">
        <v>232</v>
      </c>
      <c r="B148" s="0" t="s">
        <v>111</v>
      </c>
      <c r="C148" s="0" t="s">
        <v>112</v>
      </c>
      <c r="D148" s="0" t="n">
        <v>6</v>
      </c>
      <c r="E148" s="6" t="n">
        <v>40790.5465277778</v>
      </c>
      <c r="F148" s="0" t="n">
        <v>2.55</v>
      </c>
      <c r="G148" s="0" t="n">
        <v>14335</v>
      </c>
      <c r="H148" s="0" t="s">
        <v>33</v>
      </c>
      <c r="I148" s="7" t="n">
        <f aca="false">IF(AND(LEFT(A148,1)&lt;&gt;"C",D148&gt;0,F148&gt;0),1,0)</f>
        <v>1</v>
      </c>
      <c r="J148" s="7" t="n">
        <f aca="false">IF(I148=1,D148*F148,0)</f>
        <v>15.3</v>
      </c>
      <c r="K148" s="7" t="n">
        <f aca="false">YEAR(E148)*100+MONTH(E148)</f>
        <v>201109</v>
      </c>
      <c r="L148" s="7" t="n">
        <f aca="false">IF(AND(A148&lt;&gt;A147,LEFT(A148,1)&lt;&gt;"C"),1,0)</f>
        <v>0</v>
      </c>
    </row>
    <row r="149" customFormat="false" ht="15" hidden="false" customHeight="false" outlineLevel="0" collapsed="false">
      <c r="A149" s="0" t="s">
        <v>232</v>
      </c>
      <c r="B149" s="0" t="s">
        <v>301</v>
      </c>
      <c r="C149" s="0" t="s">
        <v>302</v>
      </c>
      <c r="D149" s="0" t="n">
        <v>6</v>
      </c>
      <c r="E149" s="6" t="n">
        <v>40790.5465277778</v>
      </c>
      <c r="F149" s="0" t="n">
        <v>2.55</v>
      </c>
      <c r="G149" s="0" t="n">
        <v>14335</v>
      </c>
      <c r="H149" s="0" t="s">
        <v>33</v>
      </c>
      <c r="I149" s="7" t="n">
        <f aca="false">IF(AND(LEFT(A149,1)&lt;&gt;"C",D149&gt;0,F149&gt;0),1,0)</f>
        <v>1</v>
      </c>
      <c r="J149" s="7" t="n">
        <f aca="false">IF(I149=1,D149*F149,0)</f>
        <v>15.3</v>
      </c>
      <c r="K149" s="7" t="n">
        <f aca="false">YEAR(E149)*100+MONTH(E149)</f>
        <v>201109</v>
      </c>
      <c r="L149" s="7" t="n">
        <f aca="false">IF(AND(A149&lt;&gt;A148,LEFT(A149,1)&lt;&gt;"C"),1,0)</f>
        <v>0</v>
      </c>
    </row>
    <row r="150" customFormat="false" ht="15" hidden="false" customHeight="false" outlineLevel="0" collapsed="false">
      <c r="A150" s="0" t="s">
        <v>232</v>
      </c>
      <c r="B150" s="0" t="s">
        <v>303</v>
      </c>
      <c r="C150" s="0" t="s">
        <v>304</v>
      </c>
      <c r="D150" s="0" t="n">
        <v>8</v>
      </c>
      <c r="E150" s="6" t="n">
        <v>40790.5465277778</v>
      </c>
      <c r="F150" s="0" t="n">
        <v>0.39</v>
      </c>
      <c r="G150" s="0" t="n">
        <v>14335</v>
      </c>
      <c r="H150" s="0" t="s">
        <v>33</v>
      </c>
      <c r="I150" s="7" t="n">
        <f aca="false">IF(AND(LEFT(A150,1)&lt;&gt;"C",D150&gt;0,F150&gt;0),1,0)</f>
        <v>1</v>
      </c>
      <c r="J150" s="7" t="n">
        <f aca="false">IF(I150=1,D150*F150,0)</f>
        <v>3.12</v>
      </c>
      <c r="K150" s="7" t="n">
        <f aca="false">YEAR(E150)*100+MONTH(E150)</f>
        <v>201109</v>
      </c>
      <c r="L150" s="7" t="n">
        <f aca="false">IF(AND(A150&lt;&gt;A149,LEFT(A150,1)&lt;&gt;"C"),1,0)</f>
        <v>0</v>
      </c>
    </row>
    <row r="151" customFormat="false" ht="15" hidden="false" customHeight="false" outlineLevel="0" collapsed="false">
      <c r="A151" s="0" t="s">
        <v>232</v>
      </c>
      <c r="B151" s="0" t="s">
        <v>305</v>
      </c>
      <c r="C151" s="0" t="s">
        <v>306</v>
      </c>
      <c r="D151" s="0" t="n">
        <v>10</v>
      </c>
      <c r="E151" s="6" t="n">
        <v>40790.5465277778</v>
      </c>
      <c r="F151" s="0" t="n">
        <v>0.39</v>
      </c>
      <c r="G151" s="0" t="n">
        <v>14335</v>
      </c>
      <c r="H151" s="0" t="s">
        <v>33</v>
      </c>
      <c r="I151" s="7" t="n">
        <f aca="false">IF(AND(LEFT(A151,1)&lt;&gt;"C",D151&gt;0,F151&gt;0),1,0)</f>
        <v>1</v>
      </c>
      <c r="J151" s="7" t="n">
        <f aca="false">IF(I151=1,D151*F151,0)</f>
        <v>3.9</v>
      </c>
      <c r="K151" s="7" t="n">
        <f aca="false">YEAR(E151)*100+MONTH(E151)</f>
        <v>201109</v>
      </c>
      <c r="L151" s="7" t="n">
        <f aca="false">IF(AND(A151&lt;&gt;A150,LEFT(A151,1)&lt;&gt;"C"),1,0)</f>
        <v>0</v>
      </c>
    </row>
    <row r="152" customFormat="false" ht="15" hidden="false" customHeight="false" outlineLevel="0" collapsed="false">
      <c r="A152" s="0" t="s">
        <v>307</v>
      </c>
      <c r="B152" s="0" t="s">
        <v>308</v>
      </c>
      <c r="C152" s="0" t="s">
        <v>309</v>
      </c>
      <c r="D152" s="0" t="n">
        <v>24</v>
      </c>
      <c r="E152" s="6" t="n">
        <v>40790.5875</v>
      </c>
      <c r="F152" s="0" t="n">
        <v>1.25</v>
      </c>
      <c r="G152" s="0" t="n">
        <v>12709</v>
      </c>
      <c r="H152" s="0" t="s">
        <v>33</v>
      </c>
      <c r="I152" s="7" t="n">
        <f aca="false">IF(AND(LEFT(A152,1)&lt;&gt;"C",D152&gt;0,F152&gt;0),1,0)</f>
        <v>1</v>
      </c>
      <c r="J152" s="7" t="n">
        <f aca="false">IF(I152=1,D152*F152,0)</f>
        <v>30</v>
      </c>
      <c r="K152" s="7" t="n">
        <f aca="false">YEAR(E152)*100+MONTH(E152)</f>
        <v>201109</v>
      </c>
      <c r="L152" s="7" t="n">
        <f aca="false">IF(AND(A152&lt;&gt;A151,LEFT(A152,1)&lt;&gt;"C"),1,0)</f>
        <v>1</v>
      </c>
    </row>
    <row r="153" customFormat="false" ht="15" hidden="false" customHeight="false" outlineLevel="0" collapsed="false">
      <c r="A153" s="0" t="s">
        <v>307</v>
      </c>
      <c r="B153" s="0" t="s">
        <v>310</v>
      </c>
      <c r="C153" s="0" t="s">
        <v>311</v>
      </c>
      <c r="D153" s="0" t="n">
        <v>12</v>
      </c>
      <c r="E153" s="6" t="n">
        <v>40790.5875</v>
      </c>
      <c r="F153" s="0" t="n">
        <v>4.95</v>
      </c>
      <c r="G153" s="0" t="n">
        <v>12709</v>
      </c>
      <c r="H153" s="0" t="s">
        <v>33</v>
      </c>
      <c r="I153" s="7" t="n">
        <f aca="false">IF(AND(LEFT(A153,1)&lt;&gt;"C",D153&gt;0,F153&gt;0),1,0)</f>
        <v>1</v>
      </c>
      <c r="J153" s="7" t="n">
        <f aca="false">IF(I153=1,D153*F153,0)</f>
        <v>59.4</v>
      </c>
      <c r="K153" s="7" t="n">
        <f aca="false">YEAR(E153)*100+MONTH(E153)</f>
        <v>201109</v>
      </c>
      <c r="L153" s="7" t="n">
        <f aca="false">IF(AND(A153&lt;&gt;A152,LEFT(A153,1)&lt;&gt;"C"),1,0)</f>
        <v>0</v>
      </c>
    </row>
    <row r="154" customFormat="false" ht="15" hidden="false" customHeight="false" outlineLevel="0" collapsed="false">
      <c r="A154" s="0" t="s">
        <v>307</v>
      </c>
      <c r="B154" s="0" t="s">
        <v>312</v>
      </c>
      <c r="C154" s="0" t="s">
        <v>313</v>
      </c>
      <c r="D154" s="0" t="n">
        <v>12</v>
      </c>
      <c r="E154" s="6" t="n">
        <v>40790.5875</v>
      </c>
      <c r="F154" s="0" t="n">
        <v>3.75</v>
      </c>
      <c r="G154" s="0" t="n">
        <v>12709</v>
      </c>
      <c r="H154" s="0" t="s">
        <v>33</v>
      </c>
      <c r="I154" s="7" t="n">
        <f aca="false">IF(AND(LEFT(A154,1)&lt;&gt;"C",D154&gt;0,F154&gt;0),1,0)</f>
        <v>1</v>
      </c>
      <c r="J154" s="7" t="n">
        <f aca="false">IF(I154=1,D154*F154,0)</f>
        <v>45</v>
      </c>
      <c r="K154" s="7" t="n">
        <f aca="false">YEAR(E154)*100+MONTH(E154)</f>
        <v>201109</v>
      </c>
      <c r="L154" s="7" t="n">
        <f aca="false">IF(AND(A154&lt;&gt;A153,LEFT(A154,1)&lt;&gt;"C"),1,0)</f>
        <v>0</v>
      </c>
    </row>
    <row r="155" customFormat="false" ht="15" hidden="false" customHeight="false" outlineLevel="0" collapsed="false">
      <c r="A155" s="0" t="s">
        <v>307</v>
      </c>
      <c r="B155" s="0" t="s">
        <v>314</v>
      </c>
      <c r="C155" s="0" t="s">
        <v>315</v>
      </c>
      <c r="D155" s="0" t="n">
        <v>24</v>
      </c>
      <c r="E155" s="6" t="n">
        <v>40790.5875</v>
      </c>
      <c r="F155" s="0" t="n">
        <v>1.45</v>
      </c>
      <c r="G155" s="0" t="n">
        <v>12709</v>
      </c>
      <c r="H155" s="0" t="s">
        <v>33</v>
      </c>
      <c r="I155" s="7" t="n">
        <f aca="false">IF(AND(LEFT(A155,1)&lt;&gt;"C",D155&gt;0,F155&gt;0),1,0)</f>
        <v>1</v>
      </c>
      <c r="J155" s="7" t="n">
        <f aca="false">IF(I155=1,D155*F155,0)</f>
        <v>34.8</v>
      </c>
      <c r="K155" s="7" t="n">
        <f aca="false">YEAR(E155)*100+MONTH(E155)</f>
        <v>201109</v>
      </c>
      <c r="L155" s="7" t="n">
        <f aca="false">IF(AND(A155&lt;&gt;A154,LEFT(A155,1)&lt;&gt;"C"),1,0)</f>
        <v>0</v>
      </c>
    </row>
    <row r="156" customFormat="false" ht="15" hidden="false" customHeight="false" outlineLevel="0" collapsed="false">
      <c r="A156" s="0" t="s">
        <v>307</v>
      </c>
      <c r="B156" s="0" t="s">
        <v>103</v>
      </c>
      <c r="C156" s="0" t="s">
        <v>104</v>
      </c>
      <c r="D156" s="0" t="n">
        <v>48</v>
      </c>
      <c r="E156" s="6" t="n">
        <v>40790.5875</v>
      </c>
      <c r="F156" s="0" t="n">
        <v>0.55</v>
      </c>
      <c r="G156" s="0" t="n">
        <v>12709</v>
      </c>
      <c r="H156" s="0" t="s">
        <v>33</v>
      </c>
      <c r="I156" s="7" t="n">
        <f aca="false">IF(AND(LEFT(A156,1)&lt;&gt;"C",D156&gt;0,F156&gt;0),1,0)</f>
        <v>1</v>
      </c>
      <c r="J156" s="7" t="n">
        <f aca="false">IF(I156=1,D156*F156,0)</f>
        <v>26.4</v>
      </c>
      <c r="K156" s="7" t="n">
        <f aca="false">YEAR(E156)*100+MONTH(E156)</f>
        <v>201109</v>
      </c>
      <c r="L156" s="7" t="n">
        <f aca="false">IF(AND(A156&lt;&gt;A155,LEFT(A156,1)&lt;&gt;"C"),1,0)</f>
        <v>0</v>
      </c>
    </row>
    <row r="157" customFormat="false" ht="15" hidden="false" customHeight="false" outlineLevel="0" collapsed="false">
      <c r="A157" s="0" t="s">
        <v>307</v>
      </c>
      <c r="B157" s="0" t="s">
        <v>140</v>
      </c>
      <c r="C157" s="0" t="s">
        <v>141</v>
      </c>
      <c r="D157" s="0" t="n">
        <v>12</v>
      </c>
      <c r="E157" s="6" t="n">
        <v>40790.5875</v>
      </c>
      <c r="F157" s="0" t="n">
        <v>1.45</v>
      </c>
      <c r="G157" s="0" t="n">
        <v>12709</v>
      </c>
      <c r="H157" s="0" t="s">
        <v>33</v>
      </c>
      <c r="I157" s="7" t="n">
        <f aca="false">IF(AND(LEFT(A157,1)&lt;&gt;"C",D157&gt;0,F157&gt;0),1,0)</f>
        <v>1</v>
      </c>
      <c r="J157" s="7" t="n">
        <f aca="false">IF(I157=1,D157*F157,0)</f>
        <v>17.4</v>
      </c>
      <c r="K157" s="7" t="n">
        <f aca="false">YEAR(E157)*100+MONTH(E157)</f>
        <v>201109</v>
      </c>
      <c r="L157" s="7" t="n">
        <f aca="false">IF(AND(A157&lt;&gt;A156,LEFT(A157,1)&lt;&gt;"C"),1,0)</f>
        <v>0</v>
      </c>
    </row>
    <row r="158" customFormat="false" ht="15" hidden="false" customHeight="false" outlineLevel="0" collapsed="false">
      <c r="A158" s="0" t="s">
        <v>307</v>
      </c>
      <c r="B158" s="0" t="s">
        <v>316</v>
      </c>
      <c r="C158" s="0" t="s">
        <v>317</v>
      </c>
      <c r="D158" s="0" t="n">
        <v>3</v>
      </c>
      <c r="E158" s="6" t="n">
        <v>40790.5875</v>
      </c>
      <c r="F158" s="0" t="n">
        <v>4.95</v>
      </c>
      <c r="G158" s="0" t="n">
        <v>12709</v>
      </c>
      <c r="H158" s="0" t="s">
        <v>33</v>
      </c>
      <c r="I158" s="7" t="n">
        <f aca="false">IF(AND(LEFT(A158,1)&lt;&gt;"C",D158&gt;0,F158&gt;0),1,0)</f>
        <v>1</v>
      </c>
      <c r="J158" s="7" t="n">
        <f aca="false">IF(I158=1,D158*F158,0)</f>
        <v>14.85</v>
      </c>
      <c r="K158" s="7" t="n">
        <f aca="false">YEAR(E158)*100+MONTH(E158)</f>
        <v>201109</v>
      </c>
      <c r="L158" s="7" t="n">
        <f aca="false">IF(AND(A158&lt;&gt;A157,LEFT(A158,1)&lt;&gt;"C"),1,0)</f>
        <v>0</v>
      </c>
    </row>
    <row r="159" customFormat="false" ht="15" hidden="false" customHeight="false" outlineLevel="0" collapsed="false">
      <c r="A159" s="0" t="s">
        <v>307</v>
      </c>
      <c r="B159" s="0" t="s">
        <v>318</v>
      </c>
      <c r="C159" s="0" t="s">
        <v>319</v>
      </c>
      <c r="D159" s="0" t="n">
        <v>4</v>
      </c>
      <c r="E159" s="6" t="n">
        <v>40790.5875</v>
      </c>
      <c r="F159" s="0" t="n">
        <v>3.75</v>
      </c>
      <c r="G159" s="0" t="n">
        <v>12709</v>
      </c>
      <c r="H159" s="0" t="s">
        <v>33</v>
      </c>
      <c r="I159" s="7" t="n">
        <f aca="false">IF(AND(LEFT(A159,1)&lt;&gt;"C",D159&gt;0,F159&gt;0),1,0)</f>
        <v>1</v>
      </c>
      <c r="J159" s="7" t="n">
        <f aca="false">IF(I159=1,D159*F159,0)</f>
        <v>15</v>
      </c>
      <c r="K159" s="7" t="n">
        <f aca="false">YEAR(E159)*100+MONTH(E159)</f>
        <v>201109</v>
      </c>
      <c r="L159" s="7" t="n">
        <f aca="false">IF(AND(A159&lt;&gt;A158,LEFT(A159,1)&lt;&gt;"C"),1,0)</f>
        <v>0</v>
      </c>
    </row>
    <row r="160" customFormat="false" ht="15" hidden="false" customHeight="false" outlineLevel="0" collapsed="false">
      <c r="A160" s="0" t="s">
        <v>307</v>
      </c>
      <c r="B160" s="0" t="s">
        <v>320</v>
      </c>
      <c r="C160" s="0" t="s">
        <v>321</v>
      </c>
      <c r="D160" s="0" t="n">
        <v>4</v>
      </c>
      <c r="E160" s="6" t="n">
        <v>40790.5875</v>
      </c>
      <c r="F160" s="0" t="n">
        <v>3.75</v>
      </c>
      <c r="G160" s="0" t="n">
        <v>12709</v>
      </c>
      <c r="H160" s="0" t="s">
        <v>33</v>
      </c>
      <c r="I160" s="7" t="n">
        <f aca="false">IF(AND(LEFT(A160,1)&lt;&gt;"C",D160&gt;0,F160&gt;0),1,0)</f>
        <v>1</v>
      </c>
      <c r="J160" s="7" t="n">
        <f aca="false">IF(I160=1,D160*F160,0)</f>
        <v>15</v>
      </c>
      <c r="K160" s="7" t="n">
        <f aca="false">YEAR(E160)*100+MONTH(E160)</f>
        <v>201109</v>
      </c>
      <c r="L160" s="7" t="n">
        <f aca="false">IF(AND(A160&lt;&gt;A159,LEFT(A160,1)&lt;&gt;"C"),1,0)</f>
        <v>0</v>
      </c>
    </row>
    <row r="161" customFormat="false" ht="15" hidden="false" customHeight="false" outlineLevel="0" collapsed="false">
      <c r="A161" s="0" t="s">
        <v>307</v>
      </c>
      <c r="B161" s="0" t="s">
        <v>297</v>
      </c>
      <c r="C161" s="0" t="s">
        <v>298</v>
      </c>
      <c r="D161" s="0" t="n">
        <v>4</v>
      </c>
      <c r="E161" s="6" t="n">
        <v>40790.5875</v>
      </c>
      <c r="F161" s="0" t="n">
        <v>3.75</v>
      </c>
      <c r="G161" s="0" t="n">
        <v>12709</v>
      </c>
      <c r="H161" s="0" t="s">
        <v>33</v>
      </c>
      <c r="I161" s="7" t="n">
        <f aca="false">IF(AND(LEFT(A161,1)&lt;&gt;"C",D161&gt;0,F161&gt;0),1,0)</f>
        <v>1</v>
      </c>
      <c r="J161" s="7" t="n">
        <f aca="false">IF(I161=1,D161*F161,0)</f>
        <v>15</v>
      </c>
      <c r="K161" s="7" t="n">
        <f aca="false">YEAR(E161)*100+MONTH(E161)</f>
        <v>201109</v>
      </c>
      <c r="L161" s="7" t="n">
        <f aca="false">IF(AND(A161&lt;&gt;A160,LEFT(A161,1)&lt;&gt;"C"),1,0)</f>
        <v>0</v>
      </c>
    </row>
    <row r="162" customFormat="false" ht="15" hidden="false" customHeight="false" outlineLevel="0" collapsed="false">
      <c r="A162" s="0" t="s">
        <v>307</v>
      </c>
      <c r="B162" s="0" t="s">
        <v>299</v>
      </c>
      <c r="C162" s="0" t="s">
        <v>300</v>
      </c>
      <c r="D162" s="0" t="n">
        <v>4</v>
      </c>
      <c r="E162" s="6" t="n">
        <v>40790.5875</v>
      </c>
      <c r="F162" s="0" t="n">
        <v>3.75</v>
      </c>
      <c r="G162" s="0" t="n">
        <v>12709</v>
      </c>
      <c r="H162" s="0" t="s">
        <v>33</v>
      </c>
      <c r="I162" s="7" t="n">
        <f aca="false">IF(AND(LEFT(A162,1)&lt;&gt;"C",D162&gt;0,F162&gt;0),1,0)</f>
        <v>1</v>
      </c>
      <c r="J162" s="7" t="n">
        <f aca="false">IF(I162=1,D162*F162,0)</f>
        <v>15</v>
      </c>
      <c r="K162" s="7" t="n">
        <f aca="false">YEAR(E162)*100+MONTH(E162)</f>
        <v>201109</v>
      </c>
      <c r="L162" s="7" t="n">
        <f aca="false">IF(AND(A162&lt;&gt;A161,LEFT(A162,1)&lt;&gt;"C"),1,0)</f>
        <v>0</v>
      </c>
    </row>
    <row r="163" customFormat="false" ht="15" hidden="false" customHeight="false" outlineLevel="0" collapsed="false">
      <c r="A163" s="0" t="s">
        <v>307</v>
      </c>
      <c r="B163" s="0" t="s">
        <v>322</v>
      </c>
      <c r="C163" s="0" t="s">
        <v>323</v>
      </c>
      <c r="D163" s="0" t="n">
        <v>4</v>
      </c>
      <c r="E163" s="6" t="n">
        <v>40790.5875</v>
      </c>
      <c r="F163" s="0" t="n">
        <v>3.75</v>
      </c>
      <c r="G163" s="0" t="n">
        <v>12709</v>
      </c>
      <c r="H163" s="0" t="s">
        <v>33</v>
      </c>
      <c r="I163" s="7" t="n">
        <f aca="false">IF(AND(LEFT(A163,1)&lt;&gt;"C",D163&gt;0,F163&gt;0),1,0)</f>
        <v>1</v>
      </c>
      <c r="J163" s="7" t="n">
        <f aca="false">IF(I163=1,D163*F163,0)</f>
        <v>15</v>
      </c>
      <c r="K163" s="7" t="n">
        <f aca="false">YEAR(E163)*100+MONTH(E163)</f>
        <v>201109</v>
      </c>
      <c r="L163" s="7" t="n">
        <f aca="false">IF(AND(A163&lt;&gt;A162,LEFT(A163,1)&lt;&gt;"C"),1,0)</f>
        <v>0</v>
      </c>
    </row>
    <row r="164" customFormat="false" ht="15" hidden="false" customHeight="false" outlineLevel="0" collapsed="false">
      <c r="A164" s="0" t="s">
        <v>307</v>
      </c>
      <c r="B164" s="0" t="s">
        <v>324</v>
      </c>
      <c r="C164" s="0" t="s">
        <v>325</v>
      </c>
      <c r="D164" s="0" t="n">
        <v>8</v>
      </c>
      <c r="E164" s="6" t="n">
        <v>40790.5875</v>
      </c>
      <c r="F164" s="0" t="n">
        <v>4.95</v>
      </c>
      <c r="G164" s="0" t="n">
        <v>12709</v>
      </c>
      <c r="H164" s="0" t="s">
        <v>33</v>
      </c>
      <c r="I164" s="7" t="n">
        <f aca="false">IF(AND(LEFT(A164,1)&lt;&gt;"C",D164&gt;0,F164&gt;0),1,0)</f>
        <v>1</v>
      </c>
      <c r="J164" s="7" t="n">
        <f aca="false">IF(I164=1,D164*F164,0)</f>
        <v>39.6</v>
      </c>
      <c r="K164" s="7" t="n">
        <f aca="false">YEAR(E164)*100+MONTH(E164)</f>
        <v>201109</v>
      </c>
      <c r="L164" s="7" t="n">
        <f aca="false">IF(AND(A164&lt;&gt;A163,LEFT(A164,1)&lt;&gt;"C"),1,0)</f>
        <v>0</v>
      </c>
    </row>
    <row r="165" customFormat="false" ht="15" hidden="false" customHeight="false" outlineLevel="0" collapsed="false">
      <c r="A165" s="0" t="s">
        <v>307</v>
      </c>
      <c r="B165" s="0" t="s">
        <v>326</v>
      </c>
      <c r="C165" s="0" t="s">
        <v>327</v>
      </c>
      <c r="D165" s="0" t="n">
        <v>10</v>
      </c>
      <c r="E165" s="6" t="n">
        <v>40790.5875</v>
      </c>
      <c r="F165" s="0" t="n">
        <v>8.5</v>
      </c>
      <c r="G165" s="0" t="n">
        <v>12709</v>
      </c>
      <c r="H165" s="0" t="s">
        <v>33</v>
      </c>
      <c r="I165" s="7" t="n">
        <f aca="false">IF(AND(LEFT(A165,1)&lt;&gt;"C",D165&gt;0,F165&gt;0),1,0)</f>
        <v>1</v>
      </c>
      <c r="J165" s="7" t="n">
        <f aca="false">IF(I165=1,D165*F165,0)</f>
        <v>85</v>
      </c>
      <c r="K165" s="7" t="n">
        <f aca="false">YEAR(E165)*100+MONTH(E165)</f>
        <v>201109</v>
      </c>
      <c r="L165" s="7" t="n">
        <f aca="false">IF(AND(A165&lt;&gt;A164,LEFT(A165,1)&lt;&gt;"C"),1,0)</f>
        <v>0</v>
      </c>
    </row>
    <row r="166" customFormat="false" ht="15" hidden="false" customHeight="false" outlineLevel="0" collapsed="false">
      <c r="A166" s="0" t="s">
        <v>307</v>
      </c>
      <c r="B166" s="0" t="s">
        <v>133</v>
      </c>
      <c r="C166" s="0" t="s">
        <v>134</v>
      </c>
      <c r="D166" s="0" t="n">
        <v>12</v>
      </c>
      <c r="E166" s="6" t="n">
        <v>40790.5875</v>
      </c>
      <c r="F166" s="0" t="n">
        <v>3.25</v>
      </c>
      <c r="G166" s="0" t="n">
        <v>12709</v>
      </c>
      <c r="H166" s="0" t="s">
        <v>33</v>
      </c>
      <c r="I166" s="7" t="n">
        <f aca="false">IF(AND(LEFT(A166,1)&lt;&gt;"C",D166&gt;0,F166&gt;0),1,0)</f>
        <v>1</v>
      </c>
      <c r="J166" s="7" t="n">
        <f aca="false">IF(I166=1,D166*F166,0)</f>
        <v>39</v>
      </c>
      <c r="K166" s="7" t="n">
        <f aca="false">YEAR(E166)*100+MONTH(E166)</f>
        <v>201109</v>
      </c>
      <c r="L166" s="7" t="n">
        <f aca="false">IF(AND(A166&lt;&gt;A165,LEFT(A166,1)&lt;&gt;"C"),1,0)</f>
        <v>0</v>
      </c>
    </row>
    <row r="167" customFormat="false" ht="15" hidden="false" customHeight="false" outlineLevel="0" collapsed="false">
      <c r="A167" s="0" t="s">
        <v>307</v>
      </c>
      <c r="B167" s="0" t="s">
        <v>185</v>
      </c>
      <c r="C167" s="0" t="s">
        <v>186</v>
      </c>
      <c r="D167" s="0" t="n">
        <v>21</v>
      </c>
      <c r="E167" s="6" t="n">
        <v>40790.5875</v>
      </c>
      <c r="F167" s="0" t="n">
        <v>5.45</v>
      </c>
      <c r="G167" s="0" t="n">
        <v>12709</v>
      </c>
      <c r="H167" s="0" t="s">
        <v>33</v>
      </c>
      <c r="I167" s="7" t="n">
        <f aca="false">IF(AND(LEFT(A167,1)&lt;&gt;"C",D167&gt;0,F167&gt;0),1,0)</f>
        <v>1</v>
      </c>
      <c r="J167" s="7" t="n">
        <f aca="false">IF(I167=1,D167*F167,0)</f>
        <v>114.45</v>
      </c>
      <c r="K167" s="7" t="n">
        <f aca="false">YEAR(E167)*100+MONTH(E167)</f>
        <v>201109</v>
      </c>
      <c r="L167" s="7" t="n">
        <f aca="false">IF(AND(A167&lt;&gt;A166,LEFT(A167,1)&lt;&gt;"C"),1,0)</f>
        <v>0</v>
      </c>
    </row>
    <row r="168" customFormat="false" ht="15" hidden="false" customHeight="false" outlineLevel="0" collapsed="false">
      <c r="A168" s="0" t="s">
        <v>307</v>
      </c>
      <c r="B168" s="0" t="s">
        <v>187</v>
      </c>
      <c r="C168" s="0" t="s">
        <v>188</v>
      </c>
      <c r="D168" s="0" t="n">
        <v>21</v>
      </c>
      <c r="E168" s="6" t="n">
        <v>40790.5875</v>
      </c>
      <c r="F168" s="0" t="n">
        <v>5.45</v>
      </c>
      <c r="G168" s="0" t="n">
        <v>12709</v>
      </c>
      <c r="H168" s="0" t="s">
        <v>33</v>
      </c>
      <c r="I168" s="7" t="n">
        <f aca="false">IF(AND(LEFT(A168,1)&lt;&gt;"C",D168&gt;0,F168&gt;0),1,0)</f>
        <v>1</v>
      </c>
      <c r="J168" s="7" t="n">
        <f aca="false">IF(I168=1,D168*F168,0)</f>
        <v>114.45</v>
      </c>
      <c r="K168" s="7" t="n">
        <f aca="false">YEAR(E168)*100+MONTH(E168)</f>
        <v>201109</v>
      </c>
      <c r="L168" s="7" t="n">
        <f aca="false">IF(AND(A168&lt;&gt;A167,LEFT(A168,1)&lt;&gt;"C"),1,0)</f>
        <v>0</v>
      </c>
    </row>
    <row r="169" customFormat="false" ht="15" hidden="false" customHeight="false" outlineLevel="0" collapsed="false">
      <c r="A169" s="0" t="s">
        <v>307</v>
      </c>
      <c r="B169" s="0" t="s">
        <v>328</v>
      </c>
      <c r="C169" s="0" t="s">
        <v>329</v>
      </c>
      <c r="D169" s="0" t="n">
        <v>15</v>
      </c>
      <c r="E169" s="6" t="n">
        <v>40790.5875</v>
      </c>
      <c r="F169" s="0" t="n">
        <v>3.75</v>
      </c>
      <c r="G169" s="0" t="n">
        <v>12709</v>
      </c>
      <c r="H169" s="0" t="s">
        <v>33</v>
      </c>
      <c r="I169" s="7" t="n">
        <f aca="false">IF(AND(LEFT(A169,1)&lt;&gt;"C",D169&gt;0,F169&gt;0),1,0)</f>
        <v>1</v>
      </c>
      <c r="J169" s="7" t="n">
        <f aca="false">IF(I169=1,D169*F169,0)</f>
        <v>56.25</v>
      </c>
      <c r="K169" s="7" t="n">
        <f aca="false">YEAR(E169)*100+MONTH(E169)</f>
        <v>201109</v>
      </c>
      <c r="L169" s="7" t="n">
        <f aca="false">IF(AND(A169&lt;&gt;A168,LEFT(A169,1)&lt;&gt;"C"),1,0)</f>
        <v>0</v>
      </c>
    </row>
    <row r="170" customFormat="false" ht="15" hidden="false" customHeight="false" outlineLevel="0" collapsed="false">
      <c r="A170" s="0" t="s">
        <v>307</v>
      </c>
      <c r="B170" s="0" t="s">
        <v>330</v>
      </c>
      <c r="C170" s="0" t="s">
        <v>331</v>
      </c>
      <c r="D170" s="0" t="n">
        <v>24</v>
      </c>
      <c r="E170" s="6" t="n">
        <v>40790.5875</v>
      </c>
      <c r="F170" s="0" t="n">
        <v>0.42</v>
      </c>
      <c r="G170" s="0" t="n">
        <v>12709</v>
      </c>
      <c r="H170" s="0" t="s">
        <v>33</v>
      </c>
      <c r="I170" s="7" t="n">
        <f aca="false">IF(AND(LEFT(A170,1)&lt;&gt;"C",D170&gt;0,F170&gt;0),1,0)</f>
        <v>1</v>
      </c>
      <c r="J170" s="7" t="n">
        <f aca="false">IF(I170=1,D170*F170,0)</f>
        <v>10.08</v>
      </c>
      <c r="K170" s="7" t="n">
        <f aca="false">YEAR(E170)*100+MONTH(E170)</f>
        <v>201109</v>
      </c>
      <c r="L170" s="7" t="n">
        <f aca="false">IF(AND(A170&lt;&gt;A169,LEFT(A170,1)&lt;&gt;"C"),1,0)</f>
        <v>0</v>
      </c>
    </row>
    <row r="171" customFormat="false" ht="15" hidden="false" customHeight="false" outlineLevel="0" collapsed="false">
      <c r="A171" s="0" t="s">
        <v>332</v>
      </c>
      <c r="B171" s="0" t="s">
        <v>74</v>
      </c>
      <c r="C171" s="0" t="s">
        <v>75</v>
      </c>
      <c r="D171" s="0" t="n">
        <v>12</v>
      </c>
      <c r="E171" s="6" t="n">
        <v>40790.5895833333</v>
      </c>
      <c r="F171" s="0" t="n">
        <v>1.95</v>
      </c>
      <c r="G171" s="0" t="n">
        <v>12627</v>
      </c>
      <c r="H171" s="0" t="s">
        <v>33</v>
      </c>
      <c r="I171" s="7" t="n">
        <f aca="false">IF(AND(LEFT(A171,1)&lt;&gt;"C",D171&gt;0,F171&gt;0),1,0)</f>
        <v>1</v>
      </c>
      <c r="J171" s="7" t="n">
        <f aca="false">IF(I171=1,D171*F171,0)</f>
        <v>23.4</v>
      </c>
      <c r="K171" s="7" t="n">
        <f aca="false">YEAR(E171)*100+MONTH(E171)</f>
        <v>201109</v>
      </c>
      <c r="L171" s="7" t="n">
        <f aca="false">IF(AND(A171&lt;&gt;A170,LEFT(A171,1)&lt;&gt;"C"),1,0)</f>
        <v>1</v>
      </c>
    </row>
    <row r="172" customFormat="false" ht="15" hidden="false" customHeight="false" outlineLevel="0" collapsed="false">
      <c r="A172" s="0" t="s">
        <v>332</v>
      </c>
      <c r="B172" s="0" t="s">
        <v>333</v>
      </c>
      <c r="C172" s="0" t="s">
        <v>334</v>
      </c>
      <c r="D172" s="0" t="n">
        <v>24</v>
      </c>
      <c r="E172" s="6" t="n">
        <v>40790.5895833333</v>
      </c>
      <c r="F172" s="0" t="n">
        <v>1.65</v>
      </c>
      <c r="G172" s="0" t="n">
        <v>12627</v>
      </c>
      <c r="H172" s="0" t="s">
        <v>33</v>
      </c>
      <c r="I172" s="7" t="n">
        <f aca="false">IF(AND(LEFT(A172,1)&lt;&gt;"C",D172&gt;0,F172&gt;0),1,0)</f>
        <v>1</v>
      </c>
      <c r="J172" s="7" t="n">
        <f aca="false">IF(I172=1,D172*F172,0)</f>
        <v>39.6</v>
      </c>
      <c r="K172" s="7" t="n">
        <f aca="false">YEAR(E172)*100+MONTH(E172)</f>
        <v>201109</v>
      </c>
      <c r="L172" s="7" t="n">
        <f aca="false">IF(AND(A172&lt;&gt;A171,LEFT(A172,1)&lt;&gt;"C"),1,0)</f>
        <v>0</v>
      </c>
    </row>
    <row r="173" customFormat="false" ht="15" hidden="false" customHeight="false" outlineLevel="0" collapsed="false">
      <c r="A173" s="0" t="s">
        <v>332</v>
      </c>
      <c r="B173" s="0" t="s">
        <v>93</v>
      </c>
      <c r="C173" s="0" t="s">
        <v>94</v>
      </c>
      <c r="D173" s="0" t="n">
        <v>8</v>
      </c>
      <c r="E173" s="6" t="n">
        <v>40790.5895833333</v>
      </c>
      <c r="F173" s="0" t="n">
        <v>4.15</v>
      </c>
      <c r="G173" s="0" t="n">
        <v>12627</v>
      </c>
      <c r="H173" s="0" t="s">
        <v>33</v>
      </c>
      <c r="I173" s="7" t="n">
        <f aca="false">IF(AND(LEFT(A173,1)&lt;&gt;"C",D173&gt;0,F173&gt;0),1,0)</f>
        <v>1</v>
      </c>
      <c r="J173" s="7" t="n">
        <f aca="false">IF(I173=1,D173*F173,0)</f>
        <v>33.2</v>
      </c>
      <c r="K173" s="7" t="n">
        <f aca="false">YEAR(E173)*100+MONTH(E173)</f>
        <v>201109</v>
      </c>
      <c r="L173" s="7" t="n">
        <f aca="false">IF(AND(A173&lt;&gt;A172,LEFT(A173,1)&lt;&gt;"C"),1,0)</f>
        <v>0</v>
      </c>
    </row>
    <row r="174" customFormat="false" ht="15" hidden="false" customHeight="false" outlineLevel="0" collapsed="false">
      <c r="A174" s="0" t="s">
        <v>332</v>
      </c>
      <c r="B174" s="0" t="s">
        <v>56</v>
      </c>
      <c r="C174" s="0" t="s">
        <v>57</v>
      </c>
      <c r="D174" s="0" t="n">
        <v>30</v>
      </c>
      <c r="E174" s="6" t="n">
        <v>40790.5895833333</v>
      </c>
      <c r="F174" s="0" t="n">
        <v>1.65</v>
      </c>
      <c r="G174" s="0" t="n">
        <v>12627</v>
      </c>
      <c r="H174" s="0" t="s">
        <v>33</v>
      </c>
      <c r="I174" s="7" t="n">
        <f aca="false">IF(AND(LEFT(A174,1)&lt;&gt;"C",D174&gt;0,F174&gt;0),1,0)</f>
        <v>1</v>
      </c>
      <c r="J174" s="7" t="n">
        <f aca="false">IF(I174=1,D174*F174,0)</f>
        <v>49.5</v>
      </c>
      <c r="K174" s="7" t="n">
        <f aca="false">YEAR(E174)*100+MONTH(E174)</f>
        <v>201109</v>
      </c>
      <c r="L174" s="7" t="n">
        <f aca="false">IF(AND(A174&lt;&gt;A173,LEFT(A174,1)&lt;&gt;"C"),1,0)</f>
        <v>0</v>
      </c>
    </row>
    <row r="175" customFormat="false" ht="15" hidden="false" customHeight="false" outlineLevel="0" collapsed="false">
      <c r="A175" s="0" t="s">
        <v>332</v>
      </c>
      <c r="B175" s="0" t="s">
        <v>171</v>
      </c>
      <c r="C175" s="0" t="s">
        <v>172</v>
      </c>
      <c r="D175" s="0" t="n">
        <v>16</v>
      </c>
      <c r="E175" s="6" t="n">
        <v>40790.5895833333</v>
      </c>
      <c r="F175" s="0" t="n">
        <v>1.25</v>
      </c>
      <c r="G175" s="0" t="n">
        <v>12627</v>
      </c>
      <c r="H175" s="0" t="s">
        <v>33</v>
      </c>
      <c r="I175" s="7" t="n">
        <f aca="false">IF(AND(LEFT(A175,1)&lt;&gt;"C",D175&gt;0,F175&gt;0),1,0)</f>
        <v>1</v>
      </c>
      <c r="J175" s="7" t="n">
        <f aca="false">IF(I175=1,D175*F175,0)</f>
        <v>20</v>
      </c>
      <c r="K175" s="7" t="n">
        <f aca="false">YEAR(E175)*100+MONTH(E175)</f>
        <v>201109</v>
      </c>
      <c r="L175" s="7" t="n">
        <f aca="false">IF(AND(A175&lt;&gt;A174,LEFT(A175,1)&lt;&gt;"C"),1,0)</f>
        <v>0</v>
      </c>
    </row>
    <row r="176" customFormat="false" ht="15" hidden="false" customHeight="false" outlineLevel="0" collapsed="false">
      <c r="A176" s="0" t="s">
        <v>332</v>
      </c>
      <c r="B176" s="0" t="s">
        <v>70</v>
      </c>
      <c r="C176" s="0" t="s">
        <v>71</v>
      </c>
      <c r="D176" s="0" t="n">
        <v>30</v>
      </c>
      <c r="E176" s="6" t="n">
        <v>40790.5895833333</v>
      </c>
      <c r="F176" s="0" t="n">
        <v>1.65</v>
      </c>
      <c r="G176" s="0" t="n">
        <v>12627</v>
      </c>
      <c r="H176" s="0" t="s">
        <v>33</v>
      </c>
      <c r="I176" s="7" t="n">
        <f aca="false">IF(AND(LEFT(A176,1)&lt;&gt;"C",D176&gt;0,F176&gt;0),1,0)</f>
        <v>1</v>
      </c>
      <c r="J176" s="7" t="n">
        <f aca="false">IF(I176=1,D176*F176,0)</f>
        <v>49.5</v>
      </c>
      <c r="K176" s="7" t="n">
        <f aca="false">YEAR(E176)*100+MONTH(E176)</f>
        <v>201109</v>
      </c>
      <c r="L176" s="7" t="n">
        <f aca="false">IF(AND(A176&lt;&gt;A175,LEFT(A176,1)&lt;&gt;"C"),1,0)</f>
        <v>0</v>
      </c>
    </row>
    <row r="177" customFormat="false" ht="15" hidden="false" customHeight="false" outlineLevel="0" collapsed="false">
      <c r="A177" s="0" t="s">
        <v>332</v>
      </c>
      <c r="B177" s="0" t="s">
        <v>123</v>
      </c>
      <c r="C177" s="0" t="s">
        <v>124</v>
      </c>
      <c r="D177" s="0" t="n">
        <v>18</v>
      </c>
      <c r="E177" s="6" t="n">
        <v>40790.5895833333</v>
      </c>
      <c r="F177" s="0" t="n">
        <v>2.95</v>
      </c>
      <c r="G177" s="0" t="n">
        <v>12627</v>
      </c>
      <c r="H177" s="0" t="s">
        <v>33</v>
      </c>
      <c r="I177" s="7" t="n">
        <f aca="false">IF(AND(LEFT(A177,1)&lt;&gt;"C",D177&gt;0,F177&gt;0),1,0)</f>
        <v>1</v>
      </c>
      <c r="J177" s="7" t="n">
        <f aca="false">IF(I177=1,D177*F177,0)</f>
        <v>53.1</v>
      </c>
      <c r="K177" s="7" t="n">
        <f aca="false">YEAR(E177)*100+MONTH(E177)</f>
        <v>201109</v>
      </c>
      <c r="L177" s="7" t="n">
        <f aca="false">IF(AND(A177&lt;&gt;A176,LEFT(A177,1)&lt;&gt;"C"),1,0)</f>
        <v>0</v>
      </c>
    </row>
    <row r="178" customFormat="false" ht="15" hidden="false" customHeight="false" outlineLevel="0" collapsed="false">
      <c r="A178" s="0" t="s">
        <v>332</v>
      </c>
      <c r="B178" s="0" t="s">
        <v>335</v>
      </c>
      <c r="C178" s="0" t="s">
        <v>336</v>
      </c>
      <c r="D178" s="0" t="n">
        <v>24</v>
      </c>
      <c r="E178" s="6" t="n">
        <v>40790.5895833333</v>
      </c>
      <c r="F178" s="0" t="n">
        <v>1.65</v>
      </c>
      <c r="G178" s="0" t="n">
        <v>12627</v>
      </c>
      <c r="H178" s="0" t="s">
        <v>33</v>
      </c>
      <c r="I178" s="7" t="n">
        <f aca="false">IF(AND(LEFT(A178,1)&lt;&gt;"C",D178&gt;0,F178&gt;0),1,0)</f>
        <v>1</v>
      </c>
      <c r="J178" s="7" t="n">
        <f aca="false">IF(I178=1,D178*F178,0)</f>
        <v>39.6</v>
      </c>
      <c r="K178" s="7" t="n">
        <f aca="false">YEAR(E178)*100+MONTH(E178)</f>
        <v>201109</v>
      </c>
      <c r="L178" s="7" t="n">
        <f aca="false">IF(AND(A178&lt;&gt;A177,LEFT(A178,1)&lt;&gt;"C"),1,0)</f>
        <v>0</v>
      </c>
    </row>
    <row r="179" customFormat="false" ht="15" hidden="false" customHeight="false" outlineLevel="0" collapsed="false">
      <c r="A179" s="0" t="s">
        <v>332</v>
      </c>
      <c r="B179" s="0" t="s">
        <v>207</v>
      </c>
      <c r="C179" s="0" t="s">
        <v>208</v>
      </c>
      <c r="D179" s="0" t="n">
        <v>48</v>
      </c>
      <c r="E179" s="6" t="n">
        <v>40790.5895833333</v>
      </c>
      <c r="F179" s="0" t="n">
        <v>0.29</v>
      </c>
      <c r="G179" s="0" t="n">
        <v>12627</v>
      </c>
      <c r="H179" s="0" t="s">
        <v>33</v>
      </c>
      <c r="I179" s="7" t="n">
        <f aca="false">IF(AND(LEFT(A179,1)&lt;&gt;"C",D179&gt;0,F179&gt;0),1,0)</f>
        <v>1</v>
      </c>
      <c r="J179" s="7" t="n">
        <f aca="false">IF(I179=1,D179*F179,0)</f>
        <v>13.92</v>
      </c>
      <c r="K179" s="7" t="n">
        <f aca="false">YEAR(E179)*100+MONTH(E179)</f>
        <v>201109</v>
      </c>
      <c r="L179" s="7" t="n">
        <f aca="false">IF(AND(A179&lt;&gt;A178,LEFT(A179,1)&lt;&gt;"C"),1,0)</f>
        <v>0</v>
      </c>
    </row>
    <row r="180" customFormat="false" ht="15" hidden="false" customHeight="false" outlineLevel="0" collapsed="false">
      <c r="A180" s="0" t="s">
        <v>332</v>
      </c>
      <c r="B180" s="0" t="s">
        <v>151</v>
      </c>
      <c r="C180" s="0" t="s">
        <v>152</v>
      </c>
      <c r="D180" s="0" t="n">
        <v>12</v>
      </c>
      <c r="E180" s="6" t="n">
        <v>40790.5895833333</v>
      </c>
      <c r="F180" s="0" t="n">
        <v>0.85</v>
      </c>
      <c r="G180" s="0" t="n">
        <v>12627</v>
      </c>
      <c r="H180" s="0" t="s">
        <v>33</v>
      </c>
      <c r="I180" s="7" t="n">
        <f aca="false">IF(AND(LEFT(A180,1)&lt;&gt;"C",D180&gt;0,F180&gt;0),1,0)</f>
        <v>1</v>
      </c>
      <c r="J180" s="7" t="n">
        <f aca="false">IF(I180=1,D180*F180,0)</f>
        <v>10.2</v>
      </c>
      <c r="K180" s="7" t="n">
        <f aca="false">YEAR(E180)*100+MONTH(E180)</f>
        <v>201109</v>
      </c>
      <c r="L180" s="7" t="n">
        <f aca="false">IF(AND(A180&lt;&gt;A179,LEFT(A180,1)&lt;&gt;"C"),1,0)</f>
        <v>0</v>
      </c>
    </row>
    <row r="181" customFormat="false" ht="15" hidden="false" customHeight="false" outlineLevel="0" collapsed="false">
      <c r="A181" s="0" t="s">
        <v>332</v>
      </c>
      <c r="B181" s="0" t="s">
        <v>337</v>
      </c>
      <c r="C181" s="0" t="s">
        <v>338</v>
      </c>
      <c r="D181" s="0" t="n">
        <v>6</v>
      </c>
      <c r="E181" s="6" t="n">
        <v>40790.5895833333</v>
      </c>
      <c r="F181" s="0" t="n">
        <v>2.95</v>
      </c>
      <c r="G181" s="0" t="n">
        <v>12627</v>
      </c>
      <c r="H181" s="0" t="s">
        <v>33</v>
      </c>
      <c r="I181" s="7" t="n">
        <f aca="false">IF(AND(LEFT(A181,1)&lt;&gt;"C",D181&gt;0,F181&gt;0),1,0)</f>
        <v>1</v>
      </c>
      <c r="J181" s="7" t="n">
        <f aca="false">IF(I181=1,D181*F181,0)</f>
        <v>17.7</v>
      </c>
      <c r="K181" s="7" t="n">
        <f aca="false">YEAR(E181)*100+MONTH(E181)</f>
        <v>201109</v>
      </c>
      <c r="L181" s="7" t="n">
        <f aca="false">IF(AND(A181&lt;&gt;A180,LEFT(A181,1)&lt;&gt;"C"),1,0)</f>
        <v>0</v>
      </c>
    </row>
    <row r="182" customFormat="false" ht="15" hidden="false" customHeight="false" outlineLevel="0" collapsed="false">
      <c r="A182" s="0" t="s">
        <v>332</v>
      </c>
      <c r="B182" s="0" t="s">
        <v>339</v>
      </c>
      <c r="C182" s="0" t="s">
        <v>340</v>
      </c>
      <c r="D182" s="0" t="n">
        <v>8</v>
      </c>
      <c r="E182" s="6" t="n">
        <v>40790.5895833333</v>
      </c>
      <c r="F182" s="0" t="n">
        <v>1.95</v>
      </c>
      <c r="G182" s="0" t="n">
        <v>12627</v>
      </c>
      <c r="H182" s="0" t="s">
        <v>33</v>
      </c>
      <c r="I182" s="7" t="n">
        <f aca="false">IF(AND(LEFT(A182,1)&lt;&gt;"C",D182&gt;0,F182&gt;0),1,0)</f>
        <v>1</v>
      </c>
      <c r="J182" s="7" t="n">
        <f aca="false">IF(I182=1,D182*F182,0)</f>
        <v>15.6</v>
      </c>
      <c r="K182" s="7" t="n">
        <f aca="false">YEAR(E182)*100+MONTH(E182)</f>
        <v>201109</v>
      </c>
      <c r="L182" s="7" t="n">
        <f aca="false">IF(AND(A182&lt;&gt;A181,LEFT(A182,1)&lt;&gt;"C"),1,0)</f>
        <v>0</v>
      </c>
    </row>
    <row r="183" customFormat="false" ht="15" hidden="false" customHeight="false" outlineLevel="0" collapsed="false">
      <c r="A183" s="0" t="s">
        <v>332</v>
      </c>
      <c r="B183" s="0" t="s">
        <v>155</v>
      </c>
      <c r="C183" s="0" t="s">
        <v>156</v>
      </c>
      <c r="D183" s="0" t="n">
        <v>2</v>
      </c>
      <c r="E183" s="6" t="n">
        <v>40790.5895833333</v>
      </c>
      <c r="F183" s="0" t="n">
        <v>10.95</v>
      </c>
      <c r="G183" s="0" t="n">
        <v>12627</v>
      </c>
      <c r="H183" s="0" t="s">
        <v>33</v>
      </c>
      <c r="I183" s="7" t="n">
        <f aca="false">IF(AND(LEFT(A183,1)&lt;&gt;"C",D183&gt;0,F183&gt;0),1,0)</f>
        <v>1</v>
      </c>
      <c r="J183" s="7" t="n">
        <f aca="false">IF(I183=1,D183*F183,0)</f>
        <v>21.9</v>
      </c>
      <c r="K183" s="7" t="n">
        <f aca="false">YEAR(E183)*100+MONTH(E183)</f>
        <v>201109</v>
      </c>
      <c r="L183" s="7" t="n">
        <f aca="false">IF(AND(A183&lt;&gt;A182,LEFT(A183,1)&lt;&gt;"C"),1,0)</f>
        <v>0</v>
      </c>
    </row>
    <row r="184" customFormat="false" ht="15" hidden="false" customHeight="false" outlineLevel="0" collapsed="false">
      <c r="A184" s="0" t="s">
        <v>332</v>
      </c>
      <c r="B184" s="0" t="s">
        <v>341</v>
      </c>
      <c r="C184" s="0" t="s">
        <v>342</v>
      </c>
      <c r="D184" s="0" t="n">
        <v>12</v>
      </c>
      <c r="E184" s="6" t="n">
        <v>40790.5895833333</v>
      </c>
      <c r="F184" s="0" t="n">
        <v>1.25</v>
      </c>
      <c r="G184" s="0" t="n">
        <v>12627</v>
      </c>
      <c r="H184" s="0" t="s">
        <v>33</v>
      </c>
      <c r="I184" s="7" t="n">
        <f aca="false">IF(AND(LEFT(A184,1)&lt;&gt;"C",D184&gt;0,F184&gt;0),1,0)</f>
        <v>1</v>
      </c>
      <c r="J184" s="7" t="n">
        <f aca="false">IF(I184=1,D184*F184,0)</f>
        <v>15</v>
      </c>
      <c r="K184" s="7" t="n">
        <f aca="false">YEAR(E184)*100+MONTH(E184)</f>
        <v>201109</v>
      </c>
      <c r="L184" s="7" t="n">
        <f aca="false">IF(AND(A184&lt;&gt;A183,LEFT(A184,1)&lt;&gt;"C"),1,0)</f>
        <v>0</v>
      </c>
    </row>
    <row r="185" customFormat="false" ht="15" hidden="false" customHeight="false" outlineLevel="0" collapsed="false">
      <c r="A185" s="0" t="s">
        <v>332</v>
      </c>
      <c r="B185" s="0" t="s">
        <v>343</v>
      </c>
      <c r="C185" s="0" t="s">
        <v>344</v>
      </c>
      <c r="D185" s="0" t="n">
        <v>12</v>
      </c>
      <c r="E185" s="6" t="n">
        <v>40790.5895833333</v>
      </c>
      <c r="F185" s="0" t="n">
        <v>1.25</v>
      </c>
      <c r="G185" s="0" t="n">
        <v>12627</v>
      </c>
      <c r="H185" s="0" t="s">
        <v>33</v>
      </c>
      <c r="I185" s="7" t="n">
        <f aca="false">IF(AND(LEFT(A185,1)&lt;&gt;"C",D185&gt;0,F185&gt;0),1,0)</f>
        <v>1</v>
      </c>
      <c r="J185" s="7" t="n">
        <f aca="false">IF(I185=1,D185*F185,0)</f>
        <v>15</v>
      </c>
      <c r="K185" s="7" t="n">
        <f aca="false">YEAR(E185)*100+MONTH(E185)</f>
        <v>201109</v>
      </c>
      <c r="L185" s="7" t="n">
        <f aca="false">IF(AND(A185&lt;&gt;A184,LEFT(A185,1)&lt;&gt;"C"),1,0)</f>
        <v>0</v>
      </c>
    </row>
    <row r="186" customFormat="false" ht="15" hidden="false" customHeight="false" outlineLevel="0" collapsed="false">
      <c r="A186" s="0" t="s">
        <v>332</v>
      </c>
      <c r="B186" s="0" t="s">
        <v>345</v>
      </c>
      <c r="C186" s="0" t="s">
        <v>346</v>
      </c>
      <c r="D186" s="0" t="n">
        <v>12</v>
      </c>
      <c r="E186" s="6" t="n">
        <v>40790.5895833333</v>
      </c>
      <c r="F186" s="0" t="n">
        <v>1.25</v>
      </c>
      <c r="G186" s="0" t="n">
        <v>12627</v>
      </c>
      <c r="H186" s="0" t="s">
        <v>33</v>
      </c>
      <c r="I186" s="7" t="n">
        <f aca="false">IF(AND(LEFT(A186,1)&lt;&gt;"C",D186&gt;0,F186&gt;0),1,0)</f>
        <v>1</v>
      </c>
      <c r="J186" s="7" t="n">
        <f aca="false">IF(I186=1,D186*F186,0)</f>
        <v>15</v>
      </c>
      <c r="K186" s="7" t="n">
        <f aca="false">YEAR(E186)*100+MONTH(E186)</f>
        <v>201109</v>
      </c>
      <c r="L186" s="7" t="n">
        <f aca="false">IF(AND(A186&lt;&gt;A185,LEFT(A186,1)&lt;&gt;"C"),1,0)</f>
        <v>0</v>
      </c>
    </row>
    <row r="187" customFormat="false" ht="15" hidden="false" customHeight="false" outlineLevel="0" collapsed="false">
      <c r="A187" s="0" t="s">
        <v>332</v>
      </c>
      <c r="B187" s="0" t="s">
        <v>203</v>
      </c>
      <c r="C187" s="0" t="s">
        <v>204</v>
      </c>
      <c r="D187" s="0" t="n">
        <v>24</v>
      </c>
      <c r="E187" s="6" t="n">
        <v>40790.5895833333</v>
      </c>
      <c r="F187" s="0" t="n">
        <v>0.29</v>
      </c>
      <c r="G187" s="0" t="n">
        <v>12627</v>
      </c>
      <c r="H187" s="0" t="s">
        <v>33</v>
      </c>
      <c r="I187" s="7" t="n">
        <f aca="false">IF(AND(LEFT(A187,1)&lt;&gt;"C",D187&gt;0,F187&gt;0),1,0)</f>
        <v>1</v>
      </c>
      <c r="J187" s="7" t="n">
        <f aca="false">IF(I187=1,D187*F187,0)</f>
        <v>6.96</v>
      </c>
      <c r="K187" s="7" t="n">
        <f aca="false">YEAR(E187)*100+MONTH(E187)</f>
        <v>201109</v>
      </c>
      <c r="L187" s="7" t="n">
        <f aca="false">IF(AND(A187&lt;&gt;A186,LEFT(A187,1)&lt;&gt;"C"),1,0)</f>
        <v>0</v>
      </c>
    </row>
    <row r="188" customFormat="false" ht="15" hidden="false" customHeight="false" outlineLevel="0" collapsed="false">
      <c r="A188" s="0" t="s">
        <v>332</v>
      </c>
      <c r="B188" s="0" t="s">
        <v>347</v>
      </c>
      <c r="C188" s="0" t="s">
        <v>348</v>
      </c>
      <c r="D188" s="0" t="n">
        <v>12</v>
      </c>
      <c r="E188" s="6" t="n">
        <v>40790.5895833333</v>
      </c>
      <c r="F188" s="0" t="n">
        <v>1.65</v>
      </c>
      <c r="G188" s="0" t="n">
        <v>12627</v>
      </c>
      <c r="H188" s="0" t="s">
        <v>33</v>
      </c>
      <c r="I188" s="7" t="n">
        <f aca="false">IF(AND(LEFT(A188,1)&lt;&gt;"C",D188&gt;0,F188&gt;0),1,0)</f>
        <v>1</v>
      </c>
      <c r="J188" s="7" t="n">
        <f aca="false">IF(I188=1,D188*F188,0)</f>
        <v>19.8</v>
      </c>
      <c r="K188" s="7" t="n">
        <f aca="false">YEAR(E188)*100+MONTH(E188)</f>
        <v>201109</v>
      </c>
      <c r="L188" s="7" t="n">
        <f aca="false">IF(AND(A188&lt;&gt;A187,LEFT(A188,1)&lt;&gt;"C"),1,0)</f>
        <v>0</v>
      </c>
    </row>
    <row r="189" customFormat="false" ht="15" hidden="false" customHeight="false" outlineLevel="0" collapsed="false">
      <c r="A189" s="0" t="s">
        <v>332</v>
      </c>
      <c r="B189" s="0" t="s">
        <v>89</v>
      </c>
      <c r="C189" s="0" t="s">
        <v>90</v>
      </c>
      <c r="D189" s="0" t="n">
        <v>8</v>
      </c>
      <c r="E189" s="6" t="n">
        <v>40790.5895833333</v>
      </c>
      <c r="F189" s="0" t="n">
        <v>4.15</v>
      </c>
      <c r="G189" s="0" t="n">
        <v>12627</v>
      </c>
      <c r="H189" s="0" t="s">
        <v>33</v>
      </c>
      <c r="I189" s="7" t="n">
        <f aca="false">IF(AND(LEFT(A189,1)&lt;&gt;"C",D189&gt;0,F189&gt;0),1,0)</f>
        <v>1</v>
      </c>
      <c r="J189" s="7" t="n">
        <f aca="false">IF(I189=1,D189*F189,0)</f>
        <v>33.2</v>
      </c>
      <c r="K189" s="7" t="n">
        <f aca="false">YEAR(E189)*100+MONTH(E189)</f>
        <v>201109</v>
      </c>
      <c r="L189" s="7" t="n">
        <f aca="false">IF(AND(A189&lt;&gt;A188,LEFT(A189,1)&lt;&gt;"C"),1,0)</f>
        <v>0</v>
      </c>
    </row>
    <row r="190" customFormat="false" ht="15" hidden="false" customHeight="false" outlineLevel="0" collapsed="false">
      <c r="A190" s="0" t="s">
        <v>332</v>
      </c>
      <c r="B190" s="0" t="s">
        <v>349</v>
      </c>
      <c r="C190" s="0" t="s">
        <v>350</v>
      </c>
      <c r="D190" s="0" t="n">
        <v>12</v>
      </c>
      <c r="E190" s="6" t="n">
        <v>40790.5895833333</v>
      </c>
      <c r="F190" s="0" t="n">
        <v>1.25</v>
      </c>
      <c r="G190" s="0" t="n">
        <v>12627</v>
      </c>
      <c r="H190" s="0" t="s">
        <v>33</v>
      </c>
      <c r="I190" s="7" t="n">
        <f aca="false">IF(AND(LEFT(A190,1)&lt;&gt;"C",D190&gt;0,F190&gt;0),1,0)</f>
        <v>1</v>
      </c>
      <c r="J190" s="7" t="n">
        <f aca="false">IF(I190=1,D190*F190,0)</f>
        <v>15</v>
      </c>
      <c r="K190" s="7" t="n">
        <f aca="false">YEAR(E190)*100+MONTH(E190)</f>
        <v>201109</v>
      </c>
      <c r="L190" s="7" t="n">
        <f aca="false">IF(AND(A190&lt;&gt;A189,LEFT(A190,1)&lt;&gt;"C"),1,0)</f>
        <v>0</v>
      </c>
    </row>
    <row r="191" customFormat="false" ht="15" hidden="false" customHeight="false" outlineLevel="0" collapsed="false">
      <c r="A191" s="0" t="s">
        <v>332</v>
      </c>
      <c r="B191" s="0" t="s">
        <v>351</v>
      </c>
      <c r="C191" s="0" t="s">
        <v>352</v>
      </c>
      <c r="D191" s="0" t="n">
        <v>12</v>
      </c>
      <c r="E191" s="6" t="n">
        <v>40790.5895833333</v>
      </c>
      <c r="F191" s="0" t="n">
        <v>1.95</v>
      </c>
      <c r="G191" s="0" t="n">
        <v>12627</v>
      </c>
      <c r="H191" s="0" t="s">
        <v>33</v>
      </c>
      <c r="I191" s="7" t="n">
        <f aca="false">IF(AND(LEFT(A191,1)&lt;&gt;"C",D191&gt;0,F191&gt;0),1,0)</f>
        <v>1</v>
      </c>
      <c r="J191" s="7" t="n">
        <f aca="false">IF(I191=1,D191*F191,0)</f>
        <v>23.4</v>
      </c>
      <c r="K191" s="7" t="n">
        <f aca="false">YEAR(E191)*100+MONTH(E191)</f>
        <v>201109</v>
      </c>
      <c r="L191" s="7" t="n">
        <f aca="false">IF(AND(A191&lt;&gt;A190,LEFT(A191,1)&lt;&gt;"C"),1,0)</f>
        <v>0</v>
      </c>
    </row>
    <row r="192" customFormat="false" ht="15" hidden="false" customHeight="false" outlineLevel="0" collapsed="false">
      <c r="A192" s="0" t="s">
        <v>332</v>
      </c>
      <c r="B192" s="0" t="s">
        <v>353</v>
      </c>
      <c r="C192" s="0" t="s">
        <v>354</v>
      </c>
      <c r="D192" s="0" t="n">
        <v>4</v>
      </c>
      <c r="E192" s="6" t="n">
        <v>40790.5895833333</v>
      </c>
      <c r="F192" s="0" t="n">
        <v>4.25</v>
      </c>
      <c r="G192" s="0" t="n">
        <v>12627</v>
      </c>
      <c r="H192" s="0" t="s">
        <v>33</v>
      </c>
      <c r="I192" s="7" t="n">
        <f aca="false">IF(AND(LEFT(A192,1)&lt;&gt;"C",D192&gt;0,F192&gt;0),1,0)</f>
        <v>1</v>
      </c>
      <c r="J192" s="7" t="n">
        <f aca="false">IF(I192=1,D192*F192,0)</f>
        <v>17</v>
      </c>
      <c r="K192" s="7" t="n">
        <f aca="false">YEAR(E192)*100+MONTH(E192)</f>
        <v>201109</v>
      </c>
      <c r="L192" s="7" t="n">
        <f aca="false">IF(AND(A192&lt;&gt;A191,LEFT(A192,1)&lt;&gt;"C"),1,0)</f>
        <v>0</v>
      </c>
    </row>
    <row r="193" customFormat="false" ht="15" hidden="false" customHeight="false" outlineLevel="0" collapsed="false">
      <c r="A193" s="0" t="s">
        <v>332</v>
      </c>
      <c r="B193" s="0" t="s">
        <v>168</v>
      </c>
      <c r="C193" s="0" t="s">
        <v>169</v>
      </c>
      <c r="D193" s="0" t="n">
        <v>10</v>
      </c>
      <c r="E193" s="6" t="n">
        <v>40790.5895833333</v>
      </c>
      <c r="F193" s="0" t="n">
        <v>0.85</v>
      </c>
      <c r="G193" s="0" t="n">
        <v>12627</v>
      </c>
      <c r="H193" s="0" t="s">
        <v>33</v>
      </c>
      <c r="I193" s="7" t="n">
        <f aca="false">IF(AND(LEFT(A193,1)&lt;&gt;"C",D193&gt;0,F193&gt;0),1,0)</f>
        <v>1</v>
      </c>
      <c r="J193" s="7" t="n">
        <f aca="false">IF(I193=1,D193*F193,0)</f>
        <v>8.5</v>
      </c>
      <c r="K193" s="7" t="n">
        <f aca="false">YEAR(E193)*100+MONTH(E193)</f>
        <v>201109</v>
      </c>
      <c r="L193" s="7" t="n">
        <f aca="false">IF(AND(A193&lt;&gt;A192,LEFT(A193,1)&lt;&gt;"C"),1,0)</f>
        <v>0</v>
      </c>
    </row>
    <row r="194" customFormat="false" ht="15" hidden="false" customHeight="false" outlineLevel="0" collapsed="false">
      <c r="A194" s="0" t="s">
        <v>332</v>
      </c>
      <c r="B194" s="0" t="s">
        <v>355</v>
      </c>
      <c r="C194" s="0" t="s">
        <v>356</v>
      </c>
      <c r="D194" s="0" t="n">
        <v>10</v>
      </c>
      <c r="E194" s="6" t="n">
        <v>40790.5895833333</v>
      </c>
      <c r="F194" s="0" t="n">
        <v>1.65</v>
      </c>
      <c r="G194" s="0" t="n">
        <v>12627</v>
      </c>
      <c r="H194" s="0" t="s">
        <v>33</v>
      </c>
      <c r="I194" s="7" t="n">
        <f aca="false">IF(AND(LEFT(A194,1)&lt;&gt;"C",D194&gt;0,F194&gt;0),1,0)</f>
        <v>1</v>
      </c>
      <c r="J194" s="7" t="n">
        <f aca="false">IF(I194=1,D194*F194,0)</f>
        <v>16.5</v>
      </c>
      <c r="K194" s="7" t="n">
        <f aca="false">YEAR(E194)*100+MONTH(E194)</f>
        <v>201109</v>
      </c>
      <c r="L194" s="7" t="n">
        <f aca="false">IF(AND(A194&lt;&gt;A193,LEFT(A194,1)&lt;&gt;"C"),1,0)</f>
        <v>0</v>
      </c>
    </row>
    <row r="195" customFormat="false" ht="15" hidden="false" customHeight="false" outlineLevel="0" collapsed="false">
      <c r="A195" s="0" t="s">
        <v>332</v>
      </c>
      <c r="B195" s="0" t="s">
        <v>87</v>
      </c>
      <c r="C195" s="0" t="s">
        <v>88</v>
      </c>
      <c r="D195" s="0" t="n">
        <v>8</v>
      </c>
      <c r="E195" s="6" t="n">
        <v>40790.5895833333</v>
      </c>
      <c r="F195" s="0" t="n">
        <v>4.15</v>
      </c>
      <c r="G195" s="0" t="n">
        <v>12627</v>
      </c>
      <c r="H195" s="0" t="s">
        <v>33</v>
      </c>
      <c r="I195" s="7" t="n">
        <f aca="false">IF(AND(LEFT(A195,1)&lt;&gt;"C",D195&gt;0,F195&gt;0),1,0)</f>
        <v>1</v>
      </c>
      <c r="J195" s="7" t="n">
        <f aca="false">IF(I195=1,D195*F195,0)</f>
        <v>33.2</v>
      </c>
      <c r="K195" s="7" t="n">
        <f aca="false">YEAR(E195)*100+MONTH(E195)</f>
        <v>201109</v>
      </c>
      <c r="L195" s="7" t="n">
        <f aca="false">IF(AND(A195&lt;&gt;A194,LEFT(A195,1)&lt;&gt;"C"),1,0)</f>
        <v>0</v>
      </c>
    </row>
    <row r="196" customFormat="false" ht="15" hidden="false" customHeight="false" outlineLevel="0" collapsed="false">
      <c r="A196" s="0" t="s">
        <v>332</v>
      </c>
      <c r="B196" s="0" t="s">
        <v>159</v>
      </c>
      <c r="C196" s="0" t="s">
        <v>160</v>
      </c>
      <c r="D196" s="0" t="n">
        <v>6</v>
      </c>
      <c r="E196" s="6" t="n">
        <v>40790.5895833333</v>
      </c>
      <c r="F196" s="0" t="n">
        <v>2.55</v>
      </c>
      <c r="G196" s="0" t="n">
        <v>12627</v>
      </c>
      <c r="H196" s="0" t="s">
        <v>33</v>
      </c>
      <c r="I196" s="7" t="n">
        <f aca="false">IF(AND(LEFT(A196,1)&lt;&gt;"C",D196&gt;0,F196&gt;0),1,0)</f>
        <v>1</v>
      </c>
      <c r="J196" s="7" t="n">
        <f aca="false">IF(I196=1,D196*F196,0)</f>
        <v>15.3</v>
      </c>
      <c r="K196" s="7" t="n">
        <f aca="false">YEAR(E196)*100+MONTH(E196)</f>
        <v>201109</v>
      </c>
      <c r="L196" s="7" t="n">
        <f aca="false">IF(AND(A196&lt;&gt;A195,LEFT(A196,1)&lt;&gt;"C"),1,0)</f>
        <v>0</v>
      </c>
    </row>
    <row r="197" customFormat="false" ht="15" hidden="false" customHeight="false" outlineLevel="0" collapsed="false">
      <c r="A197" s="0" t="s">
        <v>332</v>
      </c>
      <c r="B197" s="0" t="s">
        <v>357</v>
      </c>
      <c r="C197" s="0" t="s">
        <v>358</v>
      </c>
      <c r="D197" s="0" t="n">
        <v>12</v>
      </c>
      <c r="E197" s="6" t="n">
        <v>40790.5895833333</v>
      </c>
      <c r="F197" s="0" t="n">
        <v>1.45</v>
      </c>
      <c r="G197" s="0" t="n">
        <v>12627</v>
      </c>
      <c r="H197" s="0" t="s">
        <v>33</v>
      </c>
      <c r="I197" s="7" t="n">
        <f aca="false">IF(AND(LEFT(A197,1)&lt;&gt;"C",D197&gt;0,F197&gt;0),1,0)</f>
        <v>1</v>
      </c>
      <c r="J197" s="7" t="n">
        <f aca="false">IF(I197=1,D197*F197,0)</f>
        <v>17.4</v>
      </c>
      <c r="K197" s="7" t="n">
        <f aca="false">YEAR(E197)*100+MONTH(E197)</f>
        <v>201109</v>
      </c>
      <c r="L197" s="7" t="n">
        <f aca="false">IF(AND(A197&lt;&gt;A196,LEFT(A197,1)&lt;&gt;"C"),1,0)</f>
        <v>0</v>
      </c>
    </row>
    <row r="198" customFormat="false" ht="15" hidden="false" customHeight="false" outlineLevel="0" collapsed="false">
      <c r="A198" s="0" t="s">
        <v>332</v>
      </c>
      <c r="B198" s="0" t="s">
        <v>359</v>
      </c>
      <c r="C198" s="0" t="s">
        <v>360</v>
      </c>
      <c r="D198" s="0" t="n">
        <v>12</v>
      </c>
      <c r="E198" s="6" t="n">
        <v>40790.5895833333</v>
      </c>
      <c r="F198" s="0" t="n">
        <v>2.95</v>
      </c>
      <c r="G198" s="0" t="n">
        <v>12627</v>
      </c>
      <c r="H198" s="0" t="s">
        <v>33</v>
      </c>
      <c r="I198" s="7" t="n">
        <f aca="false">IF(AND(LEFT(A198,1)&lt;&gt;"C",D198&gt;0,F198&gt;0),1,0)</f>
        <v>1</v>
      </c>
      <c r="J198" s="7" t="n">
        <f aca="false">IF(I198=1,D198*F198,0)</f>
        <v>35.4</v>
      </c>
      <c r="K198" s="7" t="n">
        <f aca="false">YEAR(E198)*100+MONTH(E198)</f>
        <v>201109</v>
      </c>
      <c r="L198" s="7" t="n">
        <f aca="false">IF(AND(A198&lt;&gt;A197,LEFT(A198,1)&lt;&gt;"C"),1,0)</f>
        <v>0</v>
      </c>
    </row>
    <row r="199" customFormat="false" ht="15" hidden="false" customHeight="false" outlineLevel="0" collapsed="false">
      <c r="A199" s="0" t="s">
        <v>332</v>
      </c>
      <c r="B199" s="0" t="s">
        <v>361</v>
      </c>
      <c r="C199" s="0" t="s">
        <v>362</v>
      </c>
      <c r="D199" s="0" t="n">
        <v>6</v>
      </c>
      <c r="E199" s="6" t="n">
        <v>40790.5895833333</v>
      </c>
      <c r="F199" s="0" t="n">
        <v>2.25</v>
      </c>
      <c r="G199" s="0" t="n">
        <v>12627</v>
      </c>
      <c r="H199" s="0" t="s">
        <v>33</v>
      </c>
      <c r="I199" s="7" t="n">
        <f aca="false">IF(AND(LEFT(A199,1)&lt;&gt;"C",D199&gt;0,F199&gt;0),1,0)</f>
        <v>1</v>
      </c>
      <c r="J199" s="7" t="n">
        <f aca="false">IF(I199=1,D199*F199,0)</f>
        <v>13.5</v>
      </c>
      <c r="K199" s="7" t="n">
        <f aca="false">YEAR(E199)*100+MONTH(E199)</f>
        <v>201109</v>
      </c>
      <c r="L199" s="7" t="n">
        <f aca="false">IF(AND(A199&lt;&gt;A198,LEFT(A199,1)&lt;&gt;"C"),1,0)</f>
        <v>0</v>
      </c>
    </row>
    <row r="200" customFormat="false" ht="15" hidden="false" customHeight="false" outlineLevel="0" collapsed="false">
      <c r="A200" s="0" t="s">
        <v>332</v>
      </c>
      <c r="B200" s="0" t="s">
        <v>363</v>
      </c>
      <c r="C200" s="0" t="s">
        <v>364</v>
      </c>
      <c r="D200" s="0" t="n">
        <v>6</v>
      </c>
      <c r="E200" s="6" t="n">
        <v>40790.5895833333</v>
      </c>
      <c r="F200" s="0" t="n">
        <v>2.25</v>
      </c>
      <c r="G200" s="0" t="n">
        <v>12627</v>
      </c>
      <c r="H200" s="0" t="s">
        <v>33</v>
      </c>
      <c r="I200" s="7" t="n">
        <f aca="false">IF(AND(LEFT(A200,1)&lt;&gt;"C",D200&gt;0,F200&gt;0),1,0)</f>
        <v>1</v>
      </c>
      <c r="J200" s="7" t="n">
        <f aca="false">IF(I200=1,D200*F200,0)</f>
        <v>13.5</v>
      </c>
      <c r="K200" s="7" t="n">
        <f aca="false">YEAR(E200)*100+MONTH(E200)</f>
        <v>201109</v>
      </c>
      <c r="L200" s="7" t="n">
        <f aca="false">IF(AND(A200&lt;&gt;A199,LEFT(A200,1)&lt;&gt;"C"),1,0)</f>
        <v>0</v>
      </c>
    </row>
    <row r="201" customFormat="false" ht="15" hidden="false" customHeight="false" outlineLevel="0" collapsed="false">
      <c r="A201" s="0" t="s">
        <v>332</v>
      </c>
      <c r="B201" s="0" t="s">
        <v>138</v>
      </c>
      <c r="C201" s="0" t="s">
        <v>139</v>
      </c>
      <c r="D201" s="0" t="n">
        <v>6</v>
      </c>
      <c r="E201" s="6" t="n">
        <v>40790.5895833333</v>
      </c>
      <c r="F201" s="0" t="n">
        <v>2.08</v>
      </c>
      <c r="G201" s="0" t="n">
        <v>12627</v>
      </c>
      <c r="H201" s="0" t="s">
        <v>33</v>
      </c>
      <c r="I201" s="7" t="n">
        <f aca="false">IF(AND(LEFT(A201,1)&lt;&gt;"C",D201&gt;0,F201&gt;0),1,0)</f>
        <v>1</v>
      </c>
      <c r="J201" s="7" t="n">
        <f aca="false">IF(I201=1,D201*F201,0)</f>
        <v>12.48</v>
      </c>
      <c r="K201" s="7" t="n">
        <f aca="false">YEAR(E201)*100+MONTH(E201)</f>
        <v>201109</v>
      </c>
      <c r="L201" s="7" t="n">
        <f aca="false">IF(AND(A201&lt;&gt;A200,LEFT(A201,1)&lt;&gt;"C"),1,0)</f>
        <v>0</v>
      </c>
    </row>
    <row r="202" customFormat="false" ht="15" hidden="false" customHeight="false" outlineLevel="0" collapsed="false">
      <c r="A202" s="0" t="s">
        <v>332</v>
      </c>
      <c r="B202" s="0" t="s">
        <v>177</v>
      </c>
      <c r="C202" s="0" t="s">
        <v>178</v>
      </c>
      <c r="D202" s="0" t="n">
        <v>8</v>
      </c>
      <c r="E202" s="6" t="n">
        <v>40790.5895833333</v>
      </c>
      <c r="F202" s="0" t="n">
        <v>1.25</v>
      </c>
      <c r="G202" s="0" t="n">
        <v>12627</v>
      </c>
      <c r="H202" s="0" t="s">
        <v>33</v>
      </c>
      <c r="I202" s="7" t="n">
        <f aca="false">IF(AND(LEFT(A202,1)&lt;&gt;"C",D202&gt;0,F202&gt;0),1,0)</f>
        <v>1</v>
      </c>
      <c r="J202" s="7" t="n">
        <f aca="false">IF(I202=1,D202*F202,0)</f>
        <v>10</v>
      </c>
      <c r="K202" s="7" t="n">
        <f aca="false">YEAR(E202)*100+MONTH(E202)</f>
        <v>201109</v>
      </c>
      <c r="L202" s="7" t="n">
        <f aca="false">IF(AND(A202&lt;&gt;A201,LEFT(A202,1)&lt;&gt;"C"),1,0)</f>
        <v>0</v>
      </c>
    </row>
    <row r="203" customFormat="false" ht="15" hidden="false" customHeight="false" outlineLevel="0" collapsed="false">
      <c r="A203" s="0" t="s">
        <v>332</v>
      </c>
      <c r="B203" s="0" t="s">
        <v>175</v>
      </c>
      <c r="C203" s="0" t="s">
        <v>176</v>
      </c>
      <c r="D203" s="0" t="n">
        <v>8</v>
      </c>
      <c r="E203" s="6" t="n">
        <v>40790.5895833333</v>
      </c>
      <c r="F203" s="0" t="n">
        <v>1.25</v>
      </c>
      <c r="G203" s="0" t="n">
        <v>12627</v>
      </c>
      <c r="H203" s="0" t="s">
        <v>33</v>
      </c>
      <c r="I203" s="7" t="n">
        <f aca="false">IF(AND(LEFT(A203,1)&lt;&gt;"C",D203&gt;0,F203&gt;0),1,0)</f>
        <v>1</v>
      </c>
      <c r="J203" s="7" t="n">
        <f aca="false">IF(I203=1,D203*F203,0)</f>
        <v>10</v>
      </c>
      <c r="K203" s="7" t="n">
        <f aca="false">YEAR(E203)*100+MONTH(E203)</f>
        <v>201109</v>
      </c>
      <c r="L203" s="7" t="n">
        <f aca="false">IF(AND(A203&lt;&gt;A202,LEFT(A203,1)&lt;&gt;"C"),1,0)</f>
        <v>0</v>
      </c>
    </row>
    <row r="204" customFormat="false" ht="15" hidden="false" customHeight="false" outlineLevel="0" collapsed="false">
      <c r="A204" s="0" t="s">
        <v>332</v>
      </c>
      <c r="B204" s="0" t="s">
        <v>365</v>
      </c>
      <c r="C204" s="0" t="s">
        <v>366</v>
      </c>
      <c r="D204" s="0" t="n">
        <v>6</v>
      </c>
      <c r="E204" s="6" t="n">
        <v>40790.5895833333</v>
      </c>
      <c r="F204" s="0" t="n">
        <v>2.95</v>
      </c>
      <c r="G204" s="0" t="n">
        <v>12627</v>
      </c>
      <c r="H204" s="0" t="s">
        <v>33</v>
      </c>
      <c r="I204" s="7" t="n">
        <f aca="false">IF(AND(LEFT(A204,1)&lt;&gt;"C",D204&gt;0,F204&gt;0),1,0)</f>
        <v>1</v>
      </c>
      <c r="J204" s="7" t="n">
        <f aca="false">IF(I204=1,D204*F204,0)</f>
        <v>17.7</v>
      </c>
      <c r="K204" s="7" t="n">
        <f aca="false">YEAR(E204)*100+MONTH(E204)</f>
        <v>201109</v>
      </c>
      <c r="L204" s="7" t="n">
        <f aca="false">IF(AND(A204&lt;&gt;A203,LEFT(A204,1)&lt;&gt;"C"),1,0)</f>
        <v>0</v>
      </c>
    </row>
    <row r="205" customFormat="false" ht="15" hidden="false" customHeight="false" outlineLevel="0" collapsed="false">
      <c r="A205" s="0" t="s">
        <v>332</v>
      </c>
      <c r="B205" s="0" t="s">
        <v>367</v>
      </c>
      <c r="C205" s="0" t="s">
        <v>368</v>
      </c>
      <c r="D205" s="0" t="n">
        <v>12</v>
      </c>
      <c r="E205" s="6" t="n">
        <v>40790.5895833333</v>
      </c>
      <c r="F205" s="0" t="n">
        <v>0.85</v>
      </c>
      <c r="G205" s="0" t="n">
        <v>12627</v>
      </c>
      <c r="H205" s="0" t="s">
        <v>33</v>
      </c>
      <c r="I205" s="7" t="n">
        <f aca="false">IF(AND(LEFT(A205,1)&lt;&gt;"C",D205&gt;0,F205&gt;0),1,0)</f>
        <v>1</v>
      </c>
      <c r="J205" s="7" t="n">
        <f aca="false">IF(I205=1,D205*F205,0)</f>
        <v>10.2</v>
      </c>
      <c r="K205" s="7" t="n">
        <f aca="false">YEAR(E205)*100+MONTH(E205)</f>
        <v>201109</v>
      </c>
      <c r="L205" s="7" t="n">
        <f aca="false">IF(AND(A205&lt;&gt;A204,LEFT(A205,1)&lt;&gt;"C"),1,0)</f>
        <v>0</v>
      </c>
    </row>
    <row r="206" customFormat="false" ht="15" hidden="false" customHeight="false" outlineLevel="0" collapsed="false">
      <c r="A206" s="0" t="s">
        <v>332</v>
      </c>
      <c r="B206" s="0" t="s">
        <v>369</v>
      </c>
      <c r="C206" s="0" t="s">
        <v>370</v>
      </c>
      <c r="D206" s="0" t="n">
        <v>100</v>
      </c>
      <c r="E206" s="6" t="n">
        <v>40790.5895833333</v>
      </c>
      <c r="F206" s="0" t="n">
        <v>0.04</v>
      </c>
      <c r="G206" s="0" t="n">
        <v>12627</v>
      </c>
      <c r="H206" s="0" t="s">
        <v>33</v>
      </c>
      <c r="I206" s="7" t="n">
        <f aca="false">IF(AND(LEFT(A206,1)&lt;&gt;"C",D206&gt;0,F206&gt;0),1,0)</f>
        <v>1</v>
      </c>
      <c r="J206" s="7" t="n">
        <f aca="false">IF(I206=1,D206*F206,0)</f>
        <v>4</v>
      </c>
      <c r="K206" s="7" t="n">
        <f aca="false">YEAR(E206)*100+MONTH(E206)</f>
        <v>201109</v>
      </c>
      <c r="L206" s="7" t="n">
        <f aca="false">IF(AND(A206&lt;&gt;A205,LEFT(A206,1)&lt;&gt;"C"),1,0)</f>
        <v>0</v>
      </c>
    </row>
    <row r="207" customFormat="false" ht="15" hidden="false" customHeight="false" outlineLevel="0" collapsed="false">
      <c r="A207" s="0" t="s">
        <v>332</v>
      </c>
      <c r="B207" s="0" t="s">
        <v>84</v>
      </c>
      <c r="C207" s="0" t="s">
        <v>85</v>
      </c>
      <c r="D207" s="0" t="n">
        <v>3</v>
      </c>
      <c r="E207" s="6" t="n">
        <v>40790.5895833333</v>
      </c>
      <c r="F207" s="0" t="n">
        <v>18</v>
      </c>
      <c r="G207" s="0" t="n">
        <v>12627</v>
      </c>
      <c r="H207" s="0" t="s">
        <v>33</v>
      </c>
      <c r="I207" s="7" t="n">
        <f aca="false">IF(AND(LEFT(A207,1)&lt;&gt;"C",D207&gt;0,F207&gt;0),1,0)</f>
        <v>1</v>
      </c>
      <c r="J207" s="7" t="n">
        <f aca="false">IF(I207=1,D207*F207,0)</f>
        <v>54</v>
      </c>
      <c r="K207" s="7" t="n">
        <f aca="false">YEAR(E207)*100+MONTH(E207)</f>
        <v>201109</v>
      </c>
      <c r="L207" s="7" t="n">
        <f aca="false">IF(AND(A207&lt;&gt;A206,LEFT(A207,1)&lt;&gt;"C"),1,0)</f>
        <v>0</v>
      </c>
    </row>
    <row r="208" customFormat="false" ht="15" hidden="false" customHeight="false" outlineLevel="0" collapsed="false">
      <c r="A208" s="0" t="s">
        <v>371</v>
      </c>
      <c r="B208" s="0" t="s">
        <v>372</v>
      </c>
      <c r="C208" s="0" t="s">
        <v>373</v>
      </c>
      <c r="D208" s="0" t="n">
        <v>12</v>
      </c>
      <c r="E208" s="6" t="n">
        <v>40790.5986111111</v>
      </c>
      <c r="F208" s="0" t="n">
        <v>1.25</v>
      </c>
      <c r="G208" s="0" t="n">
        <v>12567</v>
      </c>
      <c r="H208" s="0" t="s">
        <v>43</v>
      </c>
      <c r="I208" s="7" t="n">
        <f aca="false">IF(AND(LEFT(A208,1)&lt;&gt;"C",D208&gt;0,F208&gt;0),1,0)</f>
        <v>1</v>
      </c>
      <c r="J208" s="7" t="n">
        <f aca="false">IF(I208=1,D208*F208,0)</f>
        <v>15</v>
      </c>
      <c r="K208" s="7" t="n">
        <f aca="false">YEAR(E208)*100+MONTH(E208)</f>
        <v>201109</v>
      </c>
      <c r="L208" s="7" t="n">
        <f aca="false">IF(AND(A208&lt;&gt;A207,LEFT(A208,1)&lt;&gt;"C"),1,0)</f>
        <v>1</v>
      </c>
    </row>
    <row r="209" customFormat="false" ht="15" hidden="false" customHeight="false" outlineLevel="0" collapsed="false">
      <c r="A209" s="0" t="s">
        <v>371</v>
      </c>
      <c r="B209" s="0" t="s">
        <v>374</v>
      </c>
      <c r="C209" s="0" t="s">
        <v>375</v>
      </c>
      <c r="D209" s="0" t="n">
        <v>12</v>
      </c>
      <c r="E209" s="6" t="n">
        <v>40790.5986111111</v>
      </c>
      <c r="F209" s="0" t="n">
        <v>1.25</v>
      </c>
      <c r="G209" s="0" t="n">
        <v>12567</v>
      </c>
      <c r="H209" s="0" t="s">
        <v>43</v>
      </c>
      <c r="I209" s="7" t="n">
        <f aca="false">IF(AND(LEFT(A209,1)&lt;&gt;"C",D209&gt;0,F209&gt;0),1,0)</f>
        <v>1</v>
      </c>
      <c r="J209" s="7" t="n">
        <f aca="false">IF(I209=1,D209*F209,0)</f>
        <v>15</v>
      </c>
      <c r="K209" s="7" t="n">
        <f aca="false">YEAR(E209)*100+MONTH(E209)</f>
        <v>201109</v>
      </c>
      <c r="L209" s="7" t="n">
        <f aca="false">IF(AND(A209&lt;&gt;A208,LEFT(A209,1)&lt;&gt;"C"),1,0)</f>
        <v>0</v>
      </c>
    </row>
    <row r="210" customFormat="false" ht="15" hidden="false" customHeight="false" outlineLevel="0" collapsed="false">
      <c r="A210" s="0" t="s">
        <v>371</v>
      </c>
      <c r="B210" s="0" t="s">
        <v>148</v>
      </c>
      <c r="C210" s="0" t="s">
        <v>149</v>
      </c>
      <c r="D210" s="0" t="n">
        <v>4</v>
      </c>
      <c r="E210" s="6" t="n">
        <v>40790.5986111111</v>
      </c>
      <c r="F210" s="0" t="n">
        <v>12.75</v>
      </c>
      <c r="G210" s="0" t="n">
        <v>12567</v>
      </c>
      <c r="H210" s="0" t="s">
        <v>43</v>
      </c>
      <c r="I210" s="7" t="n">
        <f aca="false">IF(AND(LEFT(A210,1)&lt;&gt;"C",D210&gt;0,F210&gt;0),1,0)</f>
        <v>1</v>
      </c>
      <c r="J210" s="7" t="n">
        <f aca="false">IF(I210=1,D210*F210,0)</f>
        <v>51</v>
      </c>
      <c r="K210" s="7" t="n">
        <f aca="false">YEAR(E210)*100+MONTH(E210)</f>
        <v>201109</v>
      </c>
      <c r="L210" s="7" t="n">
        <f aca="false">IF(AND(A210&lt;&gt;A209,LEFT(A210,1)&lt;&gt;"C"),1,0)</f>
        <v>0</v>
      </c>
    </row>
    <row r="211" customFormat="false" ht="15" hidden="false" customHeight="false" outlineLevel="0" collapsed="false">
      <c r="A211" s="0" t="s">
        <v>371</v>
      </c>
      <c r="B211" s="0" t="s">
        <v>324</v>
      </c>
      <c r="C211" s="0" t="s">
        <v>325</v>
      </c>
      <c r="D211" s="0" t="n">
        <v>4</v>
      </c>
      <c r="E211" s="6" t="n">
        <v>40790.5986111111</v>
      </c>
      <c r="F211" s="0" t="n">
        <v>4.95</v>
      </c>
      <c r="G211" s="0" t="n">
        <v>12567</v>
      </c>
      <c r="H211" s="0" t="s">
        <v>43</v>
      </c>
      <c r="I211" s="7" t="n">
        <f aca="false">IF(AND(LEFT(A211,1)&lt;&gt;"C",D211&gt;0,F211&gt;0),1,0)</f>
        <v>1</v>
      </c>
      <c r="J211" s="7" t="n">
        <f aca="false">IF(I211=1,D211*F211,0)</f>
        <v>19.8</v>
      </c>
      <c r="K211" s="7" t="n">
        <f aca="false">YEAR(E211)*100+MONTH(E211)</f>
        <v>201109</v>
      </c>
      <c r="L211" s="7" t="n">
        <f aca="false">IF(AND(A211&lt;&gt;A210,LEFT(A211,1)&lt;&gt;"C"),1,0)</f>
        <v>0</v>
      </c>
    </row>
    <row r="212" customFormat="false" ht="15" hidden="false" customHeight="false" outlineLevel="0" collapsed="false">
      <c r="A212" s="0" t="s">
        <v>371</v>
      </c>
      <c r="B212" s="0" t="s">
        <v>376</v>
      </c>
      <c r="C212" s="0" t="s">
        <v>377</v>
      </c>
      <c r="D212" s="0" t="n">
        <v>2</v>
      </c>
      <c r="E212" s="6" t="n">
        <v>40790.5986111111</v>
      </c>
      <c r="F212" s="0" t="n">
        <v>9.95</v>
      </c>
      <c r="G212" s="0" t="n">
        <v>12567</v>
      </c>
      <c r="H212" s="0" t="s">
        <v>43</v>
      </c>
      <c r="I212" s="7" t="n">
        <f aca="false">IF(AND(LEFT(A212,1)&lt;&gt;"C",D212&gt;0,F212&gt;0),1,0)</f>
        <v>1</v>
      </c>
      <c r="J212" s="7" t="n">
        <f aca="false">IF(I212=1,D212*F212,0)</f>
        <v>19.9</v>
      </c>
      <c r="K212" s="7" t="n">
        <f aca="false">YEAR(E212)*100+MONTH(E212)</f>
        <v>201109</v>
      </c>
      <c r="L212" s="7" t="n">
        <f aca="false">IF(AND(A212&lt;&gt;A211,LEFT(A212,1)&lt;&gt;"C"),1,0)</f>
        <v>0</v>
      </c>
    </row>
    <row r="213" customFormat="false" ht="15" hidden="false" customHeight="false" outlineLevel="0" collapsed="false">
      <c r="A213" s="0" t="s">
        <v>371</v>
      </c>
      <c r="B213" s="0" t="s">
        <v>378</v>
      </c>
      <c r="C213" s="0" t="s">
        <v>379</v>
      </c>
      <c r="D213" s="0" t="n">
        <v>12</v>
      </c>
      <c r="E213" s="6" t="n">
        <v>40790.5986111111</v>
      </c>
      <c r="F213" s="0" t="n">
        <v>1.25</v>
      </c>
      <c r="G213" s="0" t="n">
        <v>12567</v>
      </c>
      <c r="H213" s="0" t="s">
        <v>43</v>
      </c>
      <c r="I213" s="7" t="n">
        <f aca="false">IF(AND(LEFT(A213,1)&lt;&gt;"C",D213&gt;0,F213&gt;0),1,0)</f>
        <v>1</v>
      </c>
      <c r="J213" s="7" t="n">
        <f aca="false">IF(I213=1,D213*F213,0)</f>
        <v>15</v>
      </c>
      <c r="K213" s="7" t="n">
        <f aca="false">YEAR(E213)*100+MONTH(E213)</f>
        <v>201109</v>
      </c>
      <c r="L213" s="7" t="n">
        <f aca="false">IF(AND(A213&lt;&gt;A212,LEFT(A213,1)&lt;&gt;"C"),1,0)</f>
        <v>0</v>
      </c>
    </row>
    <row r="214" customFormat="false" ht="15" hidden="false" customHeight="false" outlineLevel="0" collapsed="false">
      <c r="A214" s="0" t="s">
        <v>371</v>
      </c>
      <c r="B214" s="0" t="s">
        <v>230</v>
      </c>
      <c r="C214" s="0" t="s">
        <v>231</v>
      </c>
      <c r="D214" s="0" t="n">
        <v>12</v>
      </c>
      <c r="E214" s="6" t="n">
        <v>40790.5986111111</v>
      </c>
      <c r="F214" s="0" t="n">
        <v>0.83</v>
      </c>
      <c r="G214" s="0" t="n">
        <v>12567</v>
      </c>
      <c r="H214" s="0" t="s">
        <v>43</v>
      </c>
      <c r="I214" s="7" t="n">
        <f aca="false">IF(AND(LEFT(A214,1)&lt;&gt;"C",D214&gt;0,F214&gt;0),1,0)</f>
        <v>1</v>
      </c>
      <c r="J214" s="7" t="n">
        <f aca="false">IF(I214=1,D214*F214,0)</f>
        <v>9.96</v>
      </c>
      <c r="K214" s="7" t="n">
        <f aca="false">YEAR(E214)*100+MONTH(E214)</f>
        <v>201109</v>
      </c>
      <c r="L214" s="7" t="n">
        <f aca="false">IF(AND(A214&lt;&gt;A213,LEFT(A214,1)&lt;&gt;"C"),1,0)</f>
        <v>0</v>
      </c>
    </row>
    <row r="215" customFormat="false" ht="15" hidden="false" customHeight="false" outlineLevel="0" collapsed="false">
      <c r="A215" s="0" t="s">
        <v>371</v>
      </c>
      <c r="B215" s="0" t="s">
        <v>125</v>
      </c>
      <c r="C215" s="0" t="s">
        <v>126</v>
      </c>
      <c r="D215" s="0" t="n">
        <v>24</v>
      </c>
      <c r="E215" s="6" t="n">
        <v>40790.5986111111</v>
      </c>
      <c r="F215" s="0" t="n">
        <v>1.25</v>
      </c>
      <c r="G215" s="0" t="n">
        <v>12567</v>
      </c>
      <c r="H215" s="0" t="s">
        <v>43</v>
      </c>
      <c r="I215" s="7" t="n">
        <f aca="false">IF(AND(LEFT(A215,1)&lt;&gt;"C",D215&gt;0,F215&gt;0),1,0)</f>
        <v>1</v>
      </c>
      <c r="J215" s="7" t="n">
        <f aca="false">IF(I215=1,D215*F215,0)</f>
        <v>30</v>
      </c>
      <c r="K215" s="7" t="n">
        <f aca="false">YEAR(E215)*100+MONTH(E215)</f>
        <v>201109</v>
      </c>
      <c r="L215" s="7" t="n">
        <f aca="false">IF(AND(A215&lt;&gt;A214,LEFT(A215,1)&lt;&gt;"C"),1,0)</f>
        <v>0</v>
      </c>
    </row>
    <row r="216" customFormat="false" ht="15" hidden="false" customHeight="false" outlineLevel="0" collapsed="false">
      <c r="A216" s="0" t="s">
        <v>371</v>
      </c>
      <c r="B216" s="0" t="s">
        <v>380</v>
      </c>
      <c r="C216" s="0" t="s">
        <v>381</v>
      </c>
      <c r="D216" s="0" t="n">
        <v>12</v>
      </c>
      <c r="E216" s="6" t="n">
        <v>40790.5986111111</v>
      </c>
      <c r="F216" s="0" t="n">
        <v>0.85</v>
      </c>
      <c r="G216" s="0" t="n">
        <v>12567</v>
      </c>
      <c r="H216" s="0" t="s">
        <v>43</v>
      </c>
      <c r="I216" s="7" t="n">
        <f aca="false">IF(AND(LEFT(A216,1)&lt;&gt;"C",D216&gt;0,F216&gt;0),1,0)</f>
        <v>1</v>
      </c>
      <c r="J216" s="7" t="n">
        <f aca="false">IF(I216=1,D216*F216,0)</f>
        <v>10.2</v>
      </c>
      <c r="K216" s="7" t="n">
        <f aca="false">YEAR(E216)*100+MONTH(E216)</f>
        <v>201109</v>
      </c>
      <c r="L216" s="7" t="n">
        <f aca="false">IF(AND(A216&lt;&gt;A215,LEFT(A216,1)&lt;&gt;"C"),1,0)</f>
        <v>0</v>
      </c>
    </row>
    <row r="217" customFormat="false" ht="15" hidden="false" customHeight="false" outlineLevel="0" collapsed="false">
      <c r="A217" s="0" t="s">
        <v>371</v>
      </c>
      <c r="B217" s="0" t="s">
        <v>382</v>
      </c>
      <c r="C217" s="0" t="s">
        <v>383</v>
      </c>
      <c r="D217" s="0" t="n">
        <v>6</v>
      </c>
      <c r="E217" s="6" t="n">
        <v>40790.5986111111</v>
      </c>
      <c r="F217" s="0" t="n">
        <v>2.95</v>
      </c>
      <c r="G217" s="0" t="n">
        <v>12567</v>
      </c>
      <c r="H217" s="0" t="s">
        <v>43</v>
      </c>
      <c r="I217" s="7" t="n">
        <f aca="false">IF(AND(LEFT(A217,1)&lt;&gt;"C",D217&gt;0,F217&gt;0),1,0)</f>
        <v>1</v>
      </c>
      <c r="J217" s="7" t="n">
        <f aca="false">IF(I217=1,D217*F217,0)</f>
        <v>17.7</v>
      </c>
      <c r="K217" s="7" t="n">
        <f aca="false">YEAR(E217)*100+MONTH(E217)</f>
        <v>201109</v>
      </c>
      <c r="L217" s="7" t="n">
        <f aca="false">IF(AND(A217&lt;&gt;A216,LEFT(A217,1)&lt;&gt;"C"),1,0)</f>
        <v>0</v>
      </c>
    </row>
    <row r="218" customFormat="false" ht="15" hidden="false" customHeight="false" outlineLevel="0" collapsed="false">
      <c r="A218" s="0" t="s">
        <v>371</v>
      </c>
      <c r="B218" s="0" t="s">
        <v>343</v>
      </c>
      <c r="C218" s="0" t="s">
        <v>344</v>
      </c>
      <c r="D218" s="0" t="n">
        <v>12</v>
      </c>
      <c r="E218" s="6" t="n">
        <v>40790.5986111111</v>
      </c>
      <c r="F218" s="0" t="n">
        <v>1.25</v>
      </c>
      <c r="G218" s="0" t="n">
        <v>12567</v>
      </c>
      <c r="H218" s="0" t="s">
        <v>43</v>
      </c>
      <c r="I218" s="7" t="n">
        <f aca="false">IF(AND(LEFT(A218,1)&lt;&gt;"C",D218&gt;0,F218&gt;0),1,0)</f>
        <v>1</v>
      </c>
      <c r="J218" s="7" t="n">
        <f aca="false">IF(I218=1,D218*F218,0)</f>
        <v>15</v>
      </c>
      <c r="K218" s="7" t="n">
        <f aca="false">YEAR(E218)*100+MONTH(E218)</f>
        <v>201109</v>
      </c>
      <c r="L218" s="7" t="n">
        <f aca="false">IF(AND(A218&lt;&gt;A217,LEFT(A218,1)&lt;&gt;"C"),1,0)</f>
        <v>0</v>
      </c>
    </row>
    <row r="219" customFormat="false" ht="15" hidden="false" customHeight="false" outlineLevel="0" collapsed="false">
      <c r="A219" s="0" t="s">
        <v>371</v>
      </c>
      <c r="B219" s="0" t="s">
        <v>384</v>
      </c>
      <c r="C219" s="0" t="s">
        <v>385</v>
      </c>
      <c r="D219" s="0" t="n">
        <v>12</v>
      </c>
      <c r="E219" s="6" t="n">
        <v>40790.5986111111</v>
      </c>
      <c r="F219" s="0" t="n">
        <v>1.65</v>
      </c>
      <c r="G219" s="0" t="n">
        <v>12567</v>
      </c>
      <c r="H219" s="0" t="s">
        <v>43</v>
      </c>
      <c r="I219" s="7" t="n">
        <f aca="false">IF(AND(LEFT(A219,1)&lt;&gt;"C",D219&gt;0,F219&gt;0),1,0)</f>
        <v>1</v>
      </c>
      <c r="J219" s="7" t="n">
        <f aca="false">IF(I219=1,D219*F219,0)</f>
        <v>19.8</v>
      </c>
      <c r="K219" s="7" t="n">
        <f aca="false">YEAR(E219)*100+MONTH(E219)</f>
        <v>201109</v>
      </c>
      <c r="L219" s="7" t="n">
        <f aca="false">IF(AND(A219&lt;&gt;A218,LEFT(A219,1)&lt;&gt;"C"),1,0)</f>
        <v>0</v>
      </c>
    </row>
    <row r="220" customFormat="false" ht="15" hidden="false" customHeight="false" outlineLevel="0" collapsed="false">
      <c r="A220" s="0" t="s">
        <v>371</v>
      </c>
      <c r="B220" s="0" t="s">
        <v>386</v>
      </c>
      <c r="C220" s="0" t="s">
        <v>387</v>
      </c>
      <c r="D220" s="0" t="n">
        <v>24</v>
      </c>
      <c r="E220" s="6" t="n">
        <v>40790.5986111111</v>
      </c>
      <c r="F220" s="0" t="n">
        <v>0.85</v>
      </c>
      <c r="G220" s="0" t="n">
        <v>12567</v>
      </c>
      <c r="H220" s="0" t="s">
        <v>43</v>
      </c>
      <c r="I220" s="7" t="n">
        <f aca="false">IF(AND(LEFT(A220,1)&lt;&gt;"C",D220&gt;0,F220&gt;0),1,0)</f>
        <v>1</v>
      </c>
      <c r="J220" s="7" t="n">
        <f aca="false">IF(I220=1,D220*F220,0)</f>
        <v>20.4</v>
      </c>
      <c r="K220" s="7" t="n">
        <f aca="false">YEAR(E220)*100+MONTH(E220)</f>
        <v>201109</v>
      </c>
      <c r="L220" s="7" t="n">
        <f aca="false">IF(AND(A220&lt;&gt;A219,LEFT(A220,1)&lt;&gt;"C"),1,0)</f>
        <v>0</v>
      </c>
    </row>
    <row r="221" customFormat="false" ht="15" hidden="false" customHeight="false" outlineLevel="0" collapsed="false">
      <c r="A221" s="0" t="s">
        <v>371</v>
      </c>
      <c r="B221" s="0" t="s">
        <v>388</v>
      </c>
      <c r="C221" s="0" t="s">
        <v>389</v>
      </c>
      <c r="D221" s="0" t="n">
        <v>16</v>
      </c>
      <c r="E221" s="6" t="n">
        <v>40790.5986111111</v>
      </c>
      <c r="F221" s="0" t="n">
        <v>1.69</v>
      </c>
      <c r="G221" s="0" t="n">
        <v>12567</v>
      </c>
      <c r="H221" s="0" t="s">
        <v>43</v>
      </c>
      <c r="I221" s="7" t="n">
        <f aca="false">IF(AND(LEFT(A221,1)&lt;&gt;"C",D221&gt;0,F221&gt;0),1,0)</f>
        <v>1</v>
      </c>
      <c r="J221" s="7" t="n">
        <f aca="false">IF(I221=1,D221*F221,0)</f>
        <v>27.04</v>
      </c>
      <c r="K221" s="7" t="n">
        <f aca="false">YEAR(E221)*100+MONTH(E221)</f>
        <v>201109</v>
      </c>
      <c r="L221" s="7" t="n">
        <f aca="false">IF(AND(A221&lt;&gt;A220,LEFT(A221,1)&lt;&gt;"C"),1,0)</f>
        <v>0</v>
      </c>
    </row>
    <row r="222" customFormat="false" ht="15" hidden="false" customHeight="false" outlineLevel="0" collapsed="false">
      <c r="A222" s="0" t="s">
        <v>371</v>
      </c>
      <c r="B222" s="0" t="s">
        <v>390</v>
      </c>
      <c r="C222" s="0" t="s">
        <v>391</v>
      </c>
      <c r="D222" s="0" t="n">
        <v>6</v>
      </c>
      <c r="E222" s="6" t="n">
        <v>40790.5986111111</v>
      </c>
      <c r="F222" s="0" t="n">
        <v>2.95</v>
      </c>
      <c r="G222" s="0" t="n">
        <v>12567</v>
      </c>
      <c r="H222" s="0" t="s">
        <v>43</v>
      </c>
      <c r="I222" s="7" t="n">
        <f aca="false">IF(AND(LEFT(A222,1)&lt;&gt;"C",D222&gt;0,F222&gt;0),1,0)</f>
        <v>1</v>
      </c>
      <c r="J222" s="7" t="n">
        <f aca="false">IF(I222=1,D222*F222,0)</f>
        <v>17.7</v>
      </c>
      <c r="K222" s="7" t="n">
        <f aca="false">YEAR(E222)*100+MONTH(E222)</f>
        <v>201109</v>
      </c>
      <c r="L222" s="7" t="n">
        <f aca="false">IF(AND(A222&lt;&gt;A221,LEFT(A222,1)&lt;&gt;"C"),1,0)</f>
        <v>0</v>
      </c>
    </row>
    <row r="223" customFormat="false" ht="15" hidden="false" customHeight="false" outlineLevel="0" collapsed="false">
      <c r="A223" s="0" t="s">
        <v>371</v>
      </c>
      <c r="B223" s="0" t="s">
        <v>123</v>
      </c>
      <c r="C223" s="0" t="s">
        <v>124</v>
      </c>
      <c r="D223" s="0" t="n">
        <v>6</v>
      </c>
      <c r="E223" s="6" t="n">
        <v>40790.5986111111</v>
      </c>
      <c r="F223" s="0" t="n">
        <v>2.95</v>
      </c>
      <c r="G223" s="0" t="n">
        <v>12567</v>
      </c>
      <c r="H223" s="0" t="s">
        <v>43</v>
      </c>
      <c r="I223" s="7" t="n">
        <f aca="false">IF(AND(LEFT(A223,1)&lt;&gt;"C",D223&gt;0,F223&gt;0),1,0)</f>
        <v>1</v>
      </c>
      <c r="J223" s="7" t="n">
        <f aca="false">IF(I223=1,D223*F223,0)</f>
        <v>17.7</v>
      </c>
      <c r="K223" s="7" t="n">
        <f aca="false">YEAR(E223)*100+MONTH(E223)</f>
        <v>201109</v>
      </c>
      <c r="L223" s="7" t="n">
        <f aca="false">IF(AND(A223&lt;&gt;A222,LEFT(A223,1)&lt;&gt;"C"),1,0)</f>
        <v>0</v>
      </c>
    </row>
    <row r="224" customFormat="false" ht="15" hidden="false" customHeight="false" outlineLevel="0" collapsed="false">
      <c r="A224" s="0" t="s">
        <v>371</v>
      </c>
      <c r="B224" s="0" t="s">
        <v>392</v>
      </c>
      <c r="C224" s="0" t="s">
        <v>393</v>
      </c>
      <c r="D224" s="0" t="n">
        <v>12</v>
      </c>
      <c r="E224" s="6" t="n">
        <v>40790.5986111111</v>
      </c>
      <c r="F224" s="0" t="n">
        <v>0.85</v>
      </c>
      <c r="G224" s="0" t="n">
        <v>12567</v>
      </c>
      <c r="H224" s="0" t="s">
        <v>43</v>
      </c>
      <c r="I224" s="7" t="n">
        <f aca="false">IF(AND(LEFT(A224,1)&lt;&gt;"C",D224&gt;0,F224&gt;0),1,0)</f>
        <v>1</v>
      </c>
      <c r="J224" s="7" t="n">
        <f aca="false">IF(I224=1,D224*F224,0)</f>
        <v>10.2</v>
      </c>
      <c r="K224" s="7" t="n">
        <f aca="false">YEAR(E224)*100+MONTH(E224)</f>
        <v>201109</v>
      </c>
      <c r="L224" s="7" t="n">
        <f aca="false">IF(AND(A224&lt;&gt;A223,LEFT(A224,1)&lt;&gt;"C"),1,0)</f>
        <v>0</v>
      </c>
    </row>
    <row r="225" customFormat="false" ht="15" hidden="false" customHeight="false" outlineLevel="0" collapsed="false">
      <c r="A225" s="0" t="s">
        <v>371</v>
      </c>
      <c r="B225" s="0" t="s">
        <v>394</v>
      </c>
      <c r="C225" s="0" t="s">
        <v>395</v>
      </c>
      <c r="D225" s="0" t="n">
        <v>15</v>
      </c>
      <c r="E225" s="6" t="n">
        <v>40790.5986111111</v>
      </c>
      <c r="F225" s="0" t="n">
        <v>0.42</v>
      </c>
      <c r="G225" s="0" t="n">
        <v>12567</v>
      </c>
      <c r="H225" s="0" t="s">
        <v>43</v>
      </c>
      <c r="I225" s="7" t="n">
        <f aca="false">IF(AND(LEFT(A225,1)&lt;&gt;"C",D225&gt;0,F225&gt;0),1,0)</f>
        <v>1</v>
      </c>
      <c r="J225" s="7" t="n">
        <f aca="false">IF(I225=1,D225*F225,0)</f>
        <v>6.3</v>
      </c>
      <c r="K225" s="7" t="n">
        <f aca="false">YEAR(E225)*100+MONTH(E225)</f>
        <v>201109</v>
      </c>
      <c r="L225" s="7" t="n">
        <f aca="false">IF(AND(A225&lt;&gt;A224,LEFT(A225,1)&lt;&gt;"C"),1,0)</f>
        <v>0</v>
      </c>
    </row>
    <row r="226" customFormat="false" ht="15" hidden="false" customHeight="false" outlineLevel="0" collapsed="false">
      <c r="A226" s="0" t="s">
        <v>371</v>
      </c>
      <c r="B226" s="0" t="s">
        <v>64</v>
      </c>
      <c r="C226" s="0" t="s">
        <v>65</v>
      </c>
      <c r="D226" s="0" t="n">
        <v>12</v>
      </c>
      <c r="E226" s="6" t="n">
        <v>40790.5986111111</v>
      </c>
      <c r="F226" s="0" t="n">
        <v>1.65</v>
      </c>
      <c r="G226" s="0" t="n">
        <v>12567</v>
      </c>
      <c r="H226" s="0" t="s">
        <v>43</v>
      </c>
      <c r="I226" s="7" t="n">
        <f aca="false">IF(AND(LEFT(A226,1)&lt;&gt;"C",D226&gt;0,F226&gt;0),1,0)</f>
        <v>1</v>
      </c>
      <c r="J226" s="7" t="n">
        <f aca="false">IF(I226=1,D226*F226,0)</f>
        <v>19.8</v>
      </c>
      <c r="K226" s="7" t="n">
        <f aca="false">YEAR(E226)*100+MONTH(E226)</f>
        <v>201109</v>
      </c>
      <c r="L226" s="7" t="n">
        <f aca="false">IF(AND(A226&lt;&gt;A225,LEFT(A226,1)&lt;&gt;"C"),1,0)</f>
        <v>0</v>
      </c>
    </row>
    <row r="227" customFormat="false" ht="15" hidden="false" customHeight="false" outlineLevel="0" collapsed="false">
      <c r="A227" s="0" t="s">
        <v>371</v>
      </c>
      <c r="B227" s="0" t="s">
        <v>396</v>
      </c>
      <c r="C227" s="0" t="s">
        <v>397</v>
      </c>
      <c r="D227" s="0" t="n">
        <v>12</v>
      </c>
      <c r="E227" s="6" t="n">
        <v>40790.5986111111</v>
      </c>
      <c r="F227" s="0" t="n">
        <v>1.69</v>
      </c>
      <c r="G227" s="0" t="n">
        <v>12567</v>
      </c>
      <c r="H227" s="0" t="s">
        <v>43</v>
      </c>
      <c r="I227" s="7" t="n">
        <f aca="false">IF(AND(LEFT(A227,1)&lt;&gt;"C",D227&gt;0,F227&gt;0),1,0)</f>
        <v>1</v>
      </c>
      <c r="J227" s="7" t="n">
        <f aca="false">IF(I227=1,D227*F227,0)</f>
        <v>20.28</v>
      </c>
      <c r="K227" s="7" t="n">
        <f aca="false">YEAR(E227)*100+MONTH(E227)</f>
        <v>201109</v>
      </c>
      <c r="L227" s="7" t="n">
        <f aca="false">IF(AND(A227&lt;&gt;A226,LEFT(A227,1)&lt;&gt;"C"),1,0)</f>
        <v>0</v>
      </c>
    </row>
    <row r="228" customFormat="false" ht="15" hidden="false" customHeight="false" outlineLevel="0" collapsed="false">
      <c r="A228" s="0" t="s">
        <v>371</v>
      </c>
      <c r="B228" s="0" t="s">
        <v>54</v>
      </c>
      <c r="C228" s="0" t="s">
        <v>55</v>
      </c>
      <c r="D228" s="0" t="n">
        <v>12</v>
      </c>
      <c r="E228" s="6" t="n">
        <v>40790.5986111111</v>
      </c>
      <c r="F228" s="0" t="n">
        <v>1.65</v>
      </c>
      <c r="G228" s="0" t="n">
        <v>12567</v>
      </c>
      <c r="H228" s="0" t="s">
        <v>43</v>
      </c>
      <c r="I228" s="7" t="n">
        <f aca="false">IF(AND(LEFT(A228,1)&lt;&gt;"C",D228&gt;0,F228&gt;0),1,0)</f>
        <v>1</v>
      </c>
      <c r="J228" s="7" t="n">
        <f aca="false">IF(I228=1,D228*F228,0)</f>
        <v>19.8</v>
      </c>
      <c r="K228" s="7" t="n">
        <f aca="false">YEAR(E228)*100+MONTH(E228)</f>
        <v>201109</v>
      </c>
      <c r="L228" s="7" t="n">
        <f aca="false">IF(AND(A228&lt;&gt;A227,LEFT(A228,1)&lt;&gt;"C"),1,0)</f>
        <v>0</v>
      </c>
    </row>
    <row r="229" customFormat="false" ht="15" hidden="false" customHeight="false" outlineLevel="0" collapsed="false">
      <c r="A229" s="0" t="s">
        <v>371</v>
      </c>
      <c r="B229" s="0" t="s">
        <v>398</v>
      </c>
      <c r="C229" s="0" t="s">
        <v>399</v>
      </c>
      <c r="D229" s="0" t="n">
        <v>12</v>
      </c>
      <c r="E229" s="6" t="n">
        <v>40790.5986111111</v>
      </c>
      <c r="F229" s="0" t="n">
        <v>1.25</v>
      </c>
      <c r="G229" s="0" t="n">
        <v>12567</v>
      </c>
      <c r="H229" s="0" t="s">
        <v>43</v>
      </c>
      <c r="I229" s="7" t="n">
        <f aca="false">IF(AND(LEFT(A229,1)&lt;&gt;"C",D229&gt;0,F229&gt;0),1,0)</f>
        <v>1</v>
      </c>
      <c r="J229" s="7" t="n">
        <f aca="false">IF(I229=1,D229*F229,0)</f>
        <v>15</v>
      </c>
      <c r="K229" s="7" t="n">
        <f aca="false">YEAR(E229)*100+MONTH(E229)</f>
        <v>201109</v>
      </c>
      <c r="L229" s="7" t="n">
        <f aca="false">IF(AND(A229&lt;&gt;A228,LEFT(A229,1)&lt;&gt;"C"),1,0)</f>
        <v>0</v>
      </c>
    </row>
    <row r="230" customFormat="false" ht="15" hidden="false" customHeight="false" outlineLevel="0" collapsed="false">
      <c r="A230" s="0" t="s">
        <v>371</v>
      </c>
      <c r="B230" s="0" t="s">
        <v>400</v>
      </c>
      <c r="C230" s="0" t="s">
        <v>401</v>
      </c>
      <c r="D230" s="0" t="n">
        <v>12</v>
      </c>
      <c r="E230" s="6" t="n">
        <v>40790.5986111111</v>
      </c>
      <c r="F230" s="0" t="n">
        <v>0.85</v>
      </c>
      <c r="G230" s="0" t="n">
        <v>12567</v>
      </c>
      <c r="H230" s="0" t="s">
        <v>43</v>
      </c>
      <c r="I230" s="7" t="n">
        <f aca="false">IF(AND(LEFT(A230,1)&lt;&gt;"C",D230&gt;0,F230&gt;0),1,0)</f>
        <v>1</v>
      </c>
      <c r="J230" s="7" t="n">
        <f aca="false">IF(I230=1,D230*F230,0)</f>
        <v>10.2</v>
      </c>
      <c r="K230" s="7" t="n">
        <f aca="false">YEAR(E230)*100+MONTH(E230)</f>
        <v>201109</v>
      </c>
      <c r="L230" s="7" t="n">
        <f aca="false">IF(AND(A230&lt;&gt;A229,LEFT(A230,1)&lt;&gt;"C"),1,0)</f>
        <v>0</v>
      </c>
    </row>
    <row r="231" customFormat="false" ht="15" hidden="false" customHeight="false" outlineLevel="0" collapsed="false">
      <c r="A231" s="0" t="s">
        <v>371</v>
      </c>
      <c r="B231" s="0" t="s">
        <v>402</v>
      </c>
      <c r="C231" s="0" t="s">
        <v>403</v>
      </c>
      <c r="D231" s="0" t="n">
        <v>12</v>
      </c>
      <c r="E231" s="6" t="n">
        <v>40790.5986111111</v>
      </c>
      <c r="F231" s="0" t="n">
        <v>0.85</v>
      </c>
      <c r="G231" s="0" t="n">
        <v>12567</v>
      </c>
      <c r="H231" s="0" t="s">
        <v>43</v>
      </c>
      <c r="I231" s="7" t="n">
        <f aca="false">IF(AND(LEFT(A231,1)&lt;&gt;"C",D231&gt;0,F231&gt;0),1,0)</f>
        <v>1</v>
      </c>
      <c r="J231" s="7" t="n">
        <f aca="false">IF(I231=1,D231*F231,0)</f>
        <v>10.2</v>
      </c>
      <c r="K231" s="7" t="n">
        <f aca="false">YEAR(E231)*100+MONTH(E231)</f>
        <v>201109</v>
      </c>
      <c r="L231" s="7" t="n">
        <f aca="false">IF(AND(A231&lt;&gt;A230,LEFT(A231,1)&lt;&gt;"C"),1,0)</f>
        <v>0</v>
      </c>
    </row>
    <row r="232" customFormat="false" ht="15" hidden="false" customHeight="false" outlineLevel="0" collapsed="false">
      <c r="A232" s="0" t="s">
        <v>371</v>
      </c>
      <c r="B232" s="0" t="s">
        <v>404</v>
      </c>
      <c r="C232" s="0" t="s">
        <v>405</v>
      </c>
      <c r="D232" s="0" t="n">
        <v>12</v>
      </c>
      <c r="E232" s="6" t="n">
        <v>40790.5986111111</v>
      </c>
      <c r="F232" s="0" t="n">
        <v>1.65</v>
      </c>
      <c r="G232" s="0" t="n">
        <v>12567</v>
      </c>
      <c r="H232" s="0" t="s">
        <v>43</v>
      </c>
      <c r="I232" s="7" t="n">
        <f aca="false">IF(AND(LEFT(A232,1)&lt;&gt;"C",D232&gt;0,F232&gt;0),1,0)</f>
        <v>1</v>
      </c>
      <c r="J232" s="7" t="n">
        <f aca="false">IF(I232=1,D232*F232,0)</f>
        <v>19.8</v>
      </c>
      <c r="K232" s="7" t="n">
        <f aca="false">YEAR(E232)*100+MONTH(E232)</f>
        <v>201109</v>
      </c>
      <c r="L232" s="7" t="n">
        <f aca="false">IF(AND(A232&lt;&gt;A231,LEFT(A232,1)&lt;&gt;"C"),1,0)</f>
        <v>0</v>
      </c>
    </row>
    <row r="233" customFormat="false" ht="15" hidden="false" customHeight="false" outlineLevel="0" collapsed="false">
      <c r="A233" s="0" t="s">
        <v>371</v>
      </c>
      <c r="B233" s="0" t="s">
        <v>44</v>
      </c>
      <c r="C233" s="0" t="s">
        <v>45</v>
      </c>
      <c r="D233" s="0" t="n">
        <v>12</v>
      </c>
      <c r="E233" s="6" t="n">
        <v>40790.5986111111</v>
      </c>
      <c r="F233" s="0" t="n">
        <v>0.65</v>
      </c>
      <c r="G233" s="0" t="n">
        <v>12567</v>
      </c>
      <c r="H233" s="0" t="s">
        <v>43</v>
      </c>
      <c r="I233" s="7" t="n">
        <f aca="false">IF(AND(LEFT(A233,1)&lt;&gt;"C",D233&gt;0,F233&gt;0),1,0)</f>
        <v>1</v>
      </c>
      <c r="J233" s="7" t="n">
        <f aca="false">IF(I233=1,D233*F233,0)</f>
        <v>7.8</v>
      </c>
      <c r="K233" s="7" t="n">
        <f aca="false">YEAR(E233)*100+MONTH(E233)</f>
        <v>201109</v>
      </c>
      <c r="L233" s="7" t="n">
        <f aca="false">IF(AND(A233&lt;&gt;A232,LEFT(A233,1)&lt;&gt;"C"),1,0)</f>
        <v>0</v>
      </c>
    </row>
    <row r="234" customFormat="false" ht="15" hidden="false" customHeight="false" outlineLevel="0" collapsed="false">
      <c r="A234" s="0" t="s">
        <v>371</v>
      </c>
      <c r="B234" s="0" t="s">
        <v>48</v>
      </c>
      <c r="C234" s="0" t="s">
        <v>49</v>
      </c>
      <c r="D234" s="0" t="n">
        <v>12</v>
      </c>
      <c r="E234" s="6" t="n">
        <v>40790.5986111111</v>
      </c>
      <c r="F234" s="0" t="n">
        <v>0.65</v>
      </c>
      <c r="G234" s="0" t="n">
        <v>12567</v>
      </c>
      <c r="H234" s="0" t="s">
        <v>43</v>
      </c>
      <c r="I234" s="7" t="n">
        <f aca="false">IF(AND(LEFT(A234,1)&lt;&gt;"C",D234&gt;0,F234&gt;0),1,0)</f>
        <v>1</v>
      </c>
      <c r="J234" s="7" t="n">
        <f aca="false">IF(I234=1,D234*F234,0)</f>
        <v>7.8</v>
      </c>
      <c r="K234" s="7" t="n">
        <f aca="false">YEAR(E234)*100+MONTH(E234)</f>
        <v>201109</v>
      </c>
      <c r="L234" s="7" t="n">
        <f aca="false">IF(AND(A234&lt;&gt;A233,LEFT(A234,1)&lt;&gt;"C"),1,0)</f>
        <v>0</v>
      </c>
    </row>
    <row r="235" customFormat="false" ht="15" hidden="false" customHeight="false" outlineLevel="0" collapsed="false">
      <c r="A235" s="0" t="s">
        <v>371</v>
      </c>
      <c r="B235" s="0" t="s">
        <v>406</v>
      </c>
      <c r="C235" s="0" t="s">
        <v>407</v>
      </c>
      <c r="D235" s="0" t="n">
        <v>8</v>
      </c>
      <c r="E235" s="6" t="n">
        <v>40790.5986111111</v>
      </c>
      <c r="F235" s="0" t="n">
        <v>2.25</v>
      </c>
      <c r="G235" s="0" t="n">
        <v>12567</v>
      </c>
      <c r="H235" s="0" t="s">
        <v>43</v>
      </c>
      <c r="I235" s="7" t="n">
        <f aca="false">IF(AND(LEFT(A235,1)&lt;&gt;"C",D235&gt;0,F235&gt;0),1,0)</f>
        <v>1</v>
      </c>
      <c r="J235" s="7" t="n">
        <f aca="false">IF(I235=1,D235*F235,0)</f>
        <v>18</v>
      </c>
      <c r="K235" s="7" t="n">
        <f aca="false">YEAR(E235)*100+MONTH(E235)</f>
        <v>201109</v>
      </c>
      <c r="L235" s="7" t="n">
        <f aca="false">IF(AND(A235&lt;&gt;A234,LEFT(A235,1)&lt;&gt;"C"),1,0)</f>
        <v>0</v>
      </c>
    </row>
    <row r="236" customFormat="false" ht="15" hidden="false" customHeight="false" outlineLevel="0" collapsed="false">
      <c r="A236" s="0" t="s">
        <v>371</v>
      </c>
      <c r="B236" s="0" t="s">
        <v>408</v>
      </c>
      <c r="C236" s="0" t="s">
        <v>409</v>
      </c>
      <c r="D236" s="0" t="n">
        <v>8</v>
      </c>
      <c r="E236" s="6" t="n">
        <v>40790.5986111111</v>
      </c>
      <c r="F236" s="0" t="n">
        <v>2.25</v>
      </c>
      <c r="G236" s="0" t="n">
        <v>12567</v>
      </c>
      <c r="H236" s="0" t="s">
        <v>43</v>
      </c>
      <c r="I236" s="7" t="n">
        <f aca="false">IF(AND(LEFT(A236,1)&lt;&gt;"C",D236&gt;0,F236&gt;0),1,0)</f>
        <v>1</v>
      </c>
      <c r="J236" s="7" t="n">
        <f aca="false">IF(I236=1,D236*F236,0)</f>
        <v>18</v>
      </c>
      <c r="K236" s="7" t="n">
        <f aca="false">YEAR(E236)*100+MONTH(E236)</f>
        <v>201109</v>
      </c>
      <c r="L236" s="7" t="n">
        <f aca="false">IF(AND(A236&lt;&gt;A235,LEFT(A236,1)&lt;&gt;"C"),1,0)</f>
        <v>0</v>
      </c>
    </row>
    <row r="237" customFormat="false" ht="15" hidden="false" customHeight="false" outlineLevel="0" collapsed="false">
      <c r="A237" s="0" t="s">
        <v>371</v>
      </c>
      <c r="B237" s="0" t="s">
        <v>410</v>
      </c>
      <c r="C237" s="0" t="s">
        <v>411</v>
      </c>
      <c r="D237" s="0" t="n">
        <v>24</v>
      </c>
      <c r="E237" s="6" t="n">
        <v>40790.5986111111</v>
      </c>
      <c r="F237" s="0" t="n">
        <v>1.25</v>
      </c>
      <c r="G237" s="0" t="n">
        <v>12567</v>
      </c>
      <c r="H237" s="0" t="s">
        <v>43</v>
      </c>
      <c r="I237" s="7" t="n">
        <f aca="false">IF(AND(LEFT(A237,1)&lt;&gt;"C",D237&gt;0,F237&gt;0),1,0)</f>
        <v>1</v>
      </c>
      <c r="J237" s="7" t="n">
        <f aca="false">IF(I237=1,D237*F237,0)</f>
        <v>30</v>
      </c>
      <c r="K237" s="7" t="n">
        <f aca="false">YEAR(E237)*100+MONTH(E237)</f>
        <v>201109</v>
      </c>
      <c r="L237" s="7" t="n">
        <f aca="false">IF(AND(A237&lt;&gt;A236,LEFT(A237,1)&lt;&gt;"C"),1,0)</f>
        <v>0</v>
      </c>
    </row>
    <row r="238" customFormat="false" ht="15" hidden="false" customHeight="false" outlineLevel="0" collapsed="false">
      <c r="A238" s="0" t="s">
        <v>371</v>
      </c>
      <c r="B238" s="0" t="s">
        <v>412</v>
      </c>
      <c r="C238" s="0" t="s">
        <v>413</v>
      </c>
      <c r="D238" s="0" t="n">
        <v>12</v>
      </c>
      <c r="E238" s="6" t="n">
        <v>40790.5986111111</v>
      </c>
      <c r="F238" s="0" t="n">
        <v>1.25</v>
      </c>
      <c r="G238" s="0" t="n">
        <v>12567</v>
      </c>
      <c r="H238" s="0" t="s">
        <v>43</v>
      </c>
      <c r="I238" s="7" t="n">
        <f aca="false">IF(AND(LEFT(A238,1)&lt;&gt;"C",D238&gt;0,F238&gt;0),1,0)</f>
        <v>1</v>
      </c>
      <c r="J238" s="7" t="n">
        <f aca="false">IF(I238=1,D238*F238,0)</f>
        <v>15</v>
      </c>
      <c r="K238" s="7" t="n">
        <f aca="false">YEAR(E238)*100+MONTH(E238)</f>
        <v>201109</v>
      </c>
      <c r="L238" s="7" t="n">
        <f aca="false">IF(AND(A238&lt;&gt;A237,LEFT(A238,1)&lt;&gt;"C"),1,0)</f>
        <v>0</v>
      </c>
    </row>
    <row r="239" customFormat="false" ht="15" hidden="false" customHeight="false" outlineLevel="0" collapsed="false">
      <c r="A239" s="0" t="s">
        <v>371</v>
      </c>
      <c r="B239" s="0" t="s">
        <v>414</v>
      </c>
      <c r="C239" s="0" t="s">
        <v>415</v>
      </c>
      <c r="D239" s="0" t="n">
        <v>16</v>
      </c>
      <c r="E239" s="6" t="n">
        <v>40790.5986111111</v>
      </c>
      <c r="F239" s="0" t="n">
        <v>1.69</v>
      </c>
      <c r="G239" s="0" t="n">
        <v>12567</v>
      </c>
      <c r="H239" s="0" t="s">
        <v>43</v>
      </c>
      <c r="I239" s="7" t="n">
        <f aca="false">IF(AND(LEFT(A239,1)&lt;&gt;"C",D239&gt;0,F239&gt;0),1,0)</f>
        <v>1</v>
      </c>
      <c r="J239" s="7" t="n">
        <f aca="false">IF(I239=1,D239*F239,0)</f>
        <v>27.04</v>
      </c>
      <c r="K239" s="7" t="n">
        <f aca="false">YEAR(E239)*100+MONTH(E239)</f>
        <v>201109</v>
      </c>
      <c r="L239" s="7" t="n">
        <f aca="false">IF(AND(A239&lt;&gt;A238,LEFT(A239,1)&lt;&gt;"C"),1,0)</f>
        <v>0</v>
      </c>
    </row>
    <row r="240" customFormat="false" ht="15" hidden="false" customHeight="false" outlineLevel="0" collapsed="false">
      <c r="A240" s="0" t="s">
        <v>371</v>
      </c>
      <c r="B240" s="0" t="s">
        <v>416</v>
      </c>
      <c r="C240" s="0" t="s">
        <v>417</v>
      </c>
      <c r="D240" s="0" t="n">
        <v>36</v>
      </c>
      <c r="E240" s="6" t="n">
        <v>40790.5986111111</v>
      </c>
      <c r="F240" s="0" t="n">
        <v>0.65</v>
      </c>
      <c r="G240" s="0" t="n">
        <v>12567</v>
      </c>
      <c r="H240" s="0" t="s">
        <v>43</v>
      </c>
      <c r="I240" s="7" t="n">
        <f aca="false">IF(AND(LEFT(A240,1)&lt;&gt;"C",D240&gt;0,F240&gt;0),1,0)</f>
        <v>1</v>
      </c>
      <c r="J240" s="7" t="n">
        <f aca="false">IF(I240=1,D240*F240,0)</f>
        <v>23.4</v>
      </c>
      <c r="K240" s="7" t="n">
        <f aca="false">YEAR(E240)*100+MONTH(E240)</f>
        <v>201109</v>
      </c>
      <c r="L240" s="7" t="n">
        <f aca="false">IF(AND(A240&lt;&gt;A239,LEFT(A240,1)&lt;&gt;"C"),1,0)</f>
        <v>0</v>
      </c>
    </row>
    <row r="241" customFormat="false" ht="15" hidden="false" customHeight="false" outlineLevel="0" collapsed="false">
      <c r="A241" s="0" t="s">
        <v>371</v>
      </c>
      <c r="B241" s="0" t="s">
        <v>418</v>
      </c>
      <c r="C241" s="0" t="s">
        <v>419</v>
      </c>
      <c r="D241" s="0" t="n">
        <v>6</v>
      </c>
      <c r="E241" s="6" t="n">
        <v>40790.5986111111</v>
      </c>
      <c r="F241" s="0" t="n">
        <v>3.25</v>
      </c>
      <c r="G241" s="0" t="n">
        <v>12567</v>
      </c>
      <c r="H241" s="0" t="s">
        <v>43</v>
      </c>
      <c r="I241" s="7" t="n">
        <f aca="false">IF(AND(LEFT(A241,1)&lt;&gt;"C",D241&gt;0,F241&gt;0),1,0)</f>
        <v>1</v>
      </c>
      <c r="J241" s="7" t="n">
        <f aca="false">IF(I241=1,D241*F241,0)</f>
        <v>19.5</v>
      </c>
      <c r="K241" s="7" t="n">
        <f aca="false">YEAR(E241)*100+MONTH(E241)</f>
        <v>201109</v>
      </c>
      <c r="L241" s="7" t="n">
        <f aca="false">IF(AND(A241&lt;&gt;A240,LEFT(A241,1)&lt;&gt;"C"),1,0)</f>
        <v>0</v>
      </c>
    </row>
    <row r="242" customFormat="false" ht="15" hidden="false" customHeight="false" outlineLevel="0" collapsed="false">
      <c r="A242" s="0" t="s">
        <v>371</v>
      </c>
      <c r="B242" s="0" t="s">
        <v>420</v>
      </c>
      <c r="C242" s="0" t="s">
        <v>421</v>
      </c>
      <c r="D242" s="0" t="n">
        <v>5</v>
      </c>
      <c r="E242" s="6" t="n">
        <v>40790.5986111111</v>
      </c>
      <c r="F242" s="0" t="n">
        <v>2.1</v>
      </c>
      <c r="G242" s="0" t="n">
        <v>12567</v>
      </c>
      <c r="H242" s="0" t="s">
        <v>43</v>
      </c>
      <c r="I242" s="7" t="n">
        <f aca="false">IF(AND(LEFT(A242,1)&lt;&gt;"C",D242&gt;0,F242&gt;0),1,0)</f>
        <v>1</v>
      </c>
      <c r="J242" s="7" t="n">
        <f aca="false">IF(I242=1,D242*F242,0)</f>
        <v>10.5</v>
      </c>
      <c r="K242" s="7" t="n">
        <f aca="false">YEAR(E242)*100+MONTH(E242)</f>
        <v>201109</v>
      </c>
      <c r="L242" s="7" t="n">
        <f aca="false">IF(AND(A242&lt;&gt;A241,LEFT(A242,1)&lt;&gt;"C"),1,0)</f>
        <v>0</v>
      </c>
    </row>
    <row r="243" customFormat="false" ht="15" hidden="false" customHeight="false" outlineLevel="0" collapsed="false">
      <c r="A243" s="0" t="s">
        <v>371</v>
      </c>
      <c r="B243" s="0" t="s">
        <v>422</v>
      </c>
      <c r="C243" s="0" t="s">
        <v>423</v>
      </c>
      <c r="D243" s="0" t="n">
        <v>2</v>
      </c>
      <c r="E243" s="6" t="n">
        <v>40790.5986111111</v>
      </c>
      <c r="F243" s="0" t="n">
        <v>8.25</v>
      </c>
      <c r="G243" s="0" t="n">
        <v>12567</v>
      </c>
      <c r="H243" s="0" t="s">
        <v>43</v>
      </c>
      <c r="I243" s="7" t="n">
        <f aca="false">IF(AND(LEFT(A243,1)&lt;&gt;"C",D243&gt;0,F243&gt;0),1,0)</f>
        <v>1</v>
      </c>
      <c r="J243" s="7" t="n">
        <f aca="false">IF(I243=1,D243*F243,0)</f>
        <v>16.5</v>
      </c>
      <c r="K243" s="7" t="n">
        <f aca="false">YEAR(E243)*100+MONTH(E243)</f>
        <v>201109</v>
      </c>
      <c r="L243" s="7" t="n">
        <f aca="false">IF(AND(A243&lt;&gt;A242,LEFT(A243,1)&lt;&gt;"C"),1,0)</f>
        <v>0</v>
      </c>
    </row>
    <row r="244" customFormat="false" ht="15" hidden="false" customHeight="false" outlineLevel="0" collapsed="false">
      <c r="A244" s="0" t="s">
        <v>371</v>
      </c>
      <c r="B244" s="0" t="s">
        <v>424</v>
      </c>
      <c r="C244" s="0" t="s">
        <v>425</v>
      </c>
      <c r="D244" s="0" t="n">
        <v>2</v>
      </c>
      <c r="E244" s="6" t="n">
        <v>40790.5986111111</v>
      </c>
      <c r="F244" s="0" t="n">
        <v>8.25</v>
      </c>
      <c r="G244" s="0" t="n">
        <v>12567</v>
      </c>
      <c r="H244" s="0" t="s">
        <v>43</v>
      </c>
      <c r="I244" s="7" t="n">
        <f aca="false">IF(AND(LEFT(A244,1)&lt;&gt;"C",D244&gt;0,F244&gt;0),1,0)</f>
        <v>1</v>
      </c>
      <c r="J244" s="7" t="n">
        <f aca="false">IF(I244=1,D244*F244,0)</f>
        <v>16.5</v>
      </c>
      <c r="K244" s="7" t="n">
        <f aca="false">YEAR(E244)*100+MONTH(E244)</f>
        <v>201109</v>
      </c>
      <c r="L244" s="7" t="n">
        <f aca="false">IF(AND(A244&lt;&gt;A243,LEFT(A244,1)&lt;&gt;"C"),1,0)</f>
        <v>0</v>
      </c>
    </row>
    <row r="245" customFormat="false" ht="15" hidden="false" customHeight="false" outlineLevel="0" collapsed="false">
      <c r="A245" s="0" t="s">
        <v>371</v>
      </c>
      <c r="B245" s="0" t="s">
        <v>426</v>
      </c>
      <c r="C245" s="0" t="s">
        <v>427</v>
      </c>
      <c r="D245" s="0" t="n">
        <v>2</v>
      </c>
      <c r="E245" s="6" t="n">
        <v>40790.5986111111</v>
      </c>
      <c r="F245" s="0" t="n">
        <v>8.25</v>
      </c>
      <c r="G245" s="0" t="n">
        <v>12567</v>
      </c>
      <c r="H245" s="0" t="s">
        <v>43</v>
      </c>
      <c r="I245" s="7" t="n">
        <f aca="false">IF(AND(LEFT(A245,1)&lt;&gt;"C",D245&gt;0,F245&gt;0),1,0)</f>
        <v>1</v>
      </c>
      <c r="J245" s="7" t="n">
        <f aca="false">IF(I245=1,D245*F245,0)</f>
        <v>16.5</v>
      </c>
      <c r="K245" s="7" t="n">
        <f aca="false">YEAR(E245)*100+MONTH(E245)</f>
        <v>201109</v>
      </c>
      <c r="L245" s="7" t="n">
        <f aca="false">IF(AND(A245&lt;&gt;A244,LEFT(A245,1)&lt;&gt;"C"),1,0)</f>
        <v>0</v>
      </c>
    </row>
    <row r="246" customFormat="false" ht="15" hidden="false" customHeight="false" outlineLevel="0" collapsed="false">
      <c r="A246" s="0" t="s">
        <v>371</v>
      </c>
      <c r="B246" s="0" t="s">
        <v>428</v>
      </c>
      <c r="C246" s="0" t="s">
        <v>429</v>
      </c>
      <c r="D246" s="0" t="n">
        <v>2</v>
      </c>
      <c r="E246" s="6" t="n">
        <v>40790.5986111111</v>
      </c>
      <c r="F246" s="0" t="n">
        <v>8.25</v>
      </c>
      <c r="G246" s="0" t="n">
        <v>12567</v>
      </c>
      <c r="H246" s="0" t="s">
        <v>43</v>
      </c>
      <c r="I246" s="7" t="n">
        <f aca="false">IF(AND(LEFT(A246,1)&lt;&gt;"C",D246&gt;0,F246&gt;0),1,0)</f>
        <v>1</v>
      </c>
      <c r="J246" s="7" t="n">
        <f aca="false">IF(I246=1,D246*F246,0)</f>
        <v>16.5</v>
      </c>
      <c r="K246" s="7" t="n">
        <f aca="false">YEAR(E246)*100+MONTH(E246)</f>
        <v>201109</v>
      </c>
      <c r="L246" s="7" t="n">
        <f aca="false">IF(AND(A246&lt;&gt;A245,LEFT(A246,1)&lt;&gt;"C"),1,0)</f>
        <v>0</v>
      </c>
    </row>
    <row r="247" customFormat="false" ht="15" hidden="false" customHeight="false" outlineLevel="0" collapsed="false">
      <c r="A247" s="0" t="s">
        <v>371</v>
      </c>
      <c r="B247" s="0" t="s">
        <v>177</v>
      </c>
      <c r="C247" s="0" t="s">
        <v>178</v>
      </c>
      <c r="D247" s="0" t="n">
        <v>8</v>
      </c>
      <c r="E247" s="6" t="n">
        <v>40790.5986111111</v>
      </c>
      <c r="F247" s="0" t="n">
        <v>1.25</v>
      </c>
      <c r="G247" s="0" t="n">
        <v>12567</v>
      </c>
      <c r="H247" s="0" t="s">
        <v>43</v>
      </c>
      <c r="I247" s="7" t="n">
        <f aca="false">IF(AND(LEFT(A247,1)&lt;&gt;"C",D247&gt;0,F247&gt;0),1,0)</f>
        <v>1</v>
      </c>
      <c r="J247" s="7" t="n">
        <f aca="false">IF(I247=1,D247*F247,0)</f>
        <v>10</v>
      </c>
      <c r="K247" s="7" t="n">
        <f aca="false">YEAR(E247)*100+MONTH(E247)</f>
        <v>201109</v>
      </c>
      <c r="L247" s="7" t="n">
        <f aca="false">IF(AND(A247&lt;&gt;A246,LEFT(A247,1)&lt;&gt;"C"),1,0)</f>
        <v>0</v>
      </c>
    </row>
    <row r="248" customFormat="false" ht="15" hidden="false" customHeight="false" outlineLevel="0" collapsed="false">
      <c r="A248" s="0" t="s">
        <v>371</v>
      </c>
      <c r="B248" s="0" t="s">
        <v>175</v>
      </c>
      <c r="C248" s="0" t="s">
        <v>176</v>
      </c>
      <c r="D248" s="0" t="n">
        <v>8</v>
      </c>
      <c r="E248" s="6" t="n">
        <v>40790.5986111111</v>
      </c>
      <c r="F248" s="0" t="n">
        <v>1.25</v>
      </c>
      <c r="G248" s="0" t="n">
        <v>12567</v>
      </c>
      <c r="H248" s="0" t="s">
        <v>43</v>
      </c>
      <c r="I248" s="7" t="n">
        <f aca="false">IF(AND(LEFT(A248,1)&lt;&gt;"C",D248&gt;0,F248&gt;0),1,0)</f>
        <v>1</v>
      </c>
      <c r="J248" s="7" t="n">
        <f aca="false">IF(I248=1,D248*F248,0)</f>
        <v>10</v>
      </c>
      <c r="K248" s="7" t="n">
        <f aca="false">YEAR(E248)*100+MONTH(E248)</f>
        <v>201109</v>
      </c>
      <c r="L248" s="7" t="n">
        <f aca="false">IF(AND(A248&lt;&gt;A247,LEFT(A248,1)&lt;&gt;"C"),1,0)</f>
        <v>0</v>
      </c>
    </row>
    <row r="249" customFormat="false" ht="15" hidden="false" customHeight="false" outlineLevel="0" collapsed="false">
      <c r="A249" s="0" t="s">
        <v>371</v>
      </c>
      <c r="B249" s="0" t="s">
        <v>171</v>
      </c>
      <c r="C249" s="0" t="s">
        <v>172</v>
      </c>
      <c r="D249" s="0" t="n">
        <v>8</v>
      </c>
      <c r="E249" s="6" t="n">
        <v>40790.5986111111</v>
      </c>
      <c r="F249" s="0" t="n">
        <v>1.25</v>
      </c>
      <c r="G249" s="0" t="n">
        <v>12567</v>
      </c>
      <c r="H249" s="0" t="s">
        <v>43</v>
      </c>
      <c r="I249" s="7" t="n">
        <f aca="false">IF(AND(LEFT(A249,1)&lt;&gt;"C",D249&gt;0,F249&gt;0),1,0)</f>
        <v>1</v>
      </c>
      <c r="J249" s="7" t="n">
        <f aca="false">IF(I249=1,D249*F249,0)</f>
        <v>10</v>
      </c>
      <c r="K249" s="7" t="n">
        <f aca="false">YEAR(E249)*100+MONTH(E249)</f>
        <v>201109</v>
      </c>
      <c r="L249" s="7" t="n">
        <f aca="false">IF(AND(A249&lt;&gt;A248,LEFT(A249,1)&lt;&gt;"C"),1,0)</f>
        <v>0</v>
      </c>
    </row>
    <row r="250" customFormat="false" ht="15" hidden="false" customHeight="false" outlineLevel="0" collapsed="false">
      <c r="A250" s="0" t="s">
        <v>371</v>
      </c>
      <c r="B250" s="0" t="s">
        <v>173</v>
      </c>
      <c r="C250" s="0" t="s">
        <v>174</v>
      </c>
      <c r="D250" s="0" t="n">
        <v>8</v>
      </c>
      <c r="E250" s="6" t="n">
        <v>40790.5986111111</v>
      </c>
      <c r="F250" s="0" t="n">
        <v>1.25</v>
      </c>
      <c r="G250" s="0" t="n">
        <v>12567</v>
      </c>
      <c r="H250" s="0" t="s">
        <v>43</v>
      </c>
      <c r="I250" s="7" t="n">
        <f aca="false">IF(AND(LEFT(A250,1)&lt;&gt;"C",D250&gt;0,F250&gt;0),1,0)</f>
        <v>1</v>
      </c>
      <c r="J250" s="7" t="n">
        <f aca="false">IF(I250=1,D250*F250,0)</f>
        <v>10</v>
      </c>
      <c r="K250" s="7" t="n">
        <f aca="false">YEAR(E250)*100+MONTH(E250)</f>
        <v>201109</v>
      </c>
      <c r="L250" s="7" t="n">
        <f aca="false">IF(AND(A250&lt;&gt;A249,LEFT(A250,1)&lt;&gt;"C"),1,0)</f>
        <v>0</v>
      </c>
    </row>
    <row r="251" customFormat="false" ht="15" hidden="false" customHeight="false" outlineLevel="0" collapsed="false">
      <c r="A251" s="0" t="s">
        <v>371</v>
      </c>
      <c r="B251" s="0" t="s">
        <v>430</v>
      </c>
      <c r="C251" s="0" t="s">
        <v>431</v>
      </c>
      <c r="D251" s="0" t="n">
        <v>12</v>
      </c>
      <c r="E251" s="6" t="n">
        <v>40790.5986111111</v>
      </c>
      <c r="F251" s="0" t="n">
        <v>1.25</v>
      </c>
      <c r="G251" s="0" t="n">
        <v>12567</v>
      </c>
      <c r="H251" s="0" t="s">
        <v>43</v>
      </c>
      <c r="I251" s="7" t="n">
        <f aca="false">IF(AND(LEFT(A251,1)&lt;&gt;"C",D251&gt;0,F251&gt;0),1,0)</f>
        <v>1</v>
      </c>
      <c r="J251" s="7" t="n">
        <f aca="false">IF(I251=1,D251*F251,0)</f>
        <v>15</v>
      </c>
      <c r="K251" s="7" t="n">
        <f aca="false">YEAR(E251)*100+MONTH(E251)</f>
        <v>201109</v>
      </c>
      <c r="L251" s="7" t="n">
        <f aca="false">IF(AND(A251&lt;&gt;A250,LEFT(A251,1)&lt;&gt;"C"),1,0)</f>
        <v>0</v>
      </c>
    </row>
    <row r="252" customFormat="false" ht="15" hidden="false" customHeight="false" outlineLevel="0" collapsed="false">
      <c r="A252" s="0" t="s">
        <v>371</v>
      </c>
      <c r="B252" s="0" t="s">
        <v>89</v>
      </c>
      <c r="C252" s="0" t="s">
        <v>90</v>
      </c>
      <c r="D252" s="0" t="n">
        <v>4</v>
      </c>
      <c r="E252" s="6" t="n">
        <v>40790.5986111111</v>
      </c>
      <c r="F252" s="0" t="n">
        <v>4.15</v>
      </c>
      <c r="G252" s="0" t="n">
        <v>12567</v>
      </c>
      <c r="H252" s="0" t="s">
        <v>43</v>
      </c>
      <c r="I252" s="7" t="n">
        <f aca="false">IF(AND(LEFT(A252,1)&lt;&gt;"C",D252&gt;0,F252&gt;0),1,0)</f>
        <v>1</v>
      </c>
      <c r="J252" s="7" t="n">
        <f aca="false">IF(I252=1,D252*F252,0)</f>
        <v>16.6</v>
      </c>
      <c r="K252" s="7" t="n">
        <f aca="false">YEAR(E252)*100+MONTH(E252)</f>
        <v>201109</v>
      </c>
      <c r="L252" s="7" t="n">
        <f aca="false">IF(AND(A252&lt;&gt;A251,LEFT(A252,1)&lt;&gt;"C"),1,0)</f>
        <v>0</v>
      </c>
    </row>
    <row r="253" customFormat="false" ht="15" hidden="false" customHeight="false" outlineLevel="0" collapsed="false">
      <c r="A253" s="0" t="s">
        <v>371</v>
      </c>
      <c r="B253" s="0" t="s">
        <v>93</v>
      </c>
      <c r="C253" s="0" t="s">
        <v>94</v>
      </c>
      <c r="D253" s="0" t="n">
        <v>4</v>
      </c>
      <c r="E253" s="6" t="n">
        <v>40790.5986111111</v>
      </c>
      <c r="F253" s="0" t="n">
        <v>4.15</v>
      </c>
      <c r="G253" s="0" t="n">
        <v>12567</v>
      </c>
      <c r="H253" s="0" t="s">
        <v>43</v>
      </c>
      <c r="I253" s="7" t="n">
        <f aca="false">IF(AND(LEFT(A253,1)&lt;&gt;"C",D253&gt;0,F253&gt;0),1,0)</f>
        <v>1</v>
      </c>
      <c r="J253" s="7" t="n">
        <f aca="false">IF(I253=1,D253*F253,0)</f>
        <v>16.6</v>
      </c>
      <c r="K253" s="7" t="n">
        <f aca="false">YEAR(E253)*100+MONTH(E253)</f>
        <v>201109</v>
      </c>
      <c r="L253" s="7" t="n">
        <f aca="false">IF(AND(A253&lt;&gt;A252,LEFT(A253,1)&lt;&gt;"C"),1,0)</f>
        <v>0</v>
      </c>
    </row>
    <row r="254" customFormat="false" ht="15" hidden="false" customHeight="false" outlineLevel="0" collapsed="false">
      <c r="A254" s="0" t="s">
        <v>371</v>
      </c>
      <c r="B254" s="0" t="s">
        <v>335</v>
      </c>
      <c r="C254" s="0" t="s">
        <v>336</v>
      </c>
      <c r="D254" s="0" t="n">
        <v>12</v>
      </c>
      <c r="E254" s="6" t="n">
        <v>40790.5986111111</v>
      </c>
      <c r="F254" s="0" t="n">
        <v>1.65</v>
      </c>
      <c r="G254" s="0" t="n">
        <v>12567</v>
      </c>
      <c r="H254" s="0" t="s">
        <v>43</v>
      </c>
      <c r="I254" s="7" t="n">
        <f aca="false">IF(AND(LEFT(A254,1)&lt;&gt;"C",D254&gt;0,F254&gt;0),1,0)</f>
        <v>1</v>
      </c>
      <c r="J254" s="7" t="n">
        <f aca="false">IF(I254=1,D254*F254,0)</f>
        <v>19.8</v>
      </c>
      <c r="K254" s="7" t="n">
        <f aca="false">YEAR(E254)*100+MONTH(E254)</f>
        <v>201109</v>
      </c>
      <c r="L254" s="7" t="n">
        <f aca="false">IF(AND(A254&lt;&gt;A253,LEFT(A254,1)&lt;&gt;"C"),1,0)</f>
        <v>0</v>
      </c>
    </row>
    <row r="255" customFormat="false" ht="15" hidden="false" customHeight="false" outlineLevel="0" collapsed="false">
      <c r="A255" s="0" t="s">
        <v>371</v>
      </c>
      <c r="B255" s="0" t="s">
        <v>432</v>
      </c>
      <c r="C255" s="0" t="s">
        <v>433</v>
      </c>
      <c r="D255" s="0" t="n">
        <v>4</v>
      </c>
      <c r="E255" s="6" t="n">
        <v>40790.5986111111</v>
      </c>
      <c r="F255" s="0" t="n">
        <v>4.25</v>
      </c>
      <c r="G255" s="0" t="n">
        <v>12567</v>
      </c>
      <c r="H255" s="0" t="s">
        <v>43</v>
      </c>
      <c r="I255" s="7" t="n">
        <f aca="false">IF(AND(LEFT(A255,1)&lt;&gt;"C",D255&gt;0,F255&gt;0),1,0)</f>
        <v>1</v>
      </c>
      <c r="J255" s="7" t="n">
        <f aca="false">IF(I255=1,D255*F255,0)</f>
        <v>17</v>
      </c>
      <c r="K255" s="7" t="n">
        <f aca="false">YEAR(E255)*100+MONTH(E255)</f>
        <v>201109</v>
      </c>
      <c r="L255" s="7" t="n">
        <f aca="false">IF(AND(A255&lt;&gt;A254,LEFT(A255,1)&lt;&gt;"C"),1,0)</f>
        <v>0</v>
      </c>
    </row>
    <row r="256" customFormat="false" ht="15" hidden="false" customHeight="false" outlineLevel="0" collapsed="false">
      <c r="A256" s="0" t="s">
        <v>371</v>
      </c>
      <c r="B256" s="0" t="s">
        <v>267</v>
      </c>
      <c r="C256" s="0" t="s">
        <v>268</v>
      </c>
      <c r="D256" s="0" t="n">
        <v>4</v>
      </c>
      <c r="E256" s="6" t="n">
        <v>40790.5986111111</v>
      </c>
      <c r="F256" s="0" t="n">
        <v>4.25</v>
      </c>
      <c r="G256" s="0" t="n">
        <v>12567</v>
      </c>
      <c r="H256" s="0" t="s">
        <v>43</v>
      </c>
      <c r="I256" s="7" t="n">
        <f aca="false">IF(AND(LEFT(A256,1)&lt;&gt;"C",D256&gt;0,F256&gt;0),1,0)</f>
        <v>1</v>
      </c>
      <c r="J256" s="7" t="n">
        <f aca="false">IF(I256=1,D256*F256,0)</f>
        <v>17</v>
      </c>
      <c r="K256" s="7" t="n">
        <f aca="false">YEAR(E256)*100+MONTH(E256)</f>
        <v>201109</v>
      </c>
      <c r="L256" s="7" t="n">
        <f aca="false">IF(AND(A256&lt;&gt;A255,LEFT(A256,1)&lt;&gt;"C"),1,0)</f>
        <v>0</v>
      </c>
    </row>
    <row r="257" customFormat="false" ht="15" hidden="false" customHeight="false" outlineLevel="0" collapsed="false">
      <c r="A257" s="0" t="s">
        <v>371</v>
      </c>
      <c r="B257" s="0" t="s">
        <v>84</v>
      </c>
      <c r="C257" s="0" t="s">
        <v>85</v>
      </c>
      <c r="D257" s="0" t="n">
        <v>3</v>
      </c>
      <c r="E257" s="6" t="n">
        <v>40790.5986111111</v>
      </c>
      <c r="F257" s="0" t="n">
        <v>18</v>
      </c>
      <c r="G257" s="0" t="n">
        <v>12567</v>
      </c>
      <c r="H257" s="0" t="s">
        <v>43</v>
      </c>
      <c r="I257" s="7" t="n">
        <f aca="false">IF(AND(LEFT(A257,1)&lt;&gt;"C",D257&gt;0,F257&gt;0),1,0)</f>
        <v>1</v>
      </c>
      <c r="J257" s="7" t="n">
        <f aca="false">IF(I257=1,D257*F257,0)</f>
        <v>54</v>
      </c>
      <c r="K257" s="7" t="n">
        <f aca="false">YEAR(E257)*100+MONTH(E257)</f>
        <v>201109</v>
      </c>
      <c r="L257" s="7" t="n">
        <f aca="false">IF(AND(A257&lt;&gt;A256,LEFT(A257,1)&lt;&gt;"C"),1,0)</f>
        <v>0</v>
      </c>
    </row>
    <row r="258" customFormat="false" ht="15" hidden="false" customHeight="false" outlineLevel="0" collapsed="false">
      <c r="A258" s="0" t="s">
        <v>434</v>
      </c>
      <c r="B258" s="0" t="s">
        <v>435</v>
      </c>
      <c r="C258" s="0" t="s">
        <v>436</v>
      </c>
      <c r="D258" s="0" t="n">
        <v>24</v>
      </c>
      <c r="E258" s="6" t="n">
        <v>40791.5680555556</v>
      </c>
      <c r="F258" s="0" t="n">
        <v>2.89</v>
      </c>
      <c r="G258" s="0" t="n">
        <v>12727</v>
      </c>
      <c r="H258" s="0" t="s">
        <v>43</v>
      </c>
      <c r="I258" s="7" t="n">
        <f aca="false">IF(AND(LEFT(A258,1)&lt;&gt;"C",D258&gt;0,F258&gt;0),1,0)</f>
        <v>1</v>
      </c>
      <c r="J258" s="7" t="n">
        <f aca="false">IF(I258=1,D258*F258,0)</f>
        <v>69.36</v>
      </c>
      <c r="K258" s="7" t="n">
        <f aca="false">YEAR(E258)*100+MONTH(E258)</f>
        <v>201109</v>
      </c>
      <c r="L258" s="7" t="n">
        <f aca="false">IF(AND(A258&lt;&gt;A257,LEFT(A258,1)&lt;&gt;"C"),1,0)</f>
        <v>1</v>
      </c>
    </row>
    <row r="259" customFormat="false" ht="15" hidden="false" customHeight="false" outlineLevel="0" collapsed="false">
      <c r="A259" s="0" t="s">
        <v>434</v>
      </c>
      <c r="B259" s="0" t="s">
        <v>437</v>
      </c>
      <c r="C259" s="0" t="s">
        <v>438</v>
      </c>
      <c r="D259" s="0" t="n">
        <v>4</v>
      </c>
      <c r="E259" s="6" t="n">
        <v>40791.5680555556</v>
      </c>
      <c r="F259" s="0" t="n">
        <v>6.75</v>
      </c>
      <c r="G259" s="0" t="n">
        <v>12727</v>
      </c>
      <c r="H259" s="0" t="s">
        <v>43</v>
      </c>
      <c r="I259" s="7" t="n">
        <f aca="false">IF(AND(LEFT(A259,1)&lt;&gt;"C",D259&gt;0,F259&gt;0),1,0)</f>
        <v>1</v>
      </c>
      <c r="J259" s="7" t="n">
        <f aca="false">IF(I259=1,D259*F259,0)</f>
        <v>27</v>
      </c>
      <c r="K259" s="7" t="n">
        <f aca="false">YEAR(E259)*100+MONTH(E259)</f>
        <v>201109</v>
      </c>
      <c r="L259" s="7" t="n">
        <f aca="false">IF(AND(A259&lt;&gt;A258,LEFT(A259,1)&lt;&gt;"C"),1,0)</f>
        <v>0</v>
      </c>
    </row>
    <row r="260" customFormat="false" ht="15" hidden="false" customHeight="false" outlineLevel="0" collapsed="false">
      <c r="A260" s="0" t="s">
        <v>434</v>
      </c>
      <c r="B260" s="0" t="s">
        <v>439</v>
      </c>
      <c r="C260" s="0" t="s">
        <v>440</v>
      </c>
      <c r="D260" s="0" t="n">
        <v>12</v>
      </c>
      <c r="E260" s="6" t="n">
        <v>40791.5680555556</v>
      </c>
      <c r="F260" s="0" t="n">
        <v>5.95</v>
      </c>
      <c r="G260" s="0" t="n">
        <v>12727</v>
      </c>
      <c r="H260" s="0" t="s">
        <v>43</v>
      </c>
      <c r="I260" s="7" t="n">
        <f aca="false">IF(AND(LEFT(A260,1)&lt;&gt;"C",D260&gt;0,F260&gt;0),1,0)</f>
        <v>1</v>
      </c>
      <c r="J260" s="7" t="n">
        <f aca="false">IF(I260=1,D260*F260,0)</f>
        <v>71.4</v>
      </c>
      <c r="K260" s="7" t="n">
        <f aca="false">YEAR(E260)*100+MONTH(E260)</f>
        <v>201109</v>
      </c>
      <c r="L260" s="7" t="n">
        <f aca="false">IF(AND(A260&lt;&gt;A259,LEFT(A260,1)&lt;&gt;"C"),1,0)</f>
        <v>0</v>
      </c>
    </row>
    <row r="261" customFormat="false" ht="15" hidden="false" customHeight="false" outlineLevel="0" collapsed="false">
      <c r="A261" s="0" t="s">
        <v>434</v>
      </c>
      <c r="B261" s="0" t="s">
        <v>441</v>
      </c>
      <c r="C261" s="0" t="s">
        <v>442</v>
      </c>
      <c r="D261" s="0" t="n">
        <v>24</v>
      </c>
      <c r="E261" s="6" t="n">
        <v>40791.5680555556</v>
      </c>
      <c r="F261" s="0" t="n">
        <v>7.65</v>
      </c>
      <c r="G261" s="0" t="n">
        <v>12727</v>
      </c>
      <c r="H261" s="0" t="s">
        <v>43</v>
      </c>
      <c r="I261" s="7" t="n">
        <f aca="false">IF(AND(LEFT(A261,1)&lt;&gt;"C",D261&gt;0,F261&gt;0),1,0)</f>
        <v>1</v>
      </c>
      <c r="J261" s="7" t="n">
        <f aca="false">IF(I261=1,D261*F261,0)</f>
        <v>183.6</v>
      </c>
      <c r="K261" s="7" t="n">
        <f aca="false">YEAR(E261)*100+MONTH(E261)</f>
        <v>201109</v>
      </c>
      <c r="L261" s="7" t="n">
        <f aca="false">IF(AND(A261&lt;&gt;A260,LEFT(A261,1)&lt;&gt;"C"),1,0)</f>
        <v>0</v>
      </c>
    </row>
    <row r="262" customFormat="false" ht="15" hidden="false" customHeight="false" outlineLevel="0" collapsed="false">
      <c r="A262" s="0" t="s">
        <v>434</v>
      </c>
      <c r="B262" s="0" t="s">
        <v>443</v>
      </c>
      <c r="C262" s="0" t="s">
        <v>444</v>
      </c>
      <c r="D262" s="0" t="n">
        <v>72</v>
      </c>
      <c r="E262" s="6" t="n">
        <v>40791.5680555556</v>
      </c>
      <c r="F262" s="0" t="n">
        <v>0.42</v>
      </c>
      <c r="G262" s="0" t="n">
        <v>12727</v>
      </c>
      <c r="H262" s="0" t="s">
        <v>43</v>
      </c>
      <c r="I262" s="7" t="n">
        <f aca="false">IF(AND(LEFT(A262,1)&lt;&gt;"C",D262&gt;0,F262&gt;0),1,0)</f>
        <v>1</v>
      </c>
      <c r="J262" s="7" t="n">
        <f aca="false">IF(I262=1,D262*F262,0)</f>
        <v>30.24</v>
      </c>
      <c r="K262" s="7" t="n">
        <f aca="false">YEAR(E262)*100+MONTH(E262)</f>
        <v>201109</v>
      </c>
      <c r="L262" s="7" t="n">
        <f aca="false">IF(AND(A262&lt;&gt;A261,LEFT(A262,1)&lt;&gt;"C"),1,0)</f>
        <v>0</v>
      </c>
    </row>
    <row r="263" customFormat="false" ht="15" hidden="false" customHeight="false" outlineLevel="0" collapsed="false">
      <c r="A263" s="0" t="s">
        <v>434</v>
      </c>
      <c r="B263" s="0" t="s">
        <v>445</v>
      </c>
      <c r="C263" s="0" t="s">
        <v>446</v>
      </c>
      <c r="D263" s="0" t="n">
        <v>6</v>
      </c>
      <c r="E263" s="6" t="n">
        <v>40791.5680555556</v>
      </c>
      <c r="F263" s="0" t="n">
        <v>7.95</v>
      </c>
      <c r="G263" s="0" t="n">
        <v>12727</v>
      </c>
      <c r="H263" s="0" t="s">
        <v>43</v>
      </c>
      <c r="I263" s="7" t="n">
        <f aca="false">IF(AND(LEFT(A263,1)&lt;&gt;"C",D263&gt;0,F263&gt;0),1,0)</f>
        <v>1</v>
      </c>
      <c r="J263" s="7" t="n">
        <f aca="false">IF(I263=1,D263*F263,0)</f>
        <v>47.7</v>
      </c>
      <c r="K263" s="7" t="n">
        <f aca="false">YEAR(E263)*100+MONTH(E263)</f>
        <v>201109</v>
      </c>
      <c r="L263" s="7" t="n">
        <f aca="false">IF(AND(A263&lt;&gt;A262,LEFT(A263,1)&lt;&gt;"C"),1,0)</f>
        <v>0</v>
      </c>
    </row>
    <row r="264" customFormat="false" ht="15" hidden="false" customHeight="false" outlineLevel="0" collapsed="false">
      <c r="A264" s="0" t="s">
        <v>434</v>
      </c>
      <c r="B264" s="0" t="s">
        <v>84</v>
      </c>
      <c r="C264" s="0" t="s">
        <v>85</v>
      </c>
      <c r="D264" s="0" t="n">
        <v>6</v>
      </c>
      <c r="E264" s="6" t="n">
        <v>40791.5680555556</v>
      </c>
      <c r="F264" s="0" t="n">
        <v>18</v>
      </c>
      <c r="G264" s="0" t="n">
        <v>12727</v>
      </c>
      <c r="H264" s="0" t="s">
        <v>43</v>
      </c>
      <c r="I264" s="7" t="n">
        <f aca="false">IF(AND(LEFT(A264,1)&lt;&gt;"C",D264&gt;0,F264&gt;0),1,0)</f>
        <v>1</v>
      </c>
      <c r="J264" s="7" t="n">
        <f aca="false">IF(I264=1,D264*F264,0)</f>
        <v>108</v>
      </c>
      <c r="K264" s="7" t="n">
        <f aca="false">YEAR(E264)*100+MONTH(E264)</f>
        <v>201109</v>
      </c>
      <c r="L264" s="7" t="n">
        <f aca="false">IF(AND(A264&lt;&gt;A263,LEFT(A264,1)&lt;&gt;"C"),1,0)</f>
        <v>0</v>
      </c>
    </row>
    <row r="265" customFormat="false" ht="15" hidden="false" customHeight="false" outlineLevel="0" collapsed="false">
      <c r="A265" s="0" t="s">
        <v>447</v>
      </c>
      <c r="B265" s="0" t="s">
        <v>448</v>
      </c>
      <c r="C265" s="0" t="s">
        <v>449</v>
      </c>
      <c r="D265" s="0" t="n">
        <v>-1</v>
      </c>
      <c r="E265" s="6" t="n">
        <v>40791.6034722222</v>
      </c>
      <c r="F265" s="0" t="n">
        <v>1.65</v>
      </c>
      <c r="G265" s="0" t="n">
        <v>12709</v>
      </c>
      <c r="H265" s="0" t="s">
        <v>33</v>
      </c>
      <c r="I265" s="7" t="n">
        <f aca="false">IF(AND(LEFT(A265,1)&lt;&gt;"C",D265&gt;0,F265&gt;0),1,0)</f>
        <v>0</v>
      </c>
      <c r="J265" s="7" t="n">
        <f aca="false">IF(I265=1,D265*F265,0)</f>
        <v>0</v>
      </c>
      <c r="K265" s="7" t="n">
        <f aca="false">YEAR(E265)*100+MONTH(E265)</f>
        <v>201109</v>
      </c>
      <c r="L265" s="7" t="n">
        <f aca="false">IF(AND(A265&lt;&gt;A264,LEFT(A265,1)&lt;&gt;"C"),1,0)</f>
        <v>0</v>
      </c>
    </row>
    <row r="266" customFormat="false" ht="15" hidden="false" customHeight="false" outlineLevel="0" collapsed="false">
      <c r="A266" s="0" t="s">
        <v>447</v>
      </c>
      <c r="B266" s="0" t="s">
        <v>450</v>
      </c>
      <c r="C266" s="0" t="s">
        <v>451</v>
      </c>
      <c r="D266" s="0" t="n">
        <v>-1</v>
      </c>
      <c r="E266" s="6" t="n">
        <v>40791.6034722222</v>
      </c>
      <c r="F266" s="0" t="n">
        <v>2.95</v>
      </c>
      <c r="G266" s="0" t="n">
        <v>12709</v>
      </c>
      <c r="H266" s="0" t="s">
        <v>33</v>
      </c>
      <c r="I266" s="7" t="n">
        <f aca="false">IF(AND(LEFT(A266,1)&lt;&gt;"C",D266&gt;0,F266&gt;0),1,0)</f>
        <v>0</v>
      </c>
      <c r="J266" s="7" t="n">
        <f aca="false">IF(I266=1,D266*F266,0)</f>
        <v>0</v>
      </c>
      <c r="K266" s="7" t="n">
        <f aca="false">YEAR(E266)*100+MONTH(E266)</f>
        <v>201109</v>
      </c>
      <c r="L266" s="7" t="n">
        <f aca="false">IF(AND(A266&lt;&gt;A265,LEFT(A266,1)&lt;&gt;"C"),1,0)</f>
        <v>0</v>
      </c>
    </row>
    <row r="267" customFormat="false" ht="15" hidden="false" customHeight="false" outlineLevel="0" collapsed="false">
      <c r="A267" s="0" t="s">
        <v>447</v>
      </c>
      <c r="B267" s="0" t="s">
        <v>452</v>
      </c>
      <c r="C267" s="0" t="s">
        <v>453</v>
      </c>
      <c r="D267" s="0" t="n">
        <v>-1</v>
      </c>
      <c r="E267" s="6" t="n">
        <v>40791.6034722222</v>
      </c>
      <c r="F267" s="0" t="n">
        <v>7.65</v>
      </c>
      <c r="G267" s="0" t="n">
        <v>12709</v>
      </c>
      <c r="H267" s="0" t="s">
        <v>33</v>
      </c>
      <c r="I267" s="7" t="n">
        <f aca="false">IF(AND(LEFT(A267,1)&lt;&gt;"C",D267&gt;0,F267&gt;0),1,0)</f>
        <v>0</v>
      </c>
      <c r="J267" s="7" t="n">
        <f aca="false">IF(I267=1,D267*F267,0)</f>
        <v>0</v>
      </c>
      <c r="K267" s="7" t="n">
        <f aca="false">YEAR(E267)*100+MONTH(E267)</f>
        <v>201109</v>
      </c>
      <c r="L267" s="7" t="n">
        <f aca="false">IF(AND(A267&lt;&gt;A266,LEFT(A267,1)&lt;&gt;"C"),1,0)</f>
        <v>0</v>
      </c>
    </row>
    <row r="268" customFormat="false" ht="15" hidden="false" customHeight="false" outlineLevel="0" collapsed="false">
      <c r="A268" s="0" t="s">
        <v>447</v>
      </c>
      <c r="B268" s="0" t="s">
        <v>454</v>
      </c>
      <c r="C268" s="0" t="s">
        <v>455</v>
      </c>
      <c r="D268" s="0" t="n">
        <v>-2</v>
      </c>
      <c r="E268" s="6" t="n">
        <v>40791.6034722222</v>
      </c>
      <c r="F268" s="0" t="n">
        <v>3.39</v>
      </c>
      <c r="G268" s="0" t="n">
        <v>12709</v>
      </c>
      <c r="H268" s="0" t="s">
        <v>33</v>
      </c>
      <c r="I268" s="7" t="n">
        <f aca="false">IF(AND(LEFT(A268,1)&lt;&gt;"C",D268&gt;0,F268&gt;0),1,0)</f>
        <v>0</v>
      </c>
      <c r="J268" s="7" t="n">
        <f aca="false">IF(I268=1,D268*F268,0)</f>
        <v>0</v>
      </c>
      <c r="K268" s="7" t="n">
        <f aca="false">YEAR(E268)*100+MONTH(E268)</f>
        <v>201109</v>
      </c>
      <c r="L268" s="7" t="n">
        <f aca="false">IF(AND(A268&lt;&gt;A267,LEFT(A268,1)&lt;&gt;"C"),1,0)</f>
        <v>0</v>
      </c>
    </row>
    <row r="269" customFormat="false" ht="15" hidden="false" customHeight="false" outlineLevel="0" collapsed="false">
      <c r="A269" s="0" t="s">
        <v>456</v>
      </c>
      <c r="B269" s="0" t="s">
        <v>177</v>
      </c>
      <c r="C269" s="0" t="s">
        <v>178</v>
      </c>
      <c r="D269" s="0" t="n">
        <v>8</v>
      </c>
      <c r="E269" s="6" t="n">
        <v>40791.6368055556</v>
      </c>
      <c r="F269" s="0" t="n">
        <v>1.25</v>
      </c>
      <c r="G269" s="0" t="n">
        <v>12616</v>
      </c>
      <c r="H269" s="0" t="s">
        <v>43</v>
      </c>
      <c r="I269" s="7" t="n">
        <f aca="false">IF(AND(LEFT(A269,1)&lt;&gt;"C",D269&gt;0,F269&gt;0),1,0)</f>
        <v>1</v>
      </c>
      <c r="J269" s="7" t="n">
        <f aca="false">IF(I269=1,D269*F269,0)</f>
        <v>10</v>
      </c>
      <c r="K269" s="7" t="n">
        <f aca="false">YEAR(E269)*100+MONTH(E269)</f>
        <v>201109</v>
      </c>
      <c r="L269" s="7" t="n">
        <f aca="false">IF(AND(A269&lt;&gt;A268,LEFT(A269,1)&lt;&gt;"C"),1,0)</f>
        <v>1</v>
      </c>
    </row>
    <row r="270" customFormat="false" ht="15" hidden="false" customHeight="false" outlineLevel="0" collapsed="false">
      <c r="A270" s="0" t="s">
        <v>456</v>
      </c>
      <c r="B270" s="0" t="s">
        <v>171</v>
      </c>
      <c r="C270" s="0" t="s">
        <v>172</v>
      </c>
      <c r="D270" s="0" t="n">
        <v>8</v>
      </c>
      <c r="E270" s="6" t="n">
        <v>40791.6368055556</v>
      </c>
      <c r="F270" s="0" t="n">
        <v>1.25</v>
      </c>
      <c r="G270" s="0" t="n">
        <v>12616</v>
      </c>
      <c r="H270" s="0" t="s">
        <v>43</v>
      </c>
      <c r="I270" s="7" t="n">
        <f aca="false">IF(AND(LEFT(A270,1)&lt;&gt;"C",D270&gt;0,F270&gt;0),1,0)</f>
        <v>1</v>
      </c>
      <c r="J270" s="7" t="n">
        <f aca="false">IF(I270=1,D270*F270,0)</f>
        <v>10</v>
      </c>
      <c r="K270" s="7" t="n">
        <f aca="false">YEAR(E270)*100+MONTH(E270)</f>
        <v>201109</v>
      </c>
      <c r="L270" s="7" t="n">
        <f aca="false">IF(AND(A270&lt;&gt;A269,LEFT(A270,1)&lt;&gt;"C"),1,0)</f>
        <v>0</v>
      </c>
    </row>
    <row r="271" customFormat="false" ht="15" hidden="false" customHeight="false" outlineLevel="0" collapsed="false">
      <c r="A271" s="0" t="s">
        <v>456</v>
      </c>
      <c r="B271" s="0" t="s">
        <v>175</v>
      </c>
      <c r="C271" s="0" t="s">
        <v>176</v>
      </c>
      <c r="D271" s="0" t="n">
        <v>8</v>
      </c>
      <c r="E271" s="6" t="n">
        <v>40791.6368055556</v>
      </c>
      <c r="F271" s="0" t="n">
        <v>1.25</v>
      </c>
      <c r="G271" s="0" t="n">
        <v>12616</v>
      </c>
      <c r="H271" s="0" t="s">
        <v>43</v>
      </c>
      <c r="I271" s="7" t="n">
        <f aca="false">IF(AND(LEFT(A271,1)&lt;&gt;"C",D271&gt;0,F271&gt;0),1,0)</f>
        <v>1</v>
      </c>
      <c r="J271" s="7" t="n">
        <f aca="false">IF(I271=1,D271*F271,0)</f>
        <v>10</v>
      </c>
      <c r="K271" s="7" t="n">
        <f aca="false">YEAR(E271)*100+MONTH(E271)</f>
        <v>201109</v>
      </c>
      <c r="L271" s="7" t="n">
        <f aca="false">IF(AND(A271&lt;&gt;A270,LEFT(A271,1)&lt;&gt;"C"),1,0)</f>
        <v>0</v>
      </c>
    </row>
    <row r="272" customFormat="false" ht="15" hidden="false" customHeight="false" outlineLevel="0" collapsed="false">
      <c r="A272" s="0" t="s">
        <v>456</v>
      </c>
      <c r="B272" s="0" t="s">
        <v>173</v>
      </c>
      <c r="C272" s="0" t="s">
        <v>174</v>
      </c>
      <c r="D272" s="0" t="n">
        <v>8</v>
      </c>
      <c r="E272" s="6" t="n">
        <v>40791.6368055556</v>
      </c>
      <c r="F272" s="0" t="n">
        <v>1.25</v>
      </c>
      <c r="G272" s="0" t="n">
        <v>12616</v>
      </c>
      <c r="H272" s="0" t="s">
        <v>43</v>
      </c>
      <c r="I272" s="7" t="n">
        <f aca="false">IF(AND(LEFT(A272,1)&lt;&gt;"C",D272&gt;0,F272&gt;0),1,0)</f>
        <v>1</v>
      </c>
      <c r="J272" s="7" t="n">
        <f aca="false">IF(I272=1,D272*F272,0)</f>
        <v>10</v>
      </c>
      <c r="K272" s="7" t="n">
        <f aca="false">YEAR(E272)*100+MONTH(E272)</f>
        <v>201109</v>
      </c>
      <c r="L272" s="7" t="n">
        <f aca="false">IF(AND(A272&lt;&gt;A271,LEFT(A272,1)&lt;&gt;"C"),1,0)</f>
        <v>0</v>
      </c>
    </row>
    <row r="273" customFormat="false" ht="15" hidden="false" customHeight="false" outlineLevel="0" collapsed="false">
      <c r="A273" s="0" t="s">
        <v>456</v>
      </c>
      <c r="B273" s="0" t="s">
        <v>457</v>
      </c>
      <c r="C273" s="0" t="s">
        <v>458</v>
      </c>
      <c r="D273" s="0" t="n">
        <v>12</v>
      </c>
      <c r="E273" s="6" t="n">
        <v>40791.6368055556</v>
      </c>
      <c r="F273" s="0" t="n">
        <v>1.25</v>
      </c>
      <c r="G273" s="0" t="n">
        <v>12616</v>
      </c>
      <c r="H273" s="0" t="s">
        <v>43</v>
      </c>
      <c r="I273" s="7" t="n">
        <f aca="false">IF(AND(LEFT(A273,1)&lt;&gt;"C",D273&gt;0,F273&gt;0),1,0)</f>
        <v>1</v>
      </c>
      <c r="J273" s="7" t="n">
        <f aca="false">IF(I273=1,D273*F273,0)</f>
        <v>15</v>
      </c>
      <c r="K273" s="7" t="n">
        <f aca="false">YEAR(E273)*100+MONTH(E273)</f>
        <v>201109</v>
      </c>
      <c r="L273" s="7" t="n">
        <f aca="false">IF(AND(A273&lt;&gt;A272,LEFT(A273,1)&lt;&gt;"C"),1,0)</f>
        <v>0</v>
      </c>
    </row>
    <row r="274" customFormat="false" ht="15" hidden="false" customHeight="false" outlineLevel="0" collapsed="false">
      <c r="A274" s="0" t="s">
        <v>456</v>
      </c>
      <c r="B274" s="0" t="s">
        <v>459</v>
      </c>
      <c r="C274" s="0" t="s">
        <v>460</v>
      </c>
      <c r="D274" s="0" t="n">
        <v>12</v>
      </c>
      <c r="E274" s="6" t="n">
        <v>40791.6368055556</v>
      </c>
      <c r="F274" s="0" t="n">
        <v>1.25</v>
      </c>
      <c r="G274" s="0" t="n">
        <v>12616</v>
      </c>
      <c r="H274" s="0" t="s">
        <v>43</v>
      </c>
      <c r="I274" s="7" t="n">
        <f aca="false">IF(AND(LEFT(A274,1)&lt;&gt;"C",D274&gt;0,F274&gt;0),1,0)</f>
        <v>1</v>
      </c>
      <c r="J274" s="7" t="n">
        <f aca="false">IF(I274=1,D274*F274,0)</f>
        <v>15</v>
      </c>
      <c r="K274" s="7" t="n">
        <f aca="false">YEAR(E274)*100+MONTH(E274)</f>
        <v>201109</v>
      </c>
      <c r="L274" s="7" t="n">
        <f aca="false">IF(AND(A274&lt;&gt;A273,LEFT(A274,1)&lt;&gt;"C"),1,0)</f>
        <v>0</v>
      </c>
    </row>
    <row r="275" customFormat="false" ht="15" hidden="false" customHeight="false" outlineLevel="0" collapsed="false">
      <c r="A275" s="0" t="s">
        <v>456</v>
      </c>
      <c r="B275" s="0" t="s">
        <v>461</v>
      </c>
      <c r="C275" s="0" t="s">
        <v>462</v>
      </c>
      <c r="D275" s="0" t="n">
        <v>12</v>
      </c>
      <c r="E275" s="6" t="n">
        <v>40791.6368055556</v>
      </c>
      <c r="F275" s="0" t="n">
        <v>1.45</v>
      </c>
      <c r="G275" s="0" t="n">
        <v>12616</v>
      </c>
      <c r="H275" s="0" t="s">
        <v>43</v>
      </c>
      <c r="I275" s="7" t="n">
        <f aca="false">IF(AND(LEFT(A275,1)&lt;&gt;"C",D275&gt;0,F275&gt;0),1,0)</f>
        <v>1</v>
      </c>
      <c r="J275" s="7" t="n">
        <f aca="false">IF(I275=1,D275*F275,0)</f>
        <v>17.4</v>
      </c>
      <c r="K275" s="7" t="n">
        <f aca="false">YEAR(E275)*100+MONTH(E275)</f>
        <v>201109</v>
      </c>
      <c r="L275" s="7" t="n">
        <f aca="false">IF(AND(A275&lt;&gt;A274,LEFT(A275,1)&lt;&gt;"C"),1,0)</f>
        <v>0</v>
      </c>
    </row>
    <row r="276" customFormat="false" ht="15" hidden="false" customHeight="false" outlineLevel="0" collapsed="false">
      <c r="A276" s="0" t="s">
        <v>456</v>
      </c>
      <c r="B276" s="0" t="s">
        <v>463</v>
      </c>
      <c r="C276" s="0" t="s">
        <v>464</v>
      </c>
      <c r="D276" s="0" t="n">
        <v>8</v>
      </c>
      <c r="E276" s="6" t="n">
        <v>40791.6368055556</v>
      </c>
      <c r="F276" s="0" t="n">
        <v>7.95</v>
      </c>
      <c r="G276" s="0" t="n">
        <v>12616</v>
      </c>
      <c r="H276" s="0" t="s">
        <v>43</v>
      </c>
      <c r="I276" s="7" t="n">
        <f aca="false">IF(AND(LEFT(A276,1)&lt;&gt;"C",D276&gt;0,F276&gt;0),1,0)</f>
        <v>1</v>
      </c>
      <c r="J276" s="7" t="n">
        <f aca="false">IF(I276=1,D276*F276,0)</f>
        <v>63.6</v>
      </c>
      <c r="K276" s="7" t="n">
        <f aca="false">YEAR(E276)*100+MONTH(E276)</f>
        <v>201109</v>
      </c>
      <c r="L276" s="7" t="n">
        <f aca="false">IF(AND(A276&lt;&gt;A275,LEFT(A276,1)&lt;&gt;"C"),1,0)</f>
        <v>0</v>
      </c>
    </row>
    <row r="277" customFormat="false" ht="15" hidden="false" customHeight="false" outlineLevel="0" collapsed="false">
      <c r="A277" s="0" t="s">
        <v>456</v>
      </c>
      <c r="B277" s="0" t="s">
        <v>465</v>
      </c>
      <c r="C277" s="0" t="s">
        <v>466</v>
      </c>
      <c r="D277" s="0" t="n">
        <v>6</v>
      </c>
      <c r="E277" s="6" t="n">
        <v>40791.6368055556</v>
      </c>
      <c r="F277" s="0" t="n">
        <v>7.95</v>
      </c>
      <c r="G277" s="0" t="n">
        <v>12616</v>
      </c>
      <c r="H277" s="0" t="s">
        <v>43</v>
      </c>
      <c r="I277" s="7" t="n">
        <f aca="false">IF(AND(LEFT(A277,1)&lt;&gt;"C",D277&gt;0,F277&gt;0),1,0)</f>
        <v>1</v>
      </c>
      <c r="J277" s="7" t="n">
        <f aca="false">IF(I277=1,D277*F277,0)</f>
        <v>47.7</v>
      </c>
      <c r="K277" s="7" t="n">
        <f aca="false">YEAR(E277)*100+MONTH(E277)</f>
        <v>201109</v>
      </c>
      <c r="L277" s="7" t="n">
        <f aca="false">IF(AND(A277&lt;&gt;A276,LEFT(A277,1)&lt;&gt;"C"),1,0)</f>
        <v>0</v>
      </c>
    </row>
    <row r="278" customFormat="false" ht="15" hidden="false" customHeight="false" outlineLevel="0" collapsed="false">
      <c r="A278" s="0" t="s">
        <v>456</v>
      </c>
      <c r="B278" s="0" t="s">
        <v>339</v>
      </c>
      <c r="C278" s="0" t="s">
        <v>340</v>
      </c>
      <c r="D278" s="0" t="n">
        <v>8</v>
      </c>
      <c r="E278" s="6" t="n">
        <v>40791.6368055556</v>
      </c>
      <c r="F278" s="0" t="n">
        <v>1.95</v>
      </c>
      <c r="G278" s="0" t="n">
        <v>12616</v>
      </c>
      <c r="H278" s="0" t="s">
        <v>43</v>
      </c>
      <c r="I278" s="7" t="n">
        <f aca="false">IF(AND(LEFT(A278,1)&lt;&gt;"C",D278&gt;0,F278&gt;0),1,0)</f>
        <v>1</v>
      </c>
      <c r="J278" s="7" t="n">
        <f aca="false">IF(I278=1,D278*F278,0)</f>
        <v>15.6</v>
      </c>
      <c r="K278" s="7" t="n">
        <f aca="false">YEAR(E278)*100+MONTH(E278)</f>
        <v>201109</v>
      </c>
      <c r="L278" s="7" t="n">
        <f aca="false">IF(AND(A278&lt;&gt;A277,LEFT(A278,1)&lt;&gt;"C"),1,0)</f>
        <v>0</v>
      </c>
    </row>
    <row r="279" customFormat="false" ht="15" hidden="false" customHeight="false" outlineLevel="0" collapsed="false">
      <c r="A279" s="0" t="s">
        <v>456</v>
      </c>
      <c r="B279" s="0" t="s">
        <v>467</v>
      </c>
      <c r="C279" s="0" t="s">
        <v>468</v>
      </c>
      <c r="D279" s="0" t="n">
        <v>8</v>
      </c>
      <c r="E279" s="6" t="n">
        <v>40791.6368055556</v>
      </c>
      <c r="F279" s="0" t="n">
        <v>1.95</v>
      </c>
      <c r="G279" s="0" t="n">
        <v>12616</v>
      </c>
      <c r="H279" s="0" t="s">
        <v>43</v>
      </c>
      <c r="I279" s="7" t="n">
        <f aca="false">IF(AND(LEFT(A279,1)&lt;&gt;"C",D279&gt;0,F279&gt;0),1,0)</f>
        <v>1</v>
      </c>
      <c r="J279" s="7" t="n">
        <f aca="false">IF(I279=1,D279*F279,0)</f>
        <v>15.6</v>
      </c>
      <c r="K279" s="7" t="n">
        <f aca="false">YEAR(E279)*100+MONTH(E279)</f>
        <v>201109</v>
      </c>
      <c r="L279" s="7" t="n">
        <f aca="false">IF(AND(A279&lt;&gt;A278,LEFT(A279,1)&lt;&gt;"C"),1,0)</f>
        <v>0</v>
      </c>
    </row>
    <row r="280" customFormat="false" ht="15" hidden="false" customHeight="false" outlineLevel="0" collapsed="false">
      <c r="A280" s="0" t="s">
        <v>456</v>
      </c>
      <c r="B280" s="0" t="s">
        <v>469</v>
      </c>
      <c r="C280" s="0" t="s">
        <v>470</v>
      </c>
      <c r="D280" s="0" t="n">
        <v>6</v>
      </c>
      <c r="E280" s="6" t="n">
        <v>40791.6368055556</v>
      </c>
      <c r="F280" s="0" t="n">
        <v>2.1</v>
      </c>
      <c r="G280" s="0" t="n">
        <v>12616</v>
      </c>
      <c r="H280" s="0" t="s">
        <v>43</v>
      </c>
      <c r="I280" s="7" t="n">
        <f aca="false">IF(AND(LEFT(A280,1)&lt;&gt;"C",D280&gt;0,F280&gt;0),1,0)</f>
        <v>1</v>
      </c>
      <c r="J280" s="7" t="n">
        <f aca="false">IF(I280=1,D280*F280,0)</f>
        <v>12.6</v>
      </c>
      <c r="K280" s="7" t="n">
        <f aca="false">YEAR(E280)*100+MONTH(E280)</f>
        <v>201109</v>
      </c>
      <c r="L280" s="7" t="n">
        <f aca="false">IF(AND(A280&lt;&gt;A279,LEFT(A280,1)&lt;&gt;"C"),1,0)</f>
        <v>0</v>
      </c>
    </row>
    <row r="281" customFormat="false" ht="15" hidden="false" customHeight="false" outlineLevel="0" collapsed="false">
      <c r="A281" s="0" t="s">
        <v>456</v>
      </c>
      <c r="B281" s="0" t="s">
        <v>335</v>
      </c>
      <c r="C281" s="0" t="s">
        <v>336</v>
      </c>
      <c r="D281" s="0" t="n">
        <v>12</v>
      </c>
      <c r="E281" s="6" t="n">
        <v>40791.6368055556</v>
      </c>
      <c r="F281" s="0" t="n">
        <v>1.65</v>
      </c>
      <c r="G281" s="0" t="n">
        <v>12616</v>
      </c>
      <c r="H281" s="0" t="s">
        <v>43</v>
      </c>
      <c r="I281" s="7" t="n">
        <f aca="false">IF(AND(LEFT(A281,1)&lt;&gt;"C",D281&gt;0,F281&gt;0),1,0)</f>
        <v>1</v>
      </c>
      <c r="J281" s="7" t="n">
        <f aca="false">IF(I281=1,D281*F281,0)</f>
        <v>19.8</v>
      </c>
      <c r="K281" s="7" t="n">
        <f aca="false">YEAR(E281)*100+MONTH(E281)</f>
        <v>201109</v>
      </c>
      <c r="L281" s="7" t="n">
        <f aca="false">IF(AND(A281&lt;&gt;A280,LEFT(A281,1)&lt;&gt;"C"),1,0)</f>
        <v>0</v>
      </c>
    </row>
    <row r="282" customFormat="false" ht="15" hidden="false" customHeight="false" outlineLevel="0" collapsed="false">
      <c r="A282" s="0" t="s">
        <v>456</v>
      </c>
      <c r="B282" s="0" t="s">
        <v>333</v>
      </c>
      <c r="C282" s="0" t="s">
        <v>334</v>
      </c>
      <c r="D282" s="0" t="n">
        <v>12</v>
      </c>
      <c r="E282" s="6" t="n">
        <v>40791.6368055556</v>
      </c>
      <c r="F282" s="0" t="n">
        <v>1.65</v>
      </c>
      <c r="G282" s="0" t="n">
        <v>12616</v>
      </c>
      <c r="H282" s="0" t="s">
        <v>43</v>
      </c>
      <c r="I282" s="7" t="n">
        <f aca="false">IF(AND(LEFT(A282,1)&lt;&gt;"C",D282&gt;0,F282&gt;0),1,0)</f>
        <v>1</v>
      </c>
      <c r="J282" s="7" t="n">
        <f aca="false">IF(I282=1,D282*F282,0)</f>
        <v>19.8</v>
      </c>
      <c r="K282" s="7" t="n">
        <f aca="false">YEAR(E282)*100+MONTH(E282)</f>
        <v>201109</v>
      </c>
      <c r="L282" s="7" t="n">
        <f aca="false">IF(AND(A282&lt;&gt;A281,LEFT(A282,1)&lt;&gt;"C"),1,0)</f>
        <v>0</v>
      </c>
    </row>
    <row r="283" customFormat="false" ht="15" hidden="false" customHeight="false" outlineLevel="0" collapsed="false">
      <c r="A283" s="0" t="s">
        <v>456</v>
      </c>
      <c r="B283" s="0" t="s">
        <v>97</v>
      </c>
      <c r="C283" s="0" t="s">
        <v>98</v>
      </c>
      <c r="D283" s="0" t="n">
        <v>12</v>
      </c>
      <c r="E283" s="6" t="n">
        <v>40791.6368055556</v>
      </c>
      <c r="F283" s="0" t="n">
        <v>1.65</v>
      </c>
      <c r="G283" s="0" t="n">
        <v>12616</v>
      </c>
      <c r="H283" s="0" t="s">
        <v>43</v>
      </c>
      <c r="I283" s="7" t="n">
        <f aca="false">IF(AND(LEFT(A283,1)&lt;&gt;"C",D283&gt;0,F283&gt;0),1,0)</f>
        <v>1</v>
      </c>
      <c r="J283" s="7" t="n">
        <f aca="false">IF(I283=1,D283*F283,0)</f>
        <v>19.8</v>
      </c>
      <c r="K283" s="7" t="n">
        <f aca="false">YEAR(E283)*100+MONTH(E283)</f>
        <v>201109</v>
      </c>
      <c r="L283" s="7" t="n">
        <f aca="false">IF(AND(A283&lt;&gt;A282,LEFT(A283,1)&lt;&gt;"C"),1,0)</f>
        <v>0</v>
      </c>
    </row>
    <row r="284" customFormat="false" ht="15" hidden="false" customHeight="false" outlineLevel="0" collapsed="false">
      <c r="A284" s="0" t="s">
        <v>456</v>
      </c>
      <c r="B284" s="0" t="s">
        <v>471</v>
      </c>
      <c r="C284" s="0" t="s">
        <v>472</v>
      </c>
      <c r="D284" s="0" t="n">
        <v>12</v>
      </c>
      <c r="E284" s="6" t="n">
        <v>40791.6368055556</v>
      </c>
      <c r="F284" s="0" t="n">
        <v>1.65</v>
      </c>
      <c r="G284" s="0" t="n">
        <v>12616</v>
      </c>
      <c r="H284" s="0" t="s">
        <v>43</v>
      </c>
      <c r="I284" s="7" t="n">
        <f aca="false">IF(AND(LEFT(A284,1)&lt;&gt;"C",D284&gt;0,F284&gt;0),1,0)</f>
        <v>1</v>
      </c>
      <c r="J284" s="7" t="n">
        <f aca="false">IF(I284=1,D284*F284,0)</f>
        <v>19.8</v>
      </c>
      <c r="K284" s="7" t="n">
        <f aca="false">YEAR(E284)*100+MONTH(E284)</f>
        <v>201109</v>
      </c>
      <c r="L284" s="7" t="n">
        <f aca="false">IF(AND(A284&lt;&gt;A283,LEFT(A284,1)&lt;&gt;"C"),1,0)</f>
        <v>0</v>
      </c>
    </row>
    <row r="285" customFormat="false" ht="15" hidden="false" customHeight="false" outlineLevel="0" collapsed="false">
      <c r="A285" s="0" t="s">
        <v>456</v>
      </c>
      <c r="B285" s="0" t="s">
        <v>402</v>
      </c>
      <c r="C285" s="0" t="s">
        <v>403</v>
      </c>
      <c r="D285" s="0" t="n">
        <v>12</v>
      </c>
      <c r="E285" s="6" t="n">
        <v>40791.6368055556</v>
      </c>
      <c r="F285" s="0" t="n">
        <v>0.85</v>
      </c>
      <c r="G285" s="0" t="n">
        <v>12616</v>
      </c>
      <c r="H285" s="0" t="s">
        <v>43</v>
      </c>
      <c r="I285" s="7" t="n">
        <f aca="false">IF(AND(LEFT(A285,1)&lt;&gt;"C",D285&gt;0,F285&gt;0),1,0)</f>
        <v>1</v>
      </c>
      <c r="J285" s="7" t="n">
        <f aca="false">IF(I285=1,D285*F285,0)</f>
        <v>10.2</v>
      </c>
      <c r="K285" s="7" t="n">
        <f aca="false">YEAR(E285)*100+MONTH(E285)</f>
        <v>201109</v>
      </c>
      <c r="L285" s="7" t="n">
        <f aca="false">IF(AND(A285&lt;&gt;A284,LEFT(A285,1)&lt;&gt;"C"),1,0)</f>
        <v>0</v>
      </c>
    </row>
    <row r="286" customFormat="false" ht="15" hidden="false" customHeight="false" outlineLevel="0" collapsed="false">
      <c r="A286" s="0" t="s">
        <v>456</v>
      </c>
      <c r="B286" s="0" t="s">
        <v>400</v>
      </c>
      <c r="C286" s="0" t="s">
        <v>401</v>
      </c>
      <c r="D286" s="0" t="n">
        <v>12</v>
      </c>
      <c r="E286" s="6" t="n">
        <v>40791.6368055556</v>
      </c>
      <c r="F286" s="0" t="n">
        <v>0.85</v>
      </c>
      <c r="G286" s="0" t="n">
        <v>12616</v>
      </c>
      <c r="H286" s="0" t="s">
        <v>43</v>
      </c>
      <c r="I286" s="7" t="n">
        <f aca="false">IF(AND(LEFT(A286,1)&lt;&gt;"C",D286&gt;0,F286&gt;0),1,0)</f>
        <v>1</v>
      </c>
      <c r="J286" s="7" t="n">
        <f aca="false">IF(I286=1,D286*F286,0)</f>
        <v>10.2</v>
      </c>
      <c r="K286" s="7" t="n">
        <f aca="false">YEAR(E286)*100+MONTH(E286)</f>
        <v>201109</v>
      </c>
      <c r="L286" s="7" t="n">
        <f aca="false">IF(AND(A286&lt;&gt;A285,LEFT(A286,1)&lt;&gt;"C"),1,0)</f>
        <v>0</v>
      </c>
    </row>
    <row r="287" customFormat="false" ht="15" hidden="false" customHeight="false" outlineLevel="0" collapsed="false">
      <c r="A287" s="0" t="s">
        <v>456</v>
      </c>
      <c r="B287" s="0" t="s">
        <v>473</v>
      </c>
      <c r="C287" s="0" t="s">
        <v>474</v>
      </c>
      <c r="D287" s="0" t="n">
        <v>4</v>
      </c>
      <c r="E287" s="6" t="n">
        <v>40791.6368055556</v>
      </c>
      <c r="F287" s="0" t="n">
        <v>9.95</v>
      </c>
      <c r="G287" s="0" t="n">
        <v>12616</v>
      </c>
      <c r="H287" s="0" t="s">
        <v>43</v>
      </c>
      <c r="I287" s="7" t="n">
        <f aca="false">IF(AND(LEFT(A287,1)&lt;&gt;"C",D287&gt;0,F287&gt;0),1,0)</f>
        <v>1</v>
      </c>
      <c r="J287" s="7" t="n">
        <f aca="false">IF(I287=1,D287*F287,0)</f>
        <v>39.8</v>
      </c>
      <c r="K287" s="7" t="n">
        <f aca="false">YEAR(E287)*100+MONTH(E287)</f>
        <v>201109</v>
      </c>
      <c r="L287" s="7" t="n">
        <f aca="false">IF(AND(A287&lt;&gt;A286,LEFT(A287,1)&lt;&gt;"C"),1,0)</f>
        <v>0</v>
      </c>
    </row>
    <row r="288" customFormat="false" ht="15" hidden="false" customHeight="false" outlineLevel="0" collapsed="false">
      <c r="A288" s="0" t="s">
        <v>456</v>
      </c>
      <c r="B288" s="0" t="s">
        <v>475</v>
      </c>
      <c r="C288" s="0" t="s">
        <v>476</v>
      </c>
      <c r="D288" s="0" t="n">
        <v>4</v>
      </c>
      <c r="E288" s="6" t="n">
        <v>40791.6368055556</v>
      </c>
      <c r="F288" s="0" t="n">
        <v>9.95</v>
      </c>
      <c r="G288" s="0" t="n">
        <v>12616</v>
      </c>
      <c r="H288" s="0" t="s">
        <v>43</v>
      </c>
      <c r="I288" s="7" t="n">
        <f aca="false">IF(AND(LEFT(A288,1)&lt;&gt;"C",D288&gt;0,F288&gt;0),1,0)</f>
        <v>1</v>
      </c>
      <c r="J288" s="7" t="n">
        <f aca="false">IF(I288=1,D288*F288,0)</f>
        <v>39.8</v>
      </c>
      <c r="K288" s="7" t="n">
        <f aca="false">YEAR(E288)*100+MONTH(E288)</f>
        <v>201109</v>
      </c>
      <c r="L288" s="7" t="n">
        <f aca="false">IF(AND(A288&lt;&gt;A287,LEFT(A288,1)&lt;&gt;"C"),1,0)</f>
        <v>0</v>
      </c>
    </row>
    <row r="289" customFormat="false" ht="15" hidden="false" customHeight="false" outlineLevel="0" collapsed="false">
      <c r="A289" s="0" t="s">
        <v>456</v>
      </c>
      <c r="B289" s="0" t="s">
        <v>84</v>
      </c>
      <c r="C289" s="0" t="s">
        <v>85</v>
      </c>
      <c r="D289" s="0" t="n">
        <v>2</v>
      </c>
      <c r="E289" s="6" t="n">
        <v>40791.6368055556</v>
      </c>
      <c r="F289" s="0" t="n">
        <v>18</v>
      </c>
      <c r="G289" s="0" t="n">
        <v>12616</v>
      </c>
      <c r="H289" s="0" t="s">
        <v>43</v>
      </c>
      <c r="I289" s="7" t="n">
        <f aca="false">IF(AND(LEFT(A289,1)&lt;&gt;"C",D289&gt;0,F289&gt;0),1,0)</f>
        <v>1</v>
      </c>
      <c r="J289" s="7" t="n">
        <f aca="false">IF(I289=1,D289*F289,0)</f>
        <v>36</v>
      </c>
      <c r="K289" s="7" t="n">
        <f aca="false">YEAR(E289)*100+MONTH(E289)</f>
        <v>201109</v>
      </c>
      <c r="L289" s="7" t="n">
        <f aca="false">IF(AND(A289&lt;&gt;A288,LEFT(A289,1)&lt;&gt;"C"),1,0)</f>
        <v>0</v>
      </c>
    </row>
    <row r="290" customFormat="false" ht="15" hidden="false" customHeight="false" outlineLevel="0" collapsed="false">
      <c r="A290" s="0" t="s">
        <v>477</v>
      </c>
      <c r="B290" s="0" t="s">
        <v>148</v>
      </c>
      <c r="C290" s="0" t="s">
        <v>149</v>
      </c>
      <c r="D290" s="0" t="n">
        <v>-1</v>
      </c>
      <c r="E290" s="6" t="n">
        <v>40791.6388888889</v>
      </c>
      <c r="F290" s="0" t="n">
        <v>12.75</v>
      </c>
      <c r="G290" s="0" t="n">
        <v>12683</v>
      </c>
      <c r="H290" s="0" t="s">
        <v>43</v>
      </c>
      <c r="I290" s="7" t="n">
        <f aca="false">IF(AND(LEFT(A290,1)&lt;&gt;"C",D290&gt;0,F290&gt;0),1,0)</f>
        <v>0</v>
      </c>
      <c r="J290" s="7" t="n">
        <f aca="false">IF(I290=1,D290*F290,0)</f>
        <v>0</v>
      </c>
      <c r="K290" s="7" t="n">
        <f aca="false">YEAR(E290)*100+MONTH(E290)</f>
        <v>201109</v>
      </c>
      <c r="L290" s="7" t="n">
        <f aca="false">IF(AND(A290&lt;&gt;A289,LEFT(A290,1)&lt;&gt;"C"),1,0)</f>
        <v>0</v>
      </c>
    </row>
    <row r="291" customFormat="false" ht="15" hidden="false" customHeight="false" outlineLevel="0" collapsed="false">
      <c r="A291" s="0" t="s">
        <v>477</v>
      </c>
      <c r="B291" s="0" t="s">
        <v>478</v>
      </c>
      <c r="C291" s="0" t="s">
        <v>479</v>
      </c>
      <c r="D291" s="0" t="n">
        <v>-7</v>
      </c>
      <c r="E291" s="6" t="n">
        <v>40791.6388888889</v>
      </c>
      <c r="F291" s="0" t="n">
        <v>1.65</v>
      </c>
      <c r="G291" s="0" t="n">
        <v>12683</v>
      </c>
      <c r="H291" s="0" t="s">
        <v>43</v>
      </c>
      <c r="I291" s="7" t="n">
        <f aca="false">IF(AND(LEFT(A291,1)&lt;&gt;"C",D291&gt;0,F291&gt;0),1,0)</f>
        <v>0</v>
      </c>
      <c r="J291" s="7" t="n">
        <f aca="false">IF(I291=1,D291*F291,0)</f>
        <v>0</v>
      </c>
      <c r="K291" s="7" t="n">
        <f aca="false">YEAR(E291)*100+MONTH(E291)</f>
        <v>201109</v>
      </c>
      <c r="L291" s="7" t="n">
        <f aca="false">IF(AND(A291&lt;&gt;A290,LEFT(A291,1)&lt;&gt;"C"),1,0)</f>
        <v>0</v>
      </c>
    </row>
    <row r="292" customFormat="false" ht="15" hidden="false" customHeight="false" outlineLevel="0" collapsed="false">
      <c r="A292" s="0" t="s">
        <v>477</v>
      </c>
      <c r="B292" s="0" t="s">
        <v>480</v>
      </c>
      <c r="C292" s="0" t="s">
        <v>481</v>
      </c>
      <c r="D292" s="0" t="n">
        <v>-21</v>
      </c>
      <c r="E292" s="6" t="n">
        <v>40791.6388888889</v>
      </c>
      <c r="F292" s="0" t="n">
        <v>1.65</v>
      </c>
      <c r="G292" s="0" t="n">
        <v>12683</v>
      </c>
      <c r="H292" s="0" t="s">
        <v>43</v>
      </c>
      <c r="I292" s="7" t="n">
        <f aca="false">IF(AND(LEFT(A292,1)&lt;&gt;"C",D292&gt;0,F292&gt;0),1,0)</f>
        <v>0</v>
      </c>
      <c r="J292" s="7" t="n">
        <f aca="false">IF(I292=1,D292*F292,0)</f>
        <v>0</v>
      </c>
      <c r="K292" s="7" t="n">
        <f aca="false">YEAR(E292)*100+MONTH(E292)</f>
        <v>201109</v>
      </c>
      <c r="L292" s="7" t="n">
        <f aca="false">IF(AND(A292&lt;&gt;A291,LEFT(A292,1)&lt;&gt;"C"),1,0)</f>
        <v>0</v>
      </c>
    </row>
    <row r="293" customFormat="false" ht="15" hidden="false" customHeight="false" outlineLevel="0" collapsed="false">
      <c r="A293" s="0" t="s">
        <v>477</v>
      </c>
      <c r="B293" s="0" t="s">
        <v>482</v>
      </c>
      <c r="C293" s="0" t="s">
        <v>483</v>
      </c>
      <c r="D293" s="0" t="n">
        <v>-1</v>
      </c>
      <c r="E293" s="6" t="n">
        <v>40791.6388888889</v>
      </c>
      <c r="F293" s="0" t="n">
        <v>1.25</v>
      </c>
      <c r="G293" s="0" t="n">
        <v>12683</v>
      </c>
      <c r="H293" s="0" t="s">
        <v>43</v>
      </c>
      <c r="I293" s="7" t="n">
        <f aca="false">IF(AND(LEFT(A293,1)&lt;&gt;"C",D293&gt;0,F293&gt;0),1,0)</f>
        <v>0</v>
      </c>
      <c r="J293" s="7" t="n">
        <f aca="false">IF(I293=1,D293*F293,0)</f>
        <v>0</v>
      </c>
      <c r="K293" s="7" t="n">
        <f aca="false">YEAR(E293)*100+MONTH(E293)</f>
        <v>201109</v>
      </c>
      <c r="L293" s="7" t="n">
        <f aca="false">IF(AND(A293&lt;&gt;A292,LEFT(A293,1)&lt;&gt;"C"),1,0)</f>
        <v>0</v>
      </c>
    </row>
    <row r="294" customFormat="false" ht="15" hidden="false" customHeight="false" outlineLevel="0" collapsed="false">
      <c r="A294" s="0" t="s">
        <v>477</v>
      </c>
      <c r="B294" s="0" t="s">
        <v>484</v>
      </c>
      <c r="C294" s="0" t="s">
        <v>485</v>
      </c>
      <c r="D294" s="0" t="n">
        <v>-10</v>
      </c>
      <c r="E294" s="6" t="n">
        <v>40791.6388888889</v>
      </c>
      <c r="F294" s="0" t="n">
        <v>1.65</v>
      </c>
      <c r="G294" s="0" t="n">
        <v>12683</v>
      </c>
      <c r="H294" s="0" t="s">
        <v>43</v>
      </c>
      <c r="I294" s="7" t="n">
        <f aca="false">IF(AND(LEFT(A294,1)&lt;&gt;"C",D294&gt;0,F294&gt;0),1,0)</f>
        <v>0</v>
      </c>
      <c r="J294" s="7" t="n">
        <f aca="false">IF(I294=1,D294*F294,0)</f>
        <v>0</v>
      </c>
      <c r="K294" s="7" t="n">
        <f aca="false">YEAR(E294)*100+MONTH(E294)</f>
        <v>201109</v>
      </c>
      <c r="L294" s="7" t="n">
        <f aca="false">IF(AND(A294&lt;&gt;A293,LEFT(A294,1)&lt;&gt;"C"),1,0)</f>
        <v>0</v>
      </c>
    </row>
    <row r="295" customFormat="false" ht="15" hidden="false" customHeight="false" outlineLevel="0" collapsed="false">
      <c r="A295" s="0" t="s">
        <v>477</v>
      </c>
      <c r="B295" s="0" t="s">
        <v>146</v>
      </c>
      <c r="C295" s="0" t="s">
        <v>147</v>
      </c>
      <c r="D295" s="0" t="n">
        <v>-1</v>
      </c>
      <c r="E295" s="6" t="n">
        <v>40791.6388888889</v>
      </c>
      <c r="F295" s="0" t="n">
        <v>2.89</v>
      </c>
      <c r="G295" s="0" t="n">
        <v>12683</v>
      </c>
      <c r="H295" s="0" t="s">
        <v>43</v>
      </c>
      <c r="I295" s="7" t="n">
        <f aca="false">IF(AND(LEFT(A295,1)&lt;&gt;"C",D295&gt;0,F295&gt;0),1,0)</f>
        <v>0</v>
      </c>
      <c r="J295" s="7" t="n">
        <f aca="false">IF(I295=1,D295*F295,0)</f>
        <v>0</v>
      </c>
      <c r="K295" s="7" t="n">
        <f aca="false">YEAR(E295)*100+MONTH(E295)</f>
        <v>201109</v>
      </c>
      <c r="L295" s="7" t="n">
        <f aca="false">IF(AND(A295&lt;&gt;A294,LEFT(A295,1)&lt;&gt;"C"),1,0)</f>
        <v>0</v>
      </c>
    </row>
    <row r="296" customFormat="false" ht="15" hidden="false" customHeight="false" outlineLevel="0" collapsed="false">
      <c r="A296" s="0" t="s">
        <v>477</v>
      </c>
      <c r="B296" s="0" t="s">
        <v>486</v>
      </c>
      <c r="C296" s="0" t="s">
        <v>487</v>
      </c>
      <c r="D296" s="0" t="n">
        <v>-6</v>
      </c>
      <c r="E296" s="6" t="n">
        <v>40791.6388888889</v>
      </c>
      <c r="F296" s="0" t="n">
        <v>1.65</v>
      </c>
      <c r="G296" s="0" t="n">
        <v>12683</v>
      </c>
      <c r="H296" s="0" t="s">
        <v>43</v>
      </c>
      <c r="I296" s="7" t="n">
        <f aca="false">IF(AND(LEFT(A296,1)&lt;&gt;"C",D296&gt;0,F296&gt;0),1,0)</f>
        <v>0</v>
      </c>
      <c r="J296" s="7" t="n">
        <f aca="false">IF(I296=1,D296*F296,0)</f>
        <v>0</v>
      </c>
      <c r="K296" s="7" t="n">
        <f aca="false">YEAR(E296)*100+MONTH(E296)</f>
        <v>201109</v>
      </c>
      <c r="L296" s="7" t="n">
        <f aca="false">IF(AND(A296&lt;&gt;A295,LEFT(A296,1)&lt;&gt;"C"),1,0)</f>
        <v>0</v>
      </c>
    </row>
    <row r="297" customFormat="false" ht="15" hidden="false" customHeight="false" outlineLevel="0" collapsed="false">
      <c r="A297" s="0" t="s">
        <v>477</v>
      </c>
      <c r="B297" s="0" t="s">
        <v>488</v>
      </c>
      <c r="C297" s="0" t="s">
        <v>489</v>
      </c>
      <c r="D297" s="0" t="n">
        <v>-2</v>
      </c>
      <c r="E297" s="6" t="n">
        <v>40791.6388888889</v>
      </c>
      <c r="F297" s="0" t="n">
        <v>6.75</v>
      </c>
      <c r="G297" s="0" t="n">
        <v>12683</v>
      </c>
      <c r="H297" s="0" t="s">
        <v>43</v>
      </c>
      <c r="I297" s="7" t="n">
        <f aca="false">IF(AND(LEFT(A297,1)&lt;&gt;"C",D297&gt;0,F297&gt;0),1,0)</f>
        <v>0</v>
      </c>
      <c r="J297" s="7" t="n">
        <f aca="false">IF(I297=1,D297*F297,0)</f>
        <v>0</v>
      </c>
      <c r="K297" s="7" t="n">
        <f aca="false">YEAR(E297)*100+MONTH(E297)</f>
        <v>201109</v>
      </c>
      <c r="L297" s="7" t="n">
        <f aca="false">IF(AND(A297&lt;&gt;A296,LEFT(A297,1)&lt;&gt;"C"),1,0)</f>
        <v>0</v>
      </c>
    </row>
    <row r="298" customFormat="false" ht="15" hidden="false" customHeight="false" outlineLevel="0" collapsed="false">
      <c r="A298" s="0" t="s">
        <v>477</v>
      </c>
      <c r="B298" s="0" t="s">
        <v>490</v>
      </c>
      <c r="C298" s="0" t="s">
        <v>491</v>
      </c>
      <c r="D298" s="0" t="n">
        <v>-6</v>
      </c>
      <c r="E298" s="6" t="n">
        <v>40791.6388888889</v>
      </c>
      <c r="F298" s="0" t="n">
        <v>2.08</v>
      </c>
      <c r="G298" s="0" t="n">
        <v>12683</v>
      </c>
      <c r="H298" s="0" t="s">
        <v>43</v>
      </c>
      <c r="I298" s="7" t="n">
        <f aca="false">IF(AND(LEFT(A298,1)&lt;&gt;"C",D298&gt;0,F298&gt;0),1,0)</f>
        <v>0</v>
      </c>
      <c r="J298" s="7" t="n">
        <f aca="false">IF(I298=1,D298*F298,0)</f>
        <v>0</v>
      </c>
      <c r="K298" s="7" t="n">
        <f aca="false">YEAR(E298)*100+MONTH(E298)</f>
        <v>201109</v>
      </c>
      <c r="L298" s="7" t="n">
        <f aca="false">IF(AND(A298&lt;&gt;A297,LEFT(A298,1)&lt;&gt;"C"),1,0)</f>
        <v>0</v>
      </c>
    </row>
    <row r="299" customFormat="false" ht="15" hidden="false" customHeight="false" outlineLevel="0" collapsed="false">
      <c r="A299" s="0" t="s">
        <v>492</v>
      </c>
      <c r="B299" s="0" t="s">
        <v>493</v>
      </c>
      <c r="C299" s="0" t="s">
        <v>494</v>
      </c>
      <c r="D299" s="0" t="n">
        <v>8</v>
      </c>
      <c r="E299" s="6" t="n">
        <v>40792.5736111111</v>
      </c>
      <c r="F299" s="0" t="n">
        <v>0.85</v>
      </c>
      <c r="G299" s="0" t="n">
        <v>12720</v>
      </c>
      <c r="H299" s="0" t="s">
        <v>33</v>
      </c>
      <c r="I299" s="7" t="n">
        <f aca="false">IF(AND(LEFT(A299,1)&lt;&gt;"C",D299&gt;0,F299&gt;0),1,0)</f>
        <v>1</v>
      </c>
      <c r="J299" s="7" t="n">
        <f aca="false">IF(I299=1,D299*F299,0)</f>
        <v>6.8</v>
      </c>
      <c r="K299" s="7" t="n">
        <f aca="false">YEAR(E299)*100+MONTH(E299)</f>
        <v>201109</v>
      </c>
      <c r="L299" s="7" t="n">
        <f aca="false">IF(AND(A299&lt;&gt;A298,LEFT(A299,1)&lt;&gt;"C"),1,0)</f>
        <v>1</v>
      </c>
    </row>
    <row r="300" customFormat="false" ht="15" hidden="false" customHeight="false" outlineLevel="0" collapsed="false">
      <c r="A300" s="0" t="s">
        <v>492</v>
      </c>
      <c r="B300" s="0" t="s">
        <v>155</v>
      </c>
      <c r="C300" s="0" t="s">
        <v>156</v>
      </c>
      <c r="D300" s="0" t="n">
        <v>1</v>
      </c>
      <c r="E300" s="6" t="n">
        <v>40792.5736111111</v>
      </c>
      <c r="F300" s="0" t="n">
        <v>10.95</v>
      </c>
      <c r="G300" s="0" t="n">
        <v>12720</v>
      </c>
      <c r="H300" s="0" t="s">
        <v>33</v>
      </c>
      <c r="I300" s="7" t="n">
        <f aca="false">IF(AND(LEFT(A300,1)&lt;&gt;"C",D300&gt;0,F300&gt;0),1,0)</f>
        <v>1</v>
      </c>
      <c r="J300" s="7" t="n">
        <f aca="false">IF(I300=1,D300*F300,0)</f>
        <v>10.95</v>
      </c>
      <c r="K300" s="7" t="n">
        <f aca="false">YEAR(E300)*100+MONTH(E300)</f>
        <v>201109</v>
      </c>
      <c r="L300" s="7" t="n">
        <f aca="false">IF(AND(A300&lt;&gt;A299,LEFT(A300,1)&lt;&gt;"C"),1,0)</f>
        <v>0</v>
      </c>
    </row>
    <row r="301" customFormat="false" ht="15" hidden="false" customHeight="false" outlineLevel="0" collapsed="false">
      <c r="A301" s="0" t="s">
        <v>492</v>
      </c>
      <c r="B301" s="0" t="s">
        <v>452</v>
      </c>
      <c r="C301" s="0" t="s">
        <v>453</v>
      </c>
      <c r="D301" s="0" t="n">
        <v>2</v>
      </c>
      <c r="E301" s="6" t="n">
        <v>40792.5736111111</v>
      </c>
      <c r="F301" s="0" t="n">
        <v>8.5</v>
      </c>
      <c r="G301" s="0" t="n">
        <v>12720</v>
      </c>
      <c r="H301" s="0" t="s">
        <v>33</v>
      </c>
      <c r="I301" s="7" t="n">
        <f aca="false">IF(AND(LEFT(A301,1)&lt;&gt;"C",D301&gt;0,F301&gt;0),1,0)</f>
        <v>1</v>
      </c>
      <c r="J301" s="7" t="n">
        <f aca="false">IF(I301=1,D301*F301,0)</f>
        <v>17</v>
      </c>
      <c r="K301" s="7" t="n">
        <f aca="false">YEAR(E301)*100+MONTH(E301)</f>
        <v>201109</v>
      </c>
      <c r="L301" s="7" t="n">
        <f aca="false">IF(AND(A301&lt;&gt;A300,LEFT(A301,1)&lt;&gt;"C"),1,0)</f>
        <v>0</v>
      </c>
    </row>
    <row r="302" customFormat="false" ht="15" hidden="false" customHeight="false" outlineLevel="0" collapsed="false">
      <c r="A302" s="0" t="s">
        <v>492</v>
      </c>
      <c r="B302" s="0" t="s">
        <v>293</v>
      </c>
      <c r="C302" s="0" t="s">
        <v>294</v>
      </c>
      <c r="D302" s="0" t="n">
        <v>2</v>
      </c>
      <c r="E302" s="6" t="n">
        <v>40792.5736111111</v>
      </c>
      <c r="F302" s="0" t="n">
        <v>8.5</v>
      </c>
      <c r="G302" s="0" t="n">
        <v>12720</v>
      </c>
      <c r="H302" s="0" t="s">
        <v>33</v>
      </c>
      <c r="I302" s="7" t="n">
        <f aca="false">IF(AND(LEFT(A302,1)&lt;&gt;"C",D302&gt;0,F302&gt;0),1,0)</f>
        <v>1</v>
      </c>
      <c r="J302" s="7" t="n">
        <f aca="false">IF(I302=1,D302*F302,0)</f>
        <v>17</v>
      </c>
      <c r="K302" s="7" t="n">
        <f aca="false">YEAR(E302)*100+MONTH(E302)</f>
        <v>201109</v>
      </c>
      <c r="L302" s="7" t="n">
        <f aca="false">IF(AND(A302&lt;&gt;A301,LEFT(A302,1)&lt;&gt;"C"),1,0)</f>
        <v>0</v>
      </c>
    </row>
    <row r="303" customFormat="false" ht="15" hidden="false" customHeight="false" outlineLevel="0" collapsed="false">
      <c r="A303" s="0" t="s">
        <v>492</v>
      </c>
      <c r="B303" s="0" t="s">
        <v>207</v>
      </c>
      <c r="C303" s="0" t="s">
        <v>208</v>
      </c>
      <c r="D303" s="0" t="n">
        <v>48</v>
      </c>
      <c r="E303" s="6" t="n">
        <v>40792.5736111111</v>
      </c>
      <c r="F303" s="0" t="n">
        <v>0.39</v>
      </c>
      <c r="G303" s="0" t="n">
        <v>12720</v>
      </c>
      <c r="H303" s="0" t="s">
        <v>33</v>
      </c>
      <c r="I303" s="7" t="n">
        <f aca="false">IF(AND(LEFT(A303,1)&lt;&gt;"C",D303&gt;0,F303&gt;0),1,0)</f>
        <v>1</v>
      </c>
      <c r="J303" s="7" t="n">
        <f aca="false">IF(I303=1,D303*F303,0)</f>
        <v>18.72</v>
      </c>
      <c r="K303" s="7" t="n">
        <f aca="false">YEAR(E303)*100+MONTH(E303)</f>
        <v>201109</v>
      </c>
      <c r="L303" s="7" t="n">
        <f aca="false">IF(AND(A303&lt;&gt;A302,LEFT(A303,1)&lt;&gt;"C"),1,0)</f>
        <v>0</v>
      </c>
    </row>
    <row r="304" customFormat="false" ht="15" hidden="false" customHeight="false" outlineLevel="0" collapsed="false">
      <c r="A304" s="0" t="s">
        <v>492</v>
      </c>
      <c r="B304" s="0" t="s">
        <v>326</v>
      </c>
      <c r="C304" s="0" t="s">
        <v>327</v>
      </c>
      <c r="D304" s="0" t="n">
        <v>2</v>
      </c>
      <c r="E304" s="6" t="n">
        <v>40792.5736111111</v>
      </c>
      <c r="F304" s="0" t="n">
        <v>8.5</v>
      </c>
      <c r="G304" s="0" t="n">
        <v>12720</v>
      </c>
      <c r="H304" s="0" t="s">
        <v>33</v>
      </c>
      <c r="I304" s="7" t="n">
        <f aca="false">IF(AND(LEFT(A304,1)&lt;&gt;"C",D304&gt;0,F304&gt;0),1,0)</f>
        <v>1</v>
      </c>
      <c r="J304" s="7" t="n">
        <f aca="false">IF(I304=1,D304*F304,0)</f>
        <v>17</v>
      </c>
      <c r="K304" s="7" t="n">
        <f aca="false">YEAR(E304)*100+MONTH(E304)</f>
        <v>201109</v>
      </c>
      <c r="L304" s="7" t="n">
        <f aca="false">IF(AND(A304&lt;&gt;A303,LEFT(A304,1)&lt;&gt;"C"),1,0)</f>
        <v>0</v>
      </c>
    </row>
    <row r="305" customFormat="false" ht="15" hidden="false" customHeight="false" outlineLevel="0" collapsed="false">
      <c r="A305" s="0" t="s">
        <v>492</v>
      </c>
      <c r="B305" s="0" t="s">
        <v>203</v>
      </c>
      <c r="C305" s="0" t="s">
        <v>204</v>
      </c>
      <c r="D305" s="0" t="n">
        <v>48</v>
      </c>
      <c r="E305" s="6" t="n">
        <v>40792.5736111111</v>
      </c>
      <c r="F305" s="0" t="n">
        <v>0.39</v>
      </c>
      <c r="G305" s="0" t="n">
        <v>12720</v>
      </c>
      <c r="H305" s="0" t="s">
        <v>33</v>
      </c>
      <c r="I305" s="7" t="n">
        <f aca="false">IF(AND(LEFT(A305,1)&lt;&gt;"C",D305&gt;0,F305&gt;0),1,0)</f>
        <v>1</v>
      </c>
      <c r="J305" s="7" t="n">
        <f aca="false">IF(I305=1,D305*F305,0)</f>
        <v>18.72</v>
      </c>
      <c r="K305" s="7" t="n">
        <f aca="false">YEAR(E305)*100+MONTH(E305)</f>
        <v>201109</v>
      </c>
      <c r="L305" s="7" t="n">
        <f aca="false">IF(AND(A305&lt;&gt;A304,LEFT(A305,1)&lt;&gt;"C"),1,0)</f>
        <v>0</v>
      </c>
    </row>
    <row r="306" customFormat="false" ht="15" hidden="false" customHeight="false" outlineLevel="0" collapsed="false">
      <c r="A306" s="0" t="s">
        <v>492</v>
      </c>
      <c r="B306" s="0" t="s">
        <v>205</v>
      </c>
      <c r="C306" s="0" t="s">
        <v>206</v>
      </c>
      <c r="D306" s="0" t="n">
        <v>24</v>
      </c>
      <c r="E306" s="6" t="n">
        <v>40792.5736111111</v>
      </c>
      <c r="F306" s="0" t="n">
        <v>0.39</v>
      </c>
      <c r="G306" s="0" t="n">
        <v>12720</v>
      </c>
      <c r="H306" s="0" t="s">
        <v>33</v>
      </c>
      <c r="I306" s="7" t="n">
        <f aca="false">IF(AND(LEFT(A306,1)&lt;&gt;"C",D306&gt;0,F306&gt;0),1,0)</f>
        <v>1</v>
      </c>
      <c r="J306" s="7" t="n">
        <f aca="false">IF(I306=1,D306*F306,0)</f>
        <v>9.36</v>
      </c>
      <c r="K306" s="7" t="n">
        <f aca="false">YEAR(E306)*100+MONTH(E306)</f>
        <v>201109</v>
      </c>
      <c r="L306" s="7" t="n">
        <f aca="false">IF(AND(A306&lt;&gt;A305,LEFT(A306,1)&lt;&gt;"C"),1,0)</f>
        <v>0</v>
      </c>
    </row>
    <row r="307" customFormat="false" ht="15" hidden="false" customHeight="false" outlineLevel="0" collapsed="false">
      <c r="A307" s="0" t="s">
        <v>492</v>
      </c>
      <c r="B307" s="0" t="s">
        <v>495</v>
      </c>
      <c r="C307" s="0" t="s">
        <v>496</v>
      </c>
      <c r="D307" s="0" t="n">
        <v>6</v>
      </c>
      <c r="E307" s="6" t="n">
        <v>40792.5736111111</v>
      </c>
      <c r="F307" s="0" t="n">
        <v>2.95</v>
      </c>
      <c r="G307" s="0" t="n">
        <v>12720</v>
      </c>
      <c r="H307" s="0" t="s">
        <v>33</v>
      </c>
      <c r="I307" s="7" t="n">
        <f aca="false">IF(AND(LEFT(A307,1)&lt;&gt;"C",D307&gt;0,F307&gt;0),1,0)</f>
        <v>1</v>
      </c>
      <c r="J307" s="7" t="n">
        <f aca="false">IF(I307=1,D307*F307,0)</f>
        <v>17.7</v>
      </c>
      <c r="K307" s="7" t="n">
        <f aca="false">YEAR(E307)*100+MONTH(E307)</f>
        <v>201109</v>
      </c>
      <c r="L307" s="7" t="n">
        <f aca="false">IF(AND(A307&lt;&gt;A306,LEFT(A307,1)&lt;&gt;"C"),1,0)</f>
        <v>0</v>
      </c>
    </row>
    <row r="308" customFormat="false" ht="15" hidden="false" customHeight="false" outlineLevel="0" collapsed="false">
      <c r="A308" s="0" t="s">
        <v>492</v>
      </c>
      <c r="B308" s="0" t="s">
        <v>228</v>
      </c>
      <c r="C308" s="0" t="s">
        <v>229</v>
      </c>
      <c r="D308" s="0" t="n">
        <v>6</v>
      </c>
      <c r="E308" s="6" t="n">
        <v>40792.5736111111</v>
      </c>
      <c r="F308" s="0" t="n">
        <v>3.25</v>
      </c>
      <c r="G308" s="0" t="n">
        <v>12720</v>
      </c>
      <c r="H308" s="0" t="s">
        <v>33</v>
      </c>
      <c r="I308" s="7" t="n">
        <f aca="false">IF(AND(LEFT(A308,1)&lt;&gt;"C",D308&gt;0,F308&gt;0),1,0)</f>
        <v>1</v>
      </c>
      <c r="J308" s="7" t="n">
        <f aca="false">IF(I308=1,D308*F308,0)</f>
        <v>19.5</v>
      </c>
      <c r="K308" s="7" t="n">
        <f aca="false">YEAR(E308)*100+MONTH(E308)</f>
        <v>201109</v>
      </c>
      <c r="L308" s="7" t="n">
        <f aca="false">IF(AND(A308&lt;&gt;A307,LEFT(A308,1)&lt;&gt;"C"),1,0)</f>
        <v>0</v>
      </c>
    </row>
    <row r="309" customFormat="false" ht="15" hidden="false" customHeight="false" outlineLevel="0" collapsed="false">
      <c r="A309" s="0" t="s">
        <v>492</v>
      </c>
      <c r="B309" s="0" t="s">
        <v>497</v>
      </c>
      <c r="C309" s="0" t="s">
        <v>498</v>
      </c>
      <c r="D309" s="0" t="n">
        <v>10</v>
      </c>
      <c r="E309" s="6" t="n">
        <v>40792.5736111111</v>
      </c>
      <c r="F309" s="0" t="n">
        <v>1.65</v>
      </c>
      <c r="G309" s="0" t="n">
        <v>12720</v>
      </c>
      <c r="H309" s="0" t="s">
        <v>33</v>
      </c>
      <c r="I309" s="7" t="n">
        <f aca="false">IF(AND(LEFT(A309,1)&lt;&gt;"C",D309&gt;0,F309&gt;0),1,0)</f>
        <v>1</v>
      </c>
      <c r="J309" s="7" t="n">
        <f aca="false">IF(I309=1,D309*F309,0)</f>
        <v>16.5</v>
      </c>
      <c r="K309" s="7" t="n">
        <f aca="false">YEAR(E309)*100+MONTH(E309)</f>
        <v>201109</v>
      </c>
      <c r="L309" s="7" t="n">
        <f aca="false">IF(AND(A309&lt;&gt;A308,LEFT(A309,1)&lt;&gt;"C"),1,0)</f>
        <v>0</v>
      </c>
    </row>
    <row r="310" customFormat="false" ht="15" hidden="false" customHeight="false" outlineLevel="0" collapsed="false">
      <c r="A310" s="0" t="s">
        <v>492</v>
      </c>
      <c r="B310" s="0" t="s">
        <v>499</v>
      </c>
      <c r="C310" s="0" t="s">
        <v>500</v>
      </c>
      <c r="D310" s="0" t="n">
        <v>24</v>
      </c>
      <c r="E310" s="6" t="n">
        <v>40792.5736111111</v>
      </c>
      <c r="F310" s="0" t="n">
        <v>0.39</v>
      </c>
      <c r="G310" s="0" t="n">
        <v>12720</v>
      </c>
      <c r="H310" s="0" t="s">
        <v>33</v>
      </c>
      <c r="I310" s="7" t="n">
        <f aca="false">IF(AND(LEFT(A310,1)&lt;&gt;"C",D310&gt;0,F310&gt;0),1,0)</f>
        <v>1</v>
      </c>
      <c r="J310" s="7" t="n">
        <f aca="false">IF(I310=1,D310*F310,0)</f>
        <v>9.36</v>
      </c>
      <c r="K310" s="7" t="n">
        <f aca="false">YEAR(E310)*100+MONTH(E310)</f>
        <v>201109</v>
      </c>
      <c r="L310" s="7" t="n">
        <f aca="false">IF(AND(A310&lt;&gt;A309,LEFT(A310,1)&lt;&gt;"C"),1,0)</f>
        <v>0</v>
      </c>
    </row>
    <row r="311" customFormat="false" ht="15" hidden="false" customHeight="false" outlineLevel="0" collapsed="false">
      <c r="A311" s="0" t="s">
        <v>492</v>
      </c>
      <c r="B311" s="0" t="s">
        <v>209</v>
      </c>
      <c r="C311" s="0" t="s">
        <v>210</v>
      </c>
      <c r="D311" s="0" t="n">
        <v>48</v>
      </c>
      <c r="E311" s="6" t="n">
        <v>40792.5736111111</v>
      </c>
      <c r="F311" s="0" t="n">
        <v>0.39</v>
      </c>
      <c r="G311" s="0" t="n">
        <v>12720</v>
      </c>
      <c r="H311" s="0" t="s">
        <v>33</v>
      </c>
      <c r="I311" s="7" t="n">
        <f aca="false">IF(AND(LEFT(A311,1)&lt;&gt;"C",D311&gt;0,F311&gt;0),1,0)</f>
        <v>1</v>
      </c>
      <c r="J311" s="7" t="n">
        <f aca="false">IF(I311=1,D311*F311,0)</f>
        <v>18.72</v>
      </c>
      <c r="K311" s="7" t="n">
        <f aca="false">YEAR(E311)*100+MONTH(E311)</f>
        <v>201109</v>
      </c>
      <c r="L311" s="7" t="n">
        <f aca="false">IF(AND(A311&lt;&gt;A310,LEFT(A311,1)&lt;&gt;"C"),1,0)</f>
        <v>0</v>
      </c>
    </row>
    <row r="312" customFormat="false" ht="15" hidden="false" customHeight="false" outlineLevel="0" collapsed="false">
      <c r="A312" s="0" t="s">
        <v>492</v>
      </c>
      <c r="B312" s="0" t="s">
        <v>501</v>
      </c>
      <c r="C312" s="0" t="s">
        <v>502</v>
      </c>
      <c r="D312" s="0" t="n">
        <v>25</v>
      </c>
      <c r="E312" s="6" t="n">
        <v>40792.5736111111</v>
      </c>
      <c r="F312" s="0" t="n">
        <v>0.42</v>
      </c>
      <c r="G312" s="0" t="n">
        <v>12720</v>
      </c>
      <c r="H312" s="0" t="s">
        <v>33</v>
      </c>
      <c r="I312" s="7" t="n">
        <f aca="false">IF(AND(LEFT(A312,1)&lt;&gt;"C",D312&gt;0,F312&gt;0),1,0)</f>
        <v>1</v>
      </c>
      <c r="J312" s="7" t="n">
        <f aca="false">IF(I312=1,D312*F312,0)</f>
        <v>10.5</v>
      </c>
      <c r="K312" s="7" t="n">
        <f aca="false">YEAR(E312)*100+MONTH(E312)</f>
        <v>201109</v>
      </c>
      <c r="L312" s="7" t="n">
        <f aca="false">IF(AND(A312&lt;&gt;A311,LEFT(A312,1)&lt;&gt;"C"),1,0)</f>
        <v>0</v>
      </c>
    </row>
    <row r="313" customFormat="false" ht="15" hidden="false" customHeight="false" outlineLevel="0" collapsed="false">
      <c r="A313" s="0" t="s">
        <v>492</v>
      </c>
      <c r="B313" s="0" t="s">
        <v>503</v>
      </c>
      <c r="C313" s="0" t="s">
        <v>504</v>
      </c>
      <c r="D313" s="0" t="n">
        <v>25</v>
      </c>
      <c r="E313" s="6" t="n">
        <v>40792.5736111111</v>
      </c>
      <c r="F313" s="0" t="n">
        <v>0.42</v>
      </c>
      <c r="G313" s="0" t="n">
        <v>12720</v>
      </c>
      <c r="H313" s="0" t="s">
        <v>33</v>
      </c>
      <c r="I313" s="7" t="n">
        <f aca="false">IF(AND(LEFT(A313,1)&lt;&gt;"C",D313&gt;0,F313&gt;0),1,0)</f>
        <v>1</v>
      </c>
      <c r="J313" s="7" t="n">
        <f aca="false">IF(I313=1,D313*F313,0)</f>
        <v>10.5</v>
      </c>
      <c r="K313" s="7" t="n">
        <f aca="false">YEAR(E313)*100+MONTH(E313)</f>
        <v>201109</v>
      </c>
      <c r="L313" s="7" t="n">
        <f aca="false">IF(AND(A313&lt;&gt;A312,LEFT(A313,1)&lt;&gt;"C"),1,0)</f>
        <v>0</v>
      </c>
    </row>
    <row r="314" customFormat="false" ht="15" hidden="false" customHeight="false" outlineLevel="0" collapsed="false">
      <c r="A314" s="0" t="s">
        <v>492</v>
      </c>
      <c r="B314" s="0" t="s">
        <v>84</v>
      </c>
      <c r="C314" s="0" t="s">
        <v>85</v>
      </c>
      <c r="D314" s="0" t="n">
        <v>3</v>
      </c>
      <c r="E314" s="6" t="n">
        <v>40792.5736111111</v>
      </c>
      <c r="F314" s="0" t="n">
        <v>18</v>
      </c>
      <c r="G314" s="0" t="n">
        <v>12720</v>
      </c>
      <c r="H314" s="0" t="s">
        <v>33</v>
      </c>
      <c r="I314" s="7" t="n">
        <f aca="false">IF(AND(LEFT(A314,1)&lt;&gt;"C",D314&gt;0,F314&gt;0),1,0)</f>
        <v>1</v>
      </c>
      <c r="J314" s="7" t="n">
        <f aca="false">IF(I314=1,D314*F314,0)</f>
        <v>54</v>
      </c>
      <c r="K314" s="7" t="n">
        <f aca="false">YEAR(E314)*100+MONTH(E314)</f>
        <v>201109</v>
      </c>
      <c r="L314" s="7" t="n">
        <f aca="false">IF(AND(A314&lt;&gt;A313,LEFT(A314,1)&lt;&gt;"C"),1,0)</f>
        <v>0</v>
      </c>
    </row>
    <row r="315" customFormat="false" ht="15" hidden="false" customHeight="false" outlineLevel="0" collapsed="false">
      <c r="A315" s="0" t="s">
        <v>492</v>
      </c>
      <c r="B315" s="0" t="s">
        <v>505</v>
      </c>
      <c r="C315" s="0" t="s">
        <v>506</v>
      </c>
      <c r="D315" s="0" t="n">
        <v>24</v>
      </c>
      <c r="E315" s="6" t="n">
        <v>40792.5736111111</v>
      </c>
      <c r="F315" s="0" t="n">
        <v>0.39</v>
      </c>
      <c r="G315" s="0" t="n">
        <v>12720</v>
      </c>
      <c r="H315" s="0" t="s">
        <v>33</v>
      </c>
      <c r="I315" s="7" t="n">
        <f aca="false">IF(AND(LEFT(A315,1)&lt;&gt;"C",D315&gt;0,F315&gt;0),1,0)</f>
        <v>1</v>
      </c>
      <c r="J315" s="7" t="n">
        <f aca="false">IF(I315=1,D315*F315,0)</f>
        <v>9.36</v>
      </c>
      <c r="K315" s="7" t="n">
        <f aca="false">YEAR(E315)*100+MONTH(E315)</f>
        <v>201109</v>
      </c>
      <c r="L315" s="7" t="n">
        <f aca="false">IF(AND(A315&lt;&gt;A314,LEFT(A315,1)&lt;&gt;"C"),1,0)</f>
        <v>0</v>
      </c>
    </row>
    <row r="316" customFormat="false" ht="15" hidden="false" customHeight="false" outlineLevel="0" collapsed="false">
      <c r="A316" s="0" t="s">
        <v>492</v>
      </c>
      <c r="B316" s="0" t="s">
        <v>507</v>
      </c>
      <c r="C316" s="0" t="s">
        <v>508</v>
      </c>
      <c r="D316" s="0" t="n">
        <v>4</v>
      </c>
      <c r="E316" s="6" t="n">
        <v>40792.5736111111</v>
      </c>
      <c r="F316" s="0" t="n">
        <v>3.75</v>
      </c>
      <c r="G316" s="0" t="n">
        <v>12720</v>
      </c>
      <c r="H316" s="0" t="s">
        <v>33</v>
      </c>
      <c r="I316" s="7" t="n">
        <f aca="false">IF(AND(LEFT(A316,1)&lt;&gt;"C",D316&gt;0,F316&gt;0),1,0)</f>
        <v>1</v>
      </c>
      <c r="J316" s="7" t="n">
        <f aca="false">IF(I316=1,D316*F316,0)</f>
        <v>15</v>
      </c>
      <c r="K316" s="7" t="n">
        <f aca="false">YEAR(E316)*100+MONTH(E316)</f>
        <v>201109</v>
      </c>
      <c r="L316" s="7" t="n">
        <f aca="false">IF(AND(A316&lt;&gt;A315,LEFT(A316,1)&lt;&gt;"C"),1,0)</f>
        <v>0</v>
      </c>
    </row>
    <row r="317" customFormat="false" ht="15" hidden="false" customHeight="false" outlineLevel="0" collapsed="false">
      <c r="A317" s="0" t="s">
        <v>492</v>
      </c>
      <c r="B317" s="0" t="s">
        <v>509</v>
      </c>
      <c r="C317" s="0" t="s">
        <v>510</v>
      </c>
      <c r="D317" s="0" t="n">
        <v>6</v>
      </c>
      <c r="E317" s="6" t="n">
        <v>40792.5736111111</v>
      </c>
      <c r="F317" s="0" t="n">
        <v>4.95</v>
      </c>
      <c r="G317" s="0" t="n">
        <v>12720</v>
      </c>
      <c r="H317" s="0" t="s">
        <v>33</v>
      </c>
      <c r="I317" s="7" t="n">
        <f aca="false">IF(AND(LEFT(A317,1)&lt;&gt;"C",D317&gt;0,F317&gt;0),1,0)</f>
        <v>1</v>
      </c>
      <c r="J317" s="7" t="n">
        <f aca="false">IF(I317=1,D317*F317,0)</f>
        <v>29.7</v>
      </c>
      <c r="K317" s="7" t="n">
        <f aca="false">YEAR(E317)*100+MONTH(E317)</f>
        <v>201109</v>
      </c>
      <c r="L317" s="7" t="n">
        <f aca="false">IF(AND(A317&lt;&gt;A316,LEFT(A317,1)&lt;&gt;"C"),1,0)</f>
        <v>0</v>
      </c>
    </row>
    <row r="318" customFormat="false" ht="15" hidden="false" customHeight="false" outlineLevel="0" collapsed="false">
      <c r="A318" s="0" t="s">
        <v>492</v>
      </c>
      <c r="B318" s="0" t="s">
        <v>123</v>
      </c>
      <c r="C318" s="0" t="s">
        <v>124</v>
      </c>
      <c r="D318" s="0" t="n">
        <v>6</v>
      </c>
      <c r="E318" s="6" t="n">
        <v>40792.5736111111</v>
      </c>
      <c r="F318" s="0" t="n">
        <v>2.95</v>
      </c>
      <c r="G318" s="0" t="n">
        <v>12720</v>
      </c>
      <c r="H318" s="0" t="s">
        <v>33</v>
      </c>
      <c r="I318" s="7" t="n">
        <f aca="false">IF(AND(LEFT(A318,1)&lt;&gt;"C",D318&gt;0,F318&gt;0),1,0)</f>
        <v>1</v>
      </c>
      <c r="J318" s="7" t="n">
        <f aca="false">IF(I318=1,D318*F318,0)</f>
        <v>17.7</v>
      </c>
      <c r="K318" s="7" t="n">
        <f aca="false">YEAR(E318)*100+MONTH(E318)</f>
        <v>201109</v>
      </c>
      <c r="L318" s="7" t="n">
        <f aca="false">IF(AND(A318&lt;&gt;A317,LEFT(A318,1)&lt;&gt;"C"),1,0)</f>
        <v>0</v>
      </c>
    </row>
    <row r="319" customFormat="false" ht="15" hidden="false" customHeight="false" outlineLevel="0" collapsed="false">
      <c r="A319" s="0" t="s">
        <v>492</v>
      </c>
      <c r="B319" s="0" t="s">
        <v>511</v>
      </c>
      <c r="C319" s="0" t="s">
        <v>512</v>
      </c>
      <c r="D319" s="0" t="n">
        <v>5</v>
      </c>
      <c r="E319" s="6" t="n">
        <v>40792.5736111111</v>
      </c>
      <c r="F319" s="0" t="n">
        <v>2.95</v>
      </c>
      <c r="G319" s="0" t="n">
        <v>12720</v>
      </c>
      <c r="H319" s="0" t="s">
        <v>33</v>
      </c>
      <c r="I319" s="7" t="n">
        <f aca="false">IF(AND(LEFT(A319,1)&lt;&gt;"C",D319&gt;0,F319&gt;0),1,0)</f>
        <v>1</v>
      </c>
      <c r="J319" s="7" t="n">
        <f aca="false">IF(I319=1,D319*F319,0)</f>
        <v>14.75</v>
      </c>
      <c r="K319" s="7" t="n">
        <f aca="false">YEAR(E319)*100+MONTH(E319)</f>
        <v>201109</v>
      </c>
      <c r="L319" s="7" t="n">
        <f aca="false">IF(AND(A319&lt;&gt;A318,LEFT(A319,1)&lt;&gt;"C"),1,0)</f>
        <v>0</v>
      </c>
    </row>
    <row r="320" customFormat="false" ht="15" hidden="false" customHeight="false" outlineLevel="0" collapsed="false">
      <c r="A320" s="0" t="s">
        <v>513</v>
      </c>
      <c r="B320" s="0" t="s">
        <v>68</v>
      </c>
      <c r="C320" s="0" t="s">
        <v>69</v>
      </c>
      <c r="D320" s="0" t="n">
        <v>10</v>
      </c>
      <c r="E320" s="6" t="n">
        <v>40792.5743055556</v>
      </c>
      <c r="F320" s="0" t="n">
        <v>1.65</v>
      </c>
      <c r="G320" s="0" t="n">
        <v>12720</v>
      </c>
      <c r="H320" s="0" t="s">
        <v>33</v>
      </c>
      <c r="I320" s="7" t="n">
        <f aca="false">IF(AND(LEFT(A320,1)&lt;&gt;"C",D320&gt;0,F320&gt;0),1,0)</f>
        <v>1</v>
      </c>
      <c r="J320" s="7" t="n">
        <f aca="false">IF(I320=1,D320*F320,0)</f>
        <v>16.5</v>
      </c>
      <c r="K320" s="7" t="n">
        <f aca="false">YEAR(E320)*100+MONTH(E320)</f>
        <v>201109</v>
      </c>
      <c r="L320" s="7" t="n">
        <f aca="false">IF(AND(A320&lt;&gt;A319,LEFT(A320,1)&lt;&gt;"C"),1,0)</f>
        <v>1</v>
      </c>
    </row>
    <row r="321" customFormat="false" ht="15" hidden="false" customHeight="false" outlineLevel="0" collapsed="false">
      <c r="A321" s="0" t="s">
        <v>514</v>
      </c>
      <c r="B321" s="0" t="s">
        <v>515</v>
      </c>
      <c r="C321" s="0" t="s">
        <v>516</v>
      </c>
      <c r="D321" s="0" t="n">
        <v>10</v>
      </c>
      <c r="E321" s="6" t="n">
        <v>40792.5965277778</v>
      </c>
      <c r="F321" s="0" t="n">
        <v>2.08</v>
      </c>
      <c r="G321" s="0" t="n">
        <v>12526</v>
      </c>
      <c r="H321" s="0" t="s">
        <v>33</v>
      </c>
      <c r="I321" s="7" t="n">
        <f aca="false">IF(AND(LEFT(A321,1)&lt;&gt;"C",D321&gt;0,F321&gt;0),1,0)</f>
        <v>1</v>
      </c>
      <c r="J321" s="7" t="n">
        <f aca="false">IF(I321=1,D321*F321,0)</f>
        <v>20.8</v>
      </c>
      <c r="K321" s="7" t="n">
        <f aca="false">YEAR(E321)*100+MONTH(E321)</f>
        <v>201109</v>
      </c>
      <c r="L321" s="7" t="n">
        <f aca="false">IF(AND(A321&lt;&gt;A320,LEFT(A321,1)&lt;&gt;"C"),1,0)</f>
        <v>1</v>
      </c>
    </row>
    <row r="322" customFormat="false" ht="15" hidden="false" customHeight="false" outlineLevel="0" collapsed="false">
      <c r="A322" s="0" t="s">
        <v>514</v>
      </c>
      <c r="B322" s="0" t="s">
        <v>517</v>
      </c>
      <c r="C322" s="0" t="s">
        <v>518</v>
      </c>
      <c r="D322" s="0" t="n">
        <v>10</v>
      </c>
      <c r="E322" s="6" t="n">
        <v>40792.5965277778</v>
      </c>
      <c r="F322" s="0" t="n">
        <v>2.08</v>
      </c>
      <c r="G322" s="0" t="n">
        <v>12526</v>
      </c>
      <c r="H322" s="0" t="s">
        <v>33</v>
      </c>
      <c r="I322" s="7" t="n">
        <f aca="false">IF(AND(LEFT(A322,1)&lt;&gt;"C",D322&gt;0,F322&gt;0),1,0)</f>
        <v>1</v>
      </c>
      <c r="J322" s="7" t="n">
        <f aca="false">IF(I322=1,D322*F322,0)</f>
        <v>20.8</v>
      </c>
      <c r="K322" s="7" t="n">
        <f aca="false">YEAR(E322)*100+MONTH(E322)</f>
        <v>201109</v>
      </c>
      <c r="L322" s="7" t="n">
        <f aca="false">IF(AND(A322&lt;&gt;A321,LEFT(A322,1)&lt;&gt;"C"),1,0)</f>
        <v>0</v>
      </c>
    </row>
    <row r="323" customFormat="false" ht="15" hidden="false" customHeight="false" outlineLevel="0" collapsed="false">
      <c r="A323" s="0" t="s">
        <v>514</v>
      </c>
      <c r="B323" s="0" t="s">
        <v>519</v>
      </c>
      <c r="C323" s="0" t="s">
        <v>520</v>
      </c>
      <c r="D323" s="0" t="n">
        <v>10</v>
      </c>
      <c r="E323" s="6" t="n">
        <v>40792.5965277778</v>
      </c>
      <c r="F323" s="0" t="n">
        <v>2.08</v>
      </c>
      <c r="G323" s="0" t="n">
        <v>12526</v>
      </c>
      <c r="H323" s="0" t="s">
        <v>33</v>
      </c>
      <c r="I323" s="7" t="n">
        <f aca="false">IF(AND(LEFT(A323,1)&lt;&gt;"C",D323&gt;0,F323&gt;0),1,0)</f>
        <v>1</v>
      </c>
      <c r="J323" s="7" t="n">
        <f aca="false">IF(I323=1,D323*F323,0)</f>
        <v>20.8</v>
      </c>
      <c r="K323" s="7" t="n">
        <f aca="false">YEAR(E323)*100+MONTH(E323)</f>
        <v>201109</v>
      </c>
      <c r="L323" s="7" t="n">
        <f aca="false">IF(AND(A323&lt;&gt;A322,LEFT(A323,1)&lt;&gt;"C"),1,0)</f>
        <v>0</v>
      </c>
    </row>
    <row r="324" customFormat="false" ht="15" hidden="false" customHeight="false" outlineLevel="0" collapsed="false">
      <c r="A324" s="0" t="s">
        <v>514</v>
      </c>
      <c r="B324" s="0" t="s">
        <v>521</v>
      </c>
      <c r="C324" s="0" t="s">
        <v>522</v>
      </c>
      <c r="D324" s="0" t="n">
        <v>8</v>
      </c>
      <c r="E324" s="6" t="n">
        <v>40792.5965277778</v>
      </c>
      <c r="F324" s="0" t="n">
        <v>1.95</v>
      </c>
      <c r="G324" s="0" t="n">
        <v>12526</v>
      </c>
      <c r="H324" s="0" t="s">
        <v>33</v>
      </c>
      <c r="I324" s="7" t="n">
        <f aca="false">IF(AND(LEFT(A324,1)&lt;&gt;"C",D324&gt;0,F324&gt;0),1,0)</f>
        <v>1</v>
      </c>
      <c r="J324" s="7" t="n">
        <f aca="false">IF(I324=1,D324*F324,0)</f>
        <v>15.6</v>
      </c>
      <c r="K324" s="7" t="n">
        <f aca="false">YEAR(E324)*100+MONTH(E324)</f>
        <v>201109</v>
      </c>
      <c r="L324" s="7" t="n">
        <f aca="false">IF(AND(A324&lt;&gt;A323,LEFT(A324,1)&lt;&gt;"C"),1,0)</f>
        <v>0</v>
      </c>
    </row>
    <row r="325" customFormat="false" ht="15" hidden="false" customHeight="false" outlineLevel="0" collapsed="false">
      <c r="A325" s="0" t="s">
        <v>514</v>
      </c>
      <c r="B325" s="0" t="s">
        <v>133</v>
      </c>
      <c r="C325" s="0" t="s">
        <v>134</v>
      </c>
      <c r="D325" s="0" t="n">
        <v>6</v>
      </c>
      <c r="E325" s="6" t="n">
        <v>40792.5965277778</v>
      </c>
      <c r="F325" s="0" t="n">
        <v>3.25</v>
      </c>
      <c r="G325" s="0" t="n">
        <v>12526</v>
      </c>
      <c r="H325" s="0" t="s">
        <v>33</v>
      </c>
      <c r="I325" s="7" t="n">
        <f aca="false">IF(AND(LEFT(A325,1)&lt;&gt;"C",D325&gt;0,F325&gt;0),1,0)</f>
        <v>1</v>
      </c>
      <c r="J325" s="7" t="n">
        <f aca="false">IF(I325=1,D325*F325,0)</f>
        <v>19.5</v>
      </c>
      <c r="K325" s="7" t="n">
        <f aca="false">YEAR(E325)*100+MONTH(E325)</f>
        <v>201109</v>
      </c>
      <c r="L325" s="7" t="n">
        <f aca="false">IF(AND(A325&lt;&gt;A324,LEFT(A325,1)&lt;&gt;"C"),1,0)</f>
        <v>0</v>
      </c>
    </row>
    <row r="326" customFormat="false" ht="15" hidden="false" customHeight="false" outlineLevel="0" collapsed="false">
      <c r="A326" s="0" t="s">
        <v>514</v>
      </c>
      <c r="B326" s="0" t="s">
        <v>523</v>
      </c>
      <c r="C326" s="0" t="s">
        <v>524</v>
      </c>
      <c r="D326" s="0" t="n">
        <v>12</v>
      </c>
      <c r="E326" s="6" t="n">
        <v>40792.5965277778</v>
      </c>
      <c r="F326" s="0" t="n">
        <v>1.25</v>
      </c>
      <c r="G326" s="0" t="n">
        <v>12526</v>
      </c>
      <c r="H326" s="0" t="s">
        <v>33</v>
      </c>
      <c r="I326" s="7" t="n">
        <f aca="false">IF(AND(LEFT(A326,1)&lt;&gt;"C",D326&gt;0,F326&gt;0),1,0)</f>
        <v>1</v>
      </c>
      <c r="J326" s="7" t="n">
        <f aca="false">IF(I326=1,D326*F326,0)</f>
        <v>15</v>
      </c>
      <c r="K326" s="7" t="n">
        <f aca="false">YEAR(E326)*100+MONTH(E326)</f>
        <v>201109</v>
      </c>
      <c r="L326" s="7" t="n">
        <f aca="false">IF(AND(A326&lt;&gt;A325,LEFT(A326,1)&lt;&gt;"C"),1,0)</f>
        <v>0</v>
      </c>
    </row>
    <row r="327" customFormat="false" ht="15" hidden="false" customHeight="false" outlineLevel="0" collapsed="false">
      <c r="A327" s="0" t="s">
        <v>514</v>
      </c>
      <c r="B327" s="0" t="s">
        <v>525</v>
      </c>
      <c r="C327" s="0" t="s">
        <v>526</v>
      </c>
      <c r="D327" s="0" t="n">
        <v>6</v>
      </c>
      <c r="E327" s="6" t="n">
        <v>40792.5965277778</v>
      </c>
      <c r="F327" s="0" t="n">
        <v>2.95</v>
      </c>
      <c r="G327" s="0" t="n">
        <v>12526</v>
      </c>
      <c r="H327" s="0" t="s">
        <v>33</v>
      </c>
      <c r="I327" s="7" t="n">
        <f aca="false">IF(AND(LEFT(A327,1)&lt;&gt;"C",D327&gt;0,F327&gt;0),1,0)</f>
        <v>1</v>
      </c>
      <c r="J327" s="7" t="n">
        <f aca="false">IF(I327=1,D327*F327,0)</f>
        <v>17.7</v>
      </c>
      <c r="K327" s="7" t="n">
        <f aca="false">YEAR(E327)*100+MONTH(E327)</f>
        <v>201109</v>
      </c>
      <c r="L327" s="7" t="n">
        <f aca="false">IF(AND(A327&lt;&gt;A326,LEFT(A327,1)&lt;&gt;"C"),1,0)</f>
        <v>0</v>
      </c>
    </row>
    <row r="328" customFormat="false" ht="15" hidden="false" customHeight="false" outlineLevel="0" collapsed="false">
      <c r="A328" s="0" t="s">
        <v>514</v>
      </c>
      <c r="B328" s="0" t="s">
        <v>527</v>
      </c>
      <c r="C328" s="0" t="s">
        <v>528</v>
      </c>
      <c r="D328" s="0" t="n">
        <v>6</v>
      </c>
      <c r="E328" s="6" t="n">
        <v>40792.5965277778</v>
      </c>
      <c r="F328" s="0" t="n">
        <v>2.95</v>
      </c>
      <c r="G328" s="0" t="n">
        <v>12526</v>
      </c>
      <c r="H328" s="0" t="s">
        <v>33</v>
      </c>
      <c r="I328" s="7" t="n">
        <f aca="false">IF(AND(LEFT(A328,1)&lt;&gt;"C",D328&gt;0,F328&gt;0),1,0)</f>
        <v>1</v>
      </c>
      <c r="J328" s="7" t="n">
        <f aca="false">IF(I328=1,D328*F328,0)</f>
        <v>17.7</v>
      </c>
      <c r="K328" s="7" t="n">
        <f aca="false">YEAR(E328)*100+MONTH(E328)</f>
        <v>201109</v>
      </c>
      <c r="L328" s="7" t="n">
        <f aca="false">IF(AND(A328&lt;&gt;A327,LEFT(A328,1)&lt;&gt;"C"),1,0)</f>
        <v>0</v>
      </c>
    </row>
    <row r="329" customFormat="false" ht="15" hidden="false" customHeight="false" outlineLevel="0" collapsed="false">
      <c r="A329" s="0" t="s">
        <v>514</v>
      </c>
      <c r="B329" s="0" t="s">
        <v>529</v>
      </c>
      <c r="C329" s="0" t="s">
        <v>530</v>
      </c>
      <c r="D329" s="0" t="n">
        <v>12</v>
      </c>
      <c r="E329" s="6" t="n">
        <v>40792.5965277778</v>
      </c>
      <c r="F329" s="0" t="n">
        <v>0.85</v>
      </c>
      <c r="G329" s="0" t="n">
        <v>12526</v>
      </c>
      <c r="H329" s="0" t="s">
        <v>33</v>
      </c>
      <c r="I329" s="7" t="n">
        <f aca="false">IF(AND(LEFT(A329,1)&lt;&gt;"C",D329&gt;0,F329&gt;0),1,0)</f>
        <v>1</v>
      </c>
      <c r="J329" s="7" t="n">
        <f aca="false">IF(I329=1,D329*F329,0)</f>
        <v>10.2</v>
      </c>
      <c r="K329" s="7" t="n">
        <f aca="false">YEAR(E329)*100+MONTH(E329)</f>
        <v>201109</v>
      </c>
      <c r="L329" s="7" t="n">
        <f aca="false">IF(AND(A329&lt;&gt;A328,LEFT(A329,1)&lt;&gt;"C"),1,0)</f>
        <v>0</v>
      </c>
    </row>
    <row r="330" customFormat="false" ht="15" hidden="false" customHeight="false" outlineLevel="0" collapsed="false">
      <c r="A330" s="0" t="s">
        <v>514</v>
      </c>
      <c r="B330" s="0" t="s">
        <v>123</v>
      </c>
      <c r="C330" s="0" t="s">
        <v>124</v>
      </c>
      <c r="D330" s="0" t="n">
        <v>6</v>
      </c>
      <c r="E330" s="6" t="n">
        <v>40792.5965277778</v>
      </c>
      <c r="F330" s="0" t="n">
        <v>2.95</v>
      </c>
      <c r="G330" s="0" t="n">
        <v>12526</v>
      </c>
      <c r="H330" s="0" t="s">
        <v>33</v>
      </c>
      <c r="I330" s="7" t="n">
        <f aca="false">IF(AND(LEFT(A330,1)&lt;&gt;"C",D330&gt;0,F330&gt;0),1,0)</f>
        <v>1</v>
      </c>
      <c r="J330" s="7" t="n">
        <f aca="false">IF(I330=1,D330*F330,0)</f>
        <v>17.7</v>
      </c>
      <c r="K330" s="7" t="n">
        <f aca="false">YEAR(E330)*100+MONTH(E330)</f>
        <v>201109</v>
      </c>
      <c r="L330" s="7" t="n">
        <f aca="false">IF(AND(A330&lt;&gt;A329,LEFT(A330,1)&lt;&gt;"C"),1,0)</f>
        <v>0</v>
      </c>
    </row>
    <row r="331" customFormat="false" ht="15" hidden="false" customHeight="false" outlineLevel="0" collapsed="false">
      <c r="A331" s="0" t="s">
        <v>514</v>
      </c>
      <c r="B331" s="0" t="s">
        <v>60</v>
      </c>
      <c r="C331" s="0" t="s">
        <v>61</v>
      </c>
      <c r="D331" s="0" t="n">
        <v>6</v>
      </c>
      <c r="E331" s="6" t="n">
        <v>40792.5965277778</v>
      </c>
      <c r="F331" s="0" t="n">
        <v>2.55</v>
      </c>
      <c r="G331" s="0" t="n">
        <v>12526</v>
      </c>
      <c r="H331" s="0" t="s">
        <v>33</v>
      </c>
      <c r="I331" s="7" t="n">
        <f aca="false">IF(AND(LEFT(A331,1)&lt;&gt;"C",D331&gt;0,F331&gt;0),1,0)</f>
        <v>1</v>
      </c>
      <c r="J331" s="7" t="n">
        <f aca="false">IF(I331=1,D331*F331,0)</f>
        <v>15.3</v>
      </c>
      <c r="K331" s="7" t="n">
        <f aca="false">YEAR(E331)*100+MONTH(E331)</f>
        <v>201109</v>
      </c>
      <c r="L331" s="7" t="n">
        <f aca="false">IF(AND(A331&lt;&gt;A330,LEFT(A331,1)&lt;&gt;"C"),1,0)</f>
        <v>0</v>
      </c>
    </row>
    <row r="332" customFormat="false" ht="15" hidden="false" customHeight="false" outlineLevel="0" collapsed="false">
      <c r="A332" s="0" t="s">
        <v>514</v>
      </c>
      <c r="B332" s="0" t="s">
        <v>76</v>
      </c>
      <c r="C332" s="0" t="s">
        <v>77</v>
      </c>
      <c r="D332" s="0" t="n">
        <v>12</v>
      </c>
      <c r="E332" s="6" t="n">
        <v>40792.5965277778</v>
      </c>
      <c r="F332" s="0" t="n">
        <v>1.95</v>
      </c>
      <c r="G332" s="0" t="n">
        <v>12526</v>
      </c>
      <c r="H332" s="0" t="s">
        <v>33</v>
      </c>
      <c r="I332" s="7" t="n">
        <f aca="false">IF(AND(LEFT(A332,1)&lt;&gt;"C",D332&gt;0,F332&gt;0),1,0)</f>
        <v>1</v>
      </c>
      <c r="J332" s="7" t="n">
        <f aca="false">IF(I332=1,D332*F332,0)</f>
        <v>23.4</v>
      </c>
      <c r="K332" s="7" t="n">
        <f aca="false">YEAR(E332)*100+MONTH(E332)</f>
        <v>201109</v>
      </c>
      <c r="L332" s="7" t="n">
        <f aca="false">IF(AND(A332&lt;&gt;A331,LEFT(A332,1)&lt;&gt;"C"),1,0)</f>
        <v>0</v>
      </c>
    </row>
    <row r="333" customFormat="false" ht="15" hidden="false" customHeight="false" outlineLevel="0" collapsed="false">
      <c r="A333" s="0" t="s">
        <v>514</v>
      </c>
      <c r="B333" s="0" t="s">
        <v>72</v>
      </c>
      <c r="C333" s="0" t="s">
        <v>73</v>
      </c>
      <c r="D333" s="0" t="n">
        <v>12</v>
      </c>
      <c r="E333" s="6" t="n">
        <v>40792.5965277778</v>
      </c>
      <c r="F333" s="0" t="n">
        <v>1.95</v>
      </c>
      <c r="G333" s="0" t="n">
        <v>12526</v>
      </c>
      <c r="H333" s="0" t="s">
        <v>33</v>
      </c>
      <c r="I333" s="7" t="n">
        <f aca="false">IF(AND(LEFT(A333,1)&lt;&gt;"C",D333&gt;0,F333&gt;0),1,0)</f>
        <v>1</v>
      </c>
      <c r="J333" s="7" t="n">
        <f aca="false">IF(I333=1,D333*F333,0)</f>
        <v>23.4</v>
      </c>
      <c r="K333" s="7" t="n">
        <f aca="false">YEAR(E333)*100+MONTH(E333)</f>
        <v>201109</v>
      </c>
      <c r="L333" s="7" t="n">
        <f aca="false">IF(AND(A333&lt;&gt;A332,LEFT(A333,1)&lt;&gt;"C"),1,0)</f>
        <v>0</v>
      </c>
    </row>
    <row r="334" customFormat="false" ht="15" hidden="false" customHeight="false" outlineLevel="0" collapsed="false">
      <c r="A334" s="0" t="s">
        <v>514</v>
      </c>
      <c r="B334" s="0" t="s">
        <v>333</v>
      </c>
      <c r="C334" s="0" t="s">
        <v>334</v>
      </c>
      <c r="D334" s="0" t="n">
        <v>12</v>
      </c>
      <c r="E334" s="6" t="n">
        <v>40792.5965277778</v>
      </c>
      <c r="F334" s="0" t="n">
        <v>1.65</v>
      </c>
      <c r="G334" s="0" t="n">
        <v>12526</v>
      </c>
      <c r="H334" s="0" t="s">
        <v>33</v>
      </c>
      <c r="I334" s="7" t="n">
        <f aca="false">IF(AND(LEFT(A334,1)&lt;&gt;"C",D334&gt;0,F334&gt;0),1,0)</f>
        <v>1</v>
      </c>
      <c r="J334" s="7" t="n">
        <f aca="false">IF(I334=1,D334*F334,0)</f>
        <v>19.8</v>
      </c>
      <c r="K334" s="7" t="n">
        <f aca="false">YEAR(E334)*100+MONTH(E334)</f>
        <v>201109</v>
      </c>
      <c r="L334" s="7" t="n">
        <f aca="false">IF(AND(A334&lt;&gt;A333,LEFT(A334,1)&lt;&gt;"C"),1,0)</f>
        <v>0</v>
      </c>
    </row>
    <row r="335" customFormat="false" ht="15" hidden="false" customHeight="false" outlineLevel="0" collapsed="false">
      <c r="A335" s="0" t="s">
        <v>514</v>
      </c>
      <c r="B335" s="0" t="s">
        <v>471</v>
      </c>
      <c r="C335" s="0" t="s">
        <v>472</v>
      </c>
      <c r="D335" s="0" t="n">
        <v>12</v>
      </c>
      <c r="E335" s="6" t="n">
        <v>40792.5965277778</v>
      </c>
      <c r="F335" s="0" t="n">
        <v>1.65</v>
      </c>
      <c r="G335" s="0" t="n">
        <v>12526</v>
      </c>
      <c r="H335" s="0" t="s">
        <v>33</v>
      </c>
      <c r="I335" s="7" t="n">
        <f aca="false">IF(AND(LEFT(A335,1)&lt;&gt;"C",D335&gt;0,F335&gt;0),1,0)</f>
        <v>1</v>
      </c>
      <c r="J335" s="7" t="n">
        <f aca="false">IF(I335=1,D335*F335,0)</f>
        <v>19.8</v>
      </c>
      <c r="K335" s="7" t="n">
        <f aca="false">YEAR(E335)*100+MONTH(E335)</f>
        <v>201109</v>
      </c>
      <c r="L335" s="7" t="n">
        <f aca="false">IF(AND(A335&lt;&gt;A334,LEFT(A335,1)&lt;&gt;"C"),1,0)</f>
        <v>0</v>
      </c>
    </row>
    <row r="336" customFormat="false" ht="15" hidden="false" customHeight="false" outlineLevel="0" collapsed="false">
      <c r="A336" s="0" t="s">
        <v>514</v>
      </c>
      <c r="B336" s="0" t="s">
        <v>335</v>
      </c>
      <c r="C336" s="0" t="s">
        <v>336</v>
      </c>
      <c r="D336" s="0" t="n">
        <v>12</v>
      </c>
      <c r="E336" s="6" t="n">
        <v>40792.5965277778</v>
      </c>
      <c r="F336" s="0" t="n">
        <v>1.65</v>
      </c>
      <c r="G336" s="0" t="n">
        <v>12526</v>
      </c>
      <c r="H336" s="0" t="s">
        <v>33</v>
      </c>
      <c r="I336" s="7" t="n">
        <f aca="false">IF(AND(LEFT(A336,1)&lt;&gt;"C",D336&gt;0,F336&gt;0),1,0)</f>
        <v>1</v>
      </c>
      <c r="J336" s="7" t="n">
        <f aca="false">IF(I336=1,D336*F336,0)</f>
        <v>19.8</v>
      </c>
      <c r="K336" s="7" t="n">
        <f aca="false">YEAR(E336)*100+MONTH(E336)</f>
        <v>201109</v>
      </c>
      <c r="L336" s="7" t="n">
        <f aca="false">IF(AND(A336&lt;&gt;A335,LEFT(A336,1)&lt;&gt;"C"),1,0)</f>
        <v>0</v>
      </c>
    </row>
    <row r="337" customFormat="false" ht="15" hidden="false" customHeight="false" outlineLevel="0" collapsed="false">
      <c r="A337" s="0" t="s">
        <v>514</v>
      </c>
      <c r="B337" s="0" t="s">
        <v>64</v>
      </c>
      <c r="C337" s="0" t="s">
        <v>65</v>
      </c>
      <c r="D337" s="0" t="n">
        <v>12</v>
      </c>
      <c r="E337" s="6" t="n">
        <v>40792.5965277778</v>
      </c>
      <c r="F337" s="0" t="n">
        <v>1.65</v>
      </c>
      <c r="G337" s="0" t="n">
        <v>12526</v>
      </c>
      <c r="H337" s="0" t="s">
        <v>33</v>
      </c>
      <c r="I337" s="7" t="n">
        <f aca="false">IF(AND(LEFT(A337,1)&lt;&gt;"C",D337&gt;0,F337&gt;0),1,0)</f>
        <v>1</v>
      </c>
      <c r="J337" s="7" t="n">
        <f aca="false">IF(I337=1,D337*F337,0)</f>
        <v>19.8</v>
      </c>
      <c r="K337" s="7" t="n">
        <f aca="false">YEAR(E337)*100+MONTH(E337)</f>
        <v>201109</v>
      </c>
      <c r="L337" s="7" t="n">
        <f aca="false">IF(AND(A337&lt;&gt;A336,LEFT(A337,1)&lt;&gt;"C"),1,0)</f>
        <v>0</v>
      </c>
    </row>
    <row r="338" customFormat="false" ht="15" hidden="false" customHeight="false" outlineLevel="0" collapsed="false">
      <c r="A338" s="0" t="s">
        <v>514</v>
      </c>
      <c r="B338" s="0" t="s">
        <v>531</v>
      </c>
      <c r="C338" s="0" t="s">
        <v>532</v>
      </c>
      <c r="D338" s="0" t="n">
        <v>12</v>
      </c>
      <c r="E338" s="6" t="n">
        <v>40792.5965277778</v>
      </c>
      <c r="F338" s="0" t="n">
        <v>0.83</v>
      </c>
      <c r="G338" s="0" t="n">
        <v>12526</v>
      </c>
      <c r="H338" s="0" t="s">
        <v>33</v>
      </c>
      <c r="I338" s="7" t="n">
        <f aca="false">IF(AND(LEFT(A338,1)&lt;&gt;"C",D338&gt;0,F338&gt;0),1,0)</f>
        <v>1</v>
      </c>
      <c r="J338" s="7" t="n">
        <f aca="false">IF(I338=1,D338*F338,0)</f>
        <v>9.96</v>
      </c>
      <c r="K338" s="7" t="n">
        <f aca="false">YEAR(E338)*100+MONTH(E338)</f>
        <v>201109</v>
      </c>
      <c r="L338" s="7" t="n">
        <f aca="false">IF(AND(A338&lt;&gt;A337,LEFT(A338,1)&lt;&gt;"C"),1,0)</f>
        <v>0</v>
      </c>
    </row>
    <row r="339" customFormat="false" ht="15" hidden="false" customHeight="false" outlineLevel="0" collapsed="false">
      <c r="A339" s="0" t="s">
        <v>514</v>
      </c>
      <c r="B339" s="0" t="s">
        <v>533</v>
      </c>
      <c r="C339" s="0" t="s">
        <v>534</v>
      </c>
      <c r="D339" s="0" t="n">
        <v>16</v>
      </c>
      <c r="E339" s="6" t="n">
        <v>40792.5965277778</v>
      </c>
      <c r="F339" s="0" t="n">
        <v>1.25</v>
      </c>
      <c r="G339" s="0" t="n">
        <v>12526</v>
      </c>
      <c r="H339" s="0" t="s">
        <v>33</v>
      </c>
      <c r="I339" s="7" t="n">
        <f aca="false">IF(AND(LEFT(A339,1)&lt;&gt;"C",D339&gt;0,F339&gt;0),1,0)</f>
        <v>1</v>
      </c>
      <c r="J339" s="7" t="n">
        <f aca="false">IF(I339=1,D339*F339,0)</f>
        <v>20</v>
      </c>
      <c r="K339" s="7" t="n">
        <f aca="false">YEAR(E339)*100+MONTH(E339)</f>
        <v>201109</v>
      </c>
      <c r="L339" s="7" t="n">
        <f aca="false">IF(AND(A339&lt;&gt;A338,LEFT(A339,1)&lt;&gt;"C"),1,0)</f>
        <v>0</v>
      </c>
    </row>
    <row r="340" customFormat="false" ht="15" hidden="false" customHeight="false" outlineLevel="0" collapsed="false">
      <c r="A340" s="0" t="s">
        <v>514</v>
      </c>
      <c r="B340" s="0" t="s">
        <v>535</v>
      </c>
      <c r="C340" s="0" t="s">
        <v>536</v>
      </c>
      <c r="D340" s="0" t="n">
        <v>16</v>
      </c>
      <c r="E340" s="6" t="n">
        <v>40792.5965277778</v>
      </c>
      <c r="F340" s="0" t="n">
        <v>1.25</v>
      </c>
      <c r="G340" s="0" t="n">
        <v>12526</v>
      </c>
      <c r="H340" s="0" t="s">
        <v>33</v>
      </c>
      <c r="I340" s="7" t="n">
        <f aca="false">IF(AND(LEFT(A340,1)&lt;&gt;"C",D340&gt;0,F340&gt;0),1,0)</f>
        <v>1</v>
      </c>
      <c r="J340" s="7" t="n">
        <f aca="false">IF(I340=1,D340*F340,0)</f>
        <v>20</v>
      </c>
      <c r="K340" s="7" t="n">
        <f aca="false">YEAR(E340)*100+MONTH(E340)</f>
        <v>201109</v>
      </c>
      <c r="L340" s="7" t="n">
        <f aca="false">IF(AND(A340&lt;&gt;A339,LEFT(A340,1)&lt;&gt;"C"),1,0)</f>
        <v>0</v>
      </c>
    </row>
    <row r="341" customFormat="false" ht="15" hidden="false" customHeight="false" outlineLevel="0" collapsed="false">
      <c r="A341" s="0" t="s">
        <v>514</v>
      </c>
      <c r="B341" s="0" t="s">
        <v>537</v>
      </c>
      <c r="C341" s="0" t="s">
        <v>538</v>
      </c>
      <c r="D341" s="0" t="n">
        <v>6</v>
      </c>
      <c r="E341" s="6" t="n">
        <v>40792.5965277778</v>
      </c>
      <c r="F341" s="0" t="n">
        <v>4.15</v>
      </c>
      <c r="G341" s="0" t="n">
        <v>12526</v>
      </c>
      <c r="H341" s="0" t="s">
        <v>33</v>
      </c>
      <c r="I341" s="7" t="n">
        <f aca="false">IF(AND(LEFT(A341,1)&lt;&gt;"C",D341&gt;0,F341&gt;0),1,0)</f>
        <v>1</v>
      </c>
      <c r="J341" s="7" t="n">
        <f aca="false">IF(I341=1,D341*F341,0)</f>
        <v>24.9</v>
      </c>
      <c r="K341" s="7" t="n">
        <f aca="false">YEAR(E341)*100+MONTH(E341)</f>
        <v>201109</v>
      </c>
      <c r="L341" s="7" t="n">
        <f aca="false">IF(AND(A341&lt;&gt;A340,LEFT(A341,1)&lt;&gt;"C"),1,0)</f>
        <v>0</v>
      </c>
    </row>
    <row r="342" customFormat="false" ht="15" hidden="false" customHeight="false" outlineLevel="0" collapsed="false">
      <c r="A342" s="0" t="s">
        <v>514</v>
      </c>
      <c r="B342" s="0" t="s">
        <v>539</v>
      </c>
      <c r="C342" s="0" t="s">
        <v>540</v>
      </c>
      <c r="D342" s="0" t="n">
        <v>24</v>
      </c>
      <c r="E342" s="6" t="n">
        <v>40792.5965277778</v>
      </c>
      <c r="F342" s="0" t="n">
        <v>0.42</v>
      </c>
      <c r="G342" s="0" t="n">
        <v>12526</v>
      </c>
      <c r="H342" s="0" t="s">
        <v>33</v>
      </c>
      <c r="I342" s="7" t="n">
        <f aca="false">IF(AND(LEFT(A342,1)&lt;&gt;"C",D342&gt;0,F342&gt;0),1,0)</f>
        <v>1</v>
      </c>
      <c r="J342" s="7" t="n">
        <f aca="false">IF(I342=1,D342*F342,0)</f>
        <v>10.08</v>
      </c>
      <c r="K342" s="7" t="n">
        <f aca="false">YEAR(E342)*100+MONTH(E342)</f>
        <v>201109</v>
      </c>
      <c r="L342" s="7" t="n">
        <f aca="false">IF(AND(A342&lt;&gt;A341,LEFT(A342,1)&lt;&gt;"C"),1,0)</f>
        <v>0</v>
      </c>
    </row>
    <row r="343" customFormat="false" ht="15" hidden="false" customHeight="false" outlineLevel="0" collapsed="false">
      <c r="A343" s="0" t="s">
        <v>514</v>
      </c>
      <c r="B343" s="0" t="s">
        <v>541</v>
      </c>
      <c r="C343" s="0" t="s">
        <v>542</v>
      </c>
      <c r="D343" s="0" t="n">
        <v>24</v>
      </c>
      <c r="E343" s="6" t="n">
        <v>40792.5965277778</v>
      </c>
      <c r="F343" s="0" t="n">
        <v>0.42</v>
      </c>
      <c r="G343" s="0" t="n">
        <v>12526</v>
      </c>
      <c r="H343" s="0" t="s">
        <v>33</v>
      </c>
      <c r="I343" s="7" t="n">
        <f aca="false">IF(AND(LEFT(A343,1)&lt;&gt;"C",D343&gt;0,F343&gt;0),1,0)</f>
        <v>1</v>
      </c>
      <c r="J343" s="7" t="n">
        <f aca="false">IF(I343=1,D343*F343,0)</f>
        <v>10.08</v>
      </c>
      <c r="K343" s="7" t="n">
        <f aca="false">YEAR(E343)*100+MONTH(E343)</f>
        <v>201109</v>
      </c>
      <c r="L343" s="7" t="n">
        <f aca="false">IF(AND(A343&lt;&gt;A342,LEFT(A343,1)&lt;&gt;"C"),1,0)</f>
        <v>0</v>
      </c>
    </row>
    <row r="344" customFormat="false" ht="15" hidden="false" customHeight="false" outlineLevel="0" collapsed="false">
      <c r="A344" s="0" t="s">
        <v>514</v>
      </c>
      <c r="B344" s="0" t="s">
        <v>543</v>
      </c>
      <c r="C344" s="0" t="s">
        <v>544</v>
      </c>
      <c r="D344" s="0" t="n">
        <v>24</v>
      </c>
      <c r="E344" s="6" t="n">
        <v>40792.5965277778</v>
      </c>
      <c r="F344" s="0" t="n">
        <v>0.42</v>
      </c>
      <c r="G344" s="0" t="n">
        <v>12526</v>
      </c>
      <c r="H344" s="0" t="s">
        <v>33</v>
      </c>
      <c r="I344" s="7" t="n">
        <f aca="false">IF(AND(LEFT(A344,1)&lt;&gt;"C",D344&gt;0,F344&gt;0),1,0)</f>
        <v>1</v>
      </c>
      <c r="J344" s="7" t="n">
        <f aca="false">IF(I344=1,D344*F344,0)</f>
        <v>10.08</v>
      </c>
      <c r="K344" s="7" t="n">
        <f aca="false">YEAR(E344)*100+MONTH(E344)</f>
        <v>201109</v>
      </c>
      <c r="L344" s="7" t="n">
        <f aca="false">IF(AND(A344&lt;&gt;A343,LEFT(A344,1)&lt;&gt;"C"),1,0)</f>
        <v>0</v>
      </c>
    </row>
    <row r="345" customFormat="false" ht="15" hidden="false" customHeight="false" outlineLevel="0" collapsed="false">
      <c r="A345" s="0" t="s">
        <v>514</v>
      </c>
      <c r="B345" s="0" t="s">
        <v>545</v>
      </c>
      <c r="C345" s="0" t="s">
        <v>546</v>
      </c>
      <c r="D345" s="0" t="n">
        <v>3</v>
      </c>
      <c r="E345" s="6" t="n">
        <v>40792.5965277778</v>
      </c>
      <c r="F345" s="0" t="n">
        <v>4.95</v>
      </c>
      <c r="G345" s="0" t="n">
        <v>12526</v>
      </c>
      <c r="H345" s="0" t="s">
        <v>33</v>
      </c>
      <c r="I345" s="7" t="n">
        <f aca="false">IF(AND(LEFT(A345,1)&lt;&gt;"C",D345&gt;0,F345&gt;0),1,0)</f>
        <v>1</v>
      </c>
      <c r="J345" s="7" t="n">
        <f aca="false">IF(I345=1,D345*F345,0)</f>
        <v>14.85</v>
      </c>
      <c r="K345" s="7" t="n">
        <f aca="false">YEAR(E345)*100+MONTH(E345)</f>
        <v>201109</v>
      </c>
      <c r="L345" s="7" t="n">
        <f aca="false">IF(AND(A345&lt;&gt;A344,LEFT(A345,1)&lt;&gt;"C"),1,0)</f>
        <v>0</v>
      </c>
    </row>
    <row r="346" customFormat="false" ht="15" hidden="false" customHeight="false" outlineLevel="0" collapsed="false">
      <c r="A346" s="0" t="s">
        <v>514</v>
      </c>
      <c r="B346" s="0" t="s">
        <v>547</v>
      </c>
      <c r="C346" s="0" t="s">
        <v>548</v>
      </c>
      <c r="D346" s="0" t="n">
        <v>3</v>
      </c>
      <c r="E346" s="6" t="n">
        <v>40792.5965277778</v>
      </c>
      <c r="F346" s="0" t="n">
        <v>4.95</v>
      </c>
      <c r="G346" s="0" t="n">
        <v>12526</v>
      </c>
      <c r="H346" s="0" t="s">
        <v>33</v>
      </c>
      <c r="I346" s="7" t="n">
        <f aca="false">IF(AND(LEFT(A346,1)&lt;&gt;"C",D346&gt;0,F346&gt;0),1,0)</f>
        <v>1</v>
      </c>
      <c r="J346" s="7" t="n">
        <f aca="false">IF(I346=1,D346*F346,0)</f>
        <v>14.85</v>
      </c>
      <c r="K346" s="7" t="n">
        <f aca="false">YEAR(E346)*100+MONTH(E346)</f>
        <v>201109</v>
      </c>
      <c r="L346" s="7" t="n">
        <f aca="false">IF(AND(A346&lt;&gt;A345,LEFT(A346,1)&lt;&gt;"C"),1,0)</f>
        <v>0</v>
      </c>
    </row>
    <row r="347" customFormat="false" ht="15" hidden="false" customHeight="false" outlineLevel="0" collapsed="false">
      <c r="A347" s="0" t="s">
        <v>514</v>
      </c>
      <c r="B347" s="0" t="s">
        <v>549</v>
      </c>
      <c r="C347" s="0" t="s">
        <v>550</v>
      </c>
      <c r="D347" s="0" t="n">
        <v>12</v>
      </c>
      <c r="E347" s="6" t="n">
        <v>40792.5965277778</v>
      </c>
      <c r="F347" s="0" t="n">
        <v>1.45</v>
      </c>
      <c r="G347" s="0" t="n">
        <v>12526</v>
      </c>
      <c r="H347" s="0" t="s">
        <v>33</v>
      </c>
      <c r="I347" s="7" t="n">
        <f aca="false">IF(AND(LEFT(A347,1)&lt;&gt;"C",D347&gt;0,F347&gt;0),1,0)</f>
        <v>1</v>
      </c>
      <c r="J347" s="7" t="n">
        <f aca="false">IF(I347=1,D347*F347,0)</f>
        <v>17.4</v>
      </c>
      <c r="K347" s="7" t="n">
        <f aca="false">YEAR(E347)*100+MONTH(E347)</f>
        <v>201109</v>
      </c>
      <c r="L347" s="7" t="n">
        <f aca="false">IF(AND(A347&lt;&gt;A346,LEFT(A347,1)&lt;&gt;"C"),1,0)</f>
        <v>0</v>
      </c>
    </row>
    <row r="348" customFormat="false" ht="15" hidden="false" customHeight="false" outlineLevel="0" collapsed="false">
      <c r="A348" s="0" t="s">
        <v>514</v>
      </c>
      <c r="B348" s="0" t="s">
        <v>239</v>
      </c>
      <c r="C348" s="0" t="s">
        <v>240</v>
      </c>
      <c r="D348" s="0" t="n">
        <v>12</v>
      </c>
      <c r="E348" s="6" t="n">
        <v>40792.5965277778</v>
      </c>
      <c r="F348" s="0" t="n">
        <v>1.25</v>
      </c>
      <c r="G348" s="0" t="n">
        <v>12526</v>
      </c>
      <c r="H348" s="0" t="s">
        <v>33</v>
      </c>
      <c r="I348" s="7" t="n">
        <f aca="false">IF(AND(LEFT(A348,1)&lt;&gt;"C",D348&gt;0,F348&gt;0),1,0)</f>
        <v>1</v>
      </c>
      <c r="J348" s="7" t="n">
        <f aca="false">IF(I348=1,D348*F348,0)</f>
        <v>15</v>
      </c>
      <c r="K348" s="7" t="n">
        <f aca="false">YEAR(E348)*100+MONTH(E348)</f>
        <v>201109</v>
      </c>
      <c r="L348" s="7" t="n">
        <f aca="false">IF(AND(A348&lt;&gt;A347,LEFT(A348,1)&lt;&gt;"C"),1,0)</f>
        <v>0</v>
      </c>
    </row>
    <row r="349" customFormat="false" ht="15" hidden="false" customHeight="false" outlineLevel="0" collapsed="false">
      <c r="A349" s="0" t="s">
        <v>514</v>
      </c>
      <c r="B349" s="0" t="s">
        <v>84</v>
      </c>
      <c r="C349" s="0" t="s">
        <v>85</v>
      </c>
      <c r="D349" s="0" t="n">
        <v>2</v>
      </c>
      <c r="E349" s="6" t="n">
        <v>40792.5965277778</v>
      </c>
      <c r="F349" s="0" t="n">
        <v>18</v>
      </c>
      <c r="G349" s="0" t="n">
        <v>12526</v>
      </c>
      <c r="H349" s="0" t="s">
        <v>33</v>
      </c>
      <c r="I349" s="7" t="n">
        <f aca="false">IF(AND(LEFT(A349,1)&lt;&gt;"C",D349&gt;0,F349&gt;0),1,0)</f>
        <v>1</v>
      </c>
      <c r="J349" s="7" t="n">
        <f aca="false">IF(I349=1,D349*F349,0)</f>
        <v>36</v>
      </c>
      <c r="K349" s="7" t="n">
        <f aca="false">YEAR(E349)*100+MONTH(E349)</f>
        <v>201109</v>
      </c>
      <c r="L349" s="7" t="n">
        <f aca="false">IF(AND(A349&lt;&gt;A348,LEFT(A349,1)&lt;&gt;"C"),1,0)</f>
        <v>0</v>
      </c>
    </row>
    <row r="350" customFormat="false" ht="15" hidden="false" customHeight="false" outlineLevel="0" collapsed="false">
      <c r="A350" s="0" t="s">
        <v>551</v>
      </c>
      <c r="B350" s="0" t="s">
        <v>222</v>
      </c>
      <c r="C350" s="0" t="s">
        <v>223</v>
      </c>
      <c r="D350" s="0" t="n">
        <v>6</v>
      </c>
      <c r="E350" s="6" t="n">
        <v>40792.6201388889</v>
      </c>
      <c r="F350" s="0" t="n">
        <v>2.25</v>
      </c>
      <c r="G350" s="0" t="n">
        <v>12569</v>
      </c>
      <c r="H350" s="0" t="s">
        <v>33</v>
      </c>
      <c r="I350" s="7" t="n">
        <f aca="false">IF(AND(LEFT(A350,1)&lt;&gt;"C",D350&gt;0,F350&gt;0),1,0)</f>
        <v>1</v>
      </c>
      <c r="J350" s="7" t="n">
        <f aca="false">IF(I350=1,D350*F350,0)</f>
        <v>13.5</v>
      </c>
      <c r="K350" s="7" t="n">
        <f aca="false">YEAR(E350)*100+MONTH(E350)</f>
        <v>201109</v>
      </c>
      <c r="L350" s="7" t="n">
        <f aca="false">IF(AND(A350&lt;&gt;A349,LEFT(A350,1)&lt;&gt;"C"),1,0)</f>
        <v>1</v>
      </c>
    </row>
    <row r="351" customFormat="false" ht="15" hidden="false" customHeight="false" outlineLevel="0" collapsed="false">
      <c r="A351" s="0" t="s">
        <v>551</v>
      </c>
      <c r="B351" s="0" t="s">
        <v>552</v>
      </c>
      <c r="C351" s="0" t="s">
        <v>553</v>
      </c>
      <c r="D351" s="0" t="n">
        <v>8</v>
      </c>
      <c r="E351" s="6" t="n">
        <v>40792.6201388889</v>
      </c>
      <c r="F351" s="0" t="n">
        <v>4.95</v>
      </c>
      <c r="G351" s="0" t="n">
        <v>12569</v>
      </c>
      <c r="H351" s="0" t="s">
        <v>33</v>
      </c>
      <c r="I351" s="7" t="n">
        <f aca="false">IF(AND(LEFT(A351,1)&lt;&gt;"C",D351&gt;0,F351&gt;0),1,0)</f>
        <v>1</v>
      </c>
      <c r="J351" s="7" t="n">
        <f aca="false">IF(I351=1,D351*F351,0)</f>
        <v>39.6</v>
      </c>
      <c r="K351" s="7" t="n">
        <f aca="false">YEAR(E351)*100+MONTH(E351)</f>
        <v>201109</v>
      </c>
      <c r="L351" s="7" t="n">
        <f aca="false">IF(AND(A351&lt;&gt;A350,LEFT(A351,1)&lt;&gt;"C"),1,0)</f>
        <v>0</v>
      </c>
    </row>
    <row r="352" customFormat="false" ht="15" hidden="false" customHeight="false" outlineLevel="0" collapsed="false">
      <c r="A352" s="0" t="s">
        <v>551</v>
      </c>
      <c r="B352" s="0" t="s">
        <v>554</v>
      </c>
      <c r="C352" s="0" t="s">
        <v>555</v>
      </c>
      <c r="D352" s="0" t="n">
        <v>6</v>
      </c>
      <c r="E352" s="6" t="n">
        <v>40792.6201388889</v>
      </c>
      <c r="F352" s="0" t="n">
        <v>5.95</v>
      </c>
      <c r="G352" s="0" t="n">
        <v>12569</v>
      </c>
      <c r="H352" s="0" t="s">
        <v>33</v>
      </c>
      <c r="I352" s="7" t="n">
        <f aca="false">IF(AND(LEFT(A352,1)&lt;&gt;"C",D352&gt;0,F352&gt;0),1,0)</f>
        <v>1</v>
      </c>
      <c r="J352" s="7" t="n">
        <f aca="false">IF(I352=1,D352*F352,0)</f>
        <v>35.7</v>
      </c>
      <c r="K352" s="7" t="n">
        <f aca="false">YEAR(E352)*100+MONTH(E352)</f>
        <v>201109</v>
      </c>
      <c r="L352" s="7" t="n">
        <f aca="false">IF(AND(A352&lt;&gt;A351,LEFT(A352,1)&lt;&gt;"C"),1,0)</f>
        <v>0</v>
      </c>
    </row>
    <row r="353" customFormat="false" ht="15" hidden="false" customHeight="false" outlineLevel="0" collapsed="false">
      <c r="A353" s="0" t="s">
        <v>551</v>
      </c>
      <c r="B353" s="0" t="s">
        <v>84</v>
      </c>
      <c r="C353" s="0" t="s">
        <v>85</v>
      </c>
      <c r="D353" s="0" t="n">
        <v>1</v>
      </c>
      <c r="E353" s="6" t="n">
        <v>40792.6201388889</v>
      </c>
      <c r="F353" s="0" t="n">
        <v>18</v>
      </c>
      <c r="G353" s="0" t="n">
        <v>12569</v>
      </c>
      <c r="H353" s="0" t="s">
        <v>33</v>
      </c>
      <c r="I353" s="7" t="n">
        <f aca="false">IF(AND(LEFT(A353,1)&lt;&gt;"C",D353&gt;0,F353&gt;0),1,0)</f>
        <v>1</v>
      </c>
      <c r="J353" s="7" t="n">
        <f aca="false">IF(I353=1,D353*F353,0)</f>
        <v>18</v>
      </c>
      <c r="K353" s="7" t="n">
        <f aca="false">YEAR(E353)*100+MONTH(E353)</f>
        <v>201109</v>
      </c>
      <c r="L353" s="7" t="n">
        <f aca="false">IF(AND(A353&lt;&gt;A352,LEFT(A353,1)&lt;&gt;"C"),1,0)</f>
        <v>0</v>
      </c>
    </row>
    <row r="354" customFormat="false" ht="15" hidden="false" customHeight="false" outlineLevel="0" collapsed="false">
      <c r="A354" s="0" t="s">
        <v>556</v>
      </c>
      <c r="B354" s="0" t="s">
        <v>557</v>
      </c>
      <c r="C354" s="0" t="s">
        <v>558</v>
      </c>
      <c r="D354" s="0" t="n">
        <v>12</v>
      </c>
      <c r="E354" s="6" t="n">
        <v>40793.4361111111</v>
      </c>
      <c r="F354" s="0" t="n">
        <v>1.95</v>
      </c>
      <c r="G354" s="0" t="n">
        <v>12685</v>
      </c>
      <c r="H354" s="0" t="s">
        <v>43</v>
      </c>
      <c r="I354" s="7" t="n">
        <f aca="false">IF(AND(LEFT(A354,1)&lt;&gt;"C",D354&gt;0,F354&gt;0),1,0)</f>
        <v>1</v>
      </c>
      <c r="J354" s="7" t="n">
        <f aca="false">IF(I354=1,D354*F354,0)</f>
        <v>23.4</v>
      </c>
      <c r="K354" s="7" t="n">
        <f aca="false">YEAR(E354)*100+MONTH(E354)</f>
        <v>201109</v>
      </c>
      <c r="L354" s="7" t="n">
        <f aca="false">IF(AND(A354&lt;&gt;A353,LEFT(A354,1)&lt;&gt;"C"),1,0)</f>
        <v>1</v>
      </c>
    </row>
    <row r="355" customFormat="false" ht="15" hidden="false" customHeight="false" outlineLevel="0" collapsed="false">
      <c r="A355" s="0" t="s">
        <v>556</v>
      </c>
      <c r="B355" s="0" t="s">
        <v>559</v>
      </c>
      <c r="C355" s="0" t="s">
        <v>560</v>
      </c>
      <c r="D355" s="0" t="n">
        <v>10</v>
      </c>
      <c r="E355" s="6" t="n">
        <v>40793.4361111111</v>
      </c>
      <c r="F355" s="0" t="n">
        <v>0.85</v>
      </c>
      <c r="G355" s="0" t="n">
        <v>12685</v>
      </c>
      <c r="H355" s="0" t="s">
        <v>43</v>
      </c>
      <c r="I355" s="7" t="n">
        <f aca="false">IF(AND(LEFT(A355,1)&lt;&gt;"C",D355&gt;0,F355&gt;0),1,0)</f>
        <v>1</v>
      </c>
      <c r="J355" s="7" t="n">
        <f aca="false">IF(I355=1,D355*F355,0)</f>
        <v>8.5</v>
      </c>
      <c r="K355" s="7" t="n">
        <f aca="false">YEAR(E355)*100+MONTH(E355)</f>
        <v>201109</v>
      </c>
      <c r="L355" s="7" t="n">
        <f aca="false">IF(AND(A355&lt;&gt;A354,LEFT(A355,1)&lt;&gt;"C"),1,0)</f>
        <v>0</v>
      </c>
    </row>
    <row r="356" customFormat="false" ht="15" hidden="false" customHeight="false" outlineLevel="0" collapsed="false">
      <c r="A356" s="0" t="s">
        <v>556</v>
      </c>
      <c r="B356" s="0" t="s">
        <v>561</v>
      </c>
      <c r="C356" s="0" t="s">
        <v>562</v>
      </c>
      <c r="D356" s="0" t="n">
        <v>12</v>
      </c>
      <c r="E356" s="6" t="n">
        <v>40793.4361111111</v>
      </c>
      <c r="F356" s="0" t="n">
        <v>1.45</v>
      </c>
      <c r="G356" s="0" t="n">
        <v>12685</v>
      </c>
      <c r="H356" s="0" t="s">
        <v>43</v>
      </c>
      <c r="I356" s="7" t="n">
        <f aca="false">IF(AND(LEFT(A356,1)&lt;&gt;"C",D356&gt;0,F356&gt;0),1,0)</f>
        <v>1</v>
      </c>
      <c r="J356" s="7" t="n">
        <f aca="false">IF(I356=1,D356*F356,0)</f>
        <v>17.4</v>
      </c>
      <c r="K356" s="7" t="n">
        <f aca="false">YEAR(E356)*100+MONTH(E356)</f>
        <v>201109</v>
      </c>
      <c r="L356" s="7" t="n">
        <f aca="false">IF(AND(A356&lt;&gt;A355,LEFT(A356,1)&lt;&gt;"C"),1,0)</f>
        <v>0</v>
      </c>
    </row>
    <row r="357" customFormat="false" ht="15" hidden="false" customHeight="false" outlineLevel="0" collapsed="false">
      <c r="A357" s="0" t="s">
        <v>556</v>
      </c>
      <c r="B357" s="0" t="s">
        <v>563</v>
      </c>
      <c r="C357" s="0" t="s">
        <v>564</v>
      </c>
      <c r="D357" s="0" t="n">
        <v>10</v>
      </c>
      <c r="E357" s="6" t="n">
        <v>40793.4361111111</v>
      </c>
      <c r="F357" s="0" t="n">
        <v>2.08</v>
      </c>
      <c r="G357" s="0" t="n">
        <v>12685</v>
      </c>
      <c r="H357" s="0" t="s">
        <v>43</v>
      </c>
      <c r="I357" s="7" t="n">
        <f aca="false">IF(AND(LEFT(A357,1)&lt;&gt;"C",D357&gt;0,F357&gt;0),1,0)</f>
        <v>1</v>
      </c>
      <c r="J357" s="7" t="n">
        <f aca="false">IF(I357=1,D357*F357,0)</f>
        <v>20.8</v>
      </c>
      <c r="K357" s="7" t="n">
        <f aca="false">YEAR(E357)*100+MONTH(E357)</f>
        <v>201109</v>
      </c>
      <c r="L357" s="7" t="n">
        <f aca="false">IF(AND(A357&lt;&gt;A356,LEFT(A357,1)&lt;&gt;"C"),1,0)</f>
        <v>0</v>
      </c>
    </row>
    <row r="358" customFormat="false" ht="15" hidden="false" customHeight="false" outlineLevel="0" collapsed="false">
      <c r="A358" s="0" t="s">
        <v>556</v>
      </c>
      <c r="B358" s="0" t="s">
        <v>565</v>
      </c>
      <c r="C358" s="0" t="s">
        <v>566</v>
      </c>
      <c r="D358" s="0" t="n">
        <v>12</v>
      </c>
      <c r="E358" s="6" t="n">
        <v>40793.4361111111</v>
      </c>
      <c r="F358" s="0" t="n">
        <v>1.45</v>
      </c>
      <c r="G358" s="0" t="n">
        <v>12685</v>
      </c>
      <c r="H358" s="0" t="s">
        <v>43</v>
      </c>
      <c r="I358" s="7" t="n">
        <f aca="false">IF(AND(LEFT(A358,1)&lt;&gt;"C",D358&gt;0,F358&gt;0),1,0)</f>
        <v>1</v>
      </c>
      <c r="J358" s="7" t="n">
        <f aca="false">IF(I358=1,D358*F358,0)</f>
        <v>17.4</v>
      </c>
      <c r="K358" s="7" t="n">
        <f aca="false">YEAR(E358)*100+MONTH(E358)</f>
        <v>201109</v>
      </c>
      <c r="L358" s="7" t="n">
        <f aca="false">IF(AND(A358&lt;&gt;A357,LEFT(A358,1)&lt;&gt;"C"),1,0)</f>
        <v>0</v>
      </c>
    </row>
    <row r="359" customFormat="false" ht="15" hidden="false" customHeight="false" outlineLevel="0" collapsed="false">
      <c r="A359" s="0" t="s">
        <v>556</v>
      </c>
      <c r="B359" s="0" t="s">
        <v>333</v>
      </c>
      <c r="C359" s="0" t="s">
        <v>334</v>
      </c>
      <c r="D359" s="0" t="n">
        <v>12</v>
      </c>
      <c r="E359" s="6" t="n">
        <v>40793.4361111111</v>
      </c>
      <c r="F359" s="0" t="n">
        <v>1.65</v>
      </c>
      <c r="G359" s="0" t="n">
        <v>12685</v>
      </c>
      <c r="H359" s="0" t="s">
        <v>43</v>
      </c>
      <c r="I359" s="7" t="n">
        <f aca="false">IF(AND(LEFT(A359,1)&lt;&gt;"C",D359&gt;0,F359&gt;0),1,0)</f>
        <v>1</v>
      </c>
      <c r="J359" s="7" t="n">
        <f aca="false">IF(I359=1,D359*F359,0)</f>
        <v>19.8</v>
      </c>
      <c r="K359" s="7" t="n">
        <f aca="false">YEAR(E359)*100+MONTH(E359)</f>
        <v>201109</v>
      </c>
      <c r="L359" s="7" t="n">
        <f aca="false">IF(AND(A359&lt;&gt;A358,LEFT(A359,1)&lt;&gt;"C"),1,0)</f>
        <v>0</v>
      </c>
    </row>
    <row r="360" customFormat="false" ht="15" hidden="false" customHeight="false" outlineLevel="0" collapsed="false">
      <c r="A360" s="0" t="s">
        <v>556</v>
      </c>
      <c r="B360" s="0" t="s">
        <v>56</v>
      </c>
      <c r="C360" s="0" t="s">
        <v>57</v>
      </c>
      <c r="D360" s="0" t="n">
        <v>10</v>
      </c>
      <c r="E360" s="6" t="n">
        <v>40793.4361111111</v>
      </c>
      <c r="F360" s="0" t="n">
        <v>1.65</v>
      </c>
      <c r="G360" s="0" t="n">
        <v>12685</v>
      </c>
      <c r="H360" s="0" t="s">
        <v>43</v>
      </c>
      <c r="I360" s="7" t="n">
        <f aca="false">IF(AND(LEFT(A360,1)&lt;&gt;"C",D360&gt;0,F360&gt;0),1,0)</f>
        <v>1</v>
      </c>
      <c r="J360" s="7" t="n">
        <f aca="false">IF(I360=1,D360*F360,0)</f>
        <v>16.5</v>
      </c>
      <c r="K360" s="7" t="n">
        <f aca="false">YEAR(E360)*100+MONTH(E360)</f>
        <v>201109</v>
      </c>
      <c r="L360" s="7" t="n">
        <f aca="false">IF(AND(A360&lt;&gt;A359,LEFT(A360,1)&lt;&gt;"C"),1,0)</f>
        <v>0</v>
      </c>
    </row>
    <row r="361" customFormat="false" ht="15" hidden="false" customHeight="false" outlineLevel="0" collapsed="false">
      <c r="A361" s="0" t="s">
        <v>556</v>
      </c>
      <c r="B361" s="0" t="s">
        <v>318</v>
      </c>
      <c r="C361" s="0" t="s">
        <v>319</v>
      </c>
      <c r="D361" s="0" t="n">
        <v>4</v>
      </c>
      <c r="E361" s="6" t="n">
        <v>40793.4361111111</v>
      </c>
      <c r="F361" s="0" t="n">
        <v>3.75</v>
      </c>
      <c r="G361" s="0" t="n">
        <v>12685</v>
      </c>
      <c r="H361" s="0" t="s">
        <v>43</v>
      </c>
      <c r="I361" s="7" t="n">
        <f aca="false">IF(AND(LEFT(A361,1)&lt;&gt;"C",D361&gt;0,F361&gt;0),1,0)</f>
        <v>1</v>
      </c>
      <c r="J361" s="7" t="n">
        <f aca="false">IF(I361=1,D361*F361,0)</f>
        <v>15</v>
      </c>
      <c r="K361" s="7" t="n">
        <f aca="false">YEAR(E361)*100+MONTH(E361)</f>
        <v>201109</v>
      </c>
      <c r="L361" s="7" t="n">
        <f aca="false">IF(AND(A361&lt;&gt;A360,LEFT(A361,1)&lt;&gt;"C"),1,0)</f>
        <v>0</v>
      </c>
    </row>
    <row r="362" customFormat="false" ht="15" hidden="false" customHeight="false" outlineLevel="0" collapsed="false">
      <c r="A362" s="0" t="s">
        <v>556</v>
      </c>
      <c r="B362" s="0" t="s">
        <v>299</v>
      </c>
      <c r="C362" s="0" t="s">
        <v>300</v>
      </c>
      <c r="D362" s="0" t="n">
        <v>4</v>
      </c>
      <c r="E362" s="6" t="n">
        <v>40793.4361111111</v>
      </c>
      <c r="F362" s="0" t="n">
        <v>3.75</v>
      </c>
      <c r="G362" s="0" t="n">
        <v>12685</v>
      </c>
      <c r="H362" s="0" t="s">
        <v>43</v>
      </c>
      <c r="I362" s="7" t="n">
        <f aca="false">IF(AND(LEFT(A362,1)&lt;&gt;"C",D362&gt;0,F362&gt;0),1,0)</f>
        <v>1</v>
      </c>
      <c r="J362" s="7" t="n">
        <f aca="false">IF(I362=1,D362*F362,0)</f>
        <v>15</v>
      </c>
      <c r="K362" s="7" t="n">
        <f aca="false">YEAR(E362)*100+MONTH(E362)</f>
        <v>201109</v>
      </c>
      <c r="L362" s="7" t="n">
        <f aca="false">IF(AND(A362&lt;&gt;A361,LEFT(A362,1)&lt;&gt;"C"),1,0)</f>
        <v>0</v>
      </c>
    </row>
    <row r="363" customFormat="false" ht="15" hidden="false" customHeight="false" outlineLevel="0" collapsed="false">
      <c r="A363" s="0" t="s">
        <v>556</v>
      </c>
      <c r="B363" s="0" t="s">
        <v>517</v>
      </c>
      <c r="C363" s="0" t="s">
        <v>518</v>
      </c>
      <c r="D363" s="0" t="n">
        <v>20</v>
      </c>
      <c r="E363" s="6" t="n">
        <v>40793.4361111111</v>
      </c>
      <c r="F363" s="0" t="n">
        <v>2.08</v>
      </c>
      <c r="G363" s="0" t="n">
        <v>12685</v>
      </c>
      <c r="H363" s="0" t="s">
        <v>43</v>
      </c>
      <c r="I363" s="7" t="n">
        <f aca="false">IF(AND(LEFT(A363,1)&lt;&gt;"C",D363&gt;0,F363&gt;0),1,0)</f>
        <v>1</v>
      </c>
      <c r="J363" s="7" t="n">
        <f aca="false">IF(I363=1,D363*F363,0)</f>
        <v>41.6</v>
      </c>
      <c r="K363" s="7" t="n">
        <f aca="false">YEAR(E363)*100+MONTH(E363)</f>
        <v>201109</v>
      </c>
      <c r="L363" s="7" t="n">
        <f aca="false">IF(AND(A363&lt;&gt;A362,LEFT(A363,1)&lt;&gt;"C"),1,0)</f>
        <v>0</v>
      </c>
    </row>
    <row r="364" customFormat="false" ht="15" hidden="false" customHeight="false" outlineLevel="0" collapsed="false">
      <c r="A364" s="0" t="s">
        <v>556</v>
      </c>
      <c r="B364" s="0" t="s">
        <v>503</v>
      </c>
      <c r="C364" s="0" t="s">
        <v>504</v>
      </c>
      <c r="D364" s="0" t="n">
        <v>25</v>
      </c>
      <c r="E364" s="6" t="n">
        <v>40793.4361111111</v>
      </c>
      <c r="F364" s="0" t="n">
        <v>0.42</v>
      </c>
      <c r="G364" s="0" t="n">
        <v>12685</v>
      </c>
      <c r="H364" s="0" t="s">
        <v>43</v>
      </c>
      <c r="I364" s="7" t="n">
        <f aca="false">IF(AND(LEFT(A364,1)&lt;&gt;"C",D364&gt;0,F364&gt;0),1,0)</f>
        <v>1</v>
      </c>
      <c r="J364" s="7" t="n">
        <f aca="false">IF(I364=1,D364*F364,0)</f>
        <v>10.5</v>
      </c>
      <c r="K364" s="7" t="n">
        <f aca="false">YEAR(E364)*100+MONTH(E364)</f>
        <v>201109</v>
      </c>
      <c r="L364" s="7" t="n">
        <f aca="false">IF(AND(A364&lt;&gt;A363,LEFT(A364,1)&lt;&gt;"C"),1,0)</f>
        <v>0</v>
      </c>
    </row>
    <row r="365" customFormat="false" ht="15" hidden="false" customHeight="false" outlineLevel="0" collapsed="false">
      <c r="A365" s="0" t="s">
        <v>556</v>
      </c>
      <c r="B365" s="0" t="s">
        <v>567</v>
      </c>
      <c r="C365" s="0" t="s">
        <v>568</v>
      </c>
      <c r="D365" s="0" t="n">
        <v>10</v>
      </c>
      <c r="E365" s="6" t="n">
        <v>40793.4361111111</v>
      </c>
      <c r="F365" s="0" t="n">
        <v>1.65</v>
      </c>
      <c r="G365" s="0" t="n">
        <v>12685</v>
      </c>
      <c r="H365" s="0" t="s">
        <v>43</v>
      </c>
      <c r="I365" s="7" t="n">
        <f aca="false">IF(AND(LEFT(A365,1)&lt;&gt;"C",D365&gt;0,F365&gt;0),1,0)</f>
        <v>1</v>
      </c>
      <c r="J365" s="7" t="n">
        <f aca="false">IF(I365=1,D365*F365,0)</f>
        <v>16.5</v>
      </c>
      <c r="K365" s="7" t="n">
        <f aca="false">YEAR(E365)*100+MONTH(E365)</f>
        <v>201109</v>
      </c>
      <c r="L365" s="7" t="n">
        <f aca="false">IF(AND(A365&lt;&gt;A364,LEFT(A365,1)&lt;&gt;"C"),1,0)</f>
        <v>0</v>
      </c>
    </row>
    <row r="366" customFormat="false" ht="15" hidden="false" customHeight="false" outlineLevel="0" collapsed="false">
      <c r="A366" s="0" t="s">
        <v>556</v>
      </c>
      <c r="B366" s="0" t="s">
        <v>146</v>
      </c>
      <c r="C366" s="0" t="s">
        <v>147</v>
      </c>
      <c r="D366" s="0" t="n">
        <v>6</v>
      </c>
      <c r="E366" s="6" t="n">
        <v>40793.4361111111</v>
      </c>
      <c r="F366" s="0" t="n">
        <v>2.89</v>
      </c>
      <c r="G366" s="0" t="n">
        <v>12685</v>
      </c>
      <c r="H366" s="0" t="s">
        <v>43</v>
      </c>
      <c r="I366" s="7" t="n">
        <f aca="false">IF(AND(LEFT(A366,1)&lt;&gt;"C",D366&gt;0,F366&gt;0),1,0)</f>
        <v>1</v>
      </c>
      <c r="J366" s="7" t="n">
        <f aca="false">IF(I366=1,D366*F366,0)</f>
        <v>17.34</v>
      </c>
      <c r="K366" s="7" t="n">
        <f aca="false">YEAR(E366)*100+MONTH(E366)</f>
        <v>201109</v>
      </c>
      <c r="L366" s="7" t="n">
        <f aca="false">IF(AND(A366&lt;&gt;A365,LEFT(A366,1)&lt;&gt;"C"),1,0)</f>
        <v>0</v>
      </c>
    </row>
    <row r="367" customFormat="false" ht="15" hidden="false" customHeight="false" outlineLevel="0" collapsed="false">
      <c r="A367" s="0" t="s">
        <v>556</v>
      </c>
      <c r="B367" s="0" t="s">
        <v>569</v>
      </c>
      <c r="C367" s="0" t="s">
        <v>570</v>
      </c>
      <c r="D367" s="0" t="n">
        <v>10</v>
      </c>
      <c r="E367" s="6" t="n">
        <v>40793.4361111111</v>
      </c>
      <c r="F367" s="0" t="n">
        <v>2.08</v>
      </c>
      <c r="G367" s="0" t="n">
        <v>12685</v>
      </c>
      <c r="H367" s="0" t="s">
        <v>43</v>
      </c>
      <c r="I367" s="7" t="n">
        <f aca="false">IF(AND(LEFT(A367,1)&lt;&gt;"C",D367&gt;0,F367&gt;0),1,0)</f>
        <v>1</v>
      </c>
      <c r="J367" s="7" t="n">
        <f aca="false">IF(I367=1,D367*F367,0)</f>
        <v>20.8</v>
      </c>
      <c r="K367" s="7" t="n">
        <f aca="false">YEAR(E367)*100+MONTH(E367)</f>
        <v>201109</v>
      </c>
      <c r="L367" s="7" t="n">
        <f aca="false">IF(AND(A367&lt;&gt;A366,LEFT(A367,1)&lt;&gt;"C"),1,0)</f>
        <v>0</v>
      </c>
    </row>
    <row r="368" customFormat="false" ht="15" hidden="false" customHeight="false" outlineLevel="0" collapsed="false">
      <c r="A368" s="0" t="s">
        <v>556</v>
      </c>
      <c r="B368" s="0" t="s">
        <v>571</v>
      </c>
      <c r="C368" s="0" t="s">
        <v>572</v>
      </c>
      <c r="D368" s="0" t="n">
        <v>6</v>
      </c>
      <c r="E368" s="6" t="n">
        <v>40793.4361111111</v>
      </c>
      <c r="F368" s="0" t="n">
        <v>2.95</v>
      </c>
      <c r="G368" s="0" t="n">
        <v>12685</v>
      </c>
      <c r="H368" s="0" t="s">
        <v>43</v>
      </c>
      <c r="I368" s="7" t="n">
        <f aca="false">IF(AND(LEFT(A368,1)&lt;&gt;"C",D368&gt;0,F368&gt;0),1,0)</f>
        <v>1</v>
      </c>
      <c r="J368" s="7" t="n">
        <f aca="false">IF(I368=1,D368*F368,0)</f>
        <v>17.7</v>
      </c>
      <c r="K368" s="7" t="n">
        <f aca="false">YEAR(E368)*100+MONTH(E368)</f>
        <v>201109</v>
      </c>
      <c r="L368" s="7" t="n">
        <f aca="false">IF(AND(A368&lt;&gt;A367,LEFT(A368,1)&lt;&gt;"C"),1,0)</f>
        <v>0</v>
      </c>
    </row>
    <row r="369" customFormat="false" ht="15" hidden="false" customHeight="false" outlineLevel="0" collapsed="false">
      <c r="A369" s="0" t="s">
        <v>556</v>
      </c>
      <c r="B369" s="0" t="s">
        <v>70</v>
      </c>
      <c r="C369" s="0" t="s">
        <v>71</v>
      </c>
      <c r="D369" s="0" t="n">
        <v>10</v>
      </c>
      <c r="E369" s="6" t="n">
        <v>40793.4361111111</v>
      </c>
      <c r="F369" s="0" t="n">
        <v>1.65</v>
      </c>
      <c r="G369" s="0" t="n">
        <v>12685</v>
      </c>
      <c r="H369" s="0" t="s">
        <v>43</v>
      </c>
      <c r="I369" s="7" t="n">
        <f aca="false">IF(AND(LEFT(A369,1)&lt;&gt;"C",D369&gt;0,F369&gt;0),1,0)</f>
        <v>1</v>
      </c>
      <c r="J369" s="7" t="n">
        <f aca="false">IF(I369=1,D369*F369,0)</f>
        <v>16.5</v>
      </c>
      <c r="K369" s="7" t="n">
        <f aca="false">YEAR(E369)*100+MONTH(E369)</f>
        <v>201109</v>
      </c>
      <c r="L369" s="7" t="n">
        <f aca="false">IF(AND(A369&lt;&gt;A368,LEFT(A369,1)&lt;&gt;"C"),1,0)</f>
        <v>0</v>
      </c>
    </row>
    <row r="370" customFormat="false" ht="15" hidden="false" customHeight="false" outlineLevel="0" collapsed="false">
      <c r="A370" s="0" t="s">
        <v>556</v>
      </c>
      <c r="B370" s="0" t="s">
        <v>335</v>
      </c>
      <c r="C370" s="0" t="s">
        <v>336</v>
      </c>
      <c r="D370" s="0" t="n">
        <v>12</v>
      </c>
      <c r="E370" s="6" t="n">
        <v>40793.4361111111</v>
      </c>
      <c r="F370" s="0" t="n">
        <v>1.65</v>
      </c>
      <c r="G370" s="0" t="n">
        <v>12685</v>
      </c>
      <c r="H370" s="0" t="s">
        <v>43</v>
      </c>
      <c r="I370" s="7" t="n">
        <f aca="false">IF(AND(LEFT(A370,1)&lt;&gt;"C",D370&gt;0,F370&gt;0),1,0)</f>
        <v>1</v>
      </c>
      <c r="J370" s="7" t="n">
        <f aca="false">IF(I370=1,D370*F370,0)</f>
        <v>19.8</v>
      </c>
      <c r="K370" s="7" t="n">
        <f aca="false">YEAR(E370)*100+MONTH(E370)</f>
        <v>201109</v>
      </c>
      <c r="L370" s="7" t="n">
        <f aca="false">IF(AND(A370&lt;&gt;A369,LEFT(A370,1)&lt;&gt;"C"),1,0)</f>
        <v>0</v>
      </c>
    </row>
    <row r="371" customFormat="false" ht="15" hidden="false" customHeight="false" outlineLevel="0" collapsed="false">
      <c r="A371" s="0" t="s">
        <v>556</v>
      </c>
      <c r="B371" s="0" t="s">
        <v>123</v>
      </c>
      <c r="C371" s="0" t="s">
        <v>124</v>
      </c>
      <c r="D371" s="0" t="n">
        <v>6</v>
      </c>
      <c r="E371" s="6" t="n">
        <v>40793.4361111111</v>
      </c>
      <c r="F371" s="0" t="n">
        <v>2.95</v>
      </c>
      <c r="G371" s="0" t="n">
        <v>12685</v>
      </c>
      <c r="H371" s="0" t="s">
        <v>43</v>
      </c>
      <c r="I371" s="7" t="n">
        <f aca="false">IF(AND(LEFT(A371,1)&lt;&gt;"C",D371&gt;0,F371&gt;0),1,0)</f>
        <v>1</v>
      </c>
      <c r="J371" s="7" t="n">
        <f aca="false">IF(I371=1,D371*F371,0)</f>
        <v>17.7</v>
      </c>
      <c r="K371" s="7" t="n">
        <f aca="false">YEAR(E371)*100+MONTH(E371)</f>
        <v>201109</v>
      </c>
      <c r="L371" s="7" t="n">
        <f aca="false">IF(AND(A371&lt;&gt;A370,LEFT(A371,1)&lt;&gt;"C"),1,0)</f>
        <v>0</v>
      </c>
    </row>
    <row r="372" customFormat="false" ht="15" hidden="false" customHeight="false" outlineLevel="0" collapsed="false">
      <c r="A372" s="0" t="s">
        <v>556</v>
      </c>
      <c r="B372" s="0" t="s">
        <v>573</v>
      </c>
      <c r="C372" s="0" t="s">
        <v>574</v>
      </c>
      <c r="D372" s="0" t="n">
        <v>10</v>
      </c>
      <c r="E372" s="6" t="n">
        <v>40793.4361111111</v>
      </c>
      <c r="F372" s="0" t="n">
        <v>1.25</v>
      </c>
      <c r="G372" s="0" t="n">
        <v>12685</v>
      </c>
      <c r="H372" s="0" t="s">
        <v>43</v>
      </c>
      <c r="I372" s="7" t="n">
        <f aca="false">IF(AND(LEFT(A372,1)&lt;&gt;"C",D372&gt;0,F372&gt;0),1,0)</f>
        <v>1</v>
      </c>
      <c r="J372" s="7" t="n">
        <f aca="false">IF(I372=1,D372*F372,0)</f>
        <v>12.5</v>
      </c>
      <c r="K372" s="7" t="n">
        <f aca="false">YEAR(E372)*100+MONTH(E372)</f>
        <v>201109</v>
      </c>
      <c r="L372" s="7" t="n">
        <f aca="false">IF(AND(A372&lt;&gt;A371,LEFT(A372,1)&lt;&gt;"C"),1,0)</f>
        <v>0</v>
      </c>
    </row>
    <row r="373" customFormat="false" ht="15" hidden="false" customHeight="false" outlineLevel="0" collapsed="false">
      <c r="A373" s="0" t="s">
        <v>556</v>
      </c>
      <c r="B373" s="0" t="s">
        <v>575</v>
      </c>
      <c r="C373" s="0" t="s">
        <v>576</v>
      </c>
      <c r="D373" s="0" t="n">
        <v>10</v>
      </c>
      <c r="E373" s="6" t="n">
        <v>40793.4361111111</v>
      </c>
      <c r="F373" s="0" t="n">
        <v>2.08</v>
      </c>
      <c r="G373" s="0" t="n">
        <v>12685</v>
      </c>
      <c r="H373" s="0" t="s">
        <v>43</v>
      </c>
      <c r="I373" s="7" t="n">
        <f aca="false">IF(AND(LEFT(A373,1)&lt;&gt;"C",D373&gt;0,F373&gt;0),1,0)</f>
        <v>1</v>
      </c>
      <c r="J373" s="7" t="n">
        <f aca="false">IF(I373=1,D373*F373,0)</f>
        <v>20.8</v>
      </c>
      <c r="K373" s="7" t="n">
        <f aca="false">YEAR(E373)*100+MONTH(E373)</f>
        <v>201109</v>
      </c>
      <c r="L373" s="7" t="n">
        <f aca="false">IF(AND(A373&lt;&gt;A372,LEFT(A373,1)&lt;&gt;"C"),1,0)</f>
        <v>0</v>
      </c>
    </row>
    <row r="374" customFormat="false" ht="15" hidden="false" customHeight="false" outlineLevel="0" collapsed="false">
      <c r="A374" s="0" t="s">
        <v>556</v>
      </c>
      <c r="B374" s="0" t="s">
        <v>577</v>
      </c>
      <c r="C374" s="0" t="s">
        <v>578</v>
      </c>
      <c r="D374" s="0" t="n">
        <v>16</v>
      </c>
      <c r="E374" s="6" t="n">
        <v>40793.4361111111</v>
      </c>
      <c r="F374" s="0" t="n">
        <v>4.15</v>
      </c>
      <c r="G374" s="0" t="n">
        <v>12685</v>
      </c>
      <c r="H374" s="0" t="s">
        <v>43</v>
      </c>
      <c r="I374" s="7" t="n">
        <f aca="false">IF(AND(LEFT(A374,1)&lt;&gt;"C",D374&gt;0,F374&gt;0),1,0)</f>
        <v>1</v>
      </c>
      <c r="J374" s="7" t="n">
        <f aca="false">IF(I374=1,D374*F374,0)</f>
        <v>66.4</v>
      </c>
      <c r="K374" s="7" t="n">
        <f aca="false">YEAR(E374)*100+MONTH(E374)</f>
        <v>201109</v>
      </c>
      <c r="L374" s="7" t="n">
        <f aca="false">IF(AND(A374&lt;&gt;A373,LEFT(A374,1)&lt;&gt;"C"),1,0)</f>
        <v>0</v>
      </c>
    </row>
    <row r="375" customFormat="false" ht="15" hidden="false" customHeight="false" outlineLevel="0" collapsed="false">
      <c r="A375" s="0" t="s">
        <v>556</v>
      </c>
      <c r="B375" s="0" t="s">
        <v>148</v>
      </c>
      <c r="C375" s="0" t="s">
        <v>149</v>
      </c>
      <c r="D375" s="0" t="n">
        <v>2</v>
      </c>
      <c r="E375" s="6" t="n">
        <v>40793.4361111111</v>
      </c>
      <c r="F375" s="0" t="n">
        <v>12.75</v>
      </c>
      <c r="G375" s="0" t="n">
        <v>12685</v>
      </c>
      <c r="H375" s="0" t="s">
        <v>43</v>
      </c>
      <c r="I375" s="7" t="n">
        <f aca="false">IF(AND(LEFT(A375,1)&lt;&gt;"C",D375&gt;0,F375&gt;0),1,0)</f>
        <v>1</v>
      </c>
      <c r="J375" s="7" t="n">
        <f aca="false">IF(I375=1,D375*F375,0)</f>
        <v>25.5</v>
      </c>
      <c r="K375" s="7" t="n">
        <f aca="false">YEAR(E375)*100+MONTH(E375)</f>
        <v>201109</v>
      </c>
      <c r="L375" s="7" t="n">
        <f aca="false">IF(AND(A375&lt;&gt;A374,LEFT(A375,1)&lt;&gt;"C"),1,0)</f>
        <v>0</v>
      </c>
    </row>
    <row r="376" customFormat="false" ht="15" hidden="false" customHeight="false" outlineLevel="0" collapsed="false">
      <c r="A376" s="0" t="s">
        <v>556</v>
      </c>
      <c r="B376" s="0" t="s">
        <v>579</v>
      </c>
      <c r="C376" s="0" t="s">
        <v>580</v>
      </c>
      <c r="D376" s="0" t="n">
        <v>12</v>
      </c>
      <c r="E376" s="6" t="n">
        <v>40793.4361111111</v>
      </c>
      <c r="F376" s="0" t="n">
        <v>0.85</v>
      </c>
      <c r="G376" s="0" t="n">
        <v>12685</v>
      </c>
      <c r="H376" s="0" t="s">
        <v>43</v>
      </c>
      <c r="I376" s="7" t="n">
        <f aca="false">IF(AND(LEFT(A376,1)&lt;&gt;"C",D376&gt;0,F376&gt;0),1,0)</f>
        <v>1</v>
      </c>
      <c r="J376" s="7" t="n">
        <f aca="false">IF(I376=1,D376*F376,0)</f>
        <v>10.2</v>
      </c>
      <c r="K376" s="7" t="n">
        <f aca="false">YEAR(E376)*100+MONTH(E376)</f>
        <v>201109</v>
      </c>
      <c r="L376" s="7" t="n">
        <f aca="false">IF(AND(A376&lt;&gt;A375,LEFT(A376,1)&lt;&gt;"C"),1,0)</f>
        <v>0</v>
      </c>
    </row>
    <row r="377" customFormat="false" ht="15" hidden="false" customHeight="false" outlineLevel="0" collapsed="false">
      <c r="A377" s="0" t="s">
        <v>556</v>
      </c>
      <c r="B377" s="0" t="s">
        <v>581</v>
      </c>
      <c r="C377" s="0" t="s">
        <v>582</v>
      </c>
      <c r="D377" s="0" t="n">
        <v>12</v>
      </c>
      <c r="E377" s="6" t="n">
        <v>40793.4361111111</v>
      </c>
      <c r="F377" s="0" t="n">
        <v>0.85</v>
      </c>
      <c r="G377" s="0" t="n">
        <v>12685</v>
      </c>
      <c r="H377" s="0" t="s">
        <v>43</v>
      </c>
      <c r="I377" s="7" t="n">
        <f aca="false">IF(AND(LEFT(A377,1)&lt;&gt;"C",D377&gt;0,F377&gt;0),1,0)</f>
        <v>1</v>
      </c>
      <c r="J377" s="7" t="n">
        <f aca="false">IF(I377=1,D377*F377,0)</f>
        <v>10.2</v>
      </c>
      <c r="K377" s="7" t="n">
        <f aca="false">YEAR(E377)*100+MONTH(E377)</f>
        <v>201109</v>
      </c>
      <c r="L377" s="7" t="n">
        <f aca="false">IF(AND(A377&lt;&gt;A376,LEFT(A377,1)&lt;&gt;"C"),1,0)</f>
        <v>0</v>
      </c>
    </row>
    <row r="378" customFormat="false" ht="15" hidden="false" customHeight="false" outlineLevel="0" collapsed="false">
      <c r="A378" s="0" t="s">
        <v>556</v>
      </c>
      <c r="B378" s="0" t="s">
        <v>583</v>
      </c>
      <c r="C378" s="0" t="s">
        <v>584</v>
      </c>
      <c r="D378" s="0" t="n">
        <v>12</v>
      </c>
      <c r="E378" s="6" t="n">
        <v>40793.4361111111</v>
      </c>
      <c r="F378" s="0" t="n">
        <v>1.45</v>
      </c>
      <c r="G378" s="0" t="n">
        <v>12685</v>
      </c>
      <c r="H378" s="0" t="s">
        <v>43</v>
      </c>
      <c r="I378" s="7" t="n">
        <f aca="false">IF(AND(LEFT(A378,1)&lt;&gt;"C",D378&gt;0,F378&gt;0),1,0)</f>
        <v>1</v>
      </c>
      <c r="J378" s="7" t="n">
        <f aca="false">IF(I378=1,D378*F378,0)</f>
        <v>17.4</v>
      </c>
      <c r="K378" s="7" t="n">
        <f aca="false">YEAR(E378)*100+MONTH(E378)</f>
        <v>201109</v>
      </c>
      <c r="L378" s="7" t="n">
        <f aca="false">IF(AND(A378&lt;&gt;A377,LEFT(A378,1)&lt;&gt;"C"),1,0)</f>
        <v>0</v>
      </c>
    </row>
    <row r="379" customFormat="false" ht="15" hidden="false" customHeight="false" outlineLevel="0" collapsed="false">
      <c r="A379" s="0" t="s">
        <v>556</v>
      </c>
      <c r="B379" s="0" t="s">
        <v>84</v>
      </c>
      <c r="C379" s="0" t="s">
        <v>85</v>
      </c>
      <c r="D379" s="0" t="n">
        <v>3</v>
      </c>
      <c r="E379" s="6" t="n">
        <v>40793.4361111111</v>
      </c>
      <c r="F379" s="0" t="n">
        <v>18</v>
      </c>
      <c r="G379" s="0" t="n">
        <v>12685</v>
      </c>
      <c r="H379" s="0" t="s">
        <v>43</v>
      </c>
      <c r="I379" s="7" t="n">
        <f aca="false">IF(AND(LEFT(A379,1)&lt;&gt;"C",D379&gt;0,F379&gt;0),1,0)</f>
        <v>1</v>
      </c>
      <c r="J379" s="7" t="n">
        <f aca="false">IF(I379=1,D379*F379,0)</f>
        <v>54</v>
      </c>
      <c r="K379" s="7" t="n">
        <f aca="false">YEAR(E379)*100+MONTH(E379)</f>
        <v>201109</v>
      </c>
      <c r="L379" s="7" t="n">
        <f aca="false">IF(AND(A379&lt;&gt;A378,LEFT(A379,1)&lt;&gt;"C"),1,0)</f>
        <v>0</v>
      </c>
    </row>
    <row r="380" customFormat="false" ht="15" hidden="false" customHeight="false" outlineLevel="0" collapsed="false">
      <c r="A380" s="0" t="s">
        <v>585</v>
      </c>
      <c r="B380" s="0" t="s">
        <v>586</v>
      </c>
      <c r="C380" s="0" t="s">
        <v>587</v>
      </c>
      <c r="D380" s="0" t="n">
        <v>24</v>
      </c>
      <c r="E380" s="6" t="n">
        <v>40793.5569444444</v>
      </c>
      <c r="F380" s="0" t="n">
        <v>1.25</v>
      </c>
      <c r="G380" s="0" t="n">
        <v>12490</v>
      </c>
      <c r="H380" s="0" t="s">
        <v>43</v>
      </c>
      <c r="I380" s="7" t="n">
        <f aca="false">IF(AND(LEFT(A380,1)&lt;&gt;"C",D380&gt;0,F380&gt;0),1,0)</f>
        <v>1</v>
      </c>
      <c r="J380" s="7" t="n">
        <f aca="false">IF(I380=1,D380*F380,0)</f>
        <v>30</v>
      </c>
      <c r="K380" s="7" t="n">
        <f aca="false">YEAR(E380)*100+MONTH(E380)</f>
        <v>201109</v>
      </c>
      <c r="L380" s="7" t="n">
        <f aca="false">IF(AND(A380&lt;&gt;A379,LEFT(A380,1)&lt;&gt;"C"),1,0)</f>
        <v>1</v>
      </c>
    </row>
    <row r="381" customFormat="false" ht="15" hidden="false" customHeight="false" outlineLevel="0" collapsed="false">
      <c r="A381" s="0" t="s">
        <v>585</v>
      </c>
      <c r="B381" s="0" t="s">
        <v>56</v>
      </c>
      <c r="C381" s="0" t="s">
        <v>57</v>
      </c>
      <c r="D381" s="0" t="n">
        <v>10</v>
      </c>
      <c r="E381" s="6" t="n">
        <v>40793.5569444444</v>
      </c>
      <c r="F381" s="0" t="n">
        <v>1.65</v>
      </c>
      <c r="G381" s="0" t="n">
        <v>12490</v>
      </c>
      <c r="H381" s="0" t="s">
        <v>43</v>
      </c>
      <c r="I381" s="7" t="n">
        <f aca="false">IF(AND(LEFT(A381,1)&lt;&gt;"C",D381&gt;0,F381&gt;0),1,0)</f>
        <v>1</v>
      </c>
      <c r="J381" s="7" t="n">
        <f aca="false">IF(I381=1,D381*F381,0)</f>
        <v>16.5</v>
      </c>
      <c r="K381" s="7" t="n">
        <f aca="false">YEAR(E381)*100+MONTH(E381)</f>
        <v>201109</v>
      </c>
      <c r="L381" s="7" t="n">
        <f aca="false">IF(AND(A381&lt;&gt;A380,LEFT(A381,1)&lt;&gt;"C"),1,0)</f>
        <v>0</v>
      </c>
    </row>
    <row r="382" customFormat="false" ht="15" hidden="false" customHeight="false" outlineLevel="0" collapsed="false">
      <c r="A382" s="0" t="s">
        <v>585</v>
      </c>
      <c r="B382" s="0" t="s">
        <v>119</v>
      </c>
      <c r="C382" s="0" t="s">
        <v>120</v>
      </c>
      <c r="D382" s="0" t="n">
        <v>24</v>
      </c>
      <c r="E382" s="6" t="n">
        <v>40793.5569444444</v>
      </c>
      <c r="F382" s="0" t="n">
        <v>0.42</v>
      </c>
      <c r="G382" s="0" t="n">
        <v>12490</v>
      </c>
      <c r="H382" s="0" t="s">
        <v>43</v>
      </c>
      <c r="I382" s="7" t="n">
        <f aca="false">IF(AND(LEFT(A382,1)&lt;&gt;"C",D382&gt;0,F382&gt;0),1,0)</f>
        <v>1</v>
      </c>
      <c r="J382" s="7" t="n">
        <f aca="false">IF(I382=1,D382*F382,0)</f>
        <v>10.08</v>
      </c>
      <c r="K382" s="7" t="n">
        <f aca="false">YEAR(E382)*100+MONTH(E382)</f>
        <v>201109</v>
      </c>
      <c r="L382" s="7" t="n">
        <f aca="false">IF(AND(A382&lt;&gt;A381,LEFT(A382,1)&lt;&gt;"C"),1,0)</f>
        <v>0</v>
      </c>
    </row>
    <row r="383" customFormat="false" ht="15" hidden="false" customHeight="false" outlineLevel="0" collapsed="false">
      <c r="A383" s="0" t="s">
        <v>585</v>
      </c>
      <c r="B383" s="0" t="s">
        <v>467</v>
      </c>
      <c r="C383" s="0" t="s">
        <v>468</v>
      </c>
      <c r="D383" s="0" t="n">
        <v>8</v>
      </c>
      <c r="E383" s="6" t="n">
        <v>40793.5569444444</v>
      </c>
      <c r="F383" s="0" t="n">
        <v>1.95</v>
      </c>
      <c r="G383" s="0" t="n">
        <v>12490</v>
      </c>
      <c r="H383" s="0" t="s">
        <v>43</v>
      </c>
      <c r="I383" s="7" t="n">
        <f aca="false">IF(AND(LEFT(A383,1)&lt;&gt;"C",D383&gt;0,F383&gt;0),1,0)</f>
        <v>1</v>
      </c>
      <c r="J383" s="7" t="n">
        <f aca="false">IF(I383=1,D383*F383,0)</f>
        <v>15.6</v>
      </c>
      <c r="K383" s="7" t="n">
        <f aca="false">YEAR(E383)*100+MONTH(E383)</f>
        <v>201109</v>
      </c>
      <c r="L383" s="7" t="n">
        <f aca="false">IF(AND(A383&lt;&gt;A382,LEFT(A383,1)&lt;&gt;"C"),1,0)</f>
        <v>0</v>
      </c>
    </row>
    <row r="384" customFormat="false" ht="15" hidden="false" customHeight="false" outlineLevel="0" collapsed="false">
      <c r="A384" s="0" t="s">
        <v>585</v>
      </c>
      <c r="B384" s="0" t="s">
        <v>117</v>
      </c>
      <c r="C384" s="0" t="s">
        <v>118</v>
      </c>
      <c r="D384" s="0" t="n">
        <v>24</v>
      </c>
      <c r="E384" s="6" t="n">
        <v>40793.5569444444</v>
      </c>
      <c r="F384" s="0" t="n">
        <v>0.85</v>
      </c>
      <c r="G384" s="0" t="n">
        <v>12490</v>
      </c>
      <c r="H384" s="0" t="s">
        <v>43</v>
      </c>
      <c r="I384" s="7" t="n">
        <f aca="false">IF(AND(LEFT(A384,1)&lt;&gt;"C",D384&gt;0,F384&gt;0),1,0)</f>
        <v>1</v>
      </c>
      <c r="J384" s="7" t="n">
        <f aca="false">IF(I384=1,D384*F384,0)</f>
        <v>20.4</v>
      </c>
      <c r="K384" s="7" t="n">
        <f aca="false">YEAR(E384)*100+MONTH(E384)</f>
        <v>201109</v>
      </c>
      <c r="L384" s="7" t="n">
        <f aca="false">IF(AND(A384&lt;&gt;A383,LEFT(A384,1)&lt;&gt;"C"),1,0)</f>
        <v>0</v>
      </c>
    </row>
    <row r="385" customFormat="false" ht="15" hidden="false" customHeight="false" outlineLevel="0" collapsed="false">
      <c r="A385" s="0" t="s">
        <v>585</v>
      </c>
      <c r="B385" s="0" t="s">
        <v>74</v>
      </c>
      <c r="C385" s="0" t="s">
        <v>75</v>
      </c>
      <c r="D385" s="0" t="n">
        <v>12</v>
      </c>
      <c r="E385" s="6" t="n">
        <v>40793.5569444444</v>
      </c>
      <c r="F385" s="0" t="n">
        <v>1.95</v>
      </c>
      <c r="G385" s="0" t="n">
        <v>12490</v>
      </c>
      <c r="H385" s="0" t="s">
        <v>43</v>
      </c>
      <c r="I385" s="7" t="n">
        <f aca="false">IF(AND(LEFT(A385,1)&lt;&gt;"C",D385&gt;0,F385&gt;0),1,0)</f>
        <v>1</v>
      </c>
      <c r="J385" s="7" t="n">
        <f aca="false">IF(I385=1,D385*F385,0)</f>
        <v>23.4</v>
      </c>
      <c r="K385" s="7" t="n">
        <f aca="false">YEAR(E385)*100+MONTH(E385)</f>
        <v>201109</v>
      </c>
      <c r="L385" s="7" t="n">
        <f aca="false">IF(AND(A385&lt;&gt;A384,LEFT(A385,1)&lt;&gt;"C"),1,0)</f>
        <v>0</v>
      </c>
    </row>
    <row r="386" customFormat="false" ht="15" hidden="false" customHeight="false" outlineLevel="0" collapsed="false">
      <c r="A386" s="0" t="s">
        <v>585</v>
      </c>
      <c r="B386" s="0" t="s">
        <v>93</v>
      </c>
      <c r="C386" s="0" t="s">
        <v>94</v>
      </c>
      <c r="D386" s="0" t="n">
        <v>8</v>
      </c>
      <c r="E386" s="6" t="n">
        <v>40793.5569444444</v>
      </c>
      <c r="F386" s="0" t="n">
        <v>4.15</v>
      </c>
      <c r="G386" s="0" t="n">
        <v>12490</v>
      </c>
      <c r="H386" s="0" t="s">
        <v>43</v>
      </c>
      <c r="I386" s="7" t="n">
        <f aca="false">IF(AND(LEFT(A386,1)&lt;&gt;"C",D386&gt;0,F386&gt;0),1,0)</f>
        <v>1</v>
      </c>
      <c r="J386" s="7" t="n">
        <f aca="false">IF(I386=1,D386*F386,0)</f>
        <v>33.2</v>
      </c>
      <c r="K386" s="7" t="n">
        <f aca="false">YEAR(E386)*100+MONTH(E386)</f>
        <v>201109</v>
      </c>
      <c r="L386" s="7" t="n">
        <f aca="false">IF(AND(A386&lt;&gt;A385,LEFT(A386,1)&lt;&gt;"C"),1,0)</f>
        <v>0</v>
      </c>
    </row>
    <row r="387" customFormat="false" ht="15" hidden="false" customHeight="false" outlineLevel="0" collapsed="false">
      <c r="A387" s="0" t="s">
        <v>585</v>
      </c>
      <c r="B387" s="0" t="s">
        <v>171</v>
      </c>
      <c r="C387" s="0" t="s">
        <v>172</v>
      </c>
      <c r="D387" s="0" t="n">
        <v>8</v>
      </c>
      <c r="E387" s="6" t="n">
        <v>40793.5569444444</v>
      </c>
      <c r="F387" s="0" t="n">
        <v>1.25</v>
      </c>
      <c r="G387" s="0" t="n">
        <v>12490</v>
      </c>
      <c r="H387" s="0" t="s">
        <v>43</v>
      </c>
      <c r="I387" s="7" t="n">
        <f aca="false">IF(AND(LEFT(A387,1)&lt;&gt;"C",D387&gt;0,F387&gt;0),1,0)</f>
        <v>1</v>
      </c>
      <c r="J387" s="7" t="n">
        <f aca="false">IF(I387=1,D387*F387,0)</f>
        <v>10</v>
      </c>
      <c r="K387" s="7" t="n">
        <f aca="false">YEAR(E387)*100+MONTH(E387)</f>
        <v>201109</v>
      </c>
      <c r="L387" s="7" t="n">
        <f aca="false">IF(AND(A387&lt;&gt;A386,LEFT(A387,1)&lt;&gt;"C"),1,0)</f>
        <v>0</v>
      </c>
    </row>
    <row r="388" customFormat="false" ht="15" hidden="false" customHeight="false" outlineLevel="0" collapsed="false">
      <c r="A388" s="0" t="s">
        <v>585</v>
      </c>
      <c r="B388" s="0" t="s">
        <v>70</v>
      </c>
      <c r="C388" s="0" t="s">
        <v>71</v>
      </c>
      <c r="D388" s="0" t="n">
        <v>20</v>
      </c>
      <c r="E388" s="6" t="n">
        <v>40793.5569444444</v>
      </c>
      <c r="F388" s="0" t="n">
        <v>1.65</v>
      </c>
      <c r="G388" s="0" t="n">
        <v>12490</v>
      </c>
      <c r="H388" s="0" t="s">
        <v>43</v>
      </c>
      <c r="I388" s="7" t="n">
        <f aca="false">IF(AND(LEFT(A388,1)&lt;&gt;"C",D388&gt;0,F388&gt;0),1,0)</f>
        <v>1</v>
      </c>
      <c r="J388" s="7" t="n">
        <f aca="false">IF(I388=1,D388*F388,0)</f>
        <v>33</v>
      </c>
      <c r="K388" s="7" t="n">
        <f aca="false">YEAR(E388)*100+MONTH(E388)</f>
        <v>201109</v>
      </c>
      <c r="L388" s="7" t="n">
        <f aca="false">IF(AND(A388&lt;&gt;A387,LEFT(A388,1)&lt;&gt;"C"),1,0)</f>
        <v>0</v>
      </c>
    </row>
    <row r="389" customFormat="false" ht="15" hidden="false" customHeight="false" outlineLevel="0" collapsed="false">
      <c r="A389" s="0" t="s">
        <v>585</v>
      </c>
      <c r="B389" s="0" t="s">
        <v>588</v>
      </c>
      <c r="C389" s="0" t="s">
        <v>589</v>
      </c>
      <c r="D389" s="0" t="n">
        <v>10</v>
      </c>
      <c r="E389" s="6" t="n">
        <v>40793.5569444444</v>
      </c>
      <c r="F389" s="0" t="n">
        <v>1.65</v>
      </c>
      <c r="G389" s="0" t="n">
        <v>12490</v>
      </c>
      <c r="H389" s="0" t="s">
        <v>43</v>
      </c>
      <c r="I389" s="7" t="n">
        <f aca="false">IF(AND(LEFT(A389,1)&lt;&gt;"C",D389&gt;0,F389&gt;0),1,0)</f>
        <v>1</v>
      </c>
      <c r="J389" s="7" t="n">
        <f aca="false">IF(I389=1,D389*F389,0)</f>
        <v>16.5</v>
      </c>
      <c r="K389" s="7" t="n">
        <f aca="false">YEAR(E389)*100+MONTH(E389)</f>
        <v>201109</v>
      </c>
      <c r="L389" s="7" t="n">
        <f aca="false">IF(AND(A389&lt;&gt;A388,LEFT(A389,1)&lt;&gt;"C"),1,0)</f>
        <v>0</v>
      </c>
    </row>
    <row r="390" customFormat="false" ht="15" hidden="false" customHeight="false" outlineLevel="0" collapsed="false">
      <c r="A390" s="0" t="s">
        <v>585</v>
      </c>
      <c r="B390" s="0" t="s">
        <v>80</v>
      </c>
      <c r="C390" s="0" t="s">
        <v>81</v>
      </c>
      <c r="D390" s="0" t="n">
        <v>20</v>
      </c>
      <c r="E390" s="6" t="n">
        <v>40793.5569444444</v>
      </c>
      <c r="F390" s="0" t="n">
        <v>0.83</v>
      </c>
      <c r="G390" s="0" t="n">
        <v>12490</v>
      </c>
      <c r="H390" s="0" t="s">
        <v>43</v>
      </c>
      <c r="I390" s="7" t="n">
        <f aca="false">IF(AND(LEFT(A390,1)&lt;&gt;"C",D390&gt;0,F390&gt;0),1,0)</f>
        <v>1</v>
      </c>
      <c r="J390" s="7" t="n">
        <f aca="false">IF(I390=1,D390*F390,0)</f>
        <v>16.6</v>
      </c>
      <c r="K390" s="7" t="n">
        <f aca="false">YEAR(E390)*100+MONTH(E390)</f>
        <v>201109</v>
      </c>
      <c r="L390" s="7" t="n">
        <f aca="false">IF(AND(A390&lt;&gt;A389,LEFT(A390,1)&lt;&gt;"C"),1,0)</f>
        <v>0</v>
      </c>
    </row>
    <row r="391" customFormat="false" ht="15" hidden="false" customHeight="false" outlineLevel="0" collapsed="false">
      <c r="A391" s="0" t="s">
        <v>585</v>
      </c>
      <c r="B391" s="0" t="s">
        <v>64</v>
      </c>
      <c r="C391" s="0" t="s">
        <v>65</v>
      </c>
      <c r="D391" s="0" t="n">
        <v>36</v>
      </c>
      <c r="E391" s="6" t="n">
        <v>40793.5569444444</v>
      </c>
      <c r="F391" s="0" t="n">
        <v>1.65</v>
      </c>
      <c r="G391" s="0" t="n">
        <v>12490</v>
      </c>
      <c r="H391" s="0" t="s">
        <v>43</v>
      </c>
      <c r="I391" s="7" t="n">
        <f aca="false">IF(AND(LEFT(A391,1)&lt;&gt;"C",D391&gt;0,F391&gt;0),1,0)</f>
        <v>1</v>
      </c>
      <c r="J391" s="7" t="n">
        <f aca="false">IF(I391=1,D391*F391,0)</f>
        <v>59.4</v>
      </c>
      <c r="K391" s="7" t="n">
        <f aca="false">YEAR(E391)*100+MONTH(E391)</f>
        <v>201109</v>
      </c>
      <c r="L391" s="7" t="n">
        <f aca="false">IF(AND(A391&lt;&gt;A390,LEFT(A391,1)&lt;&gt;"C"),1,0)</f>
        <v>0</v>
      </c>
    </row>
    <row r="392" customFormat="false" ht="15" hidden="false" customHeight="false" outlineLevel="0" collapsed="false">
      <c r="A392" s="0" t="s">
        <v>585</v>
      </c>
      <c r="B392" s="0" t="s">
        <v>590</v>
      </c>
      <c r="C392" s="0" t="s">
        <v>591</v>
      </c>
      <c r="D392" s="0" t="n">
        <v>6</v>
      </c>
      <c r="E392" s="6" t="n">
        <v>40793.5569444444</v>
      </c>
      <c r="F392" s="0" t="n">
        <v>2.95</v>
      </c>
      <c r="G392" s="0" t="n">
        <v>12490</v>
      </c>
      <c r="H392" s="0" t="s">
        <v>43</v>
      </c>
      <c r="I392" s="7" t="n">
        <f aca="false">IF(AND(LEFT(A392,1)&lt;&gt;"C",D392&gt;0,F392&gt;0),1,0)</f>
        <v>1</v>
      </c>
      <c r="J392" s="7" t="n">
        <f aca="false">IF(I392=1,D392*F392,0)</f>
        <v>17.7</v>
      </c>
      <c r="K392" s="7" t="n">
        <f aca="false">YEAR(E392)*100+MONTH(E392)</f>
        <v>201109</v>
      </c>
      <c r="L392" s="7" t="n">
        <f aca="false">IF(AND(A392&lt;&gt;A391,LEFT(A392,1)&lt;&gt;"C"),1,0)</f>
        <v>0</v>
      </c>
    </row>
    <row r="393" customFormat="false" ht="15" hidden="false" customHeight="false" outlineLevel="0" collapsed="false">
      <c r="A393" s="0" t="s">
        <v>585</v>
      </c>
      <c r="B393" s="0" t="s">
        <v>592</v>
      </c>
      <c r="C393" s="0" t="s">
        <v>593</v>
      </c>
      <c r="D393" s="0" t="n">
        <v>6</v>
      </c>
      <c r="E393" s="6" t="n">
        <v>40793.5569444444</v>
      </c>
      <c r="F393" s="0" t="n">
        <v>2.95</v>
      </c>
      <c r="G393" s="0" t="n">
        <v>12490</v>
      </c>
      <c r="H393" s="0" t="s">
        <v>43</v>
      </c>
      <c r="I393" s="7" t="n">
        <f aca="false">IF(AND(LEFT(A393,1)&lt;&gt;"C",D393&gt;0,F393&gt;0),1,0)</f>
        <v>1</v>
      </c>
      <c r="J393" s="7" t="n">
        <f aca="false">IF(I393=1,D393*F393,0)</f>
        <v>17.7</v>
      </c>
      <c r="K393" s="7" t="n">
        <f aca="false">YEAR(E393)*100+MONTH(E393)</f>
        <v>201109</v>
      </c>
      <c r="L393" s="7" t="n">
        <f aca="false">IF(AND(A393&lt;&gt;A392,LEFT(A393,1)&lt;&gt;"C"),1,0)</f>
        <v>0</v>
      </c>
    </row>
    <row r="394" customFormat="false" ht="15" hidden="false" customHeight="false" outlineLevel="0" collapsed="false">
      <c r="A394" s="0" t="s">
        <v>585</v>
      </c>
      <c r="B394" s="0" t="s">
        <v>123</v>
      </c>
      <c r="C394" s="0" t="s">
        <v>124</v>
      </c>
      <c r="D394" s="0" t="n">
        <v>18</v>
      </c>
      <c r="E394" s="6" t="n">
        <v>40793.5569444444</v>
      </c>
      <c r="F394" s="0" t="n">
        <v>2.95</v>
      </c>
      <c r="G394" s="0" t="n">
        <v>12490</v>
      </c>
      <c r="H394" s="0" t="s">
        <v>43</v>
      </c>
      <c r="I394" s="7" t="n">
        <f aca="false">IF(AND(LEFT(A394,1)&lt;&gt;"C",D394&gt;0,F394&gt;0),1,0)</f>
        <v>1</v>
      </c>
      <c r="J394" s="7" t="n">
        <f aca="false">IF(I394=1,D394*F394,0)</f>
        <v>53.1</v>
      </c>
      <c r="K394" s="7" t="n">
        <f aca="false">YEAR(E394)*100+MONTH(E394)</f>
        <v>201109</v>
      </c>
      <c r="L394" s="7" t="n">
        <f aca="false">IF(AND(A394&lt;&gt;A393,LEFT(A394,1)&lt;&gt;"C"),1,0)</f>
        <v>0</v>
      </c>
    </row>
    <row r="395" customFormat="false" ht="15" hidden="false" customHeight="false" outlineLevel="0" collapsed="false">
      <c r="A395" s="0" t="s">
        <v>585</v>
      </c>
      <c r="B395" s="0" t="s">
        <v>594</v>
      </c>
      <c r="C395" s="0" t="s">
        <v>595</v>
      </c>
      <c r="D395" s="0" t="n">
        <v>12</v>
      </c>
      <c r="E395" s="6" t="n">
        <v>40793.5569444444</v>
      </c>
      <c r="F395" s="0" t="n">
        <v>2.08</v>
      </c>
      <c r="G395" s="0" t="n">
        <v>12490</v>
      </c>
      <c r="H395" s="0" t="s">
        <v>43</v>
      </c>
      <c r="I395" s="7" t="n">
        <f aca="false">IF(AND(LEFT(A395,1)&lt;&gt;"C",D395&gt;0,F395&gt;0),1,0)</f>
        <v>1</v>
      </c>
      <c r="J395" s="7" t="n">
        <f aca="false">IF(I395=1,D395*F395,0)</f>
        <v>24.96</v>
      </c>
      <c r="K395" s="7" t="n">
        <f aca="false">YEAR(E395)*100+MONTH(E395)</f>
        <v>201109</v>
      </c>
      <c r="L395" s="7" t="n">
        <f aca="false">IF(AND(A395&lt;&gt;A394,LEFT(A395,1)&lt;&gt;"C"),1,0)</f>
        <v>0</v>
      </c>
    </row>
    <row r="396" customFormat="false" ht="15" hidden="false" customHeight="false" outlineLevel="0" collapsed="false">
      <c r="A396" s="0" t="s">
        <v>585</v>
      </c>
      <c r="B396" s="0" t="s">
        <v>213</v>
      </c>
      <c r="C396" s="0" t="s">
        <v>214</v>
      </c>
      <c r="D396" s="0" t="n">
        <v>36</v>
      </c>
      <c r="E396" s="6" t="n">
        <v>40793.5569444444</v>
      </c>
      <c r="F396" s="0" t="n">
        <v>0.85</v>
      </c>
      <c r="G396" s="0" t="n">
        <v>12490</v>
      </c>
      <c r="H396" s="0" t="s">
        <v>43</v>
      </c>
      <c r="I396" s="7" t="n">
        <f aca="false">IF(AND(LEFT(A396,1)&lt;&gt;"C",D396&gt;0,F396&gt;0),1,0)</f>
        <v>1</v>
      </c>
      <c r="J396" s="7" t="n">
        <f aca="false">IF(I396=1,D396*F396,0)</f>
        <v>30.6</v>
      </c>
      <c r="K396" s="7" t="n">
        <f aca="false">YEAR(E396)*100+MONTH(E396)</f>
        <v>201109</v>
      </c>
      <c r="L396" s="7" t="n">
        <f aca="false">IF(AND(A396&lt;&gt;A395,LEFT(A396,1)&lt;&gt;"C"),1,0)</f>
        <v>0</v>
      </c>
    </row>
    <row r="397" customFormat="false" ht="15" hidden="false" customHeight="false" outlineLevel="0" collapsed="false">
      <c r="A397" s="0" t="s">
        <v>585</v>
      </c>
      <c r="B397" s="0" t="s">
        <v>596</v>
      </c>
      <c r="C397" s="0" t="s">
        <v>597</v>
      </c>
      <c r="D397" s="0" t="n">
        <v>10</v>
      </c>
      <c r="E397" s="6" t="n">
        <v>40793.5569444444</v>
      </c>
      <c r="F397" s="0" t="n">
        <v>1.25</v>
      </c>
      <c r="G397" s="0" t="n">
        <v>12490</v>
      </c>
      <c r="H397" s="0" t="s">
        <v>43</v>
      </c>
      <c r="I397" s="7" t="n">
        <f aca="false">IF(AND(LEFT(A397,1)&lt;&gt;"C",D397&gt;0,F397&gt;0),1,0)</f>
        <v>1</v>
      </c>
      <c r="J397" s="7" t="n">
        <f aca="false">IF(I397=1,D397*F397,0)</f>
        <v>12.5</v>
      </c>
      <c r="K397" s="7" t="n">
        <f aca="false">YEAR(E397)*100+MONTH(E397)</f>
        <v>201109</v>
      </c>
      <c r="L397" s="7" t="n">
        <f aca="false">IF(AND(A397&lt;&gt;A396,LEFT(A397,1)&lt;&gt;"C"),1,0)</f>
        <v>0</v>
      </c>
    </row>
    <row r="398" customFormat="false" ht="15" hidden="false" customHeight="false" outlineLevel="0" collapsed="false">
      <c r="A398" s="0" t="s">
        <v>585</v>
      </c>
      <c r="B398" s="0" t="s">
        <v>412</v>
      </c>
      <c r="C398" s="0" t="s">
        <v>413</v>
      </c>
      <c r="D398" s="0" t="n">
        <v>12</v>
      </c>
      <c r="E398" s="6" t="n">
        <v>40793.5569444444</v>
      </c>
      <c r="F398" s="0" t="n">
        <v>1.25</v>
      </c>
      <c r="G398" s="0" t="n">
        <v>12490</v>
      </c>
      <c r="H398" s="0" t="s">
        <v>43</v>
      </c>
      <c r="I398" s="7" t="n">
        <f aca="false">IF(AND(LEFT(A398,1)&lt;&gt;"C",D398&gt;0,F398&gt;0),1,0)</f>
        <v>1</v>
      </c>
      <c r="J398" s="7" t="n">
        <f aca="false">IF(I398=1,D398*F398,0)</f>
        <v>15</v>
      </c>
      <c r="K398" s="7" t="n">
        <f aca="false">YEAR(E398)*100+MONTH(E398)</f>
        <v>201109</v>
      </c>
      <c r="L398" s="7" t="n">
        <f aca="false">IF(AND(A398&lt;&gt;A397,LEFT(A398,1)&lt;&gt;"C"),1,0)</f>
        <v>0</v>
      </c>
    </row>
    <row r="399" customFormat="false" ht="15" hidden="false" customHeight="false" outlineLevel="0" collapsed="false">
      <c r="A399" s="0" t="s">
        <v>585</v>
      </c>
      <c r="B399" s="0" t="s">
        <v>113</v>
      </c>
      <c r="C399" s="0" t="s">
        <v>114</v>
      </c>
      <c r="D399" s="0" t="n">
        <v>12</v>
      </c>
      <c r="E399" s="6" t="n">
        <v>40793.5569444444</v>
      </c>
      <c r="F399" s="0" t="n">
        <v>1.25</v>
      </c>
      <c r="G399" s="0" t="n">
        <v>12490</v>
      </c>
      <c r="H399" s="0" t="s">
        <v>43</v>
      </c>
      <c r="I399" s="7" t="n">
        <f aca="false">IF(AND(LEFT(A399,1)&lt;&gt;"C",D399&gt;0,F399&gt;0),1,0)</f>
        <v>1</v>
      </c>
      <c r="J399" s="7" t="n">
        <f aca="false">IF(I399=1,D399*F399,0)</f>
        <v>15</v>
      </c>
      <c r="K399" s="7" t="n">
        <f aca="false">YEAR(E399)*100+MONTH(E399)</f>
        <v>201109</v>
      </c>
      <c r="L399" s="7" t="n">
        <f aca="false">IF(AND(A399&lt;&gt;A398,LEFT(A399,1)&lt;&gt;"C"),1,0)</f>
        <v>0</v>
      </c>
    </row>
    <row r="400" customFormat="false" ht="15" hidden="false" customHeight="false" outlineLevel="0" collapsed="false">
      <c r="A400" s="0" t="s">
        <v>585</v>
      </c>
      <c r="B400" s="0" t="s">
        <v>598</v>
      </c>
      <c r="C400" s="0" t="s">
        <v>599</v>
      </c>
      <c r="D400" s="0" t="n">
        <v>8</v>
      </c>
      <c r="E400" s="6" t="n">
        <v>40793.5569444444</v>
      </c>
      <c r="F400" s="0" t="n">
        <v>1.95</v>
      </c>
      <c r="G400" s="0" t="n">
        <v>12490</v>
      </c>
      <c r="H400" s="0" t="s">
        <v>43</v>
      </c>
      <c r="I400" s="7" t="n">
        <f aca="false">IF(AND(LEFT(A400,1)&lt;&gt;"C",D400&gt;0,F400&gt;0),1,0)</f>
        <v>1</v>
      </c>
      <c r="J400" s="7" t="n">
        <f aca="false">IF(I400=1,D400*F400,0)</f>
        <v>15.6</v>
      </c>
      <c r="K400" s="7" t="n">
        <f aca="false">YEAR(E400)*100+MONTH(E400)</f>
        <v>201109</v>
      </c>
      <c r="L400" s="7" t="n">
        <f aca="false">IF(AND(A400&lt;&gt;A399,LEFT(A400,1)&lt;&gt;"C"),1,0)</f>
        <v>0</v>
      </c>
    </row>
    <row r="401" customFormat="false" ht="15" hidden="false" customHeight="false" outlineLevel="0" collapsed="false">
      <c r="A401" s="0" t="s">
        <v>585</v>
      </c>
      <c r="B401" s="0" t="s">
        <v>197</v>
      </c>
      <c r="C401" s="0" t="s">
        <v>198</v>
      </c>
      <c r="D401" s="0" t="n">
        <v>24</v>
      </c>
      <c r="E401" s="6" t="n">
        <v>40793.5569444444</v>
      </c>
      <c r="F401" s="0" t="n">
        <v>0.85</v>
      </c>
      <c r="G401" s="0" t="n">
        <v>12490</v>
      </c>
      <c r="H401" s="0" t="s">
        <v>43</v>
      </c>
      <c r="I401" s="7" t="n">
        <f aca="false">IF(AND(LEFT(A401,1)&lt;&gt;"C",D401&gt;0,F401&gt;0),1,0)</f>
        <v>1</v>
      </c>
      <c r="J401" s="7" t="n">
        <f aca="false">IF(I401=1,D401*F401,0)</f>
        <v>20.4</v>
      </c>
      <c r="K401" s="7" t="n">
        <f aca="false">YEAR(E401)*100+MONTH(E401)</f>
        <v>201109</v>
      </c>
      <c r="L401" s="7" t="n">
        <f aca="false">IF(AND(A401&lt;&gt;A400,LEFT(A401,1)&lt;&gt;"C"),1,0)</f>
        <v>0</v>
      </c>
    </row>
    <row r="402" customFormat="false" ht="15" hidden="false" customHeight="false" outlineLevel="0" collapsed="false">
      <c r="A402" s="0" t="s">
        <v>585</v>
      </c>
      <c r="B402" s="0" t="s">
        <v>193</v>
      </c>
      <c r="C402" s="0" t="s">
        <v>194</v>
      </c>
      <c r="D402" s="0" t="n">
        <v>24</v>
      </c>
      <c r="E402" s="6" t="n">
        <v>40793.5569444444</v>
      </c>
      <c r="F402" s="0" t="n">
        <v>0.65</v>
      </c>
      <c r="G402" s="0" t="n">
        <v>12490</v>
      </c>
      <c r="H402" s="0" t="s">
        <v>43</v>
      </c>
      <c r="I402" s="7" t="n">
        <f aca="false">IF(AND(LEFT(A402,1)&lt;&gt;"C",D402&gt;0,F402&gt;0),1,0)</f>
        <v>1</v>
      </c>
      <c r="J402" s="7" t="n">
        <f aca="false">IF(I402=1,D402*F402,0)</f>
        <v>15.6</v>
      </c>
      <c r="K402" s="7" t="n">
        <f aca="false">YEAR(E402)*100+MONTH(E402)</f>
        <v>201109</v>
      </c>
      <c r="L402" s="7" t="n">
        <f aca="false">IF(AND(A402&lt;&gt;A401,LEFT(A402,1)&lt;&gt;"C"),1,0)</f>
        <v>0</v>
      </c>
    </row>
    <row r="403" customFormat="false" ht="15" hidden="false" customHeight="false" outlineLevel="0" collapsed="false">
      <c r="A403" s="0" t="s">
        <v>585</v>
      </c>
      <c r="B403" s="0" t="s">
        <v>151</v>
      </c>
      <c r="C403" s="0" t="s">
        <v>152</v>
      </c>
      <c r="D403" s="0" t="n">
        <v>24</v>
      </c>
      <c r="E403" s="6" t="n">
        <v>40793.5569444444</v>
      </c>
      <c r="F403" s="0" t="n">
        <v>0.85</v>
      </c>
      <c r="G403" s="0" t="n">
        <v>12490</v>
      </c>
      <c r="H403" s="0" t="s">
        <v>43</v>
      </c>
      <c r="I403" s="7" t="n">
        <f aca="false">IF(AND(LEFT(A403,1)&lt;&gt;"C",D403&gt;0,F403&gt;0),1,0)</f>
        <v>1</v>
      </c>
      <c r="J403" s="7" t="n">
        <f aca="false">IF(I403=1,D403*F403,0)</f>
        <v>20.4</v>
      </c>
      <c r="K403" s="7" t="n">
        <f aca="false">YEAR(E403)*100+MONTH(E403)</f>
        <v>201109</v>
      </c>
      <c r="L403" s="7" t="n">
        <f aca="false">IF(AND(A403&lt;&gt;A402,LEFT(A403,1)&lt;&gt;"C"),1,0)</f>
        <v>0</v>
      </c>
    </row>
    <row r="404" customFormat="false" ht="15" hidden="false" customHeight="false" outlineLevel="0" collapsed="false">
      <c r="A404" s="0" t="s">
        <v>585</v>
      </c>
      <c r="B404" s="0" t="s">
        <v>511</v>
      </c>
      <c r="C404" s="0" t="s">
        <v>512</v>
      </c>
      <c r="D404" s="0" t="n">
        <v>10</v>
      </c>
      <c r="E404" s="6" t="n">
        <v>40793.5569444444</v>
      </c>
      <c r="F404" s="0" t="n">
        <v>2.95</v>
      </c>
      <c r="G404" s="0" t="n">
        <v>12490</v>
      </c>
      <c r="H404" s="0" t="s">
        <v>43</v>
      </c>
      <c r="I404" s="7" t="n">
        <f aca="false">IF(AND(LEFT(A404,1)&lt;&gt;"C",D404&gt;0,F404&gt;0),1,0)</f>
        <v>1</v>
      </c>
      <c r="J404" s="7" t="n">
        <f aca="false">IF(I404=1,D404*F404,0)</f>
        <v>29.5</v>
      </c>
      <c r="K404" s="7" t="n">
        <f aca="false">YEAR(E404)*100+MONTH(E404)</f>
        <v>201109</v>
      </c>
      <c r="L404" s="7" t="n">
        <f aca="false">IF(AND(A404&lt;&gt;A403,LEFT(A404,1)&lt;&gt;"C"),1,0)</f>
        <v>0</v>
      </c>
    </row>
    <row r="405" customFormat="false" ht="15" hidden="false" customHeight="false" outlineLevel="0" collapsed="false">
      <c r="A405" s="0" t="s">
        <v>585</v>
      </c>
      <c r="B405" s="0" t="s">
        <v>600</v>
      </c>
      <c r="C405" s="0" t="s">
        <v>601</v>
      </c>
      <c r="D405" s="0" t="n">
        <v>12</v>
      </c>
      <c r="E405" s="6" t="n">
        <v>40793.5569444444</v>
      </c>
      <c r="F405" s="0" t="n">
        <v>0.85</v>
      </c>
      <c r="G405" s="0" t="n">
        <v>12490</v>
      </c>
      <c r="H405" s="0" t="s">
        <v>43</v>
      </c>
      <c r="I405" s="7" t="n">
        <f aca="false">IF(AND(LEFT(A405,1)&lt;&gt;"C",D405&gt;0,F405&gt;0),1,0)</f>
        <v>1</v>
      </c>
      <c r="J405" s="7" t="n">
        <f aca="false">IF(I405=1,D405*F405,0)</f>
        <v>10.2</v>
      </c>
      <c r="K405" s="7" t="n">
        <f aca="false">YEAR(E405)*100+MONTH(E405)</f>
        <v>201109</v>
      </c>
      <c r="L405" s="7" t="n">
        <f aca="false">IF(AND(A405&lt;&gt;A404,LEFT(A405,1)&lt;&gt;"C"),1,0)</f>
        <v>0</v>
      </c>
    </row>
    <row r="406" customFormat="false" ht="15" hidden="false" customHeight="false" outlineLevel="0" collapsed="false">
      <c r="A406" s="0" t="s">
        <v>585</v>
      </c>
      <c r="B406" s="0" t="s">
        <v>602</v>
      </c>
      <c r="C406" s="0" t="s">
        <v>603</v>
      </c>
      <c r="D406" s="0" t="n">
        <v>12</v>
      </c>
      <c r="E406" s="6" t="n">
        <v>40793.5569444444</v>
      </c>
      <c r="F406" s="0" t="n">
        <v>1.95</v>
      </c>
      <c r="G406" s="0" t="n">
        <v>12490</v>
      </c>
      <c r="H406" s="0" t="s">
        <v>43</v>
      </c>
      <c r="I406" s="7" t="n">
        <f aca="false">IF(AND(LEFT(A406,1)&lt;&gt;"C",D406&gt;0,F406&gt;0),1,0)</f>
        <v>1</v>
      </c>
      <c r="J406" s="7" t="n">
        <f aca="false">IF(I406=1,D406*F406,0)</f>
        <v>23.4</v>
      </c>
      <c r="K406" s="7" t="n">
        <f aca="false">YEAR(E406)*100+MONTH(E406)</f>
        <v>201109</v>
      </c>
      <c r="L406" s="7" t="n">
        <f aca="false">IF(AND(A406&lt;&gt;A405,LEFT(A406,1)&lt;&gt;"C"),1,0)</f>
        <v>0</v>
      </c>
    </row>
    <row r="407" customFormat="false" ht="15" hidden="false" customHeight="false" outlineLevel="0" collapsed="false">
      <c r="A407" s="0" t="s">
        <v>585</v>
      </c>
      <c r="B407" s="0" t="s">
        <v>604</v>
      </c>
      <c r="C407" s="0" t="s">
        <v>605</v>
      </c>
      <c r="D407" s="0" t="n">
        <v>12</v>
      </c>
      <c r="E407" s="6" t="n">
        <v>40793.5569444444</v>
      </c>
      <c r="F407" s="0" t="n">
        <v>0.85</v>
      </c>
      <c r="G407" s="0" t="n">
        <v>12490</v>
      </c>
      <c r="H407" s="0" t="s">
        <v>43</v>
      </c>
      <c r="I407" s="7" t="n">
        <f aca="false">IF(AND(LEFT(A407,1)&lt;&gt;"C",D407&gt;0,F407&gt;0),1,0)</f>
        <v>1</v>
      </c>
      <c r="J407" s="7" t="n">
        <f aca="false">IF(I407=1,D407*F407,0)</f>
        <v>10.2</v>
      </c>
      <c r="K407" s="7" t="n">
        <f aca="false">YEAR(E407)*100+MONTH(E407)</f>
        <v>201109</v>
      </c>
      <c r="L407" s="7" t="n">
        <f aca="false">IF(AND(A407&lt;&gt;A406,LEFT(A407,1)&lt;&gt;"C"),1,0)</f>
        <v>0</v>
      </c>
    </row>
    <row r="408" customFormat="false" ht="15" hidden="false" customHeight="false" outlineLevel="0" collapsed="false">
      <c r="A408" s="0" t="s">
        <v>585</v>
      </c>
      <c r="B408" s="0" t="s">
        <v>606</v>
      </c>
      <c r="C408" s="0" t="s">
        <v>607</v>
      </c>
      <c r="D408" s="0" t="n">
        <v>24</v>
      </c>
      <c r="E408" s="6" t="n">
        <v>40793.5569444444</v>
      </c>
      <c r="F408" s="0" t="n">
        <v>0.42</v>
      </c>
      <c r="G408" s="0" t="n">
        <v>12490</v>
      </c>
      <c r="H408" s="0" t="s">
        <v>43</v>
      </c>
      <c r="I408" s="7" t="n">
        <f aca="false">IF(AND(LEFT(A408,1)&lt;&gt;"C",D408&gt;0,F408&gt;0),1,0)</f>
        <v>1</v>
      </c>
      <c r="J408" s="7" t="n">
        <f aca="false">IF(I408=1,D408*F408,0)</f>
        <v>10.08</v>
      </c>
      <c r="K408" s="7" t="n">
        <f aca="false">YEAR(E408)*100+MONTH(E408)</f>
        <v>201109</v>
      </c>
      <c r="L408" s="7" t="n">
        <f aca="false">IF(AND(A408&lt;&gt;A407,LEFT(A408,1)&lt;&gt;"C"),1,0)</f>
        <v>0</v>
      </c>
    </row>
    <row r="409" customFormat="false" ht="15" hidden="false" customHeight="false" outlineLevel="0" collapsed="false">
      <c r="A409" s="0" t="s">
        <v>585</v>
      </c>
      <c r="B409" s="0" t="s">
        <v>608</v>
      </c>
      <c r="C409" s="0" t="s">
        <v>609</v>
      </c>
      <c r="D409" s="0" t="n">
        <v>36</v>
      </c>
      <c r="E409" s="6" t="n">
        <v>40793.5569444444</v>
      </c>
      <c r="F409" s="0" t="n">
        <v>1.25</v>
      </c>
      <c r="G409" s="0" t="n">
        <v>12490</v>
      </c>
      <c r="H409" s="0" t="s">
        <v>43</v>
      </c>
      <c r="I409" s="7" t="n">
        <f aca="false">IF(AND(LEFT(A409,1)&lt;&gt;"C",D409&gt;0,F409&gt;0),1,0)</f>
        <v>1</v>
      </c>
      <c r="J409" s="7" t="n">
        <f aca="false">IF(I409=1,D409*F409,0)</f>
        <v>45</v>
      </c>
      <c r="K409" s="7" t="n">
        <f aca="false">YEAR(E409)*100+MONTH(E409)</f>
        <v>201109</v>
      </c>
      <c r="L409" s="7" t="n">
        <f aca="false">IF(AND(A409&lt;&gt;A408,LEFT(A409,1)&lt;&gt;"C"),1,0)</f>
        <v>0</v>
      </c>
    </row>
    <row r="410" customFormat="false" ht="15" hidden="false" customHeight="false" outlineLevel="0" collapsed="false">
      <c r="A410" s="0" t="s">
        <v>585</v>
      </c>
      <c r="B410" s="0" t="s">
        <v>78</v>
      </c>
      <c r="C410" s="0" t="s">
        <v>79</v>
      </c>
      <c r="D410" s="0" t="n">
        <v>20</v>
      </c>
      <c r="E410" s="6" t="n">
        <v>40793.5569444444</v>
      </c>
      <c r="F410" s="0" t="n">
        <v>1.65</v>
      </c>
      <c r="G410" s="0" t="n">
        <v>12490</v>
      </c>
      <c r="H410" s="0" t="s">
        <v>43</v>
      </c>
      <c r="I410" s="7" t="n">
        <f aca="false">IF(AND(LEFT(A410,1)&lt;&gt;"C",D410&gt;0,F410&gt;0),1,0)</f>
        <v>1</v>
      </c>
      <c r="J410" s="7" t="n">
        <f aca="false">IF(I410=1,D410*F410,0)</f>
        <v>33</v>
      </c>
      <c r="K410" s="7" t="n">
        <f aca="false">YEAR(E410)*100+MONTH(E410)</f>
        <v>201109</v>
      </c>
      <c r="L410" s="7" t="n">
        <f aca="false">IF(AND(A410&lt;&gt;A409,LEFT(A410,1)&lt;&gt;"C"),1,0)</f>
        <v>0</v>
      </c>
    </row>
    <row r="411" customFormat="false" ht="15" hidden="false" customHeight="false" outlineLevel="0" collapsed="false">
      <c r="A411" s="0" t="s">
        <v>585</v>
      </c>
      <c r="B411" s="0" t="s">
        <v>610</v>
      </c>
      <c r="C411" s="0" t="s">
        <v>611</v>
      </c>
      <c r="D411" s="0" t="n">
        <v>12</v>
      </c>
      <c r="E411" s="6" t="n">
        <v>40793.5569444444</v>
      </c>
      <c r="F411" s="0" t="n">
        <v>2.95</v>
      </c>
      <c r="G411" s="0" t="n">
        <v>12490</v>
      </c>
      <c r="H411" s="0" t="s">
        <v>43</v>
      </c>
      <c r="I411" s="7" t="n">
        <f aca="false">IF(AND(LEFT(A411,1)&lt;&gt;"C",D411&gt;0,F411&gt;0),1,0)</f>
        <v>1</v>
      </c>
      <c r="J411" s="7" t="n">
        <f aca="false">IF(I411=1,D411*F411,0)</f>
        <v>35.4</v>
      </c>
      <c r="K411" s="7" t="n">
        <f aca="false">YEAR(E411)*100+MONTH(E411)</f>
        <v>201109</v>
      </c>
      <c r="L411" s="7" t="n">
        <f aca="false">IF(AND(A411&lt;&gt;A410,LEFT(A411,1)&lt;&gt;"C"),1,0)</f>
        <v>0</v>
      </c>
    </row>
    <row r="412" customFormat="false" ht="15" hidden="false" customHeight="false" outlineLevel="0" collapsed="false">
      <c r="A412" s="0" t="s">
        <v>585</v>
      </c>
      <c r="B412" s="0" t="s">
        <v>125</v>
      </c>
      <c r="C412" s="0" t="s">
        <v>126</v>
      </c>
      <c r="D412" s="0" t="n">
        <v>24</v>
      </c>
      <c r="E412" s="6" t="n">
        <v>40793.5569444444</v>
      </c>
      <c r="F412" s="0" t="n">
        <v>1.25</v>
      </c>
      <c r="G412" s="0" t="n">
        <v>12490</v>
      </c>
      <c r="H412" s="0" t="s">
        <v>43</v>
      </c>
      <c r="I412" s="7" t="n">
        <f aca="false">IF(AND(LEFT(A412,1)&lt;&gt;"C",D412&gt;0,F412&gt;0),1,0)</f>
        <v>1</v>
      </c>
      <c r="J412" s="7" t="n">
        <f aca="false">IF(I412=1,D412*F412,0)</f>
        <v>30</v>
      </c>
      <c r="K412" s="7" t="n">
        <f aca="false">YEAR(E412)*100+MONTH(E412)</f>
        <v>201109</v>
      </c>
      <c r="L412" s="7" t="n">
        <f aca="false">IF(AND(A412&lt;&gt;A411,LEFT(A412,1)&lt;&gt;"C"),1,0)</f>
        <v>0</v>
      </c>
    </row>
    <row r="413" customFormat="false" ht="15" hidden="false" customHeight="false" outlineLevel="0" collapsed="false">
      <c r="A413" s="0" t="s">
        <v>585</v>
      </c>
      <c r="B413" s="0" t="s">
        <v>612</v>
      </c>
      <c r="C413" s="0" t="s">
        <v>613</v>
      </c>
      <c r="D413" s="0" t="n">
        <v>12</v>
      </c>
      <c r="E413" s="6" t="n">
        <v>40793.5569444444</v>
      </c>
      <c r="F413" s="0" t="n">
        <v>1.25</v>
      </c>
      <c r="G413" s="0" t="n">
        <v>12490</v>
      </c>
      <c r="H413" s="0" t="s">
        <v>43</v>
      </c>
      <c r="I413" s="7" t="n">
        <f aca="false">IF(AND(LEFT(A413,1)&lt;&gt;"C",D413&gt;0,F413&gt;0),1,0)</f>
        <v>1</v>
      </c>
      <c r="J413" s="7" t="n">
        <f aca="false">IF(I413=1,D413*F413,0)</f>
        <v>15</v>
      </c>
      <c r="K413" s="7" t="n">
        <f aca="false">YEAR(E413)*100+MONTH(E413)</f>
        <v>201109</v>
      </c>
      <c r="L413" s="7" t="n">
        <f aca="false">IF(AND(A413&lt;&gt;A412,LEFT(A413,1)&lt;&gt;"C"),1,0)</f>
        <v>0</v>
      </c>
    </row>
    <row r="414" customFormat="false" ht="15" hidden="false" customHeight="false" outlineLevel="0" collapsed="false">
      <c r="A414" s="0" t="s">
        <v>585</v>
      </c>
      <c r="B414" s="0" t="s">
        <v>614</v>
      </c>
      <c r="C414" s="0" t="s">
        <v>615</v>
      </c>
      <c r="D414" s="0" t="n">
        <v>12</v>
      </c>
      <c r="E414" s="6" t="n">
        <v>40793.5569444444</v>
      </c>
      <c r="F414" s="0" t="n">
        <v>1.25</v>
      </c>
      <c r="G414" s="0" t="n">
        <v>12490</v>
      </c>
      <c r="H414" s="0" t="s">
        <v>43</v>
      </c>
      <c r="I414" s="7" t="n">
        <f aca="false">IF(AND(LEFT(A414,1)&lt;&gt;"C",D414&gt;0,F414&gt;0),1,0)</f>
        <v>1</v>
      </c>
      <c r="J414" s="7" t="n">
        <f aca="false">IF(I414=1,D414*F414,0)</f>
        <v>15</v>
      </c>
      <c r="K414" s="7" t="n">
        <f aca="false">YEAR(E414)*100+MONTH(E414)</f>
        <v>201109</v>
      </c>
      <c r="L414" s="7" t="n">
        <f aca="false">IF(AND(A414&lt;&gt;A413,LEFT(A414,1)&lt;&gt;"C"),1,0)</f>
        <v>0</v>
      </c>
    </row>
    <row r="415" customFormat="false" ht="15" hidden="false" customHeight="false" outlineLevel="0" collapsed="false">
      <c r="A415" s="0" t="s">
        <v>585</v>
      </c>
      <c r="B415" s="0" t="s">
        <v>616</v>
      </c>
      <c r="C415" s="0" t="s">
        <v>617</v>
      </c>
      <c r="D415" s="0" t="n">
        <v>24</v>
      </c>
      <c r="E415" s="6" t="n">
        <v>40793.5569444444</v>
      </c>
      <c r="F415" s="0" t="n">
        <v>1.25</v>
      </c>
      <c r="G415" s="0" t="n">
        <v>12490</v>
      </c>
      <c r="H415" s="0" t="s">
        <v>43</v>
      </c>
      <c r="I415" s="7" t="n">
        <f aca="false">IF(AND(LEFT(A415,1)&lt;&gt;"C",D415&gt;0,F415&gt;0),1,0)</f>
        <v>1</v>
      </c>
      <c r="J415" s="7" t="n">
        <f aca="false">IF(I415=1,D415*F415,0)</f>
        <v>30</v>
      </c>
      <c r="K415" s="7" t="n">
        <f aca="false">YEAR(E415)*100+MONTH(E415)</f>
        <v>201109</v>
      </c>
      <c r="L415" s="7" t="n">
        <f aca="false">IF(AND(A415&lt;&gt;A414,LEFT(A415,1)&lt;&gt;"C"),1,0)</f>
        <v>0</v>
      </c>
    </row>
    <row r="416" customFormat="false" ht="15" hidden="false" customHeight="false" outlineLevel="0" collapsed="false">
      <c r="A416" s="0" t="s">
        <v>585</v>
      </c>
      <c r="B416" s="0" t="s">
        <v>89</v>
      </c>
      <c r="C416" s="0" t="s">
        <v>90</v>
      </c>
      <c r="D416" s="0" t="n">
        <v>8</v>
      </c>
      <c r="E416" s="6" t="n">
        <v>40793.5569444444</v>
      </c>
      <c r="F416" s="0" t="n">
        <v>4.15</v>
      </c>
      <c r="G416" s="0" t="n">
        <v>12490</v>
      </c>
      <c r="H416" s="0" t="s">
        <v>43</v>
      </c>
      <c r="I416" s="7" t="n">
        <f aca="false">IF(AND(LEFT(A416,1)&lt;&gt;"C",D416&gt;0,F416&gt;0),1,0)</f>
        <v>1</v>
      </c>
      <c r="J416" s="7" t="n">
        <f aca="false">IF(I416=1,D416*F416,0)</f>
        <v>33.2</v>
      </c>
      <c r="K416" s="7" t="n">
        <f aca="false">YEAR(E416)*100+MONTH(E416)</f>
        <v>201109</v>
      </c>
      <c r="L416" s="7" t="n">
        <f aca="false">IF(AND(A416&lt;&gt;A415,LEFT(A416,1)&lt;&gt;"C"),1,0)</f>
        <v>0</v>
      </c>
    </row>
    <row r="417" customFormat="false" ht="15" hidden="false" customHeight="false" outlineLevel="0" collapsed="false">
      <c r="A417" s="0" t="s">
        <v>585</v>
      </c>
      <c r="B417" s="0" t="s">
        <v>87</v>
      </c>
      <c r="C417" s="0" t="s">
        <v>88</v>
      </c>
      <c r="D417" s="0" t="n">
        <v>8</v>
      </c>
      <c r="E417" s="6" t="n">
        <v>40793.5569444444</v>
      </c>
      <c r="F417" s="0" t="n">
        <v>4.15</v>
      </c>
      <c r="G417" s="0" t="n">
        <v>12490</v>
      </c>
      <c r="H417" s="0" t="s">
        <v>43</v>
      </c>
      <c r="I417" s="7" t="n">
        <f aca="false">IF(AND(LEFT(A417,1)&lt;&gt;"C",D417&gt;0,F417&gt;0),1,0)</f>
        <v>1</v>
      </c>
      <c r="J417" s="7" t="n">
        <f aca="false">IF(I417=1,D417*F417,0)</f>
        <v>33.2</v>
      </c>
      <c r="K417" s="7" t="n">
        <f aca="false">YEAR(E417)*100+MONTH(E417)</f>
        <v>201109</v>
      </c>
      <c r="L417" s="7" t="n">
        <f aca="false">IF(AND(A417&lt;&gt;A416,LEFT(A417,1)&lt;&gt;"C"),1,0)</f>
        <v>0</v>
      </c>
    </row>
    <row r="418" customFormat="false" ht="15" hidden="false" customHeight="false" outlineLevel="0" collapsed="false">
      <c r="A418" s="0" t="s">
        <v>585</v>
      </c>
      <c r="B418" s="0" t="s">
        <v>618</v>
      </c>
      <c r="C418" s="0" t="s">
        <v>619</v>
      </c>
      <c r="D418" s="0" t="n">
        <v>6</v>
      </c>
      <c r="E418" s="6" t="n">
        <v>40793.5569444444</v>
      </c>
      <c r="F418" s="0" t="n">
        <v>2.95</v>
      </c>
      <c r="G418" s="0" t="n">
        <v>12490</v>
      </c>
      <c r="H418" s="0" t="s">
        <v>43</v>
      </c>
      <c r="I418" s="7" t="n">
        <f aca="false">IF(AND(LEFT(A418,1)&lt;&gt;"C",D418&gt;0,F418&gt;0),1,0)</f>
        <v>1</v>
      </c>
      <c r="J418" s="7" t="n">
        <f aca="false">IF(I418=1,D418*F418,0)</f>
        <v>17.7</v>
      </c>
      <c r="K418" s="7" t="n">
        <f aca="false">YEAR(E418)*100+MONTH(E418)</f>
        <v>201109</v>
      </c>
      <c r="L418" s="7" t="n">
        <f aca="false">IF(AND(A418&lt;&gt;A417,LEFT(A418,1)&lt;&gt;"C"),1,0)</f>
        <v>0</v>
      </c>
    </row>
    <row r="419" customFormat="false" ht="15" hidden="false" customHeight="false" outlineLevel="0" collapsed="false">
      <c r="A419" s="0" t="s">
        <v>585</v>
      </c>
      <c r="B419" s="0" t="s">
        <v>620</v>
      </c>
      <c r="C419" s="0" t="s">
        <v>621</v>
      </c>
      <c r="D419" s="0" t="n">
        <v>8</v>
      </c>
      <c r="E419" s="6" t="n">
        <v>40793.5569444444</v>
      </c>
      <c r="F419" s="0" t="n">
        <v>4.15</v>
      </c>
      <c r="G419" s="0" t="n">
        <v>12490</v>
      </c>
      <c r="H419" s="0" t="s">
        <v>43</v>
      </c>
      <c r="I419" s="7" t="n">
        <f aca="false">IF(AND(LEFT(A419,1)&lt;&gt;"C",D419&gt;0,F419&gt;0),1,0)</f>
        <v>1</v>
      </c>
      <c r="J419" s="7" t="n">
        <f aca="false">IF(I419=1,D419*F419,0)</f>
        <v>33.2</v>
      </c>
      <c r="K419" s="7" t="n">
        <f aca="false">YEAR(E419)*100+MONTH(E419)</f>
        <v>201109</v>
      </c>
      <c r="L419" s="7" t="n">
        <f aca="false">IF(AND(A419&lt;&gt;A418,LEFT(A419,1)&lt;&gt;"C"),1,0)</f>
        <v>0</v>
      </c>
    </row>
    <row r="420" customFormat="false" ht="15" hidden="false" customHeight="false" outlineLevel="0" collapsed="false">
      <c r="A420" s="0" t="s">
        <v>585</v>
      </c>
      <c r="B420" s="0" t="s">
        <v>84</v>
      </c>
      <c r="C420" s="0" t="s">
        <v>85</v>
      </c>
      <c r="D420" s="0" t="n">
        <v>4</v>
      </c>
      <c r="E420" s="6" t="n">
        <v>40793.5569444444</v>
      </c>
      <c r="F420" s="0" t="n">
        <v>18</v>
      </c>
      <c r="G420" s="0" t="n">
        <v>12490</v>
      </c>
      <c r="H420" s="0" t="s">
        <v>43</v>
      </c>
      <c r="I420" s="7" t="n">
        <f aca="false">IF(AND(LEFT(A420,1)&lt;&gt;"C",D420&gt;0,F420&gt;0),1,0)</f>
        <v>1</v>
      </c>
      <c r="J420" s="7" t="n">
        <f aca="false">IF(I420=1,D420*F420,0)</f>
        <v>72</v>
      </c>
      <c r="K420" s="7" t="n">
        <f aca="false">YEAR(E420)*100+MONTH(E420)</f>
        <v>201109</v>
      </c>
      <c r="L420" s="7" t="n">
        <f aca="false">IF(AND(A420&lt;&gt;A419,LEFT(A420,1)&lt;&gt;"C"),1,0)</f>
        <v>0</v>
      </c>
    </row>
    <row r="421" customFormat="false" ht="15" hidden="false" customHeight="false" outlineLevel="0" collapsed="false">
      <c r="A421" s="0" t="s">
        <v>585</v>
      </c>
      <c r="B421" s="0" t="s">
        <v>68</v>
      </c>
      <c r="C421" s="0" t="s">
        <v>69</v>
      </c>
      <c r="D421" s="0" t="n">
        <v>10</v>
      </c>
      <c r="E421" s="6" t="n">
        <v>40793.5569444444</v>
      </c>
      <c r="F421" s="0" t="n">
        <v>1.65</v>
      </c>
      <c r="G421" s="0" t="n">
        <v>12490</v>
      </c>
      <c r="H421" s="0" t="s">
        <v>43</v>
      </c>
      <c r="I421" s="7" t="n">
        <f aca="false">IF(AND(LEFT(A421,1)&lt;&gt;"C",D421&gt;0,F421&gt;0),1,0)</f>
        <v>1</v>
      </c>
      <c r="J421" s="7" t="n">
        <f aca="false">IF(I421=1,D421*F421,0)</f>
        <v>16.5</v>
      </c>
      <c r="K421" s="7" t="n">
        <f aca="false">YEAR(E421)*100+MONTH(E421)</f>
        <v>201109</v>
      </c>
      <c r="L421" s="7" t="n">
        <f aca="false">IF(AND(A421&lt;&gt;A420,LEFT(A421,1)&lt;&gt;"C"),1,0)</f>
        <v>0</v>
      </c>
    </row>
    <row r="422" customFormat="false" ht="15" hidden="false" customHeight="false" outlineLevel="0" collapsed="false">
      <c r="A422" s="0" t="s">
        <v>622</v>
      </c>
      <c r="B422" s="0" t="s">
        <v>623</v>
      </c>
      <c r="C422" s="0" t="s">
        <v>624</v>
      </c>
      <c r="D422" s="0" t="n">
        <v>10</v>
      </c>
      <c r="E422" s="6" t="n">
        <v>40793.6298611111</v>
      </c>
      <c r="F422" s="0" t="n">
        <v>2.08</v>
      </c>
      <c r="G422" s="0" t="n">
        <v>12637</v>
      </c>
      <c r="H422" s="0" t="s">
        <v>43</v>
      </c>
      <c r="I422" s="7" t="n">
        <f aca="false">IF(AND(LEFT(A422,1)&lt;&gt;"C",D422&gt;0,F422&gt;0),1,0)</f>
        <v>1</v>
      </c>
      <c r="J422" s="7" t="n">
        <f aca="false">IF(I422=1,D422*F422,0)</f>
        <v>20.8</v>
      </c>
      <c r="K422" s="7" t="n">
        <f aca="false">YEAR(E422)*100+MONTH(E422)</f>
        <v>201109</v>
      </c>
      <c r="L422" s="7" t="n">
        <f aca="false">IF(AND(A422&lt;&gt;A421,LEFT(A422,1)&lt;&gt;"C"),1,0)</f>
        <v>1</v>
      </c>
    </row>
    <row r="423" customFormat="false" ht="15" hidden="false" customHeight="false" outlineLevel="0" collapsed="false">
      <c r="A423" s="0" t="s">
        <v>622</v>
      </c>
      <c r="B423" s="0" t="s">
        <v>111</v>
      </c>
      <c r="C423" s="0" t="s">
        <v>112</v>
      </c>
      <c r="D423" s="0" t="n">
        <v>6</v>
      </c>
      <c r="E423" s="6" t="n">
        <v>40793.6298611111</v>
      </c>
      <c r="F423" s="0" t="n">
        <v>2.55</v>
      </c>
      <c r="G423" s="0" t="n">
        <v>12637</v>
      </c>
      <c r="H423" s="0" t="s">
        <v>43</v>
      </c>
      <c r="I423" s="7" t="n">
        <f aca="false">IF(AND(LEFT(A423,1)&lt;&gt;"C",D423&gt;0,F423&gt;0),1,0)</f>
        <v>1</v>
      </c>
      <c r="J423" s="7" t="n">
        <f aca="false">IF(I423=1,D423*F423,0)</f>
        <v>15.3</v>
      </c>
      <c r="K423" s="7" t="n">
        <f aca="false">YEAR(E423)*100+MONTH(E423)</f>
        <v>201109</v>
      </c>
      <c r="L423" s="7" t="n">
        <f aca="false">IF(AND(A423&lt;&gt;A422,LEFT(A423,1)&lt;&gt;"C"),1,0)</f>
        <v>0</v>
      </c>
    </row>
    <row r="424" customFormat="false" ht="15" hidden="false" customHeight="false" outlineLevel="0" collapsed="false">
      <c r="A424" s="0" t="s">
        <v>622</v>
      </c>
      <c r="B424" s="0" t="s">
        <v>301</v>
      </c>
      <c r="C424" s="0" t="s">
        <v>302</v>
      </c>
      <c r="D424" s="0" t="n">
        <v>6</v>
      </c>
      <c r="E424" s="6" t="n">
        <v>40793.6298611111</v>
      </c>
      <c r="F424" s="0" t="n">
        <v>2.55</v>
      </c>
      <c r="G424" s="0" t="n">
        <v>12637</v>
      </c>
      <c r="H424" s="0" t="s">
        <v>43</v>
      </c>
      <c r="I424" s="7" t="n">
        <f aca="false">IF(AND(LEFT(A424,1)&lt;&gt;"C",D424&gt;0,F424&gt;0),1,0)</f>
        <v>1</v>
      </c>
      <c r="J424" s="7" t="n">
        <f aca="false">IF(I424=1,D424*F424,0)</f>
        <v>15.3</v>
      </c>
      <c r="K424" s="7" t="n">
        <f aca="false">YEAR(E424)*100+MONTH(E424)</f>
        <v>201109</v>
      </c>
      <c r="L424" s="7" t="n">
        <f aca="false">IF(AND(A424&lt;&gt;A423,LEFT(A424,1)&lt;&gt;"C"),1,0)</f>
        <v>0</v>
      </c>
    </row>
    <row r="425" customFormat="false" ht="15" hidden="false" customHeight="false" outlineLevel="0" collapsed="false">
      <c r="A425" s="0" t="s">
        <v>622</v>
      </c>
      <c r="B425" s="0" t="s">
        <v>625</v>
      </c>
      <c r="C425" s="0" t="s">
        <v>626</v>
      </c>
      <c r="D425" s="0" t="n">
        <v>10</v>
      </c>
      <c r="E425" s="6" t="n">
        <v>40793.6298611111</v>
      </c>
      <c r="F425" s="0" t="n">
        <v>2.08</v>
      </c>
      <c r="G425" s="0" t="n">
        <v>12637</v>
      </c>
      <c r="H425" s="0" t="s">
        <v>43</v>
      </c>
      <c r="I425" s="7" t="n">
        <f aca="false">IF(AND(LEFT(A425,1)&lt;&gt;"C",D425&gt;0,F425&gt;0),1,0)</f>
        <v>1</v>
      </c>
      <c r="J425" s="7" t="n">
        <f aca="false">IF(I425=1,D425*F425,0)</f>
        <v>20.8</v>
      </c>
      <c r="K425" s="7" t="n">
        <f aca="false">YEAR(E425)*100+MONTH(E425)</f>
        <v>201109</v>
      </c>
      <c r="L425" s="7" t="n">
        <f aca="false">IF(AND(A425&lt;&gt;A424,LEFT(A425,1)&lt;&gt;"C"),1,0)</f>
        <v>0</v>
      </c>
    </row>
    <row r="426" customFormat="false" ht="15" hidden="false" customHeight="false" outlineLevel="0" collapsed="false">
      <c r="A426" s="0" t="s">
        <v>622</v>
      </c>
      <c r="B426" s="0" t="s">
        <v>627</v>
      </c>
      <c r="C426" s="0" t="s">
        <v>628</v>
      </c>
      <c r="D426" s="0" t="n">
        <v>10</v>
      </c>
      <c r="E426" s="6" t="n">
        <v>40793.6298611111</v>
      </c>
      <c r="F426" s="0" t="n">
        <v>0.85</v>
      </c>
      <c r="G426" s="0" t="n">
        <v>12637</v>
      </c>
      <c r="H426" s="0" t="s">
        <v>43</v>
      </c>
      <c r="I426" s="7" t="n">
        <f aca="false">IF(AND(LEFT(A426,1)&lt;&gt;"C",D426&gt;0,F426&gt;0),1,0)</f>
        <v>1</v>
      </c>
      <c r="J426" s="7" t="n">
        <f aca="false">IF(I426=1,D426*F426,0)</f>
        <v>8.5</v>
      </c>
      <c r="K426" s="7" t="n">
        <f aca="false">YEAR(E426)*100+MONTH(E426)</f>
        <v>201109</v>
      </c>
      <c r="L426" s="7" t="n">
        <f aca="false">IF(AND(A426&lt;&gt;A425,LEFT(A426,1)&lt;&gt;"C"),1,0)</f>
        <v>0</v>
      </c>
    </row>
    <row r="427" customFormat="false" ht="15" hidden="false" customHeight="false" outlineLevel="0" collapsed="false">
      <c r="A427" s="0" t="s">
        <v>622</v>
      </c>
      <c r="B427" s="0" t="s">
        <v>78</v>
      </c>
      <c r="C427" s="0" t="s">
        <v>79</v>
      </c>
      <c r="D427" s="0" t="n">
        <v>10</v>
      </c>
      <c r="E427" s="6" t="n">
        <v>40793.6298611111</v>
      </c>
      <c r="F427" s="0" t="n">
        <v>1.65</v>
      </c>
      <c r="G427" s="0" t="n">
        <v>12637</v>
      </c>
      <c r="H427" s="0" t="s">
        <v>43</v>
      </c>
      <c r="I427" s="7" t="n">
        <f aca="false">IF(AND(LEFT(A427,1)&lt;&gt;"C",D427&gt;0,F427&gt;0),1,0)</f>
        <v>1</v>
      </c>
      <c r="J427" s="7" t="n">
        <f aca="false">IF(I427=1,D427*F427,0)</f>
        <v>16.5</v>
      </c>
      <c r="K427" s="7" t="n">
        <f aca="false">YEAR(E427)*100+MONTH(E427)</f>
        <v>201109</v>
      </c>
      <c r="L427" s="7" t="n">
        <f aca="false">IF(AND(A427&lt;&gt;A426,LEFT(A427,1)&lt;&gt;"C"),1,0)</f>
        <v>0</v>
      </c>
    </row>
    <row r="428" customFormat="false" ht="15" hidden="false" customHeight="false" outlineLevel="0" collapsed="false">
      <c r="A428" s="0" t="s">
        <v>622</v>
      </c>
      <c r="B428" s="0" t="s">
        <v>629</v>
      </c>
      <c r="C428" s="0" t="s">
        <v>630</v>
      </c>
      <c r="D428" s="0" t="n">
        <v>2</v>
      </c>
      <c r="E428" s="6" t="n">
        <v>40793.6298611111</v>
      </c>
      <c r="F428" s="0" t="n">
        <v>8.5</v>
      </c>
      <c r="G428" s="0" t="n">
        <v>12637</v>
      </c>
      <c r="H428" s="0" t="s">
        <v>43</v>
      </c>
      <c r="I428" s="7" t="n">
        <f aca="false">IF(AND(LEFT(A428,1)&lt;&gt;"C",D428&gt;0,F428&gt;0),1,0)</f>
        <v>1</v>
      </c>
      <c r="J428" s="7" t="n">
        <f aca="false">IF(I428=1,D428*F428,0)</f>
        <v>17</v>
      </c>
      <c r="K428" s="7" t="n">
        <f aca="false">YEAR(E428)*100+MONTH(E428)</f>
        <v>201109</v>
      </c>
      <c r="L428" s="7" t="n">
        <f aca="false">IF(AND(A428&lt;&gt;A427,LEFT(A428,1)&lt;&gt;"C"),1,0)</f>
        <v>0</v>
      </c>
    </row>
    <row r="429" customFormat="false" ht="15" hidden="false" customHeight="false" outlineLevel="0" collapsed="false">
      <c r="A429" s="0" t="s">
        <v>622</v>
      </c>
      <c r="B429" s="0" t="s">
        <v>631</v>
      </c>
      <c r="C429" s="0" t="s">
        <v>632</v>
      </c>
      <c r="D429" s="0" t="n">
        <v>10</v>
      </c>
      <c r="E429" s="6" t="n">
        <v>40793.6298611111</v>
      </c>
      <c r="F429" s="0" t="n">
        <v>2.08</v>
      </c>
      <c r="G429" s="0" t="n">
        <v>12637</v>
      </c>
      <c r="H429" s="0" t="s">
        <v>43</v>
      </c>
      <c r="I429" s="7" t="n">
        <f aca="false">IF(AND(LEFT(A429,1)&lt;&gt;"C",D429&gt;0,F429&gt;0),1,0)</f>
        <v>1</v>
      </c>
      <c r="J429" s="7" t="n">
        <f aca="false">IF(I429=1,D429*F429,0)</f>
        <v>20.8</v>
      </c>
      <c r="K429" s="7" t="n">
        <f aca="false">YEAR(E429)*100+MONTH(E429)</f>
        <v>201109</v>
      </c>
      <c r="L429" s="7" t="n">
        <f aca="false">IF(AND(A429&lt;&gt;A428,LEFT(A429,1)&lt;&gt;"C"),1,0)</f>
        <v>0</v>
      </c>
    </row>
    <row r="430" customFormat="false" ht="15" hidden="false" customHeight="false" outlineLevel="0" collapsed="false">
      <c r="A430" s="0" t="s">
        <v>622</v>
      </c>
      <c r="B430" s="0" t="s">
        <v>633</v>
      </c>
      <c r="C430" s="0" t="s">
        <v>634</v>
      </c>
      <c r="D430" s="0" t="n">
        <v>12</v>
      </c>
      <c r="E430" s="6" t="n">
        <v>40793.6298611111</v>
      </c>
      <c r="F430" s="0" t="n">
        <v>1.65</v>
      </c>
      <c r="G430" s="0" t="n">
        <v>12637</v>
      </c>
      <c r="H430" s="0" t="s">
        <v>43</v>
      </c>
      <c r="I430" s="7" t="n">
        <f aca="false">IF(AND(LEFT(A430,1)&lt;&gt;"C",D430&gt;0,F430&gt;0),1,0)</f>
        <v>1</v>
      </c>
      <c r="J430" s="7" t="n">
        <f aca="false">IF(I430=1,D430*F430,0)</f>
        <v>19.8</v>
      </c>
      <c r="K430" s="7" t="n">
        <f aca="false">YEAR(E430)*100+MONTH(E430)</f>
        <v>201109</v>
      </c>
      <c r="L430" s="7" t="n">
        <f aca="false">IF(AND(A430&lt;&gt;A429,LEFT(A430,1)&lt;&gt;"C"),1,0)</f>
        <v>0</v>
      </c>
    </row>
    <row r="431" customFormat="false" ht="15" hidden="false" customHeight="false" outlineLevel="0" collapsed="false">
      <c r="A431" s="0" t="s">
        <v>622</v>
      </c>
      <c r="B431" s="0" t="s">
        <v>635</v>
      </c>
      <c r="C431" s="0" t="s">
        <v>636</v>
      </c>
      <c r="D431" s="0" t="n">
        <v>12</v>
      </c>
      <c r="E431" s="6" t="n">
        <v>40793.6298611111</v>
      </c>
      <c r="F431" s="0" t="n">
        <v>1.65</v>
      </c>
      <c r="G431" s="0" t="n">
        <v>12637</v>
      </c>
      <c r="H431" s="0" t="s">
        <v>43</v>
      </c>
      <c r="I431" s="7" t="n">
        <f aca="false">IF(AND(LEFT(A431,1)&lt;&gt;"C",D431&gt;0,F431&gt;0),1,0)</f>
        <v>1</v>
      </c>
      <c r="J431" s="7" t="n">
        <f aca="false">IF(I431=1,D431*F431,0)</f>
        <v>19.8</v>
      </c>
      <c r="K431" s="7" t="n">
        <f aca="false">YEAR(E431)*100+MONTH(E431)</f>
        <v>201109</v>
      </c>
      <c r="L431" s="7" t="n">
        <f aca="false">IF(AND(A431&lt;&gt;A430,LEFT(A431,1)&lt;&gt;"C"),1,0)</f>
        <v>0</v>
      </c>
    </row>
    <row r="432" customFormat="false" ht="15" hidden="false" customHeight="false" outlineLevel="0" collapsed="false">
      <c r="A432" s="0" t="s">
        <v>622</v>
      </c>
      <c r="B432" s="0" t="s">
        <v>333</v>
      </c>
      <c r="C432" s="0" t="s">
        <v>334</v>
      </c>
      <c r="D432" s="0" t="n">
        <v>12</v>
      </c>
      <c r="E432" s="6" t="n">
        <v>40793.6298611111</v>
      </c>
      <c r="F432" s="0" t="n">
        <v>1.65</v>
      </c>
      <c r="G432" s="0" t="n">
        <v>12637</v>
      </c>
      <c r="H432" s="0" t="s">
        <v>43</v>
      </c>
      <c r="I432" s="7" t="n">
        <f aca="false">IF(AND(LEFT(A432,1)&lt;&gt;"C",D432&gt;0,F432&gt;0),1,0)</f>
        <v>1</v>
      </c>
      <c r="J432" s="7" t="n">
        <f aca="false">IF(I432=1,D432*F432,0)</f>
        <v>19.8</v>
      </c>
      <c r="K432" s="7" t="n">
        <f aca="false">YEAR(E432)*100+MONTH(E432)</f>
        <v>201109</v>
      </c>
      <c r="L432" s="7" t="n">
        <f aca="false">IF(AND(A432&lt;&gt;A431,LEFT(A432,1)&lt;&gt;"C"),1,0)</f>
        <v>0</v>
      </c>
    </row>
    <row r="433" customFormat="false" ht="15" hidden="false" customHeight="false" outlineLevel="0" collapsed="false">
      <c r="A433" s="0" t="s">
        <v>622</v>
      </c>
      <c r="B433" s="0" t="s">
        <v>637</v>
      </c>
      <c r="C433" s="0" t="s">
        <v>638</v>
      </c>
      <c r="D433" s="0" t="n">
        <v>10</v>
      </c>
      <c r="E433" s="6" t="n">
        <v>40793.6298611111</v>
      </c>
      <c r="F433" s="0" t="n">
        <v>0.85</v>
      </c>
      <c r="G433" s="0" t="n">
        <v>12637</v>
      </c>
      <c r="H433" s="0" t="s">
        <v>43</v>
      </c>
      <c r="I433" s="7" t="n">
        <f aca="false">IF(AND(LEFT(A433,1)&lt;&gt;"C",D433&gt;0,F433&gt;0),1,0)</f>
        <v>1</v>
      </c>
      <c r="J433" s="7" t="n">
        <f aca="false">IF(I433=1,D433*F433,0)</f>
        <v>8.5</v>
      </c>
      <c r="K433" s="7" t="n">
        <f aca="false">YEAR(E433)*100+MONTH(E433)</f>
        <v>201109</v>
      </c>
      <c r="L433" s="7" t="n">
        <f aca="false">IF(AND(A433&lt;&gt;A432,LEFT(A433,1)&lt;&gt;"C"),1,0)</f>
        <v>0</v>
      </c>
    </row>
    <row r="434" customFormat="false" ht="15" hidden="false" customHeight="false" outlineLevel="0" collapsed="false">
      <c r="A434" s="0" t="s">
        <v>622</v>
      </c>
      <c r="B434" s="0" t="s">
        <v>121</v>
      </c>
      <c r="C434" s="0" t="s">
        <v>122</v>
      </c>
      <c r="D434" s="0" t="n">
        <v>10</v>
      </c>
      <c r="E434" s="6" t="n">
        <v>40793.6298611111</v>
      </c>
      <c r="F434" s="0" t="n">
        <v>1.65</v>
      </c>
      <c r="G434" s="0" t="n">
        <v>12637</v>
      </c>
      <c r="H434" s="0" t="s">
        <v>43</v>
      </c>
      <c r="I434" s="7" t="n">
        <f aca="false">IF(AND(LEFT(A434,1)&lt;&gt;"C",D434&gt;0,F434&gt;0),1,0)</f>
        <v>1</v>
      </c>
      <c r="J434" s="7" t="n">
        <f aca="false">IF(I434=1,D434*F434,0)</f>
        <v>16.5</v>
      </c>
      <c r="K434" s="7" t="n">
        <f aca="false">YEAR(E434)*100+MONTH(E434)</f>
        <v>201109</v>
      </c>
      <c r="L434" s="7" t="n">
        <f aca="false">IF(AND(A434&lt;&gt;A433,LEFT(A434,1)&lt;&gt;"C"),1,0)</f>
        <v>0</v>
      </c>
    </row>
    <row r="435" customFormat="false" ht="15" hidden="false" customHeight="false" outlineLevel="0" collapsed="false">
      <c r="A435" s="0" t="s">
        <v>622</v>
      </c>
      <c r="B435" s="0" t="s">
        <v>639</v>
      </c>
      <c r="C435" s="0" t="s">
        <v>640</v>
      </c>
      <c r="D435" s="0" t="n">
        <v>12</v>
      </c>
      <c r="E435" s="6" t="n">
        <v>40793.6298611111</v>
      </c>
      <c r="F435" s="0" t="n">
        <v>1.65</v>
      </c>
      <c r="G435" s="0" t="n">
        <v>12637</v>
      </c>
      <c r="H435" s="0" t="s">
        <v>43</v>
      </c>
      <c r="I435" s="7" t="n">
        <f aca="false">IF(AND(LEFT(A435,1)&lt;&gt;"C",D435&gt;0,F435&gt;0),1,0)</f>
        <v>1</v>
      </c>
      <c r="J435" s="7" t="n">
        <f aca="false">IF(I435=1,D435*F435,0)</f>
        <v>19.8</v>
      </c>
      <c r="K435" s="7" t="n">
        <f aca="false">YEAR(E435)*100+MONTH(E435)</f>
        <v>201109</v>
      </c>
      <c r="L435" s="7" t="n">
        <f aca="false">IF(AND(A435&lt;&gt;A434,LEFT(A435,1)&lt;&gt;"C"),1,0)</f>
        <v>0</v>
      </c>
    </row>
    <row r="436" customFormat="false" ht="15" hidden="false" customHeight="false" outlineLevel="0" collapsed="false">
      <c r="A436" s="0" t="s">
        <v>622</v>
      </c>
      <c r="B436" s="0" t="s">
        <v>641</v>
      </c>
      <c r="C436" s="0" t="s">
        <v>642</v>
      </c>
      <c r="D436" s="0" t="n">
        <v>12</v>
      </c>
      <c r="E436" s="6" t="n">
        <v>40793.6298611111</v>
      </c>
      <c r="F436" s="0" t="n">
        <v>1.65</v>
      </c>
      <c r="G436" s="0" t="n">
        <v>12637</v>
      </c>
      <c r="H436" s="0" t="s">
        <v>43</v>
      </c>
      <c r="I436" s="7" t="n">
        <f aca="false">IF(AND(LEFT(A436,1)&lt;&gt;"C",D436&gt;0,F436&gt;0),1,0)</f>
        <v>1</v>
      </c>
      <c r="J436" s="7" t="n">
        <f aca="false">IF(I436=1,D436*F436,0)</f>
        <v>19.8</v>
      </c>
      <c r="K436" s="7" t="n">
        <f aca="false">YEAR(E436)*100+MONTH(E436)</f>
        <v>201109</v>
      </c>
      <c r="L436" s="7" t="n">
        <f aca="false">IF(AND(A436&lt;&gt;A435,LEFT(A436,1)&lt;&gt;"C"),1,0)</f>
        <v>0</v>
      </c>
    </row>
    <row r="437" customFormat="false" ht="15" hidden="false" customHeight="false" outlineLevel="0" collapsed="false">
      <c r="A437" s="0" t="s">
        <v>622</v>
      </c>
      <c r="B437" s="0" t="s">
        <v>138</v>
      </c>
      <c r="C437" s="0" t="s">
        <v>139</v>
      </c>
      <c r="D437" s="0" t="n">
        <v>6</v>
      </c>
      <c r="E437" s="6" t="n">
        <v>40793.6298611111</v>
      </c>
      <c r="F437" s="0" t="n">
        <v>2.08</v>
      </c>
      <c r="G437" s="0" t="n">
        <v>12637</v>
      </c>
      <c r="H437" s="0" t="s">
        <v>43</v>
      </c>
      <c r="I437" s="7" t="n">
        <f aca="false">IF(AND(LEFT(A437,1)&lt;&gt;"C",D437&gt;0,F437&gt;0),1,0)</f>
        <v>1</v>
      </c>
      <c r="J437" s="7" t="n">
        <f aca="false">IF(I437=1,D437*F437,0)</f>
        <v>12.48</v>
      </c>
      <c r="K437" s="7" t="n">
        <f aca="false">YEAR(E437)*100+MONTH(E437)</f>
        <v>201109</v>
      </c>
      <c r="L437" s="7" t="n">
        <f aca="false">IF(AND(A437&lt;&gt;A436,LEFT(A437,1)&lt;&gt;"C"),1,0)</f>
        <v>0</v>
      </c>
    </row>
    <row r="438" customFormat="false" ht="15" hidden="false" customHeight="false" outlineLevel="0" collapsed="false">
      <c r="A438" s="0" t="s">
        <v>622</v>
      </c>
      <c r="B438" s="0" t="s">
        <v>171</v>
      </c>
      <c r="C438" s="0" t="s">
        <v>172</v>
      </c>
      <c r="D438" s="0" t="n">
        <v>8</v>
      </c>
      <c r="E438" s="6" t="n">
        <v>40793.6298611111</v>
      </c>
      <c r="F438" s="0" t="n">
        <v>1.25</v>
      </c>
      <c r="G438" s="0" t="n">
        <v>12637</v>
      </c>
      <c r="H438" s="0" t="s">
        <v>43</v>
      </c>
      <c r="I438" s="7" t="n">
        <f aca="false">IF(AND(LEFT(A438,1)&lt;&gt;"C",D438&gt;0,F438&gt;0),1,0)</f>
        <v>1</v>
      </c>
      <c r="J438" s="7" t="n">
        <f aca="false">IF(I438=1,D438*F438,0)</f>
        <v>10</v>
      </c>
      <c r="K438" s="7" t="n">
        <f aca="false">YEAR(E438)*100+MONTH(E438)</f>
        <v>201109</v>
      </c>
      <c r="L438" s="7" t="n">
        <f aca="false">IF(AND(A438&lt;&gt;A437,LEFT(A438,1)&lt;&gt;"C"),1,0)</f>
        <v>0</v>
      </c>
    </row>
    <row r="439" customFormat="false" ht="15" hidden="false" customHeight="false" outlineLevel="0" collapsed="false">
      <c r="A439" s="0" t="s">
        <v>622</v>
      </c>
      <c r="B439" s="0" t="s">
        <v>93</v>
      </c>
      <c r="C439" s="0" t="s">
        <v>94</v>
      </c>
      <c r="D439" s="0" t="n">
        <v>4</v>
      </c>
      <c r="E439" s="6" t="n">
        <v>40793.6298611111</v>
      </c>
      <c r="F439" s="0" t="n">
        <v>4.15</v>
      </c>
      <c r="G439" s="0" t="n">
        <v>12637</v>
      </c>
      <c r="H439" s="0" t="s">
        <v>43</v>
      </c>
      <c r="I439" s="7" t="n">
        <f aca="false">IF(AND(LEFT(A439,1)&lt;&gt;"C",D439&gt;0,F439&gt;0),1,0)</f>
        <v>1</v>
      </c>
      <c r="J439" s="7" t="n">
        <f aca="false">IF(I439=1,D439*F439,0)</f>
        <v>16.6</v>
      </c>
      <c r="K439" s="7" t="n">
        <f aca="false">YEAR(E439)*100+MONTH(E439)</f>
        <v>201109</v>
      </c>
      <c r="L439" s="7" t="n">
        <f aca="false">IF(AND(A439&lt;&gt;A438,LEFT(A439,1)&lt;&gt;"C"),1,0)</f>
        <v>0</v>
      </c>
    </row>
    <row r="440" customFormat="false" ht="15" hidden="false" customHeight="false" outlineLevel="0" collapsed="false">
      <c r="A440" s="0" t="s">
        <v>622</v>
      </c>
      <c r="B440" s="0" t="s">
        <v>643</v>
      </c>
      <c r="C440" s="0" t="s">
        <v>644</v>
      </c>
      <c r="D440" s="0" t="n">
        <v>6</v>
      </c>
      <c r="E440" s="6" t="n">
        <v>40793.6298611111</v>
      </c>
      <c r="F440" s="0" t="n">
        <v>3.75</v>
      </c>
      <c r="G440" s="0" t="n">
        <v>12637</v>
      </c>
      <c r="H440" s="0" t="s">
        <v>43</v>
      </c>
      <c r="I440" s="7" t="n">
        <f aca="false">IF(AND(LEFT(A440,1)&lt;&gt;"C",D440&gt;0,F440&gt;0),1,0)</f>
        <v>1</v>
      </c>
      <c r="J440" s="7" t="n">
        <f aca="false">IF(I440=1,D440*F440,0)</f>
        <v>22.5</v>
      </c>
      <c r="K440" s="7" t="n">
        <f aca="false">YEAR(E440)*100+MONTH(E440)</f>
        <v>201109</v>
      </c>
      <c r="L440" s="7" t="n">
        <f aca="false">IF(AND(A440&lt;&gt;A439,LEFT(A440,1)&lt;&gt;"C"),1,0)</f>
        <v>0</v>
      </c>
    </row>
    <row r="441" customFormat="false" ht="15" hidden="false" customHeight="false" outlineLevel="0" collapsed="false">
      <c r="A441" s="0" t="s">
        <v>622</v>
      </c>
      <c r="B441" s="0" t="s">
        <v>56</v>
      </c>
      <c r="C441" s="0" t="s">
        <v>57</v>
      </c>
      <c r="D441" s="0" t="n">
        <v>10</v>
      </c>
      <c r="E441" s="6" t="n">
        <v>40793.6298611111</v>
      </c>
      <c r="F441" s="0" t="n">
        <v>1.65</v>
      </c>
      <c r="G441" s="0" t="n">
        <v>12637</v>
      </c>
      <c r="H441" s="0" t="s">
        <v>43</v>
      </c>
      <c r="I441" s="7" t="n">
        <f aca="false">IF(AND(LEFT(A441,1)&lt;&gt;"C",D441&gt;0,F441&gt;0),1,0)</f>
        <v>1</v>
      </c>
      <c r="J441" s="7" t="n">
        <f aca="false">IF(I441=1,D441*F441,0)</f>
        <v>16.5</v>
      </c>
      <c r="K441" s="7" t="n">
        <f aca="false">YEAR(E441)*100+MONTH(E441)</f>
        <v>201109</v>
      </c>
      <c r="L441" s="7" t="n">
        <f aca="false">IF(AND(A441&lt;&gt;A440,LEFT(A441,1)&lt;&gt;"C"),1,0)</f>
        <v>0</v>
      </c>
    </row>
    <row r="442" customFormat="false" ht="15" hidden="false" customHeight="false" outlineLevel="0" collapsed="false">
      <c r="A442" s="0" t="s">
        <v>622</v>
      </c>
      <c r="B442" s="0" t="s">
        <v>645</v>
      </c>
      <c r="C442" s="0" t="s">
        <v>646</v>
      </c>
      <c r="D442" s="0" t="n">
        <v>10</v>
      </c>
      <c r="E442" s="6" t="n">
        <v>40793.6298611111</v>
      </c>
      <c r="F442" s="0" t="n">
        <v>2.08</v>
      </c>
      <c r="G442" s="0" t="n">
        <v>12637</v>
      </c>
      <c r="H442" s="0" t="s">
        <v>43</v>
      </c>
      <c r="I442" s="7" t="n">
        <f aca="false">IF(AND(LEFT(A442,1)&lt;&gt;"C",D442&gt;0,F442&gt;0),1,0)</f>
        <v>1</v>
      </c>
      <c r="J442" s="7" t="n">
        <f aca="false">IF(I442=1,D442*F442,0)</f>
        <v>20.8</v>
      </c>
      <c r="K442" s="7" t="n">
        <f aca="false">YEAR(E442)*100+MONTH(E442)</f>
        <v>201109</v>
      </c>
      <c r="L442" s="7" t="n">
        <f aca="false">IF(AND(A442&lt;&gt;A441,LEFT(A442,1)&lt;&gt;"C"),1,0)</f>
        <v>0</v>
      </c>
    </row>
    <row r="443" customFormat="false" ht="15" hidden="false" customHeight="false" outlineLevel="0" collapsed="false">
      <c r="A443" s="0" t="s">
        <v>622</v>
      </c>
      <c r="B443" s="0" t="s">
        <v>647</v>
      </c>
      <c r="C443" s="0" t="s">
        <v>648</v>
      </c>
      <c r="D443" s="0" t="n">
        <v>8</v>
      </c>
      <c r="E443" s="6" t="n">
        <v>40793.6298611111</v>
      </c>
      <c r="F443" s="0" t="n">
        <v>4.25</v>
      </c>
      <c r="G443" s="0" t="n">
        <v>12637</v>
      </c>
      <c r="H443" s="0" t="s">
        <v>43</v>
      </c>
      <c r="I443" s="7" t="n">
        <f aca="false">IF(AND(LEFT(A443,1)&lt;&gt;"C",D443&gt;0,F443&gt;0),1,0)</f>
        <v>1</v>
      </c>
      <c r="J443" s="7" t="n">
        <f aca="false">IF(I443=1,D443*F443,0)</f>
        <v>34</v>
      </c>
      <c r="K443" s="7" t="n">
        <f aca="false">YEAR(E443)*100+MONTH(E443)</f>
        <v>201109</v>
      </c>
      <c r="L443" s="7" t="n">
        <f aca="false">IF(AND(A443&lt;&gt;A442,LEFT(A443,1)&lt;&gt;"C"),1,0)</f>
        <v>0</v>
      </c>
    </row>
    <row r="444" customFormat="false" ht="15" hidden="false" customHeight="false" outlineLevel="0" collapsed="false">
      <c r="A444" s="0" t="s">
        <v>622</v>
      </c>
      <c r="B444" s="0" t="s">
        <v>471</v>
      </c>
      <c r="C444" s="0" t="s">
        <v>472</v>
      </c>
      <c r="D444" s="0" t="n">
        <v>24</v>
      </c>
      <c r="E444" s="6" t="n">
        <v>40793.6298611111</v>
      </c>
      <c r="F444" s="0" t="n">
        <v>1.65</v>
      </c>
      <c r="G444" s="0" t="n">
        <v>12637</v>
      </c>
      <c r="H444" s="0" t="s">
        <v>43</v>
      </c>
      <c r="I444" s="7" t="n">
        <f aca="false">IF(AND(LEFT(A444,1)&lt;&gt;"C",D444&gt;0,F444&gt;0),1,0)</f>
        <v>1</v>
      </c>
      <c r="J444" s="7" t="n">
        <f aca="false">IF(I444=1,D444*F444,0)</f>
        <v>39.6</v>
      </c>
      <c r="K444" s="7" t="n">
        <f aca="false">YEAR(E444)*100+MONTH(E444)</f>
        <v>201109</v>
      </c>
      <c r="L444" s="7" t="n">
        <f aca="false">IF(AND(A444&lt;&gt;A443,LEFT(A444,1)&lt;&gt;"C"),1,0)</f>
        <v>0</v>
      </c>
    </row>
    <row r="445" customFormat="false" ht="15" hidden="false" customHeight="false" outlineLevel="0" collapsed="false">
      <c r="A445" s="0" t="s">
        <v>622</v>
      </c>
      <c r="B445" s="0" t="s">
        <v>76</v>
      </c>
      <c r="C445" s="0" t="s">
        <v>77</v>
      </c>
      <c r="D445" s="0" t="n">
        <v>12</v>
      </c>
      <c r="E445" s="6" t="n">
        <v>40793.6298611111</v>
      </c>
      <c r="F445" s="0" t="n">
        <v>1.95</v>
      </c>
      <c r="G445" s="0" t="n">
        <v>12637</v>
      </c>
      <c r="H445" s="0" t="s">
        <v>43</v>
      </c>
      <c r="I445" s="7" t="n">
        <f aca="false">IF(AND(LEFT(A445,1)&lt;&gt;"C",D445&gt;0,F445&gt;0),1,0)</f>
        <v>1</v>
      </c>
      <c r="J445" s="7" t="n">
        <f aca="false">IF(I445=1,D445*F445,0)</f>
        <v>23.4</v>
      </c>
      <c r="K445" s="7" t="n">
        <f aca="false">YEAR(E445)*100+MONTH(E445)</f>
        <v>201109</v>
      </c>
      <c r="L445" s="7" t="n">
        <f aca="false">IF(AND(A445&lt;&gt;A444,LEFT(A445,1)&lt;&gt;"C"),1,0)</f>
        <v>0</v>
      </c>
    </row>
    <row r="446" customFormat="false" ht="15" hidden="false" customHeight="false" outlineLevel="0" collapsed="false">
      <c r="A446" s="0" t="s">
        <v>622</v>
      </c>
      <c r="B446" s="0" t="s">
        <v>543</v>
      </c>
      <c r="C446" s="0" t="s">
        <v>544</v>
      </c>
      <c r="D446" s="0" t="n">
        <v>24</v>
      </c>
      <c r="E446" s="6" t="n">
        <v>40793.6298611111</v>
      </c>
      <c r="F446" s="0" t="n">
        <v>0.42</v>
      </c>
      <c r="G446" s="0" t="n">
        <v>12637</v>
      </c>
      <c r="H446" s="0" t="s">
        <v>43</v>
      </c>
      <c r="I446" s="7" t="n">
        <f aca="false">IF(AND(LEFT(A446,1)&lt;&gt;"C",D446&gt;0,F446&gt;0),1,0)</f>
        <v>1</v>
      </c>
      <c r="J446" s="7" t="n">
        <f aca="false">IF(I446=1,D446*F446,0)</f>
        <v>10.08</v>
      </c>
      <c r="K446" s="7" t="n">
        <f aca="false">YEAR(E446)*100+MONTH(E446)</f>
        <v>201109</v>
      </c>
      <c r="L446" s="7" t="n">
        <f aca="false">IF(AND(A446&lt;&gt;A445,LEFT(A446,1)&lt;&gt;"C"),1,0)</f>
        <v>0</v>
      </c>
    </row>
    <row r="447" customFormat="false" ht="15" hidden="false" customHeight="false" outlineLevel="0" collapsed="false">
      <c r="A447" s="0" t="s">
        <v>622</v>
      </c>
      <c r="B447" s="0" t="s">
        <v>649</v>
      </c>
      <c r="C447" s="0" t="s">
        <v>650</v>
      </c>
      <c r="D447" s="0" t="n">
        <v>12</v>
      </c>
      <c r="E447" s="6" t="n">
        <v>40793.6298611111</v>
      </c>
      <c r="F447" s="0" t="n">
        <v>0.39</v>
      </c>
      <c r="G447" s="0" t="n">
        <v>12637</v>
      </c>
      <c r="H447" s="0" t="s">
        <v>43</v>
      </c>
      <c r="I447" s="7" t="n">
        <f aca="false">IF(AND(LEFT(A447,1)&lt;&gt;"C",D447&gt;0,F447&gt;0),1,0)</f>
        <v>1</v>
      </c>
      <c r="J447" s="7" t="n">
        <f aca="false">IF(I447=1,D447*F447,0)</f>
        <v>4.68</v>
      </c>
      <c r="K447" s="7" t="n">
        <f aca="false">YEAR(E447)*100+MONTH(E447)</f>
        <v>201109</v>
      </c>
      <c r="L447" s="7" t="n">
        <f aca="false">IF(AND(A447&lt;&gt;A446,LEFT(A447,1)&lt;&gt;"C"),1,0)</f>
        <v>0</v>
      </c>
    </row>
    <row r="448" customFormat="false" ht="15" hidden="false" customHeight="false" outlineLevel="0" collapsed="false">
      <c r="A448" s="0" t="s">
        <v>622</v>
      </c>
      <c r="B448" s="0" t="s">
        <v>559</v>
      </c>
      <c r="C448" s="0" t="s">
        <v>560</v>
      </c>
      <c r="D448" s="0" t="n">
        <v>10</v>
      </c>
      <c r="E448" s="6" t="n">
        <v>40793.6298611111</v>
      </c>
      <c r="F448" s="0" t="n">
        <v>0.85</v>
      </c>
      <c r="G448" s="0" t="n">
        <v>12637</v>
      </c>
      <c r="H448" s="0" t="s">
        <v>43</v>
      </c>
      <c r="I448" s="7" t="n">
        <f aca="false">IF(AND(LEFT(A448,1)&lt;&gt;"C",D448&gt;0,F448&gt;0),1,0)</f>
        <v>1</v>
      </c>
      <c r="J448" s="7" t="n">
        <f aca="false">IF(I448=1,D448*F448,0)</f>
        <v>8.5</v>
      </c>
      <c r="K448" s="7" t="n">
        <f aca="false">YEAR(E448)*100+MONTH(E448)</f>
        <v>201109</v>
      </c>
      <c r="L448" s="7" t="n">
        <f aca="false">IF(AND(A448&lt;&gt;A447,LEFT(A448,1)&lt;&gt;"C"),1,0)</f>
        <v>0</v>
      </c>
    </row>
    <row r="449" customFormat="false" ht="15" hidden="false" customHeight="false" outlineLevel="0" collapsed="false">
      <c r="A449" s="0" t="s">
        <v>622</v>
      </c>
      <c r="B449" s="0" t="s">
        <v>651</v>
      </c>
      <c r="C449" s="0" t="s">
        <v>652</v>
      </c>
      <c r="D449" s="0" t="n">
        <v>10</v>
      </c>
      <c r="E449" s="6" t="n">
        <v>40793.6298611111</v>
      </c>
      <c r="F449" s="0" t="n">
        <v>1.65</v>
      </c>
      <c r="G449" s="0" t="n">
        <v>12637</v>
      </c>
      <c r="H449" s="0" t="s">
        <v>43</v>
      </c>
      <c r="I449" s="7" t="n">
        <f aca="false">IF(AND(LEFT(A449,1)&lt;&gt;"C",D449&gt;0,F449&gt;0),1,0)</f>
        <v>1</v>
      </c>
      <c r="J449" s="7" t="n">
        <f aca="false">IF(I449=1,D449*F449,0)</f>
        <v>16.5</v>
      </c>
      <c r="K449" s="7" t="n">
        <f aca="false">YEAR(E449)*100+MONTH(E449)</f>
        <v>201109</v>
      </c>
      <c r="L449" s="7" t="n">
        <f aca="false">IF(AND(A449&lt;&gt;A448,LEFT(A449,1)&lt;&gt;"C"),1,0)</f>
        <v>0</v>
      </c>
    </row>
    <row r="450" customFormat="false" ht="15" hidden="false" customHeight="false" outlineLevel="0" collapsed="false">
      <c r="A450" s="0" t="s">
        <v>622</v>
      </c>
      <c r="B450" s="0" t="s">
        <v>563</v>
      </c>
      <c r="C450" s="0" t="s">
        <v>564</v>
      </c>
      <c r="D450" s="0" t="n">
        <v>10</v>
      </c>
      <c r="E450" s="6" t="n">
        <v>40793.6298611111</v>
      </c>
      <c r="F450" s="0" t="n">
        <v>2.08</v>
      </c>
      <c r="G450" s="0" t="n">
        <v>12637</v>
      </c>
      <c r="H450" s="0" t="s">
        <v>43</v>
      </c>
      <c r="I450" s="7" t="n">
        <f aca="false">IF(AND(LEFT(A450,1)&lt;&gt;"C",D450&gt;0,F450&gt;0),1,0)</f>
        <v>1</v>
      </c>
      <c r="J450" s="7" t="n">
        <f aca="false">IF(I450=1,D450*F450,0)</f>
        <v>20.8</v>
      </c>
      <c r="K450" s="7" t="n">
        <f aca="false">YEAR(E450)*100+MONTH(E450)</f>
        <v>201109</v>
      </c>
      <c r="L450" s="7" t="n">
        <f aca="false">IF(AND(A450&lt;&gt;A449,LEFT(A450,1)&lt;&gt;"C"),1,0)</f>
        <v>0</v>
      </c>
    </row>
    <row r="451" customFormat="false" ht="15" hidden="false" customHeight="false" outlineLevel="0" collapsed="false">
      <c r="A451" s="0" t="s">
        <v>622</v>
      </c>
      <c r="B451" s="0" t="s">
        <v>183</v>
      </c>
      <c r="C451" s="0" t="s">
        <v>184</v>
      </c>
      <c r="D451" s="0" t="n">
        <v>12</v>
      </c>
      <c r="E451" s="6" t="n">
        <v>40793.6298611111</v>
      </c>
      <c r="F451" s="0" t="n">
        <v>0.42</v>
      </c>
      <c r="G451" s="0" t="n">
        <v>12637</v>
      </c>
      <c r="H451" s="0" t="s">
        <v>43</v>
      </c>
      <c r="I451" s="7" t="n">
        <f aca="false">IF(AND(LEFT(A451,1)&lt;&gt;"C",D451&gt;0,F451&gt;0),1,0)</f>
        <v>1</v>
      </c>
      <c r="J451" s="7" t="n">
        <f aca="false">IF(I451=1,D451*F451,0)</f>
        <v>5.04</v>
      </c>
      <c r="K451" s="7" t="n">
        <f aca="false">YEAR(E451)*100+MONTH(E451)</f>
        <v>201109</v>
      </c>
      <c r="L451" s="7" t="n">
        <f aca="false">IF(AND(A451&lt;&gt;A450,LEFT(A451,1)&lt;&gt;"C"),1,0)</f>
        <v>0</v>
      </c>
    </row>
    <row r="452" customFormat="false" ht="15" hidden="false" customHeight="false" outlineLevel="0" collapsed="false">
      <c r="A452" s="0" t="s">
        <v>622</v>
      </c>
      <c r="B452" s="0" t="s">
        <v>653</v>
      </c>
      <c r="C452" s="0" t="s">
        <v>654</v>
      </c>
      <c r="D452" s="0" t="n">
        <v>12</v>
      </c>
      <c r="E452" s="6" t="n">
        <v>40793.6298611111</v>
      </c>
      <c r="F452" s="0" t="n">
        <v>5.39</v>
      </c>
      <c r="G452" s="0" t="n">
        <v>12637</v>
      </c>
      <c r="H452" s="0" t="s">
        <v>43</v>
      </c>
      <c r="I452" s="7" t="n">
        <f aca="false">IF(AND(LEFT(A452,1)&lt;&gt;"C",D452&gt;0,F452&gt;0),1,0)</f>
        <v>1</v>
      </c>
      <c r="J452" s="7" t="n">
        <f aca="false">IF(I452=1,D452*F452,0)</f>
        <v>64.68</v>
      </c>
      <c r="K452" s="7" t="n">
        <f aca="false">YEAR(E452)*100+MONTH(E452)</f>
        <v>201109</v>
      </c>
      <c r="L452" s="7" t="n">
        <f aca="false">IF(AND(A452&lt;&gt;A451,LEFT(A452,1)&lt;&gt;"C"),1,0)</f>
        <v>0</v>
      </c>
    </row>
    <row r="453" customFormat="false" ht="15" hidden="false" customHeight="false" outlineLevel="0" collapsed="false">
      <c r="A453" s="0" t="s">
        <v>622</v>
      </c>
      <c r="B453" s="0" t="s">
        <v>89</v>
      </c>
      <c r="C453" s="0" t="s">
        <v>90</v>
      </c>
      <c r="D453" s="0" t="n">
        <v>4</v>
      </c>
      <c r="E453" s="6" t="n">
        <v>40793.6298611111</v>
      </c>
      <c r="F453" s="0" t="n">
        <v>4.15</v>
      </c>
      <c r="G453" s="0" t="n">
        <v>12637</v>
      </c>
      <c r="H453" s="0" t="s">
        <v>43</v>
      </c>
      <c r="I453" s="7" t="n">
        <f aca="false">IF(AND(LEFT(A453,1)&lt;&gt;"C",D453&gt;0,F453&gt;0),1,0)</f>
        <v>1</v>
      </c>
      <c r="J453" s="7" t="n">
        <f aca="false">IF(I453=1,D453*F453,0)</f>
        <v>16.6</v>
      </c>
      <c r="K453" s="7" t="n">
        <f aca="false">YEAR(E453)*100+MONTH(E453)</f>
        <v>201109</v>
      </c>
      <c r="L453" s="7" t="n">
        <f aca="false">IF(AND(A453&lt;&gt;A452,LEFT(A453,1)&lt;&gt;"C"),1,0)</f>
        <v>0</v>
      </c>
    </row>
    <row r="454" customFormat="false" ht="15" hidden="false" customHeight="false" outlineLevel="0" collapsed="false">
      <c r="A454" s="0" t="s">
        <v>622</v>
      </c>
      <c r="B454" s="0" t="s">
        <v>175</v>
      </c>
      <c r="C454" s="0" t="s">
        <v>176</v>
      </c>
      <c r="D454" s="0" t="n">
        <v>8</v>
      </c>
      <c r="E454" s="6" t="n">
        <v>40793.6298611111</v>
      </c>
      <c r="F454" s="0" t="n">
        <v>1.25</v>
      </c>
      <c r="G454" s="0" t="n">
        <v>12637</v>
      </c>
      <c r="H454" s="0" t="s">
        <v>43</v>
      </c>
      <c r="I454" s="7" t="n">
        <f aca="false">IF(AND(LEFT(A454,1)&lt;&gt;"C",D454&gt;0,F454&gt;0),1,0)</f>
        <v>1</v>
      </c>
      <c r="J454" s="7" t="n">
        <f aca="false">IF(I454=1,D454*F454,0)</f>
        <v>10</v>
      </c>
      <c r="K454" s="7" t="n">
        <f aca="false">YEAR(E454)*100+MONTH(E454)</f>
        <v>201109</v>
      </c>
      <c r="L454" s="7" t="n">
        <f aca="false">IF(AND(A454&lt;&gt;A453,LEFT(A454,1)&lt;&gt;"C"),1,0)</f>
        <v>0</v>
      </c>
    </row>
    <row r="455" customFormat="false" ht="15" hidden="false" customHeight="false" outlineLevel="0" collapsed="false">
      <c r="A455" s="0" t="s">
        <v>622</v>
      </c>
      <c r="B455" s="0" t="s">
        <v>372</v>
      </c>
      <c r="C455" s="0" t="s">
        <v>373</v>
      </c>
      <c r="D455" s="0" t="n">
        <v>12</v>
      </c>
      <c r="E455" s="6" t="n">
        <v>40793.6298611111</v>
      </c>
      <c r="F455" s="0" t="n">
        <v>1.25</v>
      </c>
      <c r="G455" s="0" t="n">
        <v>12637</v>
      </c>
      <c r="H455" s="0" t="s">
        <v>43</v>
      </c>
      <c r="I455" s="7" t="n">
        <f aca="false">IF(AND(LEFT(A455,1)&lt;&gt;"C",D455&gt;0,F455&gt;0),1,0)</f>
        <v>1</v>
      </c>
      <c r="J455" s="7" t="n">
        <f aca="false">IF(I455=1,D455*F455,0)</f>
        <v>15</v>
      </c>
      <c r="K455" s="7" t="n">
        <f aca="false">YEAR(E455)*100+MONTH(E455)</f>
        <v>201109</v>
      </c>
      <c r="L455" s="7" t="n">
        <f aca="false">IF(AND(A455&lt;&gt;A454,LEFT(A455,1)&lt;&gt;"C"),1,0)</f>
        <v>0</v>
      </c>
    </row>
    <row r="456" customFormat="false" ht="15" hidden="false" customHeight="false" outlineLevel="0" collapsed="false">
      <c r="A456" s="0" t="s">
        <v>622</v>
      </c>
      <c r="B456" s="0" t="s">
        <v>177</v>
      </c>
      <c r="C456" s="0" t="s">
        <v>178</v>
      </c>
      <c r="D456" s="0" t="n">
        <v>8</v>
      </c>
      <c r="E456" s="6" t="n">
        <v>40793.6298611111</v>
      </c>
      <c r="F456" s="0" t="n">
        <v>1.25</v>
      </c>
      <c r="G456" s="0" t="n">
        <v>12637</v>
      </c>
      <c r="H456" s="0" t="s">
        <v>43</v>
      </c>
      <c r="I456" s="7" t="n">
        <f aca="false">IF(AND(LEFT(A456,1)&lt;&gt;"C",D456&gt;0,F456&gt;0),1,0)</f>
        <v>1</v>
      </c>
      <c r="J456" s="7" t="n">
        <f aca="false">IF(I456=1,D456*F456,0)</f>
        <v>10</v>
      </c>
      <c r="K456" s="7" t="n">
        <f aca="false">YEAR(E456)*100+MONTH(E456)</f>
        <v>201109</v>
      </c>
      <c r="L456" s="7" t="n">
        <f aca="false">IF(AND(A456&lt;&gt;A455,LEFT(A456,1)&lt;&gt;"C"),1,0)</f>
        <v>0</v>
      </c>
    </row>
    <row r="457" customFormat="false" ht="15" hidden="false" customHeight="false" outlineLevel="0" collapsed="false">
      <c r="A457" s="0" t="s">
        <v>622</v>
      </c>
      <c r="B457" s="0" t="s">
        <v>416</v>
      </c>
      <c r="C457" s="0" t="s">
        <v>417</v>
      </c>
      <c r="D457" s="0" t="n">
        <v>36</v>
      </c>
      <c r="E457" s="6" t="n">
        <v>40793.6298611111</v>
      </c>
      <c r="F457" s="0" t="n">
        <v>0.65</v>
      </c>
      <c r="G457" s="0" t="n">
        <v>12637</v>
      </c>
      <c r="H457" s="0" t="s">
        <v>43</v>
      </c>
      <c r="I457" s="7" t="n">
        <f aca="false">IF(AND(LEFT(A457,1)&lt;&gt;"C",D457&gt;0,F457&gt;0),1,0)</f>
        <v>1</v>
      </c>
      <c r="J457" s="7" t="n">
        <f aca="false">IF(I457=1,D457*F457,0)</f>
        <v>23.4</v>
      </c>
      <c r="K457" s="7" t="n">
        <f aca="false">YEAR(E457)*100+MONTH(E457)</f>
        <v>201109</v>
      </c>
      <c r="L457" s="7" t="n">
        <f aca="false">IF(AND(A457&lt;&gt;A456,LEFT(A457,1)&lt;&gt;"C"),1,0)</f>
        <v>0</v>
      </c>
    </row>
    <row r="458" customFormat="false" ht="15" hidden="false" customHeight="false" outlineLevel="0" collapsed="false">
      <c r="A458" s="0" t="s">
        <v>622</v>
      </c>
      <c r="B458" s="0" t="s">
        <v>655</v>
      </c>
      <c r="C458" s="0" t="s">
        <v>656</v>
      </c>
      <c r="D458" s="0" t="n">
        <v>8</v>
      </c>
      <c r="E458" s="6" t="n">
        <v>40793.6298611111</v>
      </c>
      <c r="F458" s="0" t="n">
        <v>3.75</v>
      </c>
      <c r="G458" s="0" t="n">
        <v>12637</v>
      </c>
      <c r="H458" s="0" t="s">
        <v>43</v>
      </c>
      <c r="I458" s="7" t="n">
        <f aca="false">IF(AND(LEFT(A458,1)&lt;&gt;"C",D458&gt;0,F458&gt;0),1,0)</f>
        <v>1</v>
      </c>
      <c r="J458" s="7" t="n">
        <f aca="false">IF(I458=1,D458*F458,0)</f>
        <v>30</v>
      </c>
      <c r="K458" s="7" t="n">
        <f aca="false">YEAR(E458)*100+MONTH(E458)</f>
        <v>201109</v>
      </c>
      <c r="L458" s="7" t="n">
        <f aca="false">IF(AND(A458&lt;&gt;A457,LEFT(A458,1)&lt;&gt;"C"),1,0)</f>
        <v>0</v>
      </c>
    </row>
    <row r="459" customFormat="false" ht="15" hidden="false" customHeight="false" outlineLevel="0" collapsed="false">
      <c r="A459" s="0" t="s">
        <v>622</v>
      </c>
      <c r="B459" s="0" t="s">
        <v>72</v>
      </c>
      <c r="C459" s="0" t="s">
        <v>73</v>
      </c>
      <c r="D459" s="0" t="n">
        <v>12</v>
      </c>
      <c r="E459" s="6" t="n">
        <v>40793.6298611111</v>
      </c>
      <c r="F459" s="0" t="n">
        <v>1.95</v>
      </c>
      <c r="G459" s="0" t="n">
        <v>12637</v>
      </c>
      <c r="H459" s="0" t="s">
        <v>43</v>
      </c>
      <c r="I459" s="7" t="n">
        <f aca="false">IF(AND(LEFT(A459,1)&lt;&gt;"C",D459&gt;0,F459&gt;0),1,0)</f>
        <v>1</v>
      </c>
      <c r="J459" s="7" t="n">
        <f aca="false">IF(I459=1,D459*F459,0)</f>
        <v>23.4</v>
      </c>
      <c r="K459" s="7" t="n">
        <f aca="false">YEAR(E459)*100+MONTH(E459)</f>
        <v>201109</v>
      </c>
      <c r="L459" s="7" t="n">
        <f aca="false">IF(AND(A459&lt;&gt;A458,LEFT(A459,1)&lt;&gt;"C"),1,0)</f>
        <v>0</v>
      </c>
    </row>
    <row r="460" customFormat="false" ht="15" hidden="false" customHeight="false" outlineLevel="0" collapsed="false">
      <c r="A460" s="0" t="s">
        <v>622</v>
      </c>
      <c r="B460" s="0" t="s">
        <v>657</v>
      </c>
      <c r="C460" s="0" t="s">
        <v>658</v>
      </c>
      <c r="D460" s="0" t="n">
        <v>12</v>
      </c>
      <c r="E460" s="6" t="n">
        <v>40793.6298611111</v>
      </c>
      <c r="F460" s="0" t="n">
        <v>1.25</v>
      </c>
      <c r="G460" s="0" t="n">
        <v>12637</v>
      </c>
      <c r="H460" s="0" t="s">
        <v>43</v>
      </c>
      <c r="I460" s="7" t="n">
        <f aca="false">IF(AND(LEFT(A460,1)&lt;&gt;"C",D460&gt;0,F460&gt;0),1,0)</f>
        <v>1</v>
      </c>
      <c r="J460" s="7" t="n">
        <f aca="false">IF(I460=1,D460*F460,0)</f>
        <v>15</v>
      </c>
      <c r="K460" s="7" t="n">
        <f aca="false">YEAR(E460)*100+MONTH(E460)</f>
        <v>201109</v>
      </c>
      <c r="L460" s="7" t="n">
        <f aca="false">IF(AND(A460&lt;&gt;A459,LEFT(A460,1)&lt;&gt;"C"),1,0)</f>
        <v>0</v>
      </c>
    </row>
    <row r="461" customFormat="false" ht="15" hidden="false" customHeight="false" outlineLevel="0" collapsed="false">
      <c r="A461" s="0" t="s">
        <v>622</v>
      </c>
      <c r="B461" s="0" t="s">
        <v>659</v>
      </c>
      <c r="C461" s="0" t="s">
        <v>660</v>
      </c>
      <c r="D461" s="0" t="n">
        <v>6</v>
      </c>
      <c r="E461" s="6" t="n">
        <v>40793.6298611111</v>
      </c>
      <c r="F461" s="0" t="n">
        <v>4.15</v>
      </c>
      <c r="G461" s="0" t="n">
        <v>12637</v>
      </c>
      <c r="H461" s="0" t="s">
        <v>43</v>
      </c>
      <c r="I461" s="7" t="n">
        <f aca="false">IF(AND(LEFT(A461,1)&lt;&gt;"C",D461&gt;0,F461&gt;0),1,0)</f>
        <v>1</v>
      </c>
      <c r="J461" s="7" t="n">
        <f aca="false">IF(I461=1,D461*F461,0)</f>
        <v>24.9</v>
      </c>
      <c r="K461" s="7" t="n">
        <f aca="false">YEAR(E461)*100+MONTH(E461)</f>
        <v>201109</v>
      </c>
      <c r="L461" s="7" t="n">
        <f aca="false">IF(AND(A461&lt;&gt;A460,LEFT(A461,1)&lt;&gt;"C"),1,0)</f>
        <v>0</v>
      </c>
    </row>
    <row r="462" customFormat="false" ht="15" hidden="false" customHeight="false" outlineLevel="0" collapsed="false">
      <c r="A462" s="0" t="s">
        <v>622</v>
      </c>
      <c r="B462" s="0" t="s">
        <v>355</v>
      </c>
      <c r="C462" s="0" t="s">
        <v>356</v>
      </c>
      <c r="D462" s="0" t="n">
        <v>10</v>
      </c>
      <c r="E462" s="6" t="n">
        <v>40793.6298611111</v>
      </c>
      <c r="F462" s="0" t="n">
        <v>1.65</v>
      </c>
      <c r="G462" s="0" t="n">
        <v>12637</v>
      </c>
      <c r="H462" s="0" t="s">
        <v>43</v>
      </c>
      <c r="I462" s="7" t="n">
        <f aca="false">IF(AND(LEFT(A462,1)&lt;&gt;"C",D462&gt;0,F462&gt;0),1,0)</f>
        <v>1</v>
      </c>
      <c r="J462" s="7" t="n">
        <f aca="false">IF(I462=1,D462*F462,0)</f>
        <v>16.5</v>
      </c>
      <c r="K462" s="7" t="n">
        <f aca="false">YEAR(E462)*100+MONTH(E462)</f>
        <v>201109</v>
      </c>
      <c r="L462" s="7" t="n">
        <f aca="false">IF(AND(A462&lt;&gt;A461,LEFT(A462,1)&lt;&gt;"C"),1,0)</f>
        <v>0</v>
      </c>
    </row>
    <row r="463" customFormat="false" ht="15" hidden="false" customHeight="false" outlineLevel="0" collapsed="false">
      <c r="A463" s="0" t="s">
        <v>622</v>
      </c>
      <c r="B463" s="0" t="s">
        <v>168</v>
      </c>
      <c r="C463" s="0" t="s">
        <v>169</v>
      </c>
      <c r="D463" s="0" t="n">
        <v>10</v>
      </c>
      <c r="E463" s="6" t="n">
        <v>40793.6298611111</v>
      </c>
      <c r="F463" s="0" t="n">
        <v>0.85</v>
      </c>
      <c r="G463" s="0" t="n">
        <v>12637</v>
      </c>
      <c r="H463" s="0" t="s">
        <v>43</v>
      </c>
      <c r="I463" s="7" t="n">
        <f aca="false">IF(AND(LEFT(A463,1)&lt;&gt;"C",D463&gt;0,F463&gt;0),1,0)</f>
        <v>1</v>
      </c>
      <c r="J463" s="7" t="n">
        <f aca="false">IF(I463=1,D463*F463,0)</f>
        <v>8.5</v>
      </c>
      <c r="K463" s="7" t="n">
        <f aca="false">YEAR(E463)*100+MONTH(E463)</f>
        <v>201109</v>
      </c>
      <c r="L463" s="7" t="n">
        <f aca="false">IF(AND(A463&lt;&gt;A462,LEFT(A463,1)&lt;&gt;"C"),1,0)</f>
        <v>0</v>
      </c>
    </row>
    <row r="464" customFormat="false" ht="15" hidden="false" customHeight="false" outlineLevel="0" collapsed="false">
      <c r="A464" s="0" t="s">
        <v>622</v>
      </c>
      <c r="B464" s="0" t="s">
        <v>661</v>
      </c>
      <c r="C464" s="0" t="s">
        <v>662</v>
      </c>
      <c r="D464" s="0" t="n">
        <v>2</v>
      </c>
      <c r="E464" s="6" t="n">
        <v>40793.6298611111</v>
      </c>
      <c r="F464" s="0" t="n">
        <v>9.95</v>
      </c>
      <c r="G464" s="0" t="n">
        <v>12637</v>
      </c>
      <c r="H464" s="0" t="s">
        <v>43</v>
      </c>
      <c r="I464" s="7" t="n">
        <f aca="false">IF(AND(LEFT(A464,1)&lt;&gt;"C",D464&gt;0,F464&gt;0),1,0)</f>
        <v>1</v>
      </c>
      <c r="J464" s="7" t="n">
        <f aca="false">IF(I464=1,D464*F464,0)</f>
        <v>19.9</v>
      </c>
      <c r="K464" s="7" t="n">
        <f aca="false">YEAR(E464)*100+MONTH(E464)</f>
        <v>201109</v>
      </c>
      <c r="L464" s="7" t="n">
        <f aca="false">IF(AND(A464&lt;&gt;A463,LEFT(A464,1)&lt;&gt;"C"),1,0)</f>
        <v>0</v>
      </c>
    </row>
    <row r="465" customFormat="false" ht="15" hidden="false" customHeight="false" outlineLevel="0" collapsed="false">
      <c r="A465" s="0" t="s">
        <v>622</v>
      </c>
      <c r="B465" s="0" t="s">
        <v>663</v>
      </c>
      <c r="C465" s="0" t="s">
        <v>664</v>
      </c>
      <c r="D465" s="0" t="n">
        <v>12</v>
      </c>
      <c r="E465" s="6" t="n">
        <v>40793.6298611111</v>
      </c>
      <c r="F465" s="0" t="n">
        <v>1.65</v>
      </c>
      <c r="G465" s="0" t="n">
        <v>12637</v>
      </c>
      <c r="H465" s="0" t="s">
        <v>43</v>
      </c>
      <c r="I465" s="7" t="n">
        <f aca="false">IF(AND(LEFT(A465,1)&lt;&gt;"C",D465&gt;0,F465&gt;0),1,0)</f>
        <v>1</v>
      </c>
      <c r="J465" s="7" t="n">
        <f aca="false">IF(I465=1,D465*F465,0)</f>
        <v>19.8</v>
      </c>
      <c r="K465" s="7" t="n">
        <f aca="false">YEAR(E465)*100+MONTH(E465)</f>
        <v>201109</v>
      </c>
      <c r="L465" s="7" t="n">
        <f aca="false">IF(AND(A465&lt;&gt;A464,LEFT(A465,1)&lt;&gt;"C"),1,0)</f>
        <v>0</v>
      </c>
    </row>
    <row r="466" customFormat="false" ht="15" hidden="false" customHeight="false" outlineLevel="0" collapsed="false">
      <c r="A466" s="0" t="s">
        <v>622</v>
      </c>
      <c r="B466" s="0" t="s">
        <v>277</v>
      </c>
      <c r="C466" s="0" t="s">
        <v>278</v>
      </c>
      <c r="D466" s="0" t="n">
        <v>12</v>
      </c>
      <c r="E466" s="6" t="n">
        <v>40793.6298611111</v>
      </c>
      <c r="F466" s="0" t="n">
        <v>1.65</v>
      </c>
      <c r="G466" s="0" t="n">
        <v>12637</v>
      </c>
      <c r="H466" s="0" t="s">
        <v>43</v>
      </c>
      <c r="I466" s="7" t="n">
        <f aca="false">IF(AND(LEFT(A466,1)&lt;&gt;"C",D466&gt;0,F466&gt;0),1,0)</f>
        <v>1</v>
      </c>
      <c r="J466" s="7" t="n">
        <f aca="false">IF(I466=1,D466*F466,0)</f>
        <v>19.8</v>
      </c>
      <c r="K466" s="7" t="n">
        <f aca="false">YEAR(E466)*100+MONTH(E466)</f>
        <v>201109</v>
      </c>
      <c r="L466" s="7" t="n">
        <f aca="false">IF(AND(A466&lt;&gt;A465,LEFT(A466,1)&lt;&gt;"C"),1,0)</f>
        <v>0</v>
      </c>
    </row>
    <row r="467" customFormat="false" ht="15" hidden="false" customHeight="false" outlineLevel="0" collapsed="false">
      <c r="A467" s="0" t="s">
        <v>622</v>
      </c>
      <c r="B467" s="0" t="s">
        <v>297</v>
      </c>
      <c r="C467" s="0" t="s">
        <v>298</v>
      </c>
      <c r="D467" s="0" t="n">
        <v>12</v>
      </c>
      <c r="E467" s="6" t="n">
        <v>40793.6298611111</v>
      </c>
      <c r="F467" s="0" t="n">
        <v>3.75</v>
      </c>
      <c r="G467" s="0" t="n">
        <v>12637</v>
      </c>
      <c r="H467" s="0" t="s">
        <v>43</v>
      </c>
      <c r="I467" s="7" t="n">
        <f aca="false">IF(AND(LEFT(A467,1)&lt;&gt;"C",D467&gt;0,F467&gt;0),1,0)</f>
        <v>1</v>
      </c>
      <c r="J467" s="7" t="n">
        <f aca="false">IF(I467=1,D467*F467,0)</f>
        <v>45</v>
      </c>
      <c r="K467" s="7" t="n">
        <f aca="false">YEAR(E467)*100+MONTH(E467)</f>
        <v>201109</v>
      </c>
      <c r="L467" s="7" t="n">
        <f aca="false">IF(AND(A467&lt;&gt;A466,LEFT(A467,1)&lt;&gt;"C"),1,0)</f>
        <v>0</v>
      </c>
    </row>
    <row r="468" customFormat="false" ht="15" hidden="false" customHeight="false" outlineLevel="0" collapsed="false">
      <c r="A468" s="0" t="s">
        <v>622</v>
      </c>
      <c r="B468" s="0" t="s">
        <v>320</v>
      </c>
      <c r="C468" s="0" t="s">
        <v>321</v>
      </c>
      <c r="D468" s="0" t="n">
        <v>12</v>
      </c>
      <c r="E468" s="6" t="n">
        <v>40793.6298611111</v>
      </c>
      <c r="F468" s="0" t="n">
        <v>3.75</v>
      </c>
      <c r="G468" s="0" t="n">
        <v>12637</v>
      </c>
      <c r="H468" s="0" t="s">
        <v>43</v>
      </c>
      <c r="I468" s="7" t="n">
        <f aca="false">IF(AND(LEFT(A468,1)&lt;&gt;"C",D468&gt;0,F468&gt;0),1,0)</f>
        <v>1</v>
      </c>
      <c r="J468" s="7" t="n">
        <f aca="false">IF(I468=1,D468*F468,0)</f>
        <v>45</v>
      </c>
      <c r="K468" s="7" t="n">
        <f aca="false">YEAR(E468)*100+MONTH(E468)</f>
        <v>201109</v>
      </c>
      <c r="L468" s="7" t="n">
        <f aca="false">IF(AND(A468&lt;&gt;A467,LEFT(A468,1)&lt;&gt;"C"),1,0)</f>
        <v>0</v>
      </c>
    </row>
    <row r="469" customFormat="false" ht="15" hidden="false" customHeight="false" outlineLevel="0" collapsed="false">
      <c r="A469" s="0" t="s">
        <v>622</v>
      </c>
      <c r="B469" s="0" t="s">
        <v>318</v>
      </c>
      <c r="C469" s="0" t="s">
        <v>319</v>
      </c>
      <c r="D469" s="0" t="n">
        <v>12</v>
      </c>
      <c r="E469" s="6" t="n">
        <v>40793.6298611111</v>
      </c>
      <c r="F469" s="0" t="n">
        <v>3.75</v>
      </c>
      <c r="G469" s="0" t="n">
        <v>12637</v>
      </c>
      <c r="H469" s="0" t="s">
        <v>43</v>
      </c>
      <c r="I469" s="7" t="n">
        <f aca="false">IF(AND(LEFT(A469,1)&lt;&gt;"C",D469&gt;0,F469&gt;0),1,0)</f>
        <v>1</v>
      </c>
      <c r="J469" s="7" t="n">
        <f aca="false">IF(I469=1,D469*F469,0)</f>
        <v>45</v>
      </c>
      <c r="K469" s="7" t="n">
        <f aca="false">YEAR(E469)*100+MONTH(E469)</f>
        <v>201109</v>
      </c>
      <c r="L469" s="7" t="n">
        <f aca="false">IF(AND(A469&lt;&gt;A468,LEFT(A469,1)&lt;&gt;"C"),1,0)</f>
        <v>0</v>
      </c>
    </row>
    <row r="470" customFormat="false" ht="15" hidden="false" customHeight="false" outlineLevel="0" collapsed="false">
      <c r="A470" s="0" t="s">
        <v>622</v>
      </c>
      <c r="B470" s="0" t="s">
        <v>299</v>
      </c>
      <c r="C470" s="0" t="s">
        <v>300</v>
      </c>
      <c r="D470" s="0" t="n">
        <v>8</v>
      </c>
      <c r="E470" s="6" t="n">
        <v>40793.6298611111</v>
      </c>
      <c r="F470" s="0" t="n">
        <v>3.75</v>
      </c>
      <c r="G470" s="0" t="n">
        <v>12637</v>
      </c>
      <c r="H470" s="0" t="s">
        <v>43</v>
      </c>
      <c r="I470" s="7" t="n">
        <f aca="false">IF(AND(LEFT(A470,1)&lt;&gt;"C",D470&gt;0,F470&gt;0),1,0)</f>
        <v>1</v>
      </c>
      <c r="J470" s="7" t="n">
        <f aca="false">IF(I470=1,D470*F470,0)</f>
        <v>30</v>
      </c>
      <c r="K470" s="7" t="n">
        <f aca="false">YEAR(E470)*100+MONTH(E470)</f>
        <v>201109</v>
      </c>
      <c r="L470" s="7" t="n">
        <f aca="false">IF(AND(A470&lt;&gt;A469,LEFT(A470,1)&lt;&gt;"C"),1,0)</f>
        <v>0</v>
      </c>
    </row>
    <row r="471" customFormat="false" ht="15" hidden="false" customHeight="false" outlineLevel="0" collapsed="false">
      <c r="A471" s="0" t="s">
        <v>622</v>
      </c>
      <c r="B471" s="0" t="s">
        <v>322</v>
      </c>
      <c r="C471" s="0" t="s">
        <v>323</v>
      </c>
      <c r="D471" s="0" t="n">
        <v>8</v>
      </c>
      <c r="E471" s="6" t="n">
        <v>40793.6298611111</v>
      </c>
      <c r="F471" s="0" t="n">
        <v>3.75</v>
      </c>
      <c r="G471" s="0" t="n">
        <v>12637</v>
      </c>
      <c r="H471" s="0" t="s">
        <v>43</v>
      </c>
      <c r="I471" s="7" t="n">
        <f aca="false">IF(AND(LEFT(A471,1)&lt;&gt;"C",D471&gt;0,F471&gt;0),1,0)</f>
        <v>1</v>
      </c>
      <c r="J471" s="7" t="n">
        <f aca="false">IF(I471=1,D471*F471,0)</f>
        <v>30</v>
      </c>
      <c r="K471" s="7" t="n">
        <f aca="false">YEAR(E471)*100+MONTH(E471)</f>
        <v>201109</v>
      </c>
      <c r="L471" s="7" t="n">
        <f aca="false">IF(AND(A471&lt;&gt;A470,LEFT(A471,1)&lt;&gt;"C"),1,0)</f>
        <v>0</v>
      </c>
    </row>
    <row r="472" customFormat="false" ht="15" hidden="false" customHeight="false" outlineLevel="0" collapsed="false">
      <c r="A472" s="0" t="s">
        <v>622</v>
      </c>
      <c r="B472" s="0" t="s">
        <v>665</v>
      </c>
      <c r="C472" s="0" t="s">
        <v>666</v>
      </c>
      <c r="D472" s="0" t="n">
        <v>25</v>
      </c>
      <c r="E472" s="6" t="n">
        <v>40793.6298611111</v>
      </c>
      <c r="F472" s="0" t="n">
        <v>0.42</v>
      </c>
      <c r="G472" s="0" t="n">
        <v>12637</v>
      </c>
      <c r="H472" s="0" t="s">
        <v>43</v>
      </c>
      <c r="I472" s="7" t="n">
        <f aca="false">IF(AND(LEFT(A472,1)&lt;&gt;"C",D472&gt;0,F472&gt;0),1,0)</f>
        <v>1</v>
      </c>
      <c r="J472" s="7" t="n">
        <f aca="false">IF(I472=1,D472*F472,0)</f>
        <v>10.5</v>
      </c>
      <c r="K472" s="7" t="n">
        <f aca="false">YEAR(E472)*100+MONTH(E472)</f>
        <v>201109</v>
      </c>
      <c r="L472" s="7" t="n">
        <f aca="false">IF(AND(A472&lt;&gt;A471,LEFT(A472,1)&lt;&gt;"C"),1,0)</f>
        <v>0</v>
      </c>
    </row>
    <row r="473" customFormat="false" ht="15" hidden="false" customHeight="false" outlineLevel="0" collapsed="false">
      <c r="A473" s="0" t="s">
        <v>622</v>
      </c>
      <c r="B473" s="0" t="s">
        <v>463</v>
      </c>
      <c r="C473" s="0" t="s">
        <v>464</v>
      </c>
      <c r="D473" s="0" t="n">
        <v>6</v>
      </c>
      <c r="E473" s="6" t="n">
        <v>40793.6298611111</v>
      </c>
      <c r="F473" s="0" t="n">
        <v>7.95</v>
      </c>
      <c r="G473" s="0" t="n">
        <v>12637</v>
      </c>
      <c r="H473" s="0" t="s">
        <v>43</v>
      </c>
      <c r="I473" s="7" t="n">
        <f aca="false">IF(AND(LEFT(A473,1)&lt;&gt;"C",D473&gt;0,F473&gt;0),1,0)</f>
        <v>1</v>
      </c>
      <c r="J473" s="7" t="n">
        <f aca="false">IF(I473=1,D473*F473,0)</f>
        <v>47.7</v>
      </c>
      <c r="K473" s="7" t="n">
        <f aca="false">YEAR(E473)*100+MONTH(E473)</f>
        <v>201109</v>
      </c>
      <c r="L473" s="7" t="n">
        <f aca="false">IF(AND(A473&lt;&gt;A472,LEFT(A473,1)&lt;&gt;"C"),1,0)</f>
        <v>0</v>
      </c>
    </row>
    <row r="474" customFormat="false" ht="15" hidden="false" customHeight="false" outlineLevel="0" collapsed="false">
      <c r="A474" s="0" t="s">
        <v>622</v>
      </c>
      <c r="B474" s="0" t="s">
        <v>133</v>
      </c>
      <c r="C474" s="0" t="s">
        <v>134</v>
      </c>
      <c r="D474" s="0" t="n">
        <v>12</v>
      </c>
      <c r="E474" s="6" t="n">
        <v>40793.6298611111</v>
      </c>
      <c r="F474" s="0" t="n">
        <v>3.25</v>
      </c>
      <c r="G474" s="0" t="n">
        <v>12637</v>
      </c>
      <c r="H474" s="0" t="s">
        <v>43</v>
      </c>
      <c r="I474" s="7" t="n">
        <f aca="false">IF(AND(LEFT(A474,1)&lt;&gt;"C",D474&gt;0,F474&gt;0),1,0)</f>
        <v>1</v>
      </c>
      <c r="J474" s="7" t="n">
        <f aca="false">IF(I474=1,D474*F474,0)</f>
        <v>39</v>
      </c>
      <c r="K474" s="7" t="n">
        <f aca="false">YEAR(E474)*100+MONTH(E474)</f>
        <v>201109</v>
      </c>
      <c r="L474" s="7" t="n">
        <f aca="false">IF(AND(A474&lt;&gt;A473,LEFT(A474,1)&lt;&gt;"C"),1,0)</f>
        <v>0</v>
      </c>
    </row>
    <row r="475" customFormat="false" ht="15" hidden="false" customHeight="false" outlineLevel="0" collapsed="false">
      <c r="A475" s="0" t="s">
        <v>622</v>
      </c>
      <c r="B475" s="0" t="s">
        <v>667</v>
      </c>
      <c r="C475" s="0" t="s">
        <v>668</v>
      </c>
      <c r="D475" s="0" t="n">
        <v>10</v>
      </c>
      <c r="E475" s="6" t="n">
        <v>40793.6298611111</v>
      </c>
      <c r="F475" s="0" t="n">
        <v>0.85</v>
      </c>
      <c r="G475" s="0" t="n">
        <v>12637</v>
      </c>
      <c r="H475" s="0" t="s">
        <v>43</v>
      </c>
      <c r="I475" s="7" t="n">
        <f aca="false">IF(AND(LEFT(A475,1)&lt;&gt;"C",D475&gt;0,F475&gt;0),1,0)</f>
        <v>1</v>
      </c>
      <c r="J475" s="7" t="n">
        <f aca="false">IF(I475=1,D475*F475,0)</f>
        <v>8.5</v>
      </c>
      <c r="K475" s="7" t="n">
        <f aca="false">YEAR(E475)*100+MONTH(E475)</f>
        <v>201109</v>
      </c>
      <c r="L475" s="7" t="n">
        <f aca="false">IF(AND(A475&lt;&gt;A474,LEFT(A475,1)&lt;&gt;"C"),1,0)</f>
        <v>0</v>
      </c>
    </row>
    <row r="476" customFormat="false" ht="15" hidden="false" customHeight="false" outlineLevel="0" collapsed="false">
      <c r="A476" s="0" t="s">
        <v>622</v>
      </c>
      <c r="B476" s="0" t="s">
        <v>197</v>
      </c>
      <c r="C476" s="0" t="s">
        <v>198</v>
      </c>
      <c r="D476" s="0" t="n">
        <v>12</v>
      </c>
      <c r="E476" s="6" t="n">
        <v>40793.6298611111</v>
      </c>
      <c r="F476" s="0" t="n">
        <v>0.85</v>
      </c>
      <c r="G476" s="0" t="n">
        <v>12637</v>
      </c>
      <c r="H476" s="0" t="s">
        <v>43</v>
      </c>
      <c r="I476" s="7" t="n">
        <f aca="false">IF(AND(LEFT(A476,1)&lt;&gt;"C",D476&gt;0,F476&gt;0),1,0)</f>
        <v>1</v>
      </c>
      <c r="J476" s="7" t="n">
        <f aca="false">IF(I476=1,D476*F476,0)</f>
        <v>10.2</v>
      </c>
      <c r="K476" s="7" t="n">
        <f aca="false">YEAR(E476)*100+MONTH(E476)</f>
        <v>201109</v>
      </c>
      <c r="L476" s="7" t="n">
        <f aca="false">IF(AND(A476&lt;&gt;A475,LEFT(A476,1)&lt;&gt;"C"),1,0)</f>
        <v>0</v>
      </c>
    </row>
    <row r="477" customFormat="false" ht="15" hidden="false" customHeight="false" outlineLevel="0" collapsed="false">
      <c r="A477" s="0" t="s">
        <v>622</v>
      </c>
      <c r="B477" s="0" t="s">
        <v>151</v>
      </c>
      <c r="C477" s="0" t="s">
        <v>152</v>
      </c>
      <c r="D477" s="0" t="n">
        <v>12</v>
      </c>
      <c r="E477" s="6" t="n">
        <v>40793.6298611111</v>
      </c>
      <c r="F477" s="0" t="n">
        <v>0.85</v>
      </c>
      <c r="G477" s="0" t="n">
        <v>12637</v>
      </c>
      <c r="H477" s="0" t="s">
        <v>43</v>
      </c>
      <c r="I477" s="7" t="n">
        <f aca="false">IF(AND(LEFT(A477,1)&lt;&gt;"C",D477&gt;0,F477&gt;0),1,0)</f>
        <v>1</v>
      </c>
      <c r="J477" s="7" t="n">
        <f aca="false">IF(I477=1,D477*F477,0)</f>
        <v>10.2</v>
      </c>
      <c r="K477" s="7" t="n">
        <f aca="false">YEAR(E477)*100+MONTH(E477)</f>
        <v>201109</v>
      </c>
      <c r="L477" s="7" t="n">
        <f aca="false">IF(AND(A477&lt;&gt;A476,LEFT(A477,1)&lt;&gt;"C"),1,0)</f>
        <v>0</v>
      </c>
    </row>
    <row r="478" customFormat="false" ht="15" hidden="false" customHeight="false" outlineLevel="0" collapsed="false">
      <c r="A478" s="0" t="s">
        <v>622</v>
      </c>
      <c r="B478" s="0" t="s">
        <v>533</v>
      </c>
      <c r="C478" s="0" t="s">
        <v>534</v>
      </c>
      <c r="D478" s="0" t="n">
        <v>16</v>
      </c>
      <c r="E478" s="6" t="n">
        <v>40793.6298611111</v>
      </c>
      <c r="F478" s="0" t="n">
        <v>1.25</v>
      </c>
      <c r="G478" s="0" t="n">
        <v>12637</v>
      </c>
      <c r="H478" s="0" t="s">
        <v>43</v>
      </c>
      <c r="I478" s="7" t="n">
        <f aca="false">IF(AND(LEFT(A478,1)&lt;&gt;"C",D478&gt;0,F478&gt;0),1,0)</f>
        <v>1</v>
      </c>
      <c r="J478" s="7" t="n">
        <f aca="false">IF(I478=1,D478*F478,0)</f>
        <v>20</v>
      </c>
      <c r="K478" s="7" t="n">
        <f aca="false">YEAR(E478)*100+MONTH(E478)</f>
        <v>201109</v>
      </c>
      <c r="L478" s="7" t="n">
        <f aca="false">IF(AND(A478&lt;&gt;A477,LEFT(A478,1)&lt;&gt;"C"),1,0)</f>
        <v>0</v>
      </c>
    </row>
    <row r="479" customFormat="false" ht="15" hidden="false" customHeight="false" outlineLevel="0" collapsed="false">
      <c r="A479" s="0" t="s">
        <v>622</v>
      </c>
      <c r="B479" s="0" t="s">
        <v>193</v>
      </c>
      <c r="C479" s="0" t="s">
        <v>194</v>
      </c>
      <c r="D479" s="0" t="n">
        <v>12</v>
      </c>
      <c r="E479" s="6" t="n">
        <v>40793.6298611111</v>
      </c>
      <c r="F479" s="0" t="n">
        <v>0.65</v>
      </c>
      <c r="G479" s="0" t="n">
        <v>12637</v>
      </c>
      <c r="H479" s="0" t="s">
        <v>43</v>
      </c>
      <c r="I479" s="7" t="n">
        <f aca="false">IF(AND(LEFT(A479,1)&lt;&gt;"C",D479&gt;0,F479&gt;0),1,0)</f>
        <v>1</v>
      </c>
      <c r="J479" s="7" t="n">
        <f aca="false">IF(I479=1,D479*F479,0)</f>
        <v>7.8</v>
      </c>
      <c r="K479" s="7" t="n">
        <f aca="false">YEAR(E479)*100+MONTH(E479)</f>
        <v>201109</v>
      </c>
      <c r="L479" s="7" t="n">
        <f aca="false">IF(AND(A479&lt;&gt;A478,LEFT(A479,1)&lt;&gt;"C"),1,0)</f>
        <v>0</v>
      </c>
    </row>
    <row r="480" customFormat="false" ht="15" hidden="false" customHeight="false" outlineLevel="0" collapsed="false">
      <c r="A480" s="0" t="s">
        <v>622</v>
      </c>
      <c r="B480" s="0" t="s">
        <v>48</v>
      </c>
      <c r="C480" s="0" t="s">
        <v>49</v>
      </c>
      <c r="D480" s="0" t="n">
        <v>12</v>
      </c>
      <c r="E480" s="6" t="n">
        <v>40793.6298611111</v>
      </c>
      <c r="F480" s="0" t="n">
        <v>0.65</v>
      </c>
      <c r="G480" s="0" t="n">
        <v>12637</v>
      </c>
      <c r="H480" s="0" t="s">
        <v>43</v>
      </c>
      <c r="I480" s="7" t="n">
        <f aca="false">IF(AND(LEFT(A480,1)&lt;&gt;"C",D480&gt;0,F480&gt;0),1,0)</f>
        <v>1</v>
      </c>
      <c r="J480" s="7" t="n">
        <f aca="false">IF(I480=1,D480*F480,0)</f>
        <v>7.8</v>
      </c>
      <c r="K480" s="7" t="n">
        <f aca="false">YEAR(E480)*100+MONTH(E480)</f>
        <v>201109</v>
      </c>
      <c r="L480" s="7" t="n">
        <f aca="false">IF(AND(A480&lt;&gt;A479,LEFT(A480,1)&lt;&gt;"C"),1,0)</f>
        <v>0</v>
      </c>
    </row>
    <row r="481" customFormat="false" ht="15" hidden="false" customHeight="false" outlineLevel="0" collapsed="false">
      <c r="A481" s="0" t="s">
        <v>622</v>
      </c>
      <c r="B481" s="0" t="s">
        <v>669</v>
      </c>
      <c r="C481" s="0" t="s">
        <v>670</v>
      </c>
      <c r="D481" s="0" t="n">
        <v>12</v>
      </c>
      <c r="E481" s="6" t="n">
        <v>40793.6298611111</v>
      </c>
      <c r="F481" s="0" t="n">
        <v>0.85</v>
      </c>
      <c r="G481" s="0" t="n">
        <v>12637</v>
      </c>
      <c r="H481" s="0" t="s">
        <v>43</v>
      </c>
      <c r="I481" s="7" t="n">
        <f aca="false">IF(AND(LEFT(A481,1)&lt;&gt;"C",D481&gt;0,F481&gt;0),1,0)</f>
        <v>1</v>
      </c>
      <c r="J481" s="7" t="n">
        <f aca="false">IF(I481=1,D481*F481,0)</f>
        <v>10.2</v>
      </c>
      <c r="K481" s="7" t="n">
        <f aca="false">YEAR(E481)*100+MONTH(E481)</f>
        <v>201109</v>
      </c>
      <c r="L481" s="7" t="n">
        <f aca="false">IF(AND(A481&lt;&gt;A480,LEFT(A481,1)&lt;&gt;"C"),1,0)</f>
        <v>0</v>
      </c>
    </row>
    <row r="482" customFormat="false" ht="15" hidden="false" customHeight="false" outlineLevel="0" collapsed="false">
      <c r="A482" s="0" t="s">
        <v>622</v>
      </c>
      <c r="B482" s="0" t="s">
        <v>58</v>
      </c>
      <c r="C482" s="0" t="s">
        <v>59</v>
      </c>
      <c r="D482" s="0" t="n">
        <v>6</v>
      </c>
      <c r="E482" s="6" t="n">
        <v>40793.6298611111</v>
      </c>
      <c r="F482" s="0" t="n">
        <v>2.55</v>
      </c>
      <c r="G482" s="0" t="n">
        <v>12637</v>
      </c>
      <c r="H482" s="0" t="s">
        <v>43</v>
      </c>
      <c r="I482" s="7" t="n">
        <f aca="false">IF(AND(LEFT(A482,1)&lt;&gt;"C",D482&gt;0,F482&gt;0),1,0)</f>
        <v>1</v>
      </c>
      <c r="J482" s="7" t="n">
        <f aca="false">IF(I482=1,D482*F482,0)</f>
        <v>15.3</v>
      </c>
      <c r="K482" s="7" t="n">
        <f aca="false">YEAR(E482)*100+MONTH(E482)</f>
        <v>201109</v>
      </c>
      <c r="L482" s="7" t="n">
        <f aca="false">IF(AND(A482&lt;&gt;A481,LEFT(A482,1)&lt;&gt;"C"),1,0)</f>
        <v>0</v>
      </c>
    </row>
    <row r="483" customFormat="false" ht="15" hidden="false" customHeight="false" outlineLevel="0" collapsed="false">
      <c r="A483" s="0" t="s">
        <v>622</v>
      </c>
      <c r="B483" s="0" t="s">
        <v>159</v>
      </c>
      <c r="C483" s="0" t="s">
        <v>160</v>
      </c>
      <c r="D483" s="0" t="n">
        <v>6</v>
      </c>
      <c r="E483" s="6" t="n">
        <v>40793.6298611111</v>
      </c>
      <c r="F483" s="0" t="n">
        <v>2.55</v>
      </c>
      <c r="G483" s="0" t="n">
        <v>12637</v>
      </c>
      <c r="H483" s="0" t="s">
        <v>43</v>
      </c>
      <c r="I483" s="7" t="n">
        <f aca="false">IF(AND(LEFT(A483,1)&lt;&gt;"C",D483&gt;0,F483&gt;0),1,0)</f>
        <v>1</v>
      </c>
      <c r="J483" s="7" t="n">
        <f aca="false">IF(I483=1,D483*F483,0)</f>
        <v>15.3</v>
      </c>
      <c r="K483" s="7" t="n">
        <f aca="false">YEAR(E483)*100+MONTH(E483)</f>
        <v>201109</v>
      </c>
      <c r="L483" s="7" t="n">
        <f aca="false">IF(AND(A483&lt;&gt;A482,LEFT(A483,1)&lt;&gt;"C"),1,0)</f>
        <v>0</v>
      </c>
    </row>
    <row r="484" customFormat="false" ht="15" hidden="false" customHeight="false" outlineLevel="0" collapsed="false">
      <c r="A484" s="0" t="s">
        <v>622</v>
      </c>
      <c r="B484" s="0" t="s">
        <v>119</v>
      </c>
      <c r="C484" s="0" t="s">
        <v>120</v>
      </c>
      <c r="D484" s="0" t="n">
        <v>12</v>
      </c>
      <c r="E484" s="6" t="n">
        <v>40793.6298611111</v>
      </c>
      <c r="F484" s="0" t="n">
        <v>0.42</v>
      </c>
      <c r="G484" s="0" t="n">
        <v>12637</v>
      </c>
      <c r="H484" s="0" t="s">
        <v>43</v>
      </c>
      <c r="I484" s="7" t="n">
        <f aca="false">IF(AND(LEFT(A484,1)&lt;&gt;"C",D484&gt;0,F484&gt;0),1,0)</f>
        <v>1</v>
      </c>
      <c r="J484" s="7" t="n">
        <f aca="false">IF(I484=1,D484*F484,0)</f>
        <v>5.04</v>
      </c>
      <c r="K484" s="7" t="n">
        <f aca="false">YEAR(E484)*100+MONTH(E484)</f>
        <v>201109</v>
      </c>
      <c r="L484" s="7" t="n">
        <f aca="false">IF(AND(A484&lt;&gt;A483,LEFT(A484,1)&lt;&gt;"C"),1,0)</f>
        <v>0</v>
      </c>
    </row>
    <row r="485" customFormat="false" ht="15" hidden="false" customHeight="false" outlineLevel="0" collapsed="false">
      <c r="A485" s="0" t="s">
        <v>622</v>
      </c>
      <c r="B485" s="0" t="s">
        <v>567</v>
      </c>
      <c r="C485" s="0" t="s">
        <v>568</v>
      </c>
      <c r="D485" s="0" t="n">
        <v>10</v>
      </c>
      <c r="E485" s="6" t="n">
        <v>40793.6298611111</v>
      </c>
      <c r="F485" s="0" t="n">
        <v>1.65</v>
      </c>
      <c r="G485" s="0" t="n">
        <v>12637</v>
      </c>
      <c r="H485" s="0" t="s">
        <v>43</v>
      </c>
      <c r="I485" s="7" t="n">
        <f aca="false">IF(AND(LEFT(A485,1)&lt;&gt;"C",D485&gt;0,F485&gt;0),1,0)</f>
        <v>1</v>
      </c>
      <c r="J485" s="7" t="n">
        <f aca="false">IF(I485=1,D485*F485,0)</f>
        <v>16.5</v>
      </c>
      <c r="K485" s="7" t="n">
        <f aca="false">YEAR(E485)*100+MONTH(E485)</f>
        <v>201109</v>
      </c>
      <c r="L485" s="7" t="n">
        <f aca="false">IF(AND(A485&lt;&gt;A484,LEFT(A485,1)&lt;&gt;"C"),1,0)</f>
        <v>0</v>
      </c>
    </row>
    <row r="486" customFormat="false" ht="15" hidden="false" customHeight="false" outlineLevel="0" collapsed="false">
      <c r="A486" s="0" t="s">
        <v>622</v>
      </c>
      <c r="B486" s="0" t="s">
        <v>123</v>
      </c>
      <c r="C486" s="0" t="s">
        <v>124</v>
      </c>
      <c r="D486" s="0" t="n">
        <v>6</v>
      </c>
      <c r="E486" s="6" t="n">
        <v>40793.6298611111</v>
      </c>
      <c r="F486" s="0" t="n">
        <v>2.95</v>
      </c>
      <c r="G486" s="0" t="n">
        <v>12637</v>
      </c>
      <c r="H486" s="0" t="s">
        <v>43</v>
      </c>
      <c r="I486" s="7" t="n">
        <f aca="false">IF(AND(LEFT(A486,1)&lt;&gt;"C",D486&gt;0,F486&gt;0),1,0)</f>
        <v>1</v>
      </c>
      <c r="J486" s="7" t="n">
        <f aca="false">IF(I486=1,D486*F486,0)</f>
        <v>17.7</v>
      </c>
      <c r="K486" s="7" t="n">
        <f aca="false">YEAR(E486)*100+MONTH(E486)</f>
        <v>201109</v>
      </c>
      <c r="L486" s="7" t="n">
        <f aca="false">IF(AND(A486&lt;&gt;A485,LEFT(A486,1)&lt;&gt;"C"),1,0)</f>
        <v>0</v>
      </c>
    </row>
    <row r="487" customFormat="false" ht="15" hidden="false" customHeight="false" outlineLevel="0" collapsed="false">
      <c r="A487" s="0" t="s">
        <v>622</v>
      </c>
      <c r="B487" s="0" t="s">
        <v>335</v>
      </c>
      <c r="C487" s="0" t="s">
        <v>336</v>
      </c>
      <c r="D487" s="0" t="n">
        <v>12</v>
      </c>
      <c r="E487" s="6" t="n">
        <v>40793.6298611111</v>
      </c>
      <c r="F487" s="0" t="n">
        <v>1.65</v>
      </c>
      <c r="G487" s="0" t="n">
        <v>12637</v>
      </c>
      <c r="H487" s="0" t="s">
        <v>43</v>
      </c>
      <c r="I487" s="7" t="n">
        <f aca="false">IF(AND(LEFT(A487,1)&lt;&gt;"C",D487&gt;0,F487&gt;0),1,0)</f>
        <v>1</v>
      </c>
      <c r="J487" s="7" t="n">
        <f aca="false">IF(I487=1,D487*F487,0)</f>
        <v>19.8</v>
      </c>
      <c r="K487" s="7" t="n">
        <f aca="false">YEAR(E487)*100+MONTH(E487)</f>
        <v>201109</v>
      </c>
      <c r="L487" s="7" t="n">
        <f aca="false">IF(AND(A487&lt;&gt;A486,LEFT(A487,1)&lt;&gt;"C"),1,0)</f>
        <v>0</v>
      </c>
    </row>
    <row r="488" customFormat="false" ht="15" hidden="false" customHeight="false" outlineLevel="0" collapsed="false">
      <c r="A488" s="0" t="s">
        <v>622</v>
      </c>
      <c r="B488" s="0" t="s">
        <v>671</v>
      </c>
      <c r="C488" s="0" t="s">
        <v>672</v>
      </c>
      <c r="D488" s="0" t="n">
        <v>12</v>
      </c>
      <c r="E488" s="6" t="n">
        <v>40793.6298611111</v>
      </c>
      <c r="F488" s="0" t="n">
        <v>0.85</v>
      </c>
      <c r="G488" s="0" t="n">
        <v>12637</v>
      </c>
      <c r="H488" s="0" t="s">
        <v>43</v>
      </c>
      <c r="I488" s="7" t="n">
        <f aca="false">IF(AND(LEFT(A488,1)&lt;&gt;"C",D488&gt;0,F488&gt;0),1,0)</f>
        <v>1</v>
      </c>
      <c r="J488" s="7" t="n">
        <f aca="false">IF(I488=1,D488*F488,0)</f>
        <v>10.2</v>
      </c>
      <c r="K488" s="7" t="n">
        <f aca="false">YEAR(E488)*100+MONTH(E488)</f>
        <v>201109</v>
      </c>
      <c r="L488" s="7" t="n">
        <f aca="false">IF(AND(A488&lt;&gt;A487,LEFT(A488,1)&lt;&gt;"C"),1,0)</f>
        <v>0</v>
      </c>
    </row>
    <row r="489" customFormat="false" ht="15" hidden="false" customHeight="false" outlineLevel="0" collapsed="false">
      <c r="A489" s="0" t="s">
        <v>673</v>
      </c>
      <c r="B489" s="0" t="s">
        <v>84</v>
      </c>
      <c r="C489" s="0" t="s">
        <v>85</v>
      </c>
      <c r="D489" s="0" t="n">
        <v>-1</v>
      </c>
      <c r="E489" s="6" t="n">
        <v>40794.4180555556</v>
      </c>
      <c r="F489" s="0" t="n">
        <v>18</v>
      </c>
      <c r="G489" s="0" t="n">
        <v>12471</v>
      </c>
      <c r="H489" s="0" t="s">
        <v>33</v>
      </c>
      <c r="I489" s="7" t="n">
        <f aca="false">IF(AND(LEFT(A489,1)&lt;&gt;"C",D489&gt;0,F489&gt;0),1,0)</f>
        <v>0</v>
      </c>
      <c r="J489" s="7" t="n">
        <f aca="false">IF(I489=1,D489*F489,0)</f>
        <v>0</v>
      </c>
      <c r="K489" s="7" t="n">
        <f aca="false">YEAR(E489)*100+MONTH(E489)</f>
        <v>201109</v>
      </c>
      <c r="L489" s="7" t="n">
        <f aca="false">IF(AND(A489&lt;&gt;A488,LEFT(A489,1)&lt;&gt;"C"),1,0)</f>
        <v>0</v>
      </c>
    </row>
    <row r="490" customFormat="false" ht="15" hidden="false" customHeight="false" outlineLevel="0" collapsed="false">
      <c r="A490" s="0" t="s">
        <v>674</v>
      </c>
      <c r="B490" s="0" t="s">
        <v>675</v>
      </c>
      <c r="C490" s="0" t="s">
        <v>676</v>
      </c>
      <c r="D490" s="0" t="n">
        <v>12</v>
      </c>
      <c r="E490" s="6" t="n">
        <v>40794.4388888889</v>
      </c>
      <c r="F490" s="0" t="n">
        <v>1.25</v>
      </c>
      <c r="G490" s="0" t="n">
        <v>12685</v>
      </c>
      <c r="H490" s="0" t="s">
        <v>43</v>
      </c>
      <c r="I490" s="7" t="n">
        <f aca="false">IF(AND(LEFT(A490,1)&lt;&gt;"C",D490&gt;0,F490&gt;0),1,0)</f>
        <v>1</v>
      </c>
      <c r="J490" s="7" t="n">
        <f aca="false">IF(I490=1,D490*F490,0)</f>
        <v>15</v>
      </c>
      <c r="K490" s="7" t="n">
        <f aca="false">YEAR(E490)*100+MONTH(E490)</f>
        <v>201109</v>
      </c>
      <c r="L490" s="7" t="n">
        <f aca="false">IF(AND(A490&lt;&gt;A489,LEFT(A490,1)&lt;&gt;"C"),1,0)</f>
        <v>1</v>
      </c>
    </row>
    <row r="491" customFormat="false" ht="15" hidden="false" customHeight="false" outlineLevel="0" collapsed="false">
      <c r="A491" s="0" t="s">
        <v>674</v>
      </c>
      <c r="B491" s="0" t="s">
        <v>677</v>
      </c>
      <c r="C491" s="0" t="s">
        <v>678</v>
      </c>
      <c r="D491" s="0" t="n">
        <v>6</v>
      </c>
      <c r="E491" s="6" t="n">
        <v>40794.4388888889</v>
      </c>
      <c r="F491" s="0" t="n">
        <v>2.1</v>
      </c>
      <c r="G491" s="0" t="n">
        <v>12685</v>
      </c>
      <c r="H491" s="0" t="s">
        <v>43</v>
      </c>
      <c r="I491" s="7" t="n">
        <f aca="false">IF(AND(LEFT(A491,1)&lt;&gt;"C",D491&gt;0,F491&gt;0),1,0)</f>
        <v>1</v>
      </c>
      <c r="J491" s="7" t="n">
        <f aca="false">IF(I491=1,D491*F491,0)</f>
        <v>12.6</v>
      </c>
      <c r="K491" s="7" t="n">
        <f aca="false">YEAR(E491)*100+MONTH(E491)</f>
        <v>201109</v>
      </c>
      <c r="L491" s="7" t="n">
        <f aca="false">IF(AND(A491&lt;&gt;A490,LEFT(A491,1)&lt;&gt;"C"),1,0)</f>
        <v>0</v>
      </c>
    </row>
    <row r="492" customFormat="false" ht="15" hidden="false" customHeight="false" outlineLevel="0" collapsed="false">
      <c r="A492" s="0" t="s">
        <v>674</v>
      </c>
      <c r="B492" s="0" t="s">
        <v>679</v>
      </c>
      <c r="C492" s="0" t="s">
        <v>680</v>
      </c>
      <c r="D492" s="0" t="n">
        <v>6</v>
      </c>
      <c r="E492" s="6" t="n">
        <v>40794.4388888889</v>
      </c>
      <c r="F492" s="0" t="n">
        <v>2.1</v>
      </c>
      <c r="G492" s="0" t="n">
        <v>12685</v>
      </c>
      <c r="H492" s="0" t="s">
        <v>43</v>
      </c>
      <c r="I492" s="7" t="n">
        <f aca="false">IF(AND(LEFT(A492,1)&lt;&gt;"C",D492&gt;0,F492&gt;0),1,0)</f>
        <v>1</v>
      </c>
      <c r="J492" s="7" t="n">
        <f aca="false">IF(I492=1,D492*F492,0)</f>
        <v>12.6</v>
      </c>
      <c r="K492" s="7" t="n">
        <f aca="false">YEAR(E492)*100+MONTH(E492)</f>
        <v>201109</v>
      </c>
      <c r="L492" s="7" t="n">
        <f aca="false">IF(AND(A492&lt;&gt;A491,LEFT(A492,1)&lt;&gt;"C"),1,0)</f>
        <v>0</v>
      </c>
    </row>
    <row r="493" customFormat="false" ht="15" hidden="false" customHeight="false" outlineLevel="0" collapsed="false">
      <c r="A493" s="0" t="s">
        <v>674</v>
      </c>
      <c r="B493" s="0" t="s">
        <v>681</v>
      </c>
      <c r="C493" s="0" t="s">
        <v>682</v>
      </c>
      <c r="D493" s="0" t="n">
        <v>4</v>
      </c>
      <c r="E493" s="6" t="n">
        <v>40794.4388888889</v>
      </c>
      <c r="F493" s="0" t="n">
        <v>3.75</v>
      </c>
      <c r="G493" s="0" t="n">
        <v>12685</v>
      </c>
      <c r="H493" s="0" t="s">
        <v>43</v>
      </c>
      <c r="I493" s="7" t="n">
        <f aca="false">IF(AND(LEFT(A493,1)&lt;&gt;"C",D493&gt;0,F493&gt;0),1,0)</f>
        <v>1</v>
      </c>
      <c r="J493" s="7" t="n">
        <f aca="false">IF(I493=1,D493*F493,0)</f>
        <v>15</v>
      </c>
      <c r="K493" s="7" t="n">
        <f aca="false">YEAR(E493)*100+MONTH(E493)</f>
        <v>201109</v>
      </c>
      <c r="L493" s="7" t="n">
        <f aca="false">IF(AND(A493&lt;&gt;A492,LEFT(A493,1)&lt;&gt;"C"),1,0)</f>
        <v>0</v>
      </c>
    </row>
    <row r="494" customFormat="false" ht="15" hidden="false" customHeight="false" outlineLevel="0" collapsed="false">
      <c r="A494" s="0" t="s">
        <v>674</v>
      </c>
      <c r="B494" s="0" t="s">
        <v>533</v>
      </c>
      <c r="C494" s="0" t="s">
        <v>534</v>
      </c>
      <c r="D494" s="0" t="n">
        <v>16</v>
      </c>
      <c r="E494" s="6" t="n">
        <v>40794.4388888889</v>
      </c>
      <c r="F494" s="0" t="n">
        <v>1.25</v>
      </c>
      <c r="G494" s="0" t="n">
        <v>12685</v>
      </c>
      <c r="H494" s="0" t="s">
        <v>43</v>
      </c>
      <c r="I494" s="7" t="n">
        <f aca="false">IF(AND(LEFT(A494,1)&lt;&gt;"C",D494&gt;0,F494&gt;0),1,0)</f>
        <v>1</v>
      </c>
      <c r="J494" s="7" t="n">
        <f aca="false">IF(I494=1,D494*F494,0)</f>
        <v>20</v>
      </c>
      <c r="K494" s="7" t="n">
        <f aca="false">YEAR(E494)*100+MONTH(E494)</f>
        <v>201109</v>
      </c>
      <c r="L494" s="7" t="n">
        <f aca="false">IF(AND(A494&lt;&gt;A493,LEFT(A494,1)&lt;&gt;"C"),1,0)</f>
        <v>0</v>
      </c>
    </row>
    <row r="495" customFormat="false" ht="15" hidden="false" customHeight="false" outlineLevel="0" collapsed="false">
      <c r="A495" s="0" t="s">
        <v>674</v>
      </c>
      <c r="B495" s="0" t="s">
        <v>277</v>
      </c>
      <c r="C495" s="0" t="s">
        <v>278</v>
      </c>
      <c r="D495" s="0" t="n">
        <v>12</v>
      </c>
      <c r="E495" s="6" t="n">
        <v>40794.4388888889</v>
      </c>
      <c r="F495" s="0" t="n">
        <v>1.65</v>
      </c>
      <c r="G495" s="0" t="n">
        <v>12685</v>
      </c>
      <c r="H495" s="0" t="s">
        <v>43</v>
      </c>
      <c r="I495" s="7" t="n">
        <f aca="false">IF(AND(LEFT(A495,1)&lt;&gt;"C",D495&gt;0,F495&gt;0),1,0)</f>
        <v>1</v>
      </c>
      <c r="J495" s="7" t="n">
        <f aca="false">IF(I495=1,D495*F495,0)</f>
        <v>19.8</v>
      </c>
      <c r="K495" s="7" t="n">
        <f aca="false">YEAR(E495)*100+MONTH(E495)</f>
        <v>201109</v>
      </c>
      <c r="L495" s="7" t="n">
        <f aca="false">IF(AND(A495&lt;&gt;A494,LEFT(A495,1)&lt;&gt;"C"),1,0)</f>
        <v>0</v>
      </c>
    </row>
    <row r="496" customFormat="false" ht="15" hidden="false" customHeight="false" outlineLevel="0" collapsed="false">
      <c r="A496" s="0" t="s">
        <v>674</v>
      </c>
      <c r="B496" s="0" t="s">
        <v>569</v>
      </c>
      <c r="C496" s="0" t="s">
        <v>570</v>
      </c>
      <c r="D496" s="0" t="n">
        <v>10</v>
      </c>
      <c r="E496" s="6" t="n">
        <v>40794.4388888889</v>
      </c>
      <c r="F496" s="0" t="n">
        <v>2.08</v>
      </c>
      <c r="G496" s="0" t="n">
        <v>12685</v>
      </c>
      <c r="H496" s="0" t="s">
        <v>43</v>
      </c>
      <c r="I496" s="7" t="n">
        <f aca="false">IF(AND(LEFT(A496,1)&lt;&gt;"C",D496&gt;0,F496&gt;0),1,0)</f>
        <v>1</v>
      </c>
      <c r="J496" s="7" t="n">
        <f aca="false">IF(I496=1,D496*F496,0)</f>
        <v>20.8</v>
      </c>
      <c r="K496" s="7" t="n">
        <f aca="false">YEAR(E496)*100+MONTH(E496)</f>
        <v>201109</v>
      </c>
      <c r="L496" s="7" t="n">
        <f aca="false">IF(AND(A496&lt;&gt;A495,LEFT(A496,1)&lt;&gt;"C"),1,0)</f>
        <v>0</v>
      </c>
    </row>
    <row r="497" customFormat="false" ht="15" hidden="false" customHeight="false" outlineLevel="0" collapsed="false">
      <c r="A497" s="0" t="s">
        <v>674</v>
      </c>
      <c r="B497" s="0" t="s">
        <v>683</v>
      </c>
      <c r="C497" s="0" t="s">
        <v>684</v>
      </c>
      <c r="D497" s="0" t="n">
        <v>3</v>
      </c>
      <c r="E497" s="6" t="n">
        <v>40794.4388888889</v>
      </c>
      <c r="F497" s="0" t="n">
        <v>4.95</v>
      </c>
      <c r="G497" s="0" t="n">
        <v>12685</v>
      </c>
      <c r="H497" s="0" t="s">
        <v>43</v>
      </c>
      <c r="I497" s="7" t="n">
        <f aca="false">IF(AND(LEFT(A497,1)&lt;&gt;"C",D497&gt;0,F497&gt;0),1,0)</f>
        <v>1</v>
      </c>
      <c r="J497" s="7" t="n">
        <f aca="false">IF(I497=1,D497*F497,0)</f>
        <v>14.85</v>
      </c>
      <c r="K497" s="7" t="n">
        <f aca="false">YEAR(E497)*100+MONTH(E497)</f>
        <v>201109</v>
      </c>
      <c r="L497" s="7" t="n">
        <f aca="false">IF(AND(A497&lt;&gt;A496,LEFT(A497,1)&lt;&gt;"C"),1,0)</f>
        <v>0</v>
      </c>
    </row>
    <row r="498" customFormat="false" ht="15" hidden="false" customHeight="false" outlineLevel="0" collapsed="false">
      <c r="A498" s="0" t="s">
        <v>674</v>
      </c>
      <c r="B498" s="0" t="s">
        <v>297</v>
      </c>
      <c r="C498" s="0" t="s">
        <v>298</v>
      </c>
      <c r="D498" s="0" t="n">
        <v>4</v>
      </c>
      <c r="E498" s="6" t="n">
        <v>40794.4388888889</v>
      </c>
      <c r="F498" s="0" t="n">
        <v>3.75</v>
      </c>
      <c r="G498" s="0" t="n">
        <v>12685</v>
      </c>
      <c r="H498" s="0" t="s">
        <v>43</v>
      </c>
      <c r="I498" s="7" t="n">
        <f aca="false">IF(AND(LEFT(A498,1)&lt;&gt;"C",D498&gt;0,F498&gt;0),1,0)</f>
        <v>1</v>
      </c>
      <c r="J498" s="7" t="n">
        <f aca="false">IF(I498=1,D498*F498,0)</f>
        <v>15</v>
      </c>
      <c r="K498" s="7" t="n">
        <f aca="false">YEAR(E498)*100+MONTH(E498)</f>
        <v>201109</v>
      </c>
      <c r="L498" s="7" t="n">
        <f aca="false">IF(AND(A498&lt;&gt;A497,LEFT(A498,1)&lt;&gt;"C"),1,0)</f>
        <v>0</v>
      </c>
    </row>
    <row r="499" customFormat="false" ht="15" hidden="false" customHeight="false" outlineLevel="0" collapsed="false">
      <c r="A499" s="0" t="s">
        <v>674</v>
      </c>
      <c r="B499" s="0" t="s">
        <v>299</v>
      </c>
      <c r="C499" s="0" t="s">
        <v>300</v>
      </c>
      <c r="D499" s="0" t="n">
        <v>4</v>
      </c>
      <c r="E499" s="6" t="n">
        <v>40794.4388888889</v>
      </c>
      <c r="F499" s="0" t="n">
        <v>3.75</v>
      </c>
      <c r="G499" s="0" t="n">
        <v>12685</v>
      </c>
      <c r="H499" s="0" t="s">
        <v>43</v>
      </c>
      <c r="I499" s="7" t="n">
        <f aca="false">IF(AND(LEFT(A499,1)&lt;&gt;"C",D499&gt;0,F499&gt;0),1,0)</f>
        <v>1</v>
      </c>
      <c r="J499" s="7" t="n">
        <f aca="false">IF(I499=1,D499*F499,0)</f>
        <v>15</v>
      </c>
      <c r="K499" s="7" t="n">
        <f aca="false">YEAR(E499)*100+MONTH(E499)</f>
        <v>201109</v>
      </c>
      <c r="L499" s="7" t="n">
        <f aca="false">IF(AND(A499&lt;&gt;A498,LEFT(A499,1)&lt;&gt;"C"),1,0)</f>
        <v>0</v>
      </c>
    </row>
    <row r="500" customFormat="false" ht="15" hidden="false" customHeight="false" outlineLevel="0" collapsed="false">
      <c r="A500" s="0" t="s">
        <v>674</v>
      </c>
      <c r="B500" s="0" t="s">
        <v>318</v>
      </c>
      <c r="C500" s="0" t="s">
        <v>319</v>
      </c>
      <c r="D500" s="0" t="n">
        <v>4</v>
      </c>
      <c r="E500" s="6" t="n">
        <v>40794.4388888889</v>
      </c>
      <c r="F500" s="0" t="n">
        <v>3.75</v>
      </c>
      <c r="G500" s="0" t="n">
        <v>12685</v>
      </c>
      <c r="H500" s="0" t="s">
        <v>43</v>
      </c>
      <c r="I500" s="7" t="n">
        <f aca="false">IF(AND(LEFT(A500,1)&lt;&gt;"C",D500&gt;0,F500&gt;0),1,0)</f>
        <v>1</v>
      </c>
      <c r="J500" s="7" t="n">
        <f aca="false">IF(I500=1,D500*F500,0)</f>
        <v>15</v>
      </c>
      <c r="K500" s="7" t="n">
        <f aca="false">YEAR(E500)*100+MONTH(E500)</f>
        <v>201109</v>
      </c>
      <c r="L500" s="7" t="n">
        <f aca="false">IF(AND(A500&lt;&gt;A499,LEFT(A500,1)&lt;&gt;"C"),1,0)</f>
        <v>0</v>
      </c>
    </row>
    <row r="501" customFormat="false" ht="15" hidden="false" customHeight="false" outlineLevel="0" collapsed="false">
      <c r="A501" s="0" t="s">
        <v>674</v>
      </c>
      <c r="B501" s="0" t="s">
        <v>575</v>
      </c>
      <c r="C501" s="0" t="s">
        <v>576</v>
      </c>
      <c r="D501" s="0" t="n">
        <v>10</v>
      </c>
      <c r="E501" s="6" t="n">
        <v>40794.4388888889</v>
      </c>
      <c r="F501" s="0" t="n">
        <v>2.08</v>
      </c>
      <c r="G501" s="0" t="n">
        <v>12685</v>
      </c>
      <c r="H501" s="0" t="s">
        <v>43</v>
      </c>
      <c r="I501" s="7" t="n">
        <f aca="false">IF(AND(LEFT(A501,1)&lt;&gt;"C",D501&gt;0,F501&gt;0),1,0)</f>
        <v>1</v>
      </c>
      <c r="J501" s="7" t="n">
        <f aca="false">IF(I501=1,D501*F501,0)</f>
        <v>20.8</v>
      </c>
      <c r="K501" s="7" t="n">
        <f aca="false">YEAR(E501)*100+MONTH(E501)</f>
        <v>201109</v>
      </c>
      <c r="L501" s="7" t="n">
        <f aca="false">IF(AND(A501&lt;&gt;A500,LEFT(A501,1)&lt;&gt;"C"),1,0)</f>
        <v>0</v>
      </c>
    </row>
    <row r="502" customFormat="false" ht="15" hidden="false" customHeight="false" outlineLevel="0" collapsed="false">
      <c r="A502" s="0" t="s">
        <v>674</v>
      </c>
      <c r="B502" s="0" t="s">
        <v>320</v>
      </c>
      <c r="C502" s="0" t="s">
        <v>321</v>
      </c>
      <c r="D502" s="0" t="n">
        <v>4</v>
      </c>
      <c r="E502" s="6" t="n">
        <v>40794.4388888889</v>
      </c>
      <c r="F502" s="0" t="n">
        <v>3.75</v>
      </c>
      <c r="G502" s="0" t="n">
        <v>12685</v>
      </c>
      <c r="H502" s="0" t="s">
        <v>43</v>
      </c>
      <c r="I502" s="7" t="n">
        <f aca="false">IF(AND(LEFT(A502,1)&lt;&gt;"C",D502&gt;0,F502&gt;0),1,0)</f>
        <v>1</v>
      </c>
      <c r="J502" s="7" t="n">
        <f aca="false">IF(I502=1,D502*F502,0)</f>
        <v>15</v>
      </c>
      <c r="K502" s="7" t="n">
        <f aca="false">YEAR(E502)*100+MONTH(E502)</f>
        <v>201109</v>
      </c>
      <c r="L502" s="7" t="n">
        <f aca="false">IF(AND(A502&lt;&gt;A501,LEFT(A502,1)&lt;&gt;"C"),1,0)</f>
        <v>0</v>
      </c>
    </row>
    <row r="503" customFormat="false" ht="15" hidden="false" customHeight="false" outlineLevel="0" collapsed="false">
      <c r="A503" s="0" t="s">
        <v>674</v>
      </c>
      <c r="B503" s="0" t="s">
        <v>308</v>
      </c>
      <c r="C503" s="0" t="s">
        <v>309</v>
      </c>
      <c r="D503" s="0" t="n">
        <v>12</v>
      </c>
      <c r="E503" s="6" t="n">
        <v>40794.4388888889</v>
      </c>
      <c r="F503" s="0" t="n">
        <v>1.25</v>
      </c>
      <c r="G503" s="0" t="n">
        <v>12685</v>
      </c>
      <c r="H503" s="0" t="s">
        <v>43</v>
      </c>
      <c r="I503" s="7" t="n">
        <f aca="false">IF(AND(LEFT(A503,1)&lt;&gt;"C",D503&gt;0,F503&gt;0),1,0)</f>
        <v>1</v>
      </c>
      <c r="J503" s="7" t="n">
        <f aca="false">IF(I503=1,D503*F503,0)</f>
        <v>15</v>
      </c>
      <c r="K503" s="7" t="n">
        <f aca="false">YEAR(E503)*100+MONTH(E503)</f>
        <v>201109</v>
      </c>
      <c r="L503" s="7" t="n">
        <f aca="false">IF(AND(A503&lt;&gt;A502,LEFT(A503,1)&lt;&gt;"C"),1,0)</f>
        <v>0</v>
      </c>
    </row>
    <row r="504" customFormat="false" ht="15" hidden="false" customHeight="false" outlineLevel="0" collapsed="false">
      <c r="A504" s="0" t="s">
        <v>674</v>
      </c>
      <c r="B504" s="0" t="s">
        <v>685</v>
      </c>
      <c r="C504" s="0" t="s">
        <v>686</v>
      </c>
      <c r="D504" s="0" t="n">
        <v>6</v>
      </c>
      <c r="E504" s="6" t="n">
        <v>40794.4388888889</v>
      </c>
      <c r="F504" s="0" t="n">
        <v>2.55</v>
      </c>
      <c r="G504" s="0" t="n">
        <v>12685</v>
      </c>
      <c r="H504" s="0" t="s">
        <v>43</v>
      </c>
      <c r="I504" s="7" t="n">
        <f aca="false">IF(AND(LEFT(A504,1)&lt;&gt;"C",D504&gt;0,F504&gt;0),1,0)</f>
        <v>1</v>
      </c>
      <c r="J504" s="7" t="n">
        <f aca="false">IF(I504=1,D504*F504,0)</f>
        <v>15.3</v>
      </c>
      <c r="K504" s="7" t="n">
        <f aca="false">YEAR(E504)*100+MONTH(E504)</f>
        <v>201109</v>
      </c>
      <c r="L504" s="7" t="n">
        <f aca="false">IF(AND(A504&lt;&gt;A503,LEFT(A504,1)&lt;&gt;"C"),1,0)</f>
        <v>0</v>
      </c>
    </row>
    <row r="505" customFormat="false" ht="15" hidden="false" customHeight="false" outlineLevel="0" collapsed="false">
      <c r="A505" s="0" t="s">
        <v>674</v>
      </c>
      <c r="B505" s="0" t="s">
        <v>687</v>
      </c>
      <c r="C505" s="0" t="s">
        <v>688</v>
      </c>
      <c r="D505" s="0" t="n">
        <v>6</v>
      </c>
      <c r="E505" s="6" t="n">
        <v>40794.4388888889</v>
      </c>
      <c r="F505" s="0" t="n">
        <v>2.08</v>
      </c>
      <c r="G505" s="0" t="n">
        <v>12685</v>
      </c>
      <c r="H505" s="0" t="s">
        <v>43</v>
      </c>
      <c r="I505" s="7" t="n">
        <f aca="false">IF(AND(LEFT(A505,1)&lt;&gt;"C",D505&gt;0,F505&gt;0),1,0)</f>
        <v>1</v>
      </c>
      <c r="J505" s="7" t="n">
        <f aca="false">IF(I505=1,D505*F505,0)</f>
        <v>12.48</v>
      </c>
      <c r="K505" s="7" t="n">
        <f aca="false">YEAR(E505)*100+MONTH(E505)</f>
        <v>201109</v>
      </c>
      <c r="L505" s="7" t="n">
        <f aca="false">IF(AND(A505&lt;&gt;A504,LEFT(A505,1)&lt;&gt;"C"),1,0)</f>
        <v>0</v>
      </c>
    </row>
    <row r="506" customFormat="false" ht="15" hidden="false" customHeight="false" outlineLevel="0" collapsed="false">
      <c r="A506" s="0" t="s">
        <v>674</v>
      </c>
      <c r="B506" s="0" t="s">
        <v>547</v>
      </c>
      <c r="C506" s="0" t="s">
        <v>548</v>
      </c>
      <c r="D506" s="0" t="n">
        <v>3</v>
      </c>
      <c r="E506" s="6" t="n">
        <v>40794.4388888889</v>
      </c>
      <c r="F506" s="0" t="n">
        <v>4.95</v>
      </c>
      <c r="G506" s="0" t="n">
        <v>12685</v>
      </c>
      <c r="H506" s="0" t="s">
        <v>43</v>
      </c>
      <c r="I506" s="7" t="n">
        <f aca="false">IF(AND(LEFT(A506,1)&lt;&gt;"C",D506&gt;0,F506&gt;0),1,0)</f>
        <v>1</v>
      </c>
      <c r="J506" s="7" t="n">
        <f aca="false">IF(I506=1,D506*F506,0)</f>
        <v>14.85</v>
      </c>
      <c r="K506" s="7" t="n">
        <f aca="false">YEAR(E506)*100+MONTH(E506)</f>
        <v>201109</v>
      </c>
      <c r="L506" s="7" t="n">
        <f aca="false">IF(AND(A506&lt;&gt;A505,LEFT(A506,1)&lt;&gt;"C"),1,0)</f>
        <v>0</v>
      </c>
    </row>
    <row r="507" customFormat="false" ht="15" hidden="false" customHeight="false" outlineLevel="0" collapsed="false">
      <c r="A507" s="0" t="s">
        <v>674</v>
      </c>
      <c r="B507" s="0" t="s">
        <v>138</v>
      </c>
      <c r="C507" s="0" t="s">
        <v>139</v>
      </c>
      <c r="D507" s="0" t="n">
        <v>6</v>
      </c>
      <c r="E507" s="6" t="n">
        <v>40794.4388888889</v>
      </c>
      <c r="F507" s="0" t="n">
        <v>2.08</v>
      </c>
      <c r="G507" s="0" t="n">
        <v>12685</v>
      </c>
      <c r="H507" s="0" t="s">
        <v>43</v>
      </c>
      <c r="I507" s="7" t="n">
        <f aca="false">IF(AND(LEFT(A507,1)&lt;&gt;"C",D507&gt;0,F507&gt;0),1,0)</f>
        <v>1</v>
      </c>
      <c r="J507" s="7" t="n">
        <f aca="false">IF(I507=1,D507*F507,0)</f>
        <v>12.48</v>
      </c>
      <c r="K507" s="7" t="n">
        <f aca="false">YEAR(E507)*100+MONTH(E507)</f>
        <v>201109</v>
      </c>
      <c r="L507" s="7" t="n">
        <f aca="false">IF(AND(A507&lt;&gt;A506,LEFT(A507,1)&lt;&gt;"C"),1,0)</f>
        <v>0</v>
      </c>
    </row>
    <row r="508" customFormat="false" ht="15" hidden="false" customHeight="false" outlineLevel="0" collapsed="false">
      <c r="A508" s="0" t="s">
        <v>674</v>
      </c>
      <c r="B508" s="0" t="s">
        <v>689</v>
      </c>
      <c r="C508" s="0" t="s">
        <v>690</v>
      </c>
      <c r="D508" s="0" t="n">
        <v>8</v>
      </c>
      <c r="E508" s="6" t="n">
        <v>40794.4388888889</v>
      </c>
      <c r="F508" s="0" t="n">
        <v>1.25</v>
      </c>
      <c r="G508" s="0" t="n">
        <v>12685</v>
      </c>
      <c r="H508" s="0" t="s">
        <v>43</v>
      </c>
      <c r="I508" s="7" t="n">
        <f aca="false">IF(AND(LEFT(A508,1)&lt;&gt;"C",D508&gt;0,F508&gt;0),1,0)</f>
        <v>1</v>
      </c>
      <c r="J508" s="7" t="n">
        <f aca="false">IF(I508=1,D508*F508,0)</f>
        <v>10</v>
      </c>
      <c r="K508" s="7" t="n">
        <f aca="false">YEAR(E508)*100+MONTH(E508)</f>
        <v>201109</v>
      </c>
      <c r="L508" s="7" t="n">
        <f aca="false">IF(AND(A508&lt;&gt;A507,LEFT(A508,1)&lt;&gt;"C"),1,0)</f>
        <v>0</v>
      </c>
    </row>
    <row r="509" customFormat="false" ht="15" hidden="false" customHeight="false" outlineLevel="0" collapsed="false">
      <c r="A509" s="0" t="s">
        <v>674</v>
      </c>
      <c r="B509" s="0" t="s">
        <v>84</v>
      </c>
      <c r="C509" s="0" t="s">
        <v>85</v>
      </c>
      <c r="D509" s="0" t="n">
        <v>5</v>
      </c>
      <c r="E509" s="6" t="n">
        <v>40794.4388888889</v>
      </c>
      <c r="F509" s="0" t="n">
        <v>18</v>
      </c>
      <c r="G509" s="0" t="n">
        <v>12685</v>
      </c>
      <c r="H509" s="0" t="s">
        <v>43</v>
      </c>
      <c r="I509" s="7" t="n">
        <f aca="false">IF(AND(LEFT(A509,1)&lt;&gt;"C",D509&gt;0,F509&gt;0),1,0)</f>
        <v>1</v>
      </c>
      <c r="J509" s="7" t="n">
        <f aca="false">IF(I509=1,D509*F509,0)</f>
        <v>90</v>
      </c>
      <c r="K509" s="7" t="n">
        <f aca="false">YEAR(E509)*100+MONTH(E509)</f>
        <v>201109</v>
      </c>
      <c r="L509" s="7" t="n">
        <f aca="false">IF(AND(A509&lt;&gt;A508,LEFT(A509,1)&lt;&gt;"C"),1,0)</f>
        <v>0</v>
      </c>
    </row>
    <row r="510" customFormat="false" ht="15" hidden="false" customHeight="false" outlineLevel="0" collapsed="false">
      <c r="A510" s="0" t="s">
        <v>674</v>
      </c>
      <c r="B510" s="0" t="s">
        <v>691</v>
      </c>
      <c r="C510" s="0" t="s">
        <v>692</v>
      </c>
      <c r="D510" s="0" t="n">
        <v>12</v>
      </c>
      <c r="E510" s="6" t="n">
        <v>40794.4388888889</v>
      </c>
      <c r="F510" s="0" t="n">
        <v>1.25</v>
      </c>
      <c r="G510" s="0" t="n">
        <v>12685</v>
      </c>
      <c r="H510" s="0" t="s">
        <v>43</v>
      </c>
      <c r="I510" s="7" t="n">
        <f aca="false">IF(AND(LEFT(A510,1)&lt;&gt;"C",D510&gt;0,F510&gt;0),1,0)</f>
        <v>1</v>
      </c>
      <c r="J510" s="7" t="n">
        <f aca="false">IF(I510=1,D510*F510,0)</f>
        <v>15</v>
      </c>
      <c r="K510" s="7" t="n">
        <f aca="false">YEAR(E510)*100+MONTH(E510)</f>
        <v>201109</v>
      </c>
      <c r="L510" s="7" t="n">
        <f aca="false">IF(AND(A510&lt;&gt;A509,LEFT(A510,1)&lt;&gt;"C"),1,0)</f>
        <v>0</v>
      </c>
    </row>
    <row r="511" customFormat="false" ht="15" hidden="false" customHeight="false" outlineLevel="0" collapsed="false">
      <c r="A511" s="0" t="s">
        <v>674</v>
      </c>
      <c r="B511" s="0" t="s">
        <v>693</v>
      </c>
      <c r="C511" s="0" t="s">
        <v>694</v>
      </c>
      <c r="D511" s="0" t="n">
        <v>12</v>
      </c>
      <c r="E511" s="6" t="n">
        <v>40794.4388888889</v>
      </c>
      <c r="F511" s="0" t="n">
        <v>0.83</v>
      </c>
      <c r="G511" s="0" t="n">
        <v>12685</v>
      </c>
      <c r="H511" s="0" t="s">
        <v>43</v>
      </c>
      <c r="I511" s="7" t="n">
        <f aca="false">IF(AND(LEFT(A511,1)&lt;&gt;"C",D511&gt;0,F511&gt;0),1,0)</f>
        <v>1</v>
      </c>
      <c r="J511" s="7" t="n">
        <f aca="false">IF(I511=1,D511*F511,0)</f>
        <v>9.96</v>
      </c>
      <c r="K511" s="7" t="n">
        <f aca="false">YEAR(E511)*100+MONTH(E511)</f>
        <v>201109</v>
      </c>
      <c r="L511" s="7" t="n">
        <f aca="false">IF(AND(A511&lt;&gt;A510,LEFT(A511,1)&lt;&gt;"C"),1,0)</f>
        <v>0</v>
      </c>
    </row>
    <row r="512" customFormat="false" ht="15" hidden="false" customHeight="false" outlineLevel="0" collapsed="false">
      <c r="A512" s="0" t="s">
        <v>674</v>
      </c>
      <c r="B512" s="0" t="s">
        <v>695</v>
      </c>
      <c r="C512" s="0" t="s">
        <v>696</v>
      </c>
      <c r="D512" s="0" t="n">
        <v>4</v>
      </c>
      <c r="E512" s="6" t="n">
        <v>40794.4388888889</v>
      </c>
      <c r="F512" s="0" t="n">
        <v>3.75</v>
      </c>
      <c r="G512" s="0" t="n">
        <v>12685</v>
      </c>
      <c r="H512" s="0" t="s">
        <v>43</v>
      </c>
      <c r="I512" s="7" t="n">
        <f aca="false">IF(AND(LEFT(A512,1)&lt;&gt;"C",D512&gt;0,F512&gt;0),1,0)</f>
        <v>1</v>
      </c>
      <c r="J512" s="7" t="n">
        <f aca="false">IF(I512=1,D512*F512,0)</f>
        <v>15</v>
      </c>
      <c r="K512" s="7" t="n">
        <f aca="false">YEAR(E512)*100+MONTH(E512)</f>
        <v>201109</v>
      </c>
      <c r="L512" s="7" t="n">
        <f aca="false">IF(AND(A512&lt;&gt;A511,LEFT(A512,1)&lt;&gt;"C"),1,0)</f>
        <v>0</v>
      </c>
    </row>
    <row r="513" customFormat="false" ht="15" hidden="false" customHeight="false" outlineLevel="0" collapsed="false">
      <c r="A513" s="0" t="s">
        <v>674</v>
      </c>
      <c r="B513" s="0" t="s">
        <v>594</v>
      </c>
      <c r="C513" s="0" t="s">
        <v>595</v>
      </c>
      <c r="D513" s="0" t="n">
        <v>12</v>
      </c>
      <c r="E513" s="6" t="n">
        <v>40794.4388888889</v>
      </c>
      <c r="F513" s="0" t="n">
        <v>2.08</v>
      </c>
      <c r="G513" s="0" t="n">
        <v>12685</v>
      </c>
      <c r="H513" s="0" t="s">
        <v>43</v>
      </c>
      <c r="I513" s="7" t="n">
        <f aca="false">IF(AND(LEFT(A513,1)&lt;&gt;"C",D513&gt;0,F513&gt;0),1,0)</f>
        <v>1</v>
      </c>
      <c r="J513" s="7" t="n">
        <f aca="false">IF(I513=1,D513*F513,0)</f>
        <v>24.96</v>
      </c>
      <c r="K513" s="7" t="n">
        <f aca="false">YEAR(E513)*100+MONTH(E513)</f>
        <v>201109</v>
      </c>
      <c r="L513" s="7" t="n">
        <f aca="false">IF(AND(A513&lt;&gt;A512,LEFT(A513,1)&lt;&gt;"C"),1,0)</f>
        <v>0</v>
      </c>
    </row>
    <row r="514" customFormat="false" ht="15" hidden="false" customHeight="false" outlineLevel="0" collapsed="false">
      <c r="A514" s="0" t="s">
        <v>674</v>
      </c>
      <c r="B514" s="0" t="s">
        <v>697</v>
      </c>
      <c r="C514" s="0" t="s">
        <v>698</v>
      </c>
      <c r="D514" s="0" t="n">
        <v>12</v>
      </c>
      <c r="E514" s="6" t="n">
        <v>40794.4388888889</v>
      </c>
      <c r="F514" s="0" t="n">
        <v>1.69</v>
      </c>
      <c r="G514" s="0" t="n">
        <v>12685</v>
      </c>
      <c r="H514" s="0" t="s">
        <v>43</v>
      </c>
      <c r="I514" s="7" t="n">
        <f aca="false">IF(AND(LEFT(A514,1)&lt;&gt;"C",D514&gt;0,F514&gt;0),1,0)</f>
        <v>1</v>
      </c>
      <c r="J514" s="7" t="n">
        <f aca="false">IF(I514=1,D514*F514,0)</f>
        <v>20.28</v>
      </c>
      <c r="K514" s="7" t="n">
        <f aca="false">YEAR(E514)*100+MONTH(E514)</f>
        <v>201109</v>
      </c>
      <c r="L514" s="7" t="n">
        <f aca="false">IF(AND(A514&lt;&gt;A513,LEFT(A514,1)&lt;&gt;"C"),1,0)</f>
        <v>0</v>
      </c>
    </row>
    <row r="515" customFormat="false" ht="15" hidden="false" customHeight="false" outlineLevel="0" collapsed="false">
      <c r="A515" s="0" t="s">
        <v>674</v>
      </c>
      <c r="B515" s="0" t="s">
        <v>245</v>
      </c>
      <c r="C515" s="0" t="s">
        <v>246</v>
      </c>
      <c r="D515" s="0" t="n">
        <v>25</v>
      </c>
      <c r="E515" s="6" t="n">
        <v>40794.4388888889</v>
      </c>
      <c r="F515" s="0" t="n">
        <v>0.42</v>
      </c>
      <c r="G515" s="0" t="n">
        <v>12685</v>
      </c>
      <c r="H515" s="0" t="s">
        <v>43</v>
      </c>
      <c r="I515" s="7" t="n">
        <f aca="false">IF(AND(LEFT(A515,1)&lt;&gt;"C",D515&gt;0,F515&gt;0),1,0)</f>
        <v>1</v>
      </c>
      <c r="J515" s="7" t="n">
        <f aca="false">IF(I515=1,D515*F515,0)</f>
        <v>10.5</v>
      </c>
      <c r="K515" s="7" t="n">
        <f aca="false">YEAR(E515)*100+MONTH(E515)</f>
        <v>201109</v>
      </c>
      <c r="L515" s="7" t="n">
        <f aca="false">IF(AND(A515&lt;&gt;A514,LEFT(A515,1)&lt;&gt;"C"),1,0)</f>
        <v>0</v>
      </c>
    </row>
    <row r="516" customFormat="false" ht="15" hidden="false" customHeight="false" outlineLevel="0" collapsed="false">
      <c r="A516" s="0" t="s">
        <v>674</v>
      </c>
      <c r="B516" s="0" t="s">
        <v>699</v>
      </c>
      <c r="C516" s="0" t="s">
        <v>700</v>
      </c>
      <c r="D516" s="0" t="n">
        <v>12</v>
      </c>
      <c r="E516" s="6" t="n">
        <v>40794.4388888889</v>
      </c>
      <c r="F516" s="0" t="n">
        <v>1.25</v>
      </c>
      <c r="G516" s="0" t="n">
        <v>12685</v>
      </c>
      <c r="H516" s="0" t="s">
        <v>43</v>
      </c>
      <c r="I516" s="7" t="n">
        <f aca="false">IF(AND(LEFT(A516,1)&lt;&gt;"C",D516&gt;0,F516&gt;0),1,0)</f>
        <v>1</v>
      </c>
      <c r="J516" s="7" t="n">
        <f aca="false">IF(I516=1,D516*F516,0)</f>
        <v>15</v>
      </c>
      <c r="K516" s="7" t="n">
        <f aca="false">YEAR(E516)*100+MONTH(E516)</f>
        <v>201109</v>
      </c>
      <c r="L516" s="7" t="n">
        <f aca="false">IF(AND(A516&lt;&gt;A515,LEFT(A516,1)&lt;&gt;"C"),1,0)</f>
        <v>0</v>
      </c>
    </row>
    <row r="517" customFormat="false" ht="15" hidden="false" customHeight="false" outlineLevel="0" collapsed="false">
      <c r="A517" s="0" t="s">
        <v>674</v>
      </c>
      <c r="B517" s="0" t="s">
        <v>701</v>
      </c>
      <c r="C517" s="0" t="s">
        <v>702</v>
      </c>
      <c r="D517" s="0" t="n">
        <v>12</v>
      </c>
      <c r="E517" s="6" t="n">
        <v>40794.4388888889</v>
      </c>
      <c r="F517" s="0" t="n">
        <v>1.25</v>
      </c>
      <c r="G517" s="0" t="n">
        <v>12685</v>
      </c>
      <c r="H517" s="0" t="s">
        <v>43</v>
      </c>
      <c r="I517" s="7" t="n">
        <f aca="false">IF(AND(LEFT(A517,1)&lt;&gt;"C",D517&gt;0,F517&gt;0),1,0)</f>
        <v>1</v>
      </c>
      <c r="J517" s="7" t="n">
        <f aca="false">IF(I517=1,D517*F517,0)</f>
        <v>15</v>
      </c>
      <c r="K517" s="7" t="n">
        <f aca="false">YEAR(E517)*100+MONTH(E517)</f>
        <v>201109</v>
      </c>
      <c r="L517" s="7" t="n">
        <f aca="false">IF(AND(A517&lt;&gt;A516,LEFT(A517,1)&lt;&gt;"C"),1,0)</f>
        <v>0</v>
      </c>
    </row>
    <row r="518" customFormat="false" ht="15" hidden="false" customHeight="false" outlineLevel="0" collapsed="false">
      <c r="A518" s="0" t="s">
        <v>674</v>
      </c>
      <c r="B518" s="0" t="s">
        <v>703</v>
      </c>
      <c r="C518" s="0" t="s">
        <v>704</v>
      </c>
      <c r="D518" s="0" t="n">
        <v>12</v>
      </c>
      <c r="E518" s="6" t="n">
        <v>40794.4388888889</v>
      </c>
      <c r="F518" s="0" t="n">
        <v>1.45</v>
      </c>
      <c r="G518" s="0" t="n">
        <v>12685</v>
      </c>
      <c r="H518" s="0" t="s">
        <v>43</v>
      </c>
      <c r="I518" s="7" t="n">
        <f aca="false">IF(AND(LEFT(A518,1)&lt;&gt;"C",D518&gt;0,F518&gt;0),1,0)</f>
        <v>1</v>
      </c>
      <c r="J518" s="7" t="n">
        <f aca="false">IF(I518=1,D518*F518,0)</f>
        <v>17.4</v>
      </c>
      <c r="K518" s="7" t="n">
        <f aca="false">YEAR(E518)*100+MONTH(E518)</f>
        <v>201109</v>
      </c>
      <c r="L518" s="7" t="n">
        <f aca="false">IF(AND(A518&lt;&gt;A517,LEFT(A518,1)&lt;&gt;"C"),1,0)</f>
        <v>0</v>
      </c>
    </row>
    <row r="519" customFormat="false" ht="15" hidden="false" customHeight="false" outlineLevel="0" collapsed="false">
      <c r="A519" s="0" t="s">
        <v>674</v>
      </c>
      <c r="B519" s="0" t="s">
        <v>705</v>
      </c>
      <c r="C519" s="0" t="s">
        <v>706</v>
      </c>
      <c r="D519" s="0" t="n">
        <v>12</v>
      </c>
      <c r="E519" s="6" t="n">
        <v>40794.4388888889</v>
      </c>
      <c r="F519" s="0" t="n">
        <v>0.85</v>
      </c>
      <c r="G519" s="0" t="n">
        <v>12685</v>
      </c>
      <c r="H519" s="0" t="s">
        <v>43</v>
      </c>
      <c r="I519" s="7" t="n">
        <f aca="false">IF(AND(LEFT(A519,1)&lt;&gt;"C",D519&gt;0,F519&gt;0),1,0)</f>
        <v>1</v>
      </c>
      <c r="J519" s="7" t="n">
        <f aca="false">IF(I519=1,D519*F519,0)</f>
        <v>10.2</v>
      </c>
      <c r="K519" s="7" t="n">
        <f aca="false">YEAR(E519)*100+MONTH(E519)</f>
        <v>201109</v>
      </c>
      <c r="L519" s="7" t="n">
        <f aca="false">IF(AND(A519&lt;&gt;A518,LEFT(A519,1)&lt;&gt;"C"),1,0)</f>
        <v>0</v>
      </c>
    </row>
    <row r="520" customFormat="false" ht="15" hidden="false" customHeight="false" outlineLevel="0" collapsed="false">
      <c r="A520" s="0" t="s">
        <v>674</v>
      </c>
      <c r="B520" s="0" t="s">
        <v>707</v>
      </c>
      <c r="C520" s="0" t="s">
        <v>708</v>
      </c>
      <c r="D520" s="0" t="n">
        <v>12</v>
      </c>
      <c r="E520" s="6" t="n">
        <v>40794.4388888889</v>
      </c>
      <c r="F520" s="0" t="n">
        <v>0.85</v>
      </c>
      <c r="G520" s="0" t="n">
        <v>12685</v>
      </c>
      <c r="H520" s="0" t="s">
        <v>43</v>
      </c>
      <c r="I520" s="7" t="n">
        <f aca="false">IF(AND(LEFT(A520,1)&lt;&gt;"C",D520&gt;0,F520&gt;0),1,0)</f>
        <v>1</v>
      </c>
      <c r="J520" s="7" t="n">
        <f aca="false">IF(I520=1,D520*F520,0)</f>
        <v>10.2</v>
      </c>
      <c r="K520" s="7" t="n">
        <f aca="false">YEAR(E520)*100+MONTH(E520)</f>
        <v>201109</v>
      </c>
      <c r="L520" s="7" t="n">
        <f aca="false">IF(AND(A520&lt;&gt;A519,LEFT(A520,1)&lt;&gt;"C"),1,0)</f>
        <v>0</v>
      </c>
    </row>
    <row r="521" customFormat="false" ht="15" hidden="false" customHeight="false" outlineLevel="0" collapsed="false">
      <c r="A521" s="0" t="s">
        <v>674</v>
      </c>
      <c r="B521" s="0" t="s">
        <v>647</v>
      </c>
      <c r="C521" s="0" t="s">
        <v>648</v>
      </c>
      <c r="D521" s="0" t="n">
        <v>4</v>
      </c>
      <c r="E521" s="6" t="n">
        <v>40794.4388888889</v>
      </c>
      <c r="F521" s="0" t="n">
        <v>4.25</v>
      </c>
      <c r="G521" s="0" t="n">
        <v>12685</v>
      </c>
      <c r="H521" s="0" t="s">
        <v>43</v>
      </c>
      <c r="I521" s="7" t="n">
        <f aca="false">IF(AND(LEFT(A521,1)&lt;&gt;"C",D521&gt;0,F521&gt;0),1,0)</f>
        <v>1</v>
      </c>
      <c r="J521" s="7" t="n">
        <f aca="false">IF(I521=1,D521*F521,0)</f>
        <v>17</v>
      </c>
      <c r="K521" s="7" t="n">
        <f aca="false">YEAR(E521)*100+MONTH(E521)</f>
        <v>201109</v>
      </c>
      <c r="L521" s="7" t="n">
        <f aca="false">IF(AND(A521&lt;&gt;A520,LEFT(A521,1)&lt;&gt;"C"),1,0)</f>
        <v>0</v>
      </c>
    </row>
    <row r="522" customFormat="false" ht="15" hidden="false" customHeight="false" outlineLevel="0" collapsed="false">
      <c r="A522" s="0" t="s">
        <v>674</v>
      </c>
      <c r="B522" s="0" t="s">
        <v>709</v>
      </c>
      <c r="C522" s="0" t="s">
        <v>710</v>
      </c>
      <c r="D522" s="0" t="n">
        <v>12</v>
      </c>
      <c r="E522" s="6" t="n">
        <v>40794.4388888889</v>
      </c>
      <c r="F522" s="0" t="n">
        <v>0.85</v>
      </c>
      <c r="G522" s="0" t="n">
        <v>12685</v>
      </c>
      <c r="H522" s="0" t="s">
        <v>43</v>
      </c>
      <c r="I522" s="7" t="n">
        <f aca="false">IF(AND(LEFT(A522,1)&lt;&gt;"C",D522&gt;0,F522&gt;0),1,0)</f>
        <v>1</v>
      </c>
      <c r="J522" s="7" t="n">
        <f aca="false">IF(I522=1,D522*F522,0)</f>
        <v>10.2</v>
      </c>
      <c r="K522" s="7" t="n">
        <f aca="false">YEAR(E522)*100+MONTH(E522)</f>
        <v>201109</v>
      </c>
      <c r="L522" s="7" t="n">
        <f aca="false">IF(AND(A522&lt;&gt;A521,LEFT(A522,1)&lt;&gt;"C"),1,0)</f>
        <v>0</v>
      </c>
    </row>
    <row r="523" customFormat="false" ht="15" hidden="false" customHeight="false" outlineLevel="0" collapsed="false">
      <c r="A523" s="0" t="s">
        <v>674</v>
      </c>
      <c r="B523" s="0" t="s">
        <v>711</v>
      </c>
      <c r="C523" s="0" t="s">
        <v>712</v>
      </c>
      <c r="D523" s="0" t="n">
        <v>12</v>
      </c>
      <c r="E523" s="6" t="n">
        <v>40794.4388888889</v>
      </c>
      <c r="F523" s="0" t="n">
        <v>1.45</v>
      </c>
      <c r="G523" s="0" t="n">
        <v>12685</v>
      </c>
      <c r="H523" s="0" t="s">
        <v>43</v>
      </c>
      <c r="I523" s="7" t="n">
        <f aca="false">IF(AND(LEFT(A523,1)&lt;&gt;"C",D523&gt;0,F523&gt;0),1,0)</f>
        <v>1</v>
      </c>
      <c r="J523" s="7" t="n">
        <f aca="false">IF(I523=1,D523*F523,0)</f>
        <v>17.4</v>
      </c>
      <c r="K523" s="7" t="n">
        <f aca="false">YEAR(E523)*100+MONTH(E523)</f>
        <v>201109</v>
      </c>
      <c r="L523" s="7" t="n">
        <f aca="false">IF(AND(A523&lt;&gt;A522,LEFT(A523,1)&lt;&gt;"C"),1,0)</f>
        <v>0</v>
      </c>
    </row>
    <row r="524" customFormat="false" ht="15" hidden="false" customHeight="false" outlineLevel="0" collapsed="false">
      <c r="A524" s="0" t="s">
        <v>674</v>
      </c>
      <c r="B524" s="0" t="s">
        <v>713</v>
      </c>
      <c r="C524" s="0" t="s">
        <v>714</v>
      </c>
      <c r="D524" s="0" t="n">
        <v>18</v>
      </c>
      <c r="E524" s="6" t="n">
        <v>40794.4388888889</v>
      </c>
      <c r="F524" s="0" t="n">
        <v>1.25</v>
      </c>
      <c r="G524" s="0" t="n">
        <v>12685</v>
      </c>
      <c r="H524" s="0" t="s">
        <v>43</v>
      </c>
      <c r="I524" s="7" t="n">
        <f aca="false">IF(AND(LEFT(A524,1)&lt;&gt;"C",D524&gt;0,F524&gt;0),1,0)</f>
        <v>1</v>
      </c>
      <c r="J524" s="7" t="n">
        <f aca="false">IF(I524=1,D524*F524,0)</f>
        <v>22.5</v>
      </c>
      <c r="K524" s="7" t="n">
        <f aca="false">YEAR(E524)*100+MONTH(E524)</f>
        <v>201109</v>
      </c>
      <c r="L524" s="7" t="n">
        <f aca="false">IF(AND(A524&lt;&gt;A523,LEFT(A524,1)&lt;&gt;"C"),1,0)</f>
        <v>0</v>
      </c>
    </row>
    <row r="525" customFormat="false" ht="15" hidden="false" customHeight="false" outlineLevel="0" collapsed="false">
      <c r="A525" s="0" t="s">
        <v>674</v>
      </c>
      <c r="B525" s="0" t="s">
        <v>715</v>
      </c>
      <c r="C525" s="0" t="s">
        <v>716</v>
      </c>
      <c r="D525" s="0" t="n">
        <v>12</v>
      </c>
      <c r="E525" s="6" t="n">
        <v>40794.4388888889</v>
      </c>
      <c r="F525" s="0" t="n">
        <v>0.85</v>
      </c>
      <c r="G525" s="0" t="n">
        <v>12685</v>
      </c>
      <c r="H525" s="0" t="s">
        <v>43</v>
      </c>
      <c r="I525" s="7" t="n">
        <f aca="false">IF(AND(LEFT(A525,1)&lt;&gt;"C",D525&gt;0,F525&gt;0),1,0)</f>
        <v>1</v>
      </c>
      <c r="J525" s="7" t="n">
        <f aca="false">IF(I525=1,D525*F525,0)</f>
        <v>10.2</v>
      </c>
      <c r="K525" s="7" t="n">
        <f aca="false">YEAR(E525)*100+MONTH(E525)</f>
        <v>201109</v>
      </c>
      <c r="L525" s="7" t="n">
        <f aca="false">IF(AND(A525&lt;&gt;A524,LEFT(A525,1)&lt;&gt;"C"),1,0)</f>
        <v>0</v>
      </c>
    </row>
    <row r="526" customFormat="false" ht="15" hidden="false" customHeight="false" outlineLevel="0" collapsed="false">
      <c r="A526" s="0" t="s">
        <v>674</v>
      </c>
      <c r="B526" s="0" t="s">
        <v>457</v>
      </c>
      <c r="C526" s="0" t="s">
        <v>458</v>
      </c>
      <c r="D526" s="0" t="n">
        <v>12</v>
      </c>
      <c r="E526" s="6" t="n">
        <v>40794.4388888889</v>
      </c>
      <c r="F526" s="0" t="n">
        <v>1.25</v>
      </c>
      <c r="G526" s="0" t="n">
        <v>12685</v>
      </c>
      <c r="H526" s="0" t="s">
        <v>43</v>
      </c>
      <c r="I526" s="7" t="n">
        <f aca="false">IF(AND(LEFT(A526,1)&lt;&gt;"C",D526&gt;0,F526&gt;0),1,0)</f>
        <v>1</v>
      </c>
      <c r="J526" s="7" t="n">
        <f aca="false">IF(I526=1,D526*F526,0)</f>
        <v>15</v>
      </c>
      <c r="K526" s="7" t="n">
        <f aca="false">YEAR(E526)*100+MONTH(E526)</f>
        <v>201109</v>
      </c>
      <c r="L526" s="7" t="n">
        <f aca="false">IF(AND(A526&lt;&gt;A525,LEFT(A526,1)&lt;&gt;"C"),1,0)</f>
        <v>0</v>
      </c>
    </row>
    <row r="527" customFormat="false" ht="15" hidden="false" customHeight="false" outlineLevel="0" collapsed="false">
      <c r="A527" s="0" t="s">
        <v>674</v>
      </c>
      <c r="B527" s="0" t="s">
        <v>717</v>
      </c>
      <c r="C527" s="0" t="s">
        <v>718</v>
      </c>
      <c r="D527" s="0" t="n">
        <v>8</v>
      </c>
      <c r="E527" s="6" t="n">
        <v>40794.4388888889</v>
      </c>
      <c r="F527" s="0" t="n">
        <v>0.83</v>
      </c>
      <c r="G527" s="0" t="n">
        <v>12685</v>
      </c>
      <c r="H527" s="0" t="s">
        <v>43</v>
      </c>
      <c r="I527" s="7" t="n">
        <f aca="false">IF(AND(LEFT(A527,1)&lt;&gt;"C",D527&gt;0,F527&gt;0),1,0)</f>
        <v>1</v>
      </c>
      <c r="J527" s="7" t="n">
        <f aca="false">IF(I527=1,D527*F527,0)</f>
        <v>6.64</v>
      </c>
      <c r="K527" s="7" t="n">
        <f aca="false">YEAR(E527)*100+MONTH(E527)</f>
        <v>201109</v>
      </c>
      <c r="L527" s="7" t="n">
        <f aca="false">IF(AND(A527&lt;&gt;A526,LEFT(A527,1)&lt;&gt;"C"),1,0)</f>
        <v>0</v>
      </c>
    </row>
    <row r="528" customFormat="false" ht="15" hidden="false" customHeight="false" outlineLevel="0" collapsed="false">
      <c r="A528" s="0" t="s">
        <v>674</v>
      </c>
      <c r="B528" s="0" t="s">
        <v>109</v>
      </c>
      <c r="C528" s="0" t="s">
        <v>110</v>
      </c>
      <c r="D528" s="0" t="n">
        <v>8</v>
      </c>
      <c r="E528" s="6" t="n">
        <v>40794.4388888889</v>
      </c>
      <c r="F528" s="0" t="n">
        <v>0.83</v>
      </c>
      <c r="G528" s="0" t="n">
        <v>12685</v>
      </c>
      <c r="H528" s="0" t="s">
        <v>43</v>
      </c>
      <c r="I528" s="7" t="n">
        <f aca="false">IF(AND(LEFT(A528,1)&lt;&gt;"C",D528&gt;0,F528&gt;0),1,0)</f>
        <v>1</v>
      </c>
      <c r="J528" s="7" t="n">
        <f aca="false">IF(I528=1,D528*F528,0)</f>
        <v>6.64</v>
      </c>
      <c r="K528" s="7" t="n">
        <f aca="false">YEAR(E528)*100+MONTH(E528)</f>
        <v>201109</v>
      </c>
      <c r="L528" s="7" t="n">
        <f aca="false">IF(AND(A528&lt;&gt;A527,LEFT(A528,1)&lt;&gt;"C"),1,0)</f>
        <v>0</v>
      </c>
    </row>
    <row r="529" customFormat="false" ht="15" hidden="false" customHeight="false" outlineLevel="0" collapsed="false">
      <c r="A529" s="0" t="s">
        <v>674</v>
      </c>
      <c r="B529" s="0" t="s">
        <v>719</v>
      </c>
      <c r="C529" s="0" t="s">
        <v>720</v>
      </c>
      <c r="D529" s="0" t="n">
        <v>8</v>
      </c>
      <c r="E529" s="6" t="n">
        <v>40794.4388888889</v>
      </c>
      <c r="F529" s="0" t="n">
        <v>0.85</v>
      </c>
      <c r="G529" s="0" t="n">
        <v>12685</v>
      </c>
      <c r="H529" s="0" t="s">
        <v>43</v>
      </c>
      <c r="I529" s="7" t="n">
        <f aca="false">IF(AND(LEFT(A529,1)&lt;&gt;"C",D529&gt;0,F529&gt;0),1,0)</f>
        <v>1</v>
      </c>
      <c r="J529" s="7" t="n">
        <f aca="false">IF(I529=1,D529*F529,0)</f>
        <v>6.8</v>
      </c>
      <c r="K529" s="7" t="n">
        <f aca="false">YEAR(E529)*100+MONTH(E529)</f>
        <v>201109</v>
      </c>
      <c r="L529" s="7" t="n">
        <f aca="false">IF(AND(A529&lt;&gt;A528,LEFT(A529,1)&lt;&gt;"C"),1,0)</f>
        <v>0</v>
      </c>
    </row>
    <row r="530" customFormat="false" ht="15" hidden="false" customHeight="false" outlineLevel="0" collapsed="false">
      <c r="A530" s="0" t="s">
        <v>674</v>
      </c>
      <c r="B530" s="0" t="s">
        <v>545</v>
      </c>
      <c r="C530" s="0" t="s">
        <v>546</v>
      </c>
      <c r="D530" s="0" t="n">
        <v>3</v>
      </c>
      <c r="E530" s="6" t="n">
        <v>40794.4388888889</v>
      </c>
      <c r="F530" s="0" t="n">
        <v>4.95</v>
      </c>
      <c r="G530" s="0" t="n">
        <v>12685</v>
      </c>
      <c r="H530" s="0" t="s">
        <v>43</v>
      </c>
      <c r="I530" s="7" t="n">
        <f aca="false">IF(AND(LEFT(A530,1)&lt;&gt;"C",D530&gt;0,F530&gt;0),1,0)</f>
        <v>1</v>
      </c>
      <c r="J530" s="7" t="n">
        <f aca="false">IF(I530=1,D530*F530,0)</f>
        <v>14.85</v>
      </c>
      <c r="K530" s="7" t="n">
        <f aca="false">YEAR(E530)*100+MONTH(E530)</f>
        <v>201109</v>
      </c>
      <c r="L530" s="7" t="n">
        <f aca="false">IF(AND(A530&lt;&gt;A529,LEFT(A530,1)&lt;&gt;"C"),1,0)</f>
        <v>0</v>
      </c>
    </row>
    <row r="531" customFormat="false" ht="15" hidden="false" customHeight="false" outlineLevel="0" collapsed="false">
      <c r="A531" s="0" t="s">
        <v>674</v>
      </c>
      <c r="B531" s="0" t="s">
        <v>721</v>
      </c>
      <c r="C531" s="0" t="s">
        <v>722</v>
      </c>
      <c r="D531" s="0" t="n">
        <v>6</v>
      </c>
      <c r="E531" s="6" t="n">
        <v>40794.4388888889</v>
      </c>
      <c r="F531" s="0" t="n">
        <v>2.1</v>
      </c>
      <c r="G531" s="0" t="n">
        <v>12685</v>
      </c>
      <c r="H531" s="0" t="s">
        <v>43</v>
      </c>
      <c r="I531" s="7" t="n">
        <f aca="false">IF(AND(LEFT(A531,1)&lt;&gt;"C",D531&gt;0,F531&gt;0),1,0)</f>
        <v>1</v>
      </c>
      <c r="J531" s="7" t="n">
        <f aca="false">IF(I531=1,D531*F531,0)</f>
        <v>12.6</v>
      </c>
      <c r="K531" s="7" t="n">
        <f aca="false">YEAR(E531)*100+MONTH(E531)</f>
        <v>201109</v>
      </c>
      <c r="L531" s="7" t="n">
        <f aca="false">IF(AND(A531&lt;&gt;A530,LEFT(A531,1)&lt;&gt;"C"),1,0)</f>
        <v>0</v>
      </c>
    </row>
    <row r="532" customFormat="false" ht="15" hidden="false" customHeight="false" outlineLevel="0" collapsed="false">
      <c r="A532" s="0" t="s">
        <v>674</v>
      </c>
      <c r="B532" s="0" t="s">
        <v>723</v>
      </c>
      <c r="C532" s="0" t="s">
        <v>724</v>
      </c>
      <c r="D532" s="0" t="n">
        <v>6</v>
      </c>
      <c r="E532" s="6" t="n">
        <v>40794.4388888889</v>
      </c>
      <c r="F532" s="0" t="n">
        <v>2.1</v>
      </c>
      <c r="G532" s="0" t="n">
        <v>12685</v>
      </c>
      <c r="H532" s="0" t="s">
        <v>43</v>
      </c>
      <c r="I532" s="7" t="n">
        <f aca="false">IF(AND(LEFT(A532,1)&lt;&gt;"C",D532&gt;0,F532&gt;0),1,0)</f>
        <v>1</v>
      </c>
      <c r="J532" s="7" t="n">
        <f aca="false">IF(I532=1,D532*F532,0)</f>
        <v>12.6</v>
      </c>
      <c r="K532" s="7" t="n">
        <f aca="false">YEAR(E532)*100+MONTH(E532)</f>
        <v>201109</v>
      </c>
      <c r="L532" s="7" t="n">
        <f aca="false">IF(AND(A532&lt;&gt;A531,LEFT(A532,1)&lt;&gt;"C"),1,0)</f>
        <v>0</v>
      </c>
    </row>
    <row r="533" customFormat="false" ht="15" hidden="false" customHeight="false" outlineLevel="0" collapsed="false">
      <c r="A533" s="0" t="s">
        <v>674</v>
      </c>
      <c r="B533" s="0" t="s">
        <v>131</v>
      </c>
      <c r="C533" s="0" t="s">
        <v>132</v>
      </c>
      <c r="D533" s="0" t="n">
        <v>8</v>
      </c>
      <c r="E533" s="6" t="n">
        <v>40794.4388888889</v>
      </c>
      <c r="F533" s="0" t="n">
        <v>1.65</v>
      </c>
      <c r="G533" s="0" t="n">
        <v>12685</v>
      </c>
      <c r="H533" s="0" t="s">
        <v>43</v>
      </c>
      <c r="I533" s="7" t="n">
        <f aca="false">IF(AND(LEFT(A533,1)&lt;&gt;"C",D533&gt;0,F533&gt;0),1,0)</f>
        <v>1</v>
      </c>
      <c r="J533" s="7" t="n">
        <f aca="false">IF(I533=1,D533*F533,0)</f>
        <v>13.2</v>
      </c>
      <c r="K533" s="7" t="n">
        <f aca="false">YEAR(E533)*100+MONTH(E533)</f>
        <v>201109</v>
      </c>
      <c r="L533" s="7" t="n">
        <f aca="false">IF(AND(A533&lt;&gt;A532,LEFT(A533,1)&lt;&gt;"C"),1,0)</f>
        <v>0</v>
      </c>
    </row>
    <row r="534" customFormat="false" ht="15" hidden="false" customHeight="false" outlineLevel="0" collapsed="false">
      <c r="A534" s="0" t="s">
        <v>674</v>
      </c>
      <c r="B534" s="0" t="s">
        <v>127</v>
      </c>
      <c r="C534" s="0" t="s">
        <v>128</v>
      </c>
      <c r="D534" s="0" t="n">
        <v>8</v>
      </c>
      <c r="E534" s="6" t="n">
        <v>40794.4388888889</v>
      </c>
      <c r="F534" s="0" t="n">
        <v>1.65</v>
      </c>
      <c r="G534" s="0" t="n">
        <v>12685</v>
      </c>
      <c r="H534" s="0" t="s">
        <v>43</v>
      </c>
      <c r="I534" s="7" t="n">
        <f aca="false">IF(AND(LEFT(A534,1)&lt;&gt;"C",D534&gt;0,F534&gt;0),1,0)</f>
        <v>1</v>
      </c>
      <c r="J534" s="7" t="n">
        <f aca="false">IF(I534=1,D534*F534,0)</f>
        <v>13.2</v>
      </c>
      <c r="K534" s="7" t="n">
        <f aca="false">YEAR(E534)*100+MONTH(E534)</f>
        <v>201109</v>
      </c>
      <c r="L534" s="7" t="n">
        <f aca="false">IF(AND(A534&lt;&gt;A533,LEFT(A534,1)&lt;&gt;"C"),1,0)</f>
        <v>0</v>
      </c>
    </row>
    <row r="535" customFormat="false" ht="15" hidden="false" customHeight="false" outlineLevel="0" collapsed="false">
      <c r="A535" s="0" t="s">
        <v>674</v>
      </c>
      <c r="B535" s="0" t="s">
        <v>382</v>
      </c>
      <c r="C535" s="0" t="s">
        <v>383</v>
      </c>
      <c r="D535" s="0" t="n">
        <v>6</v>
      </c>
      <c r="E535" s="6" t="n">
        <v>40794.4388888889</v>
      </c>
      <c r="F535" s="0" t="n">
        <v>2.95</v>
      </c>
      <c r="G535" s="0" t="n">
        <v>12685</v>
      </c>
      <c r="H535" s="0" t="s">
        <v>43</v>
      </c>
      <c r="I535" s="7" t="n">
        <f aca="false">IF(AND(LEFT(A535,1)&lt;&gt;"C",D535&gt;0,F535&gt;0),1,0)</f>
        <v>1</v>
      </c>
      <c r="J535" s="7" t="n">
        <f aca="false">IF(I535=1,D535*F535,0)</f>
        <v>17.7</v>
      </c>
      <c r="K535" s="7" t="n">
        <f aca="false">YEAR(E535)*100+MONTH(E535)</f>
        <v>201109</v>
      </c>
      <c r="L535" s="7" t="n">
        <f aca="false">IF(AND(A535&lt;&gt;A534,LEFT(A535,1)&lt;&gt;"C"),1,0)</f>
        <v>0</v>
      </c>
    </row>
    <row r="536" customFormat="false" ht="15" hidden="false" customHeight="false" outlineLevel="0" collapsed="false">
      <c r="A536" s="0" t="s">
        <v>674</v>
      </c>
      <c r="B536" s="0" t="s">
        <v>665</v>
      </c>
      <c r="C536" s="0" t="s">
        <v>666</v>
      </c>
      <c r="D536" s="0" t="n">
        <v>25</v>
      </c>
      <c r="E536" s="6" t="n">
        <v>40794.4388888889</v>
      </c>
      <c r="F536" s="0" t="n">
        <v>0.42</v>
      </c>
      <c r="G536" s="0" t="n">
        <v>12685</v>
      </c>
      <c r="H536" s="0" t="s">
        <v>43</v>
      </c>
      <c r="I536" s="7" t="n">
        <f aca="false">IF(AND(LEFT(A536,1)&lt;&gt;"C",D536&gt;0,F536&gt;0),1,0)</f>
        <v>1</v>
      </c>
      <c r="J536" s="7" t="n">
        <f aca="false">IF(I536=1,D536*F536,0)</f>
        <v>10.5</v>
      </c>
      <c r="K536" s="7" t="n">
        <f aca="false">YEAR(E536)*100+MONTH(E536)</f>
        <v>201109</v>
      </c>
      <c r="L536" s="7" t="n">
        <f aca="false">IF(AND(A536&lt;&gt;A535,LEFT(A536,1)&lt;&gt;"C"),1,0)</f>
        <v>0</v>
      </c>
    </row>
    <row r="537" customFormat="false" ht="15" hidden="false" customHeight="false" outlineLevel="0" collapsed="false">
      <c r="A537" s="0" t="s">
        <v>674</v>
      </c>
      <c r="B537" s="0" t="s">
        <v>725</v>
      </c>
      <c r="C537" s="0" t="s">
        <v>726</v>
      </c>
      <c r="D537" s="0" t="n">
        <v>8</v>
      </c>
      <c r="E537" s="6" t="n">
        <v>40794.4388888889</v>
      </c>
      <c r="F537" s="0" t="n">
        <v>1.95</v>
      </c>
      <c r="G537" s="0" t="n">
        <v>12685</v>
      </c>
      <c r="H537" s="0" t="s">
        <v>43</v>
      </c>
      <c r="I537" s="7" t="n">
        <f aca="false">IF(AND(LEFT(A537,1)&lt;&gt;"C",D537&gt;0,F537&gt;0),1,0)</f>
        <v>1</v>
      </c>
      <c r="J537" s="7" t="n">
        <f aca="false">IF(I537=1,D537*F537,0)</f>
        <v>15.6</v>
      </c>
      <c r="K537" s="7" t="n">
        <f aca="false">YEAR(E537)*100+MONTH(E537)</f>
        <v>201109</v>
      </c>
      <c r="L537" s="7" t="n">
        <f aca="false">IF(AND(A537&lt;&gt;A536,LEFT(A537,1)&lt;&gt;"C"),1,0)</f>
        <v>0</v>
      </c>
    </row>
    <row r="538" customFormat="false" ht="15" hidden="false" customHeight="false" outlineLevel="0" collapsed="false">
      <c r="A538" s="0" t="s">
        <v>674</v>
      </c>
      <c r="B538" s="0" t="s">
        <v>119</v>
      </c>
      <c r="C538" s="0" t="s">
        <v>120</v>
      </c>
      <c r="D538" s="0" t="n">
        <v>12</v>
      </c>
      <c r="E538" s="6" t="n">
        <v>40794.4388888889</v>
      </c>
      <c r="F538" s="0" t="n">
        <v>0.42</v>
      </c>
      <c r="G538" s="0" t="n">
        <v>12685</v>
      </c>
      <c r="H538" s="0" t="s">
        <v>43</v>
      </c>
      <c r="I538" s="7" t="n">
        <f aca="false">IF(AND(LEFT(A538,1)&lt;&gt;"C",D538&gt;0,F538&gt;0),1,0)</f>
        <v>1</v>
      </c>
      <c r="J538" s="7" t="n">
        <f aca="false">IF(I538=1,D538*F538,0)</f>
        <v>5.04</v>
      </c>
      <c r="K538" s="7" t="n">
        <f aca="false">YEAR(E538)*100+MONTH(E538)</f>
        <v>201109</v>
      </c>
      <c r="L538" s="7" t="n">
        <f aca="false">IF(AND(A538&lt;&gt;A537,LEFT(A538,1)&lt;&gt;"C"),1,0)</f>
        <v>0</v>
      </c>
    </row>
    <row r="539" customFormat="false" ht="15" hidden="false" customHeight="false" outlineLevel="0" collapsed="false">
      <c r="A539" s="0" t="s">
        <v>674</v>
      </c>
      <c r="B539" s="0" t="s">
        <v>335</v>
      </c>
      <c r="C539" s="0" t="s">
        <v>336</v>
      </c>
      <c r="D539" s="0" t="n">
        <v>12</v>
      </c>
      <c r="E539" s="6" t="n">
        <v>40794.4388888889</v>
      </c>
      <c r="F539" s="0" t="n">
        <v>1.65</v>
      </c>
      <c r="G539" s="0" t="n">
        <v>12685</v>
      </c>
      <c r="H539" s="0" t="s">
        <v>43</v>
      </c>
      <c r="I539" s="7" t="n">
        <f aca="false">IF(AND(LEFT(A539,1)&lt;&gt;"C",D539&gt;0,F539&gt;0),1,0)</f>
        <v>1</v>
      </c>
      <c r="J539" s="7" t="n">
        <f aca="false">IF(I539=1,D539*F539,0)</f>
        <v>19.8</v>
      </c>
      <c r="K539" s="7" t="n">
        <f aca="false">YEAR(E539)*100+MONTH(E539)</f>
        <v>201109</v>
      </c>
      <c r="L539" s="7" t="n">
        <f aca="false">IF(AND(A539&lt;&gt;A538,LEFT(A539,1)&lt;&gt;"C"),1,0)</f>
        <v>0</v>
      </c>
    </row>
    <row r="540" customFormat="false" ht="15" hidden="false" customHeight="false" outlineLevel="0" collapsed="false">
      <c r="A540" s="0" t="s">
        <v>674</v>
      </c>
      <c r="B540" s="0" t="s">
        <v>727</v>
      </c>
      <c r="C540" s="0" t="s">
        <v>728</v>
      </c>
      <c r="D540" s="0" t="n">
        <v>6</v>
      </c>
      <c r="E540" s="6" t="n">
        <v>40794.4388888889</v>
      </c>
      <c r="F540" s="0" t="n">
        <v>2.55</v>
      </c>
      <c r="G540" s="0" t="n">
        <v>12685</v>
      </c>
      <c r="H540" s="0" t="s">
        <v>43</v>
      </c>
      <c r="I540" s="7" t="n">
        <f aca="false">IF(AND(LEFT(A540,1)&lt;&gt;"C",D540&gt;0,F540&gt;0),1,0)</f>
        <v>1</v>
      </c>
      <c r="J540" s="7" t="n">
        <f aca="false">IF(I540=1,D540*F540,0)</f>
        <v>15.3</v>
      </c>
      <c r="K540" s="7" t="n">
        <f aca="false">YEAR(E540)*100+MONTH(E540)</f>
        <v>201109</v>
      </c>
      <c r="L540" s="7" t="n">
        <f aca="false">IF(AND(A540&lt;&gt;A539,LEFT(A540,1)&lt;&gt;"C"),1,0)</f>
        <v>0</v>
      </c>
    </row>
    <row r="541" customFormat="false" ht="15" hidden="false" customHeight="false" outlineLevel="0" collapsed="false">
      <c r="A541" s="0" t="s">
        <v>674</v>
      </c>
      <c r="B541" s="0" t="s">
        <v>269</v>
      </c>
      <c r="C541" s="0" t="s">
        <v>270</v>
      </c>
      <c r="D541" s="0" t="n">
        <v>4</v>
      </c>
      <c r="E541" s="6" t="n">
        <v>40794.4388888889</v>
      </c>
      <c r="F541" s="0" t="n">
        <v>4.25</v>
      </c>
      <c r="G541" s="0" t="n">
        <v>12685</v>
      </c>
      <c r="H541" s="0" t="s">
        <v>43</v>
      </c>
      <c r="I541" s="7" t="n">
        <f aca="false">IF(AND(LEFT(A541,1)&lt;&gt;"C",D541&gt;0,F541&gt;0),1,0)</f>
        <v>1</v>
      </c>
      <c r="J541" s="7" t="n">
        <f aca="false">IF(I541=1,D541*F541,0)</f>
        <v>17</v>
      </c>
      <c r="K541" s="7" t="n">
        <f aca="false">YEAR(E541)*100+MONTH(E541)</f>
        <v>201109</v>
      </c>
      <c r="L541" s="7" t="n">
        <f aca="false">IF(AND(A541&lt;&gt;A540,LEFT(A541,1)&lt;&gt;"C"),1,0)</f>
        <v>0</v>
      </c>
    </row>
    <row r="542" customFormat="false" ht="15" hidden="false" customHeight="false" outlineLevel="0" collapsed="false">
      <c r="A542" s="0" t="s">
        <v>674</v>
      </c>
      <c r="B542" s="0" t="s">
        <v>333</v>
      </c>
      <c r="C542" s="0" t="s">
        <v>334</v>
      </c>
      <c r="D542" s="0" t="n">
        <v>12</v>
      </c>
      <c r="E542" s="6" t="n">
        <v>40794.4388888889</v>
      </c>
      <c r="F542" s="0" t="n">
        <v>1.65</v>
      </c>
      <c r="G542" s="0" t="n">
        <v>12685</v>
      </c>
      <c r="H542" s="0" t="s">
        <v>43</v>
      </c>
      <c r="I542" s="7" t="n">
        <f aca="false">IF(AND(LEFT(A542,1)&lt;&gt;"C",D542&gt;0,F542&gt;0),1,0)</f>
        <v>1</v>
      </c>
      <c r="J542" s="7" t="n">
        <f aca="false">IF(I542=1,D542*F542,0)</f>
        <v>19.8</v>
      </c>
      <c r="K542" s="7" t="n">
        <f aca="false">YEAR(E542)*100+MONTH(E542)</f>
        <v>201109</v>
      </c>
      <c r="L542" s="7" t="n">
        <f aca="false">IF(AND(A542&lt;&gt;A541,LEFT(A542,1)&lt;&gt;"C"),1,0)</f>
        <v>0</v>
      </c>
    </row>
    <row r="543" customFormat="false" ht="15" hidden="false" customHeight="false" outlineLevel="0" collapsed="false">
      <c r="A543" s="0" t="s">
        <v>674</v>
      </c>
      <c r="B543" s="0" t="s">
        <v>729</v>
      </c>
      <c r="C543" s="0" t="s">
        <v>730</v>
      </c>
      <c r="D543" s="0" t="n">
        <v>3</v>
      </c>
      <c r="E543" s="6" t="n">
        <v>40794.4388888889</v>
      </c>
      <c r="F543" s="0" t="n">
        <v>4.95</v>
      </c>
      <c r="G543" s="0" t="n">
        <v>12685</v>
      </c>
      <c r="H543" s="0" t="s">
        <v>43</v>
      </c>
      <c r="I543" s="7" t="n">
        <f aca="false">IF(AND(LEFT(A543,1)&lt;&gt;"C",D543&gt;0,F543&gt;0),1,0)</f>
        <v>1</v>
      </c>
      <c r="J543" s="7" t="n">
        <f aca="false">IF(I543=1,D543*F543,0)</f>
        <v>14.85</v>
      </c>
      <c r="K543" s="7" t="n">
        <f aca="false">YEAR(E543)*100+MONTH(E543)</f>
        <v>201109</v>
      </c>
      <c r="L543" s="7" t="n">
        <f aca="false">IF(AND(A543&lt;&gt;A542,LEFT(A543,1)&lt;&gt;"C"),1,0)</f>
        <v>0</v>
      </c>
    </row>
    <row r="544" customFormat="false" ht="15" hidden="false" customHeight="false" outlineLevel="0" collapsed="false">
      <c r="A544" s="0" t="s">
        <v>674</v>
      </c>
      <c r="B544" s="0" t="s">
        <v>731</v>
      </c>
      <c r="C544" s="0" t="s">
        <v>732</v>
      </c>
      <c r="D544" s="0" t="n">
        <v>6</v>
      </c>
      <c r="E544" s="6" t="n">
        <v>40794.4388888889</v>
      </c>
      <c r="F544" s="0" t="n">
        <v>2.95</v>
      </c>
      <c r="G544" s="0" t="n">
        <v>12685</v>
      </c>
      <c r="H544" s="0" t="s">
        <v>43</v>
      </c>
      <c r="I544" s="7" t="n">
        <f aca="false">IF(AND(LEFT(A544,1)&lt;&gt;"C",D544&gt;0,F544&gt;0),1,0)</f>
        <v>1</v>
      </c>
      <c r="J544" s="7" t="n">
        <f aca="false">IF(I544=1,D544*F544,0)</f>
        <v>17.7</v>
      </c>
      <c r="K544" s="7" t="n">
        <f aca="false">YEAR(E544)*100+MONTH(E544)</f>
        <v>201109</v>
      </c>
      <c r="L544" s="7" t="n">
        <f aca="false">IF(AND(A544&lt;&gt;A543,LEFT(A544,1)&lt;&gt;"C"),1,0)</f>
        <v>0</v>
      </c>
    </row>
    <row r="545" customFormat="false" ht="15" hidden="false" customHeight="false" outlineLevel="0" collapsed="false">
      <c r="A545" s="0" t="s">
        <v>674</v>
      </c>
      <c r="B545" s="0" t="s">
        <v>733</v>
      </c>
      <c r="C545" s="0" t="s">
        <v>734</v>
      </c>
      <c r="D545" s="0" t="n">
        <v>24</v>
      </c>
      <c r="E545" s="6" t="n">
        <v>40794.4388888889</v>
      </c>
      <c r="F545" s="0" t="n">
        <v>1.25</v>
      </c>
      <c r="G545" s="0" t="n">
        <v>12685</v>
      </c>
      <c r="H545" s="0" t="s">
        <v>43</v>
      </c>
      <c r="I545" s="7" t="n">
        <f aca="false">IF(AND(LEFT(A545,1)&lt;&gt;"C",D545&gt;0,F545&gt;0),1,0)</f>
        <v>1</v>
      </c>
      <c r="J545" s="7" t="n">
        <f aca="false">IF(I545=1,D545*F545,0)</f>
        <v>30</v>
      </c>
      <c r="K545" s="7" t="n">
        <f aca="false">YEAR(E545)*100+MONTH(E545)</f>
        <v>201109</v>
      </c>
      <c r="L545" s="7" t="n">
        <f aca="false">IF(AND(A545&lt;&gt;A544,LEFT(A545,1)&lt;&gt;"C"),1,0)</f>
        <v>0</v>
      </c>
    </row>
    <row r="546" customFormat="false" ht="15" hidden="false" customHeight="false" outlineLevel="0" collapsed="false">
      <c r="A546" s="0" t="s">
        <v>674</v>
      </c>
      <c r="B546" s="0" t="s">
        <v>735</v>
      </c>
      <c r="C546" s="0" t="s">
        <v>736</v>
      </c>
      <c r="D546" s="0" t="n">
        <v>4</v>
      </c>
      <c r="E546" s="6" t="n">
        <v>40794.4388888889</v>
      </c>
      <c r="F546" s="0" t="n">
        <v>4.95</v>
      </c>
      <c r="G546" s="0" t="n">
        <v>12685</v>
      </c>
      <c r="H546" s="0" t="s">
        <v>43</v>
      </c>
      <c r="I546" s="7" t="n">
        <f aca="false">IF(AND(LEFT(A546,1)&lt;&gt;"C",D546&gt;0,F546&gt;0),1,0)</f>
        <v>1</v>
      </c>
      <c r="J546" s="7" t="n">
        <f aca="false">IF(I546=1,D546*F546,0)</f>
        <v>19.8</v>
      </c>
      <c r="K546" s="7" t="n">
        <f aca="false">YEAR(E546)*100+MONTH(E546)</f>
        <v>201109</v>
      </c>
      <c r="L546" s="7" t="n">
        <f aca="false">IF(AND(A546&lt;&gt;A545,LEFT(A546,1)&lt;&gt;"C"),1,0)</f>
        <v>0</v>
      </c>
    </row>
    <row r="547" customFormat="false" ht="15" hidden="false" customHeight="false" outlineLevel="0" collapsed="false">
      <c r="A547" s="0" t="s">
        <v>674</v>
      </c>
      <c r="B547" s="0" t="s">
        <v>737</v>
      </c>
      <c r="C547" s="0" t="s">
        <v>738</v>
      </c>
      <c r="D547" s="0" t="n">
        <v>4</v>
      </c>
      <c r="E547" s="6" t="n">
        <v>40794.4388888889</v>
      </c>
      <c r="F547" s="0" t="n">
        <v>4.95</v>
      </c>
      <c r="G547" s="0" t="n">
        <v>12685</v>
      </c>
      <c r="H547" s="0" t="s">
        <v>43</v>
      </c>
      <c r="I547" s="7" t="n">
        <f aca="false">IF(AND(LEFT(A547,1)&lt;&gt;"C",D547&gt;0,F547&gt;0),1,0)</f>
        <v>1</v>
      </c>
      <c r="J547" s="7" t="n">
        <f aca="false">IF(I547=1,D547*F547,0)</f>
        <v>19.8</v>
      </c>
      <c r="K547" s="7" t="n">
        <f aca="false">YEAR(E547)*100+MONTH(E547)</f>
        <v>201109</v>
      </c>
      <c r="L547" s="7" t="n">
        <f aca="false">IF(AND(A547&lt;&gt;A546,LEFT(A547,1)&lt;&gt;"C"),1,0)</f>
        <v>0</v>
      </c>
    </row>
    <row r="548" customFormat="false" ht="15" hidden="false" customHeight="false" outlineLevel="0" collapsed="false">
      <c r="A548" s="0" t="s">
        <v>674</v>
      </c>
      <c r="B548" s="0" t="s">
        <v>739</v>
      </c>
      <c r="C548" s="0" t="s">
        <v>740</v>
      </c>
      <c r="D548" s="0" t="n">
        <v>12</v>
      </c>
      <c r="E548" s="6" t="n">
        <v>40794.4388888889</v>
      </c>
      <c r="F548" s="0" t="n">
        <v>2.89</v>
      </c>
      <c r="G548" s="0" t="n">
        <v>12685</v>
      </c>
      <c r="H548" s="0" t="s">
        <v>43</v>
      </c>
      <c r="I548" s="7" t="n">
        <f aca="false">IF(AND(LEFT(A548,1)&lt;&gt;"C",D548&gt;0,F548&gt;0),1,0)</f>
        <v>1</v>
      </c>
      <c r="J548" s="7" t="n">
        <f aca="false">IF(I548=1,D548*F548,0)</f>
        <v>34.68</v>
      </c>
      <c r="K548" s="7" t="n">
        <f aca="false">YEAR(E548)*100+MONTH(E548)</f>
        <v>201109</v>
      </c>
      <c r="L548" s="7" t="n">
        <f aca="false">IF(AND(A548&lt;&gt;A547,LEFT(A548,1)&lt;&gt;"C"),1,0)</f>
        <v>0</v>
      </c>
    </row>
    <row r="549" customFormat="false" ht="15" hidden="false" customHeight="false" outlineLevel="0" collapsed="false">
      <c r="A549" s="0" t="s">
        <v>674</v>
      </c>
      <c r="B549" s="0" t="s">
        <v>606</v>
      </c>
      <c r="C549" s="0" t="s">
        <v>607</v>
      </c>
      <c r="D549" s="0" t="n">
        <v>24</v>
      </c>
      <c r="E549" s="6" t="n">
        <v>40794.4388888889</v>
      </c>
      <c r="F549" s="0" t="n">
        <v>0.42</v>
      </c>
      <c r="G549" s="0" t="n">
        <v>12685</v>
      </c>
      <c r="H549" s="0" t="s">
        <v>43</v>
      </c>
      <c r="I549" s="7" t="n">
        <f aca="false">IF(AND(LEFT(A549,1)&lt;&gt;"C",D549&gt;0,F549&gt;0),1,0)</f>
        <v>1</v>
      </c>
      <c r="J549" s="7" t="n">
        <f aca="false">IF(I549=1,D549*F549,0)</f>
        <v>10.08</v>
      </c>
      <c r="K549" s="7" t="n">
        <f aca="false">YEAR(E549)*100+MONTH(E549)</f>
        <v>201109</v>
      </c>
      <c r="L549" s="7" t="n">
        <f aca="false">IF(AND(A549&lt;&gt;A548,LEFT(A549,1)&lt;&gt;"C"),1,0)</f>
        <v>0</v>
      </c>
    </row>
    <row r="550" customFormat="false" ht="15" hidden="false" customHeight="false" outlineLevel="0" collapsed="false">
      <c r="A550" s="0" t="s">
        <v>674</v>
      </c>
      <c r="B550" s="0" t="s">
        <v>741</v>
      </c>
      <c r="C550" s="0" t="s">
        <v>742</v>
      </c>
      <c r="D550" s="0" t="n">
        <v>24</v>
      </c>
      <c r="E550" s="6" t="n">
        <v>40794.4388888889</v>
      </c>
      <c r="F550" s="0" t="n">
        <v>0.42</v>
      </c>
      <c r="G550" s="0" t="n">
        <v>12685</v>
      </c>
      <c r="H550" s="0" t="s">
        <v>43</v>
      </c>
      <c r="I550" s="7" t="n">
        <f aca="false">IF(AND(LEFT(A550,1)&lt;&gt;"C",D550&gt;0,F550&gt;0),1,0)</f>
        <v>1</v>
      </c>
      <c r="J550" s="7" t="n">
        <f aca="false">IF(I550=1,D550*F550,0)</f>
        <v>10.08</v>
      </c>
      <c r="K550" s="7" t="n">
        <f aca="false">YEAR(E550)*100+MONTH(E550)</f>
        <v>201109</v>
      </c>
      <c r="L550" s="7" t="n">
        <f aca="false">IF(AND(A550&lt;&gt;A549,LEFT(A550,1)&lt;&gt;"C"),1,0)</f>
        <v>0</v>
      </c>
    </row>
    <row r="551" customFormat="false" ht="15" hidden="false" customHeight="false" outlineLevel="0" collapsed="false">
      <c r="A551" s="0" t="s">
        <v>674</v>
      </c>
      <c r="B551" s="0" t="s">
        <v>743</v>
      </c>
      <c r="C551" s="0" t="s">
        <v>744</v>
      </c>
      <c r="D551" s="0" t="n">
        <v>24</v>
      </c>
      <c r="E551" s="6" t="n">
        <v>40794.4388888889</v>
      </c>
      <c r="F551" s="0" t="n">
        <v>0.42</v>
      </c>
      <c r="G551" s="0" t="n">
        <v>12685</v>
      </c>
      <c r="H551" s="0" t="s">
        <v>43</v>
      </c>
      <c r="I551" s="7" t="n">
        <f aca="false">IF(AND(LEFT(A551,1)&lt;&gt;"C",D551&gt;0,F551&gt;0),1,0)</f>
        <v>1</v>
      </c>
      <c r="J551" s="7" t="n">
        <f aca="false">IF(I551=1,D551*F551,0)</f>
        <v>10.08</v>
      </c>
      <c r="K551" s="7" t="n">
        <f aca="false">YEAR(E551)*100+MONTH(E551)</f>
        <v>201109</v>
      </c>
      <c r="L551" s="7" t="n">
        <f aca="false">IF(AND(A551&lt;&gt;A550,LEFT(A551,1)&lt;&gt;"C"),1,0)</f>
        <v>0</v>
      </c>
    </row>
    <row r="552" customFormat="false" ht="15" hidden="false" customHeight="false" outlineLevel="0" collapsed="false">
      <c r="A552" s="0" t="s">
        <v>674</v>
      </c>
      <c r="B552" s="0" t="s">
        <v>745</v>
      </c>
      <c r="C552" s="0" t="s">
        <v>746</v>
      </c>
      <c r="D552" s="0" t="n">
        <v>12</v>
      </c>
      <c r="E552" s="6" t="n">
        <v>40794.4388888889</v>
      </c>
      <c r="F552" s="0" t="n">
        <v>2.95</v>
      </c>
      <c r="G552" s="0" t="n">
        <v>12685</v>
      </c>
      <c r="H552" s="0" t="s">
        <v>43</v>
      </c>
      <c r="I552" s="7" t="n">
        <f aca="false">IF(AND(LEFT(A552,1)&lt;&gt;"C",D552&gt;0,F552&gt;0),1,0)</f>
        <v>1</v>
      </c>
      <c r="J552" s="7" t="n">
        <f aca="false">IF(I552=1,D552*F552,0)</f>
        <v>35.4</v>
      </c>
      <c r="K552" s="7" t="n">
        <f aca="false">YEAR(E552)*100+MONTH(E552)</f>
        <v>201109</v>
      </c>
      <c r="L552" s="7" t="n">
        <f aca="false">IF(AND(A552&lt;&gt;A551,LEFT(A552,1)&lt;&gt;"C"),1,0)</f>
        <v>0</v>
      </c>
    </row>
    <row r="553" customFormat="false" ht="15" hidden="false" customHeight="false" outlineLevel="0" collapsed="false">
      <c r="A553" s="0" t="s">
        <v>674</v>
      </c>
      <c r="B553" s="0" t="s">
        <v>747</v>
      </c>
      <c r="C553" s="0" t="s">
        <v>748</v>
      </c>
      <c r="D553" s="0" t="n">
        <v>24</v>
      </c>
      <c r="E553" s="6" t="n">
        <v>40794.4388888889</v>
      </c>
      <c r="F553" s="0" t="n">
        <v>0.42</v>
      </c>
      <c r="G553" s="0" t="n">
        <v>12685</v>
      </c>
      <c r="H553" s="0" t="s">
        <v>43</v>
      </c>
      <c r="I553" s="7" t="n">
        <f aca="false">IF(AND(LEFT(A553,1)&lt;&gt;"C",D553&gt;0,F553&gt;0),1,0)</f>
        <v>1</v>
      </c>
      <c r="J553" s="7" t="n">
        <f aca="false">IF(I553=1,D553*F553,0)</f>
        <v>10.08</v>
      </c>
      <c r="K553" s="7" t="n">
        <f aca="false">YEAR(E553)*100+MONTH(E553)</f>
        <v>201109</v>
      </c>
      <c r="L553" s="7" t="n">
        <f aca="false">IF(AND(A553&lt;&gt;A552,LEFT(A553,1)&lt;&gt;"C"),1,0)</f>
        <v>0</v>
      </c>
    </row>
    <row r="554" customFormat="false" ht="15" hidden="false" customHeight="false" outlineLevel="0" collapsed="false">
      <c r="A554" s="0" t="s">
        <v>749</v>
      </c>
      <c r="B554" s="0" t="s">
        <v>406</v>
      </c>
      <c r="C554" s="0" t="s">
        <v>407</v>
      </c>
      <c r="D554" s="0" t="n">
        <v>8</v>
      </c>
      <c r="E554" s="6" t="n">
        <v>40794.4409722222</v>
      </c>
      <c r="F554" s="0" t="n">
        <v>2.25</v>
      </c>
      <c r="G554" s="0" t="n">
        <v>12683</v>
      </c>
      <c r="H554" s="0" t="s">
        <v>43</v>
      </c>
      <c r="I554" s="7" t="n">
        <f aca="false">IF(AND(LEFT(A554,1)&lt;&gt;"C",D554&gt;0,F554&gt;0),1,0)</f>
        <v>1</v>
      </c>
      <c r="J554" s="7" t="n">
        <f aca="false">IF(I554=1,D554*F554,0)</f>
        <v>18</v>
      </c>
      <c r="K554" s="7" t="n">
        <f aca="false">YEAR(E554)*100+MONTH(E554)</f>
        <v>201109</v>
      </c>
      <c r="L554" s="7" t="n">
        <f aca="false">IF(AND(A554&lt;&gt;A553,LEFT(A554,1)&lt;&gt;"C"),1,0)</f>
        <v>1</v>
      </c>
    </row>
    <row r="555" customFormat="false" ht="15" hidden="false" customHeight="false" outlineLevel="0" collapsed="false">
      <c r="A555" s="0" t="s">
        <v>749</v>
      </c>
      <c r="B555" s="0" t="s">
        <v>257</v>
      </c>
      <c r="C555" s="0" t="s">
        <v>258</v>
      </c>
      <c r="D555" s="0" t="n">
        <v>8</v>
      </c>
      <c r="E555" s="6" t="n">
        <v>40794.4409722222</v>
      </c>
      <c r="F555" s="0" t="n">
        <v>2.55</v>
      </c>
      <c r="G555" s="0" t="n">
        <v>12683</v>
      </c>
      <c r="H555" s="0" t="s">
        <v>43</v>
      </c>
      <c r="I555" s="7" t="n">
        <f aca="false">IF(AND(LEFT(A555,1)&lt;&gt;"C",D555&gt;0,F555&gt;0),1,0)</f>
        <v>1</v>
      </c>
      <c r="J555" s="7" t="n">
        <f aca="false">IF(I555=1,D555*F555,0)</f>
        <v>20.4</v>
      </c>
      <c r="K555" s="7" t="n">
        <f aca="false">YEAR(E555)*100+MONTH(E555)</f>
        <v>201109</v>
      </c>
      <c r="L555" s="7" t="n">
        <f aca="false">IF(AND(A555&lt;&gt;A554,LEFT(A555,1)&lt;&gt;"C"),1,0)</f>
        <v>0</v>
      </c>
    </row>
    <row r="556" customFormat="false" ht="15" hidden="false" customHeight="false" outlineLevel="0" collapsed="false">
      <c r="A556" s="0" t="s">
        <v>749</v>
      </c>
      <c r="B556" s="0" t="s">
        <v>138</v>
      </c>
      <c r="C556" s="0" t="s">
        <v>139</v>
      </c>
      <c r="D556" s="0" t="n">
        <v>6</v>
      </c>
      <c r="E556" s="6" t="n">
        <v>40794.4409722222</v>
      </c>
      <c r="F556" s="0" t="n">
        <v>2.08</v>
      </c>
      <c r="G556" s="0" t="n">
        <v>12683</v>
      </c>
      <c r="H556" s="0" t="s">
        <v>43</v>
      </c>
      <c r="I556" s="7" t="n">
        <f aca="false">IF(AND(LEFT(A556,1)&lt;&gt;"C",D556&gt;0,F556&gt;0),1,0)</f>
        <v>1</v>
      </c>
      <c r="J556" s="7" t="n">
        <f aca="false">IF(I556=1,D556*F556,0)</f>
        <v>12.48</v>
      </c>
      <c r="K556" s="7" t="n">
        <f aca="false">YEAR(E556)*100+MONTH(E556)</f>
        <v>201109</v>
      </c>
      <c r="L556" s="7" t="n">
        <f aca="false">IF(AND(A556&lt;&gt;A555,LEFT(A556,1)&lt;&gt;"C"),1,0)</f>
        <v>0</v>
      </c>
    </row>
    <row r="557" customFormat="false" ht="15" hidden="false" customHeight="false" outlineLevel="0" collapsed="false">
      <c r="A557" s="0" t="s">
        <v>749</v>
      </c>
      <c r="B557" s="0" t="s">
        <v>372</v>
      </c>
      <c r="C557" s="0" t="s">
        <v>373</v>
      </c>
      <c r="D557" s="0" t="n">
        <v>12</v>
      </c>
      <c r="E557" s="6" t="n">
        <v>40794.4409722222</v>
      </c>
      <c r="F557" s="0" t="n">
        <v>1.25</v>
      </c>
      <c r="G557" s="0" t="n">
        <v>12683</v>
      </c>
      <c r="H557" s="0" t="s">
        <v>43</v>
      </c>
      <c r="I557" s="7" t="n">
        <f aca="false">IF(AND(LEFT(A557,1)&lt;&gt;"C",D557&gt;0,F557&gt;0),1,0)</f>
        <v>1</v>
      </c>
      <c r="J557" s="7" t="n">
        <f aca="false">IF(I557=1,D557*F557,0)</f>
        <v>15</v>
      </c>
      <c r="K557" s="7" t="n">
        <f aca="false">YEAR(E557)*100+MONTH(E557)</f>
        <v>201109</v>
      </c>
      <c r="L557" s="7" t="n">
        <f aca="false">IF(AND(A557&lt;&gt;A556,LEFT(A557,1)&lt;&gt;"C"),1,0)</f>
        <v>0</v>
      </c>
    </row>
    <row r="558" customFormat="false" ht="15" hidden="false" customHeight="false" outlineLevel="0" collapsed="false">
      <c r="A558" s="0" t="s">
        <v>749</v>
      </c>
      <c r="B558" s="0" t="s">
        <v>750</v>
      </c>
      <c r="C558" s="0" t="s">
        <v>751</v>
      </c>
      <c r="D558" s="0" t="n">
        <v>8</v>
      </c>
      <c r="E558" s="6" t="n">
        <v>40794.4409722222</v>
      </c>
      <c r="F558" s="0" t="n">
        <v>1.69</v>
      </c>
      <c r="G558" s="0" t="n">
        <v>12683</v>
      </c>
      <c r="H558" s="0" t="s">
        <v>43</v>
      </c>
      <c r="I558" s="7" t="n">
        <f aca="false">IF(AND(LEFT(A558,1)&lt;&gt;"C",D558&gt;0,F558&gt;0),1,0)</f>
        <v>1</v>
      </c>
      <c r="J558" s="7" t="n">
        <f aca="false">IF(I558=1,D558*F558,0)</f>
        <v>13.52</v>
      </c>
      <c r="K558" s="7" t="n">
        <f aca="false">YEAR(E558)*100+MONTH(E558)</f>
        <v>201109</v>
      </c>
      <c r="L558" s="7" t="n">
        <f aca="false">IF(AND(A558&lt;&gt;A557,LEFT(A558,1)&lt;&gt;"C"),1,0)</f>
        <v>0</v>
      </c>
    </row>
    <row r="559" customFormat="false" ht="15" hidden="false" customHeight="false" outlineLevel="0" collapsed="false">
      <c r="A559" s="0" t="s">
        <v>749</v>
      </c>
      <c r="B559" s="0" t="s">
        <v>374</v>
      </c>
      <c r="C559" s="0" t="s">
        <v>375</v>
      </c>
      <c r="D559" s="0" t="n">
        <v>12</v>
      </c>
      <c r="E559" s="6" t="n">
        <v>40794.4409722222</v>
      </c>
      <c r="F559" s="0" t="n">
        <v>1.25</v>
      </c>
      <c r="G559" s="0" t="n">
        <v>12683</v>
      </c>
      <c r="H559" s="0" t="s">
        <v>43</v>
      </c>
      <c r="I559" s="7" t="n">
        <f aca="false">IF(AND(LEFT(A559,1)&lt;&gt;"C",D559&gt;0,F559&gt;0),1,0)</f>
        <v>1</v>
      </c>
      <c r="J559" s="7" t="n">
        <f aca="false">IF(I559=1,D559*F559,0)</f>
        <v>15</v>
      </c>
      <c r="K559" s="7" t="n">
        <f aca="false">YEAR(E559)*100+MONTH(E559)</f>
        <v>201109</v>
      </c>
      <c r="L559" s="7" t="n">
        <f aca="false">IF(AND(A559&lt;&gt;A558,LEFT(A559,1)&lt;&gt;"C"),1,0)</f>
        <v>0</v>
      </c>
    </row>
    <row r="560" customFormat="false" ht="15" hidden="false" customHeight="false" outlineLevel="0" collapsed="false">
      <c r="A560" s="0" t="s">
        <v>749</v>
      </c>
      <c r="B560" s="0" t="s">
        <v>164</v>
      </c>
      <c r="C560" s="0" t="s">
        <v>165</v>
      </c>
      <c r="D560" s="0" t="n">
        <v>8</v>
      </c>
      <c r="E560" s="6" t="n">
        <v>40794.4409722222</v>
      </c>
      <c r="F560" s="0" t="n">
        <v>1.25</v>
      </c>
      <c r="G560" s="0" t="n">
        <v>12683</v>
      </c>
      <c r="H560" s="0" t="s">
        <v>43</v>
      </c>
      <c r="I560" s="7" t="n">
        <f aca="false">IF(AND(LEFT(A560,1)&lt;&gt;"C",D560&gt;0,F560&gt;0),1,0)</f>
        <v>1</v>
      </c>
      <c r="J560" s="7" t="n">
        <f aca="false">IF(I560=1,D560*F560,0)</f>
        <v>10</v>
      </c>
      <c r="K560" s="7" t="n">
        <f aca="false">YEAR(E560)*100+MONTH(E560)</f>
        <v>201109</v>
      </c>
      <c r="L560" s="7" t="n">
        <f aca="false">IF(AND(A560&lt;&gt;A559,LEFT(A560,1)&lt;&gt;"C"),1,0)</f>
        <v>0</v>
      </c>
    </row>
    <row r="561" customFormat="false" ht="15" hidden="false" customHeight="false" outlineLevel="0" collapsed="false">
      <c r="A561" s="0" t="s">
        <v>749</v>
      </c>
      <c r="B561" s="0" t="s">
        <v>177</v>
      </c>
      <c r="C561" s="0" t="s">
        <v>178</v>
      </c>
      <c r="D561" s="0" t="n">
        <v>8</v>
      </c>
      <c r="E561" s="6" t="n">
        <v>40794.4409722222</v>
      </c>
      <c r="F561" s="0" t="n">
        <v>1.25</v>
      </c>
      <c r="G561" s="0" t="n">
        <v>12683</v>
      </c>
      <c r="H561" s="0" t="s">
        <v>43</v>
      </c>
      <c r="I561" s="7" t="n">
        <f aca="false">IF(AND(LEFT(A561,1)&lt;&gt;"C",D561&gt;0,F561&gt;0),1,0)</f>
        <v>1</v>
      </c>
      <c r="J561" s="7" t="n">
        <f aca="false">IF(I561=1,D561*F561,0)</f>
        <v>10</v>
      </c>
      <c r="K561" s="7" t="n">
        <f aca="false">YEAR(E561)*100+MONTH(E561)</f>
        <v>201109</v>
      </c>
      <c r="L561" s="7" t="n">
        <f aca="false">IF(AND(A561&lt;&gt;A560,LEFT(A561,1)&lt;&gt;"C"),1,0)</f>
        <v>0</v>
      </c>
    </row>
    <row r="562" customFormat="false" ht="15" hidden="false" customHeight="false" outlineLevel="0" collapsed="false">
      <c r="A562" s="0" t="s">
        <v>749</v>
      </c>
      <c r="B562" s="0" t="s">
        <v>171</v>
      </c>
      <c r="C562" s="0" t="s">
        <v>172</v>
      </c>
      <c r="D562" s="0" t="n">
        <v>8</v>
      </c>
      <c r="E562" s="6" t="n">
        <v>40794.4409722222</v>
      </c>
      <c r="F562" s="0" t="n">
        <v>1.25</v>
      </c>
      <c r="G562" s="0" t="n">
        <v>12683</v>
      </c>
      <c r="H562" s="0" t="s">
        <v>43</v>
      </c>
      <c r="I562" s="7" t="n">
        <f aca="false">IF(AND(LEFT(A562,1)&lt;&gt;"C",D562&gt;0,F562&gt;0),1,0)</f>
        <v>1</v>
      </c>
      <c r="J562" s="7" t="n">
        <f aca="false">IF(I562=1,D562*F562,0)</f>
        <v>10</v>
      </c>
      <c r="K562" s="7" t="n">
        <f aca="false">YEAR(E562)*100+MONTH(E562)</f>
        <v>201109</v>
      </c>
      <c r="L562" s="7" t="n">
        <f aca="false">IF(AND(A562&lt;&gt;A561,LEFT(A562,1)&lt;&gt;"C"),1,0)</f>
        <v>0</v>
      </c>
    </row>
    <row r="563" customFormat="false" ht="15" hidden="false" customHeight="false" outlineLevel="0" collapsed="false">
      <c r="A563" s="0" t="s">
        <v>749</v>
      </c>
      <c r="B563" s="0" t="s">
        <v>752</v>
      </c>
      <c r="C563" s="0" t="s">
        <v>753</v>
      </c>
      <c r="D563" s="0" t="n">
        <v>12</v>
      </c>
      <c r="E563" s="6" t="n">
        <v>40794.4409722222</v>
      </c>
      <c r="F563" s="0" t="n">
        <v>1.65</v>
      </c>
      <c r="G563" s="0" t="n">
        <v>12683</v>
      </c>
      <c r="H563" s="0" t="s">
        <v>43</v>
      </c>
      <c r="I563" s="7" t="n">
        <f aca="false">IF(AND(LEFT(A563,1)&lt;&gt;"C",D563&gt;0,F563&gt;0),1,0)</f>
        <v>1</v>
      </c>
      <c r="J563" s="7" t="n">
        <f aca="false">IF(I563=1,D563*F563,0)</f>
        <v>19.8</v>
      </c>
      <c r="K563" s="7" t="n">
        <f aca="false">YEAR(E563)*100+MONTH(E563)</f>
        <v>201109</v>
      </c>
      <c r="L563" s="7" t="n">
        <f aca="false">IF(AND(A563&lt;&gt;A562,LEFT(A563,1)&lt;&gt;"C"),1,0)</f>
        <v>0</v>
      </c>
    </row>
    <row r="564" customFormat="false" ht="15" hidden="false" customHeight="false" outlineLevel="0" collapsed="false">
      <c r="A564" s="0" t="s">
        <v>749</v>
      </c>
      <c r="B564" s="0" t="s">
        <v>754</v>
      </c>
      <c r="C564" s="0" t="s">
        <v>755</v>
      </c>
      <c r="D564" s="0" t="n">
        <v>12</v>
      </c>
      <c r="E564" s="6" t="n">
        <v>40794.4409722222</v>
      </c>
      <c r="F564" s="0" t="n">
        <v>2.1</v>
      </c>
      <c r="G564" s="0" t="n">
        <v>12683</v>
      </c>
      <c r="H564" s="0" t="s">
        <v>43</v>
      </c>
      <c r="I564" s="7" t="n">
        <f aca="false">IF(AND(LEFT(A564,1)&lt;&gt;"C",D564&gt;0,F564&gt;0),1,0)</f>
        <v>1</v>
      </c>
      <c r="J564" s="7" t="n">
        <f aca="false">IF(I564=1,D564*F564,0)</f>
        <v>25.2</v>
      </c>
      <c r="K564" s="7" t="n">
        <f aca="false">YEAR(E564)*100+MONTH(E564)</f>
        <v>201109</v>
      </c>
      <c r="L564" s="7" t="n">
        <f aca="false">IF(AND(A564&lt;&gt;A563,LEFT(A564,1)&lt;&gt;"C"),1,0)</f>
        <v>0</v>
      </c>
    </row>
    <row r="565" customFormat="false" ht="15" hidden="false" customHeight="false" outlineLevel="0" collapsed="false">
      <c r="A565" s="0" t="s">
        <v>749</v>
      </c>
      <c r="B565" s="0" t="s">
        <v>637</v>
      </c>
      <c r="C565" s="0" t="s">
        <v>638</v>
      </c>
      <c r="D565" s="0" t="n">
        <v>10</v>
      </c>
      <c r="E565" s="6" t="n">
        <v>40794.4409722222</v>
      </c>
      <c r="F565" s="0" t="n">
        <v>0.85</v>
      </c>
      <c r="G565" s="0" t="n">
        <v>12683</v>
      </c>
      <c r="H565" s="0" t="s">
        <v>43</v>
      </c>
      <c r="I565" s="7" t="n">
        <f aca="false">IF(AND(LEFT(A565,1)&lt;&gt;"C",D565&gt;0,F565&gt;0),1,0)</f>
        <v>1</v>
      </c>
      <c r="J565" s="7" t="n">
        <f aca="false">IF(I565=1,D565*F565,0)</f>
        <v>8.5</v>
      </c>
      <c r="K565" s="7" t="n">
        <f aca="false">YEAR(E565)*100+MONTH(E565)</f>
        <v>201109</v>
      </c>
      <c r="L565" s="7" t="n">
        <f aca="false">IF(AND(A565&lt;&gt;A564,LEFT(A565,1)&lt;&gt;"C"),1,0)</f>
        <v>0</v>
      </c>
    </row>
    <row r="566" customFormat="false" ht="15" hidden="false" customHeight="false" outlineLevel="0" collapsed="false">
      <c r="A566" s="0" t="s">
        <v>749</v>
      </c>
      <c r="B566" s="0" t="s">
        <v>756</v>
      </c>
      <c r="C566" s="0" t="s">
        <v>757</v>
      </c>
      <c r="D566" s="0" t="n">
        <v>4</v>
      </c>
      <c r="E566" s="6" t="n">
        <v>40794.4409722222</v>
      </c>
      <c r="F566" s="0" t="n">
        <v>3.75</v>
      </c>
      <c r="G566" s="0" t="n">
        <v>12683</v>
      </c>
      <c r="H566" s="0" t="s">
        <v>43</v>
      </c>
      <c r="I566" s="7" t="n">
        <f aca="false">IF(AND(LEFT(A566,1)&lt;&gt;"C",D566&gt;0,F566&gt;0),1,0)</f>
        <v>1</v>
      </c>
      <c r="J566" s="7" t="n">
        <f aca="false">IF(I566=1,D566*F566,0)</f>
        <v>15</v>
      </c>
      <c r="K566" s="7" t="n">
        <f aca="false">YEAR(E566)*100+MONTH(E566)</f>
        <v>201109</v>
      </c>
      <c r="L566" s="7" t="n">
        <f aca="false">IF(AND(A566&lt;&gt;A565,LEFT(A566,1)&lt;&gt;"C"),1,0)</f>
        <v>0</v>
      </c>
    </row>
    <row r="567" customFormat="false" ht="15" hidden="false" customHeight="false" outlineLevel="0" collapsed="false">
      <c r="A567" s="0" t="s">
        <v>749</v>
      </c>
      <c r="B567" s="0" t="s">
        <v>758</v>
      </c>
      <c r="C567" s="0" t="s">
        <v>759</v>
      </c>
      <c r="D567" s="0" t="n">
        <v>4</v>
      </c>
      <c r="E567" s="6" t="n">
        <v>40794.4409722222</v>
      </c>
      <c r="F567" s="0" t="n">
        <v>8.25</v>
      </c>
      <c r="G567" s="0" t="n">
        <v>12683</v>
      </c>
      <c r="H567" s="0" t="s">
        <v>43</v>
      </c>
      <c r="I567" s="7" t="n">
        <f aca="false">IF(AND(LEFT(A567,1)&lt;&gt;"C",D567&gt;0,F567&gt;0),1,0)</f>
        <v>1</v>
      </c>
      <c r="J567" s="7" t="n">
        <f aca="false">IF(I567=1,D567*F567,0)</f>
        <v>33</v>
      </c>
      <c r="K567" s="7" t="n">
        <f aca="false">YEAR(E567)*100+MONTH(E567)</f>
        <v>201109</v>
      </c>
      <c r="L567" s="7" t="n">
        <f aca="false">IF(AND(A567&lt;&gt;A566,LEFT(A567,1)&lt;&gt;"C"),1,0)</f>
        <v>0</v>
      </c>
    </row>
    <row r="568" customFormat="false" ht="15" hidden="false" customHeight="false" outlineLevel="0" collapsed="false">
      <c r="A568" s="0" t="s">
        <v>749</v>
      </c>
      <c r="B568" s="0" t="s">
        <v>760</v>
      </c>
      <c r="C568" s="0" t="s">
        <v>761</v>
      </c>
      <c r="D568" s="0" t="n">
        <v>6</v>
      </c>
      <c r="E568" s="6" t="n">
        <v>40794.4409722222</v>
      </c>
      <c r="F568" s="0" t="n">
        <v>4.25</v>
      </c>
      <c r="G568" s="0" t="n">
        <v>12683</v>
      </c>
      <c r="H568" s="0" t="s">
        <v>43</v>
      </c>
      <c r="I568" s="7" t="n">
        <f aca="false">IF(AND(LEFT(A568,1)&lt;&gt;"C",D568&gt;0,F568&gt;0),1,0)</f>
        <v>1</v>
      </c>
      <c r="J568" s="7" t="n">
        <f aca="false">IF(I568=1,D568*F568,0)</f>
        <v>25.5</v>
      </c>
      <c r="K568" s="7" t="n">
        <f aca="false">YEAR(E568)*100+MONTH(E568)</f>
        <v>201109</v>
      </c>
      <c r="L568" s="7" t="n">
        <f aca="false">IF(AND(A568&lt;&gt;A567,LEFT(A568,1)&lt;&gt;"C"),1,0)</f>
        <v>0</v>
      </c>
    </row>
    <row r="569" customFormat="false" ht="15" hidden="false" customHeight="false" outlineLevel="0" collapsed="false">
      <c r="A569" s="0" t="s">
        <v>749</v>
      </c>
      <c r="B569" s="0" t="s">
        <v>762</v>
      </c>
      <c r="C569" s="0" t="s">
        <v>763</v>
      </c>
      <c r="D569" s="0" t="n">
        <v>3</v>
      </c>
      <c r="E569" s="6" t="n">
        <v>40794.4409722222</v>
      </c>
      <c r="F569" s="0" t="n">
        <v>4.25</v>
      </c>
      <c r="G569" s="0" t="n">
        <v>12683</v>
      </c>
      <c r="H569" s="0" t="s">
        <v>43</v>
      </c>
      <c r="I569" s="7" t="n">
        <f aca="false">IF(AND(LEFT(A569,1)&lt;&gt;"C",D569&gt;0,F569&gt;0),1,0)</f>
        <v>1</v>
      </c>
      <c r="J569" s="7" t="n">
        <f aca="false">IF(I569=1,D569*F569,0)</f>
        <v>12.75</v>
      </c>
      <c r="K569" s="7" t="n">
        <f aca="false">YEAR(E569)*100+MONTH(E569)</f>
        <v>201109</v>
      </c>
      <c r="L569" s="7" t="n">
        <f aca="false">IF(AND(A569&lt;&gt;A568,LEFT(A569,1)&lt;&gt;"C"),1,0)</f>
        <v>0</v>
      </c>
    </row>
    <row r="570" customFormat="false" ht="15" hidden="false" customHeight="false" outlineLevel="0" collapsed="false">
      <c r="A570" s="0" t="s">
        <v>749</v>
      </c>
      <c r="B570" s="0" t="s">
        <v>380</v>
      </c>
      <c r="C570" s="0" t="s">
        <v>381</v>
      </c>
      <c r="D570" s="0" t="n">
        <v>12</v>
      </c>
      <c r="E570" s="6" t="n">
        <v>40794.4409722222</v>
      </c>
      <c r="F570" s="0" t="n">
        <v>0.85</v>
      </c>
      <c r="G570" s="0" t="n">
        <v>12683</v>
      </c>
      <c r="H570" s="0" t="s">
        <v>43</v>
      </c>
      <c r="I570" s="7" t="n">
        <f aca="false">IF(AND(LEFT(A570,1)&lt;&gt;"C",D570&gt;0,F570&gt;0),1,0)</f>
        <v>1</v>
      </c>
      <c r="J570" s="7" t="n">
        <f aca="false">IF(I570=1,D570*F570,0)</f>
        <v>10.2</v>
      </c>
      <c r="K570" s="7" t="n">
        <f aca="false">YEAR(E570)*100+MONTH(E570)</f>
        <v>201109</v>
      </c>
      <c r="L570" s="7" t="n">
        <f aca="false">IF(AND(A570&lt;&gt;A569,LEFT(A570,1)&lt;&gt;"C"),1,0)</f>
        <v>0</v>
      </c>
    </row>
    <row r="571" customFormat="false" ht="15" hidden="false" customHeight="false" outlineLevel="0" collapsed="false">
      <c r="A571" s="0" t="s">
        <v>749</v>
      </c>
      <c r="B571" s="0" t="s">
        <v>74</v>
      </c>
      <c r="C571" s="0" t="s">
        <v>75</v>
      </c>
      <c r="D571" s="0" t="n">
        <v>12</v>
      </c>
      <c r="E571" s="6" t="n">
        <v>40794.4409722222</v>
      </c>
      <c r="F571" s="0" t="n">
        <v>1.95</v>
      </c>
      <c r="G571" s="0" t="n">
        <v>12683</v>
      </c>
      <c r="H571" s="0" t="s">
        <v>43</v>
      </c>
      <c r="I571" s="7" t="n">
        <f aca="false">IF(AND(LEFT(A571,1)&lt;&gt;"C",D571&gt;0,F571&gt;0),1,0)</f>
        <v>1</v>
      </c>
      <c r="J571" s="7" t="n">
        <f aca="false">IF(I571=1,D571*F571,0)</f>
        <v>23.4</v>
      </c>
      <c r="K571" s="7" t="n">
        <f aca="false">YEAR(E571)*100+MONTH(E571)</f>
        <v>201109</v>
      </c>
      <c r="L571" s="7" t="n">
        <f aca="false">IF(AND(A571&lt;&gt;A570,LEFT(A571,1)&lt;&gt;"C"),1,0)</f>
        <v>0</v>
      </c>
    </row>
    <row r="572" customFormat="false" ht="15" hidden="false" customHeight="false" outlineLevel="0" collapsed="false">
      <c r="A572" s="0" t="s">
        <v>749</v>
      </c>
      <c r="B572" s="0" t="s">
        <v>557</v>
      </c>
      <c r="C572" s="0" t="s">
        <v>558</v>
      </c>
      <c r="D572" s="0" t="n">
        <v>12</v>
      </c>
      <c r="E572" s="6" t="n">
        <v>40794.4409722222</v>
      </c>
      <c r="F572" s="0" t="n">
        <v>1.95</v>
      </c>
      <c r="G572" s="0" t="n">
        <v>12683</v>
      </c>
      <c r="H572" s="0" t="s">
        <v>43</v>
      </c>
      <c r="I572" s="7" t="n">
        <f aca="false">IF(AND(LEFT(A572,1)&lt;&gt;"C",D572&gt;0,F572&gt;0),1,0)</f>
        <v>1</v>
      </c>
      <c r="J572" s="7" t="n">
        <f aca="false">IF(I572=1,D572*F572,0)</f>
        <v>23.4</v>
      </c>
      <c r="K572" s="7" t="n">
        <f aca="false">YEAR(E572)*100+MONTH(E572)</f>
        <v>201109</v>
      </c>
      <c r="L572" s="7" t="n">
        <f aca="false">IF(AND(A572&lt;&gt;A571,LEFT(A572,1)&lt;&gt;"C"),1,0)</f>
        <v>0</v>
      </c>
    </row>
    <row r="573" customFormat="false" ht="15" hidden="false" customHeight="false" outlineLevel="0" collapsed="false">
      <c r="A573" s="0" t="s">
        <v>749</v>
      </c>
      <c r="B573" s="0" t="s">
        <v>333</v>
      </c>
      <c r="C573" s="0" t="s">
        <v>334</v>
      </c>
      <c r="D573" s="0" t="n">
        <v>12</v>
      </c>
      <c r="E573" s="6" t="n">
        <v>40794.4409722222</v>
      </c>
      <c r="F573" s="0" t="n">
        <v>1.65</v>
      </c>
      <c r="G573" s="0" t="n">
        <v>12683</v>
      </c>
      <c r="H573" s="0" t="s">
        <v>43</v>
      </c>
      <c r="I573" s="7" t="n">
        <f aca="false">IF(AND(LEFT(A573,1)&lt;&gt;"C",D573&gt;0,F573&gt;0),1,0)</f>
        <v>1</v>
      </c>
      <c r="J573" s="7" t="n">
        <f aca="false">IF(I573=1,D573*F573,0)</f>
        <v>19.8</v>
      </c>
      <c r="K573" s="7" t="n">
        <f aca="false">YEAR(E573)*100+MONTH(E573)</f>
        <v>201109</v>
      </c>
      <c r="L573" s="7" t="n">
        <f aca="false">IF(AND(A573&lt;&gt;A572,LEFT(A573,1)&lt;&gt;"C"),1,0)</f>
        <v>0</v>
      </c>
    </row>
    <row r="574" customFormat="false" ht="15" hidden="false" customHeight="false" outlineLevel="0" collapsed="false">
      <c r="A574" s="0" t="s">
        <v>749</v>
      </c>
      <c r="B574" s="0" t="s">
        <v>764</v>
      </c>
      <c r="C574" s="0" t="s">
        <v>765</v>
      </c>
      <c r="D574" s="0" t="n">
        <v>24</v>
      </c>
      <c r="E574" s="6" t="n">
        <v>40794.4409722222</v>
      </c>
      <c r="F574" s="0" t="n">
        <v>0.39</v>
      </c>
      <c r="G574" s="0" t="n">
        <v>12683</v>
      </c>
      <c r="H574" s="0" t="s">
        <v>43</v>
      </c>
      <c r="I574" s="7" t="n">
        <f aca="false">IF(AND(LEFT(A574,1)&lt;&gt;"C",D574&gt;0,F574&gt;0),1,0)</f>
        <v>1</v>
      </c>
      <c r="J574" s="7" t="n">
        <f aca="false">IF(I574=1,D574*F574,0)</f>
        <v>9.36</v>
      </c>
      <c r="K574" s="7" t="n">
        <f aca="false">YEAR(E574)*100+MONTH(E574)</f>
        <v>201109</v>
      </c>
      <c r="L574" s="7" t="n">
        <f aca="false">IF(AND(A574&lt;&gt;A573,LEFT(A574,1)&lt;&gt;"C"),1,0)</f>
        <v>0</v>
      </c>
    </row>
    <row r="575" customFormat="false" ht="15" hidden="false" customHeight="false" outlineLevel="0" collapsed="false">
      <c r="A575" s="0" t="s">
        <v>749</v>
      </c>
      <c r="B575" s="0" t="s">
        <v>766</v>
      </c>
      <c r="C575" s="0" t="s">
        <v>767</v>
      </c>
      <c r="D575" s="0" t="n">
        <v>8</v>
      </c>
      <c r="E575" s="6" t="n">
        <v>40794.4409722222</v>
      </c>
      <c r="F575" s="0" t="n">
        <v>2.25</v>
      </c>
      <c r="G575" s="0" t="n">
        <v>12683</v>
      </c>
      <c r="H575" s="0" t="s">
        <v>43</v>
      </c>
      <c r="I575" s="7" t="n">
        <f aca="false">IF(AND(LEFT(A575,1)&lt;&gt;"C",D575&gt;0,F575&gt;0),1,0)</f>
        <v>1</v>
      </c>
      <c r="J575" s="7" t="n">
        <f aca="false">IF(I575=1,D575*F575,0)</f>
        <v>18</v>
      </c>
      <c r="K575" s="7" t="n">
        <f aca="false">YEAR(E575)*100+MONTH(E575)</f>
        <v>201109</v>
      </c>
      <c r="L575" s="7" t="n">
        <f aca="false">IF(AND(A575&lt;&gt;A574,LEFT(A575,1)&lt;&gt;"C"),1,0)</f>
        <v>0</v>
      </c>
    </row>
    <row r="576" customFormat="false" ht="15" hidden="false" customHeight="false" outlineLevel="0" collapsed="false">
      <c r="A576" s="0" t="s">
        <v>749</v>
      </c>
      <c r="B576" s="0" t="s">
        <v>84</v>
      </c>
      <c r="C576" s="0" t="s">
        <v>85</v>
      </c>
      <c r="D576" s="0" t="n">
        <v>2</v>
      </c>
      <c r="E576" s="6" t="n">
        <v>40794.4409722222</v>
      </c>
      <c r="F576" s="0" t="n">
        <v>18</v>
      </c>
      <c r="G576" s="0" t="n">
        <v>12683</v>
      </c>
      <c r="H576" s="0" t="s">
        <v>43</v>
      </c>
      <c r="I576" s="7" t="n">
        <f aca="false">IF(AND(LEFT(A576,1)&lt;&gt;"C",D576&gt;0,F576&gt;0),1,0)</f>
        <v>1</v>
      </c>
      <c r="J576" s="7" t="n">
        <f aca="false">IF(I576=1,D576*F576,0)</f>
        <v>36</v>
      </c>
      <c r="K576" s="7" t="n">
        <f aca="false">YEAR(E576)*100+MONTH(E576)</f>
        <v>201109</v>
      </c>
      <c r="L576" s="7" t="n">
        <f aca="false">IF(AND(A576&lt;&gt;A575,LEFT(A576,1)&lt;&gt;"C"),1,0)</f>
        <v>0</v>
      </c>
    </row>
    <row r="577" customFormat="false" ht="15" hidden="false" customHeight="false" outlineLevel="0" collapsed="false">
      <c r="A577" s="0" t="s">
        <v>768</v>
      </c>
      <c r="B577" s="0" t="s">
        <v>565</v>
      </c>
      <c r="C577" s="0" t="s">
        <v>566</v>
      </c>
      <c r="D577" s="0" t="n">
        <v>12</v>
      </c>
      <c r="E577" s="6" t="n">
        <v>40794.575</v>
      </c>
      <c r="F577" s="0" t="n">
        <v>1.45</v>
      </c>
      <c r="G577" s="0" t="n">
        <v>13814</v>
      </c>
      <c r="H577" s="0" t="s">
        <v>33</v>
      </c>
      <c r="I577" s="7" t="n">
        <f aca="false">IF(AND(LEFT(A577,1)&lt;&gt;"C",D577&gt;0,F577&gt;0),1,0)</f>
        <v>1</v>
      </c>
      <c r="J577" s="7" t="n">
        <f aca="false">IF(I577=1,D577*F577,0)</f>
        <v>17.4</v>
      </c>
      <c r="K577" s="7" t="n">
        <f aca="false">YEAR(E577)*100+MONTH(E577)</f>
        <v>201109</v>
      </c>
      <c r="L577" s="7" t="n">
        <f aca="false">IF(AND(A577&lt;&gt;A576,LEFT(A577,1)&lt;&gt;"C"),1,0)</f>
        <v>1</v>
      </c>
    </row>
    <row r="578" customFormat="false" ht="15" hidden="false" customHeight="false" outlineLevel="0" collapsed="false">
      <c r="A578" s="0" t="s">
        <v>768</v>
      </c>
      <c r="B578" s="0" t="s">
        <v>769</v>
      </c>
      <c r="C578" s="0" t="s">
        <v>770</v>
      </c>
      <c r="D578" s="0" t="n">
        <v>12</v>
      </c>
      <c r="E578" s="6" t="n">
        <v>40794.575</v>
      </c>
      <c r="F578" s="0" t="n">
        <v>1.45</v>
      </c>
      <c r="G578" s="0" t="n">
        <v>13814</v>
      </c>
      <c r="H578" s="0" t="s">
        <v>33</v>
      </c>
      <c r="I578" s="7" t="n">
        <f aca="false">IF(AND(LEFT(A578,1)&lt;&gt;"C",D578&gt;0,F578&gt;0),1,0)</f>
        <v>1</v>
      </c>
      <c r="J578" s="7" t="n">
        <f aca="false">IF(I578=1,D578*F578,0)</f>
        <v>17.4</v>
      </c>
      <c r="K578" s="7" t="n">
        <f aca="false">YEAR(E578)*100+MONTH(E578)</f>
        <v>201109</v>
      </c>
      <c r="L578" s="7" t="n">
        <f aca="false">IF(AND(A578&lt;&gt;A577,LEFT(A578,1)&lt;&gt;"C"),1,0)</f>
        <v>0</v>
      </c>
    </row>
    <row r="579" customFormat="false" ht="15" hidden="false" customHeight="false" outlineLevel="0" collapsed="false">
      <c r="A579" s="0" t="s">
        <v>768</v>
      </c>
      <c r="B579" s="0" t="s">
        <v>771</v>
      </c>
      <c r="C579" s="0" t="s">
        <v>772</v>
      </c>
      <c r="D579" s="0" t="n">
        <v>24</v>
      </c>
      <c r="E579" s="6" t="n">
        <v>40794.575</v>
      </c>
      <c r="F579" s="0" t="n">
        <v>0.55</v>
      </c>
      <c r="G579" s="0" t="n">
        <v>13814</v>
      </c>
      <c r="H579" s="0" t="s">
        <v>33</v>
      </c>
      <c r="I579" s="7" t="n">
        <f aca="false">IF(AND(LEFT(A579,1)&lt;&gt;"C",D579&gt;0,F579&gt;0),1,0)</f>
        <v>1</v>
      </c>
      <c r="J579" s="7" t="n">
        <f aca="false">IF(I579=1,D579*F579,0)</f>
        <v>13.2</v>
      </c>
      <c r="K579" s="7" t="n">
        <f aca="false">YEAR(E579)*100+MONTH(E579)</f>
        <v>201109</v>
      </c>
      <c r="L579" s="7" t="n">
        <f aca="false">IF(AND(A579&lt;&gt;A578,LEFT(A579,1)&lt;&gt;"C"),1,0)</f>
        <v>0</v>
      </c>
    </row>
    <row r="580" customFormat="false" ht="15" hidden="false" customHeight="false" outlineLevel="0" collapsed="false">
      <c r="A580" s="0" t="s">
        <v>768</v>
      </c>
      <c r="B580" s="0" t="s">
        <v>773</v>
      </c>
      <c r="C580" s="0" t="s">
        <v>774</v>
      </c>
      <c r="D580" s="0" t="n">
        <v>24</v>
      </c>
      <c r="E580" s="6" t="n">
        <v>40794.575</v>
      </c>
      <c r="F580" s="0" t="n">
        <v>0.55</v>
      </c>
      <c r="G580" s="0" t="n">
        <v>13814</v>
      </c>
      <c r="H580" s="0" t="s">
        <v>33</v>
      </c>
      <c r="I580" s="7" t="n">
        <f aca="false">IF(AND(LEFT(A580,1)&lt;&gt;"C",D580&gt;0,F580&gt;0),1,0)</f>
        <v>1</v>
      </c>
      <c r="J580" s="7" t="n">
        <f aca="false">IF(I580=1,D580*F580,0)</f>
        <v>13.2</v>
      </c>
      <c r="K580" s="7" t="n">
        <f aca="false">YEAR(E580)*100+MONTH(E580)</f>
        <v>201109</v>
      </c>
      <c r="L580" s="7" t="n">
        <f aca="false">IF(AND(A580&lt;&gt;A579,LEFT(A580,1)&lt;&gt;"C"),1,0)</f>
        <v>0</v>
      </c>
    </row>
    <row r="581" customFormat="false" ht="15" hidden="false" customHeight="false" outlineLevel="0" collapsed="false">
      <c r="A581" s="0" t="s">
        <v>768</v>
      </c>
      <c r="B581" s="0" t="s">
        <v>215</v>
      </c>
      <c r="C581" s="0" t="s">
        <v>216</v>
      </c>
      <c r="D581" s="0" t="n">
        <v>24</v>
      </c>
      <c r="E581" s="6" t="n">
        <v>40794.575</v>
      </c>
      <c r="F581" s="0" t="n">
        <v>0.55</v>
      </c>
      <c r="G581" s="0" t="n">
        <v>13814</v>
      </c>
      <c r="H581" s="0" t="s">
        <v>33</v>
      </c>
      <c r="I581" s="7" t="n">
        <f aca="false">IF(AND(LEFT(A581,1)&lt;&gt;"C",D581&gt;0,F581&gt;0),1,0)</f>
        <v>1</v>
      </c>
      <c r="J581" s="7" t="n">
        <f aca="false">IF(I581=1,D581*F581,0)</f>
        <v>13.2</v>
      </c>
      <c r="K581" s="7" t="n">
        <f aca="false">YEAR(E581)*100+MONTH(E581)</f>
        <v>201109</v>
      </c>
      <c r="L581" s="7" t="n">
        <f aca="false">IF(AND(A581&lt;&gt;A580,LEFT(A581,1)&lt;&gt;"C"),1,0)</f>
        <v>0</v>
      </c>
    </row>
    <row r="582" customFormat="false" ht="15" hidden="false" customHeight="false" outlineLevel="0" collapsed="false">
      <c r="A582" s="0" t="s">
        <v>768</v>
      </c>
      <c r="B582" s="0" t="s">
        <v>217</v>
      </c>
      <c r="C582" s="0" t="s">
        <v>218</v>
      </c>
      <c r="D582" s="0" t="n">
        <v>48</v>
      </c>
      <c r="E582" s="6" t="n">
        <v>40794.575</v>
      </c>
      <c r="F582" s="0" t="n">
        <v>0.55</v>
      </c>
      <c r="G582" s="0" t="n">
        <v>13814</v>
      </c>
      <c r="H582" s="0" t="s">
        <v>33</v>
      </c>
      <c r="I582" s="7" t="n">
        <f aca="false">IF(AND(LEFT(A582,1)&lt;&gt;"C",D582&gt;0,F582&gt;0),1,0)</f>
        <v>1</v>
      </c>
      <c r="J582" s="7" t="n">
        <f aca="false">IF(I582=1,D582*F582,0)</f>
        <v>26.4</v>
      </c>
      <c r="K582" s="7" t="n">
        <f aca="false">YEAR(E582)*100+MONTH(E582)</f>
        <v>201109</v>
      </c>
      <c r="L582" s="7" t="n">
        <f aca="false">IF(AND(A582&lt;&gt;A581,LEFT(A582,1)&lt;&gt;"C"),1,0)</f>
        <v>0</v>
      </c>
    </row>
    <row r="583" customFormat="false" ht="15" hidden="false" customHeight="false" outlineLevel="0" collapsed="false">
      <c r="A583" s="0" t="s">
        <v>768</v>
      </c>
      <c r="B583" s="0" t="s">
        <v>452</v>
      </c>
      <c r="C583" s="0" t="s">
        <v>453</v>
      </c>
      <c r="D583" s="0" t="n">
        <v>2</v>
      </c>
      <c r="E583" s="6" t="n">
        <v>40794.575</v>
      </c>
      <c r="F583" s="0" t="n">
        <v>8.5</v>
      </c>
      <c r="G583" s="0" t="n">
        <v>13814</v>
      </c>
      <c r="H583" s="0" t="s">
        <v>33</v>
      </c>
      <c r="I583" s="7" t="n">
        <f aca="false">IF(AND(LEFT(A583,1)&lt;&gt;"C",D583&gt;0,F583&gt;0),1,0)</f>
        <v>1</v>
      </c>
      <c r="J583" s="7" t="n">
        <f aca="false">IF(I583=1,D583*F583,0)</f>
        <v>17</v>
      </c>
      <c r="K583" s="7" t="n">
        <f aca="false">YEAR(E583)*100+MONTH(E583)</f>
        <v>201109</v>
      </c>
      <c r="L583" s="7" t="n">
        <f aca="false">IF(AND(A583&lt;&gt;A582,LEFT(A583,1)&lt;&gt;"C"),1,0)</f>
        <v>0</v>
      </c>
    </row>
    <row r="584" customFormat="false" ht="15" hidden="false" customHeight="false" outlineLevel="0" collapsed="false">
      <c r="A584" s="0" t="s">
        <v>768</v>
      </c>
      <c r="B584" s="0" t="s">
        <v>142</v>
      </c>
      <c r="C584" s="0" t="s">
        <v>143</v>
      </c>
      <c r="D584" s="0" t="n">
        <v>12</v>
      </c>
      <c r="E584" s="6" t="n">
        <v>40794.575</v>
      </c>
      <c r="F584" s="0" t="n">
        <v>1.45</v>
      </c>
      <c r="G584" s="0" t="n">
        <v>13814</v>
      </c>
      <c r="H584" s="0" t="s">
        <v>33</v>
      </c>
      <c r="I584" s="7" t="n">
        <f aca="false">IF(AND(LEFT(A584,1)&lt;&gt;"C",D584&gt;0,F584&gt;0),1,0)</f>
        <v>1</v>
      </c>
      <c r="J584" s="7" t="n">
        <f aca="false">IF(I584=1,D584*F584,0)</f>
        <v>17.4</v>
      </c>
      <c r="K584" s="7" t="n">
        <f aca="false">YEAR(E584)*100+MONTH(E584)</f>
        <v>201109</v>
      </c>
      <c r="L584" s="7" t="n">
        <f aca="false">IF(AND(A584&lt;&gt;A583,LEFT(A584,1)&lt;&gt;"C"),1,0)</f>
        <v>0</v>
      </c>
    </row>
    <row r="585" customFormat="false" ht="15" hidden="false" customHeight="false" outlineLevel="0" collapsed="false">
      <c r="A585" s="0" t="s">
        <v>768</v>
      </c>
      <c r="B585" s="0" t="s">
        <v>318</v>
      </c>
      <c r="C585" s="0" t="s">
        <v>319</v>
      </c>
      <c r="D585" s="0" t="n">
        <v>24</v>
      </c>
      <c r="E585" s="6" t="n">
        <v>40794.575</v>
      </c>
      <c r="F585" s="0" t="n">
        <v>3.75</v>
      </c>
      <c r="G585" s="0" t="n">
        <v>13814</v>
      </c>
      <c r="H585" s="0" t="s">
        <v>33</v>
      </c>
      <c r="I585" s="7" t="n">
        <f aca="false">IF(AND(LEFT(A585,1)&lt;&gt;"C",D585&gt;0,F585&gt;0),1,0)</f>
        <v>1</v>
      </c>
      <c r="J585" s="7" t="n">
        <f aca="false">IF(I585=1,D585*F585,0)</f>
        <v>90</v>
      </c>
      <c r="K585" s="7" t="n">
        <f aca="false">YEAR(E585)*100+MONTH(E585)</f>
        <v>201109</v>
      </c>
      <c r="L585" s="7" t="n">
        <f aca="false">IF(AND(A585&lt;&gt;A584,LEFT(A585,1)&lt;&gt;"C"),1,0)</f>
        <v>0</v>
      </c>
    </row>
    <row r="586" customFormat="false" ht="15" hidden="false" customHeight="false" outlineLevel="0" collapsed="false">
      <c r="A586" s="0" t="s">
        <v>768</v>
      </c>
      <c r="B586" s="0" t="s">
        <v>299</v>
      </c>
      <c r="C586" s="0" t="s">
        <v>300</v>
      </c>
      <c r="D586" s="0" t="n">
        <v>24</v>
      </c>
      <c r="E586" s="6" t="n">
        <v>40794.575</v>
      </c>
      <c r="F586" s="0" t="n">
        <v>3.75</v>
      </c>
      <c r="G586" s="0" t="n">
        <v>13814</v>
      </c>
      <c r="H586" s="0" t="s">
        <v>33</v>
      </c>
      <c r="I586" s="7" t="n">
        <f aca="false">IF(AND(LEFT(A586,1)&lt;&gt;"C",D586&gt;0,F586&gt;0),1,0)</f>
        <v>1</v>
      </c>
      <c r="J586" s="7" t="n">
        <f aca="false">IF(I586=1,D586*F586,0)</f>
        <v>90</v>
      </c>
      <c r="K586" s="7" t="n">
        <f aca="false">YEAR(E586)*100+MONTH(E586)</f>
        <v>201109</v>
      </c>
      <c r="L586" s="7" t="n">
        <f aca="false">IF(AND(A586&lt;&gt;A585,LEFT(A586,1)&lt;&gt;"C"),1,0)</f>
        <v>0</v>
      </c>
    </row>
    <row r="587" customFormat="false" ht="15" hidden="false" customHeight="false" outlineLevel="0" collapsed="false">
      <c r="A587" s="0" t="s">
        <v>768</v>
      </c>
      <c r="B587" s="0" t="s">
        <v>320</v>
      </c>
      <c r="C587" s="0" t="s">
        <v>321</v>
      </c>
      <c r="D587" s="0" t="n">
        <v>24</v>
      </c>
      <c r="E587" s="6" t="n">
        <v>40794.575</v>
      </c>
      <c r="F587" s="0" t="n">
        <v>3.75</v>
      </c>
      <c r="G587" s="0" t="n">
        <v>13814</v>
      </c>
      <c r="H587" s="0" t="s">
        <v>33</v>
      </c>
      <c r="I587" s="7" t="n">
        <f aca="false">IF(AND(LEFT(A587,1)&lt;&gt;"C",D587&gt;0,F587&gt;0),1,0)</f>
        <v>1</v>
      </c>
      <c r="J587" s="7" t="n">
        <f aca="false">IF(I587=1,D587*F587,0)</f>
        <v>90</v>
      </c>
      <c r="K587" s="7" t="n">
        <f aca="false">YEAR(E587)*100+MONTH(E587)</f>
        <v>201109</v>
      </c>
      <c r="L587" s="7" t="n">
        <f aca="false">IF(AND(A587&lt;&gt;A586,LEFT(A587,1)&lt;&gt;"C"),1,0)</f>
        <v>0</v>
      </c>
    </row>
    <row r="588" customFormat="false" ht="15" hidden="false" customHeight="false" outlineLevel="0" collapsed="false">
      <c r="A588" s="0" t="s">
        <v>768</v>
      </c>
      <c r="B588" s="0" t="s">
        <v>297</v>
      </c>
      <c r="C588" s="0" t="s">
        <v>298</v>
      </c>
      <c r="D588" s="0" t="n">
        <v>24</v>
      </c>
      <c r="E588" s="6" t="n">
        <v>40794.575</v>
      </c>
      <c r="F588" s="0" t="n">
        <v>3.75</v>
      </c>
      <c r="G588" s="0" t="n">
        <v>13814</v>
      </c>
      <c r="H588" s="0" t="s">
        <v>33</v>
      </c>
      <c r="I588" s="7" t="n">
        <f aca="false">IF(AND(LEFT(A588,1)&lt;&gt;"C",D588&gt;0,F588&gt;0),1,0)</f>
        <v>1</v>
      </c>
      <c r="J588" s="7" t="n">
        <f aca="false">IF(I588=1,D588*F588,0)</f>
        <v>90</v>
      </c>
      <c r="K588" s="7" t="n">
        <f aca="false">YEAR(E588)*100+MONTH(E588)</f>
        <v>201109</v>
      </c>
      <c r="L588" s="7" t="n">
        <f aca="false">IF(AND(A588&lt;&gt;A587,LEFT(A588,1)&lt;&gt;"C"),1,0)</f>
        <v>0</v>
      </c>
    </row>
    <row r="589" customFormat="false" ht="15" hidden="false" customHeight="false" outlineLevel="0" collapsed="false">
      <c r="A589" s="0" t="s">
        <v>768</v>
      </c>
      <c r="B589" s="0" t="s">
        <v>586</v>
      </c>
      <c r="C589" s="0" t="s">
        <v>587</v>
      </c>
      <c r="D589" s="0" t="n">
        <v>24</v>
      </c>
      <c r="E589" s="6" t="n">
        <v>40794.575</v>
      </c>
      <c r="F589" s="0" t="n">
        <v>1.25</v>
      </c>
      <c r="G589" s="0" t="n">
        <v>13814</v>
      </c>
      <c r="H589" s="0" t="s">
        <v>33</v>
      </c>
      <c r="I589" s="7" t="n">
        <f aca="false">IF(AND(LEFT(A589,1)&lt;&gt;"C",D589&gt;0,F589&gt;0),1,0)</f>
        <v>1</v>
      </c>
      <c r="J589" s="7" t="n">
        <f aca="false">IF(I589=1,D589*F589,0)</f>
        <v>30</v>
      </c>
      <c r="K589" s="7" t="n">
        <f aca="false">YEAR(E589)*100+MONTH(E589)</f>
        <v>201109</v>
      </c>
      <c r="L589" s="7" t="n">
        <f aca="false">IF(AND(A589&lt;&gt;A588,LEFT(A589,1)&lt;&gt;"C"),1,0)</f>
        <v>0</v>
      </c>
    </row>
    <row r="590" customFormat="false" ht="15" hidden="false" customHeight="false" outlineLevel="0" collapsed="false">
      <c r="A590" s="0" t="s">
        <v>768</v>
      </c>
      <c r="B590" s="0" t="s">
        <v>616</v>
      </c>
      <c r="C590" s="0" t="s">
        <v>617</v>
      </c>
      <c r="D590" s="0" t="n">
        <v>24</v>
      </c>
      <c r="E590" s="6" t="n">
        <v>40794.575</v>
      </c>
      <c r="F590" s="0" t="n">
        <v>1.25</v>
      </c>
      <c r="G590" s="0" t="n">
        <v>13814</v>
      </c>
      <c r="H590" s="0" t="s">
        <v>33</v>
      </c>
      <c r="I590" s="7" t="n">
        <f aca="false">IF(AND(LEFT(A590,1)&lt;&gt;"C",D590&gt;0,F590&gt;0),1,0)</f>
        <v>1</v>
      </c>
      <c r="J590" s="7" t="n">
        <f aca="false">IF(I590=1,D590*F590,0)</f>
        <v>30</v>
      </c>
      <c r="K590" s="7" t="n">
        <f aca="false">YEAR(E590)*100+MONTH(E590)</f>
        <v>201109</v>
      </c>
      <c r="L590" s="7" t="n">
        <f aca="false">IF(AND(A590&lt;&gt;A589,LEFT(A590,1)&lt;&gt;"C"),1,0)</f>
        <v>0</v>
      </c>
    </row>
    <row r="591" customFormat="false" ht="15" hidden="false" customHeight="false" outlineLevel="0" collapsed="false">
      <c r="A591" s="0" t="s">
        <v>768</v>
      </c>
      <c r="B591" s="0" t="s">
        <v>125</v>
      </c>
      <c r="C591" s="0" t="s">
        <v>126</v>
      </c>
      <c r="D591" s="0" t="n">
        <v>48</v>
      </c>
      <c r="E591" s="6" t="n">
        <v>40794.575</v>
      </c>
      <c r="F591" s="0" t="n">
        <v>1.25</v>
      </c>
      <c r="G591" s="0" t="n">
        <v>13814</v>
      </c>
      <c r="H591" s="0" t="s">
        <v>33</v>
      </c>
      <c r="I591" s="7" t="n">
        <f aca="false">IF(AND(LEFT(A591,1)&lt;&gt;"C",D591&gt;0,F591&gt;0),1,0)</f>
        <v>1</v>
      </c>
      <c r="J591" s="7" t="n">
        <f aca="false">IF(I591=1,D591*F591,0)</f>
        <v>60</v>
      </c>
      <c r="K591" s="7" t="n">
        <f aca="false">YEAR(E591)*100+MONTH(E591)</f>
        <v>201109</v>
      </c>
      <c r="L591" s="7" t="n">
        <f aca="false">IF(AND(A591&lt;&gt;A590,LEFT(A591,1)&lt;&gt;"C"),1,0)</f>
        <v>0</v>
      </c>
    </row>
    <row r="592" customFormat="false" ht="15" hidden="false" customHeight="false" outlineLevel="0" collapsed="false">
      <c r="A592" s="0" t="s">
        <v>768</v>
      </c>
      <c r="B592" s="0" t="s">
        <v>74</v>
      </c>
      <c r="C592" s="0" t="s">
        <v>75</v>
      </c>
      <c r="D592" s="0" t="n">
        <v>24</v>
      </c>
      <c r="E592" s="6" t="n">
        <v>40794.575</v>
      </c>
      <c r="F592" s="0" t="n">
        <v>1.95</v>
      </c>
      <c r="G592" s="0" t="n">
        <v>13814</v>
      </c>
      <c r="H592" s="0" t="s">
        <v>33</v>
      </c>
      <c r="I592" s="7" t="n">
        <f aca="false">IF(AND(LEFT(A592,1)&lt;&gt;"C",D592&gt;0,F592&gt;0),1,0)</f>
        <v>1</v>
      </c>
      <c r="J592" s="7" t="n">
        <f aca="false">IF(I592=1,D592*F592,0)</f>
        <v>46.8</v>
      </c>
      <c r="K592" s="7" t="n">
        <f aca="false">YEAR(E592)*100+MONTH(E592)</f>
        <v>201109</v>
      </c>
      <c r="L592" s="7" t="n">
        <f aca="false">IF(AND(A592&lt;&gt;A591,LEFT(A592,1)&lt;&gt;"C"),1,0)</f>
        <v>0</v>
      </c>
    </row>
    <row r="593" customFormat="false" ht="15" hidden="false" customHeight="false" outlineLevel="0" collapsed="false">
      <c r="A593" s="0" t="s">
        <v>768</v>
      </c>
      <c r="B593" s="0" t="s">
        <v>775</v>
      </c>
      <c r="C593" s="0" t="s">
        <v>776</v>
      </c>
      <c r="D593" s="0" t="n">
        <v>24</v>
      </c>
      <c r="E593" s="6" t="n">
        <v>40794.575</v>
      </c>
      <c r="F593" s="0" t="n">
        <v>1.25</v>
      </c>
      <c r="G593" s="0" t="n">
        <v>13814</v>
      </c>
      <c r="H593" s="0" t="s">
        <v>33</v>
      </c>
      <c r="I593" s="7" t="n">
        <f aca="false">IF(AND(LEFT(A593,1)&lt;&gt;"C",D593&gt;0,F593&gt;0),1,0)</f>
        <v>1</v>
      </c>
      <c r="J593" s="7" t="n">
        <f aca="false">IF(I593=1,D593*F593,0)</f>
        <v>30</v>
      </c>
      <c r="K593" s="7" t="n">
        <f aca="false">YEAR(E593)*100+MONTH(E593)</f>
        <v>201109</v>
      </c>
      <c r="L593" s="7" t="n">
        <f aca="false">IF(AND(A593&lt;&gt;A592,LEFT(A593,1)&lt;&gt;"C"),1,0)</f>
        <v>0</v>
      </c>
    </row>
    <row r="594" customFormat="false" ht="15" hidden="false" customHeight="false" outlineLevel="0" collapsed="false">
      <c r="A594" s="0" t="s">
        <v>768</v>
      </c>
      <c r="B594" s="0" t="s">
        <v>777</v>
      </c>
      <c r="C594" s="0" t="s">
        <v>778</v>
      </c>
      <c r="D594" s="0" t="n">
        <v>24</v>
      </c>
      <c r="E594" s="6" t="n">
        <v>40794.575</v>
      </c>
      <c r="F594" s="0" t="n">
        <v>1.25</v>
      </c>
      <c r="G594" s="0" t="n">
        <v>13814</v>
      </c>
      <c r="H594" s="0" t="s">
        <v>33</v>
      </c>
      <c r="I594" s="7" t="n">
        <f aca="false">IF(AND(LEFT(A594,1)&lt;&gt;"C",D594&gt;0,F594&gt;0),1,0)</f>
        <v>1</v>
      </c>
      <c r="J594" s="7" t="n">
        <f aca="false">IF(I594=1,D594*F594,0)</f>
        <v>30</v>
      </c>
      <c r="K594" s="7" t="n">
        <f aca="false">YEAR(E594)*100+MONTH(E594)</f>
        <v>201109</v>
      </c>
      <c r="L594" s="7" t="n">
        <f aca="false">IF(AND(A594&lt;&gt;A593,LEFT(A594,1)&lt;&gt;"C"),1,0)</f>
        <v>0</v>
      </c>
    </row>
    <row r="595" customFormat="false" ht="15" hidden="false" customHeight="false" outlineLevel="0" collapsed="false">
      <c r="A595" s="0" t="s">
        <v>768</v>
      </c>
      <c r="B595" s="0" t="s">
        <v>146</v>
      </c>
      <c r="C595" s="0" t="s">
        <v>147</v>
      </c>
      <c r="D595" s="0" t="n">
        <v>12</v>
      </c>
      <c r="E595" s="6" t="n">
        <v>40794.575</v>
      </c>
      <c r="F595" s="0" t="n">
        <v>2.89</v>
      </c>
      <c r="G595" s="0" t="n">
        <v>13814</v>
      </c>
      <c r="H595" s="0" t="s">
        <v>33</v>
      </c>
      <c r="I595" s="7" t="n">
        <f aca="false">IF(AND(LEFT(A595,1)&lt;&gt;"C",D595&gt;0,F595&gt;0),1,0)</f>
        <v>1</v>
      </c>
      <c r="J595" s="7" t="n">
        <f aca="false">IF(I595=1,D595*F595,0)</f>
        <v>34.68</v>
      </c>
      <c r="K595" s="7" t="n">
        <f aca="false">YEAR(E595)*100+MONTH(E595)</f>
        <v>201109</v>
      </c>
      <c r="L595" s="7" t="n">
        <f aca="false">IF(AND(A595&lt;&gt;A594,LEFT(A595,1)&lt;&gt;"C"),1,0)</f>
        <v>0</v>
      </c>
    </row>
    <row r="596" customFormat="false" ht="15" hidden="false" customHeight="false" outlineLevel="0" collapsed="false">
      <c r="A596" s="0" t="s">
        <v>768</v>
      </c>
      <c r="B596" s="0" t="s">
        <v>779</v>
      </c>
      <c r="C596" s="0" t="s">
        <v>780</v>
      </c>
      <c r="D596" s="0" t="n">
        <v>8</v>
      </c>
      <c r="E596" s="6" t="n">
        <v>40794.575</v>
      </c>
      <c r="F596" s="0" t="n">
        <v>4.95</v>
      </c>
      <c r="G596" s="0" t="n">
        <v>13814</v>
      </c>
      <c r="H596" s="0" t="s">
        <v>33</v>
      </c>
      <c r="I596" s="7" t="n">
        <f aca="false">IF(AND(LEFT(A596,1)&lt;&gt;"C",D596&gt;0,F596&gt;0),1,0)</f>
        <v>1</v>
      </c>
      <c r="J596" s="7" t="n">
        <f aca="false">IF(I596=1,D596*F596,0)</f>
        <v>39.6</v>
      </c>
      <c r="K596" s="7" t="n">
        <f aca="false">YEAR(E596)*100+MONTH(E596)</f>
        <v>201109</v>
      </c>
      <c r="L596" s="7" t="n">
        <f aca="false">IF(AND(A596&lt;&gt;A595,LEFT(A596,1)&lt;&gt;"C"),1,0)</f>
        <v>0</v>
      </c>
    </row>
    <row r="597" customFormat="false" ht="15" hidden="false" customHeight="false" outlineLevel="0" collapsed="false">
      <c r="A597" s="0" t="s">
        <v>768</v>
      </c>
      <c r="B597" s="0" t="s">
        <v>781</v>
      </c>
      <c r="C597" s="0" t="s">
        <v>782</v>
      </c>
      <c r="D597" s="0" t="n">
        <v>6</v>
      </c>
      <c r="E597" s="6" t="n">
        <v>40794.575</v>
      </c>
      <c r="F597" s="0" t="n">
        <v>4.95</v>
      </c>
      <c r="G597" s="0" t="n">
        <v>13814</v>
      </c>
      <c r="H597" s="0" t="s">
        <v>33</v>
      </c>
      <c r="I597" s="7" t="n">
        <f aca="false">IF(AND(LEFT(A597,1)&lt;&gt;"C",D597&gt;0,F597&gt;0),1,0)</f>
        <v>1</v>
      </c>
      <c r="J597" s="7" t="n">
        <f aca="false">IF(I597=1,D597*F597,0)</f>
        <v>29.7</v>
      </c>
      <c r="K597" s="7" t="n">
        <f aca="false">YEAR(E597)*100+MONTH(E597)</f>
        <v>201109</v>
      </c>
      <c r="L597" s="7" t="n">
        <f aca="false">IF(AND(A597&lt;&gt;A596,LEFT(A597,1)&lt;&gt;"C"),1,0)</f>
        <v>0</v>
      </c>
    </row>
    <row r="598" customFormat="false" ht="15" hidden="false" customHeight="false" outlineLevel="0" collapsed="false">
      <c r="A598" s="0" t="s">
        <v>768</v>
      </c>
      <c r="B598" s="0" t="s">
        <v>783</v>
      </c>
      <c r="C598" s="0" t="s">
        <v>784</v>
      </c>
      <c r="D598" s="0" t="n">
        <v>12</v>
      </c>
      <c r="E598" s="6" t="n">
        <v>40794.575</v>
      </c>
      <c r="F598" s="0" t="n">
        <v>2.1</v>
      </c>
      <c r="G598" s="0" t="n">
        <v>13814</v>
      </c>
      <c r="H598" s="0" t="s">
        <v>33</v>
      </c>
      <c r="I598" s="7" t="n">
        <f aca="false">IF(AND(LEFT(A598,1)&lt;&gt;"C",D598&gt;0,F598&gt;0),1,0)</f>
        <v>1</v>
      </c>
      <c r="J598" s="7" t="n">
        <f aca="false">IF(I598=1,D598*F598,0)</f>
        <v>25.2</v>
      </c>
      <c r="K598" s="7" t="n">
        <f aca="false">YEAR(E598)*100+MONTH(E598)</f>
        <v>201109</v>
      </c>
      <c r="L598" s="7" t="n">
        <f aca="false">IF(AND(A598&lt;&gt;A597,LEFT(A598,1)&lt;&gt;"C"),1,0)</f>
        <v>0</v>
      </c>
    </row>
    <row r="599" customFormat="false" ht="15" hidden="false" customHeight="false" outlineLevel="0" collapsed="false">
      <c r="A599" s="0" t="s">
        <v>768</v>
      </c>
      <c r="B599" s="0" t="s">
        <v>785</v>
      </c>
      <c r="C599" s="0" t="s">
        <v>786</v>
      </c>
      <c r="D599" s="0" t="n">
        <v>24</v>
      </c>
      <c r="E599" s="6" t="n">
        <v>40794.575</v>
      </c>
      <c r="F599" s="0" t="n">
        <v>1.45</v>
      </c>
      <c r="G599" s="0" t="n">
        <v>13814</v>
      </c>
      <c r="H599" s="0" t="s">
        <v>33</v>
      </c>
      <c r="I599" s="7" t="n">
        <f aca="false">IF(AND(LEFT(A599,1)&lt;&gt;"C",D599&gt;0,F599&gt;0),1,0)</f>
        <v>1</v>
      </c>
      <c r="J599" s="7" t="n">
        <f aca="false">IF(I599=1,D599*F599,0)</f>
        <v>34.8</v>
      </c>
      <c r="K599" s="7" t="n">
        <f aca="false">YEAR(E599)*100+MONTH(E599)</f>
        <v>201109</v>
      </c>
      <c r="L599" s="7" t="n">
        <f aca="false">IF(AND(A599&lt;&gt;A598,LEFT(A599,1)&lt;&gt;"C"),1,0)</f>
        <v>0</v>
      </c>
    </row>
    <row r="600" customFormat="false" ht="15" hidden="false" customHeight="false" outlineLevel="0" collapsed="false">
      <c r="A600" s="0" t="s">
        <v>768</v>
      </c>
      <c r="B600" s="0" t="s">
        <v>787</v>
      </c>
      <c r="C600" s="0" t="s">
        <v>788</v>
      </c>
      <c r="D600" s="0" t="n">
        <v>24</v>
      </c>
      <c r="E600" s="6" t="n">
        <v>40794.575</v>
      </c>
      <c r="F600" s="0" t="n">
        <v>1.45</v>
      </c>
      <c r="G600" s="0" t="n">
        <v>13814</v>
      </c>
      <c r="H600" s="0" t="s">
        <v>33</v>
      </c>
      <c r="I600" s="7" t="n">
        <f aca="false">IF(AND(LEFT(A600,1)&lt;&gt;"C",D600&gt;0,F600&gt;0),1,0)</f>
        <v>1</v>
      </c>
      <c r="J600" s="7" t="n">
        <f aca="false">IF(I600=1,D600*F600,0)</f>
        <v>34.8</v>
      </c>
      <c r="K600" s="7" t="n">
        <f aca="false">YEAR(E600)*100+MONTH(E600)</f>
        <v>201109</v>
      </c>
      <c r="L600" s="7" t="n">
        <f aca="false">IF(AND(A600&lt;&gt;A599,LEFT(A600,1)&lt;&gt;"C"),1,0)</f>
        <v>0</v>
      </c>
    </row>
    <row r="601" customFormat="false" ht="15" hidden="false" customHeight="false" outlineLevel="0" collapsed="false">
      <c r="A601" s="0" t="s">
        <v>768</v>
      </c>
      <c r="B601" s="0" t="s">
        <v>789</v>
      </c>
      <c r="C601" s="0" t="s">
        <v>790</v>
      </c>
      <c r="D601" s="0" t="n">
        <v>12</v>
      </c>
      <c r="E601" s="6" t="n">
        <v>40794.575</v>
      </c>
      <c r="F601" s="0" t="n">
        <v>1.95</v>
      </c>
      <c r="G601" s="0" t="n">
        <v>13814</v>
      </c>
      <c r="H601" s="0" t="s">
        <v>33</v>
      </c>
      <c r="I601" s="7" t="n">
        <f aca="false">IF(AND(LEFT(A601,1)&lt;&gt;"C",D601&gt;0,F601&gt;0),1,0)</f>
        <v>1</v>
      </c>
      <c r="J601" s="7" t="n">
        <f aca="false">IF(I601=1,D601*F601,0)</f>
        <v>23.4</v>
      </c>
      <c r="K601" s="7" t="n">
        <f aca="false">YEAR(E601)*100+MONTH(E601)</f>
        <v>201109</v>
      </c>
      <c r="L601" s="7" t="n">
        <f aca="false">IF(AND(A601&lt;&gt;A600,LEFT(A601,1)&lt;&gt;"C"),1,0)</f>
        <v>0</v>
      </c>
    </row>
    <row r="602" customFormat="false" ht="15" hidden="false" customHeight="false" outlineLevel="0" collapsed="false">
      <c r="A602" s="0" t="s">
        <v>768</v>
      </c>
      <c r="B602" s="0" t="s">
        <v>561</v>
      </c>
      <c r="C602" s="0" t="s">
        <v>562</v>
      </c>
      <c r="D602" s="0" t="n">
        <v>12</v>
      </c>
      <c r="E602" s="6" t="n">
        <v>40794.575</v>
      </c>
      <c r="F602" s="0" t="n">
        <v>1.45</v>
      </c>
      <c r="G602" s="0" t="n">
        <v>13814</v>
      </c>
      <c r="H602" s="0" t="s">
        <v>33</v>
      </c>
      <c r="I602" s="7" t="n">
        <f aca="false">IF(AND(LEFT(A602,1)&lt;&gt;"C",D602&gt;0,F602&gt;0),1,0)</f>
        <v>1</v>
      </c>
      <c r="J602" s="7" t="n">
        <f aca="false">IF(I602=1,D602*F602,0)</f>
        <v>17.4</v>
      </c>
      <c r="K602" s="7" t="n">
        <f aca="false">YEAR(E602)*100+MONTH(E602)</f>
        <v>201109</v>
      </c>
      <c r="L602" s="7" t="n">
        <f aca="false">IF(AND(A602&lt;&gt;A601,LEFT(A602,1)&lt;&gt;"C"),1,0)</f>
        <v>0</v>
      </c>
    </row>
    <row r="603" customFormat="false" ht="15" hidden="false" customHeight="false" outlineLevel="0" collapsed="false">
      <c r="A603" s="0" t="s">
        <v>791</v>
      </c>
      <c r="B603" s="0" t="s">
        <v>588</v>
      </c>
      <c r="C603" s="0" t="s">
        <v>589</v>
      </c>
      <c r="D603" s="0" t="n">
        <v>10</v>
      </c>
      <c r="E603" s="6" t="n">
        <v>40794.6277777778</v>
      </c>
      <c r="F603" s="0" t="n">
        <v>1.65</v>
      </c>
      <c r="G603" s="0" t="n">
        <v>12592</v>
      </c>
      <c r="H603" s="0" t="s">
        <v>33</v>
      </c>
      <c r="I603" s="7" t="n">
        <f aca="false">IF(AND(LEFT(A603,1)&lt;&gt;"C",D603&gt;0,F603&gt;0),1,0)</f>
        <v>1</v>
      </c>
      <c r="J603" s="7" t="n">
        <f aca="false">IF(I603=1,D603*F603,0)</f>
        <v>16.5</v>
      </c>
      <c r="K603" s="7" t="n">
        <f aca="false">YEAR(E603)*100+MONTH(E603)</f>
        <v>201109</v>
      </c>
      <c r="L603" s="7" t="n">
        <f aca="false">IF(AND(A603&lt;&gt;A602,LEFT(A603,1)&lt;&gt;"C"),1,0)</f>
        <v>1</v>
      </c>
    </row>
    <row r="604" customFormat="false" ht="15" hidden="false" customHeight="false" outlineLevel="0" collapsed="false">
      <c r="A604" s="0" t="s">
        <v>791</v>
      </c>
      <c r="B604" s="0" t="s">
        <v>70</v>
      </c>
      <c r="C604" s="0" t="s">
        <v>71</v>
      </c>
      <c r="D604" s="0" t="n">
        <v>20</v>
      </c>
      <c r="E604" s="6" t="n">
        <v>40794.6277777778</v>
      </c>
      <c r="F604" s="0" t="n">
        <v>1.65</v>
      </c>
      <c r="G604" s="0" t="n">
        <v>12592</v>
      </c>
      <c r="H604" s="0" t="s">
        <v>33</v>
      </c>
      <c r="I604" s="7" t="n">
        <f aca="false">IF(AND(LEFT(A604,1)&lt;&gt;"C",D604&gt;0,F604&gt;0),1,0)</f>
        <v>1</v>
      </c>
      <c r="J604" s="7" t="n">
        <f aca="false">IF(I604=1,D604*F604,0)</f>
        <v>33</v>
      </c>
      <c r="K604" s="7" t="n">
        <f aca="false">YEAR(E604)*100+MONTH(E604)</f>
        <v>201109</v>
      </c>
      <c r="L604" s="7" t="n">
        <f aca="false">IF(AND(A604&lt;&gt;A603,LEFT(A604,1)&lt;&gt;"C"),1,0)</f>
        <v>0</v>
      </c>
    </row>
    <row r="605" customFormat="false" ht="15" hidden="false" customHeight="false" outlineLevel="0" collapsed="false">
      <c r="A605" s="0" t="s">
        <v>791</v>
      </c>
      <c r="B605" s="0" t="s">
        <v>792</v>
      </c>
      <c r="C605" s="0" t="s">
        <v>793</v>
      </c>
      <c r="D605" s="0" t="n">
        <v>12</v>
      </c>
      <c r="E605" s="6" t="n">
        <v>40794.6277777778</v>
      </c>
      <c r="F605" s="0" t="n">
        <v>1.95</v>
      </c>
      <c r="G605" s="0" t="n">
        <v>12592</v>
      </c>
      <c r="H605" s="0" t="s">
        <v>33</v>
      </c>
      <c r="I605" s="7" t="n">
        <f aca="false">IF(AND(LEFT(A605,1)&lt;&gt;"C",D605&gt;0,F605&gt;0),1,0)</f>
        <v>1</v>
      </c>
      <c r="J605" s="7" t="n">
        <f aca="false">IF(I605=1,D605*F605,0)</f>
        <v>23.4</v>
      </c>
      <c r="K605" s="7" t="n">
        <f aca="false">YEAR(E605)*100+MONTH(E605)</f>
        <v>201109</v>
      </c>
      <c r="L605" s="7" t="n">
        <f aca="false">IF(AND(A605&lt;&gt;A604,LEFT(A605,1)&lt;&gt;"C"),1,0)</f>
        <v>0</v>
      </c>
    </row>
    <row r="606" customFormat="false" ht="15" hidden="false" customHeight="false" outlineLevel="0" collapsed="false">
      <c r="A606" s="0" t="s">
        <v>791</v>
      </c>
      <c r="B606" s="0" t="s">
        <v>56</v>
      </c>
      <c r="C606" s="0" t="s">
        <v>57</v>
      </c>
      <c r="D606" s="0" t="n">
        <v>20</v>
      </c>
      <c r="E606" s="6" t="n">
        <v>40794.6277777778</v>
      </c>
      <c r="F606" s="0" t="n">
        <v>1.65</v>
      </c>
      <c r="G606" s="0" t="n">
        <v>12592</v>
      </c>
      <c r="H606" s="0" t="s">
        <v>33</v>
      </c>
      <c r="I606" s="7" t="n">
        <f aca="false">IF(AND(LEFT(A606,1)&lt;&gt;"C",D606&gt;0,F606&gt;0),1,0)</f>
        <v>1</v>
      </c>
      <c r="J606" s="7" t="n">
        <f aca="false">IF(I606=1,D606*F606,0)</f>
        <v>33</v>
      </c>
      <c r="K606" s="7" t="n">
        <f aca="false">YEAR(E606)*100+MONTH(E606)</f>
        <v>201109</v>
      </c>
      <c r="L606" s="7" t="n">
        <f aca="false">IF(AND(A606&lt;&gt;A605,LEFT(A606,1)&lt;&gt;"C"),1,0)</f>
        <v>0</v>
      </c>
    </row>
    <row r="607" customFormat="false" ht="15" hidden="false" customHeight="false" outlineLevel="0" collapsed="false">
      <c r="A607" s="0" t="s">
        <v>791</v>
      </c>
      <c r="B607" s="0" t="s">
        <v>74</v>
      </c>
      <c r="C607" s="0" t="s">
        <v>75</v>
      </c>
      <c r="D607" s="0" t="n">
        <v>12</v>
      </c>
      <c r="E607" s="6" t="n">
        <v>40794.6277777778</v>
      </c>
      <c r="F607" s="0" t="n">
        <v>1.95</v>
      </c>
      <c r="G607" s="0" t="n">
        <v>12592</v>
      </c>
      <c r="H607" s="0" t="s">
        <v>33</v>
      </c>
      <c r="I607" s="7" t="n">
        <f aca="false">IF(AND(LEFT(A607,1)&lt;&gt;"C",D607&gt;0,F607&gt;0),1,0)</f>
        <v>1</v>
      </c>
      <c r="J607" s="7" t="n">
        <f aca="false">IF(I607=1,D607*F607,0)</f>
        <v>23.4</v>
      </c>
      <c r="K607" s="7" t="n">
        <f aca="false">YEAR(E607)*100+MONTH(E607)</f>
        <v>201109</v>
      </c>
      <c r="L607" s="7" t="n">
        <f aca="false">IF(AND(A607&lt;&gt;A606,LEFT(A607,1)&lt;&gt;"C"),1,0)</f>
        <v>0</v>
      </c>
    </row>
    <row r="608" customFormat="false" ht="15" hidden="false" customHeight="false" outlineLevel="0" collapsed="false">
      <c r="A608" s="0" t="s">
        <v>791</v>
      </c>
      <c r="B608" s="0" t="s">
        <v>78</v>
      </c>
      <c r="C608" s="0" t="s">
        <v>79</v>
      </c>
      <c r="D608" s="0" t="n">
        <v>20</v>
      </c>
      <c r="E608" s="6" t="n">
        <v>40794.6277777778</v>
      </c>
      <c r="F608" s="0" t="n">
        <v>1.65</v>
      </c>
      <c r="G608" s="0" t="n">
        <v>12592</v>
      </c>
      <c r="H608" s="0" t="s">
        <v>33</v>
      </c>
      <c r="I608" s="7" t="n">
        <f aca="false">IF(AND(LEFT(A608,1)&lt;&gt;"C",D608&gt;0,F608&gt;0),1,0)</f>
        <v>1</v>
      </c>
      <c r="J608" s="7" t="n">
        <f aca="false">IF(I608=1,D608*F608,0)</f>
        <v>33</v>
      </c>
      <c r="K608" s="7" t="n">
        <f aca="false">YEAR(E608)*100+MONTH(E608)</f>
        <v>201109</v>
      </c>
      <c r="L608" s="7" t="n">
        <f aca="false">IF(AND(A608&lt;&gt;A607,LEFT(A608,1)&lt;&gt;"C"),1,0)</f>
        <v>0</v>
      </c>
    </row>
    <row r="609" customFormat="false" ht="15" hidden="false" customHeight="false" outlineLevel="0" collapsed="false">
      <c r="A609" s="0" t="s">
        <v>791</v>
      </c>
      <c r="B609" s="0" t="s">
        <v>794</v>
      </c>
      <c r="C609" s="0" t="s">
        <v>795</v>
      </c>
      <c r="D609" s="0" t="n">
        <v>20</v>
      </c>
      <c r="E609" s="6" t="n">
        <v>40794.6277777778</v>
      </c>
      <c r="F609" s="0" t="n">
        <v>0.85</v>
      </c>
      <c r="G609" s="0" t="n">
        <v>12592</v>
      </c>
      <c r="H609" s="0" t="s">
        <v>33</v>
      </c>
      <c r="I609" s="7" t="n">
        <f aca="false">IF(AND(LEFT(A609,1)&lt;&gt;"C",D609&gt;0,F609&gt;0),1,0)</f>
        <v>1</v>
      </c>
      <c r="J609" s="7" t="n">
        <f aca="false">IF(I609=1,D609*F609,0)</f>
        <v>17</v>
      </c>
      <c r="K609" s="7" t="n">
        <f aca="false">YEAR(E609)*100+MONTH(E609)</f>
        <v>201109</v>
      </c>
      <c r="L609" s="7" t="n">
        <f aca="false">IF(AND(A609&lt;&gt;A608,LEFT(A609,1)&lt;&gt;"C"),1,0)</f>
        <v>0</v>
      </c>
    </row>
    <row r="610" customFormat="false" ht="15" hidden="false" customHeight="false" outlineLevel="0" collapsed="false">
      <c r="A610" s="0" t="s">
        <v>791</v>
      </c>
      <c r="B610" s="0" t="s">
        <v>667</v>
      </c>
      <c r="C610" s="0" t="s">
        <v>668</v>
      </c>
      <c r="D610" s="0" t="n">
        <v>10</v>
      </c>
      <c r="E610" s="6" t="n">
        <v>40794.6277777778</v>
      </c>
      <c r="F610" s="0" t="n">
        <v>0.85</v>
      </c>
      <c r="G610" s="0" t="n">
        <v>12592</v>
      </c>
      <c r="H610" s="0" t="s">
        <v>33</v>
      </c>
      <c r="I610" s="7" t="n">
        <f aca="false">IF(AND(LEFT(A610,1)&lt;&gt;"C",D610&gt;0,F610&gt;0),1,0)</f>
        <v>1</v>
      </c>
      <c r="J610" s="7" t="n">
        <f aca="false">IF(I610=1,D610*F610,0)</f>
        <v>8.5</v>
      </c>
      <c r="K610" s="7" t="n">
        <f aca="false">YEAR(E610)*100+MONTH(E610)</f>
        <v>201109</v>
      </c>
      <c r="L610" s="7" t="n">
        <f aca="false">IF(AND(A610&lt;&gt;A609,LEFT(A610,1)&lt;&gt;"C"),1,0)</f>
        <v>0</v>
      </c>
    </row>
    <row r="611" customFormat="false" ht="15" hidden="false" customHeight="false" outlineLevel="0" collapsed="false">
      <c r="A611" s="0" t="s">
        <v>791</v>
      </c>
      <c r="B611" s="0" t="s">
        <v>84</v>
      </c>
      <c r="C611" s="0" t="s">
        <v>85</v>
      </c>
      <c r="D611" s="0" t="n">
        <v>1</v>
      </c>
      <c r="E611" s="6" t="n">
        <v>40794.6277777778</v>
      </c>
      <c r="F611" s="0" t="n">
        <v>18</v>
      </c>
      <c r="G611" s="0" t="n">
        <v>12592</v>
      </c>
      <c r="H611" s="0" t="s">
        <v>33</v>
      </c>
      <c r="I611" s="7" t="n">
        <f aca="false">IF(AND(LEFT(A611,1)&lt;&gt;"C",D611&gt;0,F611&gt;0),1,0)</f>
        <v>1</v>
      </c>
      <c r="J611" s="7" t="n">
        <f aca="false">IF(I611=1,D611*F611,0)</f>
        <v>18</v>
      </c>
      <c r="K611" s="7" t="n">
        <f aca="false">YEAR(E611)*100+MONTH(E611)</f>
        <v>201109</v>
      </c>
      <c r="L611" s="7" t="n">
        <f aca="false">IF(AND(A611&lt;&gt;A610,LEFT(A611,1)&lt;&gt;"C"),1,0)</f>
        <v>0</v>
      </c>
    </row>
    <row r="612" customFormat="false" ht="15" hidden="false" customHeight="false" outlineLevel="0" collapsed="false">
      <c r="A612" s="0" t="s">
        <v>796</v>
      </c>
      <c r="B612" s="0" t="s">
        <v>452</v>
      </c>
      <c r="C612" s="0" t="s">
        <v>453</v>
      </c>
      <c r="D612" s="0" t="n">
        <v>4</v>
      </c>
      <c r="E612" s="6" t="n">
        <v>40794.6402777778</v>
      </c>
      <c r="F612" s="0" t="n">
        <v>8.5</v>
      </c>
      <c r="G612" s="0" t="n">
        <v>12569</v>
      </c>
      <c r="H612" s="0" t="s">
        <v>33</v>
      </c>
      <c r="I612" s="7" t="n">
        <f aca="false">IF(AND(LEFT(A612,1)&lt;&gt;"C",D612&gt;0,F612&gt;0),1,0)</f>
        <v>1</v>
      </c>
      <c r="J612" s="7" t="n">
        <f aca="false">IF(I612=1,D612*F612,0)</f>
        <v>34</v>
      </c>
      <c r="K612" s="7" t="n">
        <f aca="false">YEAR(E612)*100+MONTH(E612)</f>
        <v>201109</v>
      </c>
      <c r="L612" s="7" t="n">
        <f aca="false">IF(AND(A612&lt;&gt;A611,LEFT(A612,1)&lt;&gt;"C"),1,0)</f>
        <v>1</v>
      </c>
    </row>
    <row r="613" customFormat="false" ht="15" hidden="false" customHeight="false" outlineLevel="0" collapsed="false">
      <c r="A613" s="0" t="s">
        <v>796</v>
      </c>
      <c r="B613" s="0" t="s">
        <v>293</v>
      </c>
      <c r="C613" s="0" t="s">
        <v>294</v>
      </c>
      <c r="D613" s="0" t="n">
        <v>4</v>
      </c>
      <c r="E613" s="6" t="n">
        <v>40794.6402777778</v>
      </c>
      <c r="F613" s="0" t="n">
        <v>8.5</v>
      </c>
      <c r="G613" s="0" t="n">
        <v>12569</v>
      </c>
      <c r="H613" s="0" t="s">
        <v>33</v>
      </c>
      <c r="I613" s="7" t="n">
        <f aca="false">IF(AND(LEFT(A613,1)&lt;&gt;"C",D613&gt;0,F613&gt;0),1,0)</f>
        <v>1</v>
      </c>
      <c r="J613" s="7" t="n">
        <f aca="false">IF(I613=1,D613*F613,0)</f>
        <v>34</v>
      </c>
      <c r="K613" s="7" t="n">
        <f aca="false">YEAR(E613)*100+MONTH(E613)</f>
        <v>201109</v>
      </c>
      <c r="L613" s="7" t="n">
        <f aca="false">IF(AND(A613&lt;&gt;A612,LEFT(A613,1)&lt;&gt;"C"),1,0)</f>
        <v>0</v>
      </c>
    </row>
    <row r="614" customFormat="false" ht="15" hidden="false" customHeight="false" outlineLevel="0" collapsed="false">
      <c r="A614" s="0" t="s">
        <v>796</v>
      </c>
      <c r="B614" s="0" t="s">
        <v>84</v>
      </c>
      <c r="C614" s="0" t="s">
        <v>85</v>
      </c>
      <c r="D614" s="0" t="n">
        <v>1</v>
      </c>
      <c r="E614" s="6" t="n">
        <v>40794.6402777778</v>
      </c>
      <c r="F614" s="0" t="n">
        <v>18</v>
      </c>
      <c r="G614" s="0" t="n">
        <v>12569</v>
      </c>
      <c r="H614" s="0" t="s">
        <v>33</v>
      </c>
      <c r="I614" s="7" t="n">
        <f aca="false">IF(AND(LEFT(A614,1)&lt;&gt;"C",D614&gt;0,F614&gt;0),1,0)</f>
        <v>1</v>
      </c>
      <c r="J614" s="7" t="n">
        <f aca="false">IF(I614=1,D614*F614,0)</f>
        <v>18</v>
      </c>
      <c r="K614" s="7" t="n">
        <f aca="false">YEAR(E614)*100+MONTH(E614)</f>
        <v>201109</v>
      </c>
      <c r="L614" s="7" t="n">
        <f aca="false">IF(AND(A614&lt;&gt;A613,LEFT(A614,1)&lt;&gt;"C"),1,0)</f>
        <v>0</v>
      </c>
    </row>
    <row r="615" customFormat="false" ht="15" hidden="false" customHeight="false" outlineLevel="0" collapsed="false">
      <c r="A615" s="0" t="s">
        <v>797</v>
      </c>
      <c r="B615" s="0" t="s">
        <v>293</v>
      </c>
      <c r="C615" s="0" t="s">
        <v>294</v>
      </c>
      <c r="D615" s="0" t="n">
        <v>2</v>
      </c>
      <c r="E615" s="6" t="n">
        <v>40795.3666666667</v>
      </c>
      <c r="F615" s="0" t="n">
        <v>8.5</v>
      </c>
      <c r="G615" s="0" t="n">
        <v>12535</v>
      </c>
      <c r="H615" s="0" t="s">
        <v>43</v>
      </c>
      <c r="I615" s="7" t="n">
        <f aca="false">IF(AND(LEFT(A615,1)&lt;&gt;"C",D615&gt;0,F615&gt;0),1,0)</f>
        <v>1</v>
      </c>
      <c r="J615" s="7" t="n">
        <f aca="false">IF(I615=1,D615*F615,0)</f>
        <v>17</v>
      </c>
      <c r="K615" s="7" t="n">
        <f aca="false">YEAR(E615)*100+MONTH(E615)</f>
        <v>201109</v>
      </c>
      <c r="L615" s="7" t="n">
        <f aca="false">IF(AND(A615&lt;&gt;A614,LEFT(A615,1)&lt;&gt;"C"),1,0)</f>
        <v>1</v>
      </c>
    </row>
    <row r="616" customFormat="false" ht="15" hidden="false" customHeight="false" outlineLevel="0" collapsed="false">
      <c r="A616" s="0" t="s">
        <v>797</v>
      </c>
      <c r="B616" s="0" t="s">
        <v>545</v>
      </c>
      <c r="C616" s="0" t="s">
        <v>546</v>
      </c>
      <c r="D616" s="0" t="n">
        <v>6</v>
      </c>
      <c r="E616" s="6" t="n">
        <v>40795.3666666667</v>
      </c>
      <c r="F616" s="0" t="n">
        <v>4.95</v>
      </c>
      <c r="G616" s="0" t="n">
        <v>12535</v>
      </c>
      <c r="H616" s="0" t="s">
        <v>43</v>
      </c>
      <c r="I616" s="7" t="n">
        <f aca="false">IF(AND(LEFT(A616,1)&lt;&gt;"C",D616&gt;0,F616&gt;0),1,0)</f>
        <v>1</v>
      </c>
      <c r="J616" s="7" t="n">
        <f aca="false">IF(I616=1,D616*F616,0)</f>
        <v>29.7</v>
      </c>
      <c r="K616" s="7" t="n">
        <f aca="false">YEAR(E616)*100+MONTH(E616)</f>
        <v>201109</v>
      </c>
      <c r="L616" s="7" t="n">
        <f aca="false">IF(AND(A616&lt;&gt;A615,LEFT(A616,1)&lt;&gt;"C"),1,0)</f>
        <v>0</v>
      </c>
    </row>
    <row r="617" customFormat="false" ht="15" hidden="false" customHeight="false" outlineLevel="0" collapsed="false">
      <c r="A617" s="0" t="s">
        <v>797</v>
      </c>
      <c r="B617" s="0" t="s">
        <v>798</v>
      </c>
      <c r="C617" s="0" t="s">
        <v>799</v>
      </c>
      <c r="D617" s="0" t="n">
        <v>4</v>
      </c>
      <c r="E617" s="6" t="n">
        <v>40795.3666666667</v>
      </c>
      <c r="F617" s="0" t="n">
        <v>8.95</v>
      </c>
      <c r="G617" s="0" t="n">
        <v>12535</v>
      </c>
      <c r="H617" s="0" t="s">
        <v>43</v>
      </c>
      <c r="I617" s="7" t="n">
        <f aca="false">IF(AND(LEFT(A617,1)&lt;&gt;"C",D617&gt;0,F617&gt;0),1,0)</f>
        <v>1</v>
      </c>
      <c r="J617" s="7" t="n">
        <f aca="false">IF(I617=1,D617*F617,0)</f>
        <v>35.8</v>
      </c>
      <c r="K617" s="7" t="n">
        <f aca="false">YEAR(E617)*100+MONTH(E617)</f>
        <v>201109</v>
      </c>
      <c r="L617" s="7" t="n">
        <f aca="false">IF(AND(A617&lt;&gt;A616,LEFT(A617,1)&lt;&gt;"C"),1,0)</f>
        <v>0</v>
      </c>
    </row>
    <row r="618" customFormat="false" ht="15" hidden="false" customHeight="false" outlineLevel="0" collapsed="false">
      <c r="A618" s="0" t="s">
        <v>797</v>
      </c>
      <c r="B618" s="0" t="s">
        <v>800</v>
      </c>
      <c r="C618" s="0" t="s">
        <v>801</v>
      </c>
      <c r="D618" s="0" t="n">
        <v>12</v>
      </c>
      <c r="E618" s="6" t="n">
        <v>40795.3666666667</v>
      </c>
      <c r="F618" s="0" t="n">
        <v>2.55</v>
      </c>
      <c r="G618" s="0" t="n">
        <v>12535</v>
      </c>
      <c r="H618" s="0" t="s">
        <v>43</v>
      </c>
      <c r="I618" s="7" t="n">
        <f aca="false">IF(AND(LEFT(A618,1)&lt;&gt;"C",D618&gt;0,F618&gt;0),1,0)</f>
        <v>1</v>
      </c>
      <c r="J618" s="7" t="n">
        <f aca="false">IF(I618=1,D618*F618,0)</f>
        <v>30.6</v>
      </c>
      <c r="K618" s="7" t="n">
        <f aca="false">YEAR(E618)*100+MONTH(E618)</f>
        <v>201109</v>
      </c>
      <c r="L618" s="7" t="n">
        <f aca="false">IF(AND(A618&lt;&gt;A617,LEFT(A618,1)&lt;&gt;"C"),1,0)</f>
        <v>0</v>
      </c>
    </row>
    <row r="619" customFormat="false" ht="15" hidden="false" customHeight="false" outlineLevel="0" collapsed="false">
      <c r="A619" s="0" t="s">
        <v>797</v>
      </c>
      <c r="B619" s="0" t="s">
        <v>752</v>
      </c>
      <c r="C619" s="0" t="s">
        <v>753</v>
      </c>
      <c r="D619" s="0" t="n">
        <v>12</v>
      </c>
      <c r="E619" s="6" t="n">
        <v>40795.3666666667</v>
      </c>
      <c r="F619" s="0" t="n">
        <v>1.65</v>
      </c>
      <c r="G619" s="0" t="n">
        <v>12535</v>
      </c>
      <c r="H619" s="0" t="s">
        <v>43</v>
      </c>
      <c r="I619" s="7" t="n">
        <f aca="false">IF(AND(LEFT(A619,1)&lt;&gt;"C",D619&gt;0,F619&gt;0),1,0)</f>
        <v>1</v>
      </c>
      <c r="J619" s="7" t="n">
        <f aca="false">IF(I619=1,D619*F619,0)</f>
        <v>19.8</v>
      </c>
      <c r="K619" s="7" t="n">
        <f aca="false">YEAR(E619)*100+MONTH(E619)</f>
        <v>201109</v>
      </c>
      <c r="L619" s="7" t="n">
        <f aca="false">IF(AND(A619&lt;&gt;A618,LEFT(A619,1)&lt;&gt;"C"),1,0)</f>
        <v>0</v>
      </c>
    </row>
    <row r="620" customFormat="false" ht="15" hidden="false" customHeight="false" outlineLevel="0" collapsed="false">
      <c r="A620" s="0" t="s">
        <v>797</v>
      </c>
      <c r="B620" s="0" t="s">
        <v>802</v>
      </c>
      <c r="C620" s="0" t="s">
        <v>803</v>
      </c>
      <c r="D620" s="0" t="n">
        <v>3</v>
      </c>
      <c r="E620" s="6" t="n">
        <v>40795.3666666667</v>
      </c>
      <c r="F620" s="0" t="n">
        <v>4.95</v>
      </c>
      <c r="G620" s="0" t="n">
        <v>12535</v>
      </c>
      <c r="H620" s="0" t="s">
        <v>43</v>
      </c>
      <c r="I620" s="7" t="n">
        <f aca="false">IF(AND(LEFT(A620,1)&lt;&gt;"C",D620&gt;0,F620&gt;0),1,0)</f>
        <v>1</v>
      </c>
      <c r="J620" s="7" t="n">
        <f aca="false">IF(I620=1,D620*F620,0)</f>
        <v>14.85</v>
      </c>
      <c r="K620" s="7" t="n">
        <f aca="false">YEAR(E620)*100+MONTH(E620)</f>
        <v>201109</v>
      </c>
      <c r="L620" s="7" t="n">
        <f aca="false">IF(AND(A620&lt;&gt;A619,LEFT(A620,1)&lt;&gt;"C"),1,0)</f>
        <v>0</v>
      </c>
    </row>
    <row r="621" customFormat="false" ht="15" hidden="false" customHeight="false" outlineLevel="0" collapsed="false">
      <c r="A621" s="0" t="s">
        <v>797</v>
      </c>
      <c r="B621" s="0" t="s">
        <v>804</v>
      </c>
      <c r="C621" s="0" t="s">
        <v>805</v>
      </c>
      <c r="D621" s="0" t="n">
        <v>6</v>
      </c>
      <c r="E621" s="6" t="n">
        <v>40795.3666666667</v>
      </c>
      <c r="F621" s="0" t="n">
        <v>4.95</v>
      </c>
      <c r="G621" s="0" t="n">
        <v>12535</v>
      </c>
      <c r="H621" s="0" t="s">
        <v>43</v>
      </c>
      <c r="I621" s="7" t="n">
        <f aca="false">IF(AND(LEFT(A621,1)&lt;&gt;"C",D621&gt;0,F621&gt;0),1,0)</f>
        <v>1</v>
      </c>
      <c r="J621" s="7" t="n">
        <f aca="false">IF(I621=1,D621*F621,0)</f>
        <v>29.7</v>
      </c>
      <c r="K621" s="7" t="n">
        <f aca="false">YEAR(E621)*100+MONTH(E621)</f>
        <v>201109</v>
      </c>
      <c r="L621" s="7" t="n">
        <f aca="false">IF(AND(A621&lt;&gt;A620,LEFT(A621,1)&lt;&gt;"C"),1,0)</f>
        <v>0</v>
      </c>
    </row>
    <row r="622" customFormat="false" ht="15" hidden="false" customHeight="false" outlineLevel="0" collapsed="false">
      <c r="A622" s="0" t="s">
        <v>797</v>
      </c>
      <c r="B622" s="0" t="s">
        <v>806</v>
      </c>
      <c r="C622" s="0" t="s">
        <v>807</v>
      </c>
      <c r="D622" s="0" t="n">
        <v>24</v>
      </c>
      <c r="E622" s="6" t="n">
        <v>40795.3666666667</v>
      </c>
      <c r="F622" s="0" t="n">
        <v>0.85</v>
      </c>
      <c r="G622" s="0" t="n">
        <v>12535</v>
      </c>
      <c r="H622" s="0" t="s">
        <v>43</v>
      </c>
      <c r="I622" s="7" t="n">
        <f aca="false">IF(AND(LEFT(A622,1)&lt;&gt;"C",D622&gt;0,F622&gt;0),1,0)</f>
        <v>1</v>
      </c>
      <c r="J622" s="7" t="n">
        <f aca="false">IF(I622=1,D622*F622,0)</f>
        <v>20.4</v>
      </c>
      <c r="K622" s="7" t="n">
        <f aca="false">YEAR(E622)*100+MONTH(E622)</f>
        <v>201109</v>
      </c>
      <c r="L622" s="7" t="n">
        <f aca="false">IF(AND(A622&lt;&gt;A621,LEFT(A622,1)&lt;&gt;"C"),1,0)</f>
        <v>0</v>
      </c>
    </row>
    <row r="623" customFormat="false" ht="15" hidden="false" customHeight="false" outlineLevel="0" collapsed="false">
      <c r="A623" s="0" t="s">
        <v>797</v>
      </c>
      <c r="B623" s="0" t="s">
        <v>808</v>
      </c>
      <c r="C623" s="0" t="s">
        <v>809</v>
      </c>
      <c r="D623" s="0" t="n">
        <v>4</v>
      </c>
      <c r="E623" s="6" t="n">
        <v>40795.3666666667</v>
      </c>
      <c r="F623" s="0" t="n">
        <v>3.75</v>
      </c>
      <c r="G623" s="0" t="n">
        <v>12535</v>
      </c>
      <c r="H623" s="0" t="s">
        <v>43</v>
      </c>
      <c r="I623" s="7" t="n">
        <f aca="false">IF(AND(LEFT(A623,1)&lt;&gt;"C",D623&gt;0,F623&gt;0),1,0)</f>
        <v>1</v>
      </c>
      <c r="J623" s="7" t="n">
        <f aca="false">IF(I623=1,D623*F623,0)</f>
        <v>15</v>
      </c>
      <c r="K623" s="7" t="n">
        <f aca="false">YEAR(E623)*100+MONTH(E623)</f>
        <v>201109</v>
      </c>
      <c r="L623" s="7" t="n">
        <f aca="false">IF(AND(A623&lt;&gt;A622,LEFT(A623,1)&lt;&gt;"C"),1,0)</f>
        <v>0</v>
      </c>
    </row>
    <row r="624" customFormat="false" ht="15" hidden="false" customHeight="false" outlineLevel="0" collapsed="false">
      <c r="A624" s="0" t="s">
        <v>797</v>
      </c>
      <c r="B624" s="0" t="s">
        <v>810</v>
      </c>
      <c r="C624" s="0" t="s">
        <v>811</v>
      </c>
      <c r="D624" s="0" t="n">
        <v>4</v>
      </c>
      <c r="E624" s="6" t="n">
        <v>40795.3666666667</v>
      </c>
      <c r="F624" s="0" t="n">
        <v>3.75</v>
      </c>
      <c r="G624" s="0" t="n">
        <v>12535</v>
      </c>
      <c r="H624" s="0" t="s">
        <v>43</v>
      </c>
      <c r="I624" s="7" t="n">
        <f aca="false">IF(AND(LEFT(A624,1)&lt;&gt;"C",D624&gt;0,F624&gt;0),1,0)</f>
        <v>1</v>
      </c>
      <c r="J624" s="7" t="n">
        <f aca="false">IF(I624=1,D624*F624,0)</f>
        <v>15</v>
      </c>
      <c r="K624" s="7" t="n">
        <f aca="false">YEAR(E624)*100+MONTH(E624)</f>
        <v>201109</v>
      </c>
      <c r="L624" s="7" t="n">
        <f aca="false">IF(AND(A624&lt;&gt;A623,LEFT(A624,1)&lt;&gt;"C"),1,0)</f>
        <v>0</v>
      </c>
    </row>
    <row r="625" customFormat="false" ht="15" hidden="false" customHeight="false" outlineLevel="0" collapsed="false">
      <c r="A625" s="0" t="s">
        <v>797</v>
      </c>
      <c r="B625" s="0" t="s">
        <v>812</v>
      </c>
      <c r="C625" s="0" t="s">
        <v>813</v>
      </c>
      <c r="D625" s="0" t="n">
        <v>4</v>
      </c>
      <c r="E625" s="6" t="n">
        <v>40795.3666666667</v>
      </c>
      <c r="F625" s="0" t="n">
        <v>3.75</v>
      </c>
      <c r="G625" s="0" t="n">
        <v>12535</v>
      </c>
      <c r="H625" s="0" t="s">
        <v>43</v>
      </c>
      <c r="I625" s="7" t="n">
        <f aca="false">IF(AND(LEFT(A625,1)&lt;&gt;"C",D625&gt;0,F625&gt;0),1,0)</f>
        <v>1</v>
      </c>
      <c r="J625" s="7" t="n">
        <f aca="false">IF(I625=1,D625*F625,0)</f>
        <v>15</v>
      </c>
      <c r="K625" s="7" t="n">
        <f aca="false">YEAR(E625)*100+MONTH(E625)</f>
        <v>201109</v>
      </c>
      <c r="L625" s="7" t="n">
        <f aca="false">IF(AND(A625&lt;&gt;A624,LEFT(A625,1)&lt;&gt;"C"),1,0)</f>
        <v>0</v>
      </c>
    </row>
    <row r="626" customFormat="false" ht="15" hidden="false" customHeight="false" outlineLevel="0" collapsed="false">
      <c r="A626" s="0" t="s">
        <v>797</v>
      </c>
      <c r="B626" s="0" t="s">
        <v>814</v>
      </c>
      <c r="C626" s="0" t="s">
        <v>815</v>
      </c>
      <c r="D626" s="0" t="n">
        <v>12</v>
      </c>
      <c r="E626" s="6" t="n">
        <v>40795.3666666667</v>
      </c>
      <c r="F626" s="0" t="n">
        <v>1.45</v>
      </c>
      <c r="G626" s="0" t="n">
        <v>12535</v>
      </c>
      <c r="H626" s="0" t="s">
        <v>43</v>
      </c>
      <c r="I626" s="7" t="n">
        <f aca="false">IF(AND(LEFT(A626,1)&lt;&gt;"C",D626&gt;0,F626&gt;0),1,0)</f>
        <v>1</v>
      </c>
      <c r="J626" s="7" t="n">
        <f aca="false">IF(I626=1,D626*F626,0)</f>
        <v>17.4</v>
      </c>
      <c r="K626" s="7" t="n">
        <f aca="false">YEAR(E626)*100+MONTH(E626)</f>
        <v>201109</v>
      </c>
      <c r="L626" s="7" t="n">
        <f aca="false">IF(AND(A626&lt;&gt;A625,LEFT(A626,1)&lt;&gt;"C"),1,0)</f>
        <v>0</v>
      </c>
    </row>
    <row r="627" customFormat="false" ht="15" hidden="false" customHeight="false" outlineLevel="0" collapsed="false">
      <c r="A627" s="0" t="s">
        <v>797</v>
      </c>
      <c r="B627" s="0" t="s">
        <v>816</v>
      </c>
      <c r="C627" s="0" t="s">
        <v>817</v>
      </c>
      <c r="D627" s="0" t="n">
        <v>2</v>
      </c>
      <c r="E627" s="6" t="n">
        <v>40795.3666666667</v>
      </c>
      <c r="F627" s="0" t="n">
        <v>8.5</v>
      </c>
      <c r="G627" s="0" t="n">
        <v>12535</v>
      </c>
      <c r="H627" s="0" t="s">
        <v>43</v>
      </c>
      <c r="I627" s="7" t="n">
        <f aca="false">IF(AND(LEFT(A627,1)&lt;&gt;"C",D627&gt;0,F627&gt;0),1,0)</f>
        <v>1</v>
      </c>
      <c r="J627" s="7" t="n">
        <f aca="false">IF(I627=1,D627*F627,0)</f>
        <v>17</v>
      </c>
      <c r="K627" s="7" t="n">
        <f aca="false">YEAR(E627)*100+MONTH(E627)</f>
        <v>201109</v>
      </c>
      <c r="L627" s="7" t="n">
        <f aca="false">IF(AND(A627&lt;&gt;A626,LEFT(A627,1)&lt;&gt;"C"),1,0)</f>
        <v>0</v>
      </c>
    </row>
    <row r="628" customFormat="false" ht="15" hidden="false" customHeight="false" outlineLevel="0" collapsed="false">
      <c r="A628" s="0" t="s">
        <v>797</v>
      </c>
      <c r="B628" s="0" t="s">
        <v>452</v>
      </c>
      <c r="C628" s="0" t="s">
        <v>453</v>
      </c>
      <c r="D628" s="0" t="n">
        <v>2</v>
      </c>
      <c r="E628" s="6" t="n">
        <v>40795.3666666667</v>
      </c>
      <c r="F628" s="0" t="n">
        <v>8.5</v>
      </c>
      <c r="G628" s="0" t="n">
        <v>12535</v>
      </c>
      <c r="H628" s="0" t="s">
        <v>43</v>
      </c>
      <c r="I628" s="7" t="n">
        <f aca="false">IF(AND(LEFT(A628,1)&lt;&gt;"C",D628&gt;0,F628&gt;0),1,0)</f>
        <v>1</v>
      </c>
      <c r="J628" s="7" t="n">
        <f aca="false">IF(I628=1,D628*F628,0)</f>
        <v>17</v>
      </c>
      <c r="K628" s="7" t="n">
        <f aca="false">YEAR(E628)*100+MONTH(E628)</f>
        <v>201109</v>
      </c>
      <c r="L628" s="7" t="n">
        <f aca="false">IF(AND(A628&lt;&gt;A627,LEFT(A628,1)&lt;&gt;"C"),1,0)</f>
        <v>0</v>
      </c>
    </row>
    <row r="629" customFormat="false" ht="15" hidden="false" customHeight="false" outlineLevel="0" collapsed="false">
      <c r="A629" s="0" t="s">
        <v>797</v>
      </c>
      <c r="B629" s="0" t="s">
        <v>729</v>
      </c>
      <c r="C629" s="0" t="s">
        <v>730</v>
      </c>
      <c r="D629" s="0" t="n">
        <v>3</v>
      </c>
      <c r="E629" s="6" t="n">
        <v>40795.3666666667</v>
      </c>
      <c r="F629" s="0" t="n">
        <v>4.95</v>
      </c>
      <c r="G629" s="0" t="n">
        <v>12535</v>
      </c>
      <c r="H629" s="0" t="s">
        <v>43</v>
      </c>
      <c r="I629" s="7" t="n">
        <f aca="false">IF(AND(LEFT(A629,1)&lt;&gt;"C",D629&gt;0,F629&gt;0),1,0)</f>
        <v>1</v>
      </c>
      <c r="J629" s="7" t="n">
        <f aca="false">IF(I629=1,D629*F629,0)</f>
        <v>14.85</v>
      </c>
      <c r="K629" s="7" t="n">
        <f aca="false">YEAR(E629)*100+MONTH(E629)</f>
        <v>201109</v>
      </c>
      <c r="L629" s="7" t="n">
        <f aca="false">IF(AND(A629&lt;&gt;A628,LEFT(A629,1)&lt;&gt;"C"),1,0)</f>
        <v>0</v>
      </c>
    </row>
    <row r="630" customFormat="false" ht="15" hidden="false" customHeight="false" outlineLevel="0" collapsed="false">
      <c r="A630" s="0" t="s">
        <v>797</v>
      </c>
      <c r="B630" s="0" t="s">
        <v>818</v>
      </c>
      <c r="C630" s="0" t="s">
        <v>819</v>
      </c>
      <c r="D630" s="0" t="n">
        <v>4</v>
      </c>
      <c r="E630" s="6" t="n">
        <v>40795.3666666667</v>
      </c>
      <c r="F630" s="0" t="n">
        <v>8.95</v>
      </c>
      <c r="G630" s="0" t="n">
        <v>12535</v>
      </c>
      <c r="H630" s="0" t="s">
        <v>43</v>
      </c>
      <c r="I630" s="7" t="n">
        <f aca="false">IF(AND(LEFT(A630,1)&lt;&gt;"C",D630&gt;0,F630&gt;0),1,0)</f>
        <v>1</v>
      </c>
      <c r="J630" s="7" t="n">
        <f aca="false">IF(I630=1,D630*F630,0)</f>
        <v>35.8</v>
      </c>
      <c r="K630" s="7" t="n">
        <f aca="false">YEAR(E630)*100+MONTH(E630)</f>
        <v>201109</v>
      </c>
      <c r="L630" s="7" t="n">
        <f aca="false">IF(AND(A630&lt;&gt;A629,LEFT(A630,1)&lt;&gt;"C"),1,0)</f>
        <v>0</v>
      </c>
    </row>
    <row r="631" customFormat="false" ht="15" hidden="false" customHeight="false" outlineLevel="0" collapsed="false">
      <c r="A631" s="0" t="s">
        <v>820</v>
      </c>
      <c r="B631" s="0" t="s">
        <v>661</v>
      </c>
      <c r="C631" s="0" t="s">
        <v>662</v>
      </c>
      <c r="D631" s="0" t="n">
        <v>-1</v>
      </c>
      <c r="E631" s="6" t="n">
        <v>40795.4243055556</v>
      </c>
      <c r="F631" s="0" t="n">
        <v>9.95</v>
      </c>
      <c r="G631" s="0" t="n">
        <v>12621</v>
      </c>
      <c r="H631" s="0" t="s">
        <v>33</v>
      </c>
      <c r="I631" s="7" t="n">
        <f aca="false">IF(AND(LEFT(A631,1)&lt;&gt;"C",D631&gt;0,F631&gt;0),1,0)</f>
        <v>0</v>
      </c>
      <c r="J631" s="7" t="n">
        <f aca="false">IF(I631=1,D631*F631,0)</f>
        <v>0</v>
      </c>
      <c r="K631" s="7" t="n">
        <f aca="false">YEAR(E631)*100+MONTH(E631)</f>
        <v>201109</v>
      </c>
      <c r="L631" s="7" t="n">
        <f aca="false">IF(AND(A631&lt;&gt;A630,LEFT(A631,1)&lt;&gt;"C"),1,0)</f>
        <v>0</v>
      </c>
    </row>
    <row r="632" customFormat="false" ht="15" hidden="false" customHeight="false" outlineLevel="0" collapsed="false">
      <c r="A632" s="0" t="s">
        <v>820</v>
      </c>
      <c r="B632" s="0" t="s">
        <v>821</v>
      </c>
      <c r="C632" s="0" t="s">
        <v>822</v>
      </c>
      <c r="D632" s="0" t="n">
        <v>-1</v>
      </c>
      <c r="E632" s="6" t="n">
        <v>40795.4243055556</v>
      </c>
      <c r="F632" s="0" t="n">
        <v>1.65</v>
      </c>
      <c r="G632" s="0" t="n">
        <v>12621</v>
      </c>
      <c r="H632" s="0" t="s">
        <v>33</v>
      </c>
      <c r="I632" s="7" t="n">
        <f aca="false">IF(AND(LEFT(A632,1)&lt;&gt;"C",D632&gt;0,F632&gt;0),1,0)</f>
        <v>0</v>
      </c>
      <c r="J632" s="7" t="n">
        <f aca="false">IF(I632=1,D632*F632,0)</f>
        <v>0</v>
      </c>
      <c r="K632" s="7" t="n">
        <f aca="false">YEAR(E632)*100+MONTH(E632)</f>
        <v>201109</v>
      </c>
      <c r="L632" s="7" t="n">
        <f aca="false">IF(AND(A632&lt;&gt;A631,LEFT(A632,1)&lt;&gt;"C"),1,0)</f>
        <v>0</v>
      </c>
    </row>
    <row r="633" customFormat="false" ht="15" hidden="false" customHeight="false" outlineLevel="0" collapsed="false">
      <c r="A633" s="0" t="s">
        <v>820</v>
      </c>
      <c r="B633" s="0" t="s">
        <v>823</v>
      </c>
      <c r="C633" s="0" t="s">
        <v>824</v>
      </c>
      <c r="D633" s="0" t="n">
        <v>-6</v>
      </c>
      <c r="E633" s="6" t="n">
        <v>40795.4243055556</v>
      </c>
      <c r="F633" s="0" t="n">
        <v>2.95</v>
      </c>
      <c r="G633" s="0" t="n">
        <v>12621</v>
      </c>
      <c r="H633" s="0" t="s">
        <v>33</v>
      </c>
      <c r="I633" s="7" t="n">
        <f aca="false">IF(AND(LEFT(A633,1)&lt;&gt;"C",D633&gt;0,F633&gt;0),1,0)</f>
        <v>0</v>
      </c>
      <c r="J633" s="7" t="n">
        <f aca="false">IF(I633=1,D633*F633,0)</f>
        <v>0</v>
      </c>
      <c r="K633" s="7" t="n">
        <f aca="false">YEAR(E633)*100+MONTH(E633)</f>
        <v>201109</v>
      </c>
      <c r="L633" s="7" t="n">
        <f aca="false">IF(AND(A633&lt;&gt;A632,LEFT(A633,1)&lt;&gt;"C"),1,0)</f>
        <v>0</v>
      </c>
    </row>
    <row r="634" customFormat="false" ht="15" hidden="false" customHeight="false" outlineLevel="0" collapsed="false">
      <c r="A634" s="0" t="s">
        <v>820</v>
      </c>
      <c r="B634" s="0" t="s">
        <v>825</v>
      </c>
      <c r="C634" s="0" t="s">
        <v>826</v>
      </c>
      <c r="D634" s="0" t="n">
        <v>-3</v>
      </c>
      <c r="E634" s="6" t="n">
        <v>40795.4243055556</v>
      </c>
      <c r="F634" s="0" t="n">
        <v>2.95</v>
      </c>
      <c r="G634" s="0" t="n">
        <v>12621</v>
      </c>
      <c r="H634" s="0" t="s">
        <v>33</v>
      </c>
      <c r="I634" s="7" t="n">
        <f aca="false">IF(AND(LEFT(A634,1)&lt;&gt;"C",D634&gt;0,F634&gt;0),1,0)</f>
        <v>0</v>
      </c>
      <c r="J634" s="7" t="n">
        <f aca="false">IF(I634=1,D634*F634,0)</f>
        <v>0</v>
      </c>
      <c r="K634" s="7" t="n">
        <f aca="false">YEAR(E634)*100+MONTH(E634)</f>
        <v>201109</v>
      </c>
      <c r="L634" s="7" t="n">
        <f aca="false">IF(AND(A634&lt;&gt;A633,LEFT(A634,1)&lt;&gt;"C"),1,0)</f>
        <v>0</v>
      </c>
    </row>
    <row r="635" customFormat="false" ht="15" hidden="false" customHeight="false" outlineLevel="0" collapsed="false">
      <c r="A635" s="0" t="s">
        <v>820</v>
      </c>
      <c r="B635" s="0" t="s">
        <v>827</v>
      </c>
      <c r="C635" s="0" t="s">
        <v>828</v>
      </c>
      <c r="D635" s="0" t="n">
        <v>-6</v>
      </c>
      <c r="E635" s="6" t="n">
        <v>40795.4243055556</v>
      </c>
      <c r="F635" s="0" t="n">
        <v>2.95</v>
      </c>
      <c r="G635" s="0" t="n">
        <v>12621</v>
      </c>
      <c r="H635" s="0" t="s">
        <v>33</v>
      </c>
      <c r="I635" s="7" t="n">
        <f aca="false">IF(AND(LEFT(A635,1)&lt;&gt;"C",D635&gt;0,F635&gt;0),1,0)</f>
        <v>0</v>
      </c>
      <c r="J635" s="7" t="n">
        <f aca="false">IF(I635=1,D635*F635,0)</f>
        <v>0</v>
      </c>
      <c r="K635" s="7" t="n">
        <f aca="false">YEAR(E635)*100+MONTH(E635)</f>
        <v>201109</v>
      </c>
      <c r="L635" s="7" t="n">
        <f aca="false">IF(AND(A635&lt;&gt;A634,LEFT(A635,1)&lt;&gt;"C"),1,0)</f>
        <v>0</v>
      </c>
    </row>
    <row r="636" customFormat="false" ht="15" hidden="false" customHeight="false" outlineLevel="0" collapsed="false">
      <c r="A636" s="0" t="s">
        <v>829</v>
      </c>
      <c r="B636" s="0" t="s">
        <v>830</v>
      </c>
      <c r="C636" s="0" t="s">
        <v>831</v>
      </c>
      <c r="D636" s="0" t="n">
        <v>-6</v>
      </c>
      <c r="E636" s="6" t="n">
        <v>40795.4388888889</v>
      </c>
      <c r="F636" s="0" t="n">
        <v>0.83</v>
      </c>
      <c r="G636" s="0" t="n">
        <v>12477</v>
      </c>
      <c r="H636" s="0" t="s">
        <v>33</v>
      </c>
      <c r="I636" s="7" t="n">
        <f aca="false">IF(AND(LEFT(A636,1)&lt;&gt;"C",D636&gt;0,F636&gt;0),1,0)</f>
        <v>0</v>
      </c>
      <c r="J636" s="7" t="n">
        <f aca="false">IF(I636=1,D636*F636,0)</f>
        <v>0</v>
      </c>
      <c r="K636" s="7" t="n">
        <f aca="false">YEAR(E636)*100+MONTH(E636)</f>
        <v>201109</v>
      </c>
      <c r="L636" s="7" t="n">
        <f aca="false">IF(AND(A636&lt;&gt;A635,LEFT(A636,1)&lt;&gt;"C"),1,0)</f>
        <v>0</v>
      </c>
    </row>
    <row r="637" customFormat="false" ht="15" hidden="false" customHeight="false" outlineLevel="0" collapsed="false">
      <c r="A637" s="0" t="s">
        <v>829</v>
      </c>
      <c r="B637" s="0" t="s">
        <v>341</v>
      </c>
      <c r="C637" s="0" t="s">
        <v>342</v>
      </c>
      <c r="D637" s="0" t="n">
        <v>-12</v>
      </c>
      <c r="E637" s="6" t="n">
        <v>40795.4388888889</v>
      </c>
      <c r="F637" s="0" t="n">
        <v>1.45</v>
      </c>
      <c r="G637" s="0" t="n">
        <v>12477</v>
      </c>
      <c r="H637" s="0" t="s">
        <v>33</v>
      </c>
      <c r="I637" s="7" t="n">
        <f aca="false">IF(AND(LEFT(A637,1)&lt;&gt;"C",D637&gt;0,F637&gt;0),1,0)</f>
        <v>0</v>
      </c>
      <c r="J637" s="7" t="n">
        <f aca="false">IF(I637=1,D637*F637,0)</f>
        <v>0</v>
      </c>
      <c r="K637" s="7" t="n">
        <f aca="false">YEAR(E637)*100+MONTH(E637)</f>
        <v>201109</v>
      </c>
      <c r="L637" s="7" t="n">
        <f aca="false">IF(AND(A637&lt;&gt;A636,LEFT(A637,1)&lt;&gt;"C"),1,0)</f>
        <v>0</v>
      </c>
    </row>
    <row r="638" customFormat="false" ht="15" hidden="false" customHeight="false" outlineLevel="0" collapsed="false">
      <c r="A638" s="0" t="s">
        <v>829</v>
      </c>
      <c r="B638" s="0" t="s">
        <v>758</v>
      </c>
      <c r="C638" s="0" t="s">
        <v>759</v>
      </c>
      <c r="D638" s="0" t="n">
        <v>-10</v>
      </c>
      <c r="E638" s="6" t="n">
        <v>40795.4388888889</v>
      </c>
      <c r="F638" s="0" t="n">
        <v>7.08</v>
      </c>
      <c r="G638" s="0" t="n">
        <v>12477</v>
      </c>
      <c r="H638" s="0" t="s">
        <v>33</v>
      </c>
      <c r="I638" s="7" t="n">
        <f aca="false">IF(AND(LEFT(A638,1)&lt;&gt;"C",D638&gt;0,F638&gt;0),1,0)</f>
        <v>0</v>
      </c>
      <c r="J638" s="7" t="n">
        <f aca="false">IF(I638=1,D638*F638,0)</f>
        <v>0</v>
      </c>
      <c r="K638" s="7" t="n">
        <f aca="false">YEAR(E638)*100+MONTH(E638)</f>
        <v>201109</v>
      </c>
      <c r="L638" s="7" t="n">
        <f aca="false">IF(AND(A638&lt;&gt;A637,LEFT(A638,1)&lt;&gt;"C"),1,0)</f>
        <v>0</v>
      </c>
    </row>
    <row r="639" customFormat="false" ht="15" hidden="false" customHeight="false" outlineLevel="0" collapsed="false">
      <c r="A639" s="0" t="s">
        <v>832</v>
      </c>
      <c r="B639" s="0" t="s">
        <v>84</v>
      </c>
      <c r="C639" s="0" t="s">
        <v>85</v>
      </c>
      <c r="D639" s="0" t="n">
        <v>1</v>
      </c>
      <c r="E639" s="6" t="n">
        <v>40795.4520833333</v>
      </c>
      <c r="F639" s="0" t="n">
        <v>18</v>
      </c>
      <c r="G639" s="0" t="n">
        <v>12674</v>
      </c>
      <c r="H639" s="0" t="s">
        <v>43</v>
      </c>
      <c r="I639" s="7" t="n">
        <f aca="false">IF(AND(LEFT(A639,1)&lt;&gt;"C",D639&gt;0,F639&gt;0),1,0)</f>
        <v>1</v>
      </c>
      <c r="J639" s="7" t="n">
        <f aca="false">IF(I639=1,D639*F639,0)</f>
        <v>18</v>
      </c>
      <c r="K639" s="7" t="n">
        <f aca="false">YEAR(E639)*100+MONTH(E639)</f>
        <v>201109</v>
      </c>
      <c r="L639" s="7" t="n">
        <f aca="false">IF(AND(A639&lt;&gt;A638,LEFT(A639,1)&lt;&gt;"C"),1,0)</f>
        <v>1</v>
      </c>
    </row>
    <row r="640" customFormat="false" ht="15" hidden="false" customHeight="false" outlineLevel="0" collapsed="false">
      <c r="A640" s="0" t="s">
        <v>832</v>
      </c>
      <c r="B640" s="0" t="s">
        <v>833</v>
      </c>
      <c r="C640" s="0" t="s">
        <v>834</v>
      </c>
      <c r="D640" s="0" t="n">
        <v>12</v>
      </c>
      <c r="E640" s="6" t="n">
        <v>40795.4520833333</v>
      </c>
      <c r="F640" s="0" t="n">
        <v>0.62</v>
      </c>
      <c r="G640" s="0" t="n">
        <v>12674</v>
      </c>
      <c r="H640" s="0" t="s">
        <v>43</v>
      </c>
      <c r="I640" s="7" t="n">
        <f aca="false">IF(AND(LEFT(A640,1)&lt;&gt;"C",D640&gt;0,F640&gt;0),1,0)</f>
        <v>1</v>
      </c>
      <c r="J640" s="7" t="n">
        <f aca="false">IF(I640=1,D640*F640,0)</f>
        <v>7.44</v>
      </c>
      <c r="K640" s="7" t="n">
        <f aca="false">YEAR(E640)*100+MONTH(E640)</f>
        <v>201109</v>
      </c>
      <c r="L640" s="7" t="n">
        <f aca="false">IF(AND(A640&lt;&gt;A639,LEFT(A640,1)&lt;&gt;"C"),1,0)</f>
        <v>0</v>
      </c>
    </row>
    <row r="641" customFormat="false" ht="15" hidden="false" customHeight="false" outlineLevel="0" collapsed="false">
      <c r="A641" s="0" t="s">
        <v>832</v>
      </c>
      <c r="B641" s="0" t="s">
        <v>733</v>
      </c>
      <c r="C641" s="0" t="s">
        <v>734</v>
      </c>
      <c r="D641" s="0" t="n">
        <v>24</v>
      </c>
      <c r="E641" s="6" t="n">
        <v>40795.4520833333</v>
      </c>
      <c r="F641" s="0" t="n">
        <v>1.25</v>
      </c>
      <c r="G641" s="0" t="n">
        <v>12674</v>
      </c>
      <c r="H641" s="0" t="s">
        <v>43</v>
      </c>
      <c r="I641" s="7" t="n">
        <f aca="false">IF(AND(LEFT(A641,1)&lt;&gt;"C",D641&gt;0,F641&gt;0),1,0)</f>
        <v>1</v>
      </c>
      <c r="J641" s="7" t="n">
        <f aca="false">IF(I641=1,D641*F641,0)</f>
        <v>30</v>
      </c>
      <c r="K641" s="7" t="n">
        <f aca="false">YEAR(E641)*100+MONTH(E641)</f>
        <v>201109</v>
      </c>
      <c r="L641" s="7" t="n">
        <f aca="false">IF(AND(A641&lt;&gt;A640,LEFT(A641,1)&lt;&gt;"C"),1,0)</f>
        <v>0</v>
      </c>
    </row>
    <row r="642" customFormat="false" ht="15" hidden="false" customHeight="false" outlineLevel="0" collapsed="false">
      <c r="A642" s="0" t="s">
        <v>832</v>
      </c>
      <c r="B642" s="0" t="s">
        <v>171</v>
      </c>
      <c r="C642" s="0" t="s">
        <v>172</v>
      </c>
      <c r="D642" s="0" t="n">
        <v>8</v>
      </c>
      <c r="E642" s="6" t="n">
        <v>40795.4520833333</v>
      </c>
      <c r="F642" s="0" t="n">
        <v>1.25</v>
      </c>
      <c r="G642" s="0" t="n">
        <v>12674</v>
      </c>
      <c r="H642" s="0" t="s">
        <v>43</v>
      </c>
      <c r="I642" s="7" t="n">
        <f aca="false">IF(AND(LEFT(A642,1)&lt;&gt;"C",D642&gt;0,F642&gt;0),1,0)</f>
        <v>1</v>
      </c>
      <c r="J642" s="7" t="n">
        <f aca="false">IF(I642=1,D642*F642,0)</f>
        <v>10</v>
      </c>
      <c r="K642" s="7" t="n">
        <f aca="false">YEAR(E642)*100+MONTH(E642)</f>
        <v>201109</v>
      </c>
      <c r="L642" s="7" t="n">
        <f aca="false">IF(AND(A642&lt;&gt;A641,LEFT(A642,1)&lt;&gt;"C"),1,0)</f>
        <v>0</v>
      </c>
    </row>
    <row r="643" customFormat="false" ht="15" hidden="false" customHeight="false" outlineLevel="0" collapsed="false">
      <c r="A643" s="0" t="s">
        <v>832</v>
      </c>
      <c r="B643" s="0" t="s">
        <v>209</v>
      </c>
      <c r="C643" s="0" t="s">
        <v>210</v>
      </c>
      <c r="D643" s="0" t="n">
        <v>24</v>
      </c>
      <c r="E643" s="6" t="n">
        <v>40795.4520833333</v>
      </c>
      <c r="F643" s="0" t="n">
        <v>0.29</v>
      </c>
      <c r="G643" s="0" t="n">
        <v>12674</v>
      </c>
      <c r="H643" s="0" t="s">
        <v>43</v>
      </c>
      <c r="I643" s="7" t="n">
        <f aca="false">IF(AND(LEFT(A643,1)&lt;&gt;"C",D643&gt;0,F643&gt;0),1,0)</f>
        <v>1</v>
      </c>
      <c r="J643" s="7" t="n">
        <f aca="false">IF(I643=1,D643*F643,0)</f>
        <v>6.96</v>
      </c>
      <c r="K643" s="7" t="n">
        <f aca="false">YEAR(E643)*100+MONTH(E643)</f>
        <v>201109</v>
      </c>
      <c r="L643" s="7" t="n">
        <f aca="false">IF(AND(A643&lt;&gt;A642,LEFT(A643,1)&lt;&gt;"C"),1,0)</f>
        <v>0</v>
      </c>
    </row>
    <row r="644" customFormat="false" ht="15" hidden="false" customHeight="false" outlineLevel="0" collapsed="false">
      <c r="A644" s="0" t="s">
        <v>832</v>
      </c>
      <c r="B644" s="0" t="s">
        <v>835</v>
      </c>
      <c r="C644" s="0" t="s">
        <v>836</v>
      </c>
      <c r="D644" s="0" t="n">
        <v>24</v>
      </c>
      <c r="E644" s="6" t="n">
        <v>40795.4520833333</v>
      </c>
      <c r="F644" s="0" t="n">
        <v>0.39</v>
      </c>
      <c r="G644" s="0" t="n">
        <v>12674</v>
      </c>
      <c r="H644" s="0" t="s">
        <v>43</v>
      </c>
      <c r="I644" s="7" t="n">
        <f aca="false">IF(AND(LEFT(A644,1)&lt;&gt;"C",D644&gt;0,F644&gt;0),1,0)</f>
        <v>1</v>
      </c>
      <c r="J644" s="7" t="n">
        <f aca="false">IF(I644=1,D644*F644,0)</f>
        <v>9.36</v>
      </c>
      <c r="K644" s="7" t="n">
        <f aca="false">YEAR(E644)*100+MONTH(E644)</f>
        <v>201109</v>
      </c>
      <c r="L644" s="7" t="n">
        <f aca="false">IF(AND(A644&lt;&gt;A643,LEFT(A644,1)&lt;&gt;"C"),1,0)</f>
        <v>0</v>
      </c>
    </row>
    <row r="645" customFormat="false" ht="15" hidden="false" customHeight="false" outlineLevel="0" collapsed="false">
      <c r="A645" s="0" t="s">
        <v>832</v>
      </c>
      <c r="B645" s="0" t="s">
        <v>837</v>
      </c>
      <c r="C645" s="0" t="s">
        <v>838</v>
      </c>
      <c r="D645" s="0" t="n">
        <v>6</v>
      </c>
      <c r="E645" s="6" t="n">
        <v>40795.4520833333</v>
      </c>
      <c r="F645" s="0" t="n">
        <v>4.15</v>
      </c>
      <c r="G645" s="0" t="n">
        <v>12674</v>
      </c>
      <c r="H645" s="0" t="s">
        <v>43</v>
      </c>
      <c r="I645" s="7" t="n">
        <f aca="false">IF(AND(LEFT(A645,1)&lt;&gt;"C",D645&gt;0,F645&gt;0),1,0)</f>
        <v>1</v>
      </c>
      <c r="J645" s="7" t="n">
        <f aca="false">IF(I645=1,D645*F645,0)</f>
        <v>24.9</v>
      </c>
      <c r="K645" s="7" t="n">
        <f aca="false">YEAR(E645)*100+MONTH(E645)</f>
        <v>201109</v>
      </c>
      <c r="L645" s="7" t="n">
        <f aca="false">IF(AND(A645&lt;&gt;A644,LEFT(A645,1)&lt;&gt;"C"),1,0)</f>
        <v>0</v>
      </c>
    </row>
    <row r="646" customFormat="false" ht="15" hidden="false" customHeight="false" outlineLevel="0" collapsed="false">
      <c r="A646" s="0" t="s">
        <v>832</v>
      </c>
      <c r="B646" s="0" t="s">
        <v>839</v>
      </c>
      <c r="C646" s="0" t="s">
        <v>840</v>
      </c>
      <c r="D646" s="0" t="n">
        <v>12</v>
      </c>
      <c r="E646" s="6" t="n">
        <v>40795.4520833333</v>
      </c>
      <c r="F646" s="0" t="n">
        <v>0.85</v>
      </c>
      <c r="G646" s="0" t="n">
        <v>12674</v>
      </c>
      <c r="H646" s="0" t="s">
        <v>43</v>
      </c>
      <c r="I646" s="7" t="n">
        <f aca="false">IF(AND(LEFT(A646,1)&lt;&gt;"C",D646&gt;0,F646&gt;0),1,0)</f>
        <v>1</v>
      </c>
      <c r="J646" s="7" t="n">
        <f aca="false">IF(I646=1,D646*F646,0)</f>
        <v>10.2</v>
      </c>
      <c r="K646" s="7" t="n">
        <f aca="false">YEAR(E646)*100+MONTH(E646)</f>
        <v>201109</v>
      </c>
      <c r="L646" s="7" t="n">
        <f aca="false">IF(AND(A646&lt;&gt;A645,LEFT(A646,1)&lt;&gt;"C"),1,0)</f>
        <v>0</v>
      </c>
    </row>
    <row r="647" customFormat="false" ht="15" hidden="false" customHeight="false" outlineLevel="0" collapsed="false">
      <c r="A647" s="0" t="s">
        <v>832</v>
      </c>
      <c r="B647" s="0" t="s">
        <v>841</v>
      </c>
      <c r="C647" s="0" t="s">
        <v>842</v>
      </c>
      <c r="D647" s="0" t="n">
        <v>6</v>
      </c>
      <c r="E647" s="6" t="n">
        <v>40795.4520833333</v>
      </c>
      <c r="F647" s="0" t="n">
        <v>3.35</v>
      </c>
      <c r="G647" s="0" t="n">
        <v>12674</v>
      </c>
      <c r="H647" s="0" t="s">
        <v>43</v>
      </c>
      <c r="I647" s="7" t="n">
        <f aca="false">IF(AND(LEFT(A647,1)&lt;&gt;"C",D647&gt;0,F647&gt;0),1,0)</f>
        <v>1</v>
      </c>
      <c r="J647" s="7" t="n">
        <f aca="false">IF(I647=1,D647*F647,0)</f>
        <v>20.1</v>
      </c>
      <c r="K647" s="7" t="n">
        <f aca="false">YEAR(E647)*100+MONTH(E647)</f>
        <v>201109</v>
      </c>
      <c r="L647" s="7" t="n">
        <f aca="false">IF(AND(A647&lt;&gt;A646,LEFT(A647,1)&lt;&gt;"C"),1,0)</f>
        <v>0</v>
      </c>
    </row>
    <row r="648" customFormat="false" ht="15" hidden="false" customHeight="false" outlineLevel="0" collapsed="false">
      <c r="A648" s="0" t="s">
        <v>832</v>
      </c>
      <c r="B648" s="0" t="s">
        <v>207</v>
      </c>
      <c r="C648" s="0" t="s">
        <v>208</v>
      </c>
      <c r="D648" s="0" t="n">
        <v>24</v>
      </c>
      <c r="E648" s="6" t="n">
        <v>40795.4520833333</v>
      </c>
      <c r="F648" s="0" t="n">
        <v>0.29</v>
      </c>
      <c r="G648" s="0" t="n">
        <v>12674</v>
      </c>
      <c r="H648" s="0" t="s">
        <v>43</v>
      </c>
      <c r="I648" s="7" t="n">
        <f aca="false">IF(AND(LEFT(A648,1)&lt;&gt;"C",D648&gt;0,F648&gt;0),1,0)</f>
        <v>1</v>
      </c>
      <c r="J648" s="7" t="n">
        <f aca="false">IF(I648=1,D648*F648,0)</f>
        <v>6.96</v>
      </c>
      <c r="K648" s="7" t="n">
        <f aca="false">YEAR(E648)*100+MONTH(E648)</f>
        <v>201109</v>
      </c>
      <c r="L648" s="7" t="n">
        <f aca="false">IF(AND(A648&lt;&gt;A647,LEFT(A648,1)&lt;&gt;"C"),1,0)</f>
        <v>0</v>
      </c>
    </row>
    <row r="649" customFormat="false" ht="15" hidden="false" customHeight="false" outlineLevel="0" collapsed="false">
      <c r="A649" s="0" t="s">
        <v>832</v>
      </c>
      <c r="B649" s="0" t="s">
        <v>402</v>
      </c>
      <c r="C649" s="0" t="s">
        <v>403</v>
      </c>
      <c r="D649" s="0" t="n">
        <v>12</v>
      </c>
      <c r="E649" s="6" t="n">
        <v>40795.4520833333</v>
      </c>
      <c r="F649" s="0" t="n">
        <v>0.85</v>
      </c>
      <c r="G649" s="0" t="n">
        <v>12674</v>
      </c>
      <c r="H649" s="0" t="s">
        <v>43</v>
      </c>
      <c r="I649" s="7" t="n">
        <f aca="false">IF(AND(LEFT(A649,1)&lt;&gt;"C",D649&gt;0,F649&gt;0),1,0)</f>
        <v>1</v>
      </c>
      <c r="J649" s="7" t="n">
        <f aca="false">IF(I649=1,D649*F649,0)</f>
        <v>10.2</v>
      </c>
      <c r="K649" s="7" t="n">
        <f aca="false">YEAR(E649)*100+MONTH(E649)</f>
        <v>201109</v>
      </c>
      <c r="L649" s="7" t="n">
        <f aca="false">IF(AND(A649&lt;&gt;A648,LEFT(A649,1)&lt;&gt;"C"),1,0)</f>
        <v>0</v>
      </c>
    </row>
    <row r="650" customFormat="false" ht="15" hidden="false" customHeight="false" outlineLevel="0" collapsed="false">
      <c r="A650" s="0" t="s">
        <v>832</v>
      </c>
      <c r="B650" s="0" t="s">
        <v>671</v>
      </c>
      <c r="C650" s="0" t="s">
        <v>672</v>
      </c>
      <c r="D650" s="0" t="n">
        <v>12</v>
      </c>
      <c r="E650" s="6" t="n">
        <v>40795.4520833333</v>
      </c>
      <c r="F650" s="0" t="n">
        <v>0.85</v>
      </c>
      <c r="G650" s="0" t="n">
        <v>12674</v>
      </c>
      <c r="H650" s="0" t="s">
        <v>43</v>
      </c>
      <c r="I650" s="7" t="n">
        <f aca="false">IF(AND(LEFT(A650,1)&lt;&gt;"C",D650&gt;0,F650&gt;0),1,0)</f>
        <v>1</v>
      </c>
      <c r="J650" s="7" t="n">
        <f aca="false">IF(I650=1,D650*F650,0)</f>
        <v>10.2</v>
      </c>
      <c r="K650" s="7" t="n">
        <f aca="false">YEAR(E650)*100+MONTH(E650)</f>
        <v>201109</v>
      </c>
      <c r="L650" s="7" t="n">
        <f aca="false">IF(AND(A650&lt;&gt;A649,LEFT(A650,1)&lt;&gt;"C"),1,0)</f>
        <v>0</v>
      </c>
    </row>
    <row r="651" customFormat="false" ht="15" hidden="false" customHeight="false" outlineLevel="0" collapsed="false">
      <c r="A651" s="0" t="s">
        <v>832</v>
      </c>
      <c r="B651" s="0" t="s">
        <v>123</v>
      </c>
      <c r="C651" s="0" t="s">
        <v>124</v>
      </c>
      <c r="D651" s="0" t="n">
        <v>12</v>
      </c>
      <c r="E651" s="6" t="n">
        <v>40795.4520833333</v>
      </c>
      <c r="F651" s="0" t="n">
        <v>2.95</v>
      </c>
      <c r="G651" s="0" t="n">
        <v>12674</v>
      </c>
      <c r="H651" s="0" t="s">
        <v>43</v>
      </c>
      <c r="I651" s="7" t="n">
        <f aca="false">IF(AND(LEFT(A651,1)&lt;&gt;"C",D651&gt;0,F651&gt;0),1,0)</f>
        <v>1</v>
      </c>
      <c r="J651" s="7" t="n">
        <f aca="false">IF(I651=1,D651*F651,0)</f>
        <v>35.4</v>
      </c>
      <c r="K651" s="7" t="n">
        <f aca="false">YEAR(E651)*100+MONTH(E651)</f>
        <v>201109</v>
      </c>
      <c r="L651" s="7" t="n">
        <f aca="false">IF(AND(A651&lt;&gt;A650,LEFT(A651,1)&lt;&gt;"C"),1,0)</f>
        <v>0</v>
      </c>
    </row>
    <row r="652" customFormat="false" ht="15" hidden="false" customHeight="false" outlineLevel="0" collapsed="false">
      <c r="A652" s="0" t="s">
        <v>832</v>
      </c>
      <c r="B652" s="0" t="s">
        <v>843</v>
      </c>
      <c r="C652" s="0" t="s">
        <v>844</v>
      </c>
      <c r="D652" s="0" t="n">
        <v>48</v>
      </c>
      <c r="E652" s="6" t="n">
        <v>40795.4520833333</v>
      </c>
      <c r="F652" s="0" t="n">
        <v>0.85</v>
      </c>
      <c r="G652" s="0" t="n">
        <v>12674</v>
      </c>
      <c r="H652" s="0" t="s">
        <v>43</v>
      </c>
      <c r="I652" s="7" t="n">
        <f aca="false">IF(AND(LEFT(A652,1)&lt;&gt;"C",D652&gt;0,F652&gt;0),1,0)</f>
        <v>1</v>
      </c>
      <c r="J652" s="7" t="n">
        <f aca="false">IF(I652=1,D652*F652,0)</f>
        <v>40.8</v>
      </c>
      <c r="K652" s="7" t="n">
        <f aca="false">YEAR(E652)*100+MONTH(E652)</f>
        <v>201109</v>
      </c>
      <c r="L652" s="7" t="n">
        <f aca="false">IF(AND(A652&lt;&gt;A651,LEFT(A652,1)&lt;&gt;"C"),1,0)</f>
        <v>0</v>
      </c>
    </row>
    <row r="653" customFormat="false" ht="15" hidden="false" customHeight="false" outlineLevel="0" collapsed="false">
      <c r="A653" s="0" t="s">
        <v>832</v>
      </c>
      <c r="B653" s="0" t="s">
        <v>119</v>
      </c>
      <c r="C653" s="0" t="s">
        <v>120</v>
      </c>
      <c r="D653" s="0" t="n">
        <v>12</v>
      </c>
      <c r="E653" s="6" t="n">
        <v>40795.4520833333</v>
      </c>
      <c r="F653" s="0" t="n">
        <v>0.42</v>
      </c>
      <c r="G653" s="0" t="n">
        <v>12674</v>
      </c>
      <c r="H653" s="0" t="s">
        <v>43</v>
      </c>
      <c r="I653" s="7" t="n">
        <f aca="false">IF(AND(LEFT(A653,1)&lt;&gt;"C",D653&gt;0,F653&gt;0),1,0)</f>
        <v>1</v>
      </c>
      <c r="J653" s="7" t="n">
        <f aca="false">IF(I653=1,D653*F653,0)</f>
        <v>5.04</v>
      </c>
      <c r="K653" s="7" t="n">
        <f aca="false">YEAR(E653)*100+MONTH(E653)</f>
        <v>201109</v>
      </c>
      <c r="L653" s="7" t="n">
        <f aca="false">IF(AND(A653&lt;&gt;A652,LEFT(A653,1)&lt;&gt;"C"),1,0)</f>
        <v>0</v>
      </c>
    </row>
    <row r="654" customFormat="false" ht="15" hidden="false" customHeight="false" outlineLevel="0" collapsed="false">
      <c r="A654" s="0" t="s">
        <v>832</v>
      </c>
      <c r="B654" s="0" t="s">
        <v>183</v>
      </c>
      <c r="C654" s="0" t="s">
        <v>184</v>
      </c>
      <c r="D654" s="0" t="n">
        <v>12</v>
      </c>
      <c r="E654" s="6" t="n">
        <v>40795.4520833333</v>
      </c>
      <c r="F654" s="0" t="n">
        <v>0.42</v>
      </c>
      <c r="G654" s="0" t="n">
        <v>12674</v>
      </c>
      <c r="H654" s="0" t="s">
        <v>43</v>
      </c>
      <c r="I654" s="7" t="n">
        <f aca="false">IF(AND(LEFT(A654,1)&lt;&gt;"C",D654&gt;0,F654&gt;0),1,0)</f>
        <v>1</v>
      </c>
      <c r="J654" s="7" t="n">
        <f aca="false">IF(I654=1,D654*F654,0)</f>
        <v>5.04</v>
      </c>
      <c r="K654" s="7" t="n">
        <f aca="false">YEAR(E654)*100+MONTH(E654)</f>
        <v>201109</v>
      </c>
      <c r="L654" s="7" t="n">
        <f aca="false">IF(AND(A654&lt;&gt;A653,LEFT(A654,1)&lt;&gt;"C"),1,0)</f>
        <v>0</v>
      </c>
    </row>
    <row r="655" customFormat="false" ht="15" hidden="false" customHeight="false" outlineLevel="0" collapsed="false">
      <c r="A655" s="0" t="s">
        <v>832</v>
      </c>
      <c r="B655" s="0" t="s">
        <v>297</v>
      </c>
      <c r="C655" s="0" t="s">
        <v>298</v>
      </c>
      <c r="D655" s="0" t="n">
        <v>8</v>
      </c>
      <c r="E655" s="6" t="n">
        <v>40795.4520833333</v>
      </c>
      <c r="F655" s="0" t="n">
        <v>3.75</v>
      </c>
      <c r="G655" s="0" t="n">
        <v>12674</v>
      </c>
      <c r="H655" s="0" t="s">
        <v>43</v>
      </c>
      <c r="I655" s="7" t="n">
        <f aca="false">IF(AND(LEFT(A655,1)&lt;&gt;"C",D655&gt;0,F655&gt;0),1,0)</f>
        <v>1</v>
      </c>
      <c r="J655" s="7" t="n">
        <f aca="false">IF(I655=1,D655*F655,0)</f>
        <v>30</v>
      </c>
      <c r="K655" s="7" t="n">
        <f aca="false">YEAR(E655)*100+MONTH(E655)</f>
        <v>201109</v>
      </c>
      <c r="L655" s="7" t="n">
        <f aca="false">IF(AND(A655&lt;&gt;A654,LEFT(A655,1)&lt;&gt;"C"),1,0)</f>
        <v>0</v>
      </c>
    </row>
    <row r="656" customFormat="false" ht="15" hidden="false" customHeight="false" outlineLevel="0" collapsed="false">
      <c r="A656" s="0" t="s">
        <v>832</v>
      </c>
      <c r="B656" s="0" t="s">
        <v>318</v>
      </c>
      <c r="C656" s="0" t="s">
        <v>319</v>
      </c>
      <c r="D656" s="0" t="n">
        <v>8</v>
      </c>
      <c r="E656" s="6" t="n">
        <v>40795.4520833333</v>
      </c>
      <c r="F656" s="0" t="n">
        <v>3.75</v>
      </c>
      <c r="G656" s="0" t="n">
        <v>12674</v>
      </c>
      <c r="H656" s="0" t="s">
        <v>43</v>
      </c>
      <c r="I656" s="7" t="n">
        <f aca="false">IF(AND(LEFT(A656,1)&lt;&gt;"C",D656&gt;0,F656&gt;0),1,0)</f>
        <v>1</v>
      </c>
      <c r="J656" s="7" t="n">
        <f aca="false">IF(I656=1,D656*F656,0)</f>
        <v>30</v>
      </c>
      <c r="K656" s="7" t="n">
        <f aca="false">YEAR(E656)*100+MONTH(E656)</f>
        <v>201109</v>
      </c>
      <c r="L656" s="7" t="n">
        <f aca="false">IF(AND(A656&lt;&gt;A655,LEFT(A656,1)&lt;&gt;"C"),1,0)</f>
        <v>0</v>
      </c>
    </row>
    <row r="657" customFormat="false" ht="15" hidden="false" customHeight="false" outlineLevel="0" collapsed="false">
      <c r="A657" s="0" t="s">
        <v>832</v>
      </c>
      <c r="B657" s="0" t="s">
        <v>320</v>
      </c>
      <c r="C657" s="0" t="s">
        <v>321</v>
      </c>
      <c r="D657" s="0" t="n">
        <v>4</v>
      </c>
      <c r="E657" s="6" t="n">
        <v>40795.4520833333</v>
      </c>
      <c r="F657" s="0" t="n">
        <v>3.75</v>
      </c>
      <c r="G657" s="0" t="n">
        <v>12674</v>
      </c>
      <c r="H657" s="0" t="s">
        <v>43</v>
      </c>
      <c r="I657" s="7" t="n">
        <f aca="false">IF(AND(LEFT(A657,1)&lt;&gt;"C",D657&gt;0,F657&gt;0),1,0)</f>
        <v>1</v>
      </c>
      <c r="J657" s="7" t="n">
        <f aca="false">IF(I657=1,D657*F657,0)</f>
        <v>15</v>
      </c>
      <c r="K657" s="7" t="n">
        <f aca="false">YEAR(E657)*100+MONTH(E657)</f>
        <v>201109</v>
      </c>
      <c r="L657" s="7" t="n">
        <f aca="false">IF(AND(A657&lt;&gt;A656,LEFT(A657,1)&lt;&gt;"C"),1,0)</f>
        <v>0</v>
      </c>
    </row>
    <row r="658" customFormat="false" ht="15" hidden="false" customHeight="false" outlineLevel="0" collapsed="false">
      <c r="A658" s="0" t="s">
        <v>832</v>
      </c>
      <c r="B658" s="0" t="s">
        <v>89</v>
      </c>
      <c r="C658" s="0" t="s">
        <v>90</v>
      </c>
      <c r="D658" s="0" t="n">
        <v>8</v>
      </c>
      <c r="E658" s="6" t="n">
        <v>40795.4520833333</v>
      </c>
      <c r="F658" s="0" t="n">
        <v>4.15</v>
      </c>
      <c r="G658" s="0" t="n">
        <v>12674</v>
      </c>
      <c r="H658" s="0" t="s">
        <v>43</v>
      </c>
      <c r="I658" s="7" t="n">
        <f aca="false">IF(AND(LEFT(A658,1)&lt;&gt;"C",D658&gt;0,F658&gt;0),1,0)</f>
        <v>1</v>
      </c>
      <c r="J658" s="7" t="n">
        <f aca="false">IF(I658=1,D658*F658,0)</f>
        <v>33.2</v>
      </c>
      <c r="K658" s="7" t="n">
        <f aca="false">YEAR(E658)*100+MONTH(E658)</f>
        <v>201109</v>
      </c>
      <c r="L658" s="7" t="n">
        <f aca="false">IF(AND(A658&lt;&gt;A657,LEFT(A658,1)&lt;&gt;"C"),1,0)</f>
        <v>0</v>
      </c>
    </row>
    <row r="659" customFormat="false" ht="15" hidden="false" customHeight="false" outlineLevel="0" collapsed="false">
      <c r="A659" s="0" t="s">
        <v>832</v>
      </c>
      <c r="B659" s="0" t="s">
        <v>87</v>
      </c>
      <c r="C659" s="0" t="s">
        <v>88</v>
      </c>
      <c r="D659" s="0" t="n">
        <v>8</v>
      </c>
      <c r="E659" s="6" t="n">
        <v>40795.4520833333</v>
      </c>
      <c r="F659" s="0" t="n">
        <v>4.15</v>
      </c>
      <c r="G659" s="0" t="n">
        <v>12674</v>
      </c>
      <c r="H659" s="0" t="s">
        <v>43</v>
      </c>
      <c r="I659" s="7" t="n">
        <f aca="false">IF(AND(LEFT(A659,1)&lt;&gt;"C",D659&gt;0,F659&gt;0),1,0)</f>
        <v>1</v>
      </c>
      <c r="J659" s="7" t="n">
        <f aca="false">IF(I659=1,D659*F659,0)</f>
        <v>33.2</v>
      </c>
      <c r="K659" s="7" t="n">
        <f aca="false">YEAR(E659)*100+MONTH(E659)</f>
        <v>201109</v>
      </c>
      <c r="L659" s="7" t="n">
        <f aca="false">IF(AND(A659&lt;&gt;A658,LEFT(A659,1)&lt;&gt;"C"),1,0)</f>
        <v>0</v>
      </c>
    </row>
    <row r="660" customFormat="false" ht="15" hidden="false" customHeight="false" outlineLevel="0" collapsed="false">
      <c r="A660" s="0" t="s">
        <v>832</v>
      </c>
      <c r="B660" s="0" t="s">
        <v>93</v>
      </c>
      <c r="C660" s="0" t="s">
        <v>94</v>
      </c>
      <c r="D660" s="0" t="n">
        <v>8</v>
      </c>
      <c r="E660" s="6" t="n">
        <v>40795.4520833333</v>
      </c>
      <c r="F660" s="0" t="n">
        <v>4.15</v>
      </c>
      <c r="G660" s="0" t="n">
        <v>12674</v>
      </c>
      <c r="H660" s="0" t="s">
        <v>43</v>
      </c>
      <c r="I660" s="7" t="n">
        <f aca="false">IF(AND(LEFT(A660,1)&lt;&gt;"C",D660&gt;0,F660&gt;0),1,0)</f>
        <v>1</v>
      </c>
      <c r="J660" s="7" t="n">
        <f aca="false">IF(I660=1,D660*F660,0)</f>
        <v>33.2</v>
      </c>
      <c r="K660" s="7" t="n">
        <f aca="false">YEAR(E660)*100+MONTH(E660)</f>
        <v>201109</v>
      </c>
      <c r="L660" s="7" t="n">
        <f aca="false">IF(AND(A660&lt;&gt;A659,LEFT(A660,1)&lt;&gt;"C"),1,0)</f>
        <v>0</v>
      </c>
    </row>
    <row r="661" customFormat="false" ht="15" hidden="false" customHeight="false" outlineLevel="0" collapsed="false">
      <c r="A661" s="0" t="s">
        <v>845</v>
      </c>
      <c r="B661" s="0" t="s">
        <v>559</v>
      </c>
      <c r="C661" s="0" t="s">
        <v>560</v>
      </c>
      <c r="D661" s="0" t="n">
        <v>10</v>
      </c>
      <c r="E661" s="6" t="n">
        <v>40795.4916666667</v>
      </c>
      <c r="F661" s="0" t="n">
        <v>0.85</v>
      </c>
      <c r="G661" s="0" t="n">
        <v>12637</v>
      </c>
      <c r="H661" s="0" t="s">
        <v>43</v>
      </c>
      <c r="I661" s="7" t="n">
        <f aca="false">IF(AND(LEFT(A661,1)&lt;&gt;"C",D661&gt;0,F661&gt;0),1,0)</f>
        <v>1</v>
      </c>
      <c r="J661" s="7" t="n">
        <f aca="false">IF(I661=1,D661*F661,0)</f>
        <v>8.5</v>
      </c>
      <c r="K661" s="7" t="n">
        <f aca="false">YEAR(E661)*100+MONTH(E661)</f>
        <v>201109</v>
      </c>
      <c r="L661" s="7" t="n">
        <f aca="false">IF(AND(A661&lt;&gt;A660,LEFT(A661,1)&lt;&gt;"C"),1,0)</f>
        <v>1</v>
      </c>
    </row>
    <row r="662" customFormat="false" ht="15" hidden="false" customHeight="false" outlineLevel="0" collapsed="false">
      <c r="A662" s="0" t="s">
        <v>845</v>
      </c>
      <c r="B662" s="0" t="s">
        <v>651</v>
      </c>
      <c r="C662" s="0" t="s">
        <v>652</v>
      </c>
      <c r="D662" s="0" t="n">
        <v>10</v>
      </c>
      <c r="E662" s="6" t="n">
        <v>40795.4916666667</v>
      </c>
      <c r="F662" s="0" t="n">
        <v>1.65</v>
      </c>
      <c r="G662" s="0" t="n">
        <v>12637</v>
      </c>
      <c r="H662" s="0" t="s">
        <v>43</v>
      </c>
      <c r="I662" s="7" t="n">
        <f aca="false">IF(AND(LEFT(A662,1)&lt;&gt;"C",D662&gt;0,F662&gt;0),1,0)</f>
        <v>1</v>
      </c>
      <c r="J662" s="7" t="n">
        <f aca="false">IF(I662=1,D662*F662,0)</f>
        <v>16.5</v>
      </c>
      <c r="K662" s="7" t="n">
        <f aca="false">YEAR(E662)*100+MONTH(E662)</f>
        <v>201109</v>
      </c>
      <c r="L662" s="7" t="n">
        <f aca="false">IF(AND(A662&lt;&gt;A661,LEFT(A662,1)&lt;&gt;"C"),1,0)</f>
        <v>0</v>
      </c>
    </row>
    <row r="663" customFormat="false" ht="15" hidden="false" customHeight="false" outlineLevel="0" collapsed="false">
      <c r="A663" s="0" t="s">
        <v>845</v>
      </c>
      <c r="B663" s="0" t="s">
        <v>563</v>
      </c>
      <c r="C663" s="0" t="s">
        <v>564</v>
      </c>
      <c r="D663" s="0" t="n">
        <v>10</v>
      </c>
      <c r="E663" s="6" t="n">
        <v>40795.4916666667</v>
      </c>
      <c r="F663" s="0" t="n">
        <v>2.08</v>
      </c>
      <c r="G663" s="0" t="n">
        <v>12637</v>
      </c>
      <c r="H663" s="0" t="s">
        <v>43</v>
      </c>
      <c r="I663" s="7" t="n">
        <f aca="false">IF(AND(LEFT(A663,1)&lt;&gt;"C",D663&gt;0,F663&gt;0),1,0)</f>
        <v>1</v>
      </c>
      <c r="J663" s="7" t="n">
        <f aca="false">IF(I663=1,D663*F663,0)</f>
        <v>20.8</v>
      </c>
      <c r="K663" s="7" t="n">
        <f aca="false">YEAR(E663)*100+MONTH(E663)</f>
        <v>201109</v>
      </c>
      <c r="L663" s="7" t="n">
        <f aca="false">IF(AND(A663&lt;&gt;A662,LEFT(A663,1)&lt;&gt;"C"),1,0)</f>
        <v>0</v>
      </c>
    </row>
    <row r="664" customFormat="false" ht="15" hidden="false" customHeight="false" outlineLevel="0" collapsed="false">
      <c r="A664" s="0" t="s">
        <v>845</v>
      </c>
      <c r="B664" s="0" t="s">
        <v>183</v>
      </c>
      <c r="C664" s="0" t="s">
        <v>184</v>
      </c>
      <c r="D664" s="0" t="n">
        <v>12</v>
      </c>
      <c r="E664" s="6" t="n">
        <v>40795.4916666667</v>
      </c>
      <c r="F664" s="0" t="n">
        <v>0.42</v>
      </c>
      <c r="G664" s="0" t="n">
        <v>12637</v>
      </c>
      <c r="H664" s="0" t="s">
        <v>43</v>
      </c>
      <c r="I664" s="7" t="n">
        <f aca="false">IF(AND(LEFT(A664,1)&lt;&gt;"C",D664&gt;0,F664&gt;0),1,0)</f>
        <v>1</v>
      </c>
      <c r="J664" s="7" t="n">
        <f aca="false">IF(I664=1,D664*F664,0)</f>
        <v>5.04</v>
      </c>
      <c r="K664" s="7" t="n">
        <f aca="false">YEAR(E664)*100+MONTH(E664)</f>
        <v>201109</v>
      </c>
      <c r="L664" s="7" t="n">
        <f aca="false">IF(AND(A664&lt;&gt;A663,LEFT(A664,1)&lt;&gt;"C"),1,0)</f>
        <v>0</v>
      </c>
    </row>
    <row r="665" customFormat="false" ht="15" hidden="false" customHeight="false" outlineLevel="0" collapsed="false">
      <c r="A665" s="0" t="s">
        <v>845</v>
      </c>
      <c r="B665" s="0" t="s">
        <v>653</v>
      </c>
      <c r="C665" s="0" t="s">
        <v>654</v>
      </c>
      <c r="D665" s="0" t="n">
        <v>12</v>
      </c>
      <c r="E665" s="6" t="n">
        <v>40795.4916666667</v>
      </c>
      <c r="F665" s="0" t="n">
        <v>5.39</v>
      </c>
      <c r="G665" s="0" t="n">
        <v>12637</v>
      </c>
      <c r="H665" s="0" t="s">
        <v>43</v>
      </c>
      <c r="I665" s="7" t="n">
        <f aca="false">IF(AND(LEFT(A665,1)&lt;&gt;"C",D665&gt;0,F665&gt;0),1,0)</f>
        <v>1</v>
      </c>
      <c r="J665" s="7" t="n">
        <f aca="false">IF(I665=1,D665*F665,0)</f>
        <v>64.68</v>
      </c>
      <c r="K665" s="7" t="n">
        <f aca="false">YEAR(E665)*100+MONTH(E665)</f>
        <v>201109</v>
      </c>
      <c r="L665" s="7" t="n">
        <f aca="false">IF(AND(A665&lt;&gt;A664,LEFT(A665,1)&lt;&gt;"C"),1,0)</f>
        <v>0</v>
      </c>
    </row>
    <row r="666" customFormat="false" ht="15" hidden="false" customHeight="false" outlineLevel="0" collapsed="false">
      <c r="A666" s="0" t="s">
        <v>845</v>
      </c>
      <c r="B666" s="0" t="s">
        <v>89</v>
      </c>
      <c r="C666" s="0" t="s">
        <v>90</v>
      </c>
      <c r="D666" s="0" t="n">
        <v>4</v>
      </c>
      <c r="E666" s="6" t="n">
        <v>40795.4916666667</v>
      </c>
      <c r="F666" s="0" t="n">
        <v>4.15</v>
      </c>
      <c r="G666" s="0" t="n">
        <v>12637</v>
      </c>
      <c r="H666" s="0" t="s">
        <v>43</v>
      </c>
      <c r="I666" s="7" t="n">
        <f aca="false">IF(AND(LEFT(A666,1)&lt;&gt;"C",D666&gt;0,F666&gt;0),1,0)</f>
        <v>1</v>
      </c>
      <c r="J666" s="7" t="n">
        <f aca="false">IF(I666=1,D666*F666,0)</f>
        <v>16.6</v>
      </c>
      <c r="K666" s="7" t="n">
        <f aca="false">YEAR(E666)*100+MONTH(E666)</f>
        <v>201109</v>
      </c>
      <c r="L666" s="7" t="n">
        <f aca="false">IF(AND(A666&lt;&gt;A665,LEFT(A666,1)&lt;&gt;"C"),1,0)</f>
        <v>0</v>
      </c>
    </row>
    <row r="667" customFormat="false" ht="15" hidden="false" customHeight="false" outlineLevel="0" collapsed="false">
      <c r="A667" s="0" t="s">
        <v>845</v>
      </c>
      <c r="B667" s="0" t="s">
        <v>175</v>
      </c>
      <c r="C667" s="0" t="s">
        <v>176</v>
      </c>
      <c r="D667" s="0" t="n">
        <v>8</v>
      </c>
      <c r="E667" s="6" t="n">
        <v>40795.4916666667</v>
      </c>
      <c r="F667" s="0" t="n">
        <v>1.25</v>
      </c>
      <c r="G667" s="0" t="n">
        <v>12637</v>
      </c>
      <c r="H667" s="0" t="s">
        <v>43</v>
      </c>
      <c r="I667" s="7" t="n">
        <f aca="false">IF(AND(LEFT(A667,1)&lt;&gt;"C",D667&gt;0,F667&gt;0),1,0)</f>
        <v>1</v>
      </c>
      <c r="J667" s="7" t="n">
        <f aca="false">IF(I667=1,D667*F667,0)</f>
        <v>10</v>
      </c>
      <c r="K667" s="7" t="n">
        <f aca="false">YEAR(E667)*100+MONTH(E667)</f>
        <v>201109</v>
      </c>
      <c r="L667" s="7" t="n">
        <f aca="false">IF(AND(A667&lt;&gt;A666,LEFT(A667,1)&lt;&gt;"C"),1,0)</f>
        <v>0</v>
      </c>
    </row>
    <row r="668" customFormat="false" ht="15" hidden="false" customHeight="false" outlineLevel="0" collapsed="false">
      <c r="A668" s="0" t="s">
        <v>845</v>
      </c>
      <c r="B668" s="0" t="s">
        <v>372</v>
      </c>
      <c r="C668" s="0" t="s">
        <v>373</v>
      </c>
      <c r="D668" s="0" t="n">
        <v>12</v>
      </c>
      <c r="E668" s="6" t="n">
        <v>40795.4916666667</v>
      </c>
      <c r="F668" s="0" t="n">
        <v>1.25</v>
      </c>
      <c r="G668" s="0" t="n">
        <v>12637</v>
      </c>
      <c r="H668" s="0" t="s">
        <v>43</v>
      </c>
      <c r="I668" s="7" t="n">
        <f aca="false">IF(AND(LEFT(A668,1)&lt;&gt;"C",D668&gt;0,F668&gt;0),1,0)</f>
        <v>1</v>
      </c>
      <c r="J668" s="7" t="n">
        <f aca="false">IF(I668=1,D668*F668,0)</f>
        <v>15</v>
      </c>
      <c r="K668" s="7" t="n">
        <f aca="false">YEAR(E668)*100+MONTH(E668)</f>
        <v>201109</v>
      </c>
      <c r="L668" s="7" t="n">
        <f aca="false">IF(AND(A668&lt;&gt;A667,LEFT(A668,1)&lt;&gt;"C"),1,0)</f>
        <v>0</v>
      </c>
    </row>
    <row r="669" customFormat="false" ht="15" hidden="false" customHeight="false" outlineLevel="0" collapsed="false">
      <c r="A669" s="0" t="s">
        <v>845</v>
      </c>
      <c r="B669" s="0" t="s">
        <v>177</v>
      </c>
      <c r="C669" s="0" t="s">
        <v>178</v>
      </c>
      <c r="D669" s="0" t="n">
        <v>8</v>
      </c>
      <c r="E669" s="6" t="n">
        <v>40795.4916666667</v>
      </c>
      <c r="F669" s="0" t="n">
        <v>1.25</v>
      </c>
      <c r="G669" s="0" t="n">
        <v>12637</v>
      </c>
      <c r="H669" s="0" t="s">
        <v>43</v>
      </c>
      <c r="I669" s="7" t="n">
        <f aca="false">IF(AND(LEFT(A669,1)&lt;&gt;"C",D669&gt;0,F669&gt;0),1,0)</f>
        <v>1</v>
      </c>
      <c r="J669" s="7" t="n">
        <f aca="false">IF(I669=1,D669*F669,0)</f>
        <v>10</v>
      </c>
      <c r="K669" s="7" t="n">
        <f aca="false">YEAR(E669)*100+MONTH(E669)</f>
        <v>201109</v>
      </c>
      <c r="L669" s="7" t="n">
        <f aca="false">IF(AND(A669&lt;&gt;A668,LEFT(A669,1)&lt;&gt;"C"),1,0)</f>
        <v>0</v>
      </c>
    </row>
    <row r="670" customFormat="false" ht="15" hidden="false" customHeight="false" outlineLevel="0" collapsed="false">
      <c r="A670" s="0" t="s">
        <v>845</v>
      </c>
      <c r="B670" s="0" t="s">
        <v>416</v>
      </c>
      <c r="C670" s="0" t="s">
        <v>417</v>
      </c>
      <c r="D670" s="0" t="n">
        <v>36</v>
      </c>
      <c r="E670" s="6" t="n">
        <v>40795.4916666667</v>
      </c>
      <c r="F670" s="0" t="n">
        <v>0.65</v>
      </c>
      <c r="G670" s="0" t="n">
        <v>12637</v>
      </c>
      <c r="H670" s="0" t="s">
        <v>43</v>
      </c>
      <c r="I670" s="7" t="n">
        <f aca="false">IF(AND(LEFT(A670,1)&lt;&gt;"C",D670&gt;0,F670&gt;0),1,0)</f>
        <v>1</v>
      </c>
      <c r="J670" s="7" t="n">
        <f aca="false">IF(I670=1,D670*F670,0)</f>
        <v>23.4</v>
      </c>
      <c r="K670" s="7" t="n">
        <f aca="false">YEAR(E670)*100+MONTH(E670)</f>
        <v>201109</v>
      </c>
      <c r="L670" s="7" t="n">
        <f aca="false">IF(AND(A670&lt;&gt;A669,LEFT(A670,1)&lt;&gt;"C"),1,0)</f>
        <v>0</v>
      </c>
    </row>
    <row r="671" customFormat="false" ht="15" hidden="false" customHeight="false" outlineLevel="0" collapsed="false">
      <c r="A671" s="0" t="s">
        <v>845</v>
      </c>
      <c r="B671" s="0" t="s">
        <v>655</v>
      </c>
      <c r="C671" s="0" t="s">
        <v>656</v>
      </c>
      <c r="D671" s="0" t="n">
        <v>8</v>
      </c>
      <c r="E671" s="6" t="n">
        <v>40795.4916666667</v>
      </c>
      <c r="F671" s="0" t="n">
        <v>3.75</v>
      </c>
      <c r="G671" s="0" t="n">
        <v>12637</v>
      </c>
      <c r="H671" s="0" t="s">
        <v>43</v>
      </c>
      <c r="I671" s="7" t="n">
        <f aca="false">IF(AND(LEFT(A671,1)&lt;&gt;"C",D671&gt;0,F671&gt;0),1,0)</f>
        <v>1</v>
      </c>
      <c r="J671" s="7" t="n">
        <f aca="false">IF(I671=1,D671*F671,0)</f>
        <v>30</v>
      </c>
      <c r="K671" s="7" t="n">
        <f aca="false">YEAR(E671)*100+MONTH(E671)</f>
        <v>201109</v>
      </c>
      <c r="L671" s="7" t="n">
        <f aca="false">IF(AND(A671&lt;&gt;A670,LEFT(A671,1)&lt;&gt;"C"),1,0)</f>
        <v>0</v>
      </c>
    </row>
    <row r="672" customFormat="false" ht="15" hidden="false" customHeight="false" outlineLevel="0" collapsed="false">
      <c r="A672" s="0" t="s">
        <v>845</v>
      </c>
      <c r="B672" s="0" t="s">
        <v>72</v>
      </c>
      <c r="C672" s="0" t="s">
        <v>73</v>
      </c>
      <c r="D672" s="0" t="n">
        <v>12</v>
      </c>
      <c r="E672" s="6" t="n">
        <v>40795.4916666667</v>
      </c>
      <c r="F672" s="0" t="n">
        <v>1.95</v>
      </c>
      <c r="G672" s="0" t="n">
        <v>12637</v>
      </c>
      <c r="H672" s="0" t="s">
        <v>43</v>
      </c>
      <c r="I672" s="7" t="n">
        <f aca="false">IF(AND(LEFT(A672,1)&lt;&gt;"C",D672&gt;0,F672&gt;0),1,0)</f>
        <v>1</v>
      </c>
      <c r="J672" s="7" t="n">
        <f aca="false">IF(I672=1,D672*F672,0)</f>
        <v>23.4</v>
      </c>
      <c r="K672" s="7" t="n">
        <f aca="false">YEAR(E672)*100+MONTH(E672)</f>
        <v>201109</v>
      </c>
      <c r="L672" s="7" t="n">
        <f aca="false">IF(AND(A672&lt;&gt;A671,LEFT(A672,1)&lt;&gt;"C"),1,0)</f>
        <v>0</v>
      </c>
    </row>
    <row r="673" customFormat="false" ht="15" hidden="false" customHeight="false" outlineLevel="0" collapsed="false">
      <c r="A673" s="0" t="s">
        <v>845</v>
      </c>
      <c r="B673" s="0" t="s">
        <v>657</v>
      </c>
      <c r="C673" s="0" t="s">
        <v>658</v>
      </c>
      <c r="D673" s="0" t="n">
        <v>12</v>
      </c>
      <c r="E673" s="6" t="n">
        <v>40795.4916666667</v>
      </c>
      <c r="F673" s="0" t="n">
        <v>1.25</v>
      </c>
      <c r="G673" s="0" t="n">
        <v>12637</v>
      </c>
      <c r="H673" s="0" t="s">
        <v>43</v>
      </c>
      <c r="I673" s="7" t="n">
        <f aca="false">IF(AND(LEFT(A673,1)&lt;&gt;"C",D673&gt;0,F673&gt;0),1,0)</f>
        <v>1</v>
      </c>
      <c r="J673" s="7" t="n">
        <f aca="false">IF(I673=1,D673*F673,0)</f>
        <v>15</v>
      </c>
      <c r="K673" s="7" t="n">
        <f aca="false">YEAR(E673)*100+MONTH(E673)</f>
        <v>201109</v>
      </c>
      <c r="L673" s="7" t="n">
        <f aca="false">IF(AND(A673&lt;&gt;A672,LEFT(A673,1)&lt;&gt;"C"),1,0)</f>
        <v>0</v>
      </c>
    </row>
    <row r="674" customFormat="false" ht="15" hidden="false" customHeight="false" outlineLevel="0" collapsed="false">
      <c r="A674" s="0" t="s">
        <v>845</v>
      </c>
      <c r="B674" s="0" t="s">
        <v>659</v>
      </c>
      <c r="C674" s="0" t="s">
        <v>660</v>
      </c>
      <c r="D674" s="0" t="n">
        <v>6</v>
      </c>
      <c r="E674" s="6" t="n">
        <v>40795.4916666667</v>
      </c>
      <c r="F674" s="0" t="n">
        <v>4.15</v>
      </c>
      <c r="G674" s="0" t="n">
        <v>12637</v>
      </c>
      <c r="H674" s="0" t="s">
        <v>43</v>
      </c>
      <c r="I674" s="7" t="n">
        <f aca="false">IF(AND(LEFT(A674,1)&lt;&gt;"C",D674&gt;0,F674&gt;0),1,0)</f>
        <v>1</v>
      </c>
      <c r="J674" s="7" t="n">
        <f aca="false">IF(I674=1,D674*F674,0)</f>
        <v>24.9</v>
      </c>
      <c r="K674" s="7" t="n">
        <f aca="false">YEAR(E674)*100+MONTH(E674)</f>
        <v>201109</v>
      </c>
      <c r="L674" s="7" t="n">
        <f aca="false">IF(AND(A674&lt;&gt;A673,LEFT(A674,1)&lt;&gt;"C"),1,0)</f>
        <v>0</v>
      </c>
    </row>
    <row r="675" customFormat="false" ht="15" hidden="false" customHeight="false" outlineLevel="0" collapsed="false">
      <c r="A675" s="0" t="s">
        <v>845</v>
      </c>
      <c r="B675" s="0" t="s">
        <v>355</v>
      </c>
      <c r="C675" s="0" t="s">
        <v>356</v>
      </c>
      <c r="D675" s="0" t="n">
        <v>10</v>
      </c>
      <c r="E675" s="6" t="n">
        <v>40795.4916666667</v>
      </c>
      <c r="F675" s="0" t="n">
        <v>1.65</v>
      </c>
      <c r="G675" s="0" t="n">
        <v>12637</v>
      </c>
      <c r="H675" s="0" t="s">
        <v>43</v>
      </c>
      <c r="I675" s="7" t="n">
        <f aca="false">IF(AND(LEFT(A675,1)&lt;&gt;"C",D675&gt;0,F675&gt;0),1,0)</f>
        <v>1</v>
      </c>
      <c r="J675" s="7" t="n">
        <f aca="false">IF(I675=1,D675*F675,0)</f>
        <v>16.5</v>
      </c>
      <c r="K675" s="7" t="n">
        <f aca="false">YEAR(E675)*100+MONTH(E675)</f>
        <v>201109</v>
      </c>
      <c r="L675" s="7" t="n">
        <f aca="false">IF(AND(A675&lt;&gt;A674,LEFT(A675,1)&lt;&gt;"C"),1,0)</f>
        <v>0</v>
      </c>
    </row>
    <row r="676" customFormat="false" ht="15" hidden="false" customHeight="false" outlineLevel="0" collapsed="false">
      <c r="A676" s="0" t="s">
        <v>845</v>
      </c>
      <c r="B676" s="0" t="s">
        <v>168</v>
      </c>
      <c r="C676" s="0" t="s">
        <v>169</v>
      </c>
      <c r="D676" s="0" t="n">
        <v>10</v>
      </c>
      <c r="E676" s="6" t="n">
        <v>40795.4916666667</v>
      </c>
      <c r="F676" s="0" t="n">
        <v>0.85</v>
      </c>
      <c r="G676" s="0" t="n">
        <v>12637</v>
      </c>
      <c r="H676" s="0" t="s">
        <v>43</v>
      </c>
      <c r="I676" s="7" t="n">
        <f aca="false">IF(AND(LEFT(A676,1)&lt;&gt;"C",D676&gt;0,F676&gt;0),1,0)</f>
        <v>1</v>
      </c>
      <c r="J676" s="7" t="n">
        <f aca="false">IF(I676=1,D676*F676,0)</f>
        <v>8.5</v>
      </c>
      <c r="K676" s="7" t="n">
        <f aca="false">YEAR(E676)*100+MONTH(E676)</f>
        <v>201109</v>
      </c>
      <c r="L676" s="7" t="n">
        <f aca="false">IF(AND(A676&lt;&gt;A675,LEFT(A676,1)&lt;&gt;"C"),1,0)</f>
        <v>0</v>
      </c>
    </row>
    <row r="677" customFormat="false" ht="15" hidden="false" customHeight="false" outlineLevel="0" collapsed="false">
      <c r="A677" s="0" t="s">
        <v>845</v>
      </c>
      <c r="B677" s="0" t="s">
        <v>661</v>
      </c>
      <c r="C677" s="0" t="s">
        <v>662</v>
      </c>
      <c r="D677" s="0" t="n">
        <v>2</v>
      </c>
      <c r="E677" s="6" t="n">
        <v>40795.4916666667</v>
      </c>
      <c r="F677" s="0" t="n">
        <v>9.95</v>
      </c>
      <c r="G677" s="0" t="n">
        <v>12637</v>
      </c>
      <c r="H677" s="0" t="s">
        <v>43</v>
      </c>
      <c r="I677" s="7" t="n">
        <f aca="false">IF(AND(LEFT(A677,1)&lt;&gt;"C",D677&gt;0,F677&gt;0),1,0)</f>
        <v>1</v>
      </c>
      <c r="J677" s="7" t="n">
        <f aca="false">IF(I677=1,D677*F677,0)</f>
        <v>19.9</v>
      </c>
      <c r="K677" s="7" t="n">
        <f aca="false">YEAR(E677)*100+MONTH(E677)</f>
        <v>201109</v>
      </c>
      <c r="L677" s="7" t="n">
        <f aca="false">IF(AND(A677&lt;&gt;A676,LEFT(A677,1)&lt;&gt;"C"),1,0)</f>
        <v>0</v>
      </c>
    </row>
    <row r="678" customFormat="false" ht="15" hidden="false" customHeight="false" outlineLevel="0" collapsed="false">
      <c r="A678" s="0" t="s">
        <v>845</v>
      </c>
      <c r="B678" s="0" t="s">
        <v>663</v>
      </c>
      <c r="C678" s="0" t="s">
        <v>664</v>
      </c>
      <c r="D678" s="0" t="n">
        <v>12</v>
      </c>
      <c r="E678" s="6" t="n">
        <v>40795.4916666667</v>
      </c>
      <c r="F678" s="0" t="n">
        <v>1.65</v>
      </c>
      <c r="G678" s="0" t="n">
        <v>12637</v>
      </c>
      <c r="H678" s="0" t="s">
        <v>43</v>
      </c>
      <c r="I678" s="7" t="n">
        <f aca="false">IF(AND(LEFT(A678,1)&lt;&gt;"C",D678&gt;0,F678&gt;0),1,0)</f>
        <v>1</v>
      </c>
      <c r="J678" s="7" t="n">
        <f aca="false">IF(I678=1,D678*F678,0)</f>
        <v>19.8</v>
      </c>
      <c r="K678" s="7" t="n">
        <f aca="false">YEAR(E678)*100+MONTH(E678)</f>
        <v>201109</v>
      </c>
      <c r="L678" s="7" t="n">
        <f aca="false">IF(AND(A678&lt;&gt;A677,LEFT(A678,1)&lt;&gt;"C"),1,0)</f>
        <v>0</v>
      </c>
    </row>
    <row r="679" customFormat="false" ht="15" hidden="false" customHeight="false" outlineLevel="0" collapsed="false">
      <c r="A679" s="0" t="s">
        <v>845</v>
      </c>
      <c r="B679" s="0" t="s">
        <v>277</v>
      </c>
      <c r="C679" s="0" t="s">
        <v>278</v>
      </c>
      <c r="D679" s="0" t="n">
        <v>12</v>
      </c>
      <c r="E679" s="6" t="n">
        <v>40795.4916666667</v>
      </c>
      <c r="F679" s="0" t="n">
        <v>1.65</v>
      </c>
      <c r="G679" s="0" t="n">
        <v>12637</v>
      </c>
      <c r="H679" s="0" t="s">
        <v>43</v>
      </c>
      <c r="I679" s="7" t="n">
        <f aca="false">IF(AND(LEFT(A679,1)&lt;&gt;"C",D679&gt;0,F679&gt;0),1,0)</f>
        <v>1</v>
      </c>
      <c r="J679" s="7" t="n">
        <f aca="false">IF(I679=1,D679*F679,0)</f>
        <v>19.8</v>
      </c>
      <c r="K679" s="7" t="n">
        <f aca="false">YEAR(E679)*100+MONTH(E679)</f>
        <v>201109</v>
      </c>
      <c r="L679" s="7" t="n">
        <f aca="false">IF(AND(A679&lt;&gt;A678,LEFT(A679,1)&lt;&gt;"C"),1,0)</f>
        <v>0</v>
      </c>
    </row>
    <row r="680" customFormat="false" ht="15" hidden="false" customHeight="false" outlineLevel="0" collapsed="false">
      <c r="A680" s="0" t="s">
        <v>845</v>
      </c>
      <c r="B680" s="0" t="s">
        <v>297</v>
      </c>
      <c r="C680" s="0" t="s">
        <v>298</v>
      </c>
      <c r="D680" s="0" t="n">
        <v>12</v>
      </c>
      <c r="E680" s="6" t="n">
        <v>40795.4916666667</v>
      </c>
      <c r="F680" s="0" t="n">
        <v>3.75</v>
      </c>
      <c r="G680" s="0" t="n">
        <v>12637</v>
      </c>
      <c r="H680" s="0" t="s">
        <v>43</v>
      </c>
      <c r="I680" s="7" t="n">
        <f aca="false">IF(AND(LEFT(A680,1)&lt;&gt;"C",D680&gt;0,F680&gt;0),1,0)</f>
        <v>1</v>
      </c>
      <c r="J680" s="7" t="n">
        <f aca="false">IF(I680=1,D680*F680,0)</f>
        <v>45</v>
      </c>
      <c r="K680" s="7" t="n">
        <f aca="false">YEAR(E680)*100+MONTH(E680)</f>
        <v>201109</v>
      </c>
      <c r="L680" s="7" t="n">
        <f aca="false">IF(AND(A680&lt;&gt;A679,LEFT(A680,1)&lt;&gt;"C"),1,0)</f>
        <v>0</v>
      </c>
    </row>
    <row r="681" customFormat="false" ht="15" hidden="false" customHeight="false" outlineLevel="0" collapsed="false">
      <c r="A681" s="0" t="s">
        <v>845</v>
      </c>
      <c r="B681" s="0" t="s">
        <v>320</v>
      </c>
      <c r="C681" s="0" t="s">
        <v>321</v>
      </c>
      <c r="D681" s="0" t="n">
        <v>12</v>
      </c>
      <c r="E681" s="6" t="n">
        <v>40795.4916666667</v>
      </c>
      <c r="F681" s="0" t="n">
        <v>3.75</v>
      </c>
      <c r="G681" s="0" t="n">
        <v>12637</v>
      </c>
      <c r="H681" s="0" t="s">
        <v>43</v>
      </c>
      <c r="I681" s="7" t="n">
        <f aca="false">IF(AND(LEFT(A681,1)&lt;&gt;"C",D681&gt;0,F681&gt;0),1,0)</f>
        <v>1</v>
      </c>
      <c r="J681" s="7" t="n">
        <f aca="false">IF(I681=1,D681*F681,0)</f>
        <v>45</v>
      </c>
      <c r="K681" s="7" t="n">
        <f aca="false">YEAR(E681)*100+MONTH(E681)</f>
        <v>201109</v>
      </c>
      <c r="L681" s="7" t="n">
        <f aca="false">IF(AND(A681&lt;&gt;A680,LEFT(A681,1)&lt;&gt;"C"),1,0)</f>
        <v>0</v>
      </c>
    </row>
    <row r="682" customFormat="false" ht="15" hidden="false" customHeight="false" outlineLevel="0" collapsed="false">
      <c r="A682" s="0" t="s">
        <v>845</v>
      </c>
      <c r="B682" s="0" t="s">
        <v>318</v>
      </c>
      <c r="C682" s="0" t="s">
        <v>319</v>
      </c>
      <c r="D682" s="0" t="n">
        <v>12</v>
      </c>
      <c r="E682" s="6" t="n">
        <v>40795.4916666667</v>
      </c>
      <c r="F682" s="0" t="n">
        <v>3.75</v>
      </c>
      <c r="G682" s="0" t="n">
        <v>12637</v>
      </c>
      <c r="H682" s="0" t="s">
        <v>43</v>
      </c>
      <c r="I682" s="7" t="n">
        <f aca="false">IF(AND(LEFT(A682,1)&lt;&gt;"C",D682&gt;0,F682&gt;0),1,0)</f>
        <v>1</v>
      </c>
      <c r="J682" s="7" t="n">
        <f aca="false">IF(I682=1,D682*F682,0)</f>
        <v>45</v>
      </c>
      <c r="K682" s="7" t="n">
        <f aca="false">YEAR(E682)*100+MONTH(E682)</f>
        <v>201109</v>
      </c>
      <c r="L682" s="7" t="n">
        <f aca="false">IF(AND(A682&lt;&gt;A681,LEFT(A682,1)&lt;&gt;"C"),1,0)</f>
        <v>0</v>
      </c>
    </row>
    <row r="683" customFormat="false" ht="15" hidden="false" customHeight="false" outlineLevel="0" collapsed="false">
      <c r="A683" s="0" t="s">
        <v>845</v>
      </c>
      <c r="B683" s="0" t="s">
        <v>299</v>
      </c>
      <c r="C683" s="0" t="s">
        <v>300</v>
      </c>
      <c r="D683" s="0" t="n">
        <v>8</v>
      </c>
      <c r="E683" s="6" t="n">
        <v>40795.4916666667</v>
      </c>
      <c r="F683" s="0" t="n">
        <v>3.75</v>
      </c>
      <c r="G683" s="0" t="n">
        <v>12637</v>
      </c>
      <c r="H683" s="0" t="s">
        <v>43</v>
      </c>
      <c r="I683" s="7" t="n">
        <f aca="false">IF(AND(LEFT(A683,1)&lt;&gt;"C",D683&gt;0,F683&gt;0),1,0)</f>
        <v>1</v>
      </c>
      <c r="J683" s="7" t="n">
        <f aca="false">IF(I683=1,D683*F683,0)</f>
        <v>30</v>
      </c>
      <c r="K683" s="7" t="n">
        <f aca="false">YEAR(E683)*100+MONTH(E683)</f>
        <v>201109</v>
      </c>
      <c r="L683" s="7" t="n">
        <f aca="false">IF(AND(A683&lt;&gt;A682,LEFT(A683,1)&lt;&gt;"C"),1,0)</f>
        <v>0</v>
      </c>
    </row>
    <row r="684" customFormat="false" ht="15" hidden="false" customHeight="false" outlineLevel="0" collapsed="false">
      <c r="A684" s="0" t="s">
        <v>845</v>
      </c>
      <c r="B684" s="0" t="s">
        <v>322</v>
      </c>
      <c r="C684" s="0" t="s">
        <v>323</v>
      </c>
      <c r="D684" s="0" t="n">
        <v>8</v>
      </c>
      <c r="E684" s="6" t="n">
        <v>40795.4916666667</v>
      </c>
      <c r="F684" s="0" t="n">
        <v>3.75</v>
      </c>
      <c r="G684" s="0" t="n">
        <v>12637</v>
      </c>
      <c r="H684" s="0" t="s">
        <v>43</v>
      </c>
      <c r="I684" s="7" t="n">
        <f aca="false">IF(AND(LEFT(A684,1)&lt;&gt;"C",D684&gt;0,F684&gt;0),1,0)</f>
        <v>1</v>
      </c>
      <c r="J684" s="7" t="n">
        <f aca="false">IF(I684=1,D684*F684,0)</f>
        <v>30</v>
      </c>
      <c r="K684" s="7" t="n">
        <f aca="false">YEAR(E684)*100+MONTH(E684)</f>
        <v>201109</v>
      </c>
      <c r="L684" s="7" t="n">
        <f aca="false">IF(AND(A684&lt;&gt;A683,LEFT(A684,1)&lt;&gt;"C"),1,0)</f>
        <v>0</v>
      </c>
    </row>
    <row r="685" customFormat="false" ht="15" hidden="false" customHeight="false" outlineLevel="0" collapsed="false">
      <c r="A685" s="0" t="s">
        <v>845</v>
      </c>
      <c r="B685" s="0" t="s">
        <v>665</v>
      </c>
      <c r="C685" s="0" t="s">
        <v>666</v>
      </c>
      <c r="D685" s="0" t="n">
        <v>25</v>
      </c>
      <c r="E685" s="6" t="n">
        <v>40795.4916666667</v>
      </c>
      <c r="F685" s="0" t="n">
        <v>0.42</v>
      </c>
      <c r="G685" s="0" t="n">
        <v>12637</v>
      </c>
      <c r="H685" s="0" t="s">
        <v>43</v>
      </c>
      <c r="I685" s="7" t="n">
        <f aca="false">IF(AND(LEFT(A685,1)&lt;&gt;"C",D685&gt;0,F685&gt;0),1,0)</f>
        <v>1</v>
      </c>
      <c r="J685" s="7" t="n">
        <f aca="false">IF(I685=1,D685*F685,0)</f>
        <v>10.5</v>
      </c>
      <c r="K685" s="7" t="n">
        <f aca="false">YEAR(E685)*100+MONTH(E685)</f>
        <v>201109</v>
      </c>
      <c r="L685" s="7" t="n">
        <f aca="false">IF(AND(A685&lt;&gt;A684,LEFT(A685,1)&lt;&gt;"C"),1,0)</f>
        <v>0</v>
      </c>
    </row>
    <row r="686" customFormat="false" ht="15" hidden="false" customHeight="false" outlineLevel="0" collapsed="false">
      <c r="A686" s="0" t="s">
        <v>845</v>
      </c>
      <c r="B686" s="0" t="s">
        <v>463</v>
      </c>
      <c r="C686" s="0" t="s">
        <v>464</v>
      </c>
      <c r="D686" s="0" t="n">
        <v>6</v>
      </c>
      <c r="E686" s="6" t="n">
        <v>40795.4916666667</v>
      </c>
      <c r="F686" s="0" t="n">
        <v>7.95</v>
      </c>
      <c r="G686" s="0" t="n">
        <v>12637</v>
      </c>
      <c r="H686" s="0" t="s">
        <v>43</v>
      </c>
      <c r="I686" s="7" t="n">
        <f aca="false">IF(AND(LEFT(A686,1)&lt;&gt;"C",D686&gt;0,F686&gt;0),1,0)</f>
        <v>1</v>
      </c>
      <c r="J686" s="7" t="n">
        <f aca="false">IF(I686=1,D686*F686,0)</f>
        <v>47.7</v>
      </c>
      <c r="K686" s="7" t="n">
        <f aca="false">YEAR(E686)*100+MONTH(E686)</f>
        <v>201109</v>
      </c>
      <c r="L686" s="7" t="n">
        <f aca="false">IF(AND(A686&lt;&gt;A685,LEFT(A686,1)&lt;&gt;"C"),1,0)</f>
        <v>0</v>
      </c>
    </row>
    <row r="687" customFormat="false" ht="15" hidden="false" customHeight="false" outlineLevel="0" collapsed="false">
      <c r="A687" s="0" t="s">
        <v>845</v>
      </c>
      <c r="B687" s="0" t="s">
        <v>133</v>
      </c>
      <c r="C687" s="0" t="s">
        <v>134</v>
      </c>
      <c r="D687" s="0" t="n">
        <v>12</v>
      </c>
      <c r="E687" s="6" t="n">
        <v>40795.4916666667</v>
      </c>
      <c r="F687" s="0" t="n">
        <v>3.25</v>
      </c>
      <c r="G687" s="0" t="n">
        <v>12637</v>
      </c>
      <c r="H687" s="0" t="s">
        <v>43</v>
      </c>
      <c r="I687" s="7" t="n">
        <f aca="false">IF(AND(LEFT(A687,1)&lt;&gt;"C",D687&gt;0,F687&gt;0),1,0)</f>
        <v>1</v>
      </c>
      <c r="J687" s="7" t="n">
        <f aca="false">IF(I687=1,D687*F687,0)</f>
        <v>39</v>
      </c>
      <c r="K687" s="7" t="n">
        <f aca="false">YEAR(E687)*100+MONTH(E687)</f>
        <v>201109</v>
      </c>
      <c r="L687" s="7" t="n">
        <f aca="false">IF(AND(A687&lt;&gt;A686,LEFT(A687,1)&lt;&gt;"C"),1,0)</f>
        <v>0</v>
      </c>
    </row>
    <row r="688" customFormat="false" ht="15" hidden="false" customHeight="false" outlineLevel="0" collapsed="false">
      <c r="A688" s="0" t="s">
        <v>845</v>
      </c>
      <c r="B688" s="0" t="s">
        <v>667</v>
      </c>
      <c r="C688" s="0" t="s">
        <v>668</v>
      </c>
      <c r="D688" s="0" t="n">
        <v>10</v>
      </c>
      <c r="E688" s="6" t="n">
        <v>40795.4916666667</v>
      </c>
      <c r="F688" s="0" t="n">
        <v>0.85</v>
      </c>
      <c r="G688" s="0" t="n">
        <v>12637</v>
      </c>
      <c r="H688" s="0" t="s">
        <v>43</v>
      </c>
      <c r="I688" s="7" t="n">
        <f aca="false">IF(AND(LEFT(A688,1)&lt;&gt;"C",D688&gt;0,F688&gt;0),1,0)</f>
        <v>1</v>
      </c>
      <c r="J688" s="7" t="n">
        <f aca="false">IF(I688=1,D688*F688,0)</f>
        <v>8.5</v>
      </c>
      <c r="K688" s="7" t="n">
        <f aca="false">YEAR(E688)*100+MONTH(E688)</f>
        <v>201109</v>
      </c>
      <c r="L688" s="7" t="n">
        <f aca="false">IF(AND(A688&lt;&gt;A687,LEFT(A688,1)&lt;&gt;"C"),1,0)</f>
        <v>0</v>
      </c>
    </row>
    <row r="689" customFormat="false" ht="15" hidden="false" customHeight="false" outlineLevel="0" collapsed="false">
      <c r="A689" s="0" t="s">
        <v>845</v>
      </c>
      <c r="B689" s="0" t="s">
        <v>197</v>
      </c>
      <c r="C689" s="0" t="s">
        <v>198</v>
      </c>
      <c r="D689" s="0" t="n">
        <v>12</v>
      </c>
      <c r="E689" s="6" t="n">
        <v>40795.4916666667</v>
      </c>
      <c r="F689" s="0" t="n">
        <v>0.85</v>
      </c>
      <c r="G689" s="0" t="n">
        <v>12637</v>
      </c>
      <c r="H689" s="0" t="s">
        <v>43</v>
      </c>
      <c r="I689" s="7" t="n">
        <f aca="false">IF(AND(LEFT(A689,1)&lt;&gt;"C",D689&gt;0,F689&gt;0),1,0)</f>
        <v>1</v>
      </c>
      <c r="J689" s="7" t="n">
        <f aca="false">IF(I689=1,D689*F689,0)</f>
        <v>10.2</v>
      </c>
      <c r="K689" s="7" t="n">
        <f aca="false">YEAR(E689)*100+MONTH(E689)</f>
        <v>201109</v>
      </c>
      <c r="L689" s="7" t="n">
        <f aca="false">IF(AND(A689&lt;&gt;A688,LEFT(A689,1)&lt;&gt;"C"),1,0)</f>
        <v>0</v>
      </c>
    </row>
    <row r="690" customFormat="false" ht="15" hidden="false" customHeight="false" outlineLevel="0" collapsed="false">
      <c r="A690" s="0" t="s">
        <v>845</v>
      </c>
      <c r="B690" s="0" t="s">
        <v>151</v>
      </c>
      <c r="C690" s="0" t="s">
        <v>152</v>
      </c>
      <c r="D690" s="0" t="n">
        <v>12</v>
      </c>
      <c r="E690" s="6" t="n">
        <v>40795.4916666667</v>
      </c>
      <c r="F690" s="0" t="n">
        <v>0.85</v>
      </c>
      <c r="G690" s="0" t="n">
        <v>12637</v>
      </c>
      <c r="H690" s="0" t="s">
        <v>43</v>
      </c>
      <c r="I690" s="7" t="n">
        <f aca="false">IF(AND(LEFT(A690,1)&lt;&gt;"C",D690&gt;0,F690&gt;0),1,0)</f>
        <v>1</v>
      </c>
      <c r="J690" s="7" t="n">
        <f aca="false">IF(I690=1,D690*F690,0)</f>
        <v>10.2</v>
      </c>
      <c r="K690" s="7" t="n">
        <f aca="false">YEAR(E690)*100+MONTH(E690)</f>
        <v>201109</v>
      </c>
      <c r="L690" s="7" t="n">
        <f aca="false">IF(AND(A690&lt;&gt;A689,LEFT(A690,1)&lt;&gt;"C"),1,0)</f>
        <v>0</v>
      </c>
    </row>
    <row r="691" customFormat="false" ht="15" hidden="false" customHeight="false" outlineLevel="0" collapsed="false">
      <c r="A691" s="0" t="s">
        <v>845</v>
      </c>
      <c r="B691" s="0" t="s">
        <v>533</v>
      </c>
      <c r="C691" s="0" t="s">
        <v>534</v>
      </c>
      <c r="D691" s="0" t="n">
        <v>16</v>
      </c>
      <c r="E691" s="6" t="n">
        <v>40795.4916666667</v>
      </c>
      <c r="F691" s="0" t="n">
        <v>1.25</v>
      </c>
      <c r="G691" s="0" t="n">
        <v>12637</v>
      </c>
      <c r="H691" s="0" t="s">
        <v>43</v>
      </c>
      <c r="I691" s="7" t="n">
        <f aca="false">IF(AND(LEFT(A691,1)&lt;&gt;"C",D691&gt;0,F691&gt;0),1,0)</f>
        <v>1</v>
      </c>
      <c r="J691" s="7" t="n">
        <f aca="false">IF(I691=1,D691*F691,0)</f>
        <v>20</v>
      </c>
      <c r="K691" s="7" t="n">
        <f aca="false">YEAR(E691)*100+MONTH(E691)</f>
        <v>201109</v>
      </c>
      <c r="L691" s="7" t="n">
        <f aca="false">IF(AND(A691&lt;&gt;A690,LEFT(A691,1)&lt;&gt;"C"),1,0)</f>
        <v>0</v>
      </c>
    </row>
    <row r="692" customFormat="false" ht="15" hidden="false" customHeight="false" outlineLevel="0" collapsed="false">
      <c r="A692" s="0" t="s">
        <v>845</v>
      </c>
      <c r="B692" s="0" t="s">
        <v>193</v>
      </c>
      <c r="C692" s="0" t="s">
        <v>194</v>
      </c>
      <c r="D692" s="0" t="n">
        <v>12</v>
      </c>
      <c r="E692" s="6" t="n">
        <v>40795.4916666667</v>
      </c>
      <c r="F692" s="0" t="n">
        <v>0.65</v>
      </c>
      <c r="G692" s="0" t="n">
        <v>12637</v>
      </c>
      <c r="H692" s="0" t="s">
        <v>43</v>
      </c>
      <c r="I692" s="7" t="n">
        <f aca="false">IF(AND(LEFT(A692,1)&lt;&gt;"C",D692&gt;0,F692&gt;0),1,0)</f>
        <v>1</v>
      </c>
      <c r="J692" s="7" t="n">
        <f aca="false">IF(I692=1,D692*F692,0)</f>
        <v>7.8</v>
      </c>
      <c r="K692" s="7" t="n">
        <f aca="false">YEAR(E692)*100+MONTH(E692)</f>
        <v>201109</v>
      </c>
      <c r="L692" s="7" t="n">
        <f aca="false">IF(AND(A692&lt;&gt;A691,LEFT(A692,1)&lt;&gt;"C"),1,0)</f>
        <v>0</v>
      </c>
    </row>
    <row r="693" customFormat="false" ht="15" hidden="false" customHeight="false" outlineLevel="0" collapsed="false">
      <c r="A693" s="0" t="s">
        <v>845</v>
      </c>
      <c r="B693" s="0" t="s">
        <v>48</v>
      </c>
      <c r="C693" s="0" t="s">
        <v>49</v>
      </c>
      <c r="D693" s="0" t="n">
        <v>12</v>
      </c>
      <c r="E693" s="6" t="n">
        <v>40795.4916666667</v>
      </c>
      <c r="F693" s="0" t="n">
        <v>0.65</v>
      </c>
      <c r="G693" s="0" t="n">
        <v>12637</v>
      </c>
      <c r="H693" s="0" t="s">
        <v>43</v>
      </c>
      <c r="I693" s="7" t="n">
        <f aca="false">IF(AND(LEFT(A693,1)&lt;&gt;"C",D693&gt;0,F693&gt;0),1,0)</f>
        <v>1</v>
      </c>
      <c r="J693" s="7" t="n">
        <f aca="false">IF(I693=1,D693*F693,0)</f>
        <v>7.8</v>
      </c>
      <c r="K693" s="7" t="n">
        <f aca="false">YEAR(E693)*100+MONTH(E693)</f>
        <v>201109</v>
      </c>
      <c r="L693" s="7" t="n">
        <f aca="false">IF(AND(A693&lt;&gt;A692,LEFT(A693,1)&lt;&gt;"C"),1,0)</f>
        <v>0</v>
      </c>
    </row>
    <row r="694" customFormat="false" ht="15" hidden="false" customHeight="false" outlineLevel="0" collapsed="false">
      <c r="A694" s="0" t="s">
        <v>845</v>
      </c>
      <c r="B694" s="0" t="s">
        <v>669</v>
      </c>
      <c r="C694" s="0" t="s">
        <v>670</v>
      </c>
      <c r="D694" s="0" t="n">
        <v>12</v>
      </c>
      <c r="E694" s="6" t="n">
        <v>40795.4916666667</v>
      </c>
      <c r="F694" s="0" t="n">
        <v>0.85</v>
      </c>
      <c r="G694" s="0" t="n">
        <v>12637</v>
      </c>
      <c r="H694" s="0" t="s">
        <v>43</v>
      </c>
      <c r="I694" s="7" t="n">
        <f aca="false">IF(AND(LEFT(A694,1)&lt;&gt;"C",D694&gt;0,F694&gt;0),1,0)</f>
        <v>1</v>
      </c>
      <c r="J694" s="7" t="n">
        <f aca="false">IF(I694=1,D694*F694,0)</f>
        <v>10.2</v>
      </c>
      <c r="K694" s="7" t="n">
        <f aca="false">YEAR(E694)*100+MONTH(E694)</f>
        <v>201109</v>
      </c>
      <c r="L694" s="7" t="n">
        <f aca="false">IF(AND(A694&lt;&gt;A693,LEFT(A694,1)&lt;&gt;"C"),1,0)</f>
        <v>0</v>
      </c>
    </row>
    <row r="695" customFormat="false" ht="15" hidden="false" customHeight="false" outlineLevel="0" collapsed="false">
      <c r="A695" s="0" t="s">
        <v>845</v>
      </c>
      <c r="B695" s="0" t="s">
        <v>58</v>
      </c>
      <c r="C695" s="0" t="s">
        <v>59</v>
      </c>
      <c r="D695" s="0" t="n">
        <v>6</v>
      </c>
      <c r="E695" s="6" t="n">
        <v>40795.4916666667</v>
      </c>
      <c r="F695" s="0" t="n">
        <v>2.55</v>
      </c>
      <c r="G695" s="0" t="n">
        <v>12637</v>
      </c>
      <c r="H695" s="0" t="s">
        <v>43</v>
      </c>
      <c r="I695" s="7" t="n">
        <f aca="false">IF(AND(LEFT(A695,1)&lt;&gt;"C",D695&gt;0,F695&gt;0),1,0)</f>
        <v>1</v>
      </c>
      <c r="J695" s="7" t="n">
        <f aca="false">IF(I695=1,D695*F695,0)</f>
        <v>15.3</v>
      </c>
      <c r="K695" s="7" t="n">
        <f aca="false">YEAR(E695)*100+MONTH(E695)</f>
        <v>201109</v>
      </c>
      <c r="L695" s="7" t="n">
        <f aca="false">IF(AND(A695&lt;&gt;A694,LEFT(A695,1)&lt;&gt;"C"),1,0)</f>
        <v>0</v>
      </c>
    </row>
    <row r="696" customFormat="false" ht="15" hidden="false" customHeight="false" outlineLevel="0" collapsed="false">
      <c r="A696" s="0" t="s">
        <v>845</v>
      </c>
      <c r="B696" s="0" t="s">
        <v>159</v>
      </c>
      <c r="C696" s="0" t="s">
        <v>160</v>
      </c>
      <c r="D696" s="0" t="n">
        <v>6</v>
      </c>
      <c r="E696" s="6" t="n">
        <v>40795.4916666667</v>
      </c>
      <c r="F696" s="0" t="n">
        <v>2.55</v>
      </c>
      <c r="G696" s="0" t="n">
        <v>12637</v>
      </c>
      <c r="H696" s="0" t="s">
        <v>43</v>
      </c>
      <c r="I696" s="7" t="n">
        <f aca="false">IF(AND(LEFT(A696,1)&lt;&gt;"C",D696&gt;0,F696&gt;0),1,0)</f>
        <v>1</v>
      </c>
      <c r="J696" s="7" t="n">
        <f aca="false">IF(I696=1,D696*F696,0)</f>
        <v>15.3</v>
      </c>
      <c r="K696" s="7" t="n">
        <f aca="false">YEAR(E696)*100+MONTH(E696)</f>
        <v>201109</v>
      </c>
      <c r="L696" s="7" t="n">
        <f aca="false">IF(AND(A696&lt;&gt;A695,LEFT(A696,1)&lt;&gt;"C"),1,0)</f>
        <v>0</v>
      </c>
    </row>
    <row r="697" customFormat="false" ht="15" hidden="false" customHeight="false" outlineLevel="0" collapsed="false">
      <c r="A697" s="0" t="s">
        <v>845</v>
      </c>
      <c r="B697" s="0" t="s">
        <v>119</v>
      </c>
      <c r="C697" s="0" t="s">
        <v>120</v>
      </c>
      <c r="D697" s="0" t="n">
        <v>12</v>
      </c>
      <c r="E697" s="6" t="n">
        <v>40795.4916666667</v>
      </c>
      <c r="F697" s="0" t="n">
        <v>0.42</v>
      </c>
      <c r="G697" s="0" t="n">
        <v>12637</v>
      </c>
      <c r="H697" s="0" t="s">
        <v>43</v>
      </c>
      <c r="I697" s="7" t="n">
        <f aca="false">IF(AND(LEFT(A697,1)&lt;&gt;"C",D697&gt;0,F697&gt;0),1,0)</f>
        <v>1</v>
      </c>
      <c r="J697" s="7" t="n">
        <f aca="false">IF(I697=1,D697*F697,0)</f>
        <v>5.04</v>
      </c>
      <c r="K697" s="7" t="n">
        <f aca="false">YEAR(E697)*100+MONTH(E697)</f>
        <v>201109</v>
      </c>
      <c r="L697" s="7" t="n">
        <f aca="false">IF(AND(A697&lt;&gt;A696,LEFT(A697,1)&lt;&gt;"C"),1,0)</f>
        <v>0</v>
      </c>
    </row>
    <row r="698" customFormat="false" ht="15" hidden="false" customHeight="false" outlineLevel="0" collapsed="false">
      <c r="A698" s="0" t="s">
        <v>845</v>
      </c>
      <c r="B698" s="0" t="s">
        <v>567</v>
      </c>
      <c r="C698" s="0" t="s">
        <v>568</v>
      </c>
      <c r="D698" s="0" t="n">
        <v>10</v>
      </c>
      <c r="E698" s="6" t="n">
        <v>40795.4916666667</v>
      </c>
      <c r="F698" s="0" t="n">
        <v>1.65</v>
      </c>
      <c r="G698" s="0" t="n">
        <v>12637</v>
      </c>
      <c r="H698" s="0" t="s">
        <v>43</v>
      </c>
      <c r="I698" s="7" t="n">
        <f aca="false">IF(AND(LEFT(A698,1)&lt;&gt;"C",D698&gt;0,F698&gt;0),1,0)</f>
        <v>1</v>
      </c>
      <c r="J698" s="7" t="n">
        <f aca="false">IF(I698=1,D698*F698,0)</f>
        <v>16.5</v>
      </c>
      <c r="K698" s="7" t="n">
        <f aca="false">YEAR(E698)*100+MONTH(E698)</f>
        <v>201109</v>
      </c>
      <c r="L698" s="7" t="n">
        <f aca="false">IF(AND(A698&lt;&gt;A697,LEFT(A698,1)&lt;&gt;"C"),1,0)</f>
        <v>0</v>
      </c>
    </row>
    <row r="699" customFormat="false" ht="15" hidden="false" customHeight="false" outlineLevel="0" collapsed="false">
      <c r="A699" s="0" t="s">
        <v>845</v>
      </c>
      <c r="B699" s="0" t="s">
        <v>123</v>
      </c>
      <c r="C699" s="0" t="s">
        <v>124</v>
      </c>
      <c r="D699" s="0" t="n">
        <v>6</v>
      </c>
      <c r="E699" s="6" t="n">
        <v>40795.4916666667</v>
      </c>
      <c r="F699" s="0" t="n">
        <v>2.95</v>
      </c>
      <c r="G699" s="0" t="n">
        <v>12637</v>
      </c>
      <c r="H699" s="0" t="s">
        <v>43</v>
      </c>
      <c r="I699" s="7" t="n">
        <f aca="false">IF(AND(LEFT(A699,1)&lt;&gt;"C",D699&gt;0,F699&gt;0),1,0)</f>
        <v>1</v>
      </c>
      <c r="J699" s="7" t="n">
        <f aca="false">IF(I699=1,D699*F699,0)</f>
        <v>17.7</v>
      </c>
      <c r="K699" s="7" t="n">
        <f aca="false">YEAR(E699)*100+MONTH(E699)</f>
        <v>201109</v>
      </c>
      <c r="L699" s="7" t="n">
        <f aca="false">IF(AND(A699&lt;&gt;A698,LEFT(A699,1)&lt;&gt;"C"),1,0)</f>
        <v>0</v>
      </c>
    </row>
    <row r="700" customFormat="false" ht="15" hidden="false" customHeight="false" outlineLevel="0" collapsed="false">
      <c r="A700" s="0" t="s">
        <v>845</v>
      </c>
      <c r="B700" s="0" t="s">
        <v>335</v>
      </c>
      <c r="C700" s="0" t="s">
        <v>336</v>
      </c>
      <c r="D700" s="0" t="n">
        <v>12</v>
      </c>
      <c r="E700" s="6" t="n">
        <v>40795.4916666667</v>
      </c>
      <c r="F700" s="0" t="n">
        <v>1.65</v>
      </c>
      <c r="G700" s="0" t="n">
        <v>12637</v>
      </c>
      <c r="H700" s="0" t="s">
        <v>43</v>
      </c>
      <c r="I700" s="7" t="n">
        <f aca="false">IF(AND(LEFT(A700,1)&lt;&gt;"C",D700&gt;0,F700&gt;0),1,0)</f>
        <v>1</v>
      </c>
      <c r="J700" s="7" t="n">
        <f aca="false">IF(I700=1,D700*F700,0)</f>
        <v>19.8</v>
      </c>
      <c r="K700" s="7" t="n">
        <f aca="false">YEAR(E700)*100+MONTH(E700)</f>
        <v>201109</v>
      </c>
      <c r="L700" s="7" t="n">
        <f aca="false">IF(AND(A700&lt;&gt;A699,LEFT(A700,1)&lt;&gt;"C"),1,0)</f>
        <v>0</v>
      </c>
    </row>
    <row r="701" customFormat="false" ht="15" hidden="false" customHeight="false" outlineLevel="0" collapsed="false">
      <c r="A701" s="0" t="s">
        <v>845</v>
      </c>
      <c r="B701" s="0" t="s">
        <v>671</v>
      </c>
      <c r="C701" s="0" t="s">
        <v>672</v>
      </c>
      <c r="D701" s="0" t="n">
        <v>12</v>
      </c>
      <c r="E701" s="6" t="n">
        <v>40795.4916666667</v>
      </c>
      <c r="F701" s="0" t="n">
        <v>0.85</v>
      </c>
      <c r="G701" s="0" t="n">
        <v>12637</v>
      </c>
      <c r="H701" s="0" t="s">
        <v>43</v>
      </c>
      <c r="I701" s="7" t="n">
        <f aca="false">IF(AND(LEFT(A701,1)&lt;&gt;"C",D701&gt;0,F701&gt;0),1,0)</f>
        <v>1</v>
      </c>
      <c r="J701" s="7" t="n">
        <f aca="false">IF(I701=1,D701*F701,0)</f>
        <v>10.2</v>
      </c>
      <c r="K701" s="7" t="n">
        <f aca="false">YEAR(E701)*100+MONTH(E701)</f>
        <v>201109</v>
      </c>
      <c r="L701" s="7" t="n">
        <f aca="false">IF(AND(A701&lt;&gt;A700,LEFT(A701,1)&lt;&gt;"C"),1,0)</f>
        <v>0</v>
      </c>
    </row>
    <row r="702" customFormat="false" ht="15" hidden="false" customHeight="false" outlineLevel="0" collapsed="false">
      <c r="A702" s="0" t="s">
        <v>845</v>
      </c>
      <c r="B702" s="0" t="s">
        <v>623</v>
      </c>
      <c r="C702" s="0" t="s">
        <v>624</v>
      </c>
      <c r="D702" s="0" t="n">
        <v>10</v>
      </c>
      <c r="E702" s="6" t="n">
        <v>40795.4916666667</v>
      </c>
      <c r="F702" s="0" t="n">
        <v>2.08</v>
      </c>
      <c r="G702" s="0" t="n">
        <v>12637</v>
      </c>
      <c r="H702" s="0" t="s">
        <v>43</v>
      </c>
      <c r="I702" s="7" t="n">
        <f aca="false">IF(AND(LEFT(A702,1)&lt;&gt;"C",D702&gt;0,F702&gt;0),1,0)</f>
        <v>1</v>
      </c>
      <c r="J702" s="7" t="n">
        <f aca="false">IF(I702=1,D702*F702,0)</f>
        <v>20.8</v>
      </c>
      <c r="K702" s="7" t="n">
        <f aca="false">YEAR(E702)*100+MONTH(E702)</f>
        <v>201109</v>
      </c>
      <c r="L702" s="7" t="n">
        <f aca="false">IF(AND(A702&lt;&gt;A701,LEFT(A702,1)&lt;&gt;"C"),1,0)</f>
        <v>0</v>
      </c>
    </row>
    <row r="703" customFormat="false" ht="15" hidden="false" customHeight="false" outlineLevel="0" collapsed="false">
      <c r="A703" s="0" t="s">
        <v>845</v>
      </c>
      <c r="B703" s="0" t="s">
        <v>111</v>
      </c>
      <c r="C703" s="0" t="s">
        <v>112</v>
      </c>
      <c r="D703" s="0" t="n">
        <v>6</v>
      </c>
      <c r="E703" s="6" t="n">
        <v>40795.4916666667</v>
      </c>
      <c r="F703" s="0" t="n">
        <v>2.55</v>
      </c>
      <c r="G703" s="0" t="n">
        <v>12637</v>
      </c>
      <c r="H703" s="0" t="s">
        <v>43</v>
      </c>
      <c r="I703" s="7" t="n">
        <f aca="false">IF(AND(LEFT(A703,1)&lt;&gt;"C",D703&gt;0,F703&gt;0),1,0)</f>
        <v>1</v>
      </c>
      <c r="J703" s="7" t="n">
        <f aca="false">IF(I703=1,D703*F703,0)</f>
        <v>15.3</v>
      </c>
      <c r="K703" s="7" t="n">
        <f aca="false">YEAR(E703)*100+MONTH(E703)</f>
        <v>201109</v>
      </c>
      <c r="L703" s="7" t="n">
        <f aca="false">IF(AND(A703&lt;&gt;A702,LEFT(A703,1)&lt;&gt;"C"),1,0)</f>
        <v>0</v>
      </c>
    </row>
    <row r="704" customFormat="false" ht="15" hidden="false" customHeight="false" outlineLevel="0" collapsed="false">
      <c r="A704" s="0" t="s">
        <v>845</v>
      </c>
      <c r="B704" s="0" t="s">
        <v>301</v>
      </c>
      <c r="C704" s="0" t="s">
        <v>302</v>
      </c>
      <c r="D704" s="0" t="n">
        <v>6</v>
      </c>
      <c r="E704" s="6" t="n">
        <v>40795.4916666667</v>
      </c>
      <c r="F704" s="0" t="n">
        <v>2.55</v>
      </c>
      <c r="G704" s="0" t="n">
        <v>12637</v>
      </c>
      <c r="H704" s="0" t="s">
        <v>43</v>
      </c>
      <c r="I704" s="7" t="n">
        <f aca="false">IF(AND(LEFT(A704,1)&lt;&gt;"C",D704&gt;0,F704&gt;0),1,0)</f>
        <v>1</v>
      </c>
      <c r="J704" s="7" t="n">
        <f aca="false">IF(I704=1,D704*F704,0)</f>
        <v>15.3</v>
      </c>
      <c r="K704" s="7" t="n">
        <f aca="false">YEAR(E704)*100+MONTH(E704)</f>
        <v>201109</v>
      </c>
      <c r="L704" s="7" t="n">
        <f aca="false">IF(AND(A704&lt;&gt;A703,LEFT(A704,1)&lt;&gt;"C"),1,0)</f>
        <v>0</v>
      </c>
    </row>
    <row r="705" customFormat="false" ht="15" hidden="false" customHeight="false" outlineLevel="0" collapsed="false">
      <c r="A705" s="0" t="s">
        <v>845</v>
      </c>
      <c r="B705" s="0" t="s">
        <v>625</v>
      </c>
      <c r="C705" s="0" t="s">
        <v>626</v>
      </c>
      <c r="D705" s="0" t="n">
        <v>10</v>
      </c>
      <c r="E705" s="6" t="n">
        <v>40795.4916666667</v>
      </c>
      <c r="F705" s="0" t="n">
        <v>2.08</v>
      </c>
      <c r="G705" s="0" t="n">
        <v>12637</v>
      </c>
      <c r="H705" s="0" t="s">
        <v>43</v>
      </c>
      <c r="I705" s="7" t="n">
        <f aca="false">IF(AND(LEFT(A705,1)&lt;&gt;"C",D705&gt;0,F705&gt;0),1,0)</f>
        <v>1</v>
      </c>
      <c r="J705" s="7" t="n">
        <f aca="false">IF(I705=1,D705*F705,0)</f>
        <v>20.8</v>
      </c>
      <c r="K705" s="7" t="n">
        <f aca="false">YEAR(E705)*100+MONTH(E705)</f>
        <v>201109</v>
      </c>
      <c r="L705" s="7" t="n">
        <f aca="false">IF(AND(A705&lt;&gt;A704,LEFT(A705,1)&lt;&gt;"C"),1,0)</f>
        <v>0</v>
      </c>
    </row>
    <row r="706" customFormat="false" ht="15" hidden="false" customHeight="false" outlineLevel="0" collapsed="false">
      <c r="A706" s="0" t="s">
        <v>845</v>
      </c>
      <c r="B706" s="0" t="s">
        <v>627</v>
      </c>
      <c r="C706" s="0" t="s">
        <v>628</v>
      </c>
      <c r="D706" s="0" t="n">
        <v>10</v>
      </c>
      <c r="E706" s="6" t="n">
        <v>40795.4916666667</v>
      </c>
      <c r="F706" s="0" t="n">
        <v>0.85</v>
      </c>
      <c r="G706" s="0" t="n">
        <v>12637</v>
      </c>
      <c r="H706" s="0" t="s">
        <v>43</v>
      </c>
      <c r="I706" s="7" t="n">
        <f aca="false">IF(AND(LEFT(A706,1)&lt;&gt;"C",D706&gt;0,F706&gt;0),1,0)</f>
        <v>1</v>
      </c>
      <c r="J706" s="7" t="n">
        <f aca="false">IF(I706=1,D706*F706,0)</f>
        <v>8.5</v>
      </c>
      <c r="K706" s="7" t="n">
        <f aca="false">YEAR(E706)*100+MONTH(E706)</f>
        <v>201109</v>
      </c>
      <c r="L706" s="7" t="n">
        <f aca="false">IF(AND(A706&lt;&gt;A705,LEFT(A706,1)&lt;&gt;"C"),1,0)</f>
        <v>0</v>
      </c>
    </row>
    <row r="707" customFormat="false" ht="15" hidden="false" customHeight="false" outlineLevel="0" collapsed="false">
      <c r="A707" s="0" t="s">
        <v>845</v>
      </c>
      <c r="B707" s="0" t="s">
        <v>78</v>
      </c>
      <c r="C707" s="0" t="s">
        <v>79</v>
      </c>
      <c r="D707" s="0" t="n">
        <v>10</v>
      </c>
      <c r="E707" s="6" t="n">
        <v>40795.4916666667</v>
      </c>
      <c r="F707" s="0" t="n">
        <v>1.65</v>
      </c>
      <c r="G707" s="0" t="n">
        <v>12637</v>
      </c>
      <c r="H707" s="0" t="s">
        <v>43</v>
      </c>
      <c r="I707" s="7" t="n">
        <f aca="false">IF(AND(LEFT(A707,1)&lt;&gt;"C",D707&gt;0,F707&gt;0),1,0)</f>
        <v>1</v>
      </c>
      <c r="J707" s="7" t="n">
        <f aca="false">IF(I707=1,D707*F707,0)</f>
        <v>16.5</v>
      </c>
      <c r="K707" s="7" t="n">
        <f aca="false">YEAR(E707)*100+MONTH(E707)</f>
        <v>201109</v>
      </c>
      <c r="L707" s="7" t="n">
        <f aca="false">IF(AND(A707&lt;&gt;A706,LEFT(A707,1)&lt;&gt;"C"),1,0)</f>
        <v>0</v>
      </c>
    </row>
    <row r="708" customFormat="false" ht="15" hidden="false" customHeight="false" outlineLevel="0" collapsed="false">
      <c r="A708" s="0" t="s">
        <v>845</v>
      </c>
      <c r="B708" s="0" t="s">
        <v>629</v>
      </c>
      <c r="C708" s="0" t="s">
        <v>630</v>
      </c>
      <c r="D708" s="0" t="n">
        <v>2</v>
      </c>
      <c r="E708" s="6" t="n">
        <v>40795.4916666667</v>
      </c>
      <c r="F708" s="0" t="n">
        <v>8.5</v>
      </c>
      <c r="G708" s="0" t="n">
        <v>12637</v>
      </c>
      <c r="H708" s="0" t="s">
        <v>43</v>
      </c>
      <c r="I708" s="7" t="n">
        <f aca="false">IF(AND(LEFT(A708,1)&lt;&gt;"C",D708&gt;0,F708&gt;0),1,0)</f>
        <v>1</v>
      </c>
      <c r="J708" s="7" t="n">
        <f aca="false">IF(I708=1,D708*F708,0)</f>
        <v>17</v>
      </c>
      <c r="K708" s="7" t="n">
        <f aca="false">YEAR(E708)*100+MONTH(E708)</f>
        <v>201109</v>
      </c>
      <c r="L708" s="7" t="n">
        <f aca="false">IF(AND(A708&lt;&gt;A707,LEFT(A708,1)&lt;&gt;"C"),1,0)</f>
        <v>0</v>
      </c>
    </row>
    <row r="709" customFormat="false" ht="15" hidden="false" customHeight="false" outlineLevel="0" collapsed="false">
      <c r="A709" s="0" t="s">
        <v>845</v>
      </c>
      <c r="B709" s="0" t="s">
        <v>631</v>
      </c>
      <c r="C709" s="0" t="s">
        <v>632</v>
      </c>
      <c r="D709" s="0" t="n">
        <v>10</v>
      </c>
      <c r="E709" s="6" t="n">
        <v>40795.4916666667</v>
      </c>
      <c r="F709" s="0" t="n">
        <v>2.08</v>
      </c>
      <c r="G709" s="0" t="n">
        <v>12637</v>
      </c>
      <c r="H709" s="0" t="s">
        <v>43</v>
      </c>
      <c r="I709" s="7" t="n">
        <f aca="false">IF(AND(LEFT(A709,1)&lt;&gt;"C",D709&gt;0,F709&gt;0),1,0)</f>
        <v>1</v>
      </c>
      <c r="J709" s="7" t="n">
        <f aca="false">IF(I709=1,D709*F709,0)</f>
        <v>20.8</v>
      </c>
      <c r="K709" s="7" t="n">
        <f aca="false">YEAR(E709)*100+MONTH(E709)</f>
        <v>201109</v>
      </c>
      <c r="L709" s="7" t="n">
        <f aca="false">IF(AND(A709&lt;&gt;A708,LEFT(A709,1)&lt;&gt;"C"),1,0)</f>
        <v>0</v>
      </c>
    </row>
    <row r="710" customFormat="false" ht="15" hidden="false" customHeight="false" outlineLevel="0" collapsed="false">
      <c r="A710" s="0" t="s">
        <v>845</v>
      </c>
      <c r="B710" s="0" t="s">
        <v>633</v>
      </c>
      <c r="C710" s="0" t="s">
        <v>634</v>
      </c>
      <c r="D710" s="0" t="n">
        <v>12</v>
      </c>
      <c r="E710" s="6" t="n">
        <v>40795.4916666667</v>
      </c>
      <c r="F710" s="0" t="n">
        <v>1.65</v>
      </c>
      <c r="G710" s="0" t="n">
        <v>12637</v>
      </c>
      <c r="H710" s="0" t="s">
        <v>43</v>
      </c>
      <c r="I710" s="7" t="n">
        <f aca="false">IF(AND(LEFT(A710,1)&lt;&gt;"C",D710&gt;0,F710&gt;0),1,0)</f>
        <v>1</v>
      </c>
      <c r="J710" s="7" t="n">
        <f aca="false">IF(I710=1,D710*F710,0)</f>
        <v>19.8</v>
      </c>
      <c r="K710" s="7" t="n">
        <f aca="false">YEAR(E710)*100+MONTH(E710)</f>
        <v>201109</v>
      </c>
      <c r="L710" s="7" t="n">
        <f aca="false">IF(AND(A710&lt;&gt;A709,LEFT(A710,1)&lt;&gt;"C"),1,0)</f>
        <v>0</v>
      </c>
    </row>
    <row r="711" customFormat="false" ht="15" hidden="false" customHeight="false" outlineLevel="0" collapsed="false">
      <c r="A711" s="0" t="s">
        <v>845</v>
      </c>
      <c r="B711" s="0" t="s">
        <v>635</v>
      </c>
      <c r="C711" s="0" t="s">
        <v>636</v>
      </c>
      <c r="D711" s="0" t="n">
        <v>12</v>
      </c>
      <c r="E711" s="6" t="n">
        <v>40795.4916666667</v>
      </c>
      <c r="F711" s="0" t="n">
        <v>1.65</v>
      </c>
      <c r="G711" s="0" t="n">
        <v>12637</v>
      </c>
      <c r="H711" s="0" t="s">
        <v>43</v>
      </c>
      <c r="I711" s="7" t="n">
        <f aca="false">IF(AND(LEFT(A711,1)&lt;&gt;"C",D711&gt;0,F711&gt;0),1,0)</f>
        <v>1</v>
      </c>
      <c r="J711" s="7" t="n">
        <f aca="false">IF(I711=1,D711*F711,0)</f>
        <v>19.8</v>
      </c>
      <c r="K711" s="7" t="n">
        <f aca="false">YEAR(E711)*100+MONTH(E711)</f>
        <v>201109</v>
      </c>
      <c r="L711" s="7" t="n">
        <f aca="false">IF(AND(A711&lt;&gt;A710,LEFT(A711,1)&lt;&gt;"C"),1,0)</f>
        <v>0</v>
      </c>
    </row>
    <row r="712" customFormat="false" ht="15" hidden="false" customHeight="false" outlineLevel="0" collapsed="false">
      <c r="A712" s="0" t="s">
        <v>845</v>
      </c>
      <c r="B712" s="0" t="s">
        <v>333</v>
      </c>
      <c r="C712" s="0" t="s">
        <v>334</v>
      </c>
      <c r="D712" s="0" t="n">
        <v>12</v>
      </c>
      <c r="E712" s="6" t="n">
        <v>40795.4916666667</v>
      </c>
      <c r="F712" s="0" t="n">
        <v>1.65</v>
      </c>
      <c r="G712" s="0" t="n">
        <v>12637</v>
      </c>
      <c r="H712" s="0" t="s">
        <v>43</v>
      </c>
      <c r="I712" s="7" t="n">
        <f aca="false">IF(AND(LEFT(A712,1)&lt;&gt;"C",D712&gt;0,F712&gt;0),1,0)</f>
        <v>1</v>
      </c>
      <c r="J712" s="7" t="n">
        <f aca="false">IF(I712=1,D712*F712,0)</f>
        <v>19.8</v>
      </c>
      <c r="K712" s="7" t="n">
        <f aca="false">YEAR(E712)*100+MONTH(E712)</f>
        <v>201109</v>
      </c>
      <c r="L712" s="7" t="n">
        <f aca="false">IF(AND(A712&lt;&gt;A711,LEFT(A712,1)&lt;&gt;"C"),1,0)</f>
        <v>0</v>
      </c>
    </row>
    <row r="713" customFormat="false" ht="15" hidden="false" customHeight="false" outlineLevel="0" collapsed="false">
      <c r="A713" s="0" t="s">
        <v>845</v>
      </c>
      <c r="B713" s="0" t="s">
        <v>637</v>
      </c>
      <c r="C713" s="0" t="s">
        <v>638</v>
      </c>
      <c r="D713" s="0" t="n">
        <v>10</v>
      </c>
      <c r="E713" s="6" t="n">
        <v>40795.4916666667</v>
      </c>
      <c r="F713" s="0" t="n">
        <v>0.85</v>
      </c>
      <c r="G713" s="0" t="n">
        <v>12637</v>
      </c>
      <c r="H713" s="0" t="s">
        <v>43</v>
      </c>
      <c r="I713" s="7" t="n">
        <f aca="false">IF(AND(LEFT(A713,1)&lt;&gt;"C",D713&gt;0,F713&gt;0),1,0)</f>
        <v>1</v>
      </c>
      <c r="J713" s="7" t="n">
        <f aca="false">IF(I713=1,D713*F713,0)</f>
        <v>8.5</v>
      </c>
      <c r="K713" s="7" t="n">
        <f aca="false">YEAR(E713)*100+MONTH(E713)</f>
        <v>201109</v>
      </c>
      <c r="L713" s="7" t="n">
        <f aca="false">IF(AND(A713&lt;&gt;A712,LEFT(A713,1)&lt;&gt;"C"),1,0)</f>
        <v>0</v>
      </c>
    </row>
    <row r="714" customFormat="false" ht="15" hidden="false" customHeight="false" outlineLevel="0" collapsed="false">
      <c r="A714" s="0" t="s">
        <v>845</v>
      </c>
      <c r="B714" s="0" t="s">
        <v>121</v>
      </c>
      <c r="C714" s="0" t="s">
        <v>122</v>
      </c>
      <c r="D714" s="0" t="n">
        <v>10</v>
      </c>
      <c r="E714" s="6" t="n">
        <v>40795.4916666667</v>
      </c>
      <c r="F714" s="0" t="n">
        <v>1.65</v>
      </c>
      <c r="G714" s="0" t="n">
        <v>12637</v>
      </c>
      <c r="H714" s="0" t="s">
        <v>43</v>
      </c>
      <c r="I714" s="7" t="n">
        <f aca="false">IF(AND(LEFT(A714,1)&lt;&gt;"C",D714&gt;0,F714&gt;0),1,0)</f>
        <v>1</v>
      </c>
      <c r="J714" s="7" t="n">
        <f aca="false">IF(I714=1,D714*F714,0)</f>
        <v>16.5</v>
      </c>
      <c r="K714" s="7" t="n">
        <f aca="false">YEAR(E714)*100+MONTH(E714)</f>
        <v>201109</v>
      </c>
      <c r="L714" s="7" t="n">
        <f aca="false">IF(AND(A714&lt;&gt;A713,LEFT(A714,1)&lt;&gt;"C"),1,0)</f>
        <v>0</v>
      </c>
    </row>
    <row r="715" customFormat="false" ht="15" hidden="false" customHeight="false" outlineLevel="0" collapsed="false">
      <c r="A715" s="0" t="s">
        <v>845</v>
      </c>
      <c r="B715" s="0" t="s">
        <v>639</v>
      </c>
      <c r="C715" s="0" t="s">
        <v>640</v>
      </c>
      <c r="D715" s="0" t="n">
        <v>12</v>
      </c>
      <c r="E715" s="6" t="n">
        <v>40795.4916666667</v>
      </c>
      <c r="F715" s="0" t="n">
        <v>1.65</v>
      </c>
      <c r="G715" s="0" t="n">
        <v>12637</v>
      </c>
      <c r="H715" s="0" t="s">
        <v>43</v>
      </c>
      <c r="I715" s="7" t="n">
        <f aca="false">IF(AND(LEFT(A715,1)&lt;&gt;"C",D715&gt;0,F715&gt;0),1,0)</f>
        <v>1</v>
      </c>
      <c r="J715" s="7" t="n">
        <f aca="false">IF(I715=1,D715*F715,0)</f>
        <v>19.8</v>
      </c>
      <c r="K715" s="7" t="n">
        <f aca="false">YEAR(E715)*100+MONTH(E715)</f>
        <v>201109</v>
      </c>
      <c r="L715" s="7" t="n">
        <f aca="false">IF(AND(A715&lt;&gt;A714,LEFT(A715,1)&lt;&gt;"C"),1,0)</f>
        <v>0</v>
      </c>
    </row>
    <row r="716" customFormat="false" ht="15" hidden="false" customHeight="false" outlineLevel="0" collapsed="false">
      <c r="A716" s="0" t="s">
        <v>845</v>
      </c>
      <c r="B716" s="0" t="s">
        <v>641</v>
      </c>
      <c r="C716" s="0" t="s">
        <v>642</v>
      </c>
      <c r="D716" s="0" t="n">
        <v>12</v>
      </c>
      <c r="E716" s="6" t="n">
        <v>40795.4916666667</v>
      </c>
      <c r="F716" s="0" t="n">
        <v>1.65</v>
      </c>
      <c r="G716" s="0" t="n">
        <v>12637</v>
      </c>
      <c r="H716" s="0" t="s">
        <v>43</v>
      </c>
      <c r="I716" s="7" t="n">
        <f aca="false">IF(AND(LEFT(A716,1)&lt;&gt;"C",D716&gt;0,F716&gt;0),1,0)</f>
        <v>1</v>
      </c>
      <c r="J716" s="7" t="n">
        <f aca="false">IF(I716=1,D716*F716,0)</f>
        <v>19.8</v>
      </c>
      <c r="K716" s="7" t="n">
        <f aca="false">YEAR(E716)*100+MONTH(E716)</f>
        <v>201109</v>
      </c>
      <c r="L716" s="7" t="n">
        <f aca="false">IF(AND(A716&lt;&gt;A715,LEFT(A716,1)&lt;&gt;"C"),1,0)</f>
        <v>0</v>
      </c>
    </row>
    <row r="717" customFormat="false" ht="15" hidden="false" customHeight="false" outlineLevel="0" collapsed="false">
      <c r="A717" s="0" t="s">
        <v>845</v>
      </c>
      <c r="B717" s="0" t="s">
        <v>138</v>
      </c>
      <c r="C717" s="0" t="s">
        <v>139</v>
      </c>
      <c r="D717" s="0" t="n">
        <v>6</v>
      </c>
      <c r="E717" s="6" t="n">
        <v>40795.4916666667</v>
      </c>
      <c r="F717" s="0" t="n">
        <v>2.08</v>
      </c>
      <c r="G717" s="0" t="n">
        <v>12637</v>
      </c>
      <c r="H717" s="0" t="s">
        <v>43</v>
      </c>
      <c r="I717" s="7" t="n">
        <f aca="false">IF(AND(LEFT(A717,1)&lt;&gt;"C",D717&gt;0,F717&gt;0),1,0)</f>
        <v>1</v>
      </c>
      <c r="J717" s="7" t="n">
        <f aca="false">IF(I717=1,D717*F717,0)</f>
        <v>12.48</v>
      </c>
      <c r="K717" s="7" t="n">
        <f aca="false">YEAR(E717)*100+MONTH(E717)</f>
        <v>201109</v>
      </c>
      <c r="L717" s="7" t="n">
        <f aca="false">IF(AND(A717&lt;&gt;A716,LEFT(A717,1)&lt;&gt;"C"),1,0)</f>
        <v>0</v>
      </c>
    </row>
    <row r="718" customFormat="false" ht="15" hidden="false" customHeight="false" outlineLevel="0" collapsed="false">
      <c r="A718" s="0" t="s">
        <v>845</v>
      </c>
      <c r="B718" s="0" t="s">
        <v>171</v>
      </c>
      <c r="C718" s="0" t="s">
        <v>172</v>
      </c>
      <c r="D718" s="0" t="n">
        <v>8</v>
      </c>
      <c r="E718" s="6" t="n">
        <v>40795.4916666667</v>
      </c>
      <c r="F718" s="0" t="n">
        <v>1.25</v>
      </c>
      <c r="G718" s="0" t="n">
        <v>12637</v>
      </c>
      <c r="H718" s="0" t="s">
        <v>43</v>
      </c>
      <c r="I718" s="7" t="n">
        <f aca="false">IF(AND(LEFT(A718,1)&lt;&gt;"C",D718&gt;0,F718&gt;0),1,0)</f>
        <v>1</v>
      </c>
      <c r="J718" s="7" t="n">
        <f aca="false">IF(I718=1,D718*F718,0)</f>
        <v>10</v>
      </c>
      <c r="K718" s="7" t="n">
        <f aca="false">YEAR(E718)*100+MONTH(E718)</f>
        <v>201109</v>
      </c>
      <c r="L718" s="7" t="n">
        <f aca="false">IF(AND(A718&lt;&gt;A717,LEFT(A718,1)&lt;&gt;"C"),1,0)</f>
        <v>0</v>
      </c>
    </row>
    <row r="719" customFormat="false" ht="15" hidden="false" customHeight="false" outlineLevel="0" collapsed="false">
      <c r="A719" s="0" t="s">
        <v>845</v>
      </c>
      <c r="B719" s="0" t="s">
        <v>93</v>
      </c>
      <c r="C719" s="0" t="s">
        <v>94</v>
      </c>
      <c r="D719" s="0" t="n">
        <v>4</v>
      </c>
      <c r="E719" s="6" t="n">
        <v>40795.4916666667</v>
      </c>
      <c r="F719" s="0" t="n">
        <v>4.15</v>
      </c>
      <c r="G719" s="0" t="n">
        <v>12637</v>
      </c>
      <c r="H719" s="0" t="s">
        <v>43</v>
      </c>
      <c r="I719" s="7" t="n">
        <f aca="false">IF(AND(LEFT(A719,1)&lt;&gt;"C",D719&gt;0,F719&gt;0),1,0)</f>
        <v>1</v>
      </c>
      <c r="J719" s="7" t="n">
        <f aca="false">IF(I719=1,D719*F719,0)</f>
        <v>16.6</v>
      </c>
      <c r="K719" s="7" t="n">
        <f aca="false">YEAR(E719)*100+MONTH(E719)</f>
        <v>201109</v>
      </c>
      <c r="L719" s="7" t="n">
        <f aca="false">IF(AND(A719&lt;&gt;A718,LEFT(A719,1)&lt;&gt;"C"),1,0)</f>
        <v>0</v>
      </c>
    </row>
    <row r="720" customFormat="false" ht="15" hidden="false" customHeight="false" outlineLevel="0" collapsed="false">
      <c r="A720" s="0" t="s">
        <v>845</v>
      </c>
      <c r="B720" s="0" t="s">
        <v>643</v>
      </c>
      <c r="C720" s="0" t="s">
        <v>644</v>
      </c>
      <c r="D720" s="0" t="n">
        <v>6</v>
      </c>
      <c r="E720" s="6" t="n">
        <v>40795.4916666667</v>
      </c>
      <c r="F720" s="0" t="n">
        <v>3.75</v>
      </c>
      <c r="G720" s="0" t="n">
        <v>12637</v>
      </c>
      <c r="H720" s="0" t="s">
        <v>43</v>
      </c>
      <c r="I720" s="7" t="n">
        <f aca="false">IF(AND(LEFT(A720,1)&lt;&gt;"C",D720&gt;0,F720&gt;0),1,0)</f>
        <v>1</v>
      </c>
      <c r="J720" s="7" t="n">
        <f aca="false">IF(I720=1,D720*F720,0)</f>
        <v>22.5</v>
      </c>
      <c r="K720" s="7" t="n">
        <f aca="false">YEAR(E720)*100+MONTH(E720)</f>
        <v>201109</v>
      </c>
      <c r="L720" s="7" t="n">
        <f aca="false">IF(AND(A720&lt;&gt;A719,LEFT(A720,1)&lt;&gt;"C"),1,0)</f>
        <v>0</v>
      </c>
    </row>
    <row r="721" customFormat="false" ht="15" hidden="false" customHeight="false" outlineLevel="0" collapsed="false">
      <c r="A721" s="0" t="s">
        <v>845</v>
      </c>
      <c r="B721" s="0" t="s">
        <v>56</v>
      </c>
      <c r="C721" s="0" t="s">
        <v>57</v>
      </c>
      <c r="D721" s="0" t="n">
        <v>10</v>
      </c>
      <c r="E721" s="6" t="n">
        <v>40795.4916666667</v>
      </c>
      <c r="F721" s="0" t="n">
        <v>1.65</v>
      </c>
      <c r="G721" s="0" t="n">
        <v>12637</v>
      </c>
      <c r="H721" s="0" t="s">
        <v>43</v>
      </c>
      <c r="I721" s="7" t="n">
        <f aca="false">IF(AND(LEFT(A721,1)&lt;&gt;"C",D721&gt;0,F721&gt;0),1,0)</f>
        <v>1</v>
      </c>
      <c r="J721" s="7" t="n">
        <f aca="false">IF(I721=1,D721*F721,0)</f>
        <v>16.5</v>
      </c>
      <c r="K721" s="7" t="n">
        <f aca="false">YEAR(E721)*100+MONTH(E721)</f>
        <v>201109</v>
      </c>
      <c r="L721" s="7" t="n">
        <f aca="false">IF(AND(A721&lt;&gt;A720,LEFT(A721,1)&lt;&gt;"C"),1,0)</f>
        <v>0</v>
      </c>
    </row>
    <row r="722" customFormat="false" ht="15" hidden="false" customHeight="false" outlineLevel="0" collapsed="false">
      <c r="A722" s="0" t="s">
        <v>845</v>
      </c>
      <c r="B722" s="0" t="s">
        <v>645</v>
      </c>
      <c r="C722" s="0" t="s">
        <v>646</v>
      </c>
      <c r="D722" s="0" t="n">
        <v>10</v>
      </c>
      <c r="E722" s="6" t="n">
        <v>40795.4916666667</v>
      </c>
      <c r="F722" s="0" t="n">
        <v>2.08</v>
      </c>
      <c r="G722" s="0" t="n">
        <v>12637</v>
      </c>
      <c r="H722" s="0" t="s">
        <v>43</v>
      </c>
      <c r="I722" s="7" t="n">
        <f aca="false">IF(AND(LEFT(A722,1)&lt;&gt;"C",D722&gt;0,F722&gt;0),1,0)</f>
        <v>1</v>
      </c>
      <c r="J722" s="7" t="n">
        <f aca="false">IF(I722=1,D722*F722,0)</f>
        <v>20.8</v>
      </c>
      <c r="K722" s="7" t="n">
        <f aca="false">YEAR(E722)*100+MONTH(E722)</f>
        <v>201109</v>
      </c>
      <c r="L722" s="7" t="n">
        <f aca="false">IF(AND(A722&lt;&gt;A721,LEFT(A722,1)&lt;&gt;"C"),1,0)</f>
        <v>0</v>
      </c>
    </row>
    <row r="723" customFormat="false" ht="15" hidden="false" customHeight="false" outlineLevel="0" collapsed="false">
      <c r="A723" s="0" t="s">
        <v>845</v>
      </c>
      <c r="B723" s="0" t="s">
        <v>647</v>
      </c>
      <c r="C723" s="0" t="s">
        <v>648</v>
      </c>
      <c r="D723" s="0" t="n">
        <v>8</v>
      </c>
      <c r="E723" s="6" t="n">
        <v>40795.4916666667</v>
      </c>
      <c r="F723" s="0" t="n">
        <v>4.25</v>
      </c>
      <c r="G723" s="0" t="n">
        <v>12637</v>
      </c>
      <c r="H723" s="0" t="s">
        <v>43</v>
      </c>
      <c r="I723" s="7" t="n">
        <f aca="false">IF(AND(LEFT(A723,1)&lt;&gt;"C",D723&gt;0,F723&gt;0),1,0)</f>
        <v>1</v>
      </c>
      <c r="J723" s="7" t="n">
        <f aca="false">IF(I723=1,D723*F723,0)</f>
        <v>34</v>
      </c>
      <c r="K723" s="7" t="n">
        <f aca="false">YEAR(E723)*100+MONTH(E723)</f>
        <v>201109</v>
      </c>
      <c r="L723" s="7" t="n">
        <f aca="false">IF(AND(A723&lt;&gt;A722,LEFT(A723,1)&lt;&gt;"C"),1,0)</f>
        <v>0</v>
      </c>
    </row>
    <row r="724" customFormat="false" ht="15" hidden="false" customHeight="false" outlineLevel="0" collapsed="false">
      <c r="A724" s="0" t="s">
        <v>845</v>
      </c>
      <c r="B724" s="0" t="s">
        <v>471</v>
      </c>
      <c r="C724" s="0" t="s">
        <v>472</v>
      </c>
      <c r="D724" s="0" t="n">
        <v>24</v>
      </c>
      <c r="E724" s="6" t="n">
        <v>40795.4916666667</v>
      </c>
      <c r="F724" s="0" t="n">
        <v>1.65</v>
      </c>
      <c r="G724" s="0" t="n">
        <v>12637</v>
      </c>
      <c r="H724" s="0" t="s">
        <v>43</v>
      </c>
      <c r="I724" s="7" t="n">
        <f aca="false">IF(AND(LEFT(A724,1)&lt;&gt;"C",D724&gt;0,F724&gt;0),1,0)</f>
        <v>1</v>
      </c>
      <c r="J724" s="7" t="n">
        <f aca="false">IF(I724=1,D724*F724,0)</f>
        <v>39.6</v>
      </c>
      <c r="K724" s="7" t="n">
        <f aca="false">YEAR(E724)*100+MONTH(E724)</f>
        <v>201109</v>
      </c>
      <c r="L724" s="7" t="n">
        <f aca="false">IF(AND(A724&lt;&gt;A723,LEFT(A724,1)&lt;&gt;"C"),1,0)</f>
        <v>0</v>
      </c>
    </row>
    <row r="725" customFormat="false" ht="15" hidden="false" customHeight="false" outlineLevel="0" collapsed="false">
      <c r="A725" s="0" t="s">
        <v>845</v>
      </c>
      <c r="B725" s="0" t="s">
        <v>76</v>
      </c>
      <c r="C725" s="0" t="s">
        <v>77</v>
      </c>
      <c r="D725" s="0" t="n">
        <v>12</v>
      </c>
      <c r="E725" s="6" t="n">
        <v>40795.4916666667</v>
      </c>
      <c r="F725" s="0" t="n">
        <v>1.95</v>
      </c>
      <c r="G725" s="0" t="n">
        <v>12637</v>
      </c>
      <c r="H725" s="0" t="s">
        <v>43</v>
      </c>
      <c r="I725" s="7" t="n">
        <f aca="false">IF(AND(LEFT(A725,1)&lt;&gt;"C",D725&gt;0,F725&gt;0),1,0)</f>
        <v>1</v>
      </c>
      <c r="J725" s="7" t="n">
        <f aca="false">IF(I725=1,D725*F725,0)</f>
        <v>23.4</v>
      </c>
      <c r="K725" s="7" t="n">
        <f aca="false">YEAR(E725)*100+MONTH(E725)</f>
        <v>201109</v>
      </c>
      <c r="L725" s="7" t="n">
        <f aca="false">IF(AND(A725&lt;&gt;A724,LEFT(A725,1)&lt;&gt;"C"),1,0)</f>
        <v>0</v>
      </c>
    </row>
    <row r="726" customFormat="false" ht="15" hidden="false" customHeight="false" outlineLevel="0" collapsed="false">
      <c r="A726" s="0" t="s">
        <v>845</v>
      </c>
      <c r="B726" s="0" t="s">
        <v>543</v>
      </c>
      <c r="C726" s="0" t="s">
        <v>544</v>
      </c>
      <c r="D726" s="0" t="n">
        <v>24</v>
      </c>
      <c r="E726" s="6" t="n">
        <v>40795.4916666667</v>
      </c>
      <c r="F726" s="0" t="n">
        <v>0.42</v>
      </c>
      <c r="G726" s="0" t="n">
        <v>12637</v>
      </c>
      <c r="H726" s="0" t="s">
        <v>43</v>
      </c>
      <c r="I726" s="7" t="n">
        <f aca="false">IF(AND(LEFT(A726,1)&lt;&gt;"C",D726&gt;0,F726&gt;0),1,0)</f>
        <v>1</v>
      </c>
      <c r="J726" s="7" t="n">
        <f aca="false">IF(I726=1,D726*F726,0)</f>
        <v>10.08</v>
      </c>
      <c r="K726" s="7" t="n">
        <f aca="false">YEAR(E726)*100+MONTH(E726)</f>
        <v>201109</v>
      </c>
      <c r="L726" s="7" t="n">
        <f aca="false">IF(AND(A726&lt;&gt;A725,LEFT(A726,1)&lt;&gt;"C"),1,0)</f>
        <v>0</v>
      </c>
    </row>
    <row r="727" customFormat="false" ht="15" hidden="false" customHeight="false" outlineLevel="0" collapsed="false">
      <c r="A727" s="0" t="s">
        <v>845</v>
      </c>
      <c r="B727" s="0" t="s">
        <v>649</v>
      </c>
      <c r="C727" s="0" t="s">
        <v>650</v>
      </c>
      <c r="D727" s="0" t="n">
        <v>12</v>
      </c>
      <c r="E727" s="6" t="n">
        <v>40795.4916666667</v>
      </c>
      <c r="F727" s="0" t="n">
        <v>0.39</v>
      </c>
      <c r="G727" s="0" t="n">
        <v>12637</v>
      </c>
      <c r="H727" s="0" t="s">
        <v>43</v>
      </c>
      <c r="I727" s="7" t="n">
        <f aca="false">IF(AND(LEFT(A727,1)&lt;&gt;"C",D727&gt;0,F727&gt;0),1,0)</f>
        <v>1</v>
      </c>
      <c r="J727" s="7" t="n">
        <f aca="false">IF(I727=1,D727*F727,0)</f>
        <v>4.68</v>
      </c>
      <c r="K727" s="7" t="n">
        <f aca="false">YEAR(E727)*100+MONTH(E727)</f>
        <v>201109</v>
      </c>
      <c r="L727" s="7" t="n">
        <f aca="false">IF(AND(A727&lt;&gt;A726,LEFT(A727,1)&lt;&gt;"C"),1,0)</f>
        <v>0</v>
      </c>
    </row>
    <row r="728" customFormat="false" ht="15" hidden="false" customHeight="false" outlineLevel="0" collapsed="false">
      <c r="A728" s="0" t="s">
        <v>846</v>
      </c>
      <c r="B728" s="0" t="s">
        <v>847</v>
      </c>
      <c r="C728" s="0" t="s">
        <v>848</v>
      </c>
      <c r="D728" s="0" t="n">
        <v>12</v>
      </c>
      <c r="E728" s="6" t="n">
        <v>40797.4611111111</v>
      </c>
      <c r="F728" s="0" t="n">
        <v>1.45</v>
      </c>
      <c r="G728" s="0" t="n">
        <v>12635</v>
      </c>
      <c r="H728" s="0" t="s">
        <v>33</v>
      </c>
      <c r="I728" s="7" t="n">
        <f aca="false">IF(AND(LEFT(A728,1)&lt;&gt;"C",D728&gt;0,F728&gt;0),1,0)</f>
        <v>1</v>
      </c>
      <c r="J728" s="7" t="n">
        <f aca="false">IF(I728=1,D728*F728,0)</f>
        <v>17.4</v>
      </c>
      <c r="K728" s="7" t="n">
        <f aca="false">YEAR(E728)*100+MONTH(E728)</f>
        <v>201109</v>
      </c>
      <c r="L728" s="7" t="n">
        <f aca="false">IF(AND(A728&lt;&gt;A727,LEFT(A728,1)&lt;&gt;"C"),1,0)</f>
        <v>1</v>
      </c>
    </row>
    <row r="729" customFormat="false" ht="15" hidden="false" customHeight="false" outlineLevel="0" collapsed="false">
      <c r="A729" s="0" t="s">
        <v>846</v>
      </c>
      <c r="B729" s="0" t="s">
        <v>849</v>
      </c>
      <c r="C729" s="0" t="s">
        <v>850</v>
      </c>
      <c r="D729" s="0" t="n">
        <v>12</v>
      </c>
      <c r="E729" s="6" t="n">
        <v>40797.4611111111</v>
      </c>
      <c r="F729" s="0" t="n">
        <v>0.95</v>
      </c>
      <c r="G729" s="0" t="n">
        <v>12635</v>
      </c>
      <c r="H729" s="0" t="s">
        <v>33</v>
      </c>
      <c r="I729" s="7" t="n">
        <f aca="false">IF(AND(LEFT(A729,1)&lt;&gt;"C",D729&gt;0,F729&gt;0),1,0)</f>
        <v>1</v>
      </c>
      <c r="J729" s="7" t="n">
        <f aca="false">IF(I729=1,D729*F729,0)</f>
        <v>11.4</v>
      </c>
      <c r="K729" s="7" t="n">
        <f aca="false">YEAR(E729)*100+MONTH(E729)</f>
        <v>201109</v>
      </c>
      <c r="L729" s="7" t="n">
        <f aca="false">IF(AND(A729&lt;&gt;A728,LEFT(A729,1)&lt;&gt;"C"),1,0)</f>
        <v>0</v>
      </c>
    </row>
    <row r="730" customFormat="false" ht="15" hidden="false" customHeight="false" outlineLevel="0" collapsed="false">
      <c r="A730" s="0" t="s">
        <v>846</v>
      </c>
      <c r="B730" s="0" t="s">
        <v>851</v>
      </c>
      <c r="C730" s="0" t="s">
        <v>852</v>
      </c>
      <c r="D730" s="0" t="n">
        <v>12</v>
      </c>
      <c r="E730" s="6" t="n">
        <v>40797.4611111111</v>
      </c>
      <c r="F730" s="0" t="n">
        <v>0.83</v>
      </c>
      <c r="G730" s="0" t="n">
        <v>12635</v>
      </c>
      <c r="H730" s="0" t="s">
        <v>33</v>
      </c>
      <c r="I730" s="7" t="n">
        <f aca="false">IF(AND(LEFT(A730,1)&lt;&gt;"C",D730&gt;0,F730&gt;0),1,0)</f>
        <v>1</v>
      </c>
      <c r="J730" s="7" t="n">
        <f aca="false">IF(I730=1,D730*F730,0)</f>
        <v>9.96</v>
      </c>
      <c r="K730" s="7" t="n">
        <f aca="false">YEAR(E730)*100+MONTH(E730)</f>
        <v>201109</v>
      </c>
      <c r="L730" s="7" t="n">
        <f aca="false">IF(AND(A730&lt;&gt;A729,LEFT(A730,1)&lt;&gt;"C"),1,0)</f>
        <v>0</v>
      </c>
    </row>
    <row r="731" customFormat="false" ht="15" hidden="false" customHeight="false" outlineLevel="0" collapsed="false">
      <c r="A731" s="0" t="s">
        <v>846</v>
      </c>
      <c r="B731" s="0" t="s">
        <v>853</v>
      </c>
      <c r="C731" s="0" t="s">
        <v>854</v>
      </c>
      <c r="D731" s="0" t="n">
        <v>12</v>
      </c>
      <c r="E731" s="6" t="n">
        <v>40797.4611111111</v>
      </c>
      <c r="F731" s="0" t="n">
        <v>1.65</v>
      </c>
      <c r="G731" s="0" t="n">
        <v>12635</v>
      </c>
      <c r="H731" s="0" t="s">
        <v>33</v>
      </c>
      <c r="I731" s="7" t="n">
        <f aca="false">IF(AND(LEFT(A731,1)&lt;&gt;"C",D731&gt;0,F731&gt;0),1,0)</f>
        <v>1</v>
      </c>
      <c r="J731" s="7" t="n">
        <f aca="false">IF(I731=1,D731*F731,0)</f>
        <v>19.8</v>
      </c>
      <c r="K731" s="7" t="n">
        <f aca="false">YEAR(E731)*100+MONTH(E731)</f>
        <v>201109</v>
      </c>
      <c r="L731" s="7" t="n">
        <f aca="false">IF(AND(A731&lt;&gt;A730,LEFT(A731,1)&lt;&gt;"C"),1,0)</f>
        <v>0</v>
      </c>
    </row>
    <row r="732" customFormat="false" ht="15" hidden="false" customHeight="false" outlineLevel="0" collapsed="false">
      <c r="A732" s="0" t="s">
        <v>846</v>
      </c>
      <c r="B732" s="0" t="s">
        <v>855</v>
      </c>
      <c r="C732" s="0" t="s">
        <v>856</v>
      </c>
      <c r="D732" s="0" t="n">
        <v>12</v>
      </c>
      <c r="E732" s="6" t="n">
        <v>40797.4611111111</v>
      </c>
      <c r="F732" s="0" t="n">
        <v>1.65</v>
      </c>
      <c r="G732" s="0" t="n">
        <v>12635</v>
      </c>
      <c r="H732" s="0" t="s">
        <v>33</v>
      </c>
      <c r="I732" s="7" t="n">
        <f aca="false">IF(AND(LEFT(A732,1)&lt;&gt;"C",D732&gt;0,F732&gt;0),1,0)</f>
        <v>1</v>
      </c>
      <c r="J732" s="7" t="n">
        <f aca="false">IF(I732=1,D732*F732,0)</f>
        <v>19.8</v>
      </c>
      <c r="K732" s="7" t="n">
        <f aca="false">YEAR(E732)*100+MONTH(E732)</f>
        <v>201109</v>
      </c>
      <c r="L732" s="7" t="n">
        <f aca="false">IF(AND(A732&lt;&gt;A731,LEFT(A732,1)&lt;&gt;"C"),1,0)</f>
        <v>0</v>
      </c>
    </row>
    <row r="733" customFormat="false" ht="15" hidden="false" customHeight="false" outlineLevel="0" collapsed="false">
      <c r="A733" s="0" t="s">
        <v>846</v>
      </c>
      <c r="B733" s="0" t="s">
        <v>689</v>
      </c>
      <c r="C733" s="0" t="s">
        <v>690</v>
      </c>
      <c r="D733" s="0" t="n">
        <v>8</v>
      </c>
      <c r="E733" s="6" t="n">
        <v>40797.4611111111</v>
      </c>
      <c r="F733" s="0" t="n">
        <v>1.25</v>
      </c>
      <c r="G733" s="0" t="n">
        <v>12635</v>
      </c>
      <c r="H733" s="0" t="s">
        <v>33</v>
      </c>
      <c r="I733" s="7" t="n">
        <f aca="false">IF(AND(LEFT(A733,1)&lt;&gt;"C",D733&gt;0,F733&gt;0),1,0)</f>
        <v>1</v>
      </c>
      <c r="J733" s="7" t="n">
        <f aca="false">IF(I733=1,D733*F733,0)</f>
        <v>10</v>
      </c>
      <c r="K733" s="7" t="n">
        <f aca="false">YEAR(E733)*100+MONTH(E733)</f>
        <v>201109</v>
      </c>
      <c r="L733" s="7" t="n">
        <f aca="false">IF(AND(A733&lt;&gt;A732,LEFT(A733,1)&lt;&gt;"C"),1,0)</f>
        <v>0</v>
      </c>
    </row>
    <row r="734" customFormat="false" ht="15" hidden="false" customHeight="false" outlineLevel="0" collapsed="false">
      <c r="A734" s="0" t="s">
        <v>846</v>
      </c>
      <c r="B734" s="0" t="s">
        <v>857</v>
      </c>
      <c r="C734" s="0" t="s">
        <v>858</v>
      </c>
      <c r="D734" s="0" t="n">
        <v>8</v>
      </c>
      <c r="E734" s="6" t="n">
        <v>40797.4611111111</v>
      </c>
      <c r="F734" s="0" t="n">
        <v>0.83</v>
      </c>
      <c r="G734" s="0" t="n">
        <v>12635</v>
      </c>
      <c r="H734" s="0" t="s">
        <v>33</v>
      </c>
      <c r="I734" s="7" t="n">
        <f aca="false">IF(AND(LEFT(A734,1)&lt;&gt;"C",D734&gt;0,F734&gt;0),1,0)</f>
        <v>1</v>
      </c>
      <c r="J734" s="7" t="n">
        <f aca="false">IF(I734=1,D734*F734,0)</f>
        <v>6.64</v>
      </c>
      <c r="K734" s="7" t="n">
        <f aca="false">YEAR(E734)*100+MONTH(E734)</f>
        <v>201109</v>
      </c>
      <c r="L734" s="7" t="n">
        <f aca="false">IF(AND(A734&lt;&gt;A733,LEFT(A734,1)&lt;&gt;"C"),1,0)</f>
        <v>0</v>
      </c>
    </row>
    <row r="735" customFormat="false" ht="15" hidden="false" customHeight="false" outlineLevel="0" collapsed="false">
      <c r="A735" s="0" t="s">
        <v>846</v>
      </c>
      <c r="B735" s="0" t="s">
        <v>859</v>
      </c>
      <c r="C735" s="0" t="s">
        <v>860</v>
      </c>
      <c r="D735" s="0" t="n">
        <v>16</v>
      </c>
      <c r="E735" s="6" t="n">
        <v>40797.4611111111</v>
      </c>
      <c r="F735" s="0" t="n">
        <v>1.65</v>
      </c>
      <c r="G735" s="0" t="n">
        <v>12635</v>
      </c>
      <c r="H735" s="0" t="s">
        <v>33</v>
      </c>
      <c r="I735" s="7" t="n">
        <f aca="false">IF(AND(LEFT(A735,1)&lt;&gt;"C",D735&gt;0,F735&gt;0),1,0)</f>
        <v>1</v>
      </c>
      <c r="J735" s="7" t="n">
        <f aca="false">IF(I735=1,D735*F735,0)</f>
        <v>26.4</v>
      </c>
      <c r="K735" s="7" t="n">
        <f aca="false">YEAR(E735)*100+MONTH(E735)</f>
        <v>201109</v>
      </c>
      <c r="L735" s="7" t="n">
        <f aca="false">IF(AND(A735&lt;&gt;A734,LEFT(A735,1)&lt;&gt;"C"),1,0)</f>
        <v>0</v>
      </c>
    </row>
    <row r="736" customFormat="false" ht="15" hidden="false" customHeight="false" outlineLevel="0" collapsed="false">
      <c r="A736" s="0" t="s">
        <v>846</v>
      </c>
      <c r="B736" s="0" t="s">
        <v>861</v>
      </c>
      <c r="C736" s="0" t="s">
        <v>862</v>
      </c>
      <c r="D736" s="0" t="n">
        <v>6</v>
      </c>
      <c r="E736" s="6" t="n">
        <v>40797.4611111111</v>
      </c>
      <c r="F736" s="0" t="n">
        <v>2.55</v>
      </c>
      <c r="G736" s="0" t="n">
        <v>12635</v>
      </c>
      <c r="H736" s="0" t="s">
        <v>33</v>
      </c>
      <c r="I736" s="7" t="n">
        <f aca="false">IF(AND(LEFT(A736,1)&lt;&gt;"C",D736&gt;0,F736&gt;0),1,0)</f>
        <v>1</v>
      </c>
      <c r="J736" s="7" t="n">
        <f aca="false">IF(I736=1,D736*F736,0)</f>
        <v>15.3</v>
      </c>
      <c r="K736" s="7" t="n">
        <f aca="false">YEAR(E736)*100+MONTH(E736)</f>
        <v>201109</v>
      </c>
      <c r="L736" s="7" t="n">
        <f aca="false">IF(AND(A736&lt;&gt;A735,LEFT(A736,1)&lt;&gt;"C"),1,0)</f>
        <v>0</v>
      </c>
    </row>
    <row r="737" customFormat="false" ht="15" hidden="false" customHeight="false" outlineLevel="0" collapsed="false">
      <c r="A737" s="0" t="s">
        <v>846</v>
      </c>
      <c r="B737" s="0" t="s">
        <v>863</v>
      </c>
      <c r="C737" s="0" t="s">
        <v>864</v>
      </c>
      <c r="D737" s="0" t="n">
        <v>48</v>
      </c>
      <c r="E737" s="6" t="n">
        <v>40797.4611111111</v>
      </c>
      <c r="F737" s="0" t="n">
        <v>0.63</v>
      </c>
      <c r="G737" s="0" t="n">
        <v>12635</v>
      </c>
      <c r="H737" s="0" t="s">
        <v>33</v>
      </c>
      <c r="I737" s="7" t="n">
        <f aca="false">IF(AND(LEFT(A737,1)&lt;&gt;"C",D737&gt;0,F737&gt;0),1,0)</f>
        <v>1</v>
      </c>
      <c r="J737" s="7" t="n">
        <f aca="false">IF(I737=1,D737*F737,0)</f>
        <v>30.24</v>
      </c>
      <c r="K737" s="7" t="n">
        <f aca="false">YEAR(E737)*100+MONTH(E737)</f>
        <v>201109</v>
      </c>
      <c r="L737" s="7" t="n">
        <f aca="false">IF(AND(A737&lt;&gt;A736,LEFT(A737,1)&lt;&gt;"C"),1,0)</f>
        <v>0</v>
      </c>
    </row>
    <row r="738" customFormat="false" ht="15" hidden="false" customHeight="false" outlineLevel="0" collapsed="false">
      <c r="A738" s="0" t="s">
        <v>846</v>
      </c>
      <c r="B738" s="0" t="s">
        <v>865</v>
      </c>
      <c r="C738" s="0" t="s">
        <v>866</v>
      </c>
      <c r="D738" s="0" t="n">
        <v>6</v>
      </c>
      <c r="E738" s="6" t="n">
        <v>40797.4611111111</v>
      </c>
      <c r="F738" s="0" t="n">
        <v>2.1</v>
      </c>
      <c r="G738" s="0" t="n">
        <v>12635</v>
      </c>
      <c r="H738" s="0" t="s">
        <v>33</v>
      </c>
      <c r="I738" s="7" t="n">
        <f aca="false">IF(AND(LEFT(A738,1)&lt;&gt;"C",D738&gt;0,F738&gt;0),1,0)</f>
        <v>1</v>
      </c>
      <c r="J738" s="7" t="n">
        <f aca="false">IF(I738=1,D738*F738,0)</f>
        <v>12.6</v>
      </c>
      <c r="K738" s="7" t="n">
        <f aca="false">YEAR(E738)*100+MONTH(E738)</f>
        <v>201109</v>
      </c>
      <c r="L738" s="7" t="n">
        <f aca="false">IF(AND(A738&lt;&gt;A737,LEFT(A738,1)&lt;&gt;"C"),1,0)</f>
        <v>0</v>
      </c>
    </row>
    <row r="739" customFormat="false" ht="15" hidden="false" customHeight="false" outlineLevel="0" collapsed="false">
      <c r="A739" s="0" t="s">
        <v>846</v>
      </c>
      <c r="B739" s="0" t="s">
        <v>867</v>
      </c>
      <c r="C739" s="0" t="s">
        <v>868</v>
      </c>
      <c r="D739" s="0" t="n">
        <v>6</v>
      </c>
      <c r="E739" s="6" t="n">
        <v>40797.4611111111</v>
      </c>
      <c r="F739" s="0" t="n">
        <v>2.95</v>
      </c>
      <c r="G739" s="0" t="n">
        <v>12635</v>
      </c>
      <c r="H739" s="0" t="s">
        <v>33</v>
      </c>
      <c r="I739" s="7" t="n">
        <f aca="false">IF(AND(LEFT(A739,1)&lt;&gt;"C",D739&gt;0,F739&gt;0),1,0)</f>
        <v>1</v>
      </c>
      <c r="J739" s="7" t="n">
        <f aca="false">IF(I739=1,D739*F739,0)</f>
        <v>17.7</v>
      </c>
      <c r="K739" s="7" t="n">
        <f aca="false">YEAR(E739)*100+MONTH(E739)</f>
        <v>201109</v>
      </c>
      <c r="L739" s="7" t="n">
        <f aca="false">IF(AND(A739&lt;&gt;A738,LEFT(A739,1)&lt;&gt;"C"),1,0)</f>
        <v>0</v>
      </c>
    </row>
    <row r="740" customFormat="false" ht="15" hidden="false" customHeight="false" outlineLevel="0" collapsed="false">
      <c r="A740" s="0" t="s">
        <v>846</v>
      </c>
      <c r="B740" s="0" t="s">
        <v>869</v>
      </c>
      <c r="C740" s="0" t="s">
        <v>870</v>
      </c>
      <c r="D740" s="0" t="n">
        <v>12</v>
      </c>
      <c r="E740" s="6" t="n">
        <v>40797.4611111111</v>
      </c>
      <c r="F740" s="0" t="n">
        <v>1.65</v>
      </c>
      <c r="G740" s="0" t="n">
        <v>12635</v>
      </c>
      <c r="H740" s="0" t="s">
        <v>33</v>
      </c>
      <c r="I740" s="7" t="n">
        <f aca="false">IF(AND(LEFT(A740,1)&lt;&gt;"C",D740&gt;0,F740&gt;0),1,0)</f>
        <v>1</v>
      </c>
      <c r="J740" s="7" t="n">
        <f aca="false">IF(I740=1,D740*F740,0)</f>
        <v>19.8</v>
      </c>
      <c r="K740" s="7" t="n">
        <f aca="false">YEAR(E740)*100+MONTH(E740)</f>
        <v>201109</v>
      </c>
      <c r="L740" s="7" t="n">
        <f aca="false">IF(AND(A740&lt;&gt;A739,LEFT(A740,1)&lt;&gt;"C"),1,0)</f>
        <v>0</v>
      </c>
    </row>
    <row r="741" customFormat="false" ht="15" hidden="false" customHeight="false" outlineLevel="0" collapsed="false">
      <c r="A741" s="0" t="s">
        <v>846</v>
      </c>
      <c r="B741" s="0" t="s">
        <v>519</v>
      </c>
      <c r="C741" s="0" t="s">
        <v>520</v>
      </c>
      <c r="D741" s="0" t="n">
        <v>10</v>
      </c>
      <c r="E741" s="6" t="n">
        <v>40797.4611111111</v>
      </c>
      <c r="F741" s="0" t="n">
        <v>2.08</v>
      </c>
      <c r="G741" s="0" t="n">
        <v>12635</v>
      </c>
      <c r="H741" s="0" t="s">
        <v>33</v>
      </c>
      <c r="I741" s="7" t="n">
        <f aca="false">IF(AND(LEFT(A741,1)&lt;&gt;"C",D741&gt;0,F741&gt;0),1,0)</f>
        <v>1</v>
      </c>
      <c r="J741" s="7" t="n">
        <f aca="false">IF(I741=1,D741*F741,0)</f>
        <v>20.8</v>
      </c>
      <c r="K741" s="7" t="n">
        <f aca="false">YEAR(E741)*100+MONTH(E741)</f>
        <v>201109</v>
      </c>
      <c r="L741" s="7" t="n">
        <f aca="false">IF(AND(A741&lt;&gt;A740,LEFT(A741,1)&lt;&gt;"C"),1,0)</f>
        <v>0</v>
      </c>
    </row>
    <row r="742" customFormat="false" ht="15" hidden="false" customHeight="false" outlineLevel="0" collapsed="false">
      <c r="A742" s="0" t="s">
        <v>846</v>
      </c>
      <c r="B742" s="0" t="s">
        <v>374</v>
      </c>
      <c r="C742" s="0" t="s">
        <v>375</v>
      </c>
      <c r="D742" s="0" t="n">
        <v>12</v>
      </c>
      <c r="E742" s="6" t="n">
        <v>40797.4611111111</v>
      </c>
      <c r="F742" s="0" t="n">
        <v>1.25</v>
      </c>
      <c r="G742" s="0" t="n">
        <v>12635</v>
      </c>
      <c r="H742" s="0" t="s">
        <v>33</v>
      </c>
      <c r="I742" s="7" t="n">
        <f aca="false">IF(AND(LEFT(A742,1)&lt;&gt;"C",D742&gt;0,F742&gt;0),1,0)</f>
        <v>1</v>
      </c>
      <c r="J742" s="7" t="n">
        <f aca="false">IF(I742=1,D742*F742,0)</f>
        <v>15</v>
      </c>
      <c r="K742" s="7" t="n">
        <f aca="false">YEAR(E742)*100+MONTH(E742)</f>
        <v>201109</v>
      </c>
      <c r="L742" s="7" t="n">
        <f aca="false">IF(AND(A742&lt;&gt;A741,LEFT(A742,1)&lt;&gt;"C"),1,0)</f>
        <v>0</v>
      </c>
    </row>
    <row r="743" customFormat="false" ht="15" hidden="false" customHeight="false" outlineLevel="0" collapsed="false">
      <c r="A743" s="0" t="s">
        <v>846</v>
      </c>
      <c r="B743" s="0" t="s">
        <v>372</v>
      </c>
      <c r="C743" s="0" t="s">
        <v>373</v>
      </c>
      <c r="D743" s="0" t="n">
        <v>12</v>
      </c>
      <c r="E743" s="6" t="n">
        <v>40797.4611111111</v>
      </c>
      <c r="F743" s="0" t="n">
        <v>1.25</v>
      </c>
      <c r="G743" s="0" t="n">
        <v>12635</v>
      </c>
      <c r="H743" s="0" t="s">
        <v>33</v>
      </c>
      <c r="I743" s="7" t="n">
        <f aca="false">IF(AND(LEFT(A743,1)&lt;&gt;"C",D743&gt;0,F743&gt;0),1,0)</f>
        <v>1</v>
      </c>
      <c r="J743" s="7" t="n">
        <f aca="false">IF(I743=1,D743*F743,0)</f>
        <v>15</v>
      </c>
      <c r="K743" s="7" t="n">
        <f aca="false">YEAR(E743)*100+MONTH(E743)</f>
        <v>201109</v>
      </c>
      <c r="L743" s="7" t="n">
        <f aca="false">IF(AND(A743&lt;&gt;A742,LEFT(A743,1)&lt;&gt;"C"),1,0)</f>
        <v>0</v>
      </c>
    </row>
    <row r="744" customFormat="false" ht="15" hidden="false" customHeight="false" outlineLevel="0" collapsed="false">
      <c r="A744" s="0" t="s">
        <v>846</v>
      </c>
      <c r="B744" s="0" t="s">
        <v>871</v>
      </c>
      <c r="C744" s="0" t="s">
        <v>872</v>
      </c>
      <c r="D744" s="0" t="n">
        <v>12</v>
      </c>
      <c r="E744" s="6" t="n">
        <v>40797.4611111111</v>
      </c>
      <c r="F744" s="0" t="n">
        <v>0.83</v>
      </c>
      <c r="G744" s="0" t="n">
        <v>12635</v>
      </c>
      <c r="H744" s="0" t="s">
        <v>33</v>
      </c>
      <c r="I744" s="7" t="n">
        <f aca="false">IF(AND(LEFT(A744,1)&lt;&gt;"C",D744&gt;0,F744&gt;0),1,0)</f>
        <v>1</v>
      </c>
      <c r="J744" s="7" t="n">
        <f aca="false">IF(I744=1,D744*F744,0)</f>
        <v>9.96</v>
      </c>
      <c r="K744" s="7" t="n">
        <f aca="false">YEAR(E744)*100+MONTH(E744)</f>
        <v>201109</v>
      </c>
      <c r="L744" s="7" t="n">
        <f aca="false">IF(AND(A744&lt;&gt;A743,LEFT(A744,1)&lt;&gt;"C"),1,0)</f>
        <v>0</v>
      </c>
    </row>
    <row r="745" customFormat="false" ht="15" hidden="false" customHeight="false" outlineLevel="0" collapsed="false">
      <c r="A745" s="0" t="s">
        <v>846</v>
      </c>
      <c r="B745" s="0" t="s">
        <v>873</v>
      </c>
      <c r="C745" s="0" t="s">
        <v>874</v>
      </c>
      <c r="D745" s="0" t="n">
        <v>12</v>
      </c>
      <c r="E745" s="6" t="n">
        <v>40797.4611111111</v>
      </c>
      <c r="F745" s="0" t="n">
        <v>0.83</v>
      </c>
      <c r="G745" s="0" t="n">
        <v>12635</v>
      </c>
      <c r="H745" s="0" t="s">
        <v>33</v>
      </c>
      <c r="I745" s="7" t="n">
        <f aca="false">IF(AND(LEFT(A745,1)&lt;&gt;"C",D745&gt;0,F745&gt;0),1,0)</f>
        <v>1</v>
      </c>
      <c r="J745" s="7" t="n">
        <f aca="false">IF(I745=1,D745*F745,0)</f>
        <v>9.96</v>
      </c>
      <c r="K745" s="7" t="n">
        <f aca="false">YEAR(E745)*100+MONTH(E745)</f>
        <v>201109</v>
      </c>
      <c r="L745" s="7" t="n">
        <f aca="false">IF(AND(A745&lt;&gt;A744,LEFT(A745,1)&lt;&gt;"C"),1,0)</f>
        <v>0</v>
      </c>
    </row>
    <row r="746" customFormat="false" ht="15" hidden="false" customHeight="false" outlineLevel="0" collapsed="false">
      <c r="A746" s="0" t="s">
        <v>846</v>
      </c>
      <c r="B746" s="0" t="s">
        <v>875</v>
      </c>
      <c r="C746" s="0" t="s">
        <v>876</v>
      </c>
      <c r="D746" s="0" t="n">
        <v>12</v>
      </c>
      <c r="E746" s="6" t="n">
        <v>40797.4611111111</v>
      </c>
      <c r="F746" s="0" t="n">
        <v>0.83</v>
      </c>
      <c r="G746" s="0" t="n">
        <v>12635</v>
      </c>
      <c r="H746" s="0" t="s">
        <v>33</v>
      </c>
      <c r="I746" s="7" t="n">
        <f aca="false">IF(AND(LEFT(A746,1)&lt;&gt;"C",D746&gt;0,F746&gt;0),1,0)</f>
        <v>1</v>
      </c>
      <c r="J746" s="7" t="n">
        <f aca="false">IF(I746=1,D746*F746,0)</f>
        <v>9.96</v>
      </c>
      <c r="K746" s="7" t="n">
        <f aca="false">YEAR(E746)*100+MONTH(E746)</f>
        <v>201109</v>
      </c>
      <c r="L746" s="7" t="n">
        <f aca="false">IF(AND(A746&lt;&gt;A745,LEFT(A746,1)&lt;&gt;"C"),1,0)</f>
        <v>0</v>
      </c>
    </row>
    <row r="747" customFormat="false" ht="15" hidden="false" customHeight="false" outlineLevel="0" collapsed="false">
      <c r="A747" s="0" t="s">
        <v>846</v>
      </c>
      <c r="B747" s="0" t="s">
        <v>877</v>
      </c>
      <c r="C747" s="0" t="s">
        <v>878</v>
      </c>
      <c r="D747" s="0" t="n">
        <v>12</v>
      </c>
      <c r="E747" s="6" t="n">
        <v>40797.4611111111</v>
      </c>
      <c r="F747" s="0" t="n">
        <v>0.83</v>
      </c>
      <c r="G747" s="0" t="n">
        <v>12635</v>
      </c>
      <c r="H747" s="0" t="s">
        <v>33</v>
      </c>
      <c r="I747" s="7" t="n">
        <f aca="false">IF(AND(LEFT(A747,1)&lt;&gt;"C",D747&gt;0,F747&gt;0),1,0)</f>
        <v>1</v>
      </c>
      <c r="J747" s="7" t="n">
        <f aca="false">IF(I747=1,D747*F747,0)</f>
        <v>9.96</v>
      </c>
      <c r="K747" s="7" t="n">
        <f aca="false">YEAR(E747)*100+MONTH(E747)</f>
        <v>201109</v>
      </c>
      <c r="L747" s="7" t="n">
        <f aca="false">IF(AND(A747&lt;&gt;A746,LEFT(A747,1)&lt;&gt;"C"),1,0)</f>
        <v>0</v>
      </c>
    </row>
    <row r="748" customFormat="false" ht="15" hidden="false" customHeight="false" outlineLevel="0" collapsed="false">
      <c r="A748" s="0" t="s">
        <v>846</v>
      </c>
      <c r="B748" s="0" t="s">
        <v>879</v>
      </c>
      <c r="C748" s="0" t="s">
        <v>880</v>
      </c>
      <c r="D748" s="0" t="n">
        <v>24</v>
      </c>
      <c r="E748" s="6" t="n">
        <v>40797.4611111111</v>
      </c>
      <c r="F748" s="0" t="n">
        <v>0.83</v>
      </c>
      <c r="G748" s="0" t="n">
        <v>12635</v>
      </c>
      <c r="H748" s="0" t="s">
        <v>33</v>
      </c>
      <c r="I748" s="7" t="n">
        <f aca="false">IF(AND(LEFT(A748,1)&lt;&gt;"C",D748&gt;0,F748&gt;0),1,0)</f>
        <v>1</v>
      </c>
      <c r="J748" s="7" t="n">
        <f aca="false">IF(I748=1,D748*F748,0)</f>
        <v>19.92</v>
      </c>
      <c r="K748" s="7" t="n">
        <f aca="false">YEAR(E748)*100+MONTH(E748)</f>
        <v>201109</v>
      </c>
      <c r="L748" s="7" t="n">
        <f aca="false">IF(AND(A748&lt;&gt;A747,LEFT(A748,1)&lt;&gt;"C"),1,0)</f>
        <v>0</v>
      </c>
    </row>
    <row r="749" customFormat="false" ht="15" hidden="false" customHeight="false" outlineLevel="0" collapsed="false">
      <c r="A749" s="0" t="s">
        <v>846</v>
      </c>
      <c r="B749" s="0" t="s">
        <v>369</v>
      </c>
      <c r="C749" s="0" t="s">
        <v>370</v>
      </c>
      <c r="D749" s="0" t="n">
        <v>100</v>
      </c>
      <c r="E749" s="6" t="n">
        <v>40797.4611111111</v>
      </c>
      <c r="F749" s="0" t="n">
        <v>0.04</v>
      </c>
      <c r="G749" s="0" t="n">
        <v>12635</v>
      </c>
      <c r="H749" s="0" t="s">
        <v>33</v>
      </c>
      <c r="I749" s="7" t="n">
        <f aca="false">IF(AND(LEFT(A749,1)&lt;&gt;"C",D749&gt;0,F749&gt;0),1,0)</f>
        <v>1</v>
      </c>
      <c r="J749" s="7" t="n">
        <f aca="false">IF(I749=1,D749*F749,0)</f>
        <v>4</v>
      </c>
      <c r="K749" s="7" t="n">
        <f aca="false">YEAR(E749)*100+MONTH(E749)</f>
        <v>201109</v>
      </c>
      <c r="L749" s="7" t="n">
        <f aca="false">IF(AND(A749&lt;&gt;A748,LEFT(A749,1)&lt;&gt;"C"),1,0)</f>
        <v>0</v>
      </c>
    </row>
    <row r="750" customFormat="false" ht="15" hidden="false" customHeight="false" outlineLevel="0" collapsed="false">
      <c r="A750" s="0" t="s">
        <v>846</v>
      </c>
      <c r="B750" s="0" t="s">
        <v>881</v>
      </c>
      <c r="C750" s="0" t="s">
        <v>882</v>
      </c>
      <c r="D750" s="0" t="n">
        <v>24</v>
      </c>
      <c r="E750" s="6" t="n">
        <v>40797.4611111111</v>
      </c>
      <c r="F750" s="0" t="n">
        <v>0.29</v>
      </c>
      <c r="G750" s="0" t="n">
        <v>12635</v>
      </c>
      <c r="H750" s="0" t="s">
        <v>33</v>
      </c>
      <c r="I750" s="7" t="n">
        <f aca="false">IF(AND(LEFT(A750,1)&lt;&gt;"C",D750&gt;0,F750&gt;0),1,0)</f>
        <v>1</v>
      </c>
      <c r="J750" s="7" t="n">
        <f aca="false">IF(I750=1,D750*F750,0)</f>
        <v>6.96</v>
      </c>
      <c r="K750" s="7" t="n">
        <f aca="false">YEAR(E750)*100+MONTH(E750)</f>
        <v>201109</v>
      </c>
      <c r="L750" s="7" t="n">
        <f aca="false">IF(AND(A750&lt;&gt;A749,LEFT(A750,1)&lt;&gt;"C"),1,0)</f>
        <v>0</v>
      </c>
    </row>
    <row r="751" customFormat="false" ht="15" hidden="false" customHeight="false" outlineLevel="0" collapsed="false">
      <c r="A751" s="0" t="s">
        <v>846</v>
      </c>
      <c r="B751" s="0" t="s">
        <v>883</v>
      </c>
      <c r="C751" s="0" t="s">
        <v>884</v>
      </c>
      <c r="D751" s="0" t="n">
        <v>24</v>
      </c>
      <c r="E751" s="6" t="n">
        <v>40797.4611111111</v>
      </c>
      <c r="F751" s="0" t="n">
        <v>0.12</v>
      </c>
      <c r="G751" s="0" t="n">
        <v>12635</v>
      </c>
      <c r="H751" s="0" t="s">
        <v>33</v>
      </c>
      <c r="I751" s="7" t="n">
        <f aca="false">IF(AND(LEFT(A751,1)&lt;&gt;"C",D751&gt;0,F751&gt;0),1,0)</f>
        <v>1</v>
      </c>
      <c r="J751" s="7" t="n">
        <f aca="false">IF(I751=1,D751*F751,0)</f>
        <v>2.88</v>
      </c>
      <c r="K751" s="7" t="n">
        <f aca="false">YEAR(E751)*100+MONTH(E751)</f>
        <v>201109</v>
      </c>
      <c r="L751" s="7" t="n">
        <f aca="false">IF(AND(A751&lt;&gt;A750,LEFT(A751,1)&lt;&gt;"C"),1,0)</f>
        <v>0</v>
      </c>
    </row>
    <row r="752" customFormat="false" ht="15" hidden="false" customHeight="false" outlineLevel="0" collapsed="false">
      <c r="A752" s="0" t="s">
        <v>846</v>
      </c>
      <c r="B752" s="0" t="s">
        <v>885</v>
      </c>
      <c r="C752" s="0" t="s">
        <v>886</v>
      </c>
      <c r="D752" s="0" t="n">
        <v>24</v>
      </c>
      <c r="E752" s="6" t="n">
        <v>40797.4611111111</v>
      </c>
      <c r="F752" s="0" t="n">
        <v>0.12</v>
      </c>
      <c r="G752" s="0" t="n">
        <v>12635</v>
      </c>
      <c r="H752" s="0" t="s">
        <v>33</v>
      </c>
      <c r="I752" s="7" t="n">
        <f aca="false">IF(AND(LEFT(A752,1)&lt;&gt;"C",D752&gt;0,F752&gt;0),1,0)</f>
        <v>1</v>
      </c>
      <c r="J752" s="7" t="n">
        <f aca="false">IF(I752=1,D752*F752,0)</f>
        <v>2.88</v>
      </c>
      <c r="K752" s="7" t="n">
        <f aca="false">YEAR(E752)*100+MONTH(E752)</f>
        <v>201109</v>
      </c>
      <c r="L752" s="7" t="n">
        <f aca="false">IF(AND(A752&lt;&gt;A751,LEFT(A752,1)&lt;&gt;"C"),1,0)</f>
        <v>0</v>
      </c>
    </row>
    <row r="753" customFormat="false" ht="15" hidden="false" customHeight="false" outlineLevel="0" collapsed="false">
      <c r="A753" s="0" t="s">
        <v>846</v>
      </c>
      <c r="B753" s="0" t="s">
        <v>887</v>
      </c>
      <c r="C753" s="0" t="s">
        <v>888</v>
      </c>
      <c r="D753" s="0" t="n">
        <v>12</v>
      </c>
      <c r="E753" s="6" t="n">
        <v>40797.4611111111</v>
      </c>
      <c r="F753" s="0" t="n">
        <v>0.39</v>
      </c>
      <c r="G753" s="0" t="n">
        <v>12635</v>
      </c>
      <c r="H753" s="0" t="s">
        <v>33</v>
      </c>
      <c r="I753" s="7" t="n">
        <f aca="false">IF(AND(LEFT(A753,1)&lt;&gt;"C",D753&gt;0,F753&gt;0),1,0)</f>
        <v>1</v>
      </c>
      <c r="J753" s="7" t="n">
        <f aca="false">IF(I753=1,D753*F753,0)</f>
        <v>4.68</v>
      </c>
      <c r="K753" s="7" t="n">
        <f aca="false">YEAR(E753)*100+MONTH(E753)</f>
        <v>201109</v>
      </c>
      <c r="L753" s="7" t="n">
        <f aca="false">IF(AND(A753&lt;&gt;A752,LEFT(A753,1)&lt;&gt;"C"),1,0)</f>
        <v>0</v>
      </c>
    </row>
    <row r="754" customFormat="false" ht="15" hidden="false" customHeight="false" outlineLevel="0" collapsed="false">
      <c r="A754" s="0" t="s">
        <v>846</v>
      </c>
      <c r="B754" s="0" t="s">
        <v>889</v>
      </c>
      <c r="C754" s="0" t="s">
        <v>890</v>
      </c>
      <c r="D754" s="0" t="n">
        <v>12</v>
      </c>
      <c r="E754" s="6" t="n">
        <v>40797.4611111111</v>
      </c>
      <c r="F754" s="0" t="n">
        <v>0.83</v>
      </c>
      <c r="G754" s="0" t="n">
        <v>12635</v>
      </c>
      <c r="H754" s="0" t="s">
        <v>33</v>
      </c>
      <c r="I754" s="7" t="n">
        <f aca="false">IF(AND(LEFT(A754,1)&lt;&gt;"C",D754&gt;0,F754&gt;0),1,0)</f>
        <v>1</v>
      </c>
      <c r="J754" s="7" t="n">
        <f aca="false">IF(I754=1,D754*F754,0)</f>
        <v>9.96</v>
      </c>
      <c r="K754" s="7" t="n">
        <f aca="false">YEAR(E754)*100+MONTH(E754)</f>
        <v>201109</v>
      </c>
      <c r="L754" s="7" t="n">
        <f aca="false">IF(AND(A754&lt;&gt;A753,LEFT(A754,1)&lt;&gt;"C"),1,0)</f>
        <v>0</v>
      </c>
    </row>
    <row r="755" customFormat="false" ht="15" hidden="false" customHeight="false" outlineLevel="0" collapsed="false">
      <c r="A755" s="0" t="s">
        <v>846</v>
      </c>
      <c r="B755" s="0" t="s">
        <v>891</v>
      </c>
      <c r="C755" s="0" t="s">
        <v>892</v>
      </c>
      <c r="D755" s="0" t="n">
        <v>24</v>
      </c>
      <c r="E755" s="6" t="n">
        <v>40797.4611111111</v>
      </c>
      <c r="F755" s="0" t="n">
        <v>0.19</v>
      </c>
      <c r="G755" s="0" t="n">
        <v>12635</v>
      </c>
      <c r="H755" s="0" t="s">
        <v>33</v>
      </c>
      <c r="I755" s="7" t="n">
        <f aca="false">IF(AND(LEFT(A755,1)&lt;&gt;"C",D755&gt;0,F755&gt;0),1,0)</f>
        <v>1</v>
      </c>
      <c r="J755" s="7" t="n">
        <f aca="false">IF(I755=1,D755*F755,0)</f>
        <v>4.56</v>
      </c>
      <c r="K755" s="7" t="n">
        <f aca="false">YEAR(E755)*100+MONTH(E755)</f>
        <v>201109</v>
      </c>
      <c r="L755" s="7" t="n">
        <f aca="false">IF(AND(A755&lt;&gt;A754,LEFT(A755,1)&lt;&gt;"C"),1,0)</f>
        <v>0</v>
      </c>
    </row>
    <row r="756" customFormat="false" ht="15" hidden="false" customHeight="false" outlineLevel="0" collapsed="false">
      <c r="A756" s="0" t="s">
        <v>846</v>
      </c>
      <c r="B756" s="0" t="s">
        <v>893</v>
      </c>
      <c r="C756" s="0" t="s">
        <v>894</v>
      </c>
      <c r="D756" s="0" t="n">
        <v>6</v>
      </c>
      <c r="E756" s="6" t="n">
        <v>40797.4611111111</v>
      </c>
      <c r="F756" s="0" t="n">
        <v>2.95</v>
      </c>
      <c r="G756" s="0" t="n">
        <v>12635</v>
      </c>
      <c r="H756" s="0" t="s">
        <v>33</v>
      </c>
      <c r="I756" s="7" t="n">
        <f aca="false">IF(AND(LEFT(A756,1)&lt;&gt;"C",D756&gt;0,F756&gt;0),1,0)</f>
        <v>1</v>
      </c>
      <c r="J756" s="7" t="n">
        <f aca="false">IF(I756=1,D756*F756,0)</f>
        <v>17.7</v>
      </c>
      <c r="K756" s="7" t="n">
        <f aca="false">YEAR(E756)*100+MONTH(E756)</f>
        <v>201109</v>
      </c>
      <c r="L756" s="7" t="n">
        <f aca="false">IF(AND(A756&lt;&gt;A755,LEFT(A756,1)&lt;&gt;"C"),1,0)</f>
        <v>0</v>
      </c>
    </row>
    <row r="757" customFormat="false" ht="15" hidden="false" customHeight="false" outlineLevel="0" collapsed="false">
      <c r="A757" s="0" t="s">
        <v>846</v>
      </c>
      <c r="B757" s="0" t="s">
        <v>895</v>
      </c>
      <c r="C757" s="0" t="s">
        <v>896</v>
      </c>
      <c r="D757" s="0" t="n">
        <v>6</v>
      </c>
      <c r="E757" s="6" t="n">
        <v>40797.4611111111</v>
      </c>
      <c r="F757" s="0" t="n">
        <v>2.89</v>
      </c>
      <c r="G757" s="0" t="n">
        <v>12635</v>
      </c>
      <c r="H757" s="0" t="s">
        <v>33</v>
      </c>
      <c r="I757" s="7" t="n">
        <f aca="false">IF(AND(LEFT(A757,1)&lt;&gt;"C",D757&gt;0,F757&gt;0),1,0)</f>
        <v>1</v>
      </c>
      <c r="J757" s="7" t="n">
        <f aca="false">IF(I757=1,D757*F757,0)</f>
        <v>17.34</v>
      </c>
      <c r="K757" s="7" t="n">
        <f aca="false">YEAR(E757)*100+MONTH(E757)</f>
        <v>201109</v>
      </c>
      <c r="L757" s="7" t="n">
        <f aca="false">IF(AND(A757&lt;&gt;A756,LEFT(A757,1)&lt;&gt;"C"),1,0)</f>
        <v>0</v>
      </c>
    </row>
    <row r="758" customFormat="false" ht="15" hidden="false" customHeight="false" outlineLevel="0" collapsed="false">
      <c r="A758" s="0" t="s">
        <v>846</v>
      </c>
      <c r="B758" s="0" t="s">
        <v>140</v>
      </c>
      <c r="C758" s="0" t="s">
        <v>141</v>
      </c>
      <c r="D758" s="0" t="n">
        <v>12</v>
      </c>
      <c r="E758" s="6" t="n">
        <v>40797.4611111111</v>
      </c>
      <c r="F758" s="0" t="n">
        <v>1.45</v>
      </c>
      <c r="G758" s="0" t="n">
        <v>12635</v>
      </c>
      <c r="H758" s="0" t="s">
        <v>33</v>
      </c>
      <c r="I758" s="7" t="n">
        <f aca="false">IF(AND(LEFT(A758,1)&lt;&gt;"C",D758&gt;0,F758&gt;0),1,0)</f>
        <v>1</v>
      </c>
      <c r="J758" s="7" t="n">
        <f aca="false">IF(I758=1,D758*F758,0)</f>
        <v>17.4</v>
      </c>
      <c r="K758" s="7" t="n">
        <f aca="false">YEAR(E758)*100+MONTH(E758)</f>
        <v>201109</v>
      </c>
      <c r="L758" s="7" t="n">
        <f aca="false">IF(AND(A758&lt;&gt;A757,LEFT(A758,1)&lt;&gt;"C"),1,0)</f>
        <v>0</v>
      </c>
    </row>
    <row r="759" customFormat="false" ht="15" hidden="false" customHeight="false" outlineLevel="0" collapsed="false">
      <c r="A759" s="0" t="s">
        <v>846</v>
      </c>
      <c r="B759" s="0" t="s">
        <v>142</v>
      </c>
      <c r="C759" s="0" t="s">
        <v>143</v>
      </c>
      <c r="D759" s="0" t="n">
        <v>12</v>
      </c>
      <c r="E759" s="6" t="n">
        <v>40797.4611111111</v>
      </c>
      <c r="F759" s="0" t="n">
        <v>1.45</v>
      </c>
      <c r="G759" s="0" t="n">
        <v>12635</v>
      </c>
      <c r="H759" s="0" t="s">
        <v>33</v>
      </c>
      <c r="I759" s="7" t="n">
        <f aca="false">IF(AND(LEFT(A759,1)&lt;&gt;"C",D759&gt;0,F759&gt;0),1,0)</f>
        <v>1</v>
      </c>
      <c r="J759" s="7" t="n">
        <f aca="false">IF(I759=1,D759*F759,0)</f>
        <v>17.4</v>
      </c>
      <c r="K759" s="7" t="n">
        <f aca="false">YEAR(E759)*100+MONTH(E759)</f>
        <v>201109</v>
      </c>
      <c r="L759" s="7" t="n">
        <f aca="false">IF(AND(A759&lt;&gt;A758,LEFT(A759,1)&lt;&gt;"C"),1,0)</f>
        <v>0</v>
      </c>
    </row>
    <row r="760" customFormat="false" ht="15" hidden="false" customHeight="false" outlineLevel="0" collapsed="false">
      <c r="A760" s="0" t="s">
        <v>846</v>
      </c>
      <c r="B760" s="0" t="s">
        <v>897</v>
      </c>
      <c r="C760" s="0" t="s">
        <v>898</v>
      </c>
      <c r="D760" s="0" t="n">
        <v>3</v>
      </c>
      <c r="E760" s="6" t="n">
        <v>40797.4611111111</v>
      </c>
      <c r="F760" s="0" t="n">
        <v>4.95</v>
      </c>
      <c r="G760" s="0" t="n">
        <v>12635</v>
      </c>
      <c r="H760" s="0" t="s">
        <v>33</v>
      </c>
      <c r="I760" s="7" t="n">
        <f aca="false">IF(AND(LEFT(A760,1)&lt;&gt;"C",D760&gt;0,F760&gt;0),1,0)</f>
        <v>1</v>
      </c>
      <c r="J760" s="7" t="n">
        <f aca="false">IF(I760=1,D760*F760,0)</f>
        <v>14.85</v>
      </c>
      <c r="K760" s="7" t="n">
        <f aca="false">YEAR(E760)*100+MONTH(E760)</f>
        <v>201109</v>
      </c>
      <c r="L760" s="7" t="n">
        <f aca="false">IF(AND(A760&lt;&gt;A759,LEFT(A760,1)&lt;&gt;"C"),1,0)</f>
        <v>0</v>
      </c>
    </row>
    <row r="761" customFormat="false" ht="15" hidden="false" customHeight="false" outlineLevel="0" collapsed="false">
      <c r="A761" s="0" t="s">
        <v>846</v>
      </c>
      <c r="B761" s="0" t="s">
        <v>899</v>
      </c>
      <c r="C761" s="0" t="s">
        <v>900</v>
      </c>
      <c r="D761" s="0" t="n">
        <v>12</v>
      </c>
      <c r="E761" s="6" t="n">
        <v>40797.4611111111</v>
      </c>
      <c r="F761" s="0" t="n">
        <v>1.45</v>
      </c>
      <c r="G761" s="0" t="n">
        <v>12635</v>
      </c>
      <c r="H761" s="0" t="s">
        <v>33</v>
      </c>
      <c r="I761" s="7" t="n">
        <f aca="false">IF(AND(LEFT(A761,1)&lt;&gt;"C",D761&gt;0,F761&gt;0),1,0)</f>
        <v>1</v>
      </c>
      <c r="J761" s="7" t="n">
        <f aca="false">IF(I761=1,D761*F761,0)</f>
        <v>17.4</v>
      </c>
      <c r="K761" s="7" t="n">
        <f aca="false">YEAR(E761)*100+MONTH(E761)</f>
        <v>201109</v>
      </c>
      <c r="L761" s="7" t="n">
        <f aca="false">IF(AND(A761&lt;&gt;A760,LEFT(A761,1)&lt;&gt;"C"),1,0)</f>
        <v>0</v>
      </c>
    </row>
    <row r="762" customFormat="false" ht="15" hidden="false" customHeight="false" outlineLevel="0" collapsed="false">
      <c r="A762" s="0" t="s">
        <v>846</v>
      </c>
      <c r="B762" s="0" t="s">
        <v>293</v>
      </c>
      <c r="C762" s="0" t="s">
        <v>294</v>
      </c>
      <c r="D762" s="0" t="n">
        <v>2</v>
      </c>
      <c r="E762" s="6" t="n">
        <v>40797.4611111111</v>
      </c>
      <c r="F762" s="0" t="n">
        <v>8.5</v>
      </c>
      <c r="G762" s="0" t="n">
        <v>12635</v>
      </c>
      <c r="H762" s="0" t="s">
        <v>33</v>
      </c>
      <c r="I762" s="7" t="n">
        <f aca="false">IF(AND(LEFT(A762,1)&lt;&gt;"C",D762&gt;0,F762&gt;0),1,0)</f>
        <v>1</v>
      </c>
      <c r="J762" s="7" t="n">
        <f aca="false">IF(I762=1,D762*F762,0)</f>
        <v>17</v>
      </c>
      <c r="K762" s="7" t="n">
        <f aca="false">YEAR(E762)*100+MONTH(E762)</f>
        <v>201109</v>
      </c>
      <c r="L762" s="7" t="n">
        <f aca="false">IF(AND(A762&lt;&gt;A761,LEFT(A762,1)&lt;&gt;"C"),1,0)</f>
        <v>0</v>
      </c>
    </row>
    <row r="763" customFormat="false" ht="15" hidden="false" customHeight="false" outlineLevel="0" collapsed="false">
      <c r="A763" s="0" t="s">
        <v>846</v>
      </c>
      <c r="B763" s="0" t="s">
        <v>155</v>
      </c>
      <c r="C763" s="0" t="s">
        <v>156</v>
      </c>
      <c r="D763" s="0" t="n">
        <v>1</v>
      </c>
      <c r="E763" s="6" t="n">
        <v>40797.4611111111</v>
      </c>
      <c r="F763" s="0" t="n">
        <v>10.95</v>
      </c>
      <c r="G763" s="0" t="n">
        <v>12635</v>
      </c>
      <c r="H763" s="0" t="s">
        <v>33</v>
      </c>
      <c r="I763" s="7" t="n">
        <f aca="false">IF(AND(LEFT(A763,1)&lt;&gt;"C",D763&gt;0,F763&gt;0),1,0)</f>
        <v>1</v>
      </c>
      <c r="J763" s="7" t="n">
        <f aca="false">IF(I763=1,D763*F763,0)</f>
        <v>10.95</v>
      </c>
      <c r="K763" s="7" t="n">
        <f aca="false">YEAR(E763)*100+MONTH(E763)</f>
        <v>201109</v>
      </c>
      <c r="L763" s="7" t="n">
        <f aca="false">IF(AND(A763&lt;&gt;A762,LEFT(A763,1)&lt;&gt;"C"),1,0)</f>
        <v>0</v>
      </c>
    </row>
    <row r="764" customFormat="false" ht="15" hidden="false" customHeight="false" outlineLevel="0" collapsed="false">
      <c r="A764" s="0" t="s">
        <v>846</v>
      </c>
      <c r="B764" s="0" t="s">
        <v>901</v>
      </c>
      <c r="C764" s="0" t="s">
        <v>902</v>
      </c>
      <c r="D764" s="0" t="n">
        <v>2</v>
      </c>
      <c r="E764" s="6" t="n">
        <v>40797.4611111111</v>
      </c>
      <c r="F764" s="0" t="n">
        <v>9.95</v>
      </c>
      <c r="G764" s="0" t="n">
        <v>12635</v>
      </c>
      <c r="H764" s="0" t="s">
        <v>33</v>
      </c>
      <c r="I764" s="7" t="n">
        <f aca="false">IF(AND(LEFT(A764,1)&lt;&gt;"C",D764&gt;0,F764&gt;0),1,0)</f>
        <v>1</v>
      </c>
      <c r="J764" s="7" t="n">
        <f aca="false">IF(I764=1,D764*F764,0)</f>
        <v>19.9</v>
      </c>
      <c r="K764" s="7" t="n">
        <f aca="false">YEAR(E764)*100+MONTH(E764)</f>
        <v>201109</v>
      </c>
      <c r="L764" s="7" t="n">
        <f aca="false">IF(AND(A764&lt;&gt;A763,LEFT(A764,1)&lt;&gt;"C"),1,0)</f>
        <v>0</v>
      </c>
    </row>
    <row r="765" customFormat="false" ht="15" hidden="false" customHeight="false" outlineLevel="0" collapsed="false">
      <c r="A765" s="0" t="s">
        <v>846</v>
      </c>
      <c r="B765" s="0" t="s">
        <v>301</v>
      </c>
      <c r="C765" s="0" t="s">
        <v>302</v>
      </c>
      <c r="D765" s="0" t="n">
        <v>6</v>
      </c>
      <c r="E765" s="6" t="n">
        <v>40797.4611111111</v>
      </c>
      <c r="F765" s="0" t="n">
        <v>2.55</v>
      </c>
      <c r="G765" s="0" t="n">
        <v>12635</v>
      </c>
      <c r="H765" s="0" t="s">
        <v>33</v>
      </c>
      <c r="I765" s="7" t="n">
        <f aca="false">IF(AND(LEFT(A765,1)&lt;&gt;"C",D765&gt;0,F765&gt;0),1,0)</f>
        <v>1</v>
      </c>
      <c r="J765" s="7" t="n">
        <f aca="false">IF(I765=1,D765*F765,0)</f>
        <v>15.3</v>
      </c>
      <c r="K765" s="7" t="n">
        <f aca="false">YEAR(E765)*100+MONTH(E765)</f>
        <v>201109</v>
      </c>
      <c r="L765" s="7" t="n">
        <f aca="false">IF(AND(A765&lt;&gt;A764,LEFT(A765,1)&lt;&gt;"C"),1,0)</f>
        <v>0</v>
      </c>
    </row>
    <row r="766" customFormat="false" ht="15" hidden="false" customHeight="false" outlineLevel="0" collapsed="false">
      <c r="A766" s="0" t="s">
        <v>846</v>
      </c>
      <c r="B766" s="0" t="s">
        <v>173</v>
      </c>
      <c r="C766" s="0" t="s">
        <v>174</v>
      </c>
      <c r="D766" s="0" t="n">
        <v>8</v>
      </c>
      <c r="E766" s="6" t="n">
        <v>40797.4611111111</v>
      </c>
      <c r="F766" s="0" t="n">
        <v>1.25</v>
      </c>
      <c r="G766" s="0" t="n">
        <v>12635</v>
      </c>
      <c r="H766" s="0" t="s">
        <v>33</v>
      </c>
      <c r="I766" s="7" t="n">
        <f aca="false">IF(AND(LEFT(A766,1)&lt;&gt;"C",D766&gt;0,F766&gt;0),1,0)</f>
        <v>1</v>
      </c>
      <c r="J766" s="7" t="n">
        <f aca="false">IF(I766=1,D766*F766,0)</f>
        <v>10</v>
      </c>
      <c r="K766" s="7" t="n">
        <f aca="false">YEAR(E766)*100+MONTH(E766)</f>
        <v>201109</v>
      </c>
      <c r="L766" s="7" t="n">
        <f aca="false">IF(AND(A766&lt;&gt;A765,LEFT(A766,1)&lt;&gt;"C"),1,0)</f>
        <v>0</v>
      </c>
    </row>
    <row r="767" customFormat="false" ht="15" hidden="false" customHeight="false" outlineLevel="0" collapsed="false">
      <c r="A767" s="0" t="s">
        <v>846</v>
      </c>
      <c r="B767" s="0" t="s">
        <v>93</v>
      </c>
      <c r="C767" s="0" t="s">
        <v>94</v>
      </c>
      <c r="D767" s="0" t="n">
        <v>4</v>
      </c>
      <c r="E767" s="6" t="n">
        <v>40797.4611111111</v>
      </c>
      <c r="F767" s="0" t="n">
        <v>4.15</v>
      </c>
      <c r="G767" s="0" t="n">
        <v>12635</v>
      </c>
      <c r="H767" s="0" t="s">
        <v>33</v>
      </c>
      <c r="I767" s="7" t="n">
        <f aca="false">IF(AND(LEFT(A767,1)&lt;&gt;"C",D767&gt;0,F767&gt;0),1,0)</f>
        <v>1</v>
      </c>
      <c r="J767" s="7" t="n">
        <f aca="false">IF(I767=1,D767*F767,0)</f>
        <v>16.6</v>
      </c>
      <c r="K767" s="7" t="n">
        <f aca="false">YEAR(E767)*100+MONTH(E767)</f>
        <v>201109</v>
      </c>
      <c r="L767" s="7" t="n">
        <f aca="false">IF(AND(A767&lt;&gt;A766,LEFT(A767,1)&lt;&gt;"C"),1,0)</f>
        <v>0</v>
      </c>
    </row>
    <row r="768" customFormat="false" ht="15" hidden="false" customHeight="false" outlineLevel="0" collapsed="false">
      <c r="A768" s="0" t="s">
        <v>846</v>
      </c>
      <c r="B768" s="0" t="s">
        <v>89</v>
      </c>
      <c r="C768" s="0" t="s">
        <v>90</v>
      </c>
      <c r="D768" s="0" t="n">
        <v>4</v>
      </c>
      <c r="E768" s="6" t="n">
        <v>40797.4611111111</v>
      </c>
      <c r="F768" s="0" t="n">
        <v>4.15</v>
      </c>
      <c r="G768" s="0" t="n">
        <v>12635</v>
      </c>
      <c r="H768" s="0" t="s">
        <v>33</v>
      </c>
      <c r="I768" s="7" t="n">
        <f aca="false">IF(AND(LEFT(A768,1)&lt;&gt;"C",D768&gt;0,F768&gt;0),1,0)</f>
        <v>1</v>
      </c>
      <c r="J768" s="7" t="n">
        <f aca="false">IF(I768=1,D768*F768,0)</f>
        <v>16.6</v>
      </c>
      <c r="K768" s="7" t="n">
        <f aca="false">YEAR(E768)*100+MONTH(E768)</f>
        <v>201109</v>
      </c>
      <c r="L768" s="7" t="n">
        <f aca="false">IF(AND(A768&lt;&gt;A767,LEFT(A768,1)&lt;&gt;"C"),1,0)</f>
        <v>0</v>
      </c>
    </row>
    <row r="769" customFormat="false" ht="15" hidden="false" customHeight="false" outlineLevel="0" collapsed="false">
      <c r="A769" s="0" t="s">
        <v>846</v>
      </c>
      <c r="B769" s="0" t="s">
        <v>903</v>
      </c>
      <c r="C769" s="0" t="s">
        <v>904</v>
      </c>
      <c r="D769" s="0" t="n">
        <v>2</v>
      </c>
      <c r="E769" s="6" t="n">
        <v>40797.4611111111</v>
      </c>
      <c r="F769" s="0" t="n">
        <v>9.95</v>
      </c>
      <c r="G769" s="0" t="n">
        <v>12635</v>
      </c>
      <c r="H769" s="0" t="s">
        <v>33</v>
      </c>
      <c r="I769" s="7" t="n">
        <f aca="false">IF(AND(LEFT(A769,1)&lt;&gt;"C",D769&gt;0,F769&gt;0),1,0)</f>
        <v>1</v>
      </c>
      <c r="J769" s="7" t="n">
        <f aca="false">IF(I769=1,D769*F769,0)</f>
        <v>19.9</v>
      </c>
      <c r="K769" s="7" t="n">
        <f aca="false">YEAR(E769)*100+MONTH(E769)</f>
        <v>201109</v>
      </c>
      <c r="L769" s="7" t="n">
        <f aca="false">IF(AND(A769&lt;&gt;A768,LEFT(A769,1)&lt;&gt;"C"),1,0)</f>
        <v>0</v>
      </c>
    </row>
    <row r="770" customFormat="false" ht="15" hidden="false" customHeight="false" outlineLevel="0" collapsed="false">
      <c r="A770" s="0" t="s">
        <v>846</v>
      </c>
      <c r="B770" s="0" t="s">
        <v>428</v>
      </c>
      <c r="C770" s="0" t="s">
        <v>429</v>
      </c>
      <c r="D770" s="0" t="n">
        <v>2</v>
      </c>
      <c r="E770" s="6" t="n">
        <v>40797.4611111111</v>
      </c>
      <c r="F770" s="0" t="n">
        <v>8.25</v>
      </c>
      <c r="G770" s="0" t="n">
        <v>12635</v>
      </c>
      <c r="H770" s="0" t="s">
        <v>33</v>
      </c>
      <c r="I770" s="7" t="n">
        <f aca="false">IF(AND(LEFT(A770,1)&lt;&gt;"C",D770&gt;0,F770&gt;0),1,0)</f>
        <v>1</v>
      </c>
      <c r="J770" s="7" t="n">
        <f aca="false">IF(I770=1,D770*F770,0)</f>
        <v>16.5</v>
      </c>
      <c r="K770" s="7" t="n">
        <f aca="false">YEAR(E770)*100+MONTH(E770)</f>
        <v>201109</v>
      </c>
      <c r="L770" s="7" t="n">
        <f aca="false">IF(AND(A770&lt;&gt;A769,LEFT(A770,1)&lt;&gt;"C"),1,0)</f>
        <v>0</v>
      </c>
    </row>
    <row r="771" customFormat="false" ht="15" hidden="false" customHeight="false" outlineLevel="0" collapsed="false">
      <c r="A771" s="0" t="s">
        <v>846</v>
      </c>
      <c r="B771" s="0" t="s">
        <v>426</v>
      </c>
      <c r="C771" s="0" t="s">
        <v>427</v>
      </c>
      <c r="D771" s="0" t="n">
        <v>2</v>
      </c>
      <c r="E771" s="6" t="n">
        <v>40797.4611111111</v>
      </c>
      <c r="F771" s="0" t="n">
        <v>8.25</v>
      </c>
      <c r="G771" s="0" t="n">
        <v>12635</v>
      </c>
      <c r="H771" s="0" t="s">
        <v>33</v>
      </c>
      <c r="I771" s="7" t="n">
        <f aca="false">IF(AND(LEFT(A771,1)&lt;&gt;"C",D771&gt;0,F771&gt;0),1,0)</f>
        <v>1</v>
      </c>
      <c r="J771" s="7" t="n">
        <f aca="false">IF(I771=1,D771*F771,0)</f>
        <v>16.5</v>
      </c>
      <c r="K771" s="7" t="n">
        <f aca="false">YEAR(E771)*100+MONTH(E771)</f>
        <v>201109</v>
      </c>
      <c r="L771" s="7" t="n">
        <f aca="false">IF(AND(A771&lt;&gt;A770,LEFT(A771,1)&lt;&gt;"C"),1,0)</f>
        <v>0</v>
      </c>
    </row>
    <row r="772" customFormat="false" ht="15" hidden="false" customHeight="false" outlineLevel="0" collapsed="false">
      <c r="A772" s="0" t="s">
        <v>846</v>
      </c>
      <c r="B772" s="0" t="s">
        <v>905</v>
      </c>
      <c r="C772" s="0" t="s">
        <v>906</v>
      </c>
      <c r="D772" s="0" t="n">
        <v>2</v>
      </c>
      <c r="E772" s="6" t="n">
        <v>40797.4611111111</v>
      </c>
      <c r="F772" s="0" t="n">
        <v>8.25</v>
      </c>
      <c r="G772" s="0" t="n">
        <v>12635</v>
      </c>
      <c r="H772" s="0" t="s">
        <v>33</v>
      </c>
      <c r="I772" s="7" t="n">
        <f aca="false">IF(AND(LEFT(A772,1)&lt;&gt;"C",D772&gt;0,F772&gt;0),1,0)</f>
        <v>1</v>
      </c>
      <c r="J772" s="7" t="n">
        <f aca="false">IF(I772=1,D772*F772,0)</f>
        <v>16.5</v>
      </c>
      <c r="K772" s="7" t="n">
        <f aca="false">YEAR(E772)*100+MONTH(E772)</f>
        <v>201109</v>
      </c>
      <c r="L772" s="7" t="n">
        <f aca="false">IF(AND(A772&lt;&gt;A771,LEFT(A772,1)&lt;&gt;"C"),1,0)</f>
        <v>0</v>
      </c>
    </row>
    <row r="773" customFormat="false" ht="15" hidden="false" customHeight="false" outlineLevel="0" collapsed="false">
      <c r="A773" s="0" t="s">
        <v>846</v>
      </c>
      <c r="B773" s="0" t="s">
        <v>641</v>
      </c>
      <c r="C773" s="0" t="s">
        <v>642</v>
      </c>
      <c r="D773" s="0" t="n">
        <v>12</v>
      </c>
      <c r="E773" s="6" t="n">
        <v>40797.4611111111</v>
      </c>
      <c r="F773" s="0" t="n">
        <v>1.65</v>
      </c>
      <c r="G773" s="0" t="n">
        <v>12635</v>
      </c>
      <c r="H773" s="0" t="s">
        <v>33</v>
      </c>
      <c r="I773" s="7" t="n">
        <f aca="false">IF(AND(LEFT(A773,1)&lt;&gt;"C",D773&gt;0,F773&gt;0),1,0)</f>
        <v>1</v>
      </c>
      <c r="J773" s="7" t="n">
        <f aca="false">IF(I773=1,D773*F773,0)</f>
        <v>19.8</v>
      </c>
      <c r="K773" s="7" t="n">
        <f aca="false">YEAR(E773)*100+MONTH(E773)</f>
        <v>201109</v>
      </c>
      <c r="L773" s="7" t="n">
        <f aca="false">IF(AND(A773&lt;&gt;A772,LEFT(A773,1)&lt;&gt;"C"),1,0)</f>
        <v>0</v>
      </c>
    </row>
    <row r="774" customFormat="false" ht="15" hidden="false" customHeight="false" outlineLevel="0" collapsed="false">
      <c r="A774" s="0" t="s">
        <v>846</v>
      </c>
      <c r="B774" s="0" t="s">
        <v>907</v>
      </c>
      <c r="C774" s="0" t="s">
        <v>908</v>
      </c>
      <c r="D774" s="0" t="n">
        <v>12</v>
      </c>
      <c r="E774" s="6" t="n">
        <v>40797.4611111111</v>
      </c>
      <c r="F774" s="0" t="n">
        <v>1.25</v>
      </c>
      <c r="G774" s="0" t="n">
        <v>12635</v>
      </c>
      <c r="H774" s="0" t="s">
        <v>33</v>
      </c>
      <c r="I774" s="7" t="n">
        <f aca="false">IF(AND(LEFT(A774,1)&lt;&gt;"C",D774&gt;0,F774&gt;0),1,0)</f>
        <v>1</v>
      </c>
      <c r="J774" s="7" t="n">
        <f aca="false">IF(I774=1,D774*F774,0)</f>
        <v>15</v>
      </c>
      <c r="K774" s="7" t="n">
        <f aca="false">YEAR(E774)*100+MONTH(E774)</f>
        <v>201109</v>
      </c>
      <c r="L774" s="7" t="n">
        <f aca="false">IF(AND(A774&lt;&gt;A773,LEFT(A774,1)&lt;&gt;"C"),1,0)</f>
        <v>0</v>
      </c>
    </row>
    <row r="775" customFormat="false" ht="15" hidden="false" customHeight="false" outlineLevel="0" collapsed="false">
      <c r="A775" s="0" t="s">
        <v>846</v>
      </c>
      <c r="B775" s="0" t="s">
        <v>400</v>
      </c>
      <c r="C775" s="0" t="s">
        <v>401</v>
      </c>
      <c r="D775" s="0" t="n">
        <v>12</v>
      </c>
      <c r="E775" s="6" t="n">
        <v>40797.4611111111</v>
      </c>
      <c r="F775" s="0" t="n">
        <v>0.85</v>
      </c>
      <c r="G775" s="0" t="n">
        <v>12635</v>
      </c>
      <c r="H775" s="0" t="s">
        <v>33</v>
      </c>
      <c r="I775" s="7" t="n">
        <f aca="false">IF(AND(LEFT(A775,1)&lt;&gt;"C",D775&gt;0,F775&gt;0),1,0)</f>
        <v>1</v>
      </c>
      <c r="J775" s="7" t="n">
        <f aca="false">IF(I775=1,D775*F775,0)</f>
        <v>10.2</v>
      </c>
      <c r="K775" s="7" t="n">
        <f aca="false">YEAR(E775)*100+MONTH(E775)</f>
        <v>201109</v>
      </c>
      <c r="L775" s="7" t="n">
        <f aca="false">IF(AND(A775&lt;&gt;A774,LEFT(A775,1)&lt;&gt;"C"),1,0)</f>
        <v>0</v>
      </c>
    </row>
    <row r="776" customFormat="false" ht="15" hidden="false" customHeight="false" outlineLevel="0" collapsed="false">
      <c r="A776" s="0" t="s">
        <v>846</v>
      </c>
      <c r="B776" s="0" t="s">
        <v>909</v>
      </c>
      <c r="C776" s="0" t="s">
        <v>910</v>
      </c>
      <c r="D776" s="0" t="n">
        <v>12</v>
      </c>
      <c r="E776" s="6" t="n">
        <v>40797.4611111111</v>
      </c>
      <c r="F776" s="0" t="n">
        <v>1.25</v>
      </c>
      <c r="G776" s="0" t="n">
        <v>12635</v>
      </c>
      <c r="H776" s="0" t="s">
        <v>33</v>
      </c>
      <c r="I776" s="7" t="n">
        <f aca="false">IF(AND(LEFT(A776,1)&lt;&gt;"C",D776&gt;0,F776&gt;0),1,0)</f>
        <v>1</v>
      </c>
      <c r="J776" s="7" t="n">
        <f aca="false">IF(I776=1,D776*F776,0)</f>
        <v>15</v>
      </c>
      <c r="K776" s="7" t="n">
        <f aca="false">YEAR(E776)*100+MONTH(E776)</f>
        <v>201109</v>
      </c>
      <c r="L776" s="7" t="n">
        <f aca="false">IF(AND(A776&lt;&gt;A775,LEFT(A776,1)&lt;&gt;"C"),1,0)</f>
        <v>0</v>
      </c>
    </row>
    <row r="777" customFormat="false" ht="15" hidden="false" customHeight="false" outlineLevel="0" collapsed="false">
      <c r="A777" s="0" t="s">
        <v>846</v>
      </c>
      <c r="B777" s="0" t="s">
        <v>382</v>
      </c>
      <c r="C777" s="0" t="s">
        <v>383</v>
      </c>
      <c r="D777" s="0" t="n">
        <v>6</v>
      </c>
      <c r="E777" s="6" t="n">
        <v>40797.4611111111</v>
      </c>
      <c r="F777" s="0" t="n">
        <v>2.95</v>
      </c>
      <c r="G777" s="0" t="n">
        <v>12635</v>
      </c>
      <c r="H777" s="0" t="s">
        <v>33</v>
      </c>
      <c r="I777" s="7" t="n">
        <f aca="false">IF(AND(LEFT(A777,1)&lt;&gt;"C",D777&gt;0,F777&gt;0),1,0)</f>
        <v>1</v>
      </c>
      <c r="J777" s="7" t="n">
        <f aca="false">IF(I777=1,D777*F777,0)</f>
        <v>17.7</v>
      </c>
      <c r="K777" s="7" t="n">
        <f aca="false">YEAR(E777)*100+MONTH(E777)</f>
        <v>201109</v>
      </c>
      <c r="L777" s="7" t="n">
        <f aca="false">IF(AND(A777&lt;&gt;A776,LEFT(A777,1)&lt;&gt;"C"),1,0)</f>
        <v>0</v>
      </c>
    </row>
    <row r="778" customFormat="false" ht="15" hidden="false" customHeight="false" outlineLevel="0" collapsed="false">
      <c r="A778" s="0" t="s">
        <v>846</v>
      </c>
      <c r="B778" s="0" t="s">
        <v>911</v>
      </c>
      <c r="C778" s="0" t="s">
        <v>912</v>
      </c>
      <c r="D778" s="0" t="n">
        <v>12</v>
      </c>
      <c r="E778" s="6" t="n">
        <v>40797.4611111111</v>
      </c>
      <c r="F778" s="0" t="n">
        <v>1.69</v>
      </c>
      <c r="G778" s="0" t="n">
        <v>12635</v>
      </c>
      <c r="H778" s="0" t="s">
        <v>33</v>
      </c>
      <c r="I778" s="7" t="n">
        <f aca="false">IF(AND(LEFT(A778,1)&lt;&gt;"C",D778&gt;0,F778&gt;0),1,0)</f>
        <v>1</v>
      </c>
      <c r="J778" s="7" t="n">
        <f aca="false">IF(I778=1,D778*F778,0)</f>
        <v>20.28</v>
      </c>
      <c r="K778" s="7" t="n">
        <f aca="false">YEAR(E778)*100+MONTH(E778)</f>
        <v>201109</v>
      </c>
      <c r="L778" s="7" t="n">
        <f aca="false">IF(AND(A778&lt;&gt;A777,LEFT(A778,1)&lt;&gt;"C"),1,0)</f>
        <v>0</v>
      </c>
    </row>
    <row r="779" customFormat="false" ht="15" hidden="false" customHeight="false" outlineLevel="0" collapsed="false">
      <c r="A779" s="0" t="s">
        <v>846</v>
      </c>
      <c r="B779" s="0" t="s">
        <v>107</v>
      </c>
      <c r="C779" s="0" t="s">
        <v>108</v>
      </c>
      <c r="D779" s="0" t="n">
        <v>6</v>
      </c>
      <c r="E779" s="6" t="n">
        <v>40797.4611111111</v>
      </c>
      <c r="F779" s="0" t="n">
        <v>2.55</v>
      </c>
      <c r="G779" s="0" t="n">
        <v>12635</v>
      </c>
      <c r="H779" s="0" t="s">
        <v>33</v>
      </c>
      <c r="I779" s="7" t="n">
        <f aca="false">IF(AND(LEFT(A779,1)&lt;&gt;"C",D779&gt;0,F779&gt;0),1,0)</f>
        <v>1</v>
      </c>
      <c r="J779" s="7" t="n">
        <f aca="false">IF(I779=1,D779*F779,0)</f>
        <v>15.3</v>
      </c>
      <c r="K779" s="7" t="n">
        <f aca="false">YEAR(E779)*100+MONTH(E779)</f>
        <v>201109</v>
      </c>
      <c r="L779" s="7" t="n">
        <f aca="false">IF(AND(A779&lt;&gt;A778,LEFT(A779,1)&lt;&gt;"C"),1,0)</f>
        <v>0</v>
      </c>
    </row>
    <row r="780" customFormat="false" ht="15" hidden="false" customHeight="false" outlineLevel="0" collapsed="false">
      <c r="A780" s="0" t="s">
        <v>846</v>
      </c>
      <c r="B780" s="0" t="s">
        <v>913</v>
      </c>
      <c r="C780" s="0" t="s">
        <v>914</v>
      </c>
      <c r="D780" s="0" t="n">
        <v>16</v>
      </c>
      <c r="E780" s="6" t="n">
        <v>40797.4611111111</v>
      </c>
      <c r="F780" s="0" t="n">
        <v>0.65</v>
      </c>
      <c r="G780" s="0" t="n">
        <v>12635</v>
      </c>
      <c r="H780" s="0" t="s">
        <v>33</v>
      </c>
      <c r="I780" s="7" t="n">
        <f aca="false">IF(AND(LEFT(A780,1)&lt;&gt;"C",D780&gt;0,F780&gt;0),1,0)</f>
        <v>1</v>
      </c>
      <c r="J780" s="7" t="n">
        <f aca="false">IF(I780=1,D780*F780,0)</f>
        <v>10.4</v>
      </c>
      <c r="K780" s="7" t="n">
        <f aca="false">YEAR(E780)*100+MONTH(E780)</f>
        <v>201109</v>
      </c>
      <c r="L780" s="7" t="n">
        <f aca="false">IF(AND(A780&lt;&gt;A779,LEFT(A780,1)&lt;&gt;"C"),1,0)</f>
        <v>0</v>
      </c>
    </row>
    <row r="781" customFormat="false" ht="15" hidden="false" customHeight="false" outlineLevel="0" collapsed="false">
      <c r="A781" s="0" t="s">
        <v>846</v>
      </c>
      <c r="B781" s="0" t="s">
        <v>915</v>
      </c>
      <c r="C781" s="0" t="s">
        <v>916</v>
      </c>
      <c r="D781" s="0" t="n">
        <v>12</v>
      </c>
      <c r="E781" s="6" t="n">
        <v>40797.4611111111</v>
      </c>
      <c r="F781" s="0" t="n">
        <v>0.65</v>
      </c>
      <c r="G781" s="0" t="n">
        <v>12635</v>
      </c>
      <c r="H781" s="0" t="s">
        <v>33</v>
      </c>
      <c r="I781" s="7" t="n">
        <f aca="false">IF(AND(LEFT(A781,1)&lt;&gt;"C",D781&gt;0,F781&gt;0),1,0)</f>
        <v>1</v>
      </c>
      <c r="J781" s="7" t="n">
        <f aca="false">IF(I781=1,D781*F781,0)</f>
        <v>7.8</v>
      </c>
      <c r="K781" s="7" t="n">
        <f aca="false">YEAR(E781)*100+MONTH(E781)</f>
        <v>201109</v>
      </c>
      <c r="L781" s="7" t="n">
        <f aca="false">IF(AND(A781&lt;&gt;A780,LEFT(A781,1)&lt;&gt;"C"),1,0)</f>
        <v>0</v>
      </c>
    </row>
    <row r="782" customFormat="false" ht="15" hidden="false" customHeight="false" outlineLevel="0" collapsed="false">
      <c r="A782" s="0" t="s">
        <v>846</v>
      </c>
      <c r="B782" s="0" t="s">
        <v>917</v>
      </c>
      <c r="C782" s="0" t="s">
        <v>918</v>
      </c>
      <c r="D782" s="0" t="n">
        <v>12</v>
      </c>
      <c r="E782" s="6" t="n">
        <v>40797.4611111111</v>
      </c>
      <c r="F782" s="0" t="n">
        <v>0.65</v>
      </c>
      <c r="G782" s="0" t="n">
        <v>12635</v>
      </c>
      <c r="H782" s="0" t="s">
        <v>33</v>
      </c>
      <c r="I782" s="7" t="n">
        <f aca="false">IF(AND(LEFT(A782,1)&lt;&gt;"C",D782&gt;0,F782&gt;0),1,0)</f>
        <v>1</v>
      </c>
      <c r="J782" s="7" t="n">
        <f aca="false">IF(I782=1,D782*F782,0)</f>
        <v>7.8</v>
      </c>
      <c r="K782" s="7" t="n">
        <f aca="false">YEAR(E782)*100+MONTH(E782)</f>
        <v>201109</v>
      </c>
      <c r="L782" s="7" t="n">
        <f aca="false">IF(AND(A782&lt;&gt;A781,LEFT(A782,1)&lt;&gt;"C"),1,0)</f>
        <v>0</v>
      </c>
    </row>
    <row r="783" customFormat="false" ht="15" hidden="false" customHeight="false" outlineLevel="0" collapsed="false">
      <c r="A783" s="0" t="s">
        <v>846</v>
      </c>
      <c r="B783" s="0" t="s">
        <v>919</v>
      </c>
      <c r="C783" s="0" t="s">
        <v>920</v>
      </c>
      <c r="D783" s="0" t="n">
        <v>16</v>
      </c>
      <c r="E783" s="6" t="n">
        <v>40797.4611111111</v>
      </c>
      <c r="F783" s="0" t="n">
        <v>1.25</v>
      </c>
      <c r="G783" s="0" t="n">
        <v>12635</v>
      </c>
      <c r="H783" s="0" t="s">
        <v>33</v>
      </c>
      <c r="I783" s="7" t="n">
        <f aca="false">IF(AND(LEFT(A783,1)&lt;&gt;"C",D783&gt;0,F783&gt;0),1,0)</f>
        <v>1</v>
      </c>
      <c r="J783" s="7" t="n">
        <f aca="false">IF(I783=1,D783*F783,0)</f>
        <v>20</v>
      </c>
      <c r="K783" s="7" t="n">
        <f aca="false">YEAR(E783)*100+MONTH(E783)</f>
        <v>201109</v>
      </c>
      <c r="L783" s="7" t="n">
        <f aca="false">IF(AND(A783&lt;&gt;A782,LEFT(A783,1)&lt;&gt;"C"),1,0)</f>
        <v>0</v>
      </c>
    </row>
    <row r="784" customFormat="false" ht="15" hidden="false" customHeight="false" outlineLevel="0" collapsed="false">
      <c r="A784" s="0" t="s">
        <v>846</v>
      </c>
      <c r="B784" s="0" t="s">
        <v>921</v>
      </c>
      <c r="C784" s="0" t="s">
        <v>922</v>
      </c>
      <c r="D784" s="0" t="n">
        <v>16</v>
      </c>
      <c r="E784" s="6" t="n">
        <v>40797.4611111111</v>
      </c>
      <c r="F784" s="0" t="n">
        <v>1.25</v>
      </c>
      <c r="G784" s="0" t="n">
        <v>12635</v>
      </c>
      <c r="H784" s="0" t="s">
        <v>33</v>
      </c>
      <c r="I784" s="7" t="n">
        <f aca="false">IF(AND(LEFT(A784,1)&lt;&gt;"C",D784&gt;0,F784&gt;0),1,0)</f>
        <v>1</v>
      </c>
      <c r="J784" s="7" t="n">
        <f aca="false">IF(I784=1,D784*F784,0)</f>
        <v>20</v>
      </c>
      <c r="K784" s="7" t="n">
        <f aca="false">YEAR(E784)*100+MONTH(E784)</f>
        <v>201109</v>
      </c>
      <c r="L784" s="7" t="n">
        <f aca="false">IF(AND(A784&lt;&gt;A783,LEFT(A784,1)&lt;&gt;"C"),1,0)</f>
        <v>0</v>
      </c>
    </row>
    <row r="785" customFormat="false" ht="15" hidden="false" customHeight="false" outlineLevel="0" collapsed="false">
      <c r="A785" s="0" t="s">
        <v>846</v>
      </c>
      <c r="B785" s="0" t="s">
        <v>625</v>
      </c>
      <c r="C785" s="0" t="s">
        <v>626</v>
      </c>
      <c r="D785" s="0" t="n">
        <v>10</v>
      </c>
      <c r="E785" s="6" t="n">
        <v>40797.4611111111</v>
      </c>
      <c r="F785" s="0" t="n">
        <v>2.08</v>
      </c>
      <c r="G785" s="0" t="n">
        <v>12635</v>
      </c>
      <c r="H785" s="0" t="s">
        <v>33</v>
      </c>
      <c r="I785" s="7" t="n">
        <f aca="false">IF(AND(LEFT(A785,1)&lt;&gt;"C",D785&gt;0,F785&gt;0),1,0)</f>
        <v>1</v>
      </c>
      <c r="J785" s="7" t="n">
        <f aca="false">IF(I785=1,D785*F785,0)</f>
        <v>20.8</v>
      </c>
      <c r="K785" s="7" t="n">
        <f aca="false">YEAR(E785)*100+MONTH(E785)</f>
        <v>201109</v>
      </c>
      <c r="L785" s="7" t="n">
        <f aca="false">IF(AND(A785&lt;&gt;A784,LEFT(A785,1)&lt;&gt;"C"),1,0)</f>
        <v>0</v>
      </c>
    </row>
    <row r="786" customFormat="false" ht="15" hidden="false" customHeight="false" outlineLevel="0" collapsed="false">
      <c r="A786" s="0" t="s">
        <v>846</v>
      </c>
      <c r="B786" s="0" t="s">
        <v>537</v>
      </c>
      <c r="C786" s="0" t="s">
        <v>538</v>
      </c>
      <c r="D786" s="0" t="n">
        <v>6</v>
      </c>
      <c r="E786" s="6" t="n">
        <v>40797.4611111111</v>
      </c>
      <c r="F786" s="0" t="n">
        <v>4.15</v>
      </c>
      <c r="G786" s="0" t="n">
        <v>12635</v>
      </c>
      <c r="H786" s="0" t="s">
        <v>33</v>
      </c>
      <c r="I786" s="7" t="n">
        <f aca="false">IF(AND(LEFT(A786,1)&lt;&gt;"C",D786&gt;0,F786&gt;0),1,0)</f>
        <v>1</v>
      </c>
      <c r="J786" s="7" t="n">
        <f aca="false">IF(I786=1,D786*F786,0)</f>
        <v>24.9</v>
      </c>
      <c r="K786" s="7" t="n">
        <f aca="false">YEAR(E786)*100+MONTH(E786)</f>
        <v>201109</v>
      </c>
      <c r="L786" s="7" t="n">
        <f aca="false">IF(AND(A786&lt;&gt;A785,LEFT(A786,1)&lt;&gt;"C"),1,0)</f>
        <v>0</v>
      </c>
    </row>
    <row r="787" customFormat="false" ht="15" hidden="false" customHeight="false" outlineLevel="0" collapsed="false">
      <c r="A787" s="0" t="s">
        <v>846</v>
      </c>
      <c r="B787" s="0" t="s">
        <v>103</v>
      </c>
      <c r="C787" s="0" t="s">
        <v>104</v>
      </c>
      <c r="D787" s="0" t="n">
        <v>24</v>
      </c>
      <c r="E787" s="6" t="n">
        <v>40797.4611111111</v>
      </c>
      <c r="F787" s="0" t="n">
        <v>0.55</v>
      </c>
      <c r="G787" s="0" t="n">
        <v>12635</v>
      </c>
      <c r="H787" s="0" t="s">
        <v>33</v>
      </c>
      <c r="I787" s="7" t="n">
        <f aca="false">IF(AND(LEFT(A787,1)&lt;&gt;"C",D787&gt;0,F787&gt;0),1,0)</f>
        <v>1</v>
      </c>
      <c r="J787" s="7" t="n">
        <f aca="false">IF(I787=1,D787*F787,0)</f>
        <v>13.2</v>
      </c>
      <c r="K787" s="7" t="n">
        <f aca="false">YEAR(E787)*100+MONTH(E787)</f>
        <v>201109</v>
      </c>
      <c r="L787" s="7" t="n">
        <f aca="false">IF(AND(A787&lt;&gt;A786,LEFT(A787,1)&lt;&gt;"C"),1,0)</f>
        <v>0</v>
      </c>
    </row>
    <row r="788" customFormat="false" ht="15" hidden="false" customHeight="false" outlineLevel="0" collapsed="false">
      <c r="A788" s="0" t="s">
        <v>846</v>
      </c>
      <c r="B788" s="0" t="s">
        <v>84</v>
      </c>
      <c r="C788" s="0" t="s">
        <v>85</v>
      </c>
      <c r="D788" s="0" t="n">
        <v>7</v>
      </c>
      <c r="E788" s="6" t="n">
        <v>40797.4611111111</v>
      </c>
      <c r="F788" s="0" t="n">
        <v>18</v>
      </c>
      <c r="G788" s="0" t="n">
        <v>12635</v>
      </c>
      <c r="H788" s="0" t="s">
        <v>33</v>
      </c>
      <c r="I788" s="7" t="n">
        <f aca="false">IF(AND(LEFT(A788,1)&lt;&gt;"C",D788&gt;0,F788&gt;0),1,0)</f>
        <v>1</v>
      </c>
      <c r="J788" s="7" t="n">
        <f aca="false">IF(I788=1,D788*F788,0)</f>
        <v>126</v>
      </c>
      <c r="K788" s="7" t="n">
        <f aca="false">YEAR(E788)*100+MONTH(E788)</f>
        <v>201109</v>
      </c>
      <c r="L788" s="7" t="n">
        <f aca="false">IF(AND(A788&lt;&gt;A787,LEFT(A788,1)&lt;&gt;"C"),1,0)</f>
        <v>0</v>
      </c>
    </row>
    <row r="789" customFormat="false" ht="15" hidden="false" customHeight="false" outlineLevel="0" collapsed="false">
      <c r="A789" s="0" t="s">
        <v>923</v>
      </c>
      <c r="B789" s="0" t="s">
        <v>322</v>
      </c>
      <c r="C789" s="0" t="s">
        <v>323</v>
      </c>
      <c r="D789" s="0" t="n">
        <v>4</v>
      </c>
      <c r="E789" s="6" t="n">
        <v>40797.51875</v>
      </c>
      <c r="F789" s="0" t="n">
        <v>3.75</v>
      </c>
      <c r="G789" s="0" t="n">
        <v>12680</v>
      </c>
      <c r="H789" s="0" t="s">
        <v>43</v>
      </c>
      <c r="I789" s="7" t="n">
        <f aca="false">IF(AND(LEFT(A789,1)&lt;&gt;"C",D789&gt;0,F789&gt;0),1,0)</f>
        <v>1</v>
      </c>
      <c r="J789" s="7" t="n">
        <f aca="false">IF(I789=1,D789*F789,0)</f>
        <v>15</v>
      </c>
      <c r="K789" s="7" t="n">
        <f aca="false">YEAR(E789)*100+MONTH(E789)</f>
        <v>201109</v>
      </c>
      <c r="L789" s="7" t="n">
        <f aca="false">IF(AND(A789&lt;&gt;A788,LEFT(A789,1)&lt;&gt;"C"),1,0)</f>
        <v>1</v>
      </c>
    </row>
    <row r="790" customFormat="false" ht="15" hidden="false" customHeight="false" outlineLevel="0" collapsed="false">
      <c r="A790" s="0" t="s">
        <v>923</v>
      </c>
      <c r="B790" s="0" t="s">
        <v>318</v>
      </c>
      <c r="C790" s="0" t="s">
        <v>319</v>
      </c>
      <c r="D790" s="0" t="n">
        <v>4</v>
      </c>
      <c r="E790" s="6" t="n">
        <v>40797.51875</v>
      </c>
      <c r="F790" s="0" t="n">
        <v>3.75</v>
      </c>
      <c r="G790" s="0" t="n">
        <v>12680</v>
      </c>
      <c r="H790" s="0" t="s">
        <v>43</v>
      </c>
      <c r="I790" s="7" t="n">
        <f aca="false">IF(AND(LEFT(A790,1)&lt;&gt;"C",D790&gt;0,F790&gt;0),1,0)</f>
        <v>1</v>
      </c>
      <c r="J790" s="7" t="n">
        <f aca="false">IF(I790=1,D790*F790,0)</f>
        <v>15</v>
      </c>
      <c r="K790" s="7" t="n">
        <f aca="false">YEAR(E790)*100+MONTH(E790)</f>
        <v>201109</v>
      </c>
      <c r="L790" s="7" t="n">
        <f aca="false">IF(AND(A790&lt;&gt;A789,LEFT(A790,1)&lt;&gt;"C"),1,0)</f>
        <v>0</v>
      </c>
    </row>
    <row r="791" customFormat="false" ht="15" hidden="false" customHeight="false" outlineLevel="0" collapsed="false">
      <c r="A791" s="0" t="s">
        <v>923</v>
      </c>
      <c r="B791" s="0" t="s">
        <v>133</v>
      </c>
      <c r="C791" s="0" t="s">
        <v>134</v>
      </c>
      <c r="D791" s="0" t="n">
        <v>6</v>
      </c>
      <c r="E791" s="6" t="n">
        <v>40797.51875</v>
      </c>
      <c r="F791" s="0" t="n">
        <v>3.25</v>
      </c>
      <c r="G791" s="0" t="n">
        <v>12680</v>
      </c>
      <c r="H791" s="0" t="s">
        <v>43</v>
      </c>
      <c r="I791" s="7" t="n">
        <f aca="false">IF(AND(LEFT(A791,1)&lt;&gt;"C",D791&gt;0,F791&gt;0),1,0)</f>
        <v>1</v>
      </c>
      <c r="J791" s="7" t="n">
        <f aca="false">IF(I791=1,D791*F791,0)</f>
        <v>19.5</v>
      </c>
      <c r="K791" s="7" t="n">
        <f aca="false">YEAR(E791)*100+MONTH(E791)</f>
        <v>201109</v>
      </c>
      <c r="L791" s="7" t="n">
        <f aca="false">IF(AND(A791&lt;&gt;A790,LEFT(A791,1)&lt;&gt;"C"),1,0)</f>
        <v>0</v>
      </c>
    </row>
    <row r="792" customFormat="false" ht="15" hidden="false" customHeight="false" outlineLevel="0" collapsed="false">
      <c r="A792" s="0" t="s">
        <v>923</v>
      </c>
      <c r="B792" s="0" t="s">
        <v>924</v>
      </c>
      <c r="C792" s="0" t="s">
        <v>925</v>
      </c>
      <c r="D792" s="0" t="n">
        <v>4</v>
      </c>
      <c r="E792" s="6" t="n">
        <v>40797.51875</v>
      </c>
      <c r="F792" s="0" t="n">
        <v>3.75</v>
      </c>
      <c r="G792" s="0" t="n">
        <v>12680</v>
      </c>
      <c r="H792" s="0" t="s">
        <v>43</v>
      </c>
      <c r="I792" s="7" t="n">
        <f aca="false">IF(AND(LEFT(A792,1)&lt;&gt;"C",D792&gt;0,F792&gt;0),1,0)</f>
        <v>1</v>
      </c>
      <c r="J792" s="7" t="n">
        <f aca="false">IF(I792=1,D792*F792,0)</f>
        <v>15</v>
      </c>
      <c r="K792" s="7" t="n">
        <f aca="false">YEAR(E792)*100+MONTH(E792)</f>
        <v>201109</v>
      </c>
      <c r="L792" s="7" t="n">
        <f aca="false">IF(AND(A792&lt;&gt;A791,LEFT(A792,1)&lt;&gt;"C"),1,0)</f>
        <v>0</v>
      </c>
    </row>
    <row r="793" customFormat="false" ht="15" hidden="false" customHeight="false" outlineLevel="0" collapsed="false">
      <c r="A793" s="0" t="s">
        <v>923</v>
      </c>
      <c r="B793" s="0" t="s">
        <v>153</v>
      </c>
      <c r="C793" s="0" t="s">
        <v>154</v>
      </c>
      <c r="D793" s="0" t="n">
        <v>12</v>
      </c>
      <c r="E793" s="6" t="n">
        <v>40797.51875</v>
      </c>
      <c r="F793" s="0" t="n">
        <v>0.39</v>
      </c>
      <c r="G793" s="0" t="n">
        <v>12680</v>
      </c>
      <c r="H793" s="0" t="s">
        <v>43</v>
      </c>
      <c r="I793" s="7" t="n">
        <f aca="false">IF(AND(LEFT(A793,1)&lt;&gt;"C",D793&gt;0,F793&gt;0),1,0)</f>
        <v>1</v>
      </c>
      <c r="J793" s="7" t="n">
        <f aca="false">IF(I793=1,D793*F793,0)</f>
        <v>4.68</v>
      </c>
      <c r="K793" s="7" t="n">
        <f aca="false">YEAR(E793)*100+MONTH(E793)</f>
        <v>201109</v>
      </c>
      <c r="L793" s="7" t="n">
        <f aca="false">IF(AND(A793&lt;&gt;A792,LEFT(A793,1)&lt;&gt;"C"),1,0)</f>
        <v>0</v>
      </c>
    </row>
    <row r="794" customFormat="false" ht="15" hidden="false" customHeight="false" outlineLevel="0" collapsed="false">
      <c r="A794" s="0" t="s">
        <v>923</v>
      </c>
      <c r="B794" s="0" t="s">
        <v>926</v>
      </c>
      <c r="C794" s="0" t="s">
        <v>927</v>
      </c>
      <c r="D794" s="0" t="n">
        <v>12</v>
      </c>
      <c r="E794" s="6" t="n">
        <v>40797.51875</v>
      </c>
      <c r="F794" s="0" t="n">
        <v>2.1</v>
      </c>
      <c r="G794" s="0" t="n">
        <v>12680</v>
      </c>
      <c r="H794" s="0" t="s">
        <v>43</v>
      </c>
      <c r="I794" s="7" t="n">
        <f aca="false">IF(AND(LEFT(A794,1)&lt;&gt;"C",D794&gt;0,F794&gt;0),1,0)</f>
        <v>1</v>
      </c>
      <c r="J794" s="7" t="n">
        <f aca="false">IF(I794=1,D794*F794,0)</f>
        <v>25.2</v>
      </c>
      <c r="K794" s="7" t="n">
        <f aca="false">YEAR(E794)*100+MONTH(E794)</f>
        <v>201109</v>
      </c>
      <c r="L794" s="7" t="n">
        <f aca="false">IF(AND(A794&lt;&gt;A793,LEFT(A794,1)&lt;&gt;"C"),1,0)</f>
        <v>0</v>
      </c>
    </row>
    <row r="795" customFormat="false" ht="15" hidden="false" customHeight="false" outlineLevel="0" collapsed="false">
      <c r="A795" s="0" t="s">
        <v>923</v>
      </c>
      <c r="B795" s="0" t="s">
        <v>84</v>
      </c>
      <c r="C795" s="0" t="s">
        <v>85</v>
      </c>
      <c r="D795" s="0" t="n">
        <v>1</v>
      </c>
      <c r="E795" s="6" t="n">
        <v>40797.51875</v>
      </c>
      <c r="F795" s="0" t="n">
        <v>18</v>
      </c>
      <c r="G795" s="0" t="n">
        <v>12680</v>
      </c>
      <c r="H795" s="0" t="s">
        <v>43</v>
      </c>
      <c r="I795" s="7" t="n">
        <f aca="false">IF(AND(LEFT(A795,1)&lt;&gt;"C",D795&gt;0,F795&gt;0),1,0)</f>
        <v>1</v>
      </c>
      <c r="J795" s="7" t="n">
        <f aca="false">IF(I795=1,D795*F795,0)</f>
        <v>18</v>
      </c>
      <c r="K795" s="7" t="n">
        <f aca="false">YEAR(E795)*100+MONTH(E795)</f>
        <v>201109</v>
      </c>
      <c r="L795" s="7" t="n">
        <f aca="false">IF(AND(A795&lt;&gt;A794,LEFT(A795,1)&lt;&gt;"C"),1,0)</f>
        <v>0</v>
      </c>
    </row>
    <row r="796" customFormat="false" ht="15" hidden="false" customHeight="false" outlineLevel="0" collapsed="false">
      <c r="A796" s="0" t="s">
        <v>928</v>
      </c>
      <c r="B796" s="0" t="s">
        <v>929</v>
      </c>
      <c r="C796" s="0" t="s">
        <v>930</v>
      </c>
      <c r="D796" s="0" t="n">
        <v>2</v>
      </c>
      <c r="E796" s="6" t="n">
        <v>40797.5638888889</v>
      </c>
      <c r="F796" s="0" t="n">
        <v>6.25</v>
      </c>
      <c r="G796" s="0" t="n">
        <v>12647</v>
      </c>
      <c r="H796" s="0" t="s">
        <v>33</v>
      </c>
      <c r="I796" s="7" t="n">
        <f aca="false">IF(AND(LEFT(A796,1)&lt;&gt;"C",D796&gt;0,F796&gt;0),1,0)</f>
        <v>1</v>
      </c>
      <c r="J796" s="7" t="n">
        <f aca="false">IF(I796=1,D796*F796,0)</f>
        <v>12.5</v>
      </c>
      <c r="K796" s="7" t="n">
        <f aca="false">YEAR(E796)*100+MONTH(E796)</f>
        <v>201109</v>
      </c>
      <c r="L796" s="7" t="n">
        <f aca="false">IF(AND(A796&lt;&gt;A795,LEFT(A796,1)&lt;&gt;"C"),1,0)</f>
        <v>1</v>
      </c>
    </row>
    <row r="797" customFormat="false" ht="15" hidden="false" customHeight="false" outlineLevel="0" collapsed="false">
      <c r="A797" s="0" t="s">
        <v>928</v>
      </c>
      <c r="B797" s="0" t="s">
        <v>931</v>
      </c>
      <c r="C797" s="0" t="s">
        <v>932</v>
      </c>
      <c r="D797" s="0" t="n">
        <v>2</v>
      </c>
      <c r="E797" s="6" t="n">
        <v>40797.5638888889</v>
      </c>
      <c r="F797" s="0" t="n">
        <v>6.25</v>
      </c>
      <c r="G797" s="0" t="n">
        <v>12647</v>
      </c>
      <c r="H797" s="0" t="s">
        <v>33</v>
      </c>
      <c r="I797" s="7" t="n">
        <f aca="false">IF(AND(LEFT(A797,1)&lt;&gt;"C",D797&gt;0,F797&gt;0),1,0)</f>
        <v>1</v>
      </c>
      <c r="J797" s="7" t="n">
        <f aca="false">IF(I797=1,D797*F797,0)</f>
        <v>12.5</v>
      </c>
      <c r="K797" s="7" t="n">
        <f aca="false">YEAR(E797)*100+MONTH(E797)</f>
        <v>201109</v>
      </c>
      <c r="L797" s="7" t="n">
        <f aca="false">IF(AND(A797&lt;&gt;A796,LEFT(A797,1)&lt;&gt;"C"),1,0)</f>
        <v>0</v>
      </c>
    </row>
    <row r="798" customFormat="false" ht="15" hidden="false" customHeight="false" outlineLevel="0" collapsed="false">
      <c r="A798" s="0" t="s">
        <v>928</v>
      </c>
      <c r="B798" s="0" t="s">
        <v>933</v>
      </c>
      <c r="C798" s="0" t="s">
        <v>934</v>
      </c>
      <c r="D798" s="0" t="n">
        <v>2</v>
      </c>
      <c r="E798" s="6" t="n">
        <v>40797.5638888889</v>
      </c>
      <c r="F798" s="0" t="n">
        <v>9.95</v>
      </c>
      <c r="G798" s="0" t="n">
        <v>12647</v>
      </c>
      <c r="H798" s="0" t="s">
        <v>33</v>
      </c>
      <c r="I798" s="7" t="n">
        <f aca="false">IF(AND(LEFT(A798,1)&lt;&gt;"C",D798&gt;0,F798&gt;0),1,0)</f>
        <v>1</v>
      </c>
      <c r="J798" s="7" t="n">
        <f aca="false">IF(I798=1,D798*F798,0)</f>
        <v>19.9</v>
      </c>
      <c r="K798" s="7" t="n">
        <f aca="false">YEAR(E798)*100+MONTH(E798)</f>
        <v>201109</v>
      </c>
      <c r="L798" s="7" t="n">
        <f aca="false">IF(AND(A798&lt;&gt;A797,LEFT(A798,1)&lt;&gt;"C"),1,0)</f>
        <v>0</v>
      </c>
    </row>
    <row r="799" customFormat="false" ht="15" hidden="false" customHeight="false" outlineLevel="0" collapsed="false">
      <c r="A799" s="0" t="s">
        <v>928</v>
      </c>
      <c r="B799" s="0" t="s">
        <v>935</v>
      </c>
      <c r="C799" s="0" t="s">
        <v>936</v>
      </c>
      <c r="D799" s="0" t="n">
        <v>6</v>
      </c>
      <c r="E799" s="6" t="n">
        <v>40797.5638888889</v>
      </c>
      <c r="F799" s="0" t="n">
        <v>2.49</v>
      </c>
      <c r="G799" s="0" t="n">
        <v>12647</v>
      </c>
      <c r="H799" s="0" t="s">
        <v>33</v>
      </c>
      <c r="I799" s="7" t="n">
        <f aca="false">IF(AND(LEFT(A799,1)&lt;&gt;"C",D799&gt;0,F799&gt;0),1,0)</f>
        <v>1</v>
      </c>
      <c r="J799" s="7" t="n">
        <f aca="false">IF(I799=1,D799*F799,0)</f>
        <v>14.94</v>
      </c>
      <c r="K799" s="7" t="n">
        <f aca="false">YEAR(E799)*100+MONTH(E799)</f>
        <v>201109</v>
      </c>
      <c r="L799" s="7" t="n">
        <f aca="false">IF(AND(A799&lt;&gt;A798,LEFT(A799,1)&lt;&gt;"C"),1,0)</f>
        <v>0</v>
      </c>
    </row>
    <row r="800" customFormat="false" ht="15" hidden="false" customHeight="false" outlineLevel="0" collapsed="false">
      <c r="A800" s="0" t="s">
        <v>928</v>
      </c>
      <c r="B800" s="0" t="s">
        <v>937</v>
      </c>
      <c r="C800" s="0" t="s">
        <v>938</v>
      </c>
      <c r="D800" s="0" t="n">
        <v>6</v>
      </c>
      <c r="E800" s="6" t="n">
        <v>40797.5638888889</v>
      </c>
      <c r="F800" s="0" t="n">
        <v>3.75</v>
      </c>
      <c r="G800" s="0" t="n">
        <v>12647</v>
      </c>
      <c r="H800" s="0" t="s">
        <v>33</v>
      </c>
      <c r="I800" s="7" t="n">
        <f aca="false">IF(AND(LEFT(A800,1)&lt;&gt;"C",D800&gt;0,F800&gt;0),1,0)</f>
        <v>1</v>
      </c>
      <c r="J800" s="7" t="n">
        <f aca="false">IF(I800=1,D800*F800,0)</f>
        <v>22.5</v>
      </c>
      <c r="K800" s="7" t="n">
        <f aca="false">YEAR(E800)*100+MONTH(E800)</f>
        <v>201109</v>
      </c>
      <c r="L800" s="7" t="n">
        <f aca="false">IF(AND(A800&lt;&gt;A799,LEFT(A800,1)&lt;&gt;"C"),1,0)</f>
        <v>0</v>
      </c>
    </row>
    <row r="801" customFormat="false" ht="15" hidden="false" customHeight="false" outlineLevel="0" collapsed="false">
      <c r="A801" s="0" t="s">
        <v>928</v>
      </c>
      <c r="B801" s="0" t="s">
        <v>939</v>
      </c>
      <c r="C801" s="0" t="s">
        <v>940</v>
      </c>
      <c r="D801" s="0" t="n">
        <v>24</v>
      </c>
      <c r="E801" s="6" t="n">
        <v>40797.5638888889</v>
      </c>
      <c r="F801" s="0" t="n">
        <v>0.85</v>
      </c>
      <c r="G801" s="0" t="n">
        <v>12647</v>
      </c>
      <c r="H801" s="0" t="s">
        <v>33</v>
      </c>
      <c r="I801" s="7" t="n">
        <f aca="false">IF(AND(LEFT(A801,1)&lt;&gt;"C",D801&gt;0,F801&gt;0),1,0)</f>
        <v>1</v>
      </c>
      <c r="J801" s="7" t="n">
        <f aca="false">IF(I801=1,D801*F801,0)</f>
        <v>20.4</v>
      </c>
      <c r="K801" s="7" t="n">
        <f aca="false">YEAR(E801)*100+MONTH(E801)</f>
        <v>201109</v>
      </c>
      <c r="L801" s="7" t="n">
        <f aca="false">IF(AND(A801&lt;&gt;A800,LEFT(A801,1)&lt;&gt;"C"),1,0)</f>
        <v>0</v>
      </c>
    </row>
    <row r="802" customFormat="false" ht="15" hidden="false" customHeight="false" outlineLevel="0" collapsed="false">
      <c r="A802" s="0" t="s">
        <v>928</v>
      </c>
      <c r="B802" s="0" t="s">
        <v>217</v>
      </c>
      <c r="C802" s="0" t="s">
        <v>218</v>
      </c>
      <c r="D802" s="0" t="n">
        <v>24</v>
      </c>
      <c r="E802" s="6" t="n">
        <v>40797.5638888889</v>
      </c>
      <c r="F802" s="0" t="n">
        <v>0.55</v>
      </c>
      <c r="G802" s="0" t="n">
        <v>12647</v>
      </c>
      <c r="H802" s="0" t="s">
        <v>33</v>
      </c>
      <c r="I802" s="7" t="n">
        <f aca="false">IF(AND(LEFT(A802,1)&lt;&gt;"C",D802&gt;0,F802&gt;0),1,0)</f>
        <v>1</v>
      </c>
      <c r="J802" s="7" t="n">
        <f aca="false">IF(I802=1,D802*F802,0)</f>
        <v>13.2</v>
      </c>
      <c r="K802" s="7" t="n">
        <f aca="false">YEAR(E802)*100+MONTH(E802)</f>
        <v>201109</v>
      </c>
      <c r="L802" s="7" t="n">
        <f aca="false">IF(AND(A802&lt;&gt;A801,LEFT(A802,1)&lt;&gt;"C"),1,0)</f>
        <v>0</v>
      </c>
    </row>
    <row r="803" customFormat="false" ht="15" hidden="false" customHeight="false" outlineLevel="0" collapsed="false">
      <c r="A803" s="0" t="s">
        <v>928</v>
      </c>
      <c r="B803" s="0" t="s">
        <v>941</v>
      </c>
      <c r="C803" s="0" t="s">
        <v>942</v>
      </c>
      <c r="D803" s="0" t="n">
        <v>24</v>
      </c>
      <c r="E803" s="6" t="n">
        <v>40797.5638888889</v>
      </c>
      <c r="F803" s="0" t="n">
        <v>0.55</v>
      </c>
      <c r="G803" s="0" t="n">
        <v>12647</v>
      </c>
      <c r="H803" s="0" t="s">
        <v>33</v>
      </c>
      <c r="I803" s="7" t="n">
        <f aca="false">IF(AND(LEFT(A803,1)&lt;&gt;"C",D803&gt;0,F803&gt;0),1,0)</f>
        <v>1</v>
      </c>
      <c r="J803" s="7" t="n">
        <f aca="false">IF(I803=1,D803*F803,0)</f>
        <v>13.2</v>
      </c>
      <c r="K803" s="7" t="n">
        <f aca="false">YEAR(E803)*100+MONTH(E803)</f>
        <v>201109</v>
      </c>
      <c r="L803" s="7" t="n">
        <f aca="false">IF(AND(A803&lt;&gt;A802,LEFT(A803,1)&lt;&gt;"C"),1,0)</f>
        <v>0</v>
      </c>
    </row>
    <row r="804" customFormat="false" ht="15" hidden="false" customHeight="false" outlineLevel="0" collapsed="false">
      <c r="A804" s="0" t="s">
        <v>928</v>
      </c>
      <c r="B804" s="0" t="s">
        <v>717</v>
      </c>
      <c r="C804" s="0" t="s">
        <v>718</v>
      </c>
      <c r="D804" s="0" t="n">
        <v>8</v>
      </c>
      <c r="E804" s="6" t="n">
        <v>40797.5638888889</v>
      </c>
      <c r="F804" s="0" t="n">
        <v>0.83</v>
      </c>
      <c r="G804" s="0" t="n">
        <v>12647</v>
      </c>
      <c r="H804" s="0" t="s">
        <v>33</v>
      </c>
      <c r="I804" s="7" t="n">
        <f aca="false">IF(AND(LEFT(A804,1)&lt;&gt;"C",D804&gt;0,F804&gt;0),1,0)</f>
        <v>1</v>
      </c>
      <c r="J804" s="7" t="n">
        <f aca="false">IF(I804=1,D804*F804,0)</f>
        <v>6.64</v>
      </c>
      <c r="K804" s="7" t="n">
        <f aca="false">YEAR(E804)*100+MONTH(E804)</f>
        <v>201109</v>
      </c>
      <c r="L804" s="7" t="n">
        <f aca="false">IF(AND(A804&lt;&gt;A803,LEFT(A804,1)&lt;&gt;"C"),1,0)</f>
        <v>0</v>
      </c>
    </row>
    <row r="805" customFormat="false" ht="15" hidden="false" customHeight="false" outlineLevel="0" collapsed="false">
      <c r="A805" s="0" t="s">
        <v>928</v>
      </c>
      <c r="B805" s="0" t="s">
        <v>689</v>
      </c>
      <c r="C805" s="0" t="s">
        <v>690</v>
      </c>
      <c r="D805" s="0" t="n">
        <v>8</v>
      </c>
      <c r="E805" s="6" t="n">
        <v>40797.5638888889</v>
      </c>
      <c r="F805" s="0" t="n">
        <v>1.25</v>
      </c>
      <c r="G805" s="0" t="n">
        <v>12647</v>
      </c>
      <c r="H805" s="0" t="s">
        <v>33</v>
      </c>
      <c r="I805" s="7" t="n">
        <f aca="false">IF(AND(LEFT(A805,1)&lt;&gt;"C",D805&gt;0,F805&gt;0),1,0)</f>
        <v>1</v>
      </c>
      <c r="J805" s="7" t="n">
        <f aca="false">IF(I805=1,D805*F805,0)</f>
        <v>10</v>
      </c>
      <c r="K805" s="7" t="n">
        <f aca="false">YEAR(E805)*100+MONTH(E805)</f>
        <v>201109</v>
      </c>
      <c r="L805" s="7" t="n">
        <f aca="false">IF(AND(A805&lt;&gt;A804,LEFT(A805,1)&lt;&gt;"C"),1,0)</f>
        <v>0</v>
      </c>
    </row>
    <row r="806" customFormat="false" ht="15" hidden="false" customHeight="false" outlineLevel="0" collapsed="false">
      <c r="A806" s="0" t="s">
        <v>928</v>
      </c>
      <c r="B806" s="0" t="s">
        <v>109</v>
      </c>
      <c r="C806" s="0" t="s">
        <v>110</v>
      </c>
      <c r="D806" s="0" t="n">
        <v>8</v>
      </c>
      <c r="E806" s="6" t="n">
        <v>40797.5638888889</v>
      </c>
      <c r="F806" s="0" t="n">
        <v>0.83</v>
      </c>
      <c r="G806" s="0" t="n">
        <v>12647</v>
      </c>
      <c r="H806" s="0" t="s">
        <v>33</v>
      </c>
      <c r="I806" s="7" t="n">
        <f aca="false">IF(AND(LEFT(A806,1)&lt;&gt;"C",D806&gt;0,F806&gt;0),1,0)</f>
        <v>1</v>
      </c>
      <c r="J806" s="7" t="n">
        <f aca="false">IF(I806=1,D806*F806,0)</f>
        <v>6.64</v>
      </c>
      <c r="K806" s="7" t="n">
        <f aca="false">YEAR(E806)*100+MONTH(E806)</f>
        <v>201109</v>
      </c>
      <c r="L806" s="7" t="n">
        <f aca="false">IF(AND(A806&lt;&gt;A805,LEFT(A806,1)&lt;&gt;"C"),1,0)</f>
        <v>0</v>
      </c>
    </row>
    <row r="807" customFormat="false" ht="15" hidden="false" customHeight="false" outlineLevel="0" collapsed="false">
      <c r="A807" s="0" t="s">
        <v>928</v>
      </c>
      <c r="B807" s="0" t="s">
        <v>857</v>
      </c>
      <c r="C807" s="0" t="s">
        <v>858</v>
      </c>
      <c r="D807" s="0" t="n">
        <v>8</v>
      </c>
      <c r="E807" s="6" t="n">
        <v>40797.5638888889</v>
      </c>
      <c r="F807" s="0" t="n">
        <v>0.83</v>
      </c>
      <c r="G807" s="0" t="n">
        <v>12647</v>
      </c>
      <c r="H807" s="0" t="s">
        <v>33</v>
      </c>
      <c r="I807" s="7" t="n">
        <f aca="false">IF(AND(LEFT(A807,1)&lt;&gt;"C",D807&gt;0,F807&gt;0),1,0)</f>
        <v>1</v>
      </c>
      <c r="J807" s="7" t="n">
        <f aca="false">IF(I807=1,D807*F807,0)</f>
        <v>6.64</v>
      </c>
      <c r="K807" s="7" t="n">
        <f aca="false">YEAR(E807)*100+MONTH(E807)</f>
        <v>201109</v>
      </c>
      <c r="L807" s="7" t="n">
        <f aca="false">IF(AND(A807&lt;&gt;A806,LEFT(A807,1)&lt;&gt;"C"),1,0)</f>
        <v>0</v>
      </c>
    </row>
    <row r="808" customFormat="false" ht="15" hidden="false" customHeight="false" outlineLevel="0" collapsed="false">
      <c r="A808" s="0" t="s">
        <v>928</v>
      </c>
      <c r="B808" s="0" t="s">
        <v>84</v>
      </c>
      <c r="C808" s="0" t="s">
        <v>85</v>
      </c>
      <c r="D808" s="0" t="n">
        <v>3</v>
      </c>
      <c r="E808" s="6" t="n">
        <v>40797.5638888889</v>
      </c>
      <c r="F808" s="0" t="n">
        <v>18</v>
      </c>
      <c r="G808" s="0" t="n">
        <v>12647</v>
      </c>
      <c r="H808" s="0" t="s">
        <v>33</v>
      </c>
      <c r="I808" s="7" t="n">
        <f aca="false">IF(AND(LEFT(A808,1)&lt;&gt;"C",D808&gt;0,F808&gt;0),1,0)</f>
        <v>1</v>
      </c>
      <c r="J808" s="7" t="n">
        <f aca="false">IF(I808=1,D808*F808,0)</f>
        <v>54</v>
      </c>
      <c r="K808" s="7" t="n">
        <f aca="false">YEAR(E808)*100+MONTH(E808)</f>
        <v>201109</v>
      </c>
      <c r="L808" s="7" t="n">
        <f aca="false">IF(AND(A808&lt;&gt;A807,LEFT(A808,1)&lt;&gt;"C"),1,0)</f>
        <v>0</v>
      </c>
    </row>
    <row r="809" customFormat="false" ht="15" hidden="false" customHeight="false" outlineLevel="0" collapsed="false">
      <c r="A809" s="0" t="s">
        <v>928</v>
      </c>
      <c r="B809" s="0" t="s">
        <v>943</v>
      </c>
      <c r="C809" s="0" t="s">
        <v>944</v>
      </c>
      <c r="D809" s="0" t="n">
        <v>12</v>
      </c>
      <c r="E809" s="6" t="n">
        <v>40797.5638888889</v>
      </c>
      <c r="F809" s="0" t="n">
        <v>1.95</v>
      </c>
      <c r="G809" s="0" t="n">
        <v>12647</v>
      </c>
      <c r="H809" s="0" t="s">
        <v>33</v>
      </c>
      <c r="I809" s="7" t="n">
        <f aca="false">IF(AND(LEFT(A809,1)&lt;&gt;"C",D809&gt;0,F809&gt;0),1,0)</f>
        <v>1</v>
      </c>
      <c r="J809" s="7" t="n">
        <f aca="false">IF(I809=1,D809*F809,0)</f>
        <v>23.4</v>
      </c>
      <c r="K809" s="7" t="n">
        <f aca="false">YEAR(E809)*100+MONTH(E809)</f>
        <v>201109</v>
      </c>
      <c r="L809" s="7" t="n">
        <f aca="false">IF(AND(A809&lt;&gt;A808,LEFT(A809,1)&lt;&gt;"C"),1,0)</f>
        <v>0</v>
      </c>
    </row>
    <row r="810" customFormat="false" ht="15" hidden="false" customHeight="false" outlineLevel="0" collapsed="false">
      <c r="A810" s="0" t="s">
        <v>928</v>
      </c>
      <c r="B810" s="0" t="s">
        <v>945</v>
      </c>
      <c r="C810" s="0" t="s">
        <v>946</v>
      </c>
      <c r="D810" s="0" t="n">
        <v>24</v>
      </c>
      <c r="E810" s="6" t="n">
        <v>40797.5638888889</v>
      </c>
      <c r="F810" s="0" t="n">
        <v>0.85</v>
      </c>
      <c r="G810" s="0" t="n">
        <v>12647</v>
      </c>
      <c r="H810" s="0" t="s">
        <v>33</v>
      </c>
      <c r="I810" s="7" t="n">
        <f aca="false">IF(AND(LEFT(A810,1)&lt;&gt;"C",D810&gt;0,F810&gt;0),1,0)</f>
        <v>1</v>
      </c>
      <c r="J810" s="7" t="n">
        <f aca="false">IF(I810=1,D810*F810,0)</f>
        <v>20.4</v>
      </c>
      <c r="K810" s="7" t="n">
        <f aca="false">YEAR(E810)*100+MONTH(E810)</f>
        <v>201109</v>
      </c>
      <c r="L810" s="7" t="n">
        <f aca="false">IF(AND(A810&lt;&gt;A809,LEFT(A810,1)&lt;&gt;"C"),1,0)</f>
        <v>0</v>
      </c>
    </row>
    <row r="811" customFormat="false" ht="15" hidden="false" customHeight="false" outlineLevel="0" collapsed="false">
      <c r="A811" s="0" t="s">
        <v>928</v>
      </c>
      <c r="B811" s="0" t="s">
        <v>947</v>
      </c>
      <c r="C811" s="0" t="s">
        <v>948</v>
      </c>
      <c r="D811" s="0" t="n">
        <v>2</v>
      </c>
      <c r="E811" s="6" t="n">
        <v>40797.5638888889</v>
      </c>
      <c r="F811" s="0" t="n">
        <v>21.95</v>
      </c>
      <c r="G811" s="0" t="n">
        <v>12647</v>
      </c>
      <c r="H811" s="0" t="s">
        <v>33</v>
      </c>
      <c r="I811" s="7" t="n">
        <f aca="false">IF(AND(LEFT(A811,1)&lt;&gt;"C",D811&gt;0,F811&gt;0),1,0)</f>
        <v>1</v>
      </c>
      <c r="J811" s="7" t="n">
        <f aca="false">IF(I811=1,D811*F811,0)</f>
        <v>43.9</v>
      </c>
      <c r="K811" s="7" t="n">
        <f aca="false">YEAR(E811)*100+MONTH(E811)</f>
        <v>201109</v>
      </c>
      <c r="L811" s="7" t="n">
        <f aca="false">IF(AND(A811&lt;&gt;A810,LEFT(A811,1)&lt;&gt;"C"),1,0)</f>
        <v>0</v>
      </c>
    </row>
    <row r="812" customFormat="false" ht="15" hidden="false" customHeight="false" outlineLevel="0" collapsed="false">
      <c r="A812" s="0" t="s">
        <v>928</v>
      </c>
      <c r="B812" s="0" t="s">
        <v>949</v>
      </c>
      <c r="C812" s="0" t="s">
        <v>950</v>
      </c>
      <c r="D812" s="0" t="n">
        <v>3</v>
      </c>
      <c r="E812" s="6" t="n">
        <v>40797.5638888889</v>
      </c>
      <c r="F812" s="0" t="n">
        <v>5.95</v>
      </c>
      <c r="G812" s="0" t="n">
        <v>12647</v>
      </c>
      <c r="H812" s="0" t="s">
        <v>33</v>
      </c>
      <c r="I812" s="7" t="n">
        <f aca="false">IF(AND(LEFT(A812,1)&lt;&gt;"C",D812&gt;0,F812&gt;0),1,0)</f>
        <v>1</v>
      </c>
      <c r="J812" s="7" t="n">
        <f aca="false">IF(I812=1,D812*F812,0)</f>
        <v>17.85</v>
      </c>
      <c r="K812" s="7" t="n">
        <f aca="false">YEAR(E812)*100+MONTH(E812)</f>
        <v>201109</v>
      </c>
      <c r="L812" s="7" t="n">
        <f aca="false">IF(AND(A812&lt;&gt;A811,LEFT(A812,1)&lt;&gt;"C"),1,0)</f>
        <v>0</v>
      </c>
    </row>
    <row r="813" customFormat="false" ht="15" hidden="false" customHeight="false" outlineLevel="0" collapsed="false">
      <c r="A813" s="0" t="s">
        <v>928</v>
      </c>
      <c r="B813" s="0" t="s">
        <v>951</v>
      </c>
      <c r="C813" s="0" t="s">
        <v>952</v>
      </c>
      <c r="D813" s="0" t="n">
        <v>10</v>
      </c>
      <c r="E813" s="6" t="n">
        <v>40797.5638888889</v>
      </c>
      <c r="F813" s="0" t="n">
        <v>1.25</v>
      </c>
      <c r="G813" s="0" t="n">
        <v>12647</v>
      </c>
      <c r="H813" s="0" t="s">
        <v>33</v>
      </c>
      <c r="I813" s="7" t="n">
        <f aca="false">IF(AND(LEFT(A813,1)&lt;&gt;"C",D813&gt;0,F813&gt;0),1,0)</f>
        <v>1</v>
      </c>
      <c r="J813" s="7" t="n">
        <f aca="false">IF(I813=1,D813*F813,0)</f>
        <v>12.5</v>
      </c>
      <c r="K813" s="7" t="n">
        <f aca="false">YEAR(E813)*100+MONTH(E813)</f>
        <v>201109</v>
      </c>
      <c r="L813" s="7" t="n">
        <f aca="false">IF(AND(A813&lt;&gt;A812,LEFT(A813,1)&lt;&gt;"C"),1,0)</f>
        <v>0</v>
      </c>
    </row>
    <row r="814" customFormat="false" ht="15" hidden="false" customHeight="false" outlineLevel="0" collapsed="false">
      <c r="A814" s="0" t="s">
        <v>928</v>
      </c>
      <c r="B814" s="0" t="s">
        <v>953</v>
      </c>
      <c r="C814" s="0" t="s">
        <v>954</v>
      </c>
      <c r="D814" s="0" t="n">
        <v>20</v>
      </c>
      <c r="E814" s="6" t="n">
        <v>40797.5638888889</v>
      </c>
      <c r="F814" s="0" t="n">
        <v>1.25</v>
      </c>
      <c r="G814" s="0" t="n">
        <v>12647</v>
      </c>
      <c r="H814" s="0" t="s">
        <v>33</v>
      </c>
      <c r="I814" s="7" t="n">
        <f aca="false">IF(AND(LEFT(A814,1)&lt;&gt;"C",D814&gt;0,F814&gt;0),1,0)</f>
        <v>1</v>
      </c>
      <c r="J814" s="7" t="n">
        <f aca="false">IF(I814=1,D814*F814,0)</f>
        <v>25</v>
      </c>
      <c r="K814" s="7" t="n">
        <f aca="false">YEAR(E814)*100+MONTH(E814)</f>
        <v>201109</v>
      </c>
      <c r="L814" s="7" t="n">
        <f aca="false">IF(AND(A814&lt;&gt;A813,LEFT(A814,1)&lt;&gt;"C"),1,0)</f>
        <v>0</v>
      </c>
    </row>
    <row r="815" customFormat="false" ht="15" hidden="false" customHeight="false" outlineLevel="0" collapsed="false">
      <c r="A815" s="0" t="s">
        <v>955</v>
      </c>
      <c r="B815" s="0" t="s">
        <v>956</v>
      </c>
      <c r="C815" s="0" t="s">
        <v>957</v>
      </c>
      <c r="D815" s="0" t="n">
        <v>3</v>
      </c>
      <c r="E815" s="6" t="n">
        <v>40797.5680555556</v>
      </c>
      <c r="F815" s="0" t="n">
        <v>5.95</v>
      </c>
      <c r="G815" s="0" t="n">
        <v>13813</v>
      </c>
      <c r="H815" s="0" t="s">
        <v>33</v>
      </c>
      <c r="I815" s="7" t="n">
        <f aca="false">IF(AND(LEFT(A815,1)&lt;&gt;"C",D815&gt;0,F815&gt;0),1,0)</f>
        <v>1</v>
      </c>
      <c r="J815" s="7" t="n">
        <f aca="false">IF(I815=1,D815*F815,0)</f>
        <v>17.85</v>
      </c>
      <c r="K815" s="7" t="n">
        <f aca="false">YEAR(E815)*100+MONTH(E815)</f>
        <v>201109</v>
      </c>
      <c r="L815" s="7" t="n">
        <f aca="false">IF(AND(A815&lt;&gt;A814,LEFT(A815,1)&lt;&gt;"C"),1,0)</f>
        <v>1</v>
      </c>
    </row>
    <row r="816" customFormat="false" ht="15" hidden="false" customHeight="false" outlineLevel="0" collapsed="false">
      <c r="A816" s="0" t="s">
        <v>955</v>
      </c>
      <c r="B816" s="0" t="s">
        <v>958</v>
      </c>
      <c r="C816" s="0" t="s">
        <v>959</v>
      </c>
      <c r="D816" s="0" t="n">
        <v>3</v>
      </c>
      <c r="E816" s="6" t="n">
        <v>40797.5680555556</v>
      </c>
      <c r="F816" s="0" t="n">
        <v>5.95</v>
      </c>
      <c r="G816" s="0" t="n">
        <v>13813</v>
      </c>
      <c r="H816" s="0" t="s">
        <v>33</v>
      </c>
      <c r="I816" s="7" t="n">
        <f aca="false">IF(AND(LEFT(A816,1)&lt;&gt;"C",D816&gt;0,F816&gt;0),1,0)</f>
        <v>1</v>
      </c>
      <c r="J816" s="7" t="n">
        <f aca="false">IF(I816=1,D816*F816,0)</f>
        <v>17.85</v>
      </c>
      <c r="K816" s="7" t="n">
        <f aca="false">YEAR(E816)*100+MONTH(E816)</f>
        <v>201109</v>
      </c>
      <c r="L816" s="7" t="n">
        <f aca="false">IF(AND(A816&lt;&gt;A815,LEFT(A816,1)&lt;&gt;"C"),1,0)</f>
        <v>0</v>
      </c>
    </row>
    <row r="817" customFormat="false" ht="15" hidden="false" customHeight="false" outlineLevel="0" collapsed="false">
      <c r="A817" s="0" t="s">
        <v>955</v>
      </c>
      <c r="B817" s="0" t="s">
        <v>960</v>
      </c>
      <c r="C817" s="0" t="s">
        <v>961</v>
      </c>
      <c r="D817" s="0" t="n">
        <v>4</v>
      </c>
      <c r="E817" s="6" t="n">
        <v>40797.5680555556</v>
      </c>
      <c r="F817" s="0" t="n">
        <v>3.95</v>
      </c>
      <c r="G817" s="0" t="n">
        <v>13813</v>
      </c>
      <c r="H817" s="0" t="s">
        <v>33</v>
      </c>
      <c r="I817" s="7" t="n">
        <f aca="false">IF(AND(LEFT(A817,1)&lt;&gt;"C",D817&gt;0,F817&gt;0),1,0)</f>
        <v>1</v>
      </c>
      <c r="J817" s="7" t="n">
        <f aca="false">IF(I817=1,D817*F817,0)</f>
        <v>15.8</v>
      </c>
      <c r="K817" s="7" t="n">
        <f aca="false">YEAR(E817)*100+MONTH(E817)</f>
        <v>201109</v>
      </c>
      <c r="L817" s="7" t="n">
        <f aca="false">IF(AND(A817&lt;&gt;A816,LEFT(A817,1)&lt;&gt;"C"),1,0)</f>
        <v>0</v>
      </c>
    </row>
    <row r="818" customFormat="false" ht="15" hidden="false" customHeight="false" outlineLevel="0" collapsed="false">
      <c r="A818" s="0" t="s">
        <v>955</v>
      </c>
      <c r="B818" s="0" t="s">
        <v>109</v>
      </c>
      <c r="C818" s="0" t="s">
        <v>110</v>
      </c>
      <c r="D818" s="0" t="n">
        <v>8</v>
      </c>
      <c r="E818" s="6" t="n">
        <v>40797.5680555556</v>
      </c>
      <c r="F818" s="0" t="n">
        <v>0.83</v>
      </c>
      <c r="G818" s="0" t="n">
        <v>13813</v>
      </c>
      <c r="H818" s="0" t="s">
        <v>33</v>
      </c>
      <c r="I818" s="7" t="n">
        <f aca="false">IF(AND(LEFT(A818,1)&lt;&gt;"C",D818&gt;0,F818&gt;0),1,0)</f>
        <v>1</v>
      </c>
      <c r="J818" s="7" t="n">
        <f aca="false">IF(I818=1,D818*F818,0)</f>
        <v>6.64</v>
      </c>
      <c r="K818" s="7" t="n">
        <f aca="false">YEAR(E818)*100+MONTH(E818)</f>
        <v>201109</v>
      </c>
      <c r="L818" s="7" t="n">
        <f aca="false">IF(AND(A818&lt;&gt;A817,LEFT(A818,1)&lt;&gt;"C"),1,0)</f>
        <v>0</v>
      </c>
    </row>
    <row r="819" customFormat="false" ht="15" hidden="false" customHeight="false" outlineLevel="0" collapsed="false">
      <c r="A819" s="0" t="s">
        <v>955</v>
      </c>
      <c r="B819" s="0" t="s">
        <v>58</v>
      </c>
      <c r="C819" s="0" t="s">
        <v>59</v>
      </c>
      <c r="D819" s="0" t="n">
        <v>6</v>
      </c>
      <c r="E819" s="6" t="n">
        <v>40797.5680555556</v>
      </c>
      <c r="F819" s="0" t="n">
        <v>2.55</v>
      </c>
      <c r="G819" s="0" t="n">
        <v>13813</v>
      </c>
      <c r="H819" s="0" t="s">
        <v>33</v>
      </c>
      <c r="I819" s="7" t="n">
        <f aca="false">IF(AND(LEFT(A819,1)&lt;&gt;"C",D819&gt;0,F819&gt;0),1,0)</f>
        <v>1</v>
      </c>
      <c r="J819" s="7" t="n">
        <f aca="false">IF(I819=1,D819*F819,0)</f>
        <v>15.3</v>
      </c>
      <c r="K819" s="7" t="n">
        <f aca="false">YEAR(E819)*100+MONTH(E819)</f>
        <v>201109</v>
      </c>
      <c r="L819" s="7" t="n">
        <f aca="false">IF(AND(A819&lt;&gt;A818,LEFT(A819,1)&lt;&gt;"C"),1,0)</f>
        <v>0</v>
      </c>
    </row>
    <row r="820" customFormat="false" ht="15" hidden="false" customHeight="false" outlineLevel="0" collapsed="false">
      <c r="A820" s="0" t="s">
        <v>955</v>
      </c>
      <c r="B820" s="0" t="s">
        <v>779</v>
      </c>
      <c r="C820" s="0" t="s">
        <v>780</v>
      </c>
      <c r="D820" s="0" t="n">
        <v>4</v>
      </c>
      <c r="E820" s="6" t="n">
        <v>40797.5680555556</v>
      </c>
      <c r="F820" s="0" t="n">
        <v>4.95</v>
      </c>
      <c r="G820" s="0" t="n">
        <v>13813</v>
      </c>
      <c r="H820" s="0" t="s">
        <v>33</v>
      </c>
      <c r="I820" s="7" t="n">
        <f aca="false">IF(AND(LEFT(A820,1)&lt;&gt;"C",D820&gt;0,F820&gt;0),1,0)</f>
        <v>1</v>
      </c>
      <c r="J820" s="7" t="n">
        <f aca="false">IF(I820=1,D820*F820,0)</f>
        <v>19.8</v>
      </c>
      <c r="K820" s="7" t="n">
        <f aca="false">YEAR(E820)*100+MONTH(E820)</f>
        <v>201109</v>
      </c>
      <c r="L820" s="7" t="n">
        <f aca="false">IF(AND(A820&lt;&gt;A819,LEFT(A820,1)&lt;&gt;"C"),1,0)</f>
        <v>0</v>
      </c>
    </row>
    <row r="821" customFormat="false" ht="15" hidden="false" customHeight="false" outlineLevel="0" collapsed="false">
      <c r="A821" s="0" t="s">
        <v>955</v>
      </c>
      <c r="B821" s="0" t="s">
        <v>228</v>
      </c>
      <c r="C821" s="0" t="s">
        <v>229</v>
      </c>
      <c r="D821" s="0" t="n">
        <v>6</v>
      </c>
      <c r="E821" s="6" t="n">
        <v>40797.5680555556</v>
      </c>
      <c r="F821" s="0" t="n">
        <v>3.25</v>
      </c>
      <c r="G821" s="0" t="n">
        <v>13813</v>
      </c>
      <c r="H821" s="0" t="s">
        <v>33</v>
      </c>
      <c r="I821" s="7" t="n">
        <f aca="false">IF(AND(LEFT(A821,1)&lt;&gt;"C",D821&gt;0,F821&gt;0),1,0)</f>
        <v>1</v>
      </c>
      <c r="J821" s="7" t="n">
        <f aca="false">IF(I821=1,D821*F821,0)</f>
        <v>19.5</v>
      </c>
      <c r="K821" s="7" t="n">
        <f aca="false">YEAR(E821)*100+MONTH(E821)</f>
        <v>201109</v>
      </c>
      <c r="L821" s="7" t="n">
        <f aca="false">IF(AND(A821&lt;&gt;A820,LEFT(A821,1)&lt;&gt;"C"),1,0)</f>
        <v>0</v>
      </c>
    </row>
    <row r="822" customFormat="false" ht="15" hidden="false" customHeight="false" outlineLevel="0" collapsed="false">
      <c r="A822" s="0" t="s">
        <v>955</v>
      </c>
      <c r="B822" s="0" t="s">
        <v>237</v>
      </c>
      <c r="C822" s="0" t="s">
        <v>238</v>
      </c>
      <c r="D822" s="0" t="n">
        <v>4</v>
      </c>
      <c r="E822" s="6" t="n">
        <v>40797.5680555556</v>
      </c>
      <c r="F822" s="0" t="n">
        <v>2.55</v>
      </c>
      <c r="G822" s="0" t="n">
        <v>13813</v>
      </c>
      <c r="H822" s="0" t="s">
        <v>33</v>
      </c>
      <c r="I822" s="7" t="n">
        <f aca="false">IF(AND(LEFT(A822,1)&lt;&gt;"C",D822&gt;0,F822&gt;0),1,0)</f>
        <v>1</v>
      </c>
      <c r="J822" s="7" t="n">
        <f aca="false">IF(I822=1,D822*F822,0)</f>
        <v>10.2</v>
      </c>
      <c r="K822" s="7" t="n">
        <f aca="false">YEAR(E822)*100+MONTH(E822)</f>
        <v>201109</v>
      </c>
      <c r="L822" s="7" t="n">
        <f aca="false">IF(AND(A822&lt;&gt;A821,LEFT(A822,1)&lt;&gt;"C"),1,0)</f>
        <v>0</v>
      </c>
    </row>
    <row r="823" customFormat="false" ht="15" hidden="false" customHeight="false" outlineLevel="0" collapsed="false">
      <c r="A823" s="0" t="s">
        <v>955</v>
      </c>
      <c r="B823" s="0" t="s">
        <v>273</v>
      </c>
      <c r="C823" s="0" t="s">
        <v>274</v>
      </c>
      <c r="D823" s="0" t="n">
        <v>4</v>
      </c>
      <c r="E823" s="6" t="n">
        <v>40797.5680555556</v>
      </c>
      <c r="F823" s="0" t="n">
        <v>4.95</v>
      </c>
      <c r="G823" s="0" t="n">
        <v>13813</v>
      </c>
      <c r="H823" s="0" t="s">
        <v>33</v>
      </c>
      <c r="I823" s="7" t="n">
        <f aca="false">IF(AND(LEFT(A823,1)&lt;&gt;"C",D823&gt;0,F823&gt;0),1,0)</f>
        <v>1</v>
      </c>
      <c r="J823" s="7" t="n">
        <f aca="false">IF(I823=1,D823*F823,0)</f>
        <v>19.8</v>
      </c>
      <c r="K823" s="7" t="n">
        <f aca="false">YEAR(E823)*100+MONTH(E823)</f>
        <v>201109</v>
      </c>
      <c r="L823" s="7" t="n">
        <f aca="false">IF(AND(A823&lt;&gt;A822,LEFT(A823,1)&lt;&gt;"C"),1,0)</f>
        <v>0</v>
      </c>
    </row>
    <row r="824" customFormat="false" ht="15" hidden="false" customHeight="false" outlineLevel="0" collapsed="false">
      <c r="A824" s="0" t="s">
        <v>955</v>
      </c>
      <c r="B824" s="0" t="s">
        <v>537</v>
      </c>
      <c r="C824" s="0" t="s">
        <v>538</v>
      </c>
      <c r="D824" s="0" t="n">
        <v>6</v>
      </c>
      <c r="E824" s="6" t="n">
        <v>40797.5680555556</v>
      </c>
      <c r="F824" s="0" t="n">
        <v>4.15</v>
      </c>
      <c r="G824" s="0" t="n">
        <v>13813</v>
      </c>
      <c r="H824" s="0" t="s">
        <v>33</v>
      </c>
      <c r="I824" s="7" t="n">
        <f aca="false">IF(AND(LEFT(A824,1)&lt;&gt;"C",D824&gt;0,F824&gt;0),1,0)</f>
        <v>1</v>
      </c>
      <c r="J824" s="7" t="n">
        <f aca="false">IF(I824=1,D824*F824,0)</f>
        <v>24.9</v>
      </c>
      <c r="K824" s="7" t="n">
        <f aca="false">YEAR(E824)*100+MONTH(E824)</f>
        <v>201109</v>
      </c>
      <c r="L824" s="7" t="n">
        <f aca="false">IF(AND(A824&lt;&gt;A823,LEFT(A824,1)&lt;&gt;"C"),1,0)</f>
        <v>0</v>
      </c>
    </row>
    <row r="825" customFormat="false" ht="15" hidden="false" customHeight="false" outlineLevel="0" collapsed="false">
      <c r="A825" s="0" t="s">
        <v>955</v>
      </c>
      <c r="B825" s="0" t="s">
        <v>465</v>
      </c>
      <c r="C825" s="0" t="s">
        <v>466</v>
      </c>
      <c r="D825" s="0" t="n">
        <v>2</v>
      </c>
      <c r="E825" s="6" t="n">
        <v>40797.5680555556</v>
      </c>
      <c r="F825" s="0" t="n">
        <v>7.95</v>
      </c>
      <c r="G825" s="0" t="n">
        <v>13813</v>
      </c>
      <c r="H825" s="0" t="s">
        <v>33</v>
      </c>
      <c r="I825" s="7" t="n">
        <f aca="false">IF(AND(LEFT(A825,1)&lt;&gt;"C",D825&gt;0,F825&gt;0),1,0)</f>
        <v>1</v>
      </c>
      <c r="J825" s="7" t="n">
        <f aca="false">IF(I825=1,D825*F825,0)</f>
        <v>15.9</v>
      </c>
      <c r="K825" s="7" t="n">
        <f aca="false">YEAR(E825)*100+MONTH(E825)</f>
        <v>201109</v>
      </c>
      <c r="L825" s="7" t="n">
        <f aca="false">IF(AND(A825&lt;&gt;A824,LEFT(A825,1)&lt;&gt;"C"),1,0)</f>
        <v>0</v>
      </c>
    </row>
    <row r="826" customFormat="false" ht="15" hidden="false" customHeight="false" outlineLevel="0" collapsed="false">
      <c r="A826" s="0" t="s">
        <v>955</v>
      </c>
      <c r="B826" s="0" t="s">
        <v>337</v>
      </c>
      <c r="C826" s="0" t="s">
        <v>338</v>
      </c>
      <c r="D826" s="0" t="n">
        <v>12</v>
      </c>
      <c r="E826" s="6" t="n">
        <v>40797.5680555556</v>
      </c>
      <c r="F826" s="0" t="n">
        <v>2.95</v>
      </c>
      <c r="G826" s="0" t="n">
        <v>13813</v>
      </c>
      <c r="H826" s="0" t="s">
        <v>33</v>
      </c>
      <c r="I826" s="7" t="n">
        <f aca="false">IF(AND(LEFT(A826,1)&lt;&gt;"C",D826&gt;0,F826&gt;0),1,0)</f>
        <v>1</v>
      </c>
      <c r="J826" s="7" t="n">
        <f aca="false">IF(I826=1,D826*F826,0)</f>
        <v>35.4</v>
      </c>
      <c r="K826" s="7" t="n">
        <f aca="false">YEAR(E826)*100+MONTH(E826)</f>
        <v>201109</v>
      </c>
      <c r="L826" s="7" t="n">
        <f aca="false">IF(AND(A826&lt;&gt;A825,LEFT(A826,1)&lt;&gt;"C"),1,0)</f>
        <v>0</v>
      </c>
    </row>
    <row r="827" customFormat="false" ht="15" hidden="false" customHeight="false" outlineLevel="0" collapsed="false">
      <c r="A827" s="0" t="s">
        <v>955</v>
      </c>
      <c r="B827" s="0" t="s">
        <v>953</v>
      </c>
      <c r="C827" s="0" t="s">
        <v>954</v>
      </c>
      <c r="D827" s="0" t="n">
        <v>10</v>
      </c>
      <c r="E827" s="6" t="n">
        <v>40797.5680555556</v>
      </c>
      <c r="F827" s="0" t="n">
        <v>1.25</v>
      </c>
      <c r="G827" s="0" t="n">
        <v>13813</v>
      </c>
      <c r="H827" s="0" t="s">
        <v>33</v>
      </c>
      <c r="I827" s="7" t="n">
        <f aca="false">IF(AND(LEFT(A827,1)&lt;&gt;"C",D827&gt;0,F827&gt;0),1,0)</f>
        <v>1</v>
      </c>
      <c r="J827" s="7" t="n">
        <f aca="false">IF(I827=1,D827*F827,0)</f>
        <v>12.5</v>
      </c>
      <c r="K827" s="7" t="n">
        <f aca="false">YEAR(E827)*100+MONTH(E827)</f>
        <v>201109</v>
      </c>
      <c r="L827" s="7" t="n">
        <f aca="false">IF(AND(A827&lt;&gt;A826,LEFT(A827,1)&lt;&gt;"C"),1,0)</f>
        <v>0</v>
      </c>
    </row>
    <row r="828" customFormat="false" ht="15" hidden="false" customHeight="false" outlineLevel="0" collapsed="false">
      <c r="A828" s="0" t="s">
        <v>955</v>
      </c>
      <c r="B828" s="0" t="s">
        <v>962</v>
      </c>
      <c r="C828" s="0" t="s">
        <v>963</v>
      </c>
      <c r="D828" s="0" t="n">
        <v>8</v>
      </c>
      <c r="E828" s="6" t="n">
        <v>40797.5680555556</v>
      </c>
      <c r="F828" s="0" t="n">
        <v>0.85</v>
      </c>
      <c r="G828" s="0" t="n">
        <v>13813</v>
      </c>
      <c r="H828" s="0" t="s">
        <v>33</v>
      </c>
      <c r="I828" s="7" t="n">
        <f aca="false">IF(AND(LEFT(A828,1)&lt;&gt;"C",D828&gt;0,F828&gt;0),1,0)</f>
        <v>1</v>
      </c>
      <c r="J828" s="7" t="n">
        <f aca="false">IF(I828=1,D828*F828,0)</f>
        <v>6.8</v>
      </c>
      <c r="K828" s="7" t="n">
        <f aca="false">YEAR(E828)*100+MONTH(E828)</f>
        <v>201109</v>
      </c>
      <c r="L828" s="7" t="n">
        <f aca="false">IF(AND(A828&lt;&gt;A827,LEFT(A828,1)&lt;&gt;"C"),1,0)</f>
        <v>0</v>
      </c>
    </row>
    <row r="829" customFormat="false" ht="15" hidden="false" customHeight="false" outlineLevel="0" collapsed="false">
      <c r="A829" s="0" t="s">
        <v>955</v>
      </c>
      <c r="B829" s="0" t="s">
        <v>84</v>
      </c>
      <c r="C829" s="0" t="s">
        <v>85</v>
      </c>
      <c r="D829" s="0" t="n">
        <v>3</v>
      </c>
      <c r="E829" s="6" t="n">
        <v>40797.5680555556</v>
      </c>
      <c r="F829" s="0" t="n">
        <v>18</v>
      </c>
      <c r="G829" s="0" t="n">
        <v>13813</v>
      </c>
      <c r="H829" s="0" t="s">
        <v>33</v>
      </c>
      <c r="I829" s="7" t="n">
        <f aca="false">IF(AND(LEFT(A829,1)&lt;&gt;"C",D829&gt;0,F829&gt;0),1,0)</f>
        <v>1</v>
      </c>
      <c r="J829" s="7" t="n">
        <f aca="false">IF(I829=1,D829*F829,0)</f>
        <v>54</v>
      </c>
      <c r="K829" s="7" t="n">
        <f aca="false">YEAR(E829)*100+MONTH(E829)</f>
        <v>201109</v>
      </c>
      <c r="L829" s="7" t="n">
        <f aca="false">IF(AND(A829&lt;&gt;A828,LEFT(A829,1)&lt;&gt;"C"),1,0)</f>
        <v>0</v>
      </c>
    </row>
    <row r="830" customFormat="false" ht="15" hidden="false" customHeight="false" outlineLevel="0" collapsed="false">
      <c r="A830" s="0" t="s">
        <v>964</v>
      </c>
      <c r="B830" s="0" t="s">
        <v>84</v>
      </c>
      <c r="C830" s="0" t="s">
        <v>85</v>
      </c>
      <c r="D830" s="0" t="n">
        <v>1</v>
      </c>
      <c r="E830" s="6" t="n">
        <v>40799.4402777778</v>
      </c>
      <c r="F830" s="0" t="n">
        <v>18</v>
      </c>
      <c r="G830" s="0" t="n">
        <v>12679</v>
      </c>
      <c r="H830" s="0" t="s">
        <v>43</v>
      </c>
      <c r="I830" s="7" t="n">
        <f aca="false">IF(AND(LEFT(A830,1)&lt;&gt;"C",D830&gt;0,F830&gt;0),1,0)</f>
        <v>1</v>
      </c>
      <c r="J830" s="7" t="n">
        <f aca="false">IF(I830=1,D830*F830,0)</f>
        <v>18</v>
      </c>
      <c r="K830" s="7" t="n">
        <f aca="false">YEAR(E830)*100+MONTH(E830)</f>
        <v>201109</v>
      </c>
      <c r="L830" s="7" t="n">
        <f aca="false">IF(AND(A830&lt;&gt;A829,LEFT(A830,1)&lt;&gt;"C"),1,0)</f>
        <v>1</v>
      </c>
    </row>
    <row r="831" customFormat="false" ht="15" hidden="false" customHeight="false" outlineLevel="0" collapsed="false">
      <c r="A831" s="0" t="s">
        <v>964</v>
      </c>
      <c r="B831" s="0" t="s">
        <v>144</v>
      </c>
      <c r="C831" s="0" t="s">
        <v>145</v>
      </c>
      <c r="D831" s="0" t="n">
        <v>72</v>
      </c>
      <c r="E831" s="6" t="n">
        <v>40799.4402777778</v>
      </c>
      <c r="F831" s="0" t="n">
        <v>1.06</v>
      </c>
      <c r="G831" s="0" t="n">
        <v>12679</v>
      </c>
      <c r="H831" s="0" t="s">
        <v>43</v>
      </c>
      <c r="I831" s="7" t="n">
        <f aca="false">IF(AND(LEFT(A831,1)&lt;&gt;"C",D831&gt;0,F831&gt;0),1,0)</f>
        <v>1</v>
      </c>
      <c r="J831" s="7" t="n">
        <f aca="false">IF(I831=1,D831*F831,0)</f>
        <v>76.32</v>
      </c>
      <c r="K831" s="7" t="n">
        <f aca="false">YEAR(E831)*100+MONTH(E831)</f>
        <v>201109</v>
      </c>
      <c r="L831" s="7" t="n">
        <f aca="false">IF(AND(A831&lt;&gt;A830,LEFT(A831,1)&lt;&gt;"C"),1,0)</f>
        <v>0</v>
      </c>
    </row>
    <row r="832" customFormat="false" ht="15" hidden="false" customHeight="false" outlineLevel="0" collapsed="false">
      <c r="A832" s="0" t="s">
        <v>965</v>
      </c>
      <c r="B832" s="0" t="s">
        <v>941</v>
      </c>
      <c r="C832" s="0" t="s">
        <v>942</v>
      </c>
      <c r="D832" s="0" t="n">
        <v>48</v>
      </c>
      <c r="E832" s="6" t="n">
        <v>40799.5993055556</v>
      </c>
      <c r="F832" s="0" t="n">
        <v>0.55</v>
      </c>
      <c r="G832" s="0" t="n">
        <v>12619</v>
      </c>
      <c r="H832" s="0" t="s">
        <v>33</v>
      </c>
      <c r="I832" s="7" t="n">
        <f aca="false">IF(AND(LEFT(A832,1)&lt;&gt;"C",D832&gt;0,F832&gt;0),1,0)</f>
        <v>1</v>
      </c>
      <c r="J832" s="7" t="n">
        <f aca="false">IF(I832=1,D832*F832,0)</f>
        <v>26.4</v>
      </c>
      <c r="K832" s="7" t="n">
        <f aca="false">YEAR(E832)*100+MONTH(E832)</f>
        <v>201109</v>
      </c>
      <c r="L832" s="7" t="n">
        <f aca="false">IF(AND(A832&lt;&gt;A831,LEFT(A832,1)&lt;&gt;"C"),1,0)</f>
        <v>1</v>
      </c>
    </row>
    <row r="833" customFormat="false" ht="15" hidden="false" customHeight="false" outlineLevel="0" collapsed="false">
      <c r="A833" s="0" t="s">
        <v>965</v>
      </c>
      <c r="B833" s="0" t="s">
        <v>966</v>
      </c>
      <c r="C833" s="0" t="s">
        <v>967</v>
      </c>
      <c r="D833" s="0" t="n">
        <v>72</v>
      </c>
      <c r="E833" s="6" t="n">
        <v>40799.5993055556</v>
      </c>
      <c r="F833" s="0" t="n">
        <v>0.55</v>
      </c>
      <c r="G833" s="0" t="n">
        <v>12619</v>
      </c>
      <c r="H833" s="0" t="s">
        <v>33</v>
      </c>
      <c r="I833" s="7" t="n">
        <f aca="false">IF(AND(LEFT(A833,1)&lt;&gt;"C",D833&gt;0,F833&gt;0),1,0)</f>
        <v>1</v>
      </c>
      <c r="J833" s="7" t="n">
        <f aca="false">IF(I833=1,D833*F833,0)</f>
        <v>39.6</v>
      </c>
      <c r="K833" s="7" t="n">
        <f aca="false">YEAR(E833)*100+MONTH(E833)</f>
        <v>201109</v>
      </c>
      <c r="L833" s="7" t="n">
        <f aca="false">IF(AND(A833&lt;&gt;A832,LEFT(A833,1)&lt;&gt;"C"),1,0)</f>
        <v>0</v>
      </c>
    </row>
    <row r="834" customFormat="false" ht="15" hidden="false" customHeight="false" outlineLevel="0" collapsed="false">
      <c r="A834" s="0" t="s">
        <v>965</v>
      </c>
      <c r="B834" s="0" t="s">
        <v>103</v>
      </c>
      <c r="C834" s="0" t="s">
        <v>104</v>
      </c>
      <c r="D834" s="0" t="n">
        <v>24</v>
      </c>
      <c r="E834" s="6" t="n">
        <v>40799.5993055556</v>
      </c>
      <c r="F834" s="0" t="n">
        <v>0.55</v>
      </c>
      <c r="G834" s="0" t="n">
        <v>12619</v>
      </c>
      <c r="H834" s="0" t="s">
        <v>33</v>
      </c>
      <c r="I834" s="7" t="n">
        <f aca="false">IF(AND(LEFT(A834,1)&lt;&gt;"C",D834&gt;0,F834&gt;0),1,0)</f>
        <v>1</v>
      </c>
      <c r="J834" s="7" t="n">
        <f aca="false">IF(I834=1,D834*F834,0)</f>
        <v>13.2</v>
      </c>
      <c r="K834" s="7" t="n">
        <f aca="false">YEAR(E834)*100+MONTH(E834)</f>
        <v>201109</v>
      </c>
      <c r="L834" s="7" t="n">
        <f aca="false">IF(AND(A834&lt;&gt;A833,LEFT(A834,1)&lt;&gt;"C"),1,0)</f>
        <v>0</v>
      </c>
    </row>
    <row r="835" customFormat="false" ht="15" hidden="false" customHeight="false" outlineLevel="0" collapsed="false">
      <c r="A835" s="0" t="s">
        <v>965</v>
      </c>
      <c r="B835" s="0" t="s">
        <v>968</v>
      </c>
      <c r="C835" s="0" t="s">
        <v>969</v>
      </c>
      <c r="D835" s="0" t="n">
        <v>10</v>
      </c>
      <c r="E835" s="6" t="n">
        <v>40799.5993055556</v>
      </c>
      <c r="F835" s="0" t="n">
        <v>1.65</v>
      </c>
      <c r="G835" s="0" t="n">
        <v>12619</v>
      </c>
      <c r="H835" s="0" t="s">
        <v>33</v>
      </c>
      <c r="I835" s="7" t="n">
        <f aca="false">IF(AND(LEFT(A835,1)&lt;&gt;"C",D835&gt;0,F835&gt;0),1,0)</f>
        <v>1</v>
      </c>
      <c r="J835" s="7" t="n">
        <f aca="false">IF(I835=1,D835*F835,0)</f>
        <v>16.5</v>
      </c>
      <c r="K835" s="7" t="n">
        <f aca="false">YEAR(E835)*100+MONTH(E835)</f>
        <v>201109</v>
      </c>
      <c r="L835" s="7" t="n">
        <f aca="false">IF(AND(A835&lt;&gt;A834,LEFT(A835,1)&lt;&gt;"C"),1,0)</f>
        <v>0</v>
      </c>
    </row>
    <row r="836" customFormat="false" ht="15" hidden="false" customHeight="false" outlineLevel="0" collapsed="false">
      <c r="A836" s="0" t="s">
        <v>965</v>
      </c>
      <c r="B836" s="0" t="s">
        <v>970</v>
      </c>
      <c r="C836" s="0" t="s">
        <v>971</v>
      </c>
      <c r="D836" s="0" t="n">
        <v>10</v>
      </c>
      <c r="E836" s="6" t="n">
        <v>40799.5993055556</v>
      </c>
      <c r="F836" s="0" t="n">
        <v>1.65</v>
      </c>
      <c r="G836" s="0" t="n">
        <v>12619</v>
      </c>
      <c r="H836" s="0" t="s">
        <v>33</v>
      </c>
      <c r="I836" s="7" t="n">
        <f aca="false">IF(AND(LEFT(A836,1)&lt;&gt;"C",D836&gt;0,F836&gt;0),1,0)</f>
        <v>1</v>
      </c>
      <c r="J836" s="7" t="n">
        <f aca="false">IF(I836=1,D836*F836,0)</f>
        <v>16.5</v>
      </c>
      <c r="K836" s="7" t="n">
        <f aca="false">YEAR(E836)*100+MONTH(E836)</f>
        <v>201109</v>
      </c>
      <c r="L836" s="7" t="n">
        <f aca="false">IF(AND(A836&lt;&gt;A835,LEFT(A836,1)&lt;&gt;"C"),1,0)</f>
        <v>0</v>
      </c>
    </row>
    <row r="837" customFormat="false" ht="15" hidden="false" customHeight="false" outlineLevel="0" collapsed="false">
      <c r="A837" s="0" t="s">
        <v>965</v>
      </c>
      <c r="B837" s="0" t="s">
        <v>131</v>
      </c>
      <c r="C837" s="0" t="s">
        <v>132</v>
      </c>
      <c r="D837" s="0" t="n">
        <v>48</v>
      </c>
      <c r="E837" s="6" t="n">
        <v>40799.5993055556</v>
      </c>
      <c r="F837" s="0" t="n">
        <v>1.45</v>
      </c>
      <c r="G837" s="0" t="n">
        <v>12619</v>
      </c>
      <c r="H837" s="0" t="s">
        <v>33</v>
      </c>
      <c r="I837" s="7" t="n">
        <f aca="false">IF(AND(LEFT(A837,1)&lt;&gt;"C",D837&gt;0,F837&gt;0),1,0)</f>
        <v>1</v>
      </c>
      <c r="J837" s="7" t="n">
        <f aca="false">IF(I837=1,D837*F837,0)</f>
        <v>69.6</v>
      </c>
      <c r="K837" s="7" t="n">
        <f aca="false">YEAR(E837)*100+MONTH(E837)</f>
        <v>201109</v>
      </c>
      <c r="L837" s="7" t="n">
        <f aca="false">IF(AND(A837&lt;&gt;A836,LEFT(A837,1)&lt;&gt;"C"),1,0)</f>
        <v>0</v>
      </c>
    </row>
    <row r="838" customFormat="false" ht="15" hidden="false" customHeight="false" outlineLevel="0" collapsed="false">
      <c r="A838" s="0" t="s">
        <v>965</v>
      </c>
      <c r="B838" s="0" t="s">
        <v>84</v>
      </c>
      <c r="C838" s="0" t="s">
        <v>85</v>
      </c>
      <c r="D838" s="0" t="n">
        <v>1</v>
      </c>
      <c r="E838" s="6" t="n">
        <v>40799.5993055556</v>
      </c>
      <c r="F838" s="0" t="n">
        <v>18</v>
      </c>
      <c r="G838" s="0" t="n">
        <v>12619</v>
      </c>
      <c r="H838" s="0" t="s">
        <v>33</v>
      </c>
      <c r="I838" s="7" t="n">
        <f aca="false">IF(AND(LEFT(A838,1)&lt;&gt;"C",D838&gt;0,F838&gt;0),1,0)</f>
        <v>1</v>
      </c>
      <c r="J838" s="7" t="n">
        <f aca="false">IF(I838=1,D838*F838,0)</f>
        <v>18</v>
      </c>
      <c r="K838" s="7" t="n">
        <f aca="false">YEAR(E838)*100+MONTH(E838)</f>
        <v>201109</v>
      </c>
      <c r="L838" s="7" t="n">
        <f aca="false">IF(AND(A838&lt;&gt;A837,LEFT(A838,1)&lt;&gt;"C"),1,0)</f>
        <v>0</v>
      </c>
    </row>
    <row r="839" customFormat="false" ht="15" hidden="false" customHeight="false" outlineLevel="0" collapsed="false">
      <c r="A839" s="0" t="s">
        <v>972</v>
      </c>
      <c r="B839" s="0" t="s">
        <v>247</v>
      </c>
      <c r="C839" s="0" t="s">
        <v>248</v>
      </c>
      <c r="D839" s="0" t="n">
        <v>25</v>
      </c>
      <c r="E839" s="6" t="n">
        <v>40800.5965277778</v>
      </c>
      <c r="F839" s="0" t="n">
        <v>0.42</v>
      </c>
      <c r="G839" s="0" t="n">
        <v>12726</v>
      </c>
      <c r="H839" s="0" t="s">
        <v>43</v>
      </c>
      <c r="I839" s="7" t="n">
        <f aca="false">IF(AND(LEFT(A839,1)&lt;&gt;"C",D839&gt;0,F839&gt;0),1,0)</f>
        <v>1</v>
      </c>
      <c r="J839" s="7" t="n">
        <f aca="false">IF(I839=1,D839*F839,0)</f>
        <v>10.5</v>
      </c>
      <c r="K839" s="7" t="n">
        <f aca="false">YEAR(E839)*100+MONTH(E839)</f>
        <v>201109</v>
      </c>
      <c r="L839" s="7" t="n">
        <f aca="false">IF(AND(A839&lt;&gt;A838,LEFT(A839,1)&lt;&gt;"C"),1,0)</f>
        <v>1</v>
      </c>
    </row>
    <row r="840" customFormat="false" ht="15" hidden="false" customHeight="false" outlineLevel="0" collapsed="false">
      <c r="A840" s="0" t="s">
        <v>972</v>
      </c>
      <c r="B840" s="0" t="s">
        <v>973</v>
      </c>
      <c r="C840" s="0" t="s">
        <v>974</v>
      </c>
      <c r="D840" s="0" t="n">
        <v>25</v>
      </c>
      <c r="E840" s="6" t="n">
        <v>40800.5965277778</v>
      </c>
      <c r="F840" s="0" t="n">
        <v>0.42</v>
      </c>
      <c r="G840" s="0" t="n">
        <v>12726</v>
      </c>
      <c r="H840" s="0" t="s">
        <v>43</v>
      </c>
      <c r="I840" s="7" t="n">
        <f aca="false">IF(AND(LEFT(A840,1)&lt;&gt;"C",D840&gt;0,F840&gt;0),1,0)</f>
        <v>1</v>
      </c>
      <c r="J840" s="7" t="n">
        <f aca="false">IF(I840=1,D840*F840,0)</f>
        <v>10.5</v>
      </c>
      <c r="K840" s="7" t="n">
        <f aca="false">YEAR(E840)*100+MONTH(E840)</f>
        <v>201109</v>
      </c>
      <c r="L840" s="7" t="n">
        <f aca="false">IF(AND(A840&lt;&gt;A839,LEFT(A840,1)&lt;&gt;"C"),1,0)</f>
        <v>0</v>
      </c>
    </row>
    <row r="841" customFormat="false" ht="15" hidden="false" customHeight="false" outlineLevel="0" collapsed="false">
      <c r="A841" s="0" t="s">
        <v>972</v>
      </c>
      <c r="B841" s="0" t="s">
        <v>783</v>
      </c>
      <c r="C841" s="0" t="s">
        <v>784</v>
      </c>
      <c r="D841" s="0" t="n">
        <v>6</v>
      </c>
      <c r="E841" s="6" t="n">
        <v>40800.5965277778</v>
      </c>
      <c r="F841" s="0" t="n">
        <v>2.1</v>
      </c>
      <c r="G841" s="0" t="n">
        <v>12726</v>
      </c>
      <c r="H841" s="0" t="s">
        <v>43</v>
      </c>
      <c r="I841" s="7" t="n">
        <f aca="false">IF(AND(LEFT(A841,1)&lt;&gt;"C",D841&gt;0,F841&gt;0),1,0)</f>
        <v>1</v>
      </c>
      <c r="J841" s="7" t="n">
        <f aca="false">IF(I841=1,D841*F841,0)</f>
        <v>12.6</v>
      </c>
      <c r="K841" s="7" t="n">
        <f aca="false">YEAR(E841)*100+MONTH(E841)</f>
        <v>201109</v>
      </c>
      <c r="L841" s="7" t="n">
        <f aca="false">IF(AND(A841&lt;&gt;A840,LEFT(A841,1)&lt;&gt;"C"),1,0)</f>
        <v>0</v>
      </c>
    </row>
    <row r="842" customFormat="false" ht="15" hidden="false" customHeight="false" outlineLevel="0" collapsed="false">
      <c r="A842" s="0" t="s">
        <v>972</v>
      </c>
      <c r="B842" s="0" t="s">
        <v>44</v>
      </c>
      <c r="C842" s="0" t="s">
        <v>45</v>
      </c>
      <c r="D842" s="0" t="n">
        <v>12</v>
      </c>
      <c r="E842" s="6" t="n">
        <v>40800.5965277778</v>
      </c>
      <c r="F842" s="0" t="n">
        <v>0.65</v>
      </c>
      <c r="G842" s="0" t="n">
        <v>12726</v>
      </c>
      <c r="H842" s="0" t="s">
        <v>43</v>
      </c>
      <c r="I842" s="7" t="n">
        <f aca="false">IF(AND(LEFT(A842,1)&lt;&gt;"C",D842&gt;0,F842&gt;0),1,0)</f>
        <v>1</v>
      </c>
      <c r="J842" s="7" t="n">
        <f aca="false">IF(I842=1,D842*F842,0)</f>
        <v>7.8</v>
      </c>
      <c r="K842" s="7" t="n">
        <f aca="false">YEAR(E842)*100+MONTH(E842)</f>
        <v>201109</v>
      </c>
      <c r="L842" s="7" t="n">
        <f aca="false">IF(AND(A842&lt;&gt;A841,LEFT(A842,1)&lt;&gt;"C"),1,0)</f>
        <v>0</v>
      </c>
    </row>
    <row r="843" customFormat="false" ht="15" hidden="false" customHeight="false" outlineLevel="0" collapsed="false">
      <c r="A843" s="0" t="s">
        <v>972</v>
      </c>
      <c r="B843" s="0" t="s">
        <v>975</v>
      </c>
      <c r="C843" s="0" t="s">
        <v>976</v>
      </c>
      <c r="D843" s="0" t="n">
        <v>10</v>
      </c>
      <c r="E843" s="6" t="n">
        <v>40800.5965277778</v>
      </c>
      <c r="F843" s="0" t="n">
        <v>1.65</v>
      </c>
      <c r="G843" s="0" t="n">
        <v>12726</v>
      </c>
      <c r="H843" s="0" t="s">
        <v>43</v>
      </c>
      <c r="I843" s="7" t="n">
        <f aca="false">IF(AND(LEFT(A843,1)&lt;&gt;"C",D843&gt;0,F843&gt;0),1,0)</f>
        <v>1</v>
      </c>
      <c r="J843" s="7" t="n">
        <f aca="false">IF(I843=1,D843*F843,0)</f>
        <v>16.5</v>
      </c>
      <c r="K843" s="7" t="n">
        <f aca="false">YEAR(E843)*100+MONTH(E843)</f>
        <v>201109</v>
      </c>
      <c r="L843" s="7" t="n">
        <f aca="false">IF(AND(A843&lt;&gt;A842,LEFT(A843,1)&lt;&gt;"C"),1,0)</f>
        <v>0</v>
      </c>
    </row>
    <row r="844" customFormat="false" ht="15" hidden="false" customHeight="false" outlineLevel="0" collapsed="false">
      <c r="A844" s="0" t="s">
        <v>972</v>
      </c>
      <c r="B844" s="0" t="s">
        <v>977</v>
      </c>
      <c r="C844" s="0" t="s">
        <v>978</v>
      </c>
      <c r="D844" s="0" t="n">
        <v>10</v>
      </c>
      <c r="E844" s="6" t="n">
        <v>40800.5965277778</v>
      </c>
      <c r="F844" s="0" t="n">
        <v>1.65</v>
      </c>
      <c r="G844" s="0" t="n">
        <v>12726</v>
      </c>
      <c r="H844" s="0" t="s">
        <v>43</v>
      </c>
      <c r="I844" s="7" t="n">
        <f aca="false">IF(AND(LEFT(A844,1)&lt;&gt;"C",D844&gt;0,F844&gt;0),1,0)</f>
        <v>1</v>
      </c>
      <c r="J844" s="7" t="n">
        <f aca="false">IF(I844=1,D844*F844,0)</f>
        <v>16.5</v>
      </c>
      <c r="K844" s="7" t="n">
        <f aca="false">YEAR(E844)*100+MONTH(E844)</f>
        <v>201109</v>
      </c>
      <c r="L844" s="7" t="n">
        <f aca="false">IF(AND(A844&lt;&gt;A843,LEFT(A844,1)&lt;&gt;"C"),1,0)</f>
        <v>0</v>
      </c>
    </row>
    <row r="845" customFormat="false" ht="15" hidden="false" customHeight="false" outlineLevel="0" collapsed="false">
      <c r="A845" s="0" t="s">
        <v>972</v>
      </c>
      <c r="B845" s="0" t="s">
        <v>979</v>
      </c>
      <c r="C845" s="0" t="s">
        <v>980</v>
      </c>
      <c r="D845" s="0" t="n">
        <v>24</v>
      </c>
      <c r="E845" s="6" t="n">
        <v>40800.5965277778</v>
      </c>
      <c r="F845" s="0" t="n">
        <v>0.42</v>
      </c>
      <c r="G845" s="0" t="n">
        <v>12726</v>
      </c>
      <c r="H845" s="0" t="s">
        <v>43</v>
      </c>
      <c r="I845" s="7" t="n">
        <f aca="false">IF(AND(LEFT(A845,1)&lt;&gt;"C",D845&gt;0,F845&gt;0),1,0)</f>
        <v>1</v>
      </c>
      <c r="J845" s="7" t="n">
        <f aca="false">IF(I845=1,D845*F845,0)</f>
        <v>10.08</v>
      </c>
      <c r="K845" s="7" t="n">
        <f aca="false">YEAR(E845)*100+MONTH(E845)</f>
        <v>201109</v>
      </c>
      <c r="L845" s="7" t="n">
        <f aca="false">IF(AND(A845&lt;&gt;A844,LEFT(A845,1)&lt;&gt;"C"),1,0)</f>
        <v>0</v>
      </c>
    </row>
    <row r="846" customFormat="false" ht="15" hidden="false" customHeight="false" outlineLevel="0" collapsed="false">
      <c r="A846" s="0" t="s">
        <v>972</v>
      </c>
      <c r="B846" s="0" t="s">
        <v>981</v>
      </c>
      <c r="C846" s="0" t="s">
        <v>982</v>
      </c>
      <c r="D846" s="0" t="n">
        <v>24</v>
      </c>
      <c r="E846" s="6" t="n">
        <v>40800.5965277778</v>
      </c>
      <c r="F846" s="0" t="n">
        <v>0.42</v>
      </c>
      <c r="G846" s="0" t="n">
        <v>12726</v>
      </c>
      <c r="H846" s="0" t="s">
        <v>43</v>
      </c>
      <c r="I846" s="7" t="n">
        <f aca="false">IF(AND(LEFT(A846,1)&lt;&gt;"C",D846&gt;0,F846&gt;0),1,0)</f>
        <v>1</v>
      </c>
      <c r="J846" s="7" t="n">
        <f aca="false">IF(I846=1,D846*F846,0)</f>
        <v>10.08</v>
      </c>
      <c r="K846" s="7" t="n">
        <f aca="false">YEAR(E846)*100+MONTH(E846)</f>
        <v>201109</v>
      </c>
      <c r="L846" s="7" t="n">
        <f aca="false">IF(AND(A846&lt;&gt;A845,LEFT(A846,1)&lt;&gt;"C"),1,0)</f>
        <v>0</v>
      </c>
    </row>
    <row r="847" customFormat="false" ht="15" hidden="false" customHeight="false" outlineLevel="0" collapsed="false">
      <c r="A847" s="0" t="s">
        <v>972</v>
      </c>
      <c r="B847" s="0" t="s">
        <v>195</v>
      </c>
      <c r="C847" s="0" t="s">
        <v>196</v>
      </c>
      <c r="D847" s="0" t="n">
        <v>24</v>
      </c>
      <c r="E847" s="6" t="n">
        <v>40800.5965277778</v>
      </c>
      <c r="F847" s="0" t="n">
        <v>0.85</v>
      </c>
      <c r="G847" s="0" t="n">
        <v>12726</v>
      </c>
      <c r="H847" s="0" t="s">
        <v>43</v>
      </c>
      <c r="I847" s="7" t="n">
        <f aca="false">IF(AND(LEFT(A847,1)&lt;&gt;"C",D847&gt;0,F847&gt;0),1,0)</f>
        <v>1</v>
      </c>
      <c r="J847" s="7" t="n">
        <f aca="false">IF(I847=1,D847*F847,0)</f>
        <v>20.4</v>
      </c>
      <c r="K847" s="7" t="n">
        <f aca="false">YEAR(E847)*100+MONTH(E847)</f>
        <v>201109</v>
      </c>
      <c r="L847" s="7" t="n">
        <f aca="false">IF(AND(A847&lt;&gt;A846,LEFT(A847,1)&lt;&gt;"C"),1,0)</f>
        <v>0</v>
      </c>
    </row>
    <row r="848" customFormat="false" ht="15" hidden="false" customHeight="false" outlineLevel="0" collapsed="false">
      <c r="A848" s="0" t="s">
        <v>972</v>
      </c>
      <c r="B848" s="0" t="s">
        <v>197</v>
      </c>
      <c r="C848" s="0" t="s">
        <v>198</v>
      </c>
      <c r="D848" s="0" t="n">
        <v>24</v>
      </c>
      <c r="E848" s="6" t="n">
        <v>40800.5965277778</v>
      </c>
      <c r="F848" s="0" t="n">
        <v>0.85</v>
      </c>
      <c r="G848" s="0" t="n">
        <v>12726</v>
      </c>
      <c r="H848" s="0" t="s">
        <v>43</v>
      </c>
      <c r="I848" s="7" t="n">
        <f aca="false">IF(AND(LEFT(A848,1)&lt;&gt;"C",D848&gt;0,F848&gt;0),1,0)</f>
        <v>1</v>
      </c>
      <c r="J848" s="7" t="n">
        <f aca="false">IF(I848=1,D848*F848,0)</f>
        <v>20.4</v>
      </c>
      <c r="K848" s="7" t="n">
        <f aca="false">YEAR(E848)*100+MONTH(E848)</f>
        <v>201109</v>
      </c>
      <c r="L848" s="7" t="n">
        <f aca="false">IF(AND(A848&lt;&gt;A847,LEFT(A848,1)&lt;&gt;"C"),1,0)</f>
        <v>0</v>
      </c>
    </row>
    <row r="849" customFormat="false" ht="15" hidden="false" customHeight="false" outlineLevel="0" collapsed="false">
      <c r="A849" s="0" t="s">
        <v>972</v>
      </c>
      <c r="B849" s="0" t="s">
        <v>983</v>
      </c>
      <c r="C849" s="0" t="s">
        <v>984</v>
      </c>
      <c r="D849" s="0" t="n">
        <v>20</v>
      </c>
      <c r="E849" s="6" t="n">
        <v>40800.5965277778</v>
      </c>
      <c r="F849" s="0" t="n">
        <v>0.85</v>
      </c>
      <c r="G849" s="0" t="n">
        <v>12726</v>
      </c>
      <c r="H849" s="0" t="s">
        <v>43</v>
      </c>
      <c r="I849" s="7" t="n">
        <f aca="false">IF(AND(LEFT(A849,1)&lt;&gt;"C",D849&gt;0,F849&gt;0),1,0)</f>
        <v>1</v>
      </c>
      <c r="J849" s="7" t="n">
        <f aca="false">IF(I849=1,D849*F849,0)</f>
        <v>17</v>
      </c>
      <c r="K849" s="7" t="n">
        <f aca="false">YEAR(E849)*100+MONTH(E849)</f>
        <v>201109</v>
      </c>
      <c r="L849" s="7" t="n">
        <f aca="false">IF(AND(A849&lt;&gt;A848,LEFT(A849,1)&lt;&gt;"C"),1,0)</f>
        <v>0</v>
      </c>
    </row>
    <row r="850" customFormat="false" ht="15" hidden="false" customHeight="false" outlineLevel="0" collapsed="false">
      <c r="A850" s="0" t="s">
        <v>972</v>
      </c>
      <c r="B850" s="0" t="s">
        <v>985</v>
      </c>
      <c r="C850" s="0" t="s">
        <v>986</v>
      </c>
      <c r="D850" s="0" t="n">
        <v>16</v>
      </c>
      <c r="E850" s="6" t="n">
        <v>40800.5965277778</v>
      </c>
      <c r="F850" s="0" t="n">
        <v>0.42</v>
      </c>
      <c r="G850" s="0" t="n">
        <v>12726</v>
      </c>
      <c r="H850" s="0" t="s">
        <v>43</v>
      </c>
      <c r="I850" s="7" t="n">
        <f aca="false">IF(AND(LEFT(A850,1)&lt;&gt;"C",D850&gt;0,F850&gt;0),1,0)</f>
        <v>1</v>
      </c>
      <c r="J850" s="7" t="n">
        <f aca="false">IF(I850=1,D850*F850,0)</f>
        <v>6.72</v>
      </c>
      <c r="K850" s="7" t="n">
        <f aca="false">YEAR(E850)*100+MONTH(E850)</f>
        <v>201109</v>
      </c>
      <c r="L850" s="7" t="n">
        <f aca="false">IF(AND(A850&lt;&gt;A849,LEFT(A850,1)&lt;&gt;"C"),1,0)</f>
        <v>0</v>
      </c>
    </row>
    <row r="851" customFormat="false" ht="15" hidden="false" customHeight="false" outlineLevel="0" collapsed="false">
      <c r="A851" s="0" t="s">
        <v>972</v>
      </c>
      <c r="B851" s="0" t="s">
        <v>151</v>
      </c>
      <c r="C851" s="0" t="s">
        <v>152</v>
      </c>
      <c r="D851" s="0" t="n">
        <v>24</v>
      </c>
      <c r="E851" s="6" t="n">
        <v>40800.5965277778</v>
      </c>
      <c r="F851" s="0" t="n">
        <v>0.85</v>
      </c>
      <c r="G851" s="0" t="n">
        <v>12726</v>
      </c>
      <c r="H851" s="0" t="s">
        <v>43</v>
      </c>
      <c r="I851" s="7" t="n">
        <f aca="false">IF(AND(LEFT(A851,1)&lt;&gt;"C",D851&gt;0,F851&gt;0),1,0)</f>
        <v>1</v>
      </c>
      <c r="J851" s="7" t="n">
        <f aca="false">IF(I851=1,D851*F851,0)</f>
        <v>20.4</v>
      </c>
      <c r="K851" s="7" t="n">
        <f aca="false">YEAR(E851)*100+MONTH(E851)</f>
        <v>201109</v>
      </c>
      <c r="L851" s="7" t="n">
        <f aca="false">IF(AND(A851&lt;&gt;A850,LEFT(A851,1)&lt;&gt;"C"),1,0)</f>
        <v>0</v>
      </c>
    </row>
    <row r="852" customFormat="false" ht="15" hidden="false" customHeight="false" outlineLevel="0" collapsed="false">
      <c r="A852" s="0" t="s">
        <v>972</v>
      </c>
      <c r="B852" s="0" t="s">
        <v>987</v>
      </c>
      <c r="C852" s="0" t="s">
        <v>988</v>
      </c>
      <c r="D852" s="0" t="n">
        <v>24</v>
      </c>
      <c r="E852" s="6" t="n">
        <v>40800.5965277778</v>
      </c>
      <c r="F852" s="0" t="n">
        <v>0.85</v>
      </c>
      <c r="G852" s="0" t="n">
        <v>12726</v>
      </c>
      <c r="H852" s="0" t="s">
        <v>43</v>
      </c>
      <c r="I852" s="7" t="n">
        <f aca="false">IF(AND(LEFT(A852,1)&lt;&gt;"C",D852&gt;0,F852&gt;0),1,0)</f>
        <v>1</v>
      </c>
      <c r="J852" s="7" t="n">
        <f aca="false">IF(I852=1,D852*F852,0)</f>
        <v>20.4</v>
      </c>
      <c r="K852" s="7" t="n">
        <f aca="false">YEAR(E852)*100+MONTH(E852)</f>
        <v>201109</v>
      </c>
      <c r="L852" s="7" t="n">
        <f aca="false">IF(AND(A852&lt;&gt;A851,LEFT(A852,1)&lt;&gt;"C"),1,0)</f>
        <v>0</v>
      </c>
    </row>
    <row r="853" customFormat="false" ht="15" hidden="false" customHeight="false" outlineLevel="0" collapsed="false">
      <c r="A853" s="0" t="s">
        <v>972</v>
      </c>
      <c r="B853" s="0" t="s">
        <v>157</v>
      </c>
      <c r="C853" s="0" t="s">
        <v>158</v>
      </c>
      <c r="D853" s="0" t="n">
        <v>24</v>
      </c>
      <c r="E853" s="6" t="n">
        <v>40800.5965277778</v>
      </c>
      <c r="F853" s="0" t="n">
        <v>0.65</v>
      </c>
      <c r="G853" s="0" t="n">
        <v>12726</v>
      </c>
      <c r="H853" s="0" t="s">
        <v>43</v>
      </c>
      <c r="I853" s="7" t="n">
        <f aca="false">IF(AND(LEFT(A853,1)&lt;&gt;"C",D853&gt;0,F853&gt;0),1,0)</f>
        <v>1</v>
      </c>
      <c r="J853" s="7" t="n">
        <f aca="false">IF(I853=1,D853*F853,0)</f>
        <v>15.6</v>
      </c>
      <c r="K853" s="7" t="n">
        <f aca="false">YEAR(E853)*100+MONTH(E853)</f>
        <v>201109</v>
      </c>
      <c r="L853" s="7" t="n">
        <f aca="false">IF(AND(A853&lt;&gt;A852,LEFT(A853,1)&lt;&gt;"C"),1,0)</f>
        <v>0</v>
      </c>
    </row>
    <row r="854" customFormat="false" ht="15" hidden="false" customHeight="false" outlineLevel="0" collapsed="false">
      <c r="A854" s="0" t="s">
        <v>972</v>
      </c>
      <c r="B854" s="0" t="s">
        <v>193</v>
      </c>
      <c r="C854" s="0" t="s">
        <v>194</v>
      </c>
      <c r="D854" s="0" t="n">
        <v>24</v>
      </c>
      <c r="E854" s="6" t="n">
        <v>40800.5965277778</v>
      </c>
      <c r="F854" s="0" t="n">
        <v>0.65</v>
      </c>
      <c r="G854" s="0" t="n">
        <v>12726</v>
      </c>
      <c r="H854" s="0" t="s">
        <v>43</v>
      </c>
      <c r="I854" s="7" t="n">
        <f aca="false">IF(AND(LEFT(A854,1)&lt;&gt;"C",D854&gt;0,F854&gt;0),1,0)</f>
        <v>1</v>
      </c>
      <c r="J854" s="7" t="n">
        <f aca="false">IF(I854=1,D854*F854,0)</f>
        <v>15.6</v>
      </c>
      <c r="K854" s="7" t="n">
        <f aca="false">YEAR(E854)*100+MONTH(E854)</f>
        <v>201109</v>
      </c>
      <c r="L854" s="7" t="n">
        <f aca="false">IF(AND(A854&lt;&gt;A853,LEFT(A854,1)&lt;&gt;"C"),1,0)</f>
        <v>0</v>
      </c>
    </row>
    <row r="855" customFormat="false" ht="15" hidden="false" customHeight="false" outlineLevel="0" collapsed="false">
      <c r="A855" s="0" t="s">
        <v>972</v>
      </c>
      <c r="B855" s="0" t="s">
        <v>989</v>
      </c>
      <c r="C855" s="0" t="s">
        <v>990</v>
      </c>
      <c r="D855" s="0" t="n">
        <v>24</v>
      </c>
      <c r="E855" s="6" t="n">
        <v>40800.5965277778</v>
      </c>
      <c r="F855" s="0" t="n">
        <v>1.65</v>
      </c>
      <c r="G855" s="0" t="n">
        <v>12726</v>
      </c>
      <c r="H855" s="0" t="s">
        <v>43</v>
      </c>
      <c r="I855" s="7" t="n">
        <f aca="false">IF(AND(LEFT(A855,1)&lt;&gt;"C",D855&gt;0,F855&gt;0),1,0)</f>
        <v>1</v>
      </c>
      <c r="J855" s="7" t="n">
        <f aca="false">IF(I855=1,D855*F855,0)</f>
        <v>39.6</v>
      </c>
      <c r="K855" s="7" t="n">
        <f aca="false">YEAR(E855)*100+MONTH(E855)</f>
        <v>201109</v>
      </c>
      <c r="L855" s="7" t="n">
        <f aca="false">IF(AND(A855&lt;&gt;A854,LEFT(A855,1)&lt;&gt;"C"),1,0)</f>
        <v>0</v>
      </c>
    </row>
    <row r="856" customFormat="false" ht="15" hidden="false" customHeight="false" outlineLevel="0" collapsed="false">
      <c r="A856" s="0" t="s">
        <v>972</v>
      </c>
      <c r="B856" s="0" t="s">
        <v>115</v>
      </c>
      <c r="C856" s="0" t="s">
        <v>116</v>
      </c>
      <c r="D856" s="0" t="n">
        <v>24</v>
      </c>
      <c r="E856" s="6" t="n">
        <v>40800.5965277778</v>
      </c>
      <c r="F856" s="0" t="n">
        <v>0.85</v>
      </c>
      <c r="G856" s="0" t="n">
        <v>12726</v>
      </c>
      <c r="H856" s="0" t="s">
        <v>43</v>
      </c>
      <c r="I856" s="7" t="n">
        <f aca="false">IF(AND(LEFT(A856,1)&lt;&gt;"C",D856&gt;0,F856&gt;0),1,0)</f>
        <v>1</v>
      </c>
      <c r="J856" s="7" t="n">
        <f aca="false">IF(I856=1,D856*F856,0)</f>
        <v>20.4</v>
      </c>
      <c r="K856" s="7" t="n">
        <f aca="false">YEAR(E856)*100+MONTH(E856)</f>
        <v>201109</v>
      </c>
      <c r="L856" s="7" t="n">
        <f aca="false">IF(AND(A856&lt;&gt;A855,LEFT(A856,1)&lt;&gt;"C"),1,0)</f>
        <v>0</v>
      </c>
    </row>
    <row r="857" customFormat="false" ht="15" hidden="false" customHeight="false" outlineLevel="0" collapsed="false">
      <c r="A857" s="0" t="s">
        <v>972</v>
      </c>
      <c r="B857" s="0" t="s">
        <v>543</v>
      </c>
      <c r="C857" s="0" t="s">
        <v>544</v>
      </c>
      <c r="D857" s="0" t="n">
        <v>48</v>
      </c>
      <c r="E857" s="6" t="n">
        <v>40800.5965277778</v>
      </c>
      <c r="F857" s="0" t="n">
        <v>0.42</v>
      </c>
      <c r="G857" s="0" t="n">
        <v>12726</v>
      </c>
      <c r="H857" s="0" t="s">
        <v>43</v>
      </c>
      <c r="I857" s="7" t="n">
        <f aca="false">IF(AND(LEFT(A857,1)&lt;&gt;"C",D857&gt;0,F857&gt;0),1,0)</f>
        <v>1</v>
      </c>
      <c r="J857" s="7" t="n">
        <f aca="false">IF(I857=1,D857*F857,0)</f>
        <v>20.16</v>
      </c>
      <c r="K857" s="7" t="n">
        <f aca="false">YEAR(E857)*100+MONTH(E857)</f>
        <v>201109</v>
      </c>
      <c r="L857" s="7" t="n">
        <f aca="false">IF(AND(A857&lt;&gt;A856,LEFT(A857,1)&lt;&gt;"C"),1,0)</f>
        <v>0</v>
      </c>
    </row>
    <row r="858" customFormat="false" ht="15" hidden="false" customHeight="false" outlineLevel="0" collapsed="false">
      <c r="A858" s="0" t="s">
        <v>972</v>
      </c>
      <c r="B858" s="0" t="s">
        <v>991</v>
      </c>
      <c r="C858" s="0" t="s">
        <v>992</v>
      </c>
      <c r="D858" s="0" t="n">
        <v>24</v>
      </c>
      <c r="E858" s="6" t="n">
        <v>40800.5965277778</v>
      </c>
      <c r="F858" s="0" t="n">
        <v>0.42</v>
      </c>
      <c r="G858" s="0" t="n">
        <v>12726</v>
      </c>
      <c r="H858" s="0" t="s">
        <v>43</v>
      </c>
      <c r="I858" s="7" t="n">
        <f aca="false">IF(AND(LEFT(A858,1)&lt;&gt;"C",D858&gt;0,F858&gt;0),1,0)</f>
        <v>1</v>
      </c>
      <c r="J858" s="7" t="n">
        <f aca="false">IF(I858=1,D858*F858,0)</f>
        <v>10.08</v>
      </c>
      <c r="K858" s="7" t="n">
        <f aca="false">YEAR(E858)*100+MONTH(E858)</f>
        <v>201109</v>
      </c>
      <c r="L858" s="7" t="n">
        <f aca="false">IF(AND(A858&lt;&gt;A857,LEFT(A858,1)&lt;&gt;"C"),1,0)</f>
        <v>0</v>
      </c>
    </row>
    <row r="859" customFormat="false" ht="15" hidden="false" customHeight="false" outlineLevel="0" collapsed="false">
      <c r="A859" s="0" t="s">
        <v>972</v>
      </c>
      <c r="B859" s="0" t="s">
        <v>84</v>
      </c>
      <c r="C859" s="0" t="s">
        <v>85</v>
      </c>
      <c r="D859" s="0" t="n">
        <v>2</v>
      </c>
      <c r="E859" s="6" t="n">
        <v>40800.5965277778</v>
      </c>
      <c r="F859" s="0" t="n">
        <v>18</v>
      </c>
      <c r="G859" s="0" t="n">
        <v>12726</v>
      </c>
      <c r="H859" s="0" t="s">
        <v>43</v>
      </c>
      <c r="I859" s="7" t="n">
        <f aca="false">IF(AND(LEFT(A859,1)&lt;&gt;"C",D859&gt;0,F859&gt;0),1,0)</f>
        <v>1</v>
      </c>
      <c r="J859" s="7" t="n">
        <f aca="false">IF(I859=1,D859*F859,0)</f>
        <v>36</v>
      </c>
      <c r="K859" s="7" t="n">
        <f aca="false">YEAR(E859)*100+MONTH(E859)</f>
        <v>201109</v>
      </c>
      <c r="L859" s="7" t="n">
        <f aca="false">IF(AND(A859&lt;&gt;A858,LEFT(A859,1)&lt;&gt;"C"),1,0)</f>
        <v>0</v>
      </c>
    </row>
    <row r="860" customFormat="false" ht="15" hidden="false" customHeight="false" outlineLevel="0" collapsed="false">
      <c r="A860" s="0" t="s">
        <v>993</v>
      </c>
      <c r="B860" s="0" t="s">
        <v>994</v>
      </c>
      <c r="C860" s="0" t="s">
        <v>995</v>
      </c>
      <c r="D860" s="0" t="n">
        <v>12</v>
      </c>
      <c r="E860" s="6" t="n">
        <v>40800.6041666667</v>
      </c>
      <c r="F860" s="0" t="n">
        <v>1.25</v>
      </c>
      <c r="G860" s="0" t="n">
        <v>12566</v>
      </c>
      <c r="H860" s="0" t="s">
        <v>33</v>
      </c>
      <c r="I860" s="7" t="n">
        <f aca="false">IF(AND(LEFT(A860,1)&lt;&gt;"C",D860&gt;0,F860&gt;0),1,0)</f>
        <v>1</v>
      </c>
      <c r="J860" s="7" t="n">
        <f aca="false">IF(I860=1,D860*F860,0)</f>
        <v>15</v>
      </c>
      <c r="K860" s="7" t="n">
        <f aca="false">YEAR(E860)*100+MONTH(E860)</f>
        <v>201109</v>
      </c>
      <c r="L860" s="7" t="n">
        <f aca="false">IF(AND(A860&lt;&gt;A859,LEFT(A860,1)&lt;&gt;"C"),1,0)</f>
        <v>1</v>
      </c>
    </row>
    <row r="861" customFormat="false" ht="15" hidden="false" customHeight="false" outlineLevel="0" collapsed="false">
      <c r="A861" s="0" t="s">
        <v>993</v>
      </c>
      <c r="B861" s="0" t="s">
        <v>996</v>
      </c>
      <c r="C861" s="0" t="s">
        <v>997</v>
      </c>
      <c r="D861" s="0" t="n">
        <v>12</v>
      </c>
      <c r="E861" s="6" t="n">
        <v>40800.6041666667</v>
      </c>
      <c r="F861" s="0" t="n">
        <v>1.65</v>
      </c>
      <c r="G861" s="0" t="n">
        <v>12566</v>
      </c>
      <c r="H861" s="0" t="s">
        <v>33</v>
      </c>
      <c r="I861" s="7" t="n">
        <f aca="false">IF(AND(LEFT(A861,1)&lt;&gt;"C",D861&gt;0,F861&gt;0),1,0)</f>
        <v>1</v>
      </c>
      <c r="J861" s="7" t="n">
        <f aca="false">IF(I861=1,D861*F861,0)</f>
        <v>19.8</v>
      </c>
      <c r="K861" s="7" t="n">
        <f aca="false">YEAR(E861)*100+MONTH(E861)</f>
        <v>201109</v>
      </c>
      <c r="L861" s="7" t="n">
        <f aca="false">IF(AND(A861&lt;&gt;A860,LEFT(A861,1)&lt;&gt;"C"),1,0)</f>
        <v>0</v>
      </c>
    </row>
    <row r="862" customFormat="false" ht="15" hidden="false" customHeight="false" outlineLevel="0" collapsed="false">
      <c r="A862" s="0" t="s">
        <v>993</v>
      </c>
      <c r="B862" s="0" t="s">
        <v>144</v>
      </c>
      <c r="C862" s="0" t="s">
        <v>145</v>
      </c>
      <c r="D862" s="0" t="n">
        <v>12</v>
      </c>
      <c r="E862" s="6" t="n">
        <v>40800.6041666667</v>
      </c>
      <c r="F862" s="0" t="n">
        <v>1.25</v>
      </c>
      <c r="G862" s="0" t="n">
        <v>12566</v>
      </c>
      <c r="H862" s="0" t="s">
        <v>33</v>
      </c>
      <c r="I862" s="7" t="n">
        <f aca="false">IF(AND(LEFT(A862,1)&lt;&gt;"C",D862&gt;0,F862&gt;0),1,0)</f>
        <v>1</v>
      </c>
      <c r="J862" s="7" t="n">
        <f aca="false">IF(I862=1,D862*F862,0)</f>
        <v>15</v>
      </c>
      <c r="K862" s="7" t="n">
        <f aca="false">YEAR(E862)*100+MONTH(E862)</f>
        <v>201109</v>
      </c>
      <c r="L862" s="7" t="n">
        <f aca="false">IF(AND(A862&lt;&gt;A861,LEFT(A862,1)&lt;&gt;"C"),1,0)</f>
        <v>0</v>
      </c>
    </row>
    <row r="863" customFormat="false" ht="15" hidden="false" customHeight="false" outlineLevel="0" collapsed="false">
      <c r="A863" s="0" t="s">
        <v>993</v>
      </c>
      <c r="B863" s="0" t="s">
        <v>998</v>
      </c>
      <c r="C863" s="0" t="s">
        <v>999</v>
      </c>
      <c r="D863" s="0" t="n">
        <v>48</v>
      </c>
      <c r="E863" s="6" t="n">
        <v>40800.6041666667</v>
      </c>
      <c r="F863" s="0" t="n">
        <v>0.39</v>
      </c>
      <c r="G863" s="0" t="n">
        <v>12566</v>
      </c>
      <c r="H863" s="0" t="s">
        <v>33</v>
      </c>
      <c r="I863" s="7" t="n">
        <f aca="false">IF(AND(LEFT(A863,1)&lt;&gt;"C",D863&gt;0,F863&gt;0),1,0)</f>
        <v>1</v>
      </c>
      <c r="J863" s="7" t="n">
        <f aca="false">IF(I863=1,D863*F863,0)</f>
        <v>18.72</v>
      </c>
      <c r="K863" s="7" t="n">
        <f aca="false">YEAR(E863)*100+MONTH(E863)</f>
        <v>201109</v>
      </c>
      <c r="L863" s="7" t="n">
        <f aca="false">IF(AND(A863&lt;&gt;A862,LEFT(A863,1)&lt;&gt;"C"),1,0)</f>
        <v>0</v>
      </c>
    </row>
    <row r="864" customFormat="false" ht="15" hidden="false" customHeight="false" outlineLevel="0" collapsed="false">
      <c r="A864" s="0" t="s">
        <v>993</v>
      </c>
      <c r="B864" s="0" t="s">
        <v>953</v>
      </c>
      <c r="C864" s="0" t="s">
        <v>954</v>
      </c>
      <c r="D864" s="0" t="n">
        <v>10</v>
      </c>
      <c r="E864" s="6" t="n">
        <v>40800.6041666667</v>
      </c>
      <c r="F864" s="0" t="n">
        <v>1.25</v>
      </c>
      <c r="G864" s="0" t="n">
        <v>12566</v>
      </c>
      <c r="H864" s="0" t="s">
        <v>33</v>
      </c>
      <c r="I864" s="7" t="n">
        <f aca="false">IF(AND(LEFT(A864,1)&lt;&gt;"C",D864&gt;0,F864&gt;0),1,0)</f>
        <v>1</v>
      </c>
      <c r="J864" s="7" t="n">
        <f aca="false">IF(I864=1,D864*F864,0)</f>
        <v>12.5</v>
      </c>
      <c r="K864" s="7" t="n">
        <f aca="false">YEAR(E864)*100+MONTH(E864)</f>
        <v>201109</v>
      </c>
      <c r="L864" s="7" t="n">
        <f aca="false">IF(AND(A864&lt;&gt;A863,LEFT(A864,1)&lt;&gt;"C"),1,0)</f>
        <v>0</v>
      </c>
    </row>
    <row r="865" customFormat="false" ht="15" hidden="false" customHeight="false" outlineLevel="0" collapsed="false">
      <c r="A865" s="0" t="s">
        <v>993</v>
      </c>
      <c r="B865" s="0" t="s">
        <v>545</v>
      </c>
      <c r="C865" s="0" t="s">
        <v>546</v>
      </c>
      <c r="D865" s="0" t="n">
        <v>3</v>
      </c>
      <c r="E865" s="6" t="n">
        <v>40800.6041666667</v>
      </c>
      <c r="F865" s="0" t="n">
        <v>4.95</v>
      </c>
      <c r="G865" s="0" t="n">
        <v>12566</v>
      </c>
      <c r="H865" s="0" t="s">
        <v>33</v>
      </c>
      <c r="I865" s="7" t="n">
        <f aca="false">IF(AND(LEFT(A865,1)&lt;&gt;"C",D865&gt;0,F865&gt;0),1,0)</f>
        <v>1</v>
      </c>
      <c r="J865" s="7" t="n">
        <f aca="false">IF(I865=1,D865*F865,0)</f>
        <v>14.85</v>
      </c>
      <c r="K865" s="7" t="n">
        <f aca="false">YEAR(E865)*100+MONTH(E865)</f>
        <v>201109</v>
      </c>
      <c r="L865" s="7" t="n">
        <f aca="false">IF(AND(A865&lt;&gt;A864,LEFT(A865,1)&lt;&gt;"C"),1,0)</f>
        <v>0</v>
      </c>
    </row>
    <row r="866" customFormat="false" ht="15" hidden="false" customHeight="false" outlineLevel="0" collapsed="false">
      <c r="A866" s="0" t="s">
        <v>993</v>
      </c>
      <c r="B866" s="0" t="s">
        <v>1000</v>
      </c>
      <c r="C866" s="0" t="s">
        <v>1001</v>
      </c>
      <c r="D866" s="0" t="n">
        <v>4</v>
      </c>
      <c r="E866" s="6" t="n">
        <v>40800.6041666667</v>
      </c>
      <c r="F866" s="0" t="n">
        <v>4.95</v>
      </c>
      <c r="G866" s="0" t="n">
        <v>12566</v>
      </c>
      <c r="H866" s="0" t="s">
        <v>33</v>
      </c>
      <c r="I866" s="7" t="n">
        <f aca="false">IF(AND(LEFT(A866,1)&lt;&gt;"C",D866&gt;0,F866&gt;0),1,0)</f>
        <v>1</v>
      </c>
      <c r="J866" s="7" t="n">
        <f aca="false">IF(I866=1,D866*F866,0)</f>
        <v>19.8</v>
      </c>
      <c r="K866" s="7" t="n">
        <f aca="false">YEAR(E866)*100+MONTH(E866)</f>
        <v>201109</v>
      </c>
      <c r="L866" s="7" t="n">
        <f aca="false">IF(AND(A866&lt;&gt;A865,LEFT(A866,1)&lt;&gt;"C"),1,0)</f>
        <v>0</v>
      </c>
    </row>
    <row r="867" customFormat="false" ht="15" hidden="false" customHeight="false" outlineLevel="0" collapsed="false">
      <c r="A867" s="0" t="s">
        <v>993</v>
      </c>
      <c r="B867" s="0" t="s">
        <v>473</v>
      </c>
      <c r="C867" s="0" t="s">
        <v>474</v>
      </c>
      <c r="D867" s="0" t="n">
        <v>2</v>
      </c>
      <c r="E867" s="6" t="n">
        <v>40800.6041666667</v>
      </c>
      <c r="F867" s="0" t="n">
        <v>9.95</v>
      </c>
      <c r="G867" s="0" t="n">
        <v>12566</v>
      </c>
      <c r="H867" s="0" t="s">
        <v>33</v>
      </c>
      <c r="I867" s="7" t="n">
        <f aca="false">IF(AND(LEFT(A867,1)&lt;&gt;"C",D867&gt;0,F867&gt;0),1,0)</f>
        <v>1</v>
      </c>
      <c r="J867" s="7" t="n">
        <f aca="false">IF(I867=1,D867*F867,0)</f>
        <v>19.9</v>
      </c>
      <c r="K867" s="7" t="n">
        <f aca="false">YEAR(E867)*100+MONTH(E867)</f>
        <v>201109</v>
      </c>
      <c r="L867" s="7" t="n">
        <f aca="false">IF(AND(A867&lt;&gt;A866,LEFT(A867,1)&lt;&gt;"C"),1,0)</f>
        <v>0</v>
      </c>
    </row>
    <row r="868" customFormat="false" ht="15" hidden="false" customHeight="false" outlineLevel="0" collapsed="false">
      <c r="A868" s="0" t="s">
        <v>993</v>
      </c>
      <c r="B868" s="0" t="s">
        <v>475</v>
      </c>
      <c r="C868" s="0" t="s">
        <v>476</v>
      </c>
      <c r="D868" s="0" t="n">
        <v>2</v>
      </c>
      <c r="E868" s="6" t="n">
        <v>40800.6041666667</v>
      </c>
      <c r="F868" s="0" t="n">
        <v>9.95</v>
      </c>
      <c r="G868" s="0" t="n">
        <v>12566</v>
      </c>
      <c r="H868" s="0" t="s">
        <v>33</v>
      </c>
      <c r="I868" s="7" t="n">
        <f aca="false">IF(AND(LEFT(A868,1)&lt;&gt;"C",D868&gt;0,F868&gt;0),1,0)</f>
        <v>1</v>
      </c>
      <c r="J868" s="7" t="n">
        <f aca="false">IF(I868=1,D868*F868,0)</f>
        <v>19.9</v>
      </c>
      <c r="K868" s="7" t="n">
        <f aca="false">YEAR(E868)*100+MONTH(E868)</f>
        <v>201109</v>
      </c>
      <c r="L868" s="7" t="n">
        <f aca="false">IF(AND(A868&lt;&gt;A867,LEFT(A868,1)&lt;&gt;"C"),1,0)</f>
        <v>0</v>
      </c>
    </row>
    <row r="869" customFormat="false" ht="15" hidden="false" customHeight="false" outlineLevel="0" collapsed="false">
      <c r="A869" s="0" t="s">
        <v>993</v>
      </c>
      <c r="B869" s="0" t="s">
        <v>604</v>
      </c>
      <c r="C869" s="0" t="s">
        <v>605</v>
      </c>
      <c r="D869" s="0" t="n">
        <v>24</v>
      </c>
      <c r="E869" s="6" t="n">
        <v>40800.6041666667</v>
      </c>
      <c r="F869" s="0" t="n">
        <v>0.85</v>
      </c>
      <c r="G869" s="0" t="n">
        <v>12566</v>
      </c>
      <c r="H869" s="0" t="s">
        <v>33</v>
      </c>
      <c r="I869" s="7" t="n">
        <f aca="false">IF(AND(LEFT(A869,1)&lt;&gt;"C",D869&gt;0,F869&gt;0),1,0)</f>
        <v>1</v>
      </c>
      <c r="J869" s="7" t="n">
        <f aca="false">IF(I869=1,D869*F869,0)</f>
        <v>20.4</v>
      </c>
      <c r="K869" s="7" t="n">
        <f aca="false">YEAR(E869)*100+MONTH(E869)</f>
        <v>201109</v>
      </c>
      <c r="L869" s="7" t="n">
        <f aca="false">IF(AND(A869&lt;&gt;A868,LEFT(A869,1)&lt;&gt;"C"),1,0)</f>
        <v>0</v>
      </c>
    </row>
    <row r="870" customFormat="false" ht="15" hidden="false" customHeight="false" outlineLevel="0" collapsed="false">
      <c r="A870" s="0" t="s">
        <v>993</v>
      </c>
      <c r="B870" s="0" t="s">
        <v>1002</v>
      </c>
      <c r="C870" s="0" t="s">
        <v>1003</v>
      </c>
      <c r="D870" s="0" t="n">
        <v>24</v>
      </c>
      <c r="E870" s="6" t="n">
        <v>40800.6041666667</v>
      </c>
      <c r="F870" s="0" t="n">
        <v>0.42</v>
      </c>
      <c r="G870" s="0" t="n">
        <v>12566</v>
      </c>
      <c r="H870" s="0" t="s">
        <v>33</v>
      </c>
      <c r="I870" s="7" t="n">
        <f aca="false">IF(AND(LEFT(A870,1)&lt;&gt;"C",D870&gt;0,F870&gt;0),1,0)</f>
        <v>1</v>
      </c>
      <c r="J870" s="7" t="n">
        <f aca="false">IF(I870=1,D870*F870,0)</f>
        <v>10.08</v>
      </c>
      <c r="K870" s="7" t="n">
        <f aca="false">YEAR(E870)*100+MONTH(E870)</f>
        <v>201109</v>
      </c>
      <c r="L870" s="7" t="n">
        <f aca="false">IF(AND(A870&lt;&gt;A869,LEFT(A870,1)&lt;&gt;"C"),1,0)</f>
        <v>0</v>
      </c>
    </row>
    <row r="871" customFormat="false" ht="15" hidden="false" customHeight="false" outlineLevel="0" collapsed="false">
      <c r="A871" s="0" t="s">
        <v>993</v>
      </c>
      <c r="B871" s="0" t="s">
        <v>1004</v>
      </c>
      <c r="C871" s="0" t="s">
        <v>1005</v>
      </c>
      <c r="D871" s="0" t="n">
        <v>25</v>
      </c>
      <c r="E871" s="6" t="n">
        <v>40800.6041666667</v>
      </c>
      <c r="F871" s="0" t="n">
        <v>0.42</v>
      </c>
      <c r="G871" s="0" t="n">
        <v>12566</v>
      </c>
      <c r="H871" s="0" t="s">
        <v>33</v>
      </c>
      <c r="I871" s="7" t="n">
        <f aca="false">IF(AND(LEFT(A871,1)&lt;&gt;"C",D871&gt;0,F871&gt;0),1,0)</f>
        <v>1</v>
      </c>
      <c r="J871" s="7" t="n">
        <f aca="false">IF(I871=1,D871*F871,0)</f>
        <v>10.5</v>
      </c>
      <c r="K871" s="7" t="n">
        <f aca="false">YEAR(E871)*100+MONTH(E871)</f>
        <v>201109</v>
      </c>
      <c r="L871" s="7" t="n">
        <f aca="false">IF(AND(A871&lt;&gt;A870,LEFT(A871,1)&lt;&gt;"C"),1,0)</f>
        <v>0</v>
      </c>
    </row>
    <row r="872" customFormat="false" ht="15" hidden="false" customHeight="false" outlineLevel="0" collapsed="false">
      <c r="A872" s="0" t="s">
        <v>993</v>
      </c>
      <c r="B872" s="0" t="s">
        <v>733</v>
      </c>
      <c r="C872" s="0" t="s">
        <v>734</v>
      </c>
      <c r="D872" s="0" t="n">
        <v>24</v>
      </c>
      <c r="E872" s="6" t="n">
        <v>40800.6041666667</v>
      </c>
      <c r="F872" s="0" t="n">
        <v>1.25</v>
      </c>
      <c r="G872" s="0" t="n">
        <v>12566</v>
      </c>
      <c r="H872" s="0" t="s">
        <v>33</v>
      </c>
      <c r="I872" s="7" t="n">
        <f aca="false">IF(AND(LEFT(A872,1)&lt;&gt;"C",D872&gt;0,F872&gt;0),1,0)</f>
        <v>1</v>
      </c>
      <c r="J872" s="7" t="n">
        <f aca="false">IF(I872=1,D872*F872,0)</f>
        <v>30</v>
      </c>
      <c r="K872" s="7" t="n">
        <f aca="false">YEAR(E872)*100+MONTH(E872)</f>
        <v>201109</v>
      </c>
      <c r="L872" s="7" t="n">
        <f aca="false">IF(AND(A872&lt;&gt;A871,LEFT(A872,1)&lt;&gt;"C"),1,0)</f>
        <v>0</v>
      </c>
    </row>
    <row r="873" customFormat="false" ht="15" hidden="false" customHeight="false" outlineLevel="0" collapsed="false">
      <c r="A873" s="0" t="s">
        <v>993</v>
      </c>
      <c r="B873" s="0" t="s">
        <v>93</v>
      </c>
      <c r="C873" s="0" t="s">
        <v>94</v>
      </c>
      <c r="D873" s="0" t="n">
        <v>4</v>
      </c>
      <c r="E873" s="6" t="n">
        <v>40800.6041666667</v>
      </c>
      <c r="F873" s="0" t="n">
        <v>4.15</v>
      </c>
      <c r="G873" s="0" t="n">
        <v>12566</v>
      </c>
      <c r="H873" s="0" t="s">
        <v>33</v>
      </c>
      <c r="I873" s="7" t="n">
        <f aca="false">IF(AND(LEFT(A873,1)&lt;&gt;"C",D873&gt;0,F873&gt;0),1,0)</f>
        <v>1</v>
      </c>
      <c r="J873" s="7" t="n">
        <f aca="false">IF(I873=1,D873*F873,0)</f>
        <v>16.6</v>
      </c>
      <c r="K873" s="7" t="n">
        <f aca="false">YEAR(E873)*100+MONTH(E873)</f>
        <v>201109</v>
      </c>
      <c r="L873" s="7" t="n">
        <f aca="false">IF(AND(A873&lt;&gt;A872,LEFT(A873,1)&lt;&gt;"C"),1,0)</f>
        <v>0</v>
      </c>
    </row>
    <row r="874" customFormat="false" ht="15" hidden="false" customHeight="false" outlineLevel="0" collapsed="false">
      <c r="A874" s="0" t="s">
        <v>993</v>
      </c>
      <c r="B874" s="0" t="s">
        <v>89</v>
      </c>
      <c r="C874" s="0" t="s">
        <v>90</v>
      </c>
      <c r="D874" s="0" t="n">
        <v>4</v>
      </c>
      <c r="E874" s="6" t="n">
        <v>40800.6041666667</v>
      </c>
      <c r="F874" s="0" t="n">
        <v>4.15</v>
      </c>
      <c r="G874" s="0" t="n">
        <v>12566</v>
      </c>
      <c r="H874" s="0" t="s">
        <v>33</v>
      </c>
      <c r="I874" s="7" t="n">
        <f aca="false">IF(AND(LEFT(A874,1)&lt;&gt;"C",D874&gt;0,F874&gt;0),1,0)</f>
        <v>1</v>
      </c>
      <c r="J874" s="7" t="n">
        <f aca="false">IF(I874=1,D874*F874,0)</f>
        <v>16.6</v>
      </c>
      <c r="K874" s="7" t="n">
        <f aca="false">YEAR(E874)*100+MONTH(E874)</f>
        <v>201109</v>
      </c>
      <c r="L874" s="7" t="n">
        <f aca="false">IF(AND(A874&lt;&gt;A873,LEFT(A874,1)&lt;&gt;"C"),1,0)</f>
        <v>0</v>
      </c>
    </row>
    <row r="875" customFormat="false" ht="15" hidden="false" customHeight="false" outlineLevel="0" collapsed="false">
      <c r="A875" s="0" t="s">
        <v>993</v>
      </c>
      <c r="B875" s="0" t="s">
        <v>245</v>
      </c>
      <c r="C875" s="0" t="s">
        <v>246</v>
      </c>
      <c r="D875" s="0" t="n">
        <v>25</v>
      </c>
      <c r="E875" s="6" t="n">
        <v>40800.6041666667</v>
      </c>
      <c r="F875" s="0" t="n">
        <v>0.42</v>
      </c>
      <c r="G875" s="0" t="n">
        <v>12566</v>
      </c>
      <c r="H875" s="0" t="s">
        <v>33</v>
      </c>
      <c r="I875" s="7" t="n">
        <f aca="false">IF(AND(LEFT(A875,1)&lt;&gt;"C",D875&gt;0,F875&gt;0),1,0)</f>
        <v>1</v>
      </c>
      <c r="J875" s="7" t="n">
        <f aca="false">IF(I875=1,D875*F875,0)</f>
        <v>10.5</v>
      </c>
      <c r="K875" s="7" t="n">
        <f aca="false">YEAR(E875)*100+MONTH(E875)</f>
        <v>201109</v>
      </c>
      <c r="L875" s="7" t="n">
        <f aca="false">IF(AND(A875&lt;&gt;A874,LEFT(A875,1)&lt;&gt;"C"),1,0)</f>
        <v>0</v>
      </c>
    </row>
    <row r="876" customFormat="false" ht="15" hidden="false" customHeight="false" outlineLevel="0" collapsed="false">
      <c r="A876" s="0" t="s">
        <v>993</v>
      </c>
      <c r="B876" s="0" t="s">
        <v>1006</v>
      </c>
      <c r="C876" s="0" t="s">
        <v>1007</v>
      </c>
      <c r="D876" s="0" t="n">
        <v>25</v>
      </c>
      <c r="E876" s="6" t="n">
        <v>40800.6041666667</v>
      </c>
      <c r="F876" s="0" t="n">
        <v>0.42</v>
      </c>
      <c r="G876" s="0" t="n">
        <v>12566</v>
      </c>
      <c r="H876" s="0" t="s">
        <v>33</v>
      </c>
      <c r="I876" s="7" t="n">
        <f aca="false">IF(AND(LEFT(A876,1)&lt;&gt;"C",D876&gt;0,F876&gt;0),1,0)</f>
        <v>1</v>
      </c>
      <c r="J876" s="7" t="n">
        <f aca="false">IF(I876=1,D876*F876,0)</f>
        <v>10.5</v>
      </c>
      <c r="K876" s="7" t="n">
        <f aca="false">YEAR(E876)*100+MONTH(E876)</f>
        <v>201109</v>
      </c>
      <c r="L876" s="7" t="n">
        <f aca="false">IF(AND(A876&lt;&gt;A875,LEFT(A876,1)&lt;&gt;"C"),1,0)</f>
        <v>0</v>
      </c>
    </row>
    <row r="877" customFormat="false" ht="15" hidden="false" customHeight="false" outlineLevel="0" collapsed="false">
      <c r="A877" s="0" t="s">
        <v>993</v>
      </c>
      <c r="B877" s="0" t="s">
        <v>293</v>
      </c>
      <c r="C877" s="0" t="s">
        <v>294</v>
      </c>
      <c r="D877" s="0" t="n">
        <v>2</v>
      </c>
      <c r="E877" s="6" t="n">
        <v>40800.6041666667</v>
      </c>
      <c r="F877" s="0" t="n">
        <v>8.5</v>
      </c>
      <c r="G877" s="0" t="n">
        <v>12566</v>
      </c>
      <c r="H877" s="0" t="s">
        <v>33</v>
      </c>
      <c r="I877" s="7" t="n">
        <f aca="false">IF(AND(LEFT(A877,1)&lt;&gt;"C",D877&gt;0,F877&gt;0),1,0)</f>
        <v>1</v>
      </c>
      <c r="J877" s="7" t="n">
        <f aca="false">IF(I877=1,D877*F877,0)</f>
        <v>17</v>
      </c>
      <c r="K877" s="7" t="n">
        <f aca="false">YEAR(E877)*100+MONTH(E877)</f>
        <v>201109</v>
      </c>
      <c r="L877" s="7" t="n">
        <f aca="false">IF(AND(A877&lt;&gt;A876,LEFT(A877,1)&lt;&gt;"C"),1,0)</f>
        <v>0</v>
      </c>
    </row>
    <row r="878" customFormat="false" ht="15" hidden="false" customHeight="false" outlineLevel="0" collapsed="false">
      <c r="A878" s="0" t="s">
        <v>993</v>
      </c>
      <c r="B878" s="0" t="s">
        <v>84</v>
      </c>
      <c r="C878" s="0" t="s">
        <v>85</v>
      </c>
      <c r="D878" s="0" t="n">
        <v>3</v>
      </c>
      <c r="E878" s="6" t="n">
        <v>40800.6041666667</v>
      </c>
      <c r="F878" s="0" t="n">
        <v>18</v>
      </c>
      <c r="G878" s="0" t="n">
        <v>12566</v>
      </c>
      <c r="H878" s="0" t="s">
        <v>33</v>
      </c>
      <c r="I878" s="7" t="n">
        <f aca="false">IF(AND(LEFT(A878,1)&lt;&gt;"C",D878&gt;0,F878&gt;0),1,0)</f>
        <v>1</v>
      </c>
      <c r="J878" s="7" t="n">
        <f aca="false">IF(I878=1,D878*F878,0)</f>
        <v>54</v>
      </c>
      <c r="K878" s="7" t="n">
        <f aca="false">YEAR(E878)*100+MONTH(E878)</f>
        <v>201109</v>
      </c>
      <c r="L878" s="7" t="n">
        <f aca="false">IF(AND(A878&lt;&gt;A877,LEFT(A878,1)&lt;&gt;"C"),1,0)</f>
        <v>0</v>
      </c>
    </row>
    <row r="879" customFormat="false" ht="15" hidden="false" customHeight="false" outlineLevel="0" collapsed="false">
      <c r="A879" s="0" t="s">
        <v>1008</v>
      </c>
      <c r="B879" s="0" t="s">
        <v>651</v>
      </c>
      <c r="C879" s="0" t="s">
        <v>652</v>
      </c>
      <c r="D879" s="0" t="n">
        <v>20</v>
      </c>
      <c r="E879" s="6" t="n">
        <v>40801.4534722222</v>
      </c>
      <c r="F879" s="0" t="n">
        <v>1.65</v>
      </c>
      <c r="G879" s="0" t="n">
        <v>12731</v>
      </c>
      <c r="H879" s="0" t="s">
        <v>43</v>
      </c>
      <c r="I879" s="7" t="n">
        <f aca="false">IF(AND(LEFT(A879,1)&lt;&gt;"C",D879&gt;0,F879&gt;0),1,0)</f>
        <v>1</v>
      </c>
      <c r="J879" s="7" t="n">
        <f aca="false">IF(I879=1,D879*F879,0)</f>
        <v>33</v>
      </c>
      <c r="K879" s="7" t="n">
        <f aca="false">YEAR(E879)*100+MONTH(E879)</f>
        <v>201109</v>
      </c>
      <c r="L879" s="7" t="n">
        <f aca="false">IF(AND(A879&lt;&gt;A878,LEFT(A879,1)&lt;&gt;"C"),1,0)</f>
        <v>1</v>
      </c>
    </row>
    <row r="880" customFormat="false" ht="15" hidden="false" customHeight="false" outlineLevel="0" collapsed="false">
      <c r="A880" s="0" t="s">
        <v>1008</v>
      </c>
      <c r="B880" s="0" t="s">
        <v>374</v>
      </c>
      <c r="C880" s="0" t="s">
        <v>375</v>
      </c>
      <c r="D880" s="0" t="n">
        <v>24</v>
      </c>
      <c r="E880" s="6" t="n">
        <v>40801.4534722222</v>
      </c>
      <c r="F880" s="0" t="n">
        <v>1.25</v>
      </c>
      <c r="G880" s="0" t="n">
        <v>12731</v>
      </c>
      <c r="H880" s="0" t="s">
        <v>43</v>
      </c>
      <c r="I880" s="7" t="n">
        <f aca="false">IF(AND(LEFT(A880,1)&lt;&gt;"C",D880&gt;0,F880&gt;0),1,0)</f>
        <v>1</v>
      </c>
      <c r="J880" s="7" t="n">
        <f aca="false">IF(I880=1,D880*F880,0)</f>
        <v>30</v>
      </c>
      <c r="K880" s="7" t="n">
        <f aca="false">YEAR(E880)*100+MONTH(E880)</f>
        <v>201109</v>
      </c>
      <c r="L880" s="7" t="n">
        <f aca="false">IF(AND(A880&lt;&gt;A879,LEFT(A880,1)&lt;&gt;"C"),1,0)</f>
        <v>0</v>
      </c>
    </row>
    <row r="881" customFormat="false" ht="15" hidden="false" customHeight="false" outlineLevel="0" collapsed="false">
      <c r="A881" s="0" t="s">
        <v>1008</v>
      </c>
      <c r="B881" s="0" t="s">
        <v>1009</v>
      </c>
      <c r="C881" s="0" t="s">
        <v>1010</v>
      </c>
      <c r="D881" s="0" t="n">
        <v>12</v>
      </c>
      <c r="E881" s="6" t="n">
        <v>40801.4534722222</v>
      </c>
      <c r="F881" s="0" t="n">
        <v>14.95</v>
      </c>
      <c r="G881" s="0" t="n">
        <v>12731</v>
      </c>
      <c r="H881" s="0" t="s">
        <v>43</v>
      </c>
      <c r="I881" s="7" t="n">
        <f aca="false">IF(AND(LEFT(A881,1)&lt;&gt;"C",D881&gt;0,F881&gt;0),1,0)</f>
        <v>1</v>
      </c>
      <c r="J881" s="7" t="n">
        <f aca="false">IF(I881=1,D881*F881,0)</f>
        <v>179.4</v>
      </c>
      <c r="K881" s="7" t="n">
        <f aca="false">YEAR(E881)*100+MONTH(E881)</f>
        <v>201109</v>
      </c>
      <c r="L881" s="7" t="n">
        <f aca="false">IF(AND(A881&lt;&gt;A880,LEFT(A881,1)&lt;&gt;"C"),1,0)</f>
        <v>0</v>
      </c>
    </row>
    <row r="882" customFormat="false" ht="15" hidden="false" customHeight="false" outlineLevel="0" collapsed="false">
      <c r="A882" s="0" t="s">
        <v>1008</v>
      </c>
      <c r="B882" s="0" t="s">
        <v>74</v>
      </c>
      <c r="C882" s="0" t="s">
        <v>75</v>
      </c>
      <c r="D882" s="0" t="n">
        <v>24</v>
      </c>
      <c r="E882" s="6" t="n">
        <v>40801.4534722222</v>
      </c>
      <c r="F882" s="0" t="n">
        <v>1.95</v>
      </c>
      <c r="G882" s="0" t="n">
        <v>12731</v>
      </c>
      <c r="H882" s="0" t="s">
        <v>43</v>
      </c>
      <c r="I882" s="7" t="n">
        <f aca="false">IF(AND(LEFT(A882,1)&lt;&gt;"C",D882&gt;0,F882&gt;0),1,0)</f>
        <v>1</v>
      </c>
      <c r="J882" s="7" t="n">
        <f aca="false">IF(I882=1,D882*F882,0)</f>
        <v>46.8</v>
      </c>
      <c r="K882" s="7" t="n">
        <f aca="false">YEAR(E882)*100+MONTH(E882)</f>
        <v>201109</v>
      </c>
      <c r="L882" s="7" t="n">
        <f aca="false">IF(AND(A882&lt;&gt;A881,LEFT(A882,1)&lt;&gt;"C"),1,0)</f>
        <v>0</v>
      </c>
    </row>
    <row r="883" customFormat="false" ht="15" hidden="false" customHeight="false" outlineLevel="0" collapsed="false">
      <c r="A883" s="0" t="s">
        <v>1008</v>
      </c>
      <c r="B883" s="0" t="s">
        <v>1011</v>
      </c>
      <c r="C883" s="0" t="s">
        <v>1012</v>
      </c>
      <c r="D883" s="0" t="n">
        <v>12</v>
      </c>
      <c r="E883" s="6" t="n">
        <v>40801.4534722222</v>
      </c>
      <c r="F883" s="0" t="n">
        <v>14.95</v>
      </c>
      <c r="G883" s="0" t="n">
        <v>12731</v>
      </c>
      <c r="H883" s="0" t="s">
        <v>43</v>
      </c>
      <c r="I883" s="7" t="n">
        <f aca="false">IF(AND(LEFT(A883,1)&lt;&gt;"C",D883&gt;0,F883&gt;0),1,0)</f>
        <v>1</v>
      </c>
      <c r="J883" s="7" t="n">
        <f aca="false">IF(I883=1,D883*F883,0)</f>
        <v>179.4</v>
      </c>
      <c r="K883" s="7" t="n">
        <f aca="false">YEAR(E883)*100+MONTH(E883)</f>
        <v>201109</v>
      </c>
      <c r="L883" s="7" t="n">
        <f aca="false">IF(AND(A883&lt;&gt;A882,LEFT(A883,1)&lt;&gt;"C"),1,0)</f>
        <v>0</v>
      </c>
    </row>
    <row r="884" customFormat="false" ht="15" hidden="false" customHeight="false" outlineLevel="0" collapsed="false">
      <c r="A884" s="0" t="s">
        <v>1008</v>
      </c>
      <c r="B884" s="0" t="s">
        <v>1013</v>
      </c>
      <c r="C884" s="0" t="s">
        <v>1014</v>
      </c>
      <c r="D884" s="0" t="n">
        <v>6</v>
      </c>
      <c r="E884" s="6" t="n">
        <v>40801.4534722222</v>
      </c>
      <c r="F884" s="0" t="n">
        <v>14.95</v>
      </c>
      <c r="G884" s="0" t="n">
        <v>12731</v>
      </c>
      <c r="H884" s="0" t="s">
        <v>43</v>
      </c>
      <c r="I884" s="7" t="n">
        <f aca="false">IF(AND(LEFT(A884,1)&lt;&gt;"C",D884&gt;0,F884&gt;0),1,0)</f>
        <v>1</v>
      </c>
      <c r="J884" s="7" t="n">
        <f aca="false">IF(I884=1,D884*F884,0)</f>
        <v>89.7</v>
      </c>
      <c r="K884" s="7" t="n">
        <f aca="false">YEAR(E884)*100+MONTH(E884)</f>
        <v>201109</v>
      </c>
      <c r="L884" s="7" t="n">
        <f aca="false">IF(AND(A884&lt;&gt;A883,LEFT(A884,1)&lt;&gt;"C"),1,0)</f>
        <v>0</v>
      </c>
    </row>
    <row r="885" customFormat="false" ht="15" hidden="false" customHeight="false" outlineLevel="0" collapsed="false">
      <c r="A885" s="0" t="s">
        <v>1008</v>
      </c>
      <c r="B885" s="0" t="s">
        <v>148</v>
      </c>
      <c r="C885" s="0" t="s">
        <v>149</v>
      </c>
      <c r="D885" s="0" t="n">
        <v>16</v>
      </c>
      <c r="E885" s="6" t="n">
        <v>40801.4534722222</v>
      </c>
      <c r="F885" s="0" t="n">
        <v>10.95</v>
      </c>
      <c r="G885" s="0" t="n">
        <v>12731</v>
      </c>
      <c r="H885" s="0" t="s">
        <v>43</v>
      </c>
      <c r="I885" s="7" t="n">
        <f aca="false">IF(AND(LEFT(A885,1)&lt;&gt;"C",D885&gt;0,F885&gt;0),1,0)</f>
        <v>1</v>
      </c>
      <c r="J885" s="7" t="n">
        <f aca="false">IF(I885=1,D885*F885,0)</f>
        <v>175.2</v>
      </c>
      <c r="K885" s="7" t="n">
        <f aca="false">YEAR(E885)*100+MONTH(E885)</f>
        <v>201109</v>
      </c>
      <c r="L885" s="7" t="n">
        <f aca="false">IF(AND(A885&lt;&gt;A884,LEFT(A885,1)&lt;&gt;"C"),1,0)</f>
        <v>0</v>
      </c>
    </row>
    <row r="886" customFormat="false" ht="15" hidden="false" customHeight="false" outlineLevel="0" collapsed="false">
      <c r="A886" s="0" t="s">
        <v>1008</v>
      </c>
      <c r="B886" s="0" t="s">
        <v>1015</v>
      </c>
      <c r="C886" s="0" t="s">
        <v>1016</v>
      </c>
      <c r="D886" s="0" t="n">
        <v>24</v>
      </c>
      <c r="E886" s="6" t="n">
        <v>40801.4534722222</v>
      </c>
      <c r="F886" s="0" t="n">
        <v>1.65</v>
      </c>
      <c r="G886" s="0" t="n">
        <v>12731</v>
      </c>
      <c r="H886" s="0" t="s">
        <v>43</v>
      </c>
      <c r="I886" s="7" t="n">
        <f aca="false">IF(AND(LEFT(A886,1)&lt;&gt;"C",D886&gt;0,F886&gt;0),1,0)</f>
        <v>1</v>
      </c>
      <c r="J886" s="7" t="n">
        <f aca="false">IF(I886=1,D886*F886,0)</f>
        <v>39.6</v>
      </c>
      <c r="K886" s="7" t="n">
        <f aca="false">YEAR(E886)*100+MONTH(E886)</f>
        <v>201109</v>
      </c>
      <c r="L886" s="7" t="n">
        <f aca="false">IF(AND(A886&lt;&gt;A885,LEFT(A886,1)&lt;&gt;"C"),1,0)</f>
        <v>0</v>
      </c>
    </row>
    <row r="887" customFormat="false" ht="15" hidden="false" customHeight="false" outlineLevel="0" collapsed="false">
      <c r="A887" s="0" t="s">
        <v>1008</v>
      </c>
      <c r="B887" s="0" t="s">
        <v>663</v>
      </c>
      <c r="C887" s="0" t="s">
        <v>664</v>
      </c>
      <c r="D887" s="0" t="n">
        <v>48</v>
      </c>
      <c r="E887" s="6" t="n">
        <v>40801.4534722222</v>
      </c>
      <c r="F887" s="0" t="n">
        <v>1.45</v>
      </c>
      <c r="G887" s="0" t="n">
        <v>12731</v>
      </c>
      <c r="H887" s="0" t="s">
        <v>43</v>
      </c>
      <c r="I887" s="7" t="n">
        <f aca="false">IF(AND(LEFT(A887,1)&lt;&gt;"C",D887&gt;0,F887&gt;0),1,0)</f>
        <v>1</v>
      </c>
      <c r="J887" s="7" t="n">
        <f aca="false">IF(I887=1,D887*F887,0)</f>
        <v>69.6</v>
      </c>
      <c r="K887" s="7" t="n">
        <f aca="false">YEAR(E887)*100+MONTH(E887)</f>
        <v>201109</v>
      </c>
      <c r="L887" s="7" t="n">
        <f aca="false">IF(AND(A887&lt;&gt;A886,LEFT(A887,1)&lt;&gt;"C"),1,0)</f>
        <v>0</v>
      </c>
    </row>
    <row r="888" customFormat="false" ht="15" hidden="false" customHeight="false" outlineLevel="0" collapsed="false">
      <c r="A888" s="0" t="s">
        <v>1008</v>
      </c>
      <c r="B888" s="0" t="s">
        <v>1017</v>
      </c>
      <c r="C888" s="0" t="s">
        <v>1018</v>
      </c>
      <c r="D888" s="0" t="n">
        <v>24</v>
      </c>
      <c r="E888" s="6" t="n">
        <v>40801.4534722222</v>
      </c>
      <c r="F888" s="0" t="n">
        <v>2.55</v>
      </c>
      <c r="G888" s="0" t="n">
        <v>12731</v>
      </c>
      <c r="H888" s="0" t="s">
        <v>43</v>
      </c>
      <c r="I888" s="7" t="n">
        <f aca="false">IF(AND(LEFT(A888,1)&lt;&gt;"C",D888&gt;0,F888&gt;0),1,0)</f>
        <v>1</v>
      </c>
      <c r="J888" s="7" t="n">
        <f aca="false">IF(I888=1,D888*F888,0)</f>
        <v>61.2</v>
      </c>
      <c r="K888" s="7" t="n">
        <f aca="false">YEAR(E888)*100+MONTH(E888)</f>
        <v>201109</v>
      </c>
      <c r="L888" s="7" t="n">
        <f aca="false">IF(AND(A888&lt;&gt;A887,LEFT(A888,1)&lt;&gt;"C"),1,0)</f>
        <v>0</v>
      </c>
    </row>
    <row r="889" customFormat="false" ht="15" hidden="false" customHeight="false" outlineLevel="0" collapsed="false">
      <c r="A889" s="0" t="s">
        <v>1008</v>
      </c>
      <c r="B889" s="0" t="s">
        <v>412</v>
      </c>
      <c r="C889" s="0" t="s">
        <v>413</v>
      </c>
      <c r="D889" s="0" t="n">
        <v>48</v>
      </c>
      <c r="E889" s="6" t="n">
        <v>40801.4534722222</v>
      </c>
      <c r="F889" s="0" t="n">
        <v>1.25</v>
      </c>
      <c r="G889" s="0" t="n">
        <v>12731</v>
      </c>
      <c r="H889" s="0" t="s">
        <v>43</v>
      </c>
      <c r="I889" s="7" t="n">
        <f aca="false">IF(AND(LEFT(A889,1)&lt;&gt;"C",D889&gt;0,F889&gt;0),1,0)</f>
        <v>1</v>
      </c>
      <c r="J889" s="7" t="n">
        <f aca="false">IF(I889=1,D889*F889,0)</f>
        <v>60</v>
      </c>
      <c r="K889" s="7" t="n">
        <f aca="false">YEAR(E889)*100+MONTH(E889)</f>
        <v>201109</v>
      </c>
      <c r="L889" s="7" t="n">
        <f aca="false">IF(AND(A889&lt;&gt;A888,LEFT(A889,1)&lt;&gt;"C"),1,0)</f>
        <v>0</v>
      </c>
    </row>
    <row r="890" customFormat="false" ht="15" hidden="false" customHeight="false" outlineLevel="0" collapsed="false">
      <c r="A890" s="0" t="s">
        <v>1008</v>
      </c>
      <c r="B890" s="0" t="s">
        <v>113</v>
      </c>
      <c r="C890" s="0" t="s">
        <v>114</v>
      </c>
      <c r="D890" s="0" t="n">
        <v>48</v>
      </c>
      <c r="E890" s="6" t="n">
        <v>40801.4534722222</v>
      </c>
      <c r="F890" s="0" t="n">
        <v>1.25</v>
      </c>
      <c r="G890" s="0" t="n">
        <v>12731</v>
      </c>
      <c r="H890" s="0" t="s">
        <v>43</v>
      </c>
      <c r="I890" s="7" t="n">
        <f aca="false">IF(AND(LEFT(A890,1)&lt;&gt;"C",D890&gt;0,F890&gt;0),1,0)</f>
        <v>1</v>
      </c>
      <c r="J890" s="7" t="n">
        <f aca="false">IF(I890=1,D890*F890,0)</f>
        <v>60</v>
      </c>
      <c r="K890" s="7" t="n">
        <f aca="false">YEAR(E890)*100+MONTH(E890)</f>
        <v>201109</v>
      </c>
      <c r="L890" s="7" t="n">
        <f aca="false">IF(AND(A890&lt;&gt;A889,LEFT(A890,1)&lt;&gt;"C"),1,0)</f>
        <v>0</v>
      </c>
    </row>
    <row r="891" customFormat="false" ht="15" hidden="false" customHeight="false" outlineLevel="0" collapsed="false">
      <c r="A891" s="0" t="s">
        <v>1008</v>
      </c>
      <c r="B891" s="0" t="s">
        <v>416</v>
      </c>
      <c r="C891" s="0" t="s">
        <v>417</v>
      </c>
      <c r="D891" s="0" t="n">
        <v>36</v>
      </c>
      <c r="E891" s="6" t="n">
        <v>40801.4534722222</v>
      </c>
      <c r="F891" s="0" t="n">
        <v>0.65</v>
      </c>
      <c r="G891" s="0" t="n">
        <v>12731</v>
      </c>
      <c r="H891" s="0" t="s">
        <v>43</v>
      </c>
      <c r="I891" s="7" t="n">
        <f aca="false">IF(AND(LEFT(A891,1)&lt;&gt;"C",D891&gt;0,F891&gt;0),1,0)</f>
        <v>1</v>
      </c>
      <c r="J891" s="7" t="n">
        <f aca="false">IF(I891=1,D891*F891,0)</f>
        <v>23.4</v>
      </c>
      <c r="K891" s="7" t="n">
        <f aca="false">YEAR(E891)*100+MONTH(E891)</f>
        <v>201109</v>
      </c>
      <c r="L891" s="7" t="n">
        <f aca="false">IF(AND(A891&lt;&gt;A890,LEFT(A891,1)&lt;&gt;"C"),1,0)</f>
        <v>0</v>
      </c>
    </row>
    <row r="892" customFormat="false" ht="15" hidden="false" customHeight="false" outlineLevel="0" collapsed="false">
      <c r="A892" s="0" t="s">
        <v>1008</v>
      </c>
      <c r="B892" s="0" t="s">
        <v>467</v>
      </c>
      <c r="C892" s="0" t="s">
        <v>468</v>
      </c>
      <c r="D892" s="0" t="n">
        <v>24</v>
      </c>
      <c r="E892" s="6" t="n">
        <v>40801.4534722222</v>
      </c>
      <c r="F892" s="0" t="n">
        <v>1.95</v>
      </c>
      <c r="G892" s="0" t="n">
        <v>12731</v>
      </c>
      <c r="H892" s="0" t="s">
        <v>43</v>
      </c>
      <c r="I892" s="7" t="n">
        <f aca="false">IF(AND(LEFT(A892,1)&lt;&gt;"C",D892&gt;0,F892&gt;0),1,0)</f>
        <v>1</v>
      </c>
      <c r="J892" s="7" t="n">
        <f aca="false">IF(I892=1,D892*F892,0)</f>
        <v>46.8</v>
      </c>
      <c r="K892" s="7" t="n">
        <f aca="false">YEAR(E892)*100+MONTH(E892)</f>
        <v>201109</v>
      </c>
      <c r="L892" s="7" t="n">
        <f aca="false">IF(AND(A892&lt;&gt;A891,LEFT(A892,1)&lt;&gt;"C"),1,0)</f>
        <v>0</v>
      </c>
    </row>
    <row r="893" customFormat="false" ht="15" hidden="false" customHeight="false" outlineLevel="0" collapsed="false">
      <c r="A893" s="0" t="s">
        <v>1008</v>
      </c>
      <c r="B893" s="0" t="s">
        <v>469</v>
      </c>
      <c r="C893" s="0" t="s">
        <v>470</v>
      </c>
      <c r="D893" s="0" t="n">
        <v>24</v>
      </c>
      <c r="E893" s="6" t="n">
        <v>40801.4534722222</v>
      </c>
      <c r="F893" s="0" t="n">
        <v>2.1</v>
      </c>
      <c r="G893" s="0" t="n">
        <v>12731</v>
      </c>
      <c r="H893" s="0" t="s">
        <v>43</v>
      </c>
      <c r="I893" s="7" t="n">
        <f aca="false">IF(AND(LEFT(A893,1)&lt;&gt;"C",D893&gt;0,F893&gt;0),1,0)</f>
        <v>1</v>
      </c>
      <c r="J893" s="7" t="n">
        <f aca="false">IF(I893=1,D893*F893,0)</f>
        <v>50.4</v>
      </c>
      <c r="K893" s="7" t="n">
        <f aca="false">YEAR(E893)*100+MONTH(E893)</f>
        <v>201109</v>
      </c>
      <c r="L893" s="7" t="n">
        <f aca="false">IF(AND(A893&lt;&gt;A892,LEFT(A893,1)&lt;&gt;"C"),1,0)</f>
        <v>0</v>
      </c>
    </row>
    <row r="894" customFormat="false" ht="15" hidden="false" customHeight="false" outlineLevel="0" collapsed="false">
      <c r="A894" s="0" t="s">
        <v>1008</v>
      </c>
      <c r="B894" s="0" t="s">
        <v>68</v>
      </c>
      <c r="C894" s="0" t="s">
        <v>69</v>
      </c>
      <c r="D894" s="0" t="n">
        <v>20</v>
      </c>
      <c r="E894" s="6" t="n">
        <v>40801.4534722222</v>
      </c>
      <c r="F894" s="0" t="n">
        <v>1.65</v>
      </c>
      <c r="G894" s="0" t="n">
        <v>12731</v>
      </c>
      <c r="H894" s="0" t="s">
        <v>43</v>
      </c>
      <c r="I894" s="7" t="n">
        <f aca="false">IF(AND(LEFT(A894,1)&lt;&gt;"C",D894&gt;0,F894&gt;0),1,0)</f>
        <v>1</v>
      </c>
      <c r="J894" s="7" t="n">
        <f aca="false">IF(I894=1,D894*F894,0)</f>
        <v>33</v>
      </c>
      <c r="K894" s="7" t="n">
        <f aca="false">YEAR(E894)*100+MONTH(E894)</f>
        <v>201109</v>
      </c>
      <c r="L894" s="7" t="n">
        <f aca="false">IF(AND(A894&lt;&gt;A893,LEFT(A894,1)&lt;&gt;"C"),1,0)</f>
        <v>0</v>
      </c>
    </row>
    <row r="895" customFormat="false" ht="15" hidden="false" customHeight="false" outlineLevel="0" collapsed="false">
      <c r="A895" s="0" t="s">
        <v>1008</v>
      </c>
      <c r="B895" s="0" t="s">
        <v>56</v>
      </c>
      <c r="C895" s="0" t="s">
        <v>57</v>
      </c>
      <c r="D895" s="0" t="n">
        <v>20</v>
      </c>
      <c r="E895" s="6" t="n">
        <v>40801.4534722222</v>
      </c>
      <c r="F895" s="0" t="n">
        <v>1.65</v>
      </c>
      <c r="G895" s="0" t="n">
        <v>12731</v>
      </c>
      <c r="H895" s="0" t="s">
        <v>43</v>
      </c>
      <c r="I895" s="7" t="n">
        <f aca="false">IF(AND(LEFT(A895,1)&lt;&gt;"C",D895&gt;0,F895&gt;0),1,0)</f>
        <v>1</v>
      </c>
      <c r="J895" s="7" t="n">
        <f aca="false">IF(I895=1,D895*F895,0)</f>
        <v>33</v>
      </c>
      <c r="K895" s="7" t="n">
        <f aca="false">YEAR(E895)*100+MONTH(E895)</f>
        <v>201109</v>
      </c>
      <c r="L895" s="7" t="n">
        <f aca="false">IF(AND(A895&lt;&gt;A894,LEFT(A895,1)&lt;&gt;"C"),1,0)</f>
        <v>0</v>
      </c>
    </row>
    <row r="896" customFormat="false" ht="15" hidden="false" customHeight="false" outlineLevel="0" collapsed="false">
      <c r="A896" s="0" t="s">
        <v>1008</v>
      </c>
      <c r="B896" s="0" t="s">
        <v>1019</v>
      </c>
      <c r="C896" s="0" t="s">
        <v>1020</v>
      </c>
      <c r="D896" s="0" t="n">
        <v>10</v>
      </c>
      <c r="E896" s="6" t="n">
        <v>40801.4534722222</v>
      </c>
      <c r="F896" s="0" t="n">
        <v>7.08</v>
      </c>
      <c r="G896" s="0" t="n">
        <v>12731</v>
      </c>
      <c r="H896" s="0" t="s">
        <v>43</v>
      </c>
      <c r="I896" s="7" t="n">
        <f aca="false">IF(AND(LEFT(A896,1)&lt;&gt;"C",D896&gt;0,F896&gt;0),1,0)</f>
        <v>1</v>
      </c>
      <c r="J896" s="7" t="n">
        <f aca="false">IF(I896=1,D896*F896,0)</f>
        <v>70.8</v>
      </c>
      <c r="K896" s="7" t="n">
        <f aca="false">YEAR(E896)*100+MONTH(E896)</f>
        <v>201109</v>
      </c>
      <c r="L896" s="7" t="n">
        <f aca="false">IF(AND(A896&lt;&gt;A895,LEFT(A896,1)&lt;&gt;"C"),1,0)</f>
        <v>0</v>
      </c>
    </row>
    <row r="897" customFormat="false" ht="15" hidden="false" customHeight="false" outlineLevel="0" collapsed="false">
      <c r="A897" s="0" t="s">
        <v>1008</v>
      </c>
      <c r="B897" s="0" t="s">
        <v>1021</v>
      </c>
      <c r="C897" s="0" t="s">
        <v>1022</v>
      </c>
      <c r="D897" s="0" t="n">
        <v>10</v>
      </c>
      <c r="E897" s="6" t="n">
        <v>40801.4534722222</v>
      </c>
      <c r="F897" s="0" t="n">
        <v>7.08</v>
      </c>
      <c r="G897" s="0" t="n">
        <v>12731</v>
      </c>
      <c r="H897" s="0" t="s">
        <v>43</v>
      </c>
      <c r="I897" s="7" t="n">
        <f aca="false">IF(AND(LEFT(A897,1)&lt;&gt;"C",D897&gt;0,F897&gt;0),1,0)</f>
        <v>1</v>
      </c>
      <c r="J897" s="7" t="n">
        <f aca="false">IF(I897=1,D897*F897,0)</f>
        <v>70.8</v>
      </c>
      <c r="K897" s="7" t="n">
        <f aca="false">YEAR(E897)*100+MONTH(E897)</f>
        <v>201109</v>
      </c>
      <c r="L897" s="7" t="n">
        <f aca="false">IF(AND(A897&lt;&gt;A896,LEFT(A897,1)&lt;&gt;"C"),1,0)</f>
        <v>0</v>
      </c>
    </row>
    <row r="898" customFormat="false" ht="15" hidden="false" customHeight="false" outlineLevel="0" collapsed="false">
      <c r="A898" s="0" t="s">
        <v>1008</v>
      </c>
      <c r="B898" s="0" t="s">
        <v>1023</v>
      </c>
      <c r="C898" s="0" t="s">
        <v>1024</v>
      </c>
      <c r="D898" s="0" t="n">
        <v>10</v>
      </c>
      <c r="E898" s="6" t="n">
        <v>40801.4534722222</v>
      </c>
      <c r="F898" s="0" t="n">
        <v>7.08</v>
      </c>
      <c r="G898" s="0" t="n">
        <v>12731</v>
      </c>
      <c r="H898" s="0" t="s">
        <v>43</v>
      </c>
      <c r="I898" s="7" t="n">
        <f aca="false">IF(AND(LEFT(A898,1)&lt;&gt;"C",D898&gt;0,F898&gt;0),1,0)</f>
        <v>1</v>
      </c>
      <c r="J898" s="7" t="n">
        <f aca="false">IF(I898=1,D898*F898,0)</f>
        <v>70.8</v>
      </c>
      <c r="K898" s="7" t="n">
        <f aca="false">YEAR(E898)*100+MONTH(E898)</f>
        <v>201109</v>
      </c>
      <c r="L898" s="7" t="n">
        <f aca="false">IF(AND(A898&lt;&gt;A897,LEFT(A898,1)&lt;&gt;"C"),1,0)</f>
        <v>0</v>
      </c>
    </row>
    <row r="899" customFormat="false" ht="15" hidden="false" customHeight="false" outlineLevel="0" collapsed="false">
      <c r="A899" s="0" t="s">
        <v>1008</v>
      </c>
      <c r="B899" s="0" t="s">
        <v>1025</v>
      </c>
      <c r="C899" s="0" t="s">
        <v>1026</v>
      </c>
      <c r="D899" s="0" t="n">
        <v>10</v>
      </c>
      <c r="E899" s="6" t="n">
        <v>40801.4534722222</v>
      </c>
      <c r="F899" s="0" t="n">
        <v>7.08</v>
      </c>
      <c r="G899" s="0" t="n">
        <v>12731</v>
      </c>
      <c r="H899" s="0" t="s">
        <v>43</v>
      </c>
      <c r="I899" s="7" t="n">
        <f aca="false">IF(AND(LEFT(A899,1)&lt;&gt;"C",D899&gt;0,F899&gt;0),1,0)</f>
        <v>1</v>
      </c>
      <c r="J899" s="7" t="n">
        <f aca="false">IF(I899=1,D899*F899,0)</f>
        <v>70.8</v>
      </c>
      <c r="K899" s="7" t="n">
        <f aca="false">YEAR(E899)*100+MONTH(E899)</f>
        <v>201109</v>
      </c>
      <c r="L899" s="7" t="n">
        <f aca="false">IF(AND(A899&lt;&gt;A898,LEFT(A899,1)&lt;&gt;"C"),1,0)</f>
        <v>0</v>
      </c>
    </row>
    <row r="900" customFormat="false" ht="15" hidden="false" customHeight="false" outlineLevel="0" collapsed="false">
      <c r="A900" s="0" t="s">
        <v>1008</v>
      </c>
      <c r="B900" s="0" t="s">
        <v>1027</v>
      </c>
      <c r="C900" s="0" t="s">
        <v>1028</v>
      </c>
      <c r="D900" s="0" t="n">
        <v>24</v>
      </c>
      <c r="E900" s="6" t="n">
        <v>40801.4534722222</v>
      </c>
      <c r="F900" s="0" t="n">
        <v>1.25</v>
      </c>
      <c r="G900" s="0" t="n">
        <v>12731</v>
      </c>
      <c r="H900" s="0" t="s">
        <v>43</v>
      </c>
      <c r="I900" s="7" t="n">
        <f aca="false">IF(AND(LEFT(A900,1)&lt;&gt;"C",D900&gt;0,F900&gt;0),1,0)</f>
        <v>1</v>
      </c>
      <c r="J900" s="7" t="n">
        <f aca="false">IF(I900=1,D900*F900,0)</f>
        <v>30</v>
      </c>
      <c r="K900" s="7" t="n">
        <f aca="false">YEAR(E900)*100+MONTH(E900)</f>
        <v>201109</v>
      </c>
      <c r="L900" s="7" t="n">
        <f aca="false">IF(AND(A900&lt;&gt;A899,LEFT(A900,1)&lt;&gt;"C"),1,0)</f>
        <v>0</v>
      </c>
    </row>
    <row r="901" customFormat="false" ht="15" hidden="false" customHeight="false" outlineLevel="0" collapsed="false">
      <c r="A901" s="0" t="s">
        <v>1008</v>
      </c>
      <c r="B901" s="0" t="s">
        <v>1029</v>
      </c>
      <c r="C901" s="0" t="s">
        <v>1030</v>
      </c>
      <c r="D901" s="0" t="n">
        <v>24</v>
      </c>
      <c r="E901" s="6" t="n">
        <v>40801.4534722222</v>
      </c>
      <c r="F901" s="0" t="n">
        <v>1.25</v>
      </c>
      <c r="G901" s="0" t="n">
        <v>12731</v>
      </c>
      <c r="H901" s="0" t="s">
        <v>43</v>
      </c>
      <c r="I901" s="7" t="n">
        <f aca="false">IF(AND(LEFT(A901,1)&lt;&gt;"C",D901&gt;0,F901&gt;0),1,0)</f>
        <v>1</v>
      </c>
      <c r="J901" s="7" t="n">
        <f aca="false">IF(I901=1,D901*F901,0)</f>
        <v>30</v>
      </c>
      <c r="K901" s="7" t="n">
        <f aca="false">YEAR(E901)*100+MONTH(E901)</f>
        <v>201109</v>
      </c>
      <c r="L901" s="7" t="n">
        <f aca="false">IF(AND(A901&lt;&gt;A900,LEFT(A901,1)&lt;&gt;"C"),1,0)</f>
        <v>0</v>
      </c>
    </row>
    <row r="902" customFormat="false" ht="15" hidden="false" customHeight="false" outlineLevel="0" collapsed="false">
      <c r="A902" s="0" t="s">
        <v>1008</v>
      </c>
      <c r="B902" s="0" t="s">
        <v>1031</v>
      </c>
      <c r="C902" s="0" t="s">
        <v>1032</v>
      </c>
      <c r="D902" s="0" t="n">
        <v>12</v>
      </c>
      <c r="E902" s="6" t="n">
        <v>40801.4534722222</v>
      </c>
      <c r="F902" s="0" t="n">
        <v>4.25</v>
      </c>
      <c r="G902" s="0" t="n">
        <v>12731</v>
      </c>
      <c r="H902" s="0" t="s">
        <v>43</v>
      </c>
      <c r="I902" s="7" t="n">
        <f aca="false">IF(AND(LEFT(A902,1)&lt;&gt;"C",D902&gt;0,F902&gt;0),1,0)</f>
        <v>1</v>
      </c>
      <c r="J902" s="7" t="n">
        <f aca="false">IF(I902=1,D902*F902,0)</f>
        <v>51</v>
      </c>
      <c r="K902" s="7" t="n">
        <f aca="false">YEAR(E902)*100+MONTH(E902)</f>
        <v>201109</v>
      </c>
      <c r="L902" s="7" t="n">
        <f aca="false">IF(AND(A902&lt;&gt;A901,LEFT(A902,1)&lt;&gt;"C"),1,0)</f>
        <v>0</v>
      </c>
    </row>
    <row r="903" customFormat="false" ht="15" hidden="false" customHeight="false" outlineLevel="0" collapsed="false">
      <c r="A903" s="0" t="s">
        <v>1008</v>
      </c>
      <c r="B903" s="0" t="s">
        <v>1033</v>
      </c>
      <c r="C903" s="0" t="s">
        <v>1034</v>
      </c>
      <c r="D903" s="0" t="n">
        <v>24</v>
      </c>
      <c r="E903" s="6" t="n">
        <v>40801.4534722222</v>
      </c>
      <c r="F903" s="0" t="n">
        <v>3.75</v>
      </c>
      <c r="G903" s="0" t="n">
        <v>12731</v>
      </c>
      <c r="H903" s="0" t="s">
        <v>43</v>
      </c>
      <c r="I903" s="7" t="n">
        <f aca="false">IF(AND(LEFT(A903,1)&lt;&gt;"C",D903&gt;0,F903&gt;0),1,0)</f>
        <v>1</v>
      </c>
      <c r="J903" s="7" t="n">
        <f aca="false">IF(I903=1,D903*F903,0)</f>
        <v>90</v>
      </c>
      <c r="K903" s="7" t="n">
        <f aca="false">YEAR(E903)*100+MONTH(E903)</f>
        <v>201109</v>
      </c>
      <c r="L903" s="7" t="n">
        <f aca="false">IF(AND(A903&lt;&gt;A902,LEFT(A903,1)&lt;&gt;"C"),1,0)</f>
        <v>0</v>
      </c>
    </row>
    <row r="904" customFormat="false" ht="15" hidden="false" customHeight="false" outlineLevel="0" collapsed="false">
      <c r="A904" s="0" t="s">
        <v>1008</v>
      </c>
      <c r="B904" s="0" t="s">
        <v>1035</v>
      </c>
      <c r="C904" s="0" t="s">
        <v>1036</v>
      </c>
      <c r="D904" s="0" t="n">
        <v>12</v>
      </c>
      <c r="E904" s="6" t="n">
        <v>40801.4534722222</v>
      </c>
      <c r="F904" s="0" t="n">
        <v>4.25</v>
      </c>
      <c r="G904" s="0" t="n">
        <v>12731</v>
      </c>
      <c r="H904" s="0" t="s">
        <v>43</v>
      </c>
      <c r="I904" s="7" t="n">
        <f aca="false">IF(AND(LEFT(A904,1)&lt;&gt;"C",D904&gt;0,F904&gt;0),1,0)</f>
        <v>1</v>
      </c>
      <c r="J904" s="7" t="n">
        <f aca="false">IF(I904=1,D904*F904,0)</f>
        <v>51</v>
      </c>
      <c r="K904" s="7" t="n">
        <f aca="false">YEAR(E904)*100+MONTH(E904)</f>
        <v>201109</v>
      </c>
      <c r="L904" s="7" t="n">
        <f aca="false">IF(AND(A904&lt;&gt;A903,LEFT(A904,1)&lt;&gt;"C"),1,0)</f>
        <v>0</v>
      </c>
    </row>
    <row r="905" customFormat="false" ht="15" hidden="false" customHeight="false" outlineLevel="0" collapsed="false">
      <c r="A905" s="0" t="s">
        <v>1008</v>
      </c>
      <c r="B905" s="0" t="s">
        <v>756</v>
      </c>
      <c r="C905" s="0" t="s">
        <v>757</v>
      </c>
      <c r="D905" s="0" t="n">
        <v>36</v>
      </c>
      <c r="E905" s="6" t="n">
        <v>40801.4534722222</v>
      </c>
      <c r="F905" s="0" t="n">
        <v>3.39</v>
      </c>
      <c r="G905" s="0" t="n">
        <v>12731</v>
      </c>
      <c r="H905" s="0" t="s">
        <v>43</v>
      </c>
      <c r="I905" s="7" t="n">
        <f aca="false">IF(AND(LEFT(A905,1)&lt;&gt;"C",D905&gt;0,F905&gt;0),1,0)</f>
        <v>1</v>
      </c>
      <c r="J905" s="7" t="n">
        <f aca="false">IF(I905=1,D905*F905,0)</f>
        <v>122.04</v>
      </c>
      <c r="K905" s="7" t="n">
        <f aca="false">YEAR(E905)*100+MONTH(E905)</f>
        <v>201109</v>
      </c>
      <c r="L905" s="7" t="n">
        <f aca="false">IF(AND(A905&lt;&gt;A904,LEFT(A905,1)&lt;&gt;"C"),1,0)</f>
        <v>0</v>
      </c>
    </row>
    <row r="906" customFormat="false" ht="15" hidden="false" customHeight="false" outlineLevel="0" collapsed="false">
      <c r="A906" s="0" t="s">
        <v>1008</v>
      </c>
      <c r="B906" s="0" t="s">
        <v>388</v>
      </c>
      <c r="C906" s="0" t="s">
        <v>389</v>
      </c>
      <c r="D906" s="0" t="n">
        <v>160</v>
      </c>
      <c r="E906" s="6" t="n">
        <v>40801.4534722222</v>
      </c>
      <c r="F906" s="0" t="n">
        <v>1.45</v>
      </c>
      <c r="G906" s="0" t="n">
        <v>12731</v>
      </c>
      <c r="H906" s="0" t="s">
        <v>43</v>
      </c>
      <c r="I906" s="7" t="n">
        <f aca="false">IF(AND(LEFT(A906,1)&lt;&gt;"C",D906&gt;0,F906&gt;0),1,0)</f>
        <v>1</v>
      </c>
      <c r="J906" s="7" t="n">
        <f aca="false">IF(I906=1,D906*F906,0)</f>
        <v>232</v>
      </c>
      <c r="K906" s="7" t="n">
        <f aca="false">YEAR(E906)*100+MONTH(E906)</f>
        <v>201109</v>
      </c>
      <c r="L906" s="7" t="n">
        <f aca="false">IF(AND(A906&lt;&gt;A905,LEFT(A906,1)&lt;&gt;"C"),1,0)</f>
        <v>0</v>
      </c>
    </row>
    <row r="907" customFormat="false" ht="15" hidden="false" customHeight="false" outlineLevel="0" collapsed="false">
      <c r="A907" s="0" t="s">
        <v>1008</v>
      </c>
      <c r="B907" s="0" t="s">
        <v>1037</v>
      </c>
      <c r="C907" s="0" t="s">
        <v>1038</v>
      </c>
      <c r="D907" s="0" t="n">
        <v>144</v>
      </c>
      <c r="E907" s="6" t="n">
        <v>40801.4534722222</v>
      </c>
      <c r="F907" s="0" t="n">
        <v>0.72</v>
      </c>
      <c r="G907" s="0" t="n">
        <v>12731</v>
      </c>
      <c r="H907" s="0" t="s">
        <v>43</v>
      </c>
      <c r="I907" s="7" t="n">
        <f aca="false">IF(AND(LEFT(A907,1)&lt;&gt;"C",D907&gt;0,F907&gt;0),1,0)</f>
        <v>1</v>
      </c>
      <c r="J907" s="7" t="n">
        <f aca="false">IF(I907=1,D907*F907,0)</f>
        <v>103.68</v>
      </c>
      <c r="K907" s="7" t="n">
        <f aca="false">YEAR(E907)*100+MONTH(E907)</f>
        <v>201109</v>
      </c>
      <c r="L907" s="7" t="n">
        <f aca="false">IF(AND(A907&lt;&gt;A906,LEFT(A907,1)&lt;&gt;"C"),1,0)</f>
        <v>0</v>
      </c>
    </row>
    <row r="908" customFormat="false" ht="15" hidden="false" customHeight="false" outlineLevel="0" collapsed="false">
      <c r="A908" s="0" t="s">
        <v>1008</v>
      </c>
      <c r="B908" s="0" t="s">
        <v>1039</v>
      </c>
      <c r="C908" s="0" t="s">
        <v>1040</v>
      </c>
      <c r="D908" s="0" t="n">
        <v>144</v>
      </c>
      <c r="E908" s="6" t="n">
        <v>40801.4534722222</v>
      </c>
      <c r="F908" s="0" t="n">
        <v>0.72</v>
      </c>
      <c r="G908" s="0" t="n">
        <v>12731</v>
      </c>
      <c r="H908" s="0" t="s">
        <v>43</v>
      </c>
      <c r="I908" s="7" t="n">
        <f aca="false">IF(AND(LEFT(A908,1)&lt;&gt;"C",D908&gt;0,F908&gt;0),1,0)</f>
        <v>1</v>
      </c>
      <c r="J908" s="7" t="n">
        <f aca="false">IF(I908=1,D908*F908,0)</f>
        <v>103.68</v>
      </c>
      <c r="K908" s="7" t="n">
        <f aca="false">YEAR(E908)*100+MONTH(E908)</f>
        <v>201109</v>
      </c>
      <c r="L908" s="7" t="n">
        <f aca="false">IF(AND(A908&lt;&gt;A907,LEFT(A908,1)&lt;&gt;"C"),1,0)</f>
        <v>0</v>
      </c>
    </row>
    <row r="909" customFormat="false" ht="15" hidden="false" customHeight="false" outlineLevel="0" collapsed="false">
      <c r="A909" s="0" t="s">
        <v>1008</v>
      </c>
      <c r="B909" s="0" t="s">
        <v>758</v>
      </c>
      <c r="C909" s="0" t="s">
        <v>759</v>
      </c>
      <c r="D909" s="0" t="n">
        <v>10</v>
      </c>
      <c r="E909" s="6" t="n">
        <v>40801.4534722222</v>
      </c>
      <c r="F909" s="0" t="n">
        <v>7.08</v>
      </c>
      <c r="G909" s="0" t="n">
        <v>12731</v>
      </c>
      <c r="H909" s="0" t="s">
        <v>43</v>
      </c>
      <c r="I909" s="7" t="n">
        <f aca="false">IF(AND(LEFT(A909,1)&lt;&gt;"C",D909&gt;0,F909&gt;0),1,0)</f>
        <v>1</v>
      </c>
      <c r="J909" s="7" t="n">
        <f aca="false">IF(I909=1,D909*F909,0)</f>
        <v>70.8</v>
      </c>
      <c r="K909" s="7" t="n">
        <f aca="false">YEAR(E909)*100+MONTH(E909)</f>
        <v>201109</v>
      </c>
      <c r="L909" s="7" t="n">
        <f aca="false">IF(AND(A909&lt;&gt;A908,LEFT(A909,1)&lt;&gt;"C"),1,0)</f>
        <v>0</v>
      </c>
    </row>
    <row r="910" customFormat="false" ht="15" hidden="false" customHeight="false" outlineLevel="0" collapsed="false">
      <c r="A910" s="0" t="s">
        <v>1041</v>
      </c>
      <c r="B910" s="0" t="s">
        <v>64</v>
      </c>
      <c r="C910" s="0" t="s">
        <v>65</v>
      </c>
      <c r="D910" s="0" t="n">
        <v>24</v>
      </c>
      <c r="E910" s="6" t="n">
        <v>40801.5631944445</v>
      </c>
      <c r="F910" s="0" t="n">
        <v>1.65</v>
      </c>
      <c r="G910" s="0" t="n">
        <v>12682</v>
      </c>
      <c r="H910" s="0" t="s">
        <v>43</v>
      </c>
      <c r="I910" s="7" t="n">
        <f aca="false">IF(AND(LEFT(A910,1)&lt;&gt;"C",D910&gt;0,F910&gt;0),1,0)</f>
        <v>1</v>
      </c>
      <c r="J910" s="7" t="n">
        <f aca="false">IF(I910=1,D910*F910,0)</f>
        <v>39.6</v>
      </c>
      <c r="K910" s="7" t="n">
        <f aca="false">YEAR(E910)*100+MONTH(E910)</f>
        <v>201109</v>
      </c>
      <c r="L910" s="7" t="n">
        <f aca="false">IF(AND(A910&lt;&gt;A909,LEFT(A910,1)&lt;&gt;"C"),1,0)</f>
        <v>1</v>
      </c>
    </row>
    <row r="911" customFormat="false" ht="15" hidden="false" customHeight="false" outlineLevel="0" collapsed="false">
      <c r="A911" s="0" t="s">
        <v>1041</v>
      </c>
      <c r="B911" s="0" t="s">
        <v>133</v>
      </c>
      <c r="C911" s="0" t="s">
        <v>134</v>
      </c>
      <c r="D911" s="0" t="n">
        <v>6</v>
      </c>
      <c r="E911" s="6" t="n">
        <v>40801.5631944445</v>
      </c>
      <c r="F911" s="0" t="n">
        <v>3.25</v>
      </c>
      <c r="G911" s="0" t="n">
        <v>12682</v>
      </c>
      <c r="H911" s="0" t="s">
        <v>43</v>
      </c>
      <c r="I911" s="7" t="n">
        <f aca="false">IF(AND(LEFT(A911,1)&lt;&gt;"C",D911&gt;0,F911&gt;0),1,0)</f>
        <v>1</v>
      </c>
      <c r="J911" s="7" t="n">
        <f aca="false">IF(I911=1,D911*F911,0)</f>
        <v>19.5</v>
      </c>
      <c r="K911" s="7" t="n">
        <f aca="false">YEAR(E911)*100+MONTH(E911)</f>
        <v>201109</v>
      </c>
      <c r="L911" s="7" t="n">
        <f aca="false">IF(AND(A911&lt;&gt;A910,LEFT(A911,1)&lt;&gt;"C"),1,0)</f>
        <v>0</v>
      </c>
    </row>
    <row r="912" customFormat="false" ht="15" hidden="false" customHeight="false" outlineLevel="0" collapsed="false">
      <c r="A912" s="0" t="s">
        <v>1041</v>
      </c>
      <c r="B912" s="0" t="s">
        <v>1042</v>
      </c>
      <c r="C912" s="0" t="s">
        <v>1043</v>
      </c>
      <c r="D912" s="0" t="n">
        <v>4</v>
      </c>
      <c r="E912" s="6" t="n">
        <v>40801.5631944445</v>
      </c>
      <c r="F912" s="0" t="n">
        <v>4.15</v>
      </c>
      <c r="G912" s="0" t="n">
        <v>12682</v>
      </c>
      <c r="H912" s="0" t="s">
        <v>43</v>
      </c>
      <c r="I912" s="7" t="n">
        <f aca="false">IF(AND(LEFT(A912,1)&lt;&gt;"C",D912&gt;0,F912&gt;0),1,0)</f>
        <v>1</v>
      </c>
      <c r="J912" s="7" t="n">
        <f aca="false">IF(I912=1,D912*F912,0)</f>
        <v>16.6</v>
      </c>
      <c r="K912" s="7" t="n">
        <f aca="false">YEAR(E912)*100+MONTH(E912)</f>
        <v>201109</v>
      </c>
      <c r="L912" s="7" t="n">
        <f aca="false">IF(AND(A912&lt;&gt;A911,LEFT(A912,1)&lt;&gt;"C"),1,0)</f>
        <v>0</v>
      </c>
    </row>
    <row r="913" customFormat="false" ht="15" hidden="false" customHeight="false" outlineLevel="0" collapsed="false">
      <c r="A913" s="0" t="s">
        <v>1041</v>
      </c>
      <c r="B913" s="0" t="s">
        <v>1044</v>
      </c>
      <c r="C913" s="0" t="s">
        <v>1045</v>
      </c>
      <c r="D913" s="0" t="n">
        <v>4</v>
      </c>
      <c r="E913" s="6" t="n">
        <v>40801.5631944445</v>
      </c>
      <c r="F913" s="0" t="n">
        <v>4.15</v>
      </c>
      <c r="G913" s="0" t="n">
        <v>12682</v>
      </c>
      <c r="H913" s="0" t="s">
        <v>43</v>
      </c>
      <c r="I913" s="7" t="n">
        <f aca="false">IF(AND(LEFT(A913,1)&lt;&gt;"C",D913&gt;0,F913&gt;0),1,0)</f>
        <v>1</v>
      </c>
      <c r="J913" s="7" t="n">
        <f aca="false">IF(I913=1,D913*F913,0)</f>
        <v>16.6</v>
      </c>
      <c r="K913" s="7" t="n">
        <f aca="false">YEAR(E913)*100+MONTH(E913)</f>
        <v>201109</v>
      </c>
      <c r="L913" s="7" t="n">
        <f aca="false">IF(AND(A913&lt;&gt;A912,LEFT(A913,1)&lt;&gt;"C"),1,0)</f>
        <v>0</v>
      </c>
    </row>
    <row r="914" customFormat="false" ht="15" hidden="false" customHeight="false" outlineLevel="0" collapsed="false">
      <c r="A914" s="0" t="s">
        <v>1041</v>
      </c>
      <c r="B914" s="0" t="s">
        <v>1046</v>
      </c>
      <c r="C914" s="0" t="s">
        <v>1047</v>
      </c>
      <c r="D914" s="0" t="n">
        <v>4</v>
      </c>
      <c r="E914" s="6" t="n">
        <v>40801.5631944445</v>
      </c>
      <c r="F914" s="0" t="n">
        <v>4.15</v>
      </c>
      <c r="G914" s="0" t="n">
        <v>12682</v>
      </c>
      <c r="H914" s="0" t="s">
        <v>43</v>
      </c>
      <c r="I914" s="7" t="n">
        <f aca="false">IF(AND(LEFT(A914,1)&lt;&gt;"C",D914&gt;0,F914&gt;0),1,0)</f>
        <v>1</v>
      </c>
      <c r="J914" s="7" t="n">
        <f aca="false">IF(I914=1,D914*F914,0)</f>
        <v>16.6</v>
      </c>
      <c r="K914" s="7" t="n">
        <f aca="false">YEAR(E914)*100+MONTH(E914)</f>
        <v>201109</v>
      </c>
      <c r="L914" s="7" t="n">
        <f aca="false">IF(AND(A914&lt;&gt;A913,LEFT(A914,1)&lt;&gt;"C"),1,0)</f>
        <v>0</v>
      </c>
    </row>
    <row r="915" customFormat="false" ht="15" hidden="false" customHeight="false" outlineLevel="0" collapsed="false">
      <c r="A915" s="0" t="s">
        <v>1041</v>
      </c>
      <c r="B915" s="0" t="s">
        <v>1048</v>
      </c>
      <c r="C915" s="0" t="s">
        <v>1049</v>
      </c>
      <c r="D915" s="0" t="n">
        <v>4</v>
      </c>
      <c r="E915" s="6" t="n">
        <v>40801.5631944445</v>
      </c>
      <c r="F915" s="0" t="n">
        <v>4.15</v>
      </c>
      <c r="G915" s="0" t="n">
        <v>12682</v>
      </c>
      <c r="H915" s="0" t="s">
        <v>43</v>
      </c>
      <c r="I915" s="7" t="n">
        <f aca="false">IF(AND(LEFT(A915,1)&lt;&gt;"C",D915&gt;0,F915&gt;0),1,0)</f>
        <v>1</v>
      </c>
      <c r="J915" s="7" t="n">
        <f aca="false">IF(I915=1,D915*F915,0)</f>
        <v>16.6</v>
      </c>
      <c r="K915" s="7" t="n">
        <f aca="false">YEAR(E915)*100+MONTH(E915)</f>
        <v>201109</v>
      </c>
      <c r="L915" s="7" t="n">
        <f aca="false">IF(AND(A915&lt;&gt;A914,LEFT(A915,1)&lt;&gt;"C"),1,0)</f>
        <v>0</v>
      </c>
    </row>
    <row r="916" customFormat="false" ht="15" hidden="false" customHeight="false" outlineLevel="0" collapsed="false">
      <c r="A916" s="0" t="s">
        <v>1041</v>
      </c>
      <c r="B916" s="0" t="s">
        <v>119</v>
      </c>
      <c r="C916" s="0" t="s">
        <v>120</v>
      </c>
      <c r="D916" s="0" t="n">
        <v>12</v>
      </c>
      <c r="E916" s="6" t="n">
        <v>40801.5631944445</v>
      </c>
      <c r="F916" s="0" t="n">
        <v>0.42</v>
      </c>
      <c r="G916" s="0" t="n">
        <v>12682</v>
      </c>
      <c r="H916" s="0" t="s">
        <v>43</v>
      </c>
      <c r="I916" s="7" t="n">
        <f aca="false">IF(AND(LEFT(A916,1)&lt;&gt;"C",D916&gt;0,F916&gt;0),1,0)</f>
        <v>1</v>
      </c>
      <c r="J916" s="7" t="n">
        <f aca="false">IF(I916=1,D916*F916,0)</f>
        <v>5.04</v>
      </c>
      <c r="K916" s="7" t="n">
        <f aca="false">YEAR(E916)*100+MONTH(E916)</f>
        <v>201109</v>
      </c>
      <c r="L916" s="7" t="n">
        <f aca="false">IF(AND(A916&lt;&gt;A915,LEFT(A916,1)&lt;&gt;"C"),1,0)</f>
        <v>0</v>
      </c>
    </row>
    <row r="917" customFormat="false" ht="15" hidden="false" customHeight="false" outlineLevel="0" collapsed="false">
      <c r="A917" s="0" t="s">
        <v>1041</v>
      </c>
      <c r="B917" s="0" t="s">
        <v>76</v>
      </c>
      <c r="C917" s="0" t="s">
        <v>77</v>
      </c>
      <c r="D917" s="0" t="n">
        <v>12</v>
      </c>
      <c r="E917" s="6" t="n">
        <v>40801.5631944445</v>
      </c>
      <c r="F917" s="0" t="n">
        <v>1.95</v>
      </c>
      <c r="G917" s="0" t="n">
        <v>12682</v>
      </c>
      <c r="H917" s="0" t="s">
        <v>43</v>
      </c>
      <c r="I917" s="7" t="n">
        <f aca="false">IF(AND(LEFT(A917,1)&lt;&gt;"C",D917&gt;0,F917&gt;0),1,0)</f>
        <v>1</v>
      </c>
      <c r="J917" s="7" t="n">
        <f aca="false">IF(I917=1,D917*F917,0)</f>
        <v>23.4</v>
      </c>
      <c r="K917" s="7" t="n">
        <f aca="false">YEAR(E917)*100+MONTH(E917)</f>
        <v>201109</v>
      </c>
      <c r="L917" s="7" t="n">
        <f aca="false">IF(AND(A917&lt;&gt;A916,LEFT(A917,1)&lt;&gt;"C"),1,0)</f>
        <v>0</v>
      </c>
    </row>
    <row r="918" customFormat="false" ht="15" hidden="false" customHeight="false" outlineLevel="0" collapsed="false">
      <c r="A918" s="0" t="s">
        <v>1041</v>
      </c>
      <c r="B918" s="0" t="s">
        <v>557</v>
      </c>
      <c r="C918" s="0" t="s">
        <v>558</v>
      </c>
      <c r="D918" s="0" t="n">
        <v>12</v>
      </c>
      <c r="E918" s="6" t="n">
        <v>40801.5631944445</v>
      </c>
      <c r="F918" s="0" t="n">
        <v>1.95</v>
      </c>
      <c r="G918" s="0" t="n">
        <v>12682</v>
      </c>
      <c r="H918" s="0" t="s">
        <v>43</v>
      </c>
      <c r="I918" s="7" t="n">
        <f aca="false">IF(AND(LEFT(A918,1)&lt;&gt;"C",D918&gt;0,F918&gt;0),1,0)</f>
        <v>1</v>
      </c>
      <c r="J918" s="7" t="n">
        <f aca="false">IF(I918=1,D918*F918,0)</f>
        <v>23.4</v>
      </c>
      <c r="K918" s="7" t="n">
        <f aca="false">YEAR(E918)*100+MONTH(E918)</f>
        <v>201109</v>
      </c>
      <c r="L918" s="7" t="n">
        <f aca="false">IF(AND(A918&lt;&gt;A917,LEFT(A918,1)&lt;&gt;"C"),1,0)</f>
        <v>0</v>
      </c>
    </row>
    <row r="919" customFormat="false" ht="15" hidden="false" customHeight="false" outlineLevel="0" collapsed="false">
      <c r="A919" s="0" t="s">
        <v>1041</v>
      </c>
      <c r="B919" s="0" t="s">
        <v>217</v>
      </c>
      <c r="C919" s="0" t="s">
        <v>218</v>
      </c>
      <c r="D919" s="0" t="n">
        <v>24</v>
      </c>
      <c r="E919" s="6" t="n">
        <v>40801.5631944445</v>
      </c>
      <c r="F919" s="0" t="n">
        <v>0.55</v>
      </c>
      <c r="G919" s="0" t="n">
        <v>12682</v>
      </c>
      <c r="H919" s="0" t="s">
        <v>43</v>
      </c>
      <c r="I919" s="7" t="n">
        <f aca="false">IF(AND(LEFT(A919,1)&lt;&gt;"C",D919&gt;0,F919&gt;0),1,0)</f>
        <v>1</v>
      </c>
      <c r="J919" s="7" t="n">
        <f aca="false">IF(I919=1,D919*F919,0)</f>
        <v>13.2</v>
      </c>
      <c r="K919" s="7" t="n">
        <f aca="false">YEAR(E919)*100+MONTH(E919)</f>
        <v>201109</v>
      </c>
      <c r="L919" s="7" t="n">
        <f aca="false">IF(AND(A919&lt;&gt;A918,LEFT(A919,1)&lt;&gt;"C"),1,0)</f>
        <v>0</v>
      </c>
    </row>
    <row r="920" customFormat="false" ht="15" hidden="false" customHeight="false" outlineLevel="0" collapsed="false">
      <c r="A920" s="0" t="s">
        <v>1041</v>
      </c>
      <c r="B920" s="0" t="s">
        <v>193</v>
      </c>
      <c r="C920" s="0" t="s">
        <v>194</v>
      </c>
      <c r="D920" s="0" t="n">
        <v>12</v>
      </c>
      <c r="E920" s="6" t="n">
        <v>40801.5631944445</v>
      </c>
      <c r="F920" s="0" t="n">
        <v>0.65</v>
      </c>
      <c r="G920" s="0" t="n">
        <v>12682</v>
      </c>
      <c r="H920" s="0" t="s">
        <v>43</v>
      </c>
      <c r="I920" s="7" t="n">
        <f aca="false">IF(AND(LEFT(A920,1)&lt;&gt;"C",D920&gt;0,F920&gt;0),1,0)</f>
        <v>1</v>
      </c>
      <c r="J920" s="7" t="n">
        <f aca="false">IF(I920=1,D920*F920,0)</f>
        <v>7.8</v>
      </c>
      <c r="K920" s="7" t="n">
        <f aca="false">YEAR(E920)*100+MONTH(E920)</f>
        <v>201109</v>
      </c>
      <c r="L920" s="7" t="n">
        <f aca="false">IF(AND(A920&lt;&gt;A919,LEFT(A920,1)&lt;&gt;"C"),1,0)</f>
        <v>0</v>
      </c>
    </row>
    <row r="921" customFormat="false" ht="15" hidden="false" customHeight="false" outlineLevel="0" collapsed="false">
      <c r="A921" s="0" t="s">
        <v>1041</v>
      </c>
      <c r="B921" s="0" t="s">
        <v>606</v>
      </c>
      <c r="C921" s="0" t="s">
        <v>607</v>
      </c>
      <c r="D921" s="0" t="n">
        <v>12</v>
      </c>
      <c r="E921" s="6" t="n">
        <v>40801.5631944445</v>
      </c>
      <c r="F921" s="0" t="n">
        <v>0.42</v>
      </c>
      <c r="G921" s="0" t="n">
        <v>12682</v>
      </c>
      <c r="H921" s="0" t="s">
        <v>43</v>
      </c>
      <c r="I921" s="7" t="n">
        <f aca="false">IF(AND(LEFT(A921,1)&lt;&gt;"C",D921&gt;0,F921&gt;0),1,0)</f>
        <v>1</v>
      </c>
      <c r="J921" s="7" t="n">
        <f aca="false">IF(I921=1,D921*F921,0)</f>
        <v>5.04</v>
      </c>
      <c r="K921" s="7" t="n">
        <f aca="false">YEAR(E921)*100+MONTH(E921)</f>
        <v>201109</v>
      </c>
      <c r="L921" s="7" t="n">
        <f aca="false">IF(AND(A921&lt;&gt;A920,LEFT(A921,1)&lt;&gt;"C"),1,0)</f>
        <v>0</v>
      </c>
    </row>
    <row r="922" customFormat="false" ht="15" hidden="false" customHeight="false" outlineLevel="0" collapsed="false">
      <c r="A922" s="0" t="s">
        <v>1041</v>
      </c>
      <c r="B922" s="0" t="s">
        <v>68</v>
      </c>
      <c r="C922" s="0" t="s">
        <v>69</v>
      </c>
      <c r="D922" s="0" t="n">
        <v>10</v>
      </c>
      <c r="E922" s="6" t="n">
        <v>40801.5631944445</v>
      </c>
      <c r="F922" s="0" t="n">
        <v>1.65</v>
      </c>
      <c r="G922" s="0" t="n">
        <v>12682</v>
      </c>
      <c r="H922" s="0" t="s">
        <v>43</v>
      </c>
      <c r="I922" s="7" t="n">
        <f aca="false">IF(AND(LEFT(A922,1)&lt;&gt;"C",D922&gt;0,F922&gt;0),1,0)</f>
        <v>1</v>
      </c>
      <c r="J922" s="7" t="n">
        <f aca="false">IF(I922=1,D922*F922,0)</f>
        <v>16.5</v>
      </c>
      <c r="K922" s="7" t="n">
        <f aca="false">YEAR(E922)*100+MONTH(E922)</f>
        <v>201109</v>
      </c>
      <c r="L922" s="7" t="n">
        <f aca="false">IF(AND(A922&lt;&gt;A921,LEFT(A922,1)&lt;&gt;"C"),1,0)</f>
        <v>0</v>
      </c>
    </row>
    <row r="923" customFormat="false" ht="15" hidden="false" customHeight="false" outlineLevel="0" collapsed="false">
      <c r="A923" s="0" t="s">
        <v>1041</v>
      </c>
      <c r="B923" s="0" t="s">
        <v>151</v>
      </c>
      <c r="C923" s="0" t="s">
        <v>152</v>
      </c>
      <c r="D923" s="0" t="n">
        <v>12</v>
      </c>
      <c r="E923" s="6" t="n">
        <v>40801.5631944445</v>
      </c>
      <c r="F923" s="0" t="n">
        <v>0.85</v>
      </c>
      <c r="G923" s="0" t="n">
        <v>12682</v>
      </c>
      <c r="H923" s="0" t="s">
        <v>43</v>
      </c>
      <c r="I923" s="7" t="n">
        <f aca="false">IF(AND(LEFT(A923,1)&lt;&gt;"C",D923&gt;0,F923&gt;0),1,0)</f>
        <v>1</v>
      </c>
      <c r="J923" s="7" t="n">
        <f aca="false">IF(I923=1,D923*F923,0)</f>
        <v>10.2</v>
      </c>
      <c r="K923" s="7" t="n">
        <f aca="false">YEAR(E923)*100+MONTH(E923)</f>
        <v>201109</v>
      </c>
      <c r="L923" s="7" t="n">
        <f aca="false">IF(AND(A923&lt;&gt;A922,LEFT(A923,1)&lt;&gt;"C"),1,0)</f>
        <v>0</v>
      </c>
    </row>
    <row r="924" customFormat="false" ht="15" hidden="false" customHeight="false" outlineLevel="0" collapsed="false">
      <c r="A924" s="0" t="s">
        <v>1041</v>
      </c>
      <c r="B924" s="0" t="s">
        <v>197</v>
      </c>
      <c r="C924" s="0" t="s">
        <v>198</v>
      </c>
      <c r="D924" s="0" t="n">
        <v>12</v>
      </c>
      <c r="E924" s="6" t="n">
        <v>40801.5631944445</v>
      </c>
      <c r="F924" s="0" t="n">
        <v>0.85</v>
      </c>
      <c r="G924" s="0" t="n">
        <v>12682</v>
      </c>
      <c r="H924" s="0" t="s">
        <v>43</v>
      </c>
      <c r="I924" s="7" t="n">
        <f aca="false">IF(AND(LEFT(A924,1)&lt;&gt;"C",D924&gt;0,F924&gt;0),1,0)</f>
        <v>1</v>
      </c>
      <c r="J924" s="7" t="n">
        <f aca="false">IF(I924=1,D924*F924,0)</f>
        <v>10.2</v>
      </c>
      <c r="K924" s="7" t="n">
        <f aca="false">YEAR(E924)*100+MONTH(E924)</f>
        <v>201109</v>
      </c>
      <c r="L924" s="7" t="n">
        <f aca="false">IF(AND(A924&lt;&gt;A923,LEFT(A924,1)&lt;&gt;"C"),1,0)</f>
        <v>0</v>
      </c>
    </row>
    <row r="925" customFormat="false" ht="15" hidden="false" customHeight="false" outlineLevel="0" collapsed="false">
      <c r="A925" s="0" t="s">
        <v>1050</v>
      </c>
      <c r="B925" s="0" t="s">
        <v>84</v>
      </c>
      <c r="C925" s="0" t="s">
        <v>85</v>
      </c>
      <c r="D925" s="0" t="n">
        <v>1</v>
      </c>
      <c r="E925" s="6" t="n">
        <v>40801.6180555556</v>
      </c>
      <c r="F925" s="0" t="n">
        <v>18</v>
      </c>
      <c r="G925" s="0" t="n">
        <v>12722</v>
      </c>
      <c r="H925" s="0" t="s">
        <v>43</v>
      </c>
      <c r="I925" s="7" t="n">
        <f aca="false">IF(AND(LEFT(A925,1)&lt;&gt;"C",D925&gt;0,F925&gt;0),1,0)</f>
        <v>1</v>
      </c>
      <c r="J925" s="7" t="n">
        <f aca="false">IF(I925=1,D925*F925,0)</f>
        <v>18</v>
      </c>
      <c r="K925" s="7" t="n">
        <f aca="false">YEAR(E925)*100+MONTH(E925)</f>
        <v>201109</v>
      </c>
      <c r="L925" s="7" t="n">
        <f aca="false">IF(AND(A925&lt;&gt;A924,LEFT(A925,1)&lt;&gt;"C"),1,0)</f>
        <v>1</v>
      </c>
    </row>
    <row r="926" customFormat="false" ht="15" hidden="false" customHeight="false" outlineLevel="0" collapsed="false">
      <c r="A926" s="0" t="s">
        <v>1050</v>
      </c>
      <c r="B926" s="0" t="s">
        <v>1051</v>
      </c>
      <c r="C926" s="0" t="s">
        <v>1052</v>
      </c>
      <c r="D926" s="0" t="n">
        <v>2</v>
      </c>
      <c r="E926" s="6" t="n">
        <v>40801.6180555556</v>
      </c>
      <c r="F926" s="0" t="n">
        <v>8.49</v>
      </c>
      <c r="G926" s="0" t="n">
        <v>12722</v>
      </c>
      <c r="H926" s="0" t="s">
        <v>43</v>
      </c>
      <c r="I926" s="7" t="n">
        <f aca="false">IF(AND(LEFT(A926,1)&lt;&gt;"C",D926&gt;0,F926&gt;0),1,0)</f>
        <v>1</v>
      </c>
      <c r="J926" s="7" t="n">
        <f aca="false">IF(I926=1,D926*F926,0)</f>
        <v>16.98</v>
      </c>
      <c r="K926" s="7" t="n">
        <f aca="false">YEAR(E926)*100+MONTH(E926)</f>
        <v>201109</v>
      </c>
      <c r="L926" s="7" t="n">
        <f aca="false">IF(AND(A926&lt;&gt;A925,LEFT(A926,1)&lt;&gt;"C"),1,0)</f>
        <v>0</v>
      </c>
    </row>
    <row r="927" customFormat="false" ht="15" hidden="false" customHeight="false" outlineLevel="0" collapsed="false">
      <c r="A927" s="0" t="s">
        <v>1050</v>
      </c>
      <c r="B927" s="0" t="s">
        <v>1053</v>
      </c>
      <c r="C927" s="0" t="s">
        <v>1054</v>
      </c>
      <c r="D927" s="0" t="n">
        <v>4</v>
      </c>
      <c r="E927" s="6" t="n">
        <v>40801.6180555556</v>
      </c>
      <c r="F927" s="0" t="n">
        <v>8.25</v>
      </c>
      <c r="G927" s="0" t="n">
        <v>12722</v>
      </c>
      <c r="H927" s="0" t="s">
        <v>43</v>
      </c>
      <c r="I927" s="7" t="n">
        <f aca="false">IF(AND(LEFT(A927,1)&lt;&gt;"C",D927&gt;0,F927&gt;0),1,0)</f>
        <v>1</v>
      </c>
      <c r="J927" s="7" t="n">
        <f aca="false">IF(I927=1,D927*F927,0)</f>
        <v>33</v>
      </c>
      <c r="K927" s="7" t="n">
        <f aca="false">YEAR(E927)*100+MONTH(E927)</f>
        <v>201109</v>
      </c>
      <c r="L927" s="7" t="n">
        <f aca="false">IF(AND(A927&lt;&gt;A926,LEFT(A927,1)&lt;&gt;"C"),1,0)</f>
        <v>0</v>
      </c>
    </row>
    <row r="928" customFormat="false" ht="15" hidden="false" customHeight="false" outlineLevel="0" collapsed="false">
      <c r="A928" s="0" t="s">
        <v>1055</v>
      </c>
      <c r="B928" s="0" t="s">
        <v>473</v>
      </c>
      <c r="C928" s="0" t="s">
        <v>474</v>
      </c>
      <c r="D928" s="0" t="n">
        <v>-3</v>
      </c>
      <c r="E928" s="6" t="n">
        <v>40801.7097222222</v>
      </c>
      <c r="F928" s="0" t="n">
        <v>9.95</v>
      </c>
      <c r="G928" s="0" t="n">
        <v>12616</v>
      </c>
      <c r="H928" s="0" t="s">
        <v>43</v>
      </c>
      <c r="I928" s="7" t="n">
        <f aca="false">IF(AND(LEFT(A928,1)&lt;&gt;"C",D928&gt;0,F928&gt;0),1,0)</f>
        <v>0</v>
      </c>
      <c r="J928" s="7" t="n">
        <f aca="false">IF(I928=1,D928*F928,0)</f>
        <v>0</v>
      </c>
      <c r="K928" s="7" t="n">
        <f aca="false">YEAR(E928)*100+MONTH(E928)</f>
        <v>201109</v>
      </c>
      <c r="L928" s="7" t="n">
        <f aca="false">IF(AND(A928&lt;&gt;A927,LEFT(A928,1)&lt;&gt;"C"),1,0)</f>
        <v>0</v>
      </c>
    </row>
    <row r="929" customFormat="false" ht="15" hidden="false" customHeight="false" outlineLevel="0" collapsed="false">
      <c r="A929" s="0" t="s">
        <v>1056</v>
      </c>
      <c r="B929" s="0" t="s">
        <v>320</v>
      </c>
      <c r="C929" s="0" t="s">
        <v>321</v>
      </c>
      <c r="D929" s="0" t="n">
        <v>8</v>
      </c>
      <c r="E929" s="6" t="n">
        <v>40802.44375</v>
      </c>
      <c r="F929" s="0" t="n">
        <v>3.75</v>
      </c>
      <c r="G929" s="0" t="n">
        <v>12471</v>
      </c>
      <c r="H929" s="0" t="s">
        <v>33</v>
      </c>
      <c r="I929" s="7" t="n">
        <f aca="false">IF(AND(LEFT(A929,1)&lt;&gt;"C",D929&gt;0,F929&gt;0),1,0)</f>
        <v>1</v>
      </c>
      <c r="J929" s="7" t="n">
        <f aca="false">IF(I929=1,D929*F929,0)</f>
        <v>30</v>
      </c>
      <c r="K929" s="7" t="n">
        <f aca="false">YEAR(E929)*100+MONTH(E929)</f>
        <v>201109</v>
      </c>
      <c r="L929" s="7" t="n">
        <f aca="false">IF(AND(A929&lt;&gt;A928,LEFT(A929,1)&lt;&gt;"C"),1,0)</f>
        <v>1</v>
      </c>
    </row>
    <row r="930" customFormat="false" ht="15" hidden="false" customHeight="false" outlineLevel="0" collapsed="false">
      <c r="A930" s="0" t="s">
        <v>1056</v>
      </c>
      <c r="B930" s="0" t="s">
        <v>101</v>
      </c>
      <c r="C930" s="0" t="s">
        <v>102</v>
      </c>
      <c r="D930" s="0" t="n">
        <v>12</v>
      </c>
      <c r="E930" s="6" t="n">
        <v>40802.44375</v>
      </c>
      <c r="F930" s="0" t="n">
        <v>0.85</v>
      </c>
      <c r="G930" s="0" t="n">
        <v>12471</v>
      </c>
      <c r="H930" s="0" t="s">
        <v>33</v>
      </c>
      <c r="I930" s="7" t="n">
        <f aca="false">IF(AND(LEFT(A930,1)&lt;&gt;"C",D930&gt;0,F930&gt;0),1,0)</f>
        <v>1</v>
      </c>
      <c r="J930" s="7" t="n">
        <f aca="false">IF(I930=1,D930*F930,0)</f>
        <v>10.2</v>
      </c>
      <c r="K930" s="7" t="n">
        <f aca="false">YEAR(E930)*100+MONTH(E930)</f>
        <v>201109</v>
      </c>
      <c r="L930" s="7" t="n">
        <f aca="false">IF(AND(A930&lt;&gt;A929,LEFT(A930,1)&lt;&gt;"C"),1,0)</f>
        <v>0</v>
      </c>
    </row>
    <row r="931" customFormat="false" ht="15" hidden="false" customHeight="false" outlineLevel="0" collapsed="false">
      <c r="A931" s="0" t="s">
        <v>1056</v>
      </c>
      <c r="B931" s="0" t="s">
        <v>103</v>
      </c>
      <c r="C931" s="0" t="s">
        <v>104</v>
      </c>
      <c r="D931" s="0" t="n">
        <v>24</v>
      </c>
      <c r="E931" s="6" t="n">
        <v>40802.44375</v>
      </c>
      <c r="F931" s="0" t="n">
        <v>0.55</v>
      </c>
      <c r="G931" s="0" t="n">
        <v>12471</v>
      </c>
      <c r="H931" s="0" t="s">
        <v>33</v>
      </c>
      <c r="I931" s="7" t="n">
        <f aca="false">IF(AND(LEFT(A931,1)&lt;&gt;"C",D931&gt;0,F931&gt;0),1,0)</f>
        <v>1</v>
      </c>
      <c r="J931" s="7" t="n">
        <f aca="false">IF(I931=1,D931*F931,0)</f>
        <v>13.2</v>
      </c>
      <c r="K931" s="7" t="n">
        <f aca="false">YEAR(E931)*100+MONTH(E931)</f>
        <v>201109</v>
      </c>
      <c r="L931" s="7" t="n">
        <f aca="false">IF(AND(A931&lt;&gt;A930,LEFT(A931,1)&lt;&gt;"C"),1,0)</f>
        <v>0</v>
      </c>
    </row>
    <row r="932" customFormat="false" ht="15" hidden="false" customHeight="false" outlineLevel="0" collapsed="false">
      <c r="A932" s="0" t="s">
        <v>1056</v>
      </c>
      <c r="B932" s="0" t="s">
        <v>717</v>
      </c>
      <c r="C932" s="0" t="s">
        <v>718</v>
      </c>
      <c r="D932" s="0" t="n">
        <v>16</v>
      </c>
      <c r="E932" s="6" t="n">
        <v>40802.44375</v>
      </c>
      <c r="F932" s="0" t="n">
        <v>0.83</v>
      </c>
      <c r="G932" s="0" t="n">
        <v>12471</v>
      </c>
      <c r="H932" s="0" t="s">
        <v>33</v>
      </c>
      <c r="I932" s="7" t="n">
        <f aca="false">IF(AND(LEFT(A932,1)&lt;&gt;"C",D932&gt;0,F932&gt;0),1,0)</f>
        <v>1</v>
      </c>
      <c r="J932" s="7" t="n">
        <f aca="false">IF(I932=1,D932*F932,0)</f>
        <v>13.28</v>
      </c>
      <c r="K932" s="7" t="n">
        <f aca="false">YEAR(E932)*100+MONTH(E932)</f>
        <v>201109</v>
      </c>
      <c r="L932" s="7" t="n">
        <f aca="false">IF(AND(A932&lt;&gt;A931,LEFT(A932,1)&lt;&gt;"C"),1,0)</f>
        <v>0</v>
      </c>
    </row>
    <row r="933" customFormat="false" ht="15" hidden="false" customHeight="false" outlineLevel="0" collapsed="false">
      <c r="A933" s="0" t="s">
        <v>1056</v>
      </c>
      <c r="B933" s="0" t="s">
        <v>689</v>
      </c>
      <c r="C933" s="0" t="s">
        <v>690</v>
      </c>
      <c r="D933" s="0" t="n">
        <v>16</v>
      </c>
      <c r="E933" s="6" t="n">
        <v>40802.44375</v>
      </c>
      <c r="F933" s="0" t="n">
        <v>1.25</v>
      </c>
      <c r="G933" s="0" t="n">
        <v>12471</v>
      </c>
      <c r="H933" s="0" t="s">
        <v>33</v>
      </c>
      <c r="I933" s="7" t="n">
        <f aca="false">IF(AND(LEFT(A933,1)&lt;&gt;"C",D933&gt;0,F933&gt;0),1,0)</f>
        <v>1</v>
      </c>
      <c r="J933" s="7" t="n">
        <f aca="false">IF(I933=1,D933*F933,0)</f>
        <v>20</v>
      </c>
      <c r="K933" s="7" t="n">
        <f aca="false">YEAR(E933)*100+MONTH(E933)</f>
        <v>201109</v>
      </c>
      <c r="L933" s="7" t="n">
        <f aca="false">IF(AND(A933&lt;&gt;A932,LEFT(A933,1)&lt;&gt;"C"),1,0)</f>
        <v>0</v>
      </c>
    </row>
    <row r="934" customFormat="false" ht="15" hidden="false" customHeight="false" outlineLevel="0" collapsed="false">
      <c r="A934" s="0" t="s">
        <v>1056</v>
      </c>
      <c r="B934" s="0" t="s">
        <v>136</v>
      </c>
      <c r="C934" s="0" t="s">
        <v>137</v>
      </c>
      <c r="D934" s="0" t="n">
        <v>8</v>
      </c>
      <c r="E934" s="6" t="n">
        <v>40802.44375</v>
      </c>
      <c r="F934" s="0" t="n">
        <v>4.95</v>
      </c>
      <c r="G934" s="0" t="n">
        <v>12471</v>
      </c>
      <c r="H934" s="0" t="s">
        <v>33</v>
      </c>
      <c r="I934" s="7" t="n">
        <f aca="false">IF(AND(LEFT(A934,1)&lt;&gt;"C",D934&gt;0,F934&gt;0),1,0)</f>
        <v>1</v>
      </c>
      <c r="J934" s="7" t="n">
        <f aca="false">IF(I934=1,D934*F934,0)</f>
        <v>39.6</v>
      </c>
      <c r="K934" s="7" t="n">
        <f aca="false">YEAR(E934)*100+MONTH(E934)</f>
        <v>201109</v>
      </c>
      <c r="L934" s="7" t="n">
        <f aca="false">IF(AND(A934&lt;&gt;A933,LEFT(A934,1)&lt;&gt;"C"),1,0)</f>
        <v>0</v>
      </c>
    </row>
    <row r="935" customFormat="false" ht="15" hidden="false" customHeight="false" outlineLevel="0" collapsed="false">
      <c r="A935" s="0" t="s">
        <v>1056</v>
      </c>
      <c r="B935" s="0" t="s">
        <v>537</v>
      </c>
      <c r="C935" s="0" t="s">
        <v>538</v>
      </c>
      <c r="D935" s="0" t="n">
        <v>6</v>
      </c>
      <c r="E935" s="6" t="n">
        <v>40802.44375</v>
      </c>
      <c r="F935" s="0" t="n">
        <v>4.15</v>
      </c>
      <c r="G935" s="0" t="n">
        <v>12471</v>
      </c>
      <c r="H935" s="0" t="s">
        <v>33</v>
      </c>
      <c r="I935" s="7" t="n">
        <f aca="false">IF(AND(LEFT(A935,1)&lt;&gt;"C",D935&gt;0,F935&gt;0),1,0)</f>
        <v>1</v>
      </c>
      <c r="J935" s="7" t="n">
        <f aca="false">IF(I935=1,D935*F935,0)</f>
        <v>24.9</v>
      </c>
      <c r="K935" s="7" t="n">
        <f aca="false">YEAR(E935)*100+MONTH(E935)</f>
        <v>201109</v>
      </c>
      <c r="L935" s="7" t="n">
        <f aca="false">IF(AND(A935&lt;&gt;A934,LEFT(A935,1)&lt;&gt;"C"),1,0)</f>
        <v>0</v>
      </c>
    </row>
    <row r="936" customFormat="false" ht="15" hidden="false" customHeight="false" outlineLevel="0" collapsed="false">
      <c r="A936" s="0" t="s">
        <v>1056</v>
      </c>
      <c r="B936" s="0" t="s">
        <v>1057</v>
      </c>
      <c r="C936" s="0" t="s">
        <v>1058</v>
      </c>
      <c r="D936" s="0" t="n">
        <v>4</v>
      </c>
      <c r="E936" s="6" t="n">
        <v>40802.44375</v>
      </c>
      <c r="F936" s="0" t="n">
        <v>9.95</v>
      </c>
      <c r="G936" s="0" t="n">
        <v>12471</v>
      </c>
      <c r="H936" s="0" t="s">
        <v>33</v>
      </c>
      <c r="I936" s="7" t="n">
        <f aca="false">IF(AND(LEFT(A936,1)&lt;&gt;"C",D936&gt;0,F936&gt;0),1,0)</f>
        <v>1</v>
      </c>
      <c r="J936" s="7" t="n">
        <f aca="false">IF(I936=1,D936*F936,0)</f>
        <v>39.8</v>
      </c>
      <c r="K936" s="7" t="n">
        <f aca="false">YEAR(E936)*100+MONTH(E936)</f>
        <v>201109</v>
      </c>
      <c r="L936" s="7" t="n">
        <f aca="false">IF(AND(A936&lt;&gt;A935,LEFT(A936,1)&lt;&gt;"C"),1,0)</f>
        <v>0</v>
      </c>
    </row>
    <row r="937" customFormat="false" ht="15" hidden="false" customHeight="false" outlineLevel="0" collapsed="false">
      <c r="A937" s="0" t="s">
        <v>1056</v>
      </c>
      <c r="B937" s="0" t="s">
        <v>1059</v>
      </c>
      <c r="C937" s="0" t="s">
        <v>1060</v>
      </c>
      <c r="D937" s="0" t="n">
        <v>24</v>
      </c>
      <c r="E937" s="6" t="n">
        <v>40802.44375</v>
      </c>
      <c r="F937" s="0" t="n">
        <v>2.08</v>
      </c>
      <c r="G937" s="0" t="n">
        <v>12471</v>
      </c>
      <c r="H937" s="0" t="s">
        <v>33</v>
      </c>
      <c r="I937" s="7" t="n">
        <f aca="false">IF(AND(LEFT(A937,1)&lt;&gt;"C",D937&gt;0,F937&gt;0),1,0)</f>
        <v>1</v>
      </c>
      <c r="J937" s="7" t="n">
        <f aca="false">IF(I937=1,D937*F937,0)</f>
        <v>49.92</v>
      </c>
      <c r="K937" s="7" t="n">
        <f aca="false">YEAR(E937)*100+MONTH(E937)</f>
        <v>201109</v>
      </c>
      <c r="L937" s="7" t="n">
        <f aca="false">IF(AND(A937&lt;&gt;A936,LEFT(A937,1)&lt;&gt;"C"),1,0)</f>
        <v>0</v>
      </c>
    </row>
    <row r="938" customFormat="false" ht="15" hidden="false" customHeight="false" outlineLevel="0" collapsed="false">
      <c r="A938" s="0" t="s">
        <v>1056</v>
      </c>
      <c r="B938" s="0" t="s">
        <v>1061</v>
      </c>
      <c r="C938" s="0" t="s">
        <v>1062</v>
      </c>
      <c r="D938" s="0" t="n">
        <v>4</v>
      </c>
      <c r="E938" s="6" t="n">
        <v>40802.44375</v>
      </c>
      <c r="F938" s="0" t="n">
        <v>3.25</v>
      </c>
      <c r="G938" s="0" t="n">
        <v>12471</v>
      </c>
      <c r="H938" s="0" t="s">
        <v>33</v>
      </c>
      <c r="I938" s="7" t="n">
        <f aca="false">IF(AND(LEFT(A938,1)&lt;&gt;"C",D938&gt;0,F938&gt;0),1,0)</f>
        <v>1</v>
      </c>
      <c r="J938" s="7" t="n">
        <f aca="false">IF(I938=1,D938*F938,0)</f>
        <v>13</v>
      </c>
      <c r="K938" s="7" t="n">
        <f aca="false">YEAR(E938)*100+MONTH(E938)</f>
        <v>201109</v>
      </c>
      <c r="L938" s="7" t="n">
        <f aca="false">IF(AND(A938&lt;&gt;A937,LEFT(A938,1)&lt;&gt;"C"),1,0)</f>
        <v>0</v>
      </c>
    </row>
    <row r="939" customFormat="false" ht="15" hidden="false" customHeight="false" outlineLevel="0" collapsed="false">
      <c r="A939" s="0" t="s">
        <v>1056</v>
      </c>
      <c r="B939" s="0" t="s">
        <v>877</v>
      </c>
      <c r="C939" s="0" t="s">
        <v>878</v>
      </c>
      <c r="D939" s="0" t="n">
        <v>12</v>
      </c>
      <c r="E939" s="6" t="n">
        <v>40802.44375</v>
      </c>
      <c r="F939" s="0" t="n">
        <v>0.83</v>
      </c>
      <c r="G939" s="0" t="n">
        <v>12471</v>
      </c>
      <c r="H939" s="0" t="s">
        <v>33</v>
      </c>
      <c r="I939" s="7" t="n">
        <f aca="false">IF(AND(LEFT(A939,1)&lt;&gt;"C",D939&gt;0,F939&gt;0),1,0)</f>
        <v>1</v>
      </c>
      <c r="J939" s="7" t="n">
        <f aca="false">IF(I939=1,D939*F939,0)</f>
        <v>9.96</v>
      </c>
      <c r="K939" s="7" t="n">
        <f aca="false">YEAR(E939)*100+MONTH(E939)</f>
        <v>201109</v>
      </c>
      <c r="L939" s="7" t="n">
        <f aca="false">IF(AND(A939&lt;&gt;A938,LEFT(A939,1)&lt;&gt;"C"),1,0)</f>
        <v>0</v>
      </c>
    </row>
    <row r="940" customFormat="false" ht="15" hidden="false" customHeight="false" outlineLevel="0" collapsed="false">
      <c r="A940" s="0" t="s">
        <v>1056</v>
      </c>
      <c r="B940" s="0" t="s">
        <v>1063</v>
      </c>
      <c r="C940" s="0" t="s">
        <v>1064</v>
      </c>
      <c r="D940" s="0" t="n">
        <v>4</v>
      </c>
      <c r="E940" s="6" t="n">
        <v>40802.44375</v>
      </c>
      <c r="F940" s="0" t="n">
        <v>4.95</v>
      </c>
      <c r="G940" s="0" t="n">
        <v>12471</v>
      </c>
      <c r="H940" s="0" t="s">
        <v>33</v>
      </c>
      <c r="I940" s="7" t="n">
        <f aca="false">IF(AND(LEFT(A940,1)&lt;&gt;"C",D940&gt;0,F940&gt;0),1,0)</f>
        <v>1</v>
      </c>
      <c r="J940" s="7" t="n">
        <f aca="false">IF(I940=1,D940*F940,0)</f>
        <v>19.8</v>
      </c>
      <c r="K940" s="7" t="n">
        <f aca="false">YEAR(E940)*100+MONTH(E940)</f>
        <v>201109</v>
      </c>
      <c r="L940" s="7" t="n">
        <f aca="false">IF(AND(A940&lt;&gt;A939,LEFT(A940,1)&lt;&gt;"C"),1,0)</f>
        <v>0</v>
      </c>
    </row>
    <row r="941" customFormat="false" ht="15" hidden="false" customHeight="false" outlineLevel="0" collapsed="false">
      <c r="A941" s="0" t="s">
        <v>1056</v>
      </c>
      <c r="B941" s="0" t="s">
        <v>764</v>
      </c>
      <c r="C941" s="0" t="s">
        <v>765</v>
      </c>
      <c r="D941" s="0" t="n">
        <v>24</v>
      </c>
      <c r="E941" s="6" t="n">
        <v>40802.44375</v>
      </c>
      <c r="F941" s="0" t="n">
        <v>0.39</v>
      </c>
      <c r="G941" s="0" t="n">
        <v>12471</v>
      </c>
      <c r="H941" s="0" t="s">
        <v>33</v>
      </c>
      <c r="I941" s="7" t="n">
        <f aca="false">IF(AND(LEFT(A941,1)&lt;&gt;"C",D941&gt;0,F941&gt;0),1,0)</f>
        <v>1</v>
      </c>
      <c r="J941" s="7" t="n">
        <f aca="false">IF(I941=1,D941*F941,0)</f>
        <v>9.36</v>
      </c>
      <c r="K941" s="7" t="n">
        <f aca="false">YEAR(E941)*100+MONTH(E941)</f>
        <v>201109</v>
      </c>
      <c r="L941" s="7" t="n">
        <f aca="false">IF(AND(A941&lt;&gt;A940,LEFT(A941,1)&lt;&gt;"C"),1,0)</f>
        <v>0</v>
      </c>
    </row>
    <row r="942" customFormat="false" ht="15" hidden="false" customHeight="false" outlineLevel="0" collapsed="false">
      <c r="A942" s="0" t="s">
        <v>1056</v>
      </c>
      <c r="B942" s="0" t="s">
        <v>80</v>
      </c>
      <c r="C942" s="0" t="s">
        <v>81</v>
      </c>
      <c r="D942" s="0" t="n">
        <v>20</v>
      </c>
      <c r="E942" s="6" t="n">
        <v>40802.44375</v>
      </c>
      <c r="F942" s="0" t="n">
        <v>0.83</v>
      </c>
      <c r="G942" s="0" t="n">
        <v>12471</v>
      </c>
      <c r="H942" s="0" t="s">
        <v>33</v>
      </c>
      <c r="I942" s="7" t="n">
        <f aca="false">IF(AND(LEFT(A942,1)&lt;&gt;"C",D942&gt;0,F942&gt;0),1,0)</f>
        <v>1</v>
      </c>
      <c r="J942" s="7" t="n">
        <f aca="false">IF(I942=1,D942*F942,0)</f>
        <v>16.6</v>
      </c>
      <c r="K942" s="7" t="n">
        <f aca="false">YEAR(E942)*100+MONTH(E942)</f>
        <v>201109</v>
      </c>
      <c r="L942" s="7" t="n">
        <f aca="false">IF(AND(A942&lt;&gt;A941,LEFT(A942,1)&lt;&gt;"C"),1,0)</f>
        <v>0</v>
      </c>
    </row>
    <row r="943" customFormat="false" ht="15" hidden="false" customHeight="false" outlineLevel="0" collapsed="false">
      <c r="A943" s="0" t="s">
        <v>1056</v>
      </c>
      <c r="B943" s="0" t="s">
        <v>1048</v>
      </c>
      <c r="C943" s="0" t="s">
        <v>1049</v>
      </c>
      <c r="D943" s="0" t="n">
        <v>4</v>
      </c>
      <c r="E943" s="6" t="n">
        <v>40802.44375</v>
      </c>
      <c r="F943" s="0" t="n">
        <v>4.15</v>
      </c>
      <c r="G943" s="0" t="n">
        <v>12471</v>
      </c>
      <c r="H943" s="0" t="s">
        <v>33</v>
      </c>
      <c r="I943" s="7" t="n">
        <f aca="false">IF(AND(LEFT(A943,1)&lt;&gt;"C",D943&gt;0,F943&gt;0),1,0)</f>
        <v>1</v>
      </c>
      <c r="J943" s="7" t="n">
        <f aca="false">IF(I943=1,D943*F943,0)</f>
        <v>16.6</v>
      </c>
      <c r="K943" s="7" t="n">
        <f aca="false">YEAR(E943)*100+MONTH(E943)</f>
        <v>201109</v>
      </c>
      <c r="L943" s="7" t="n">
        <f aca="false">IF(AND(A943&lt;&gt;A942,LEFT(A943,1)&lt;&gt;"C"),1,0)</f>
        <v>0</v>
      </c>
    </row>
    <row r="944" customFormat="false" ht="15" hidden="false" customHeight="false" outlineLevel="0" collapsed="false">
      <c r="A944" s="0" t="s">
        <v>1056</v>
      </c>
      <c r="B944" s="0" t="s">
        <v>1065</v>
      </c>
      <c r="C944" s="0" t="s">
        <v>1066</v>
      </c>
      <c r="D944" s="0" t="n">
        <v>6</v>
      </c>
      <c r="E944" s="6" t="n">
        <v>40802.44375</v>
      </c>
      <c r="F944" s="0" t="n">
        <v>2.08</v>
      </c>
      <c r="G944" s="0" t="n">
        <v>12471</v>
      </c>
      <c r="H944" s="0" t="s">
        <v>33</v>
      </c>
      <c r="I944" s="7" t="n">
        <f aca="false">IF(AND(LEFT(A944,1)&lt;&gt;"C",D944&gt;0,F944&gt;0),1,0)</f>
        <v>1</v>
      </c>
      <c r="J944" s="7" t="n">
        <f aca="false">IF(I944=1,D944*F944,0)</f>
        <v>12.48</v>
      </c>
      <c r="K944" s="7" t="n">
        <f aca="false">YEAR(E944)*100+MONTH(E944)</f>
        <v>201109</v>
      </c>
      <c r="L944" s="7" t="n">
        <f aca="false">IF(AND(A944&lt;&gt;A943,LEFT(A944,1)&lt;&gt;"C"),1,0)</f>
        <v>0</v>
      </c>
    </row>
    <row r="945" customFormat="false" ht="15" hidden="false" customHeight="false" outlineLevel="0" collapsed="false">
      <c r="A945" s="0" t="s">
        <v>1056</v>
      </c>
      <c r="B945" s="0" t="s">
        <v>1067</v>
      </c>
      <c r="C945" s="0" t="s">
        <v>1068</v>
      </c>
      <c r="D945" s="0" t="n">
        <v>10</v>
      </c>
      <c r="E945" s="6" t="n">
        <v>40802.44375</v>
      </c>
      <c r="F945" s="0" t="n">
        <v>0.82</v>
      </c>
      <c r="G945" s="0" t="n">
        <v>12471</v>
      </c>
      <c r="H945" s="0" t="s">
        <v>33</v>
      </c>
      <c r="I945" s="7" t="n">
        <f aca="false">IF(AND(LEFT(A945,1)&lt;&gt;"C",D945&gt;0,F945&gt;0),1,0)</f>
        <v>1</v>
      </c>
      <c r="J945" s="7" t="n">
        <f aca="false">IF(I945=1,D945*F945,0)</f>
        <v>8.2</v>
      </c>
      <c r="K945" s="7" t="n">
        <f aca="false">YEAR(E945)*100+MONTH(E945)</f>
        <v>201109</v>
      </c>
      <c r="L945" s="7" t="n">
        <f aca="false">IF(AND(A945&lt;&gt;A944,LEFT(A945,1)&lt;&gt;"C"),1,0)</f>
        <v>0</v>
      </c>
    </row>
    <row r="946" customFormat="false" ht="15" hidden="false" customHeight="false" outlineLevel="0" collapsed="false">
      <c r="A946" s="0" t="s">
        <v>1056</v>
      </c>
      <c r="B946" s="0" t="s">
        <v>64</v>
      </c>
      <c r="C946" s="0" t="s">
        <v>65</v>
      </c>
      <c r="D946" s="0" t="n">
        <v>24</v>
      </c>
      <c r="E946" s="6" t="n">
        <v>40802.44375</v>
      </c>
      <c r="F946" s="0" t="n">
        <v>1.65</v>
      </c>
      <c r="G946" s="0" t="n">
        <v>12471</v>
      </c>
      <c r="H946" s="0" t="s">
        <v>33</v>
      </c>
      <c r="I946" s="7" t="n">
        <f aca="false">IF(AND(LEFT(A946,1)&lt;&gt;"C",D946&gt;0,F946&gt;0),1,0)</f>
        <v>1</v>
      </c>
      <c r="J946" s="7" t="n">
        <f aca="false">IF(I946=1,D946*F946,0)</f>
        <v>39.6</v>
      </c>
      <c r="K946" s="7" t="n">
        <f aca="false">YEAR(E946)*100+MONTH(E946)</f>
        <v>201109</v>
      </c>
      <c r="L946" s="7" t="n">
        <f aca="false">IF(AND(A946&lt;&gt;A945,LEFT(A946,1)&lt;&gt;"C"),1,0)</f>
        <v>0</v>
      </c>
    </row>
    <row r="947" customFormat="false" ht="15" hidden="false" customHeight="false" outlineLevel="0" collapsed="false">
      <c r="A947" s="0" t="s">
        <v>1056</v>
      </c>
      <c r="B947" s="0" t="s">
        <v>84</v>
      </c>
      <c r="C947" s="0" t="s">
        <v>85</v>
      </c>
      <c r="D947" s="0" t="n">
        <v>3</v>
      </c>
      <c r="E947" s="6" t="n">
        <v>40802.44375</v>
      </c>
      <c r="F947" s="0" t="n">
        <v>18</v>
      </c>
      <c r="G947" s="0" t="n">
        <v>12471</v>
      </c>
      <c r="H947" s="0" t="s">
        <v>33</v>
      </c>
      <c r="I947" s="7" t="n">
        <f aca="false">IF(AND(LEFT(A947,1)&lt;&gt;"C",D947&gt;0,F947&gt;0),1,0)</f>
        <v>1</v>
      </c>
      <c r="J947" s="7" t="n">
        <f aca="false">IF(I947=1,D947*F947,0)</f>
        <v>54</v>
      </c>
      <c r="K947" s="7" t="n">
        <f aca="false">YEAR(E947)*100+MONTH(E947)</f>
        <v>201109</v>
      </c>
      <c r="L947" s="7" t="n">
        <f aca="false">IF(AND(A947&lt;&gt;A946,LEFT(A947,1)&lt;&gt;"C"),1,0)</f>
        <v>0</v>
      </c>
    </row>
    <row r="948" customFormat="false" ht="15" hidden="false" customHeight="false" outlineLevel="0" collapsed="false">
      <c r="A948" s="0" t="s">
        <v>1069</v>
      </c>
      <c r="B948" s="0" t="s">
        <v>1070</v>
      </c>
      <c r="C948" s="0" t="s">
        <v>1071</v>
      </c>
      <c r="D948" s="0" t="n">
        <v>-1</v>
      </c>
      <c r="E948" s="6" t="n">
        <v>40802.4493055556</v>
      </c>
      <c r="F948" s="0" t="n">
        <v>0.79</v>
      </c>
      <c r="G948" s="0" t="n">
        <v>12476</v>
      </c>
      <c r="H948" s="0" t="s">
        <v>33</v>
      </c>
      <c r="I948" s="7" t="n">
        <f aca="false">IF(AND(LEFT(A948,1)&lt;&gt;"C",D948&gt;0,F948&gt;0),1,0)</f>
        <v>0</v>
      </c>
      <c r="J948" s="7" t="n">
        <f aca="false">IF(I948=1,D948*F948,0)</f>
        <v>0</v>
      </c>
      <c r="K948" s="7" t="n">
        <f aca="false">YEAR(E948)*100+MONTH(E948)</f>
        <v>201109</v>
      </c>
      <c r="L948" s="7" t="n">
        <f aca="false">IF(AND(A948&lt;&gt;A947,LEFT(A948,1)&lt;&gt;"C"),1,0)</f>
        <v>0</v>
      </c>
    </row>
    <row r="949" customFormat="false" ht="15" hidden="false" customHeight="false" outlineLevel="0" collapsed="false">
      <c r="A949" s="0" t="s">
        <v>1072</v>
      </c>
      <c r="B949" s="0" t="s">
        <v>517</v>
      </c>
      <c r="C949" s="0" t="s">
        <v>518</v>
      </c>
      <c r="D949" s="0" t="n">
        <v>10</v>
      </c>
      <c r="E949" s="6" t="n">
        <v>40802.4555555556</v>
      </c>
      <c r="F949" s="0" t="n">
        <v>2.08</v>
      </c>
      <c r="G949" s="0" t="n">
        <v>12476</v>
      </c>
      <c r="H949" s="0" t="s">
        <v>33</v>
      </c>
      <c r="I949" s="7" t="n">
        <f aca="false">IF(AND(LEFT(A949,1)&lt;&gt;"C",D949&gt;0,F949&gt;0),1,0)</f>
        <v>1</v>
      </c>
      <c r="J949" s="7" t="n">
        <f aca="false">IF(I949=1,D949*F949,0)</f>
        <v>20.8</v>
      </c>
      <c r="K949" s="7" t="n">
        <f aca="false">YEAR(E949)*100+MONTH(E949)</f>
        <v>201109</v>
      </c>
      <c r="L949" s="7" t="n">
        <f aca="false">IF(AND(A949&lt;&gt;A948,LEFT(A949,1)&lt;&gt;"C"),1,0)</f>
        <v>1</v>
      </c>
    </row>
    <row r="950" customFormat="false" ht="15" hidden="false" customHeight="false" outlineLevel="0" collapsed="false">
      <c r="A950" s="0" t="s">
        <v>1072</v>
      </c>
      <c r="B950" s="0" t="s">
        <v>84</v>
      </c>
      <c r="C950" s="0" t="s">
        <v>85</v>
      </c>
      <c r="D950" s="0" t="n">
        <v>4</v>
      </c>
      <c r="E950" s="6" t="n">
        <v>40802.4555555556</v>
      </c>
      <c r="F950" s="0" t="n">
        <v>18</v>
      </c>
      <c r="G950" s="0" t="n">
        <v>12476</v>
      </c>
      <c r="H950" s="0" t="s">
        <v>33</v>
      </c>
      <c r="I950" s="7" t="n">
        <f aca="false">IF(AND(LEFT(A950,1)&lt;&gt;"C",D950&gt;0,F950&gt;0),1,0)</f>
        <v>1</v>
      </c>
      <c r="J950" s="7" t="n">
        <f aca="false">IF(I950=1,D950*F950,0)</f>
        <v>72</v>
      </c>
      <c r="K950" s="7" t="n">
        <f aca="false">YEAR(E950)*100+MONTH(E950)</f>
        <v>201109</v>
      </c>
      <c r="L950" s="7" t="n">
        <f aca="false">IF(AND(A950&lt;&gt;A949,LEFT(A950,1)&lt;&gt;"C"),1,0)</f>
        <v>0</v>
      </c>
    </row>
    <row r="951" customFormat="false" ht="15" hidden="false" customHeight="false" outlineLevel="0" collapsed="false">
      <c r="A951" s="0" t="s">
        <v>1072</v>
      </c>
      <c r="B951" s="0" t="s">
        <v>943</v>
      </c>
      <c r="C951" s="0" t="s">
        <v>944</v>
      </c>
      <c r="D951" s="0" t="n">
        <v>12</v>
      </c>
      <c r="E951" s="6" t="n">
        <v>40802.4555555556</v>
      </c>
      <c r="F951" s="0" t="n">
        <v>1.95</v>
      </c>
      <c r="G951" s="0" t="n">
        <v>12476</v>
      </c>
      <c r="H951" s="0" t="s">
        <v>33</v>
      </c>
      <c r="I951" s="7" t="n">
        <f aca="false">IF(AND(LEFT(A951,1)&lt;&gt;"C",D951&gt;0,F951&gt;0),1,0)</f>
        <v>1</v>
      </c>
      <c r="J951" s="7" t="n">
        <f aca="false">IF(I951=1,D951*F951,0)</f>
        <v>23.4</v>
      </c>
      <c r="K951" s="7" t="n">
        <f aca="false">YEAR(E951)*100+MONTH(E951)</f>
        <v>201109</v>
      </c>
      <c r="L951" s="7" t="n">
        <f aca="false">IF(AND(A951&lt;&gt;A950,LEFT(A951,1)&lt;&gt;"C"),1,0)</f>
        <v>0</v>
      </c>
    </row>
    <row r="952" customFormat="false" ht="15" hidden="false" customHeight="false" outlineLevel="0" collapsed="false">
      <c r="A952" s="0" t="s">
        <v>1072</v>
      </c>
      <c r="B952" s="0" t="s">
        <v>1073</v>
      </c>
      <c r="C952" s="0" t="s">
        <v>1074</v>
      </c>
      <c r="D952" s="0" t="n">
        <v>12</v>
      </c>
      <c r="E952" s="6" t="n">
        <v>40802.4555555556</v>
      </c>
      <c r="F952" s="0" t="n">
        <v>1.65</v>
      </c>
      <c r="G952" s="0" t="n">
        <v>12476</v>
      </c>
      <c r="H952" s="0" t="s">
        <v>33</v>
      </c>
      <c r="I952" s="7" t="n">
        <f aca="false">IF(AND(LEFT(A952,1)&lt;&gt;"C",D952&gt;0,F952&gt;0),1,0)</f>
        <v>1</v>
      </c>
      <c r="J952" s="7" t="n">
        <f aca="false">IF(I952=1,D952*F952,0)</f>
        <v>19.8</v>
      </c>
      <c r="K952" s="7" t="n">
        <f aca="false">YEAR(E952)*100+MONTH(E952)</f>
        <v>201109</v>
      </c>
      <c r="L952" s="7" t="n">
        <f aca="false">IF(AND(A952&lt;&gt;A951,LEFT(A952,1)&lt;&gt;"C"),1,0)</f>
        <v>0</v>
      </c>
    </row>
    <row r="953" customFormat="false" ht="15" hidden="false" customHeight="false" outlineLevel="0" collapsed="false">
      <c r="A953" s="0" t="s">
        <v>1072</v>
      </c>
      <c r="B953" s="0" t="s">
        <v>74</v>
      </c>
      <c r="C953" s="0" t="s">
        <v>75</v>
      </c>
      <c r="D953" s="0" t="n">
        <v>12</v>
      </c>
      <c r="E953" s="6" t="n">
        <v>40802.4555555556</v>
      </c>
      <c r="F953" s="0" t="n">
        <v>1.95</v>
      </c>
      <c r="G953" s="0" t="n">
        <v>12476</v>
      </c>
      <c r="H953" s="0" t="s">
        <v>33</v>
      </c>
      <c r="I953" s="7" t="n">
        <f aca="false">IF(AND(LEFT(A953,1)&lt;&gt;"C",D953&gt;0,F953&gt;0),1,0)</f>
        <v>1</v>
      </c>
      <c r="J953" s="7" t="n">
        <f aca="false">IF(I953=1,D953*F953,0)</f>
        <v>23.4</v>
      </c>
      <c r="K953" s="7" t="n">
        <f aca="false">YEAR(E953)*100+MONTH(E953)</f>
        <v>201109</v>
      </c>
      <c r="L953" s="7" t="n">
        <f aca="false">IF(AND(A953&lt;&gt;A952,LEFT(A953,1)&lt;&gt;"C"),1,0)</f>
        <v>0</v>
      </c>
    </row>
    <row r="954" customFormat="false" ht="15" hidden="false" customHeight="false" outlineLevel="0" collapsed="false">
      <c r="A954" s="0" t="s">
        <v>1072</v>
      </c>
      <c r="B954" s="0" t="s">
        <v>639</v>
      </c>
      <c r="C954" s="0" t="s">
        <v>640</v>
      </c>
      <c r="D954" s="0" t="n">
        <v>12</v>
      </c>
      <c r="E954" s="6" t="n">
        <v>40802.4555555556</v>
      </c>
      <c r="F954" s="0" t="n">
        <v>1.65</v>
      </c>
      <c r="G954" s="0" t="n">
        <v>12476</v>
      </c>
      <c r="H954" s="0" t="s">
        <v>33</v>
      </c>
      <c r="I954" s="7" t="n">
        <f aca="false">IF(AND(LEFT(A954,1)&lt;&gt;"C",D954&gt;0,F954&gt;0),1,0)</f>
        <v>1</v>
      </c>
      <c r="J954" s="7" t="n">
        <f aca="false">IF(I954=1,D954*F954,0)</f>
        <v>19.8</v>
      </c>
      <c r="K954" s="7" t="n">
        <f aca="false">YEAR(E954)*100+MONTH(E954)</f>
        <v>201109</v>
      </c>
      <c r="L954" s="7" t="n">
        <f aca="false">IF(AND(A954&lt;&gt;A953,LEFT(A954,1)&lt;&gt;"C"),1,0)</f>
        <v>0</v>
      </c>
    </row>
    <row r="955" customFormat="false" ht="15" hidden="false" customHeight="false" outlineLevel="0" collapsed="false">
      <c r="A955" s="0" t="s">
        <v>1072</v>
      </c>
      <c r="B955" s="0" t="s">
        <v>97</v>
      </c>
      <c r="C955" s="0" t="s">
        <v>98</v>
      </c>
      <c r="D955" s="0" t="n">
        <v>36</v>
      </c>
      <c r="E955" s="6" t="n">
        <v>40802.4555555556</v>
      </c>
      <c r="F955" s="0" t="n">
        <v>1.65</v>
      </c>
      <c r="G955" s="0" t="n">
        <v>12476</v>
      </c>
      <c r="H955" s="0" t="s">
        <v>33</v>
      </c>
      <c r="I955" s="7" t="n">
        <f aca="false">IF(AND(LEFT(A955,1)&lt;&gt;"C",D955&gt;0,F955&gt;0),1,0)</f>
        <v>1</v>
      </c>
      <c r="J955" s="7" t="n">
        <f aca="false">IF(I955=1,D955*F955,0)</f>
        <v>59.4</v>
      </c>
      <c r="K955" s="7" t="n">
        <f aca="false">YEAR(E955)*100+MONTH(E955)</f>
        <v>201109</v>
      </c>
      <c r="L955" s="7" t="n">
        <f aca="false">IF(AND(A955&lt;&gt;A954,LEFT(A955,1)&lt;&gt;"C"),1,0)</f>
        <v>0</v>
      </c>
    </row>
    <row r="956" customFormat="false" ht="15" hidden="false" customHeight="false" outlineLevel="0" collapsed="false">
      <c r="A956" s="0" t="s">
        <v>1072</v>
      </c>
      <c r="B956" s="0" t="s">
        <v>471</v>
      </c>
      <c r="C956" s="0" t="s">
        <v>472</v>
      </c>
      <c r="D956" s="0" t="n">
        <v>36</v>
      </c>
      <c r="E956" s="6" t="n">
        <v>40802.4555555556</v>
      </c>
      <c r="F956" s="0" t="n">
        <v>1.65</v>
      </c>
      <c r="G956" s="0" t="n">
        <v>12476</v>
      </c>
      <c r="H956" s="0" t="s">
        <v>33</v>
      </c>
      <c r="I956" s="7" t="n">
        <f aca="false">IF(AND(LEFT(A956,1)&lt;&gt;"C",D956&gt;0,F956&gt;0),1,0)</f>
        <v>1</v>
      </c>
      <c r="J956" s="7" t="n">
        <f aca="false">IF(I956=1,D956*F956,0)</f>
        <v>59.4</v>
      </c>
      <c r="K956" s="7" t="n">
        <f aca="false">YEAR(E956)*100+MONTH(E956)</f>
        <v>201109</v>
      </c>
      <c r="L956" s="7" t="n">
        <f aca="false">IF(AND(A956&lt;&gt;A955,LEFT(A956,1)&lt;&gt;"C"),1,0)</f>
        <v>0</v>
      </c>
    </row>
    <row r="957" customFormat="false" ht="15" hidden="false" customHeight="false" outlineLevel="0" collapsed="false">
      <c r="A957" s="0" t="s">
        <v>1072</v>
      </c>
      <c r="B957" s="0" t="s">
        <v>148</v>
      </c>
      <c r="C957" s="0" t="s">
        <v>149</v>
      </c>
      <c r="D957" s="0" t="n">
        <v>6</v>
      </c>
      <c r="E957" s="6" t="n">
        <v>40802.4555555556</v>
      </c>
      <c r="F957" s="0" t="n">
        <v>12.75</v>
      </c>
      <c r="G957" s="0" t="n">
        <v>12476</v>
      </c>
      <c r="H957" s="0" t="s">
        <v>33</v>
      </c>
      <c r="I957" s="7" t="n">
        <f aca="false">IF(AND(LEFT(A957,1)&lt;&gt;"C",D957&gt;0,F957&gt;0),1,0)</f>
        <v>1</v>
      </c>
      <c r="J957" s="7" t="n">
        <f aca="false">IF(I957=1,D957*F957,0)</f>
        <v>76.5</v>
      </c>
      <c r="K957" s="7" t="n">
        <f aca="false">YEAR(E957)*100+MONTH(E957)</f>
        <v>201109</v>
      </c>
      <c r="L957" s="7" t="n">
        <f aca="false">IF(AND(A957&lt;&gt;A956,LEFT(A957,1)&lt;&gt;"C"),1,0)</f>
        <v>0</v>
      </c>
    </row>
    <row r="958" customFormat="false" ht="15" hidden="false" customHeight="false" outlineLevel="0" collapsed="false">
      <c r="A958" s="0" t="s">
        <v>1072</v>
      </c>
      <c r="B958" s="0" t="s">
        <v>136</v>
      </c>
      <c r="C958" s="0" t="s">
        <v>137</v>
      </c>
      <c r="D958" s="0" t="n">
        <v>8</v>
      </c>
      <c r="E958" s="6" t="n">
        <v>40802.4555555556</v>
      </c>
      <c r="F958" s="0" t="n">
        <v>4.95</v>
      </c>
      <c r="G958" s="0" t="n">
        <v>12476</v>
      </c>
      <c r="H958" s="0" t="s">
        <v>33</v>
      </c>
      <c r="I958" s="7" t="n">
        <f aca="false">IF(AND(LEFT(A958,1)&lt;&gt;"C",D958&gt;0,F958&gt;0),1,0)</f>
        <v>1</v>
      </c>
      <c r="J958" s="7" t="n">
        <f aca="false">IF(I958=1,D958*F958,0)</f>
        <v>39.6</v>
      </c>
      <c r="K958" s="7" t="n">
        <f aca="false">YEAR(E958)*100+MONTH(E958)</f>
        <v>201109</v>
      </c>
      <c r="L958" s="7" t="n">
        <f aca="false">IF(AND(A958&lt;&gt;A957,LEFT(A958,1)&lt;&gt;"C"),1,0)</f>
        <v>0</v>
      </c>
    </row>
    <row r="959" customFormat="false" ht="15" hidden="false" customHeight="false" outlineLevel="0" collapsed="false">
      <c r="A959" s="0" t="s">
        <v>1072</v>
      </c>
      <c r="B959" s="0" t="s">
        <v>1075</v>
      </c>
      <c r="C959" s="0" t="s">
        <v>1076</v>
      </c>
      <c r="D959" s="0" t="n">
        <v>3</v>
      </c>
      <c r="E959" s="6" t="n">
        <v>40802.4555555556</v>
      </c>
      <c r="F959" s="0" t="n">
        <v>12.5</v>
      </c>
      <c r="G959" s="0" t="n">
        <v>12476</v>
      </c>
      <c r="H959" s="0" t="s">
        <v>33</v>
      </c>
      <c r="I959" s="7" t="n">
        <f aca="false">IF(AND(LEFT(A959,1)&lt;&gt;"C",D959&gt;0,F959&gt;0),1,0)</f>
        <v>1</v>
      </c>
      <c r="J959" s="7" t="n">
        <f aca="false">IF(I959=1,D959*F959,0)</f>
        <v>37.5</v>
      </c>
      <c r="K959" s="7" t="n">
        <f aca="false">YEAR(E959)*100+MONTH(E959)</f>
        <v>201109</v>
      </c>
      <c r="L959" s="7" t="n">
        <f aca="false">IF(AND(A959&lt;&gt;A958,LEFT(A959,1)&lt;&gt;"C"),1,0)</f>
        <v>0</v>
      </c>
    </row>
    <row r="960" customFormat="false" ht="15" hidden="false" customHeight="false" outlineLevel="0" collapsed="false">
      <c r="A960" s="0" t="s">
        <v>1072</v>
      </c>
      <c r="B960" s="0" t="s">
        <v>107</v>
      </c>
      <c r="C960" s="0" t="s">
        <v>108</v>
      </c>
      <c r="D960" s="0" t="n">
        <v>24</v>
      </c>
      <c r="E960" s="6" t="n">
        <v>40802.4555555556</v>
      </c>
      <c r="F960" s="0" t="n">
        <v>2.55</v>
      </c>
      <c r="G960" s="0" t="n">
        <v>12476</v>
      </c>
      <c r="H960" s="0" t="s">
        <v>33</v>
      </c>
      <c r="I960" s="7" t="n">
        <f aca="false">IF(AND(LEFT(A960,1)&lt;&gt;"C",D960&gt;0,F960&gt;0),1,0)</f>
        <v>1</v>
      </c>
      <c r="J960" s="7" t="n">
        <f aca="false">IF(I960=1,D960*F960,0)</f>
        <v>61.2</v>
      </c>
      <c r="K960" s="7" t="n">
        <f aca="false">YEAR(E960)*100+MONTH(E960)</f>
        <v>201109</v>
      </c>
      <c r="L960" s="7" t="n">
        <f aca="false">IF(AND(A960&lt;&gt;A959,LEFT(A960,1)&lt;&gt;"C"),1,0)</f>
        <v>0</v>
      </c>
    </row>
    <row r="961" customFormat="false" ht="15" hidden="false" customHeight="false" outlineLevel="0" collapsed="false">
      <c r="A961" s="0" t="s">
        <v>1072</v>
      </c>
      <c r="B961" s="0" t="s">
        <v>1077</v>
      </c>
      <c r="C961" s="0" t="s">
        <v>1078</v>
      </c>
      <c r="D961" s="0" t="n">
        <v>10</v>
      </c>
      <c r="E961" s="6" t="n">
        <v>40802.4555555556</v>
      </c>
      <c r="F961" s="0" t="n">
        <v>2.08</v>
      </c>
      <c r="G961" s="0" t="n">
        <v>12476</v>
      </c>
      <c r="H961" s="0" t="s">
        <v>33</v>
      </c>
      <c r="I961" s="7" t="n">
        <f aca="false">IF(AND(LEFT(A961,1)&lt;&gt;"C",D961&gt;0,F961&gt;0),1,0)</f>
        <v>1</v>
      </c>
      <c r="J961" s="7" t="n">
        <f aca="false">IF(I961=1,D961*F961,0)</f>
        <v>20.8</v>
      </c>
      <c r="K961" s="7" t="n">
        <f aca="false">YEAR(E961)*100+MONTH(E961)</f>
        <v>201109</v>
      </c>
      <c r="L961" s="7" t="n">
        <f aca="false">IF(AND(A961&lt;&gt;A960,LEFT(A961,1)&lt;&gt;"C"),1,0)</f>
        <v>0</v>
      </c>
    </row>
    <row r="962" customFormat="false" ht="15" hidden="false" customHeight="false" outlineLevel="0" collapsed="false">
      <c r="A962" s="0" t="s">
        <v>1079</v>
      </c>
      <c r="B962" s="0" t="s">
        <v>760</v>
      </c>
      <c r="C962" s="0" t="s">
        <v>761</v>
      </c>
      <c r="D962" s="0" t="n">
        <v>-6</v>
      </c>
      <c r="E962" s="6" t="n">
        <v>40802.53125</v>
      </c>
      <c r="F962" s="0" t="n">
        <v>4.25</v>
      </c>
      <c r="G962" s="0" t="n">
        <v>12513</v>
      </c>
      <c r="H962" s="0" t="s">
        <v>43</v>
      </c>
      <c r="I962" s="7" t="n">
        <f aca="false">IF(AND(LEFT(A962,1)&lt;&gt;"C",D962&gt;0,F962&gt;0),1,0)</f>
        <v>0</v>
      </c>
      <c r="J962" s="7" t="n">
        <f aca="false">IF(I962=1,D962*F962,0)</f>
        <v>0</v>
      </c>
      <c r="K962" s="7" t="n">
        <f aca="false">YEAR(E962)*100+MONTH(E962)</f>
        <v>201109</v>
      </c>
      <c r="L962" s="7" t="n">
        <f aca="false">IF(AND(A962&lt;&gt;A961,LEFT(A962,1)&lt;&gt;"C"),1,0)</f>
        <v>0</v>
      </c>
    </row>
    <row r="963" customFormat="false" ht="15" hidden="false" customHeight="false" outlineLevel="0" collapsed="false">
      <c r="A963" s="0" t="s">
        <v>1080</v>
      </c>
      <c r="B963" s="0" t="s">
        <v>343</v>
      </c>
      <c r="C963" s="0" t="s">
        <v>344</v>
      </c>
      <c r="D963" s="0" t="n">
        <v>12</v>
      </c>
      <c r="E963" s="6" t="n">
        <v>40802.5972222222</v>
      </c>
      <c r="F963" s="0" t="n">
        <v>1.45</v>
      </c>
      <c r="G963" s="0" t="n">
        <v>12600</v>
      </c>
      <c r="H963" s="0" t="s">
        <v>33</v>
      </c>
      <c r="I963" s="7" t="n">
        <f aca="false">IF(AND(LEFT(A963,1)&lt;&gt;"C",D963&gt;0,F963&gt;0),1,0)</f>
        <v>1</v>
      </c>
      <c r="J963" s="7" t="n">
        <f aca="false">IF(I963=1,D963*F963,0)</f>
        <v>17.4</v>
      </c>
      <c r="K963" s="7" t="n">
        <f aca="false">YEAR(E963)*100+MONTH(E963)</f>
        <v>201109</v>
      </c>
      <c r="L963" s="7" t="n">
        <f aca="false">IF(AND(A963&lt;&gt;A962,LEFT(A963,1)&lt;&gt;"C"),1,0)</f>
        <v>1</v>
      </c>
    </row>
    <row r="964" customFormat="false" ht="15" hidden="false" customHeight="false" outlineLevel="0" collapsed="false">
      <c r="A964" s="0" t="s">
        <v>1080</v>
      </c>
      <c r="B964" s="0" t="s">
        <v>1081</v>
      </c>
      <c r="C964" s="0" t="s">
        <v>1082</v>
      </c>
      <c r="D964" s="0" t="n">
        <v>10</v>
      </c>
      <c r="E964" s="6" t="n">
        <v>40802.5972222222</v>
      </c>
      <c r="F964" s="0" t="n">
        <v>1.25</v>
      </c>
      <c r="G964" s="0" t="n">
        <v>12600</v>
      </c>
      <c r="H964" s="0" t="s">
        <v>33</v>
      </c>
      <c r="I964" s="7" t="n">
        <f aca="false">IF(AND(LEFT(A964,1)&lt;&gt;"C",D964&gt;0,F964&gt;0),1,0)</f>
        <v>1</v>
      </c>
      <c r="J964" s="7" t="n">
        <f aca="false">IF(I964=1,D964*F964,0)</f>
        <v>12.5</v>
      </c>
      <c r="K964" s="7" t="n">
        <f aca="false">YEAR(E964)*100+MONTH(E964)</f>
        <v>201109</v>
      </c>
      <c r="L964" s="7" t="n">
        <f aca="false">IF(AND(A964&lt;&gt;A963,LEFT(A964,1)&lt;&gt;"C"),1,0)</f>
        <v>0</v>
      </c>
    </row>
    <row r="965" customFormat="false" ht="15" hidden="false" customHeight="false" outlineLevel="0" collapsed="false">
      <c r="A965" s="0" t="s">
        <v>1080</v>
      </c>
      <c r="B965" s="0" t="s">
        <v>958</v>
      </c>
      <c r="C965" s="0" t="s">
        <v>959</v>
      </c>
      <c r="D965" s="0" t="n">
        <v>18</v>
      </c>
      <c r="E965" s="6" t="n">
        <v>40802.5972222222</v>
      </c>
      <c r="F965" s="0" t="n">
        <v>5.95</v>
      </c>
      <c r="G965" s="0" t="n">
        <v>12600</v>
      </c>
      <c r="H965" s="0" t="s">
        <v>33</v>
      </c>
      <c r="I965" s="7" t="n">
        <f aca="false">IF(AND(LEFT(A965,1)&lt;&gt;"C",D965&gt;0,F965&gt;0),1,0)</f>
        <v>1</v>
      </c>
      <c r="J965" s="7" t="n">
        <f aca="false">IF(I965=1,D965*F965,0)</f>
        <v>107.1</v>
      </c>
      <c r="K965" s="7" t="n">
        <f aca="false">YEAR(E965)*100+MONTH(E965)</f>
        <v>201109</v>
      </c>
      <c r="L965" s="7" t="n">
        <f aca="false">IF(AND(A965&lt;&gt;A964,LEFT(A965,1)&lt;&gt;"C"),1,0)</f>
        <v>0</v>
      </c>
    </row>
    <row r="966" customFormat="false" ht="15" hidden="false" customHeight="false" outlineLevel="0" collapsed="false">
      <c r="A966" s="0" t="s">
        <v>1080</v>
      </c>
      <c r="B966" s="0" t="s">
        <v>569</v>
      </c>
      <c r="C966" s="0" t="s">
        <v>570</v>
      </c>
      <c r="D966" s="0" t="n">
        <v>10</v>
      </c>
      <c r="E966" s="6" t="n">
        <v>40802.5972222222</v>
      </c>
      <c r="F966" s="0" t="n">
        <v>2.08</v>
      </c>
      <c r="G966" s="0" t="n">
        <v>12600</v>
      </c>
      <c r="H966" s="0" t="s">
        <v>33</v>
      </c>
      <c r="I966" s="7" t="n">
        <f aca="false">IF(AND(LEFT(A966,1)&lt;&gt;"C",D966&gt;0,F966&gt;0),1,0)</f>
        <v>1</v>
      </c>
      <c r="J966" s="7" t="n">
        <f aca="false">IF(I966=1,D966*F966,0)</f>
        <v>20.8</v>
      </c>
      <c r="K966" s="7" t="n">
        <f aca="false">YEAR(E966)*100+MONTH(E966)</f>
        <v>201109</v>
      </c>
      <c r="L966" s="7" t="n">
        <f aca="false">IF(AND(A966&lt;&gt;A965,LEFT(A966,1)&lt;&gt;"C"),1,0)</f>
        <v>0</v>
      </c>
    </row>
    <row r="967" customFormat="false" ht="15" hidden="false" customHeight="false" outlineLevel="0" collapsed="false">
      <c r="A967" s="0" t="s">
        <v>1080</v>
      </c>
      <c r="B967" s="0" t="s">
        <v>82</v>
      </c>
      <c r="C967" s="0" t="s">
        <v>83</v>
      </c>
      <c r="D967" s="0" t="n">
        <v>18</v>
      </c>
      <c r="E967" s="6" t="n">
        <v>40802.5972222222</v>
      </c>
      <c r="F967" s="0" t="n">
        <v>5.95</v>
      </c>
      <c r="G967" s="0" t="n">
        <v>12600</v>
      </c>
      <c r="H967" s="0" t="s">
        <v>33</v>
      </c>
      <c r="I967" s="7" t="n">
        <f aca="false">IF(AND(LEFT(A967,1)&lt;&gt;"C",D967&gt;0,F967&gt;0),1,0)</f>
        <v>1</v>
      </c>
      <c r="J967" s="7" t="n">
        <f aca="false">IF(I967=1,D967*F967,0)</f>
        <v>107.1</v>
      </c>
      <c r="K967" s="7" t="n">
        <f aca="false">YEAR(E967)*100+MONTH(E967)</f>
        <v>201109</v>
      </c>
      <c r="L967" s="7" t="n">
        <f aca="false">IF(AND(A967&lt;&gt;A966,LEFT(A967,1)&lt;&gt;"C"),1,0)</f>
        <v>0</v>
      </c>
    </row>
    <row r="968" customFormat="false" ht="15" hidden="false" customHeight="false" outlineLevel="0" collapsed="false">
      <c r="A968" s="0" t="s">
        <v>1080</v>
      </c>
      <c r="B968" s="0" t="s">
        <v>84</v>
      </c>
      <c r="C968" s="0" t="s">
        <v>85</v>
      </c>
      <c r="D968" s="0" t="n">
        <v>1</v>
      </c>
      <c r="E968" s="6" t="n">
        <v>40802.5972222222</v>
      </c>
      <c r="F968" s="0" t="n">
        <v>18</v>
      </c>
      <c r="G968" s="0" t="n">
        <v>12600</v>
      </c>
      <c r="H968" s="0" t="s">
        <v>33</v>
      </c>
      <c r="I968" s="7" t="n">
        <f aca="false">IF(AND(LEFT(A968,1)&lt;&gt;"C",D968&gt;0,F968&gt;0),1,0)</f>
        <v>1</v>
      </c>
      <c r="J968" s="7" t="n">
        <f aca="false">IF(I968=1,D968*F968,0)</f>
        <v>18</v>
      </c>
      <c r="K968" s="7" t="n">
        <f aca="false">YEAR(E968)*100+MONTH(E968)</f>
        <v>201109</v>
      </c>
      <c r="L968" s="7" t="n">
        <f aca="false">IF(AND(A968&lt;&gt;A967,LEFT(A968,1)&lt;&gt;"C"),1,0)</f>
        <v>0</v>
      </c>
    </row>
    <row r="969" customFormat="false" ht="15" hidden="false" customHeight="false" outlineLevel="0" collapsed="false">
      <c r="A969" s="0" t="s">
        <v>1083</v>
      </c>
      <c r="B969" s="0" t="s">
        <v>103</v>
      </c>
      <c r="C969" s="0" t="s">
        <v>104</v>
      </c>
      <c r="D969" s="0" t="n">
        <v>-24</v>
      </c>
      <c r="E969" s="6" t="n">
        <v>40802.6347222222</v>
      </c>
      <c r="F969" s="0" t="n">
        <v>0.55</v>
      </c>
      <c r="G969" s="0" t="n">
        <v>12709</v>
      </c>
      <c r="H969" s="0" t="s">
        <v>33</v>
      </c>
      <c r="I969" s="7" t="n">
        <f aca="false">IF(AND(LEFT(A969,1)&lt;&gt;"C",D969&gt;0,F969&gt;0),1,0)</f>
        <v>0</v>
      </c>
      <c r="J969" s="7" t="n">
        <f aca="false">IF(I969=1,D969*F969,0)</f>
        <v>0</v>
      </c>
      <c r="K969" s="7" t="n">
        <f aca="false">YEAR(E969)*100+MONTH(E969)</f>
        <v>201109</v>
      </c>
      <c r="L969" s="7" t="n">
        <f aca="false">IF(AND(A969&lt;&gt;A968,LEFT(A969,1)&lt;&gt;"C"),1,0)</f>
        <v>0</v>
      </c>
    </row>
    <row r="970" customFormat="false" ht="15" hidden="false" customHeight="false" outlineLevel="0" collapsed="false">
      <c r="A970" s="0" t="s">
        <v>1083</v>
      </c>
      <c r="B970" s="0" t="s">
        <v>454</v>
      </c>
      <c r="C970" s="0" t="s">
        <v>455</v>
      </c>
      <c r="D970" s="0" t="n">
        <v>-1</v>
      </c>
      <c r="E970" s="6" t="n">
        <v>40802.6347222222</v>
      </c>
      <c r="F970" s="0" t="n">
        <v>3.39</v>
      </c>
      <c r="G970" s="0" t="n">
        <v>12709</v>
      </c>
      <c r="H970" s="0" t="s">
        <v>33</v>
      </c>
      <c r="I970" s="7" t="n">
        <f aca="false">IF(AND(LEFT(A970,1)&lt;&gt;"C",D970&gt;0,F970&gt;0),1,0)</f>
        <v>0</v>
      </c>
      <c r="J970" s="7" t="n">
        <f aca="false">IF(I970=1,D970*F970,0)</f>
        <v>0</v>
      </c>
      <c r="K970" s="7" t="n">
        <f aca="false">YEAR(E970)*100+MONTH(E970)</f>
        <v>201109</v>
      </c>
      <c r="L970" s="7" t="n">
        <f aca="false">IF(AND(A970&lt;&gt;A969,LEFT(A970,1)&lt;&gt;"C"),1,0)</f>
        <v>0</v>
      </c>
    </row>
    <row r="971" customFormat="false" ht="15" hidden="false" customHeight="false" outlineLevel="0" collapsed="false">
      <c r="A971" s="0" t="s">
        <v>1083</v>
      </c>
      <c r="B971" s="0" t="s">
        <v>326</v>
      </c>
      <c r="C971" s="0" t="s">
        <v>327</v>
      </c>
      <c r="D971" s="0" t="n">
        <v>-1</v>
      </c>
      <c r="E971" s="6" t="n">
        <v>40802.6347222222</v>
      </c>
      <c r="F971" s="0" t="n">
        <v>7.65</v>
      </c>
      <c r="G971" s="0" t="n">
        <v>12709</v>
      </c>
      <c r="H971" s="0" t="s">
        <v>33</v>
      </c>
      <c r="I971" s="7" t="n">
        <f aca="false">IF(AND(LEFT(A971,1)&lt;&gt;"C",D971&gt;0,F971&gt;0),1,0)</f>
        <v>0</v>
      </c>
      <c r="J971" s="7" t="n">
        <f aca="false">IF(I971=1,D971*F971,0)</f>
        <v>0</v>
      </c>
      <c r="K971" s="7" t="n">
        <f aca="false">YEAR(E971)*100+MONTH(E971)</f>
        <v>201109</v>
      </c>
      <c r="L971" s="7" t="n">
        <f aca="false">IF(AND(A971&lt;&gt;A970,LEFT(A971,1)&lt;&gt;"C"),1,0)</f>
        <v>0</v>
      </c>
    </row>
    <row r="972" customFormat="false" ht="15" hidden="false" customHeight="false" outlineLevel="0" collapsed="false">
      <c r="A972" s="0" t="s">
        <v>1084</v>
      </c>
      <c r="B972" s="0" t="s">
        <v>1085</v>
      </c>
      <c r="C972" s="0" t="s">
        <v>1086</v>
      </c>
      <c r="D972" s="0" t="n">
        <v>-1</v>
      </c>
      <c r="E972" s="6" t="n">
        <v>40805.3611111111</v>
      </c>
      <c r="F972" s="0" t="n">
        <v>1.65</v>
      </c>
      <c r="G972" s="0" t="n">
        <v>12705</v>
      </c>
      <c r="H972" s="0" t="s">
        <v>33</v>
      </c>
      <c r="I972" s="7" t="n">
        <f aca="false">IF(AND(LEFT(A972,1)&lt;&gt;"C",D972&gt;0,F972&gt;0),1,0)</f>
        <v>0</v>
      </c>
      <c r="J972" s="7" t="n">
        <f aca="false">IF(I972=1,D972*F972,0)</f>
        <v>0</v>
      </c>
      <c r="K972" s="7" t="n">
        <f aca="false">YEAR(E972)*100+MONTH(E972)</f>
        <v>201109</v>
      </c>
      <c r="L972" s="7" t="n">
        <f aca="false">IF(AND(A972&lt;&gt;A971,LEFT(A972,1)&lt;&gt;"C"),1,0)</f>
        <v>0</v>
      </c>
    </row>
    <row r="973" customFormat="false" ht="15" hidden="false" customHeight="false" outlineLevel="0" collapsed="false">
      <c r="A973" s="0" t="s">
        <v>1087</v>
      </c>
      <c r="B973" s="0" t="s">
        <v>1048</v>
      </c>
      <c r="C973" s="0" t="s">
        <v>1049</v>
      </c>
      <c r="D973" s="0" t="n">
        <v>4</v>
      </c>
      <c r="E973" s="6" t="n">
        <v>40805.3854166667</v>
      </c>
      <c r="F973" s="0" t="n">
        <v>4.15</v>
      </c>
      <c r="G973" s="0" t="n">
        <v>12562</v>
      </c>
      <c r="H973" s="0" t="s">
        <v>43</v>
      </c>
      <c r="I973" s="7" t="n">
        <f aca="false">IF(AND(LEFT(A973,1)&lt;&gt;"C",D973&gt;0,F973&gt;0),1,0)</f>
        <v>1</v>
      </c>
      <c r="J973" s="7" t="n">
        <f aca="false">IF(I973=1,D973*F973,0)</f>
        <v>16.6</v>
      </c>
      <c r="K973" s="7" t="n">
        <f aca="false">YEAR(E973)*100+MONTH(E973)</f>
        <v>201109</v>
      </c>
      <c r="L973" s="7" t="n">
        <f aca="false">IF(AND(A973&lt;&gt;A972,LEFT(A973,1)&lt;&gt;"C"),1,0)</f>
        <v>1</v>
      </c>
    </row>
    <row r="974" customFormat="false" ht="15" hidden="false" customHeight="false" outlineLevel="0" collapsed="false">
      <c r="A974" s="0" t="s">
        <v>1087</v>
      </c>
      <c r="B974" s="0" t="s">
        <v>1042</v>
      </c>
      <c r="C974" s="0" t="s">
        <v>1043</v>
      </c>
      <c r="D974" s="0" t="n">
        <v>4</v>
      </c>
      <c r="E974" s="6" t="n">
        <v>40805.3854166667</v>
      </c>
      <c r="F974" s="0" t="n">
        <v>4.15</v>
      </c>
      <c r="G974" s="0" t="n">
        <v>12562</v>
      </c>
      <c r="H974" s="0" t="s">
        <v>43</v>
      </c>
      <c r="I974" s="7" t="n">
        <f aca="false">IF(AND(LEFT(A974,1)&lt;&gt;"C",D974&gt;0,F974&gt;0),1,0)</f>
        <v>1</v>
      </c>
      <c r="J974" s="7" t="n">
        <f aca="false">IF(I974=1,D974*F974,0)</f>
        <v>16.6</v>
      </c>
      <c r="K974" s="7" t="n">
        <f aca="false">YEAR(E974)*100+MONTH(E974)</f>
        <v>201109</v>
      </c>
      <c r="L974" s="7" t="n">
        <f aca="false">IF(AND(A974&lt;&gt;A973,LEFT(A974,1)&lt;&gt;"C"),1,0)</f>
        <v>0</v>
      </c>
    </row>
    <row r="975" customFormat="false" ht="15" hidden="false" customHeight="false" outlineLevel="0" collapsed="false">
      <c r="A975" s="0" t="s">
        <v>1087</v>
      </c>
      <c r="B975" s="0" t="s">
        <v>1044</v>
      </c>
      <c r="C975" s="0" t="s">
        <v>1045</v>
      </c>
      <c r="D975" s="0" t="n">
        <v>4</v>
      </c>
      <c r="E975" s="6" t="n">
        <v>40805.3854166667</v>
      </c>
      <c r="F975" s="0" t="n">
        <v>4.15</v>
      </c>
      <c r="G975" s="0" t="n">
        <v>12562</v>
      </c>
      <c r="H975" s="0" t="s">
        <v>43</v>
      </c>
      <c r="I975" s="7" t="n">
        <f aca="false">IF(AND(LEFT(A975,1)&lt;&gt;"C",D975&gt;0,F975&gt;0),1,0)</f>
        <v>1</v>
      </c>
      <c r="J975" s="7" t="n">
        <f aca="false">IF(I975=1,D975*F975,0)</f>
        <v>16.6</v>
      </c>
      <c r="K975" s="7" t="n">
        <f aca="false">YEAR(E975)*100+MONTH(E975)</f>
        <v>201109</v>
      </c>
      <c r="L975" s="7" t="n">
        <f aca="false">IF(AND(A975&lt;&gt;A974,LEFT(A975,1)&lt;&gt;"C"),1,0)</f>
        <v>0</v>
      </c>
    </row>
    <row r="976" customFormat="false" ht="15" hidden="false" customHeight="false" outlineLevel="0" collapsed="false">
      <c r="A976" s="0" t="s">
        <v>1087</v>
      </c>
      <c r="B976" s="0" t="s">
        <v>1088</v>
      </c>
      <c r="C976" s="0" t="s">
        <v>1089</v>
      </c>
      <c r="D976" s="0" t="n">
        <v>36</v>
      </c>
      <c r="E976" s="6" t="n">
        <v>40805.3854166667</v>
      </c>
      <c r="F976" s="0" t="n">
        <v>0.39</v>
      </c>
      <c r="G976" s="0" t="n">
        <v>12562</v>
      </c>
      <c r="H976" s="0" t="s">
        <v>43</v>
      </c>
      <c r="I976" s="7" t="n">
        <f aca="false">IF(AND(LEFT(A976,1)&lt;&gt;"C",D976&gt;0,F976&gt;0),1,0)</f>
        <v>1</v>
      </c>
      <c r="J976" s="7" t="n">
        <f aca="false">IF(I976=1,D976*F976,0)</f>
        <v>14.04</v>
      </c>
      <c r="K976" s="7" t="n">
        <f aca="false">YEAR(E976)*100+MONTH(E976)</f>
        <v>201109</v>
      </c>
      <c r="L976" s="7" t="n">
        <f aca="false">IF(AND(A976&lt;&gt;A975,LEFT(A976,1)&lt;&gt;"C"),1,0)</f>
        <v>0</v>
      </c>
    </row>
    <row r="977" customFormat="false" ht="15" hidden="false" customHeight="false" outlineLevel="0" collapsed="false">
      <c r="A977" s="0" t="s">
        <v>1087</v>
      </c>
      <c r="B977" s="0" t="s">
        <v>1090</v>
      </c>
      <c r="C977" s="0" t="s">
        <v>1091</v>
      </c>
      <c r="D977" s="0" t="n">
        <v>10</v>
      </c>
      <c r="E977" s="6" t="n">
        <v>40805.3854166667</v>
      </c>
      <c r="F977" s="0" t="n">
        <v>0.85</v>
      </c>
      <c r="G977" s="0" t="n">
        <v>12562</v>
      </c>
      <c r="H977" s="0" t="s">
        <v>43</v>
      </c>
      <c r="I977" s="7" t="n">
        <f aca="false">IF(AND(LEFT(A977,1)&lt;&gt;"C",D977&gt;0,F977&gt;0),1,0)</f>
        <v>1</v>
      </c>
      <c r="J977" s="7" t="n">
        <f aca="false">IF(I977=1,D977*F977,0)</f>
        <v>8.5</v>
      </c>
      <c r="K977" s="7" t="n">
        <f aca="false">YEAR(E977)*100+MONTH(E977)</f>
        <v>201109</v>
      </c>
      <c r="L977" s="7" t="n">
        <f aca="false">IF(AND(A977&lt;&gt;A976,LEFT(A977,1)&lt;&gt;"C"),1,0)</f>
        <v>0</v>
      </c>
    </row>
    <row r="978" customFormat="false" ht="15" hidden="false" customHeight="false" outlineLevel="0" collapsed="false">
      <c r="A978" s="0" t="s">
        <v>1087</v>
      </c>
      <c r="B978" s="0" t="s">
        <v>559</v>
      </c>
      <c r="C978" s="0" t="s">
        <v>560</v>
      </c>
      <c r="D978" s="0" t="n">
        <v>10</v>
      </c>
      <c r="E978" s="6" t="n">
        <v>40805.3854166667</v>
      </c>
      <c r="F978" s="0" t="n">
        <v>0.85</v>
      </c>
      <c r="G978" s="0" t="n">
        <v>12562</v>
      </c>
      <c r="H978" s="0" t="s">
        <v>43</v>
      </c>
      <c r="I978" s="7" t="n">
        <f aca="false">IF(AND(LEFT(A978,1)&lt;&gt;"C",D978&gt;0,F978&gt;0),1,0)</f>
        <v>1</v>
      </c>
      <c r="J978" s="7" t="n">
        <f aca="false">IF(I978=1,D978*F978,0)</f>
        <v>8.5</v>
      </c>
      <c r="K978" s="7" t="n">
        <f aca="false">YEAR(E978)*100+MONTH(E978)</f>
        <v>201109</v>
      </c>
      <c r="L978" s="7" t="n">
        <f aca="false">IF(AND(A978&lt;&gt;A977,LEFT(A978,1)&lt;&gt;"C"),1,0)</f>
        <v>0</v>
      </c>
    </row>
    <row r="979" customFormat="false" ht="15" hidden="false" customHeight="false" outlineLevel="0" collapsed="false">
      <c r="A979" s="0" t="s">
        <v>1087</v>
      </c>
      <c r="B979" s="0" t="s">
        <v>962</v>
      </c>
      <c r="C979" s="0" t="s">
        <v>963</v>
      </c>
      <c r="D979" s="0" t="n">
        <v>16</v>
      </c>
      <c r="E979" s="6" t="n">
        <v>40805.3854166667</v>
      </c>
      <c r="F979" s="0" t="n">
        <v>0.85</v>
      </c>
      <c r="G979" s="0" t="n">
        <v>12562</v>
      </c>
      <c r="H979" s="0" t="s">
        <v>43</v>
      </c>
      <c r="I979" s="7" t="n">
        <f aca="false">IF(AND(LEFT(A979,1)&lt;&gt;"C",D979&gt;0,F979&gt;0),1,0)</f>
        <v>1</v>
      </c>
      <c r="J979" s="7" t="n">
        <f aca="false">IF(I979=1,D979*F979,0)</f>
        <v>13.6</v>
      </c>
      <c r="K979" s="7" t="n">
        <f aca="false">YEAR(E979)*100+MONTH(E979)</f>
        <v>201109</v>
      </c>
      <c r="L979" s="7" t="n">
        <f aca="false">IF(AND(A979&lt;&gt;A978,LEFT(A979,1)&lt;&gt;"C"),1,0)</f>
        <v>0</v>
      </c>
    </row>
    <row r="980" customFormat="false" ht="15" hidden="false" customHeight="false" outlineLevel="0" collapsed="false">
      <c r="A980" s="0" t="s">
        <v>1087</v>
      </c>
      <c r="B980" s="0" t="s">
        <v>1092</v>
      </c>
      <c r="C980" s="0" t="s">
        <v>1093</v>
      </c>
      <c r="D980" s="0" t="n">
        <v>8</v>
      </c>
      <c r="E980" s="6" t="n">
        <v>40805.3854166667</v>
      </c>
      <c r="F980" s="0" t="n">
        <v>0.85</v>
      </c>
      <c r="G980" s="0" t="n">
        <v>12562</v>
      </c>
      <c r="H980" s="0" t="s">
        <v>43</v>
      </c>
      <c r="I980" s="7" t="n">
        <f aca="false">IF(AND(LEFT(A980,1)&lt;&gt;"C",D980&gt;0,F980&gt;0),1,0)</f>
        <v>1</v>
      </c>
      <c r="J980" s="7" t="n">
        <f aca="false">IF(I980=1,D980*F980,0)</f>
        <v>6.8</v>
      </c>
      <c r="K980" s="7" t="n">
        <f aca="false">YEAR(E980)*100+MONTH(E980)</f>
        <v>201109</v>
      </c>
      <c r="L980" s="7" t="n">
        <f aca="false">IF(AND(A980&lt;&gt;A979,LEFT(A980,1)&lt;&gt;"C"),1,0)</f>
        <v>0</v>
      </c>
    </row>
    <row r="981" customFormat="false" ht="15" hidden="false" customHeight="false" outlineLevel="0" collapsed="false">
      <c r="A981" s="0" t="s">
        <v>1087</v>
      </c>
      <c r="B981" s="0" t="s">
        <v>64</v>
      </c>
      <c r="C981" s="0" t="s">
        <v>65</v>
      </c>
      <c r="D981" s="0" t="n">
        <v>12</v>
      </c>
      <c r="E981" s="6" t="n">
        <v>40805.3854166667</v>
      </c>
      <c r="F981" s="0" t="n">
        <v>1.65</v>
      </c>
      <c r="G981" s="0" t="n">
        <v>12562</v>
      </c>
      <c r="H981" s="0" t="s">
        <v>43</v>
      </c>
      <c r="I981" s="7" t="n">
        <f aca="false">IF(AND(LEFT(A981,1)&lt;&gt;"C",D981&gt;0,F981&gt;0),1,0)</f>
        <v>1</v>
      </c>
      <c r="J981" s="7" t="n">
        <f aca="false">IF(I981=1,D981*F981,0)</f>
        <v>19.8</v>
      </c>
      <c r="K981" s="7" t="n">
        <f aca="false">YEAR(E981)*100+MONTH(E981)</f>
        <v>201109</v>
      </c>
      <c r="L981" s="7" t="n">
        <f aca="false">IF(AND(A981&lt;&gt;A980,LEFT(A981,1)&lt;&gt;"C"),1,0)</f>
        <v>0</v>
      </c>
    </row>
    <row r="982" customFormat="false" ht="15" hidden="false" customHeight="false" outlineLevel="0" collapsed="false">
      <c r="A982" s="0" t="s">
        <v>1087</v>
      </c>
      <c r="B982" s="0" t="s">
        <v>1094</v>
      </c>
      <c r="C982" s="0" t="s">
        <v>1095</v>
      </c>
      <c r="D982" s="0" t="n">
        <v>12</v>
      </c>
      <c r="E982" s="6" t="n">
        <v>40805.3854166667</v>
      </c>
      <c r="F982" s="0" t="n">
        <v>1.95</v>
      </c>
      <c r="G982" s="0" t="n">
        <v>12562</v>
      </c>
      <c r="H982" s="0" t="s">
        <v>43</v>
      </c>
      <c r="I982" s="7" t="n">
        <f aca="false">IF(AND(LEFT(A982,1)&lt;&gt;"C",D982&gt;0,F982&gt;0),1,0)</f>
        <v>1</v>
      </c>
      <c r="J982" s="7" t="n">
        <f aca="false">IF(I982=1,D982*F982,0)</f>
        <v>23.4</v>
      </c>
      <c r="K982" s="7" t="n">
        <f aca="false">YEAR(E982)*100+MONTH(E982)</f>
        <v>201109</v>
      </c>
      <c r="L982" s="7" t="n">
        <f aca="false">IF(AND(A982&lt;&gt;A981,LEFT(A982,1)&lt;&gt;"C"),1,0)</f>
        <v>0</v>
      </c>
    </row>
    <row r="983" customFormat="false" ht="15" hidden="false" customHeight="false" outlineLevel="0" collapsed="false">
      <c r="A983" s="0" t="s">
        <v>1087</v>
      </c>
      <c r="B983" s="0" t="s">
        <v>392</v>
      </c>
      <c r="C983" s="0" t="s">
        <v>393</v>
      </c>
      <c r="D983" s="0" t="n">
        <v>12</v>
      </c>
      <c r="E983" s="6" t="n">
        <v>40805.3854166667</v>
      </c>
      <c r="F983" s="0" t="n">
        <v>0.85</v>
      </c>
      <c r="G983" s="0" t="n">
        <v>12562</v>
      </c>
      <c r="H983" s="0" t="s">
        <v>43</v>
      </c>
      <c r="I983" s="7" t="n">
        <f aca="false">IF(AND(LEFT(A983,1)&lt;&gt;"C",D983&gt;0,F983&gt;0),1,0)</f>
        <v>1</v>
      </c>
      <c r="J983" s="7" t="n">
        <f aca="false">IF(I983=1,D983*F983,0)</f>
        <v>10.2</v>
      </c>
      <c r="K983" s="7" t="n">
        <f aca="false">YEAR(E983)*100+MONTH(E983)</f>
        <v>201109</v>
      </c>
      <c r="L983" s="7" t="n">
        <f aca="false">IF(AND(A983&lt;&gt;A982,LEFT(A983,1)&lt;&gt;"C"),1,0)</f>
        <v>0</v>
      </c>
    </row>
    <row r="984" customFormat="false" ht="15" hidden="false" customHeight="false" outlineLevel="0" collapsed="false">
      <c r="A984" s="0" t="s">
        <v>1087</v>
      </c>
      <c r="B984" s="0" t="s">
        <v>68</v>
      </c>
      <c r="C984" s="0" t="s">
        <v>69</v>
      </c>
      <c r="D984" s="0" t="n">
        <v>10</v>
      </c>
      <c r="E984" s="6" t="n">
        <v>40805.3854166667</v>
      </c>
      <c r="F984" s="0" t="n">
        <v>1.65</v>
      </c>
      <c r="G984" s="0" t="n">
        <v>12562</v>
      </c>
      <c r="H984" s="0" t="s">
        <v>43</v>
      </c>
      <c r="I984" s="7" t="n">
        <f aca="false">IF(AND(LEFT(A984,1)&lt;&gt;"C",D984&gt;0,F984&gt;0),1,0)</f>
        <v>1</v>
      </c>
      <c r="J984" s="7" t="n">
        <f aca="false">IF(I984=1,D984*F984,0)</f>
        <v>16.5</v>
      </c>
      <c r="K984" s="7" t="n">
        <f aca="false">YEAR(E984)*100+MONTH(E984)</f>
        <v>201109</v>
      </c>
      <c r="L984" s="7" t="n">
        <f aca="false">IF(AND(A984&lt;&gt;A983,LEFT(A984,1)&lt;&gt;"C"),1,0)</f>
        <v>0</v>
      </c>
    </row>
    <row r="985" customFormat="false" ht="15" hidden="false" customHeight="false" outlineLevel="0" collapsed="false">
      <c r="A985" s="0" t="s">
        <v>1087</v>
      </c>
      <c r="B985" s="0" t="s">
        <v>56</v>
      </c>
      <c r="C985" s="0" t="s">
        <v>57</v>
      </c>
      <c r="D985" s="0" t="n">
        <v>10</v>
      </c>
      <c r="E985" s="6" t="n">
        <v>40805.3854166667</v>
      </c>
      <c r="F985" s="0" t="n">
        <v>1.65</v>
      </c>
      <c r="G985" s="0" t="n">
        <v>12562</v>
      </c>
      <c r="H985" s="0" t="s">
        <v>43</v>
      </c>
      <c r="I985" s="7" t="n">
        <f aca="false">IF(AND(LEFT(A985,1)&lt;&gt;"C",D985&gt;0,F985&gt;0),1,0)</f>
        <v>1</v>
      </c>
      <c r="J985" s="7" t="n">
        <f aca="false">IF(I985=1,D985*F985,0)</f>
        <v>16.5</v>
      </c>
      <c r="K985" s="7" t="n">
        <f aca="false">YEAR(E985)*100+MONTH(E985)</f>
        <v>201109</v>
      </c>
      <c r="L985" s="7" t="n">
        <f aca="false">IF(AND(A985&lt;&gt;A984,LEFT(A985,1)&lt;&gt;"C"),1,0)</f>
        <v>0</v>
      </c>
    </row>
    <row r="986" customFormat="false" ht="15" hidden="false" customHeight="false" outlineLevel="0" collapsed="false">
      <c r="A986" s="0" t="s">
        <v>1087</v>
      </c>
      <c r="B986" s="0" t="s">
        <v>1085</v>
      </c>
      <c r="C986" s="0" t="s">
        <v>1086</v>
      </c>
      <c r="D986" s="0" t="n">
        <v>10</v>
      </c>
      <c r="E986" s="6" t="n">
        <v>40805.3854166667</v>
      </c>
      <c r="F986" s="0" t="n">
        <v>1.65</v>
      </c>
      <c r="G986" s="0" t="n">
        <v>12562</v>
      </c>
      <c r="H986" s="0" t="s">
        <v>43</v>
      </c>
      <c r="I986" s="7" t="n">
        <f aca="false">IF(AND(LEFT(A986,1)&lt;&gt;"C",D986&gt;0,F986&gt;0),1,0)</f>
        <v>1</v>
      </c>
      <c r="J986" s="7" t="n">
        <f aca="false">IF(I986=1,D986*F986,0)</f>
        <v>16.5</v>
      </c>
      <c r="K986" s="7" t="n">
        <f aca="false">YEAR(E986)*100+MONTH(E986)</f>
        <v>201109</v>
      </c>
      <c r="L986" s="7" t="n">
        <f aca="false">IF(AND(A986&lt;&gt;A985,LEFT(A986,1)&lt;&gt;"C"),1,0)</f>
        <v>0</v>
      </c>
    </row>
    <row r="987" customFormat="false" ht="15" hidden="false" customHeight="false" outlineLevel="0" collapsed="false">
      <c r="A987" s="0" t="s">
        <v>1087</v>
      </c>
      <c r="B987" s="0" t="s">
        <v>74</v>
      </c>
      <c r="C987" s="0" t="s">
        <v>75</v>
      </c>
      <c r="D987" s="0" t="n">
        <v>12</v>
      </c>
      <c r="E987" s="6" t="n">
        <v>40805.3854166667</v>
      </c>
      <c r="F987" s="0" t="n">
        <v>1.95</v>
      </c>
      <c r="G987" s="0" t="n">
        <v>12562</v>
      </c>
      <c r="H987" s="0" t="s">
        <v>43</v>
      </c>
      <c r="I987" s="7" t="n">
        <f aca="false">IF(AND(LEFT(A987,1)&lt;&gt;"C",D987&gt;0,F987&gt;0),1,0)</f>
        <v>1</v>
      </c>
      <c r="J987" s="7" t="n">
        <f aca="false">IF(I987=1,D987*F987,0)</f>
        <v>23.4</v>
      </c>
      <c r="K987" s="7" t="n">
        <f aca="false">YEAR(E987)*100+MONTH(E987)</f>
        <v>201109</v>
      </c>
      <c r="L987" s="7" t="n">
        <f aca="false">IF(AND(A987&lt;&gt;A986,LEFT(A987,1)&lt;&gt;"C"),1,0)</f>
        <v>0</v>
      </c>
    </row>
    <row r="988" customFormat="false" ht="15" hidden="false" customHeight="false" outlineLevel="0" collapsed="false">
      <c r="A988" s="0" t="s">
        <v>1087</v>
      </c>
      <c r="B988" s="0" t="s">
        <v>557</v>
      </c>
      <c r="C988" s="0" t="s">
        <v>558</v>
      </c>
      <c r="D988" s="0" t="n">
        <v>12</v>
      </c>
      <c r="E988" s="6" t="n">
        <v>40805.3854166667</v>
      </c>
      <c r="F988" s="0" t="n">
        <v>1.95</v>
      </c>
      <c r="G988" s="0" t="n">
        <v>12562</v>
      </c>
      <c r="H988" s="0" t="s">
        <v>43</v>
      </c>
      <c r="I988" s="7" t="n">
        <f aca="false">IF(AND(LEFT(A988,1)&lt;&gt;"C",D988&gt;0,F988&gt;0),1,0)</f>
        <v>1</v>
      </c>
      <c r="J988" s="7" t="n">
        <f aca="false">IF(I988=1,D988*F988,0)</f>
        <v>23.4</v>
      </c>
      <c r="K988" s="7" t="n">
        <f aca="false">YEAR(E988)*100+MONTH(E988)</f>
        <v>201109</v>
      </c>
      <c r="L988" s="7" t="n">
        <f aca="false">IF(AND(A988&lt;&gt;A987,LEFT(A988,1)&lt;&gt;"C"),1,0)</f>
        <v>0</v>
      </c>
    </row>
    <row r="989" customFormat="false" ht="15" hidden="false" customHeight="false" outlineLevel="0" collapsed="false">
      <c r="A989" s="0" t="s">
        <v>1087</v>
      </c>
      <c r="B989" s="0" t="s">
        <v>355</v>
      </c>
      <c r="C989" s="0" t="s">
        <v>356</v>
      </c>
      <c r="D989" s="0" t="n">
        <v>10</v>
      </c>
      <c r="E989" s="6" t="n">
        <v>40805.3854166667</v>
      </c>
      <c r="F989" s="0" t="n">
        <v>1.65</v>
      </c>
      <c r="G989" s="0" t="n">
        <v>12562</v>
      </c>
      <c r="H989" s="0" t="s">
        <v>43</v>
      </c>
      <c r="I989" s="7" t="n">
        <f aca="false">IF(AND(LEFT(A989,1)&lt;&gt;"C",D989&gt;0,F989&gt;0),1,0)</f>
        <v>1</v>
      </c>
      <c r="J989" s="7" t="n">
        <f aca="false">IF(I989=1,D989*F989,0)</f>
        <v>16.5</v>
      </c>
      <c r="K989" s="7" t="n">
        <f aca="false">YEAR(E989)*100+MONTH(E989)</f>
        <v>201109</v>
      </c>
      <c r="L989" s="7" t="n">
        <f aca="false">IF(AND(A989&lt;&gt;A988,LEFT(A989,1)&lt;&gt;"C"),1,0)</f>
        <v>0</v>
      </c>
    </row>
    <row r="990" customFormat="false" ht="15" hidden="false" customHeight="false" outlineLevel="0" collapsed="false">
      <c r="A990" s="0" t="s">
        <v>1087</v>
      </c>
      <c r="B990" s="0" t="s">
        <v>78</v>
      </c>
      <c r="C990" s="0" t="s">
        <v>79</v>
      </c>
      <c r="D990" s="0" t="n">
        <v>10</v>
      </c>
      <c r="E990" s="6" t="n">
        <v>40805.3854166667</v>
      </c>
      <c r="F990" s="0" t="n">
        <v>1.65</v>
      </c>
      <c r="G990" s="0" t="n">
        <v>12562</v>
      </c>
      <c r="H990" s="0" t="s">
        <v>43</v>
      </c>
      <c r="I990" s="7" t="n">
        <f aca="false">IF(AND(LEFT(A990,1)&lt;&gt;"C",D990&gt;0,F990&gt;0),1,0)</f>
        <v>1</v>
      </c>
      <c r="J990" s="7" t="n">
        <f aca="false">IF(I990=1,D990*F990,0)</f>
        <v>16.5</v>
      </c>
      <c r="K990" s="7" t="n">
        <f aca="false">YEAR(E990)*100+MONTH(E990)</f>
        <v>201109</v>
      </c>
      <c r="L990" s="7" t="n">
        <f aca="false">IF(AND(A990&lt;&gt;A989,LEFT(A990,1)&lt;&gt;"C"),1,0)</f>
        <v>0</v>
      </c>
    </row>
    <row r="991" customFormat="false" ht="15" hidden="false" customHeight="false" outlineLevel="0" collapsed="false">
      <c r="A991" s="0" t="s">
        <v>1087</v>
      </c>
      <c r="B991" s="0" t="s">
        <v>567</v>
      </c>
      <c r="C991" s="0" t="s">
        <v>568</v>
      </c>
      <c r="D991" s="0" t="n">
        <v>20</v>
      </c>
      <c r="E991" s="6" t="n">
        <v>40805.3854166667</v>
      </c>
      <c r="F991" s="0" t="n">
        <v>1.65</v>
      </c>
      <c r="G991" s="0" t="n">
        <v>12562</v>
      </c>
      <c r="H991" s="0" t="s">
        <v>43</v>
      </c>
      <c r="I991" s="7" t="n">
        <f aca="false">IF(AND(LEFT(A991,1)&lt;&gt;"C",D991&gt;0,F991&gt;0),1,0)</f>
        <v>1</v>
      </c>
      <c r="J991" s="7" t="n">
        <f aca="false">IF(I991=1,D991*F991,0)</f>
        <v>33</v>
      </c>
      <c r="K991" s="7" t="n">
        <f aca="false">YEAR(E991)*100+MONTH(E991)</f>
        <v>201109</v>
      </c>
      <c r="L991" s="7" t="n">
        <f aca="false">IF(AND(A991&lt;&gt;A990,LEFT(A991,1)&lt;&gt;"C"),1,0)</f>
        <v>0</v>
      </c>
    </row>
    <row r="992" customFormat="false" ht="15" hidden="false" customHeight="false" outlineLevel="0" collapsed="false">
      <c r="A992" s="0" t="s">
        <v>1087</v>
      </c>
      <c r="B992" s="0" t="s">
        <v>66</v>
      </c>
      <c r="C992" s="0" t="s">
        <v>67</v>
      </c>
      <c r="D992" s="0" t="n">
        <v>6</v>
      </c>
      <c r="E992" s="6" t="n">
        <v>40805.3854166667</v>
      </c>
      <c r="F992" s="0" t="n">
        <v>2.95</v>
      </c>
      <c r="G992" s="0" t="n">
        <v>12562</v>
      </c>
      <c r="H992" s="0" t="s">
        <v>43</v>
      </c>
      <c r="I992" s="7" t="n">
        <f aca="false">IF(AND(LEFT(A992,1)&lt;&gt;"C",D992&gt;0,F992&gt;0),1,0)</f>
        <v>1</v>
      </c>
      <c r="J992" s="7" t="n">
        <f aca="false">IF(I992=1,D992*F992,0)</f>
        <v>17.7</v>
      </c>
      <c r="K992" s="7" t="n">
        <f aca="false">YEAR(E992)*100+MONTH(E992)</f>
        <v>201109</v>
      </c>
      <c r="L992" s="7" t="n">
        <f aca="false">IF(AND(A992&lt;&gt;A991,LEFT(A992,1)&lt;&gt;"C"),1,0)</f>
        <v>0</v>
      </c>
    </row>
    <row r="993" customFormat="false" ht="15" hidden="false" customHeight="false" outlineLevel="0" collapsed="false">
      <c r="A993" s="0" t="s">
        <v>1087</v>
      </c>
      <c r="B993" s="0" t="s">
        <v>84</v>
      </c>
      <c r="C993" s="0" t="s">
        <v>85</v>
      </c>
      <c r="D993" s="0" t="n">
        <v>3</v>
      </c>
      <c r="E993" s="6" t="n">
        <v>40805.3854166667</v>
      </c>
      <c r="F993" s="0" t="n">
        <v>18</v>
      </c>
      <c r="G993" s="0" t="n">
        <v>12562</v>
      </c>
      <c r="H993" s="0" t="s">
        <v>43</v>
      </c>
      <c r="I993" s="7" t="n">
        <f aca="false">IF(AND(LEFT(A993,1)&lt;&gt;"C",D993&gt;0,F993&gt;0),1,0)</f>
        <v>1</v>
      </c>
      <c r="J993" s="7" t="n">
        <f aca="false">IF(I993=1,D993*F993,0)</f>
        <v>54</v>
      </c>
      <c r="K993" s="7" t="n">
        <f aca="false">YEAR(E993)*100+MONTH(E993)</f>
        <v>201109</v>
      </c>
      <c r="L993" s="7" t="n">
        <f aca="false">IF(AND(A993&lt;&gt;A992,LEFT(A993,1)&lt;&gt;"C"),1,0)</f>
        <v>0</v>
      </c>
    </row>
    <row r="994" customFormat="false" ht="15" hidden="false" customHeight="false" outlineLevel="0" collapsed="false">
      <c r="A994" s="0" t="s">
        <v>1096</v>
      </c>
      <c r="B994" s="0" t="s">
        <v>441</v>
      </c>
      <c r="C994" s="0" t="s">
        <v>442</v>
      </c>
      <c r="D994" s="0" t="n">
        <v>4</v>
      </c>
      <c r="E994" s="6" t="n">
        <v>40805.4965277778</v>
      </c>
      <c r="F994" s="0" t="n">
        <v>8.5</v>
      </c>
      <c r="G994" s="0" t="n">
        <v>12527</v>
      </c>
      <c r="H994" s="0" t="s">
        <v>33</v>
      </c>
      <c r="I994" s="7" t="n">
        <f aca="false">IF(AND(LEFT(A994,1)&lt;&gt;"C",D994&gt;0,F994&gt;0),1,0)</f>
        <v>1</v>
      </c>
      <c r="J994" s="7" t="n">
        <f aca="false">IF(I994=1,D994*F994,0)</f>
        <v>34</v>
      </c>
      <c r="K994" s="7" t="n">
        <f aca="false">YEAR(E994)*100+MONTH(E994)</f>
        <v>201109</v>
      </c>
      <c r="L994" s="7" t="n">
        <f aca="false">IF(AND(A994&lt;&gt;A993,LEFT(A994,1)&lt;&gt;"C"),1,0)</f>
        <v>1</v>
      </c>
    </row>
    <row r="995" customFormat="false" ht="15" hidden="false" customHeight="false" outlineLevel="0" collapsed="false">
      <c r="A995" s="0" t="s">
        <v>1096</v>
      </c>
      <c r="B995" s="0" t="s">
        <v>1097</v>
      </c>
      <c r="C995" s="0" t="s">
        <v>1098</v>
      </c>
      <c r="D995" s="0" t="n">
        <v>3</v>
      </c>
      <c r="E995" s="6" t="n">
        <v>40805.4965277778</v>
      </c>
      <c r="F995" s="0" t="n">
        <v>4.95</v>
      </c>
      <c r="G995" s="0" t="n">
        <v>12527</v>
      </c>
      <c r="H995" s="0" t="s">
        <v>33</v>
      </c>
      <c r="I995" s="7" t="n">
        <f aca="false">IF(AND(LEFT(A995,1)&lt;&gt;"C",D995&gt;0,F995&gt;0),1,0)</f>
        <v>1</v>
      </c>
      <c r="J995" s="7" t="n">
        <f aca="false">IF(I995=1,D995*F995,0)</f>
        <v>14.85</v>
      </c>
      <c r="K995" s="7" t="n">
        <f aca="false">YEAR(E995)*100+MONTH(E995)</f>
        <v>201109</v>
      </c>
      <c r="L995" s="7" t="n">
        <f aca="false">IF(AND(A995&lt;&gt;A994,LEFT(A995,1)&lt;&gt;"C"),1,0)</f>
        <v>0</v>
      </c>
    </row>
    <row r="996" customFormat="false" ht="15" hidden="false" customHeight="false" outlineLevel="0" collapsed="false">
      <c r="A996" s="0" t="s">
        <v>1096</v>
      </c>
      <c r="B996" s="0" t="s">
        <v>1099</v>
      </c>
      <c r="C996" s="0" t="s">
        <v>1100</v>
      </c>
      <c r="D996" s="0" t="n">
        <v>6</v>
      </c>
      <c r="E996" s="6" t="n">
        <v>40805.4965277778</v>
      </c>
      <c r="F996" s="0" t="n">
        <v>2.49</v>
      </c>
      <c r="G996" s="0" t="n">
        <v>12527</v>
      </c>
      <c r="H996" s="0" t="s">
        <v>33</v>
      </c>
      <c r="I996" s="7" t="n">
        <f aca="false">IF(AND(LEFT(A996,1)&lt;&gt;"C",D996&gt;0,F996&gt;0),1,0)</f>
        <v>1</v>
      </c>
      <c r="J996" s="7" t="n">
        <f aca="false">IF(I996=1,D996*F996,0)</f>
        <v>14.94</v>
      </c>
      <c r="K996" s="7" t="n">
        <f aca="false">YEAR(E996)*100+MONTH(E996)</f>
        <v>201109</v>
      </c>
      <c r="L996" s="7" t="n">
        <f aca="false">IF(AND(A996&lt;&gt;A995,LEFT(A996,1)&lt;&gt;"C"),1,0)</f>
        <v>0</v>
      </c>
    </row>
    <row r="997" customFormat="false" ht="15" hidden="false" customHeight="false" outlineLevel="0" collapsed="false">
      <c r="A997" s="0" t="s">
        <v>1101</v>
      </c>
      <c r="B997" s="0" t="s">
        <v>1102</v>
      </c>
      <c r="C997" s="0" t="s">
        <v>1103</v>
      </c>
      <c r="D997" s="0" t="n">
        <v>6</v>
      </c>
      <c r="E997" s="6" t="n">
        <v>40805.5006944445</v>
      </c>
      <c r="F997" s="0" t="n">
        <v>2.55</v>
      </c>
      <c r="G997" s="0" t="n">
        <v>12640</v>
      </c>
      <c r="H997" s="0" t="s">
        <v>43</v>
      </c>
      <c r="I997" s="7" t="n">
        <f aca="false">IF(AND(LEFT(A997,1)&lt;&gt;"C",D997&gt;0,F997&gt;0),1,0)</f>
        <v>1</v>
      </c>
      <c r="J997" s="7" t="n">
        <f aca="false">IF(I997=1,D997*F997,0)</f>
        <v>15.3</v>
      </c>
      <c r="K997" s="7" t="n">
        <f aca="false">YEAR(E997)*100+MONTH(E997)</f>
        <v>201109</v>
      </c>
      <c r="L997" s="7" t="n">
        <f aca="false">IF(AND(A997&lt;&gt;A996,LEFT(A997,1)&lt;&gt;"C"),1,0)</f>
        <v>1</v>
      </c>
    </row>
    <row r="998" customFormat="false" ht="15" hidden="false" customHeight="false" outlineLevel="0" collapsed="false">
      <c r="A998" s="0" t="s">
        <v>1101</v>
      </c>
      <c r="B998" s="0" t="s">
        <v>1104</v>
      </c>
      <c r="C998" s="0" t="s">
        <v>1105</v>
      </c>
      <c r="D998" s="0" t="n">
        <v>6</v>
      </c>
      <c r="E998" s="6" t="n">
        <v>40805.5006944445</v>
      </c>
      <c r="F998" s="0" t="n">
        <v>2.55</v>
      </c>
      <c r="G998" s="0" t="n">
        <v>12640</v>
      </c>
      <c r="H998" s="0" t="s">
        <v>43</v>
      </c>
      <c r="I998" s="7" t="n">
        <f aca="false">IF(AND(LEFT(A998,1)&lt;&gt;"C",D998&gt;0,F998&gt;0),1,0)</f>
        <v>1</v>
      </c>
      <c r="J998" s="7" t="n">
        <f aca="false">IF(I998=1,D998*F998,0)</f>
        <v>15.3</v>
      </c>
      <c r="K998" s="7" t="n">
        <f aca="false">YEAR(E998)*100+MONTH(E998)</f>
        <v>201109</v>
      </c>
      <c r="L998" s="7" t="n">
        <f aca="false">IF(AND(A998&lt;&gt;A997,LEFT(A998,1)&lt;&gt;"C"),1,0)</f>
        <v>0</v>
      </c>
    </row>
    <row r="999" customFormat="false" ht="15" hidden="false" customHeight="false" outlineLevel="0" collapsed="false">
      <c r="A999" s="0" t="s">
        <v>1101</v>
      </c>
      <c r="B999" s="0" t="s">
        <v>1106</v>
      </c>
      <c r="C999" s="0" t="s">
        <v>1107</v>
      </c>
      <c r="D999" s="0" t="n">
        <v>4</v>
      </c>
      <c r="E999" s="6" t="n">
        <v>40805.5006944445</v>
      </c>
      <c r="F999" s="0" t="n">
        <v>3.75</v>
      </c>
      <c r="G999" s="0" t="n">
        <v>12640</v>
      </c>
      <c r="H999" s="0" t="s">
        <v>43</v>
      </c>
      <c r="I999" s="7" t="n">
        <f aca="false">IF(AND(LEFT(A999,1)&lt;&gt;"C",D999&gt;0,F999&gt;0),1,0)</f>
        <v>1</v>
      </c>
      <c r="J999" s="7" t="n">
        <f aca="false">IF(I999=1,D999*F999,0)</f>
        <v>15</v>
      </c>
      <c r="K999" s="7" t="n">
        <f aca="false">YEAR(E999)*100+MONTH(E999)</f>
        <v>201109</v>
      </c>
      <c r="L999" s="7" t="n">
        <f aca="false">IF(AND(A999&lt;&gt;A998,LEFT(A999,1)&lt;&gt;"C"),1,0)</f>
        <v>0</v>
      </c>
    </row>
    <row r="1000" customFormat="false" ht="15" hidden="false" customHeight="false" outlineLevel="0" collapsed="false">
      <c r="A1000" s="0" t="s">
        <v>1101</v>
      </c>
      <c r="B1000" s="0" t="s">
        <v>1108</v>
      </c>
      <c r="C1000" s="0" t="s">
        <v>1109</v>
      </c>
      <c r="D1000" s="0" t="n">
        <v>12</v>
      </c>
      <c r="E1000" s="6" t="n">
        <v>40805.5006944445</v>
      </c>
      <c r="F1000" s="0" t="n">
        <v>0.85</v>
      </c>
      <c r="G1000" s="0" t="n">
        <v>12640</v>
      </c>
      <c r="H1000" s="0" t="s">
        <v>43</v>
      </c>
      <c r="I1000" s="7" t="n">
        <f aca="false">IF(AND(LEFT(A1000,1)&lt;&gt;"C",D1000&gt;0,F1000&gt;0),1,0)</f>
        <v>1</v>
      </c>
      <c r="J1000" s="7" t="n">
        <f aca="false">IF(I1000=1,D1000*F1000,0)</f>
        <v>10.2</v>
      </c>
      <c r="K1000" s="7" t="n">
        <f aca="false">YEAR(E1000)*100+MONTH(E1000)</f>
        <v>201109</v>
      </c>
      <c r="L1000" s="7" t="n">
        <f aca="false">IF(AND(A1000&lt;&gt;A999,LEFT(A1000,1)&lt;&gt;"C"),1,0)</f>
        <v>0</v>
      </c>
    </row>
    <row r="1001" customFormat="false" ht="15" hidden="false" customHeight="false" outlineLevel="0" collapsed="false">
      <c r="A1001" s="0" t="s">
        <v>1101</v>
      </c>
      <c r="B1001" s="0" t="s">
        <v>1110</v>
      </c>
      <c r="C1001" s="0" t="s">
        <v>1111</v>
      </c>
      <c r="D1001" s="0" t="n">
        <v>4</v>
      </c>
      <c r="E1001" s="6" t="n">
        <v>40805.5006944445</v>
      </c>
      <c r="F1001" s="0" t="n">
        <v>4.15</v>
      </c>
      <c r="G1001" s="0" t="n">
        <v>12640</v>
      </c>
      <c r="H1001" s="0" t="s">
        <v>43</v>
      </c>
      <c r="I1001" s="7" t="n">
        <f aca="false">IF(AND(LEFT(A1001,1)&lt;&gt;"C",D1001&gt;0,F1001&gt;0),1,0)</f>
        <v>1</v>
      </c>
      <c r="J1001" s="7" t="n">
        <f aca="false">IF(I1001=1,D1001*F1001,0)</f>
        <v>16.6</v>
      </c>
      <c r="K1001" s="7" t="n">
        <f aca="false">YEAR(E1001)*100+MONTH(E1001)</f>
        <v>201109</v>
      </c>
      <c r="L1001" s="7" t="n">
        <f aca="false">IF(AND(A1001&lt;&gt;A1000,LEFT(A1001,1)&lt;&gt;"C"),1,0)</f>
        <v>0</v>
      </c>
    </row>
    <row r="1002" customFormat="false" ht="15" hidden="false" customHeight="false" outlineLevel="0" collapsed="false">
      <c r="A1002" s="0" t="s">
        <v>1101</v>
      </c>
      <c r="B1002" s="0" t="s">
        <v>1061</v>
      </c>
      <c r="C1002" s="0" t="s">
        <v>1062</v>
      </c>
      <c r="D1002" s="0" t="n">
        <v>4</v>
      </c>
      <c r="E1002" s="6" t="n">
        <v>40805.5006944445</v>
      </c>
      <c r="F1002" s="0" t="n">
        <v>3.25</v>
      </c>
      <c r="G1002" s="0" t="n">
        <v>12640</v>
      </c>
      <c r="H1002" s="0" t="s">
        <v>43</v>
      </c>
      <c r="I1002" s="7" t="n">
        <f aca="false">IF(AND(LEFT(A1002,1)&lt;&gt;"C",D1002&gt;0,F1002&gt;0),1,0)</f>
        <v>1</v>
      </c>
      <c r="J1002" s="7" t="n">
        <f aca="false">IF(I1002=1,D1002*F1002,0)</f>
        <v>13</v>
      </c>
      <c r="K1002" s="7" t="n">
        <f aca="false">YEAR(E1002)*100+MONTH(E1002)</f>
        <v>201109</v>
      </c>
      <c r="L1002" s="7" t="n">
        <f aca="false">IF(AND(A1002&lt;&gt;A1001,LEFT(A1002,1)&lt;&gt;"C"),1,0)</f>
        <v>0</v>
      </c>
    </row>
    <row r="1003" customFormat="false" ht="15" hidden="false" customHeight="false" outlineLevel="0" collapsed="false">
      <c r="A1003" s="0" t="s">
        <v>1101</v>
      </c>
      <c r="B1003" s="0" t="s">
        <v>1112</v>
      </c>
      <c r="C1003" s="0" t="s">
        <v>1113</v>
      </c>
      <c r="D1003" s="0" t="n">
        <v>2</v>
      </c>
      <c r="E1003" s="6" t="n">
        <v>40805.5006944445</v>
      </c>
      <c r="F1003" s="0" t="n">
        <v>16.95</v>
      </c>
      <c r="G1003" s="0" t="n">
        <v>12640</v>
      </c>
      <c r="H1003" s="0" t="s">
        <v>43</v>
      </c>
      <c r="I1003" s="7" t="n">
        <f aca="false">IF(AND(LEFT(A1003,1)&lt;&gt;"C",D1003&gt;0,F1003&gt;0),1,0)</f>
        <v>1</v>
      </c>
      <c r="J1003" s="7" t="n">
        <f aca="false">IF(I1003=1,D1003*F1003,0)</f>
        <v>33.9</v>
      </c>
      <c r="K1003" s="7" t="n">
        <f aca="false">YEAR(E1003)*100+MONTH(E1003)</f>
        <v>201109</v>
      </c>
      <c r="L1003" s="7" t="n">
        <f aca="false">IF(AND(A1003&lt;&gt;A1002,LEFT(A1003,1)&lt;&gt;"C"),1,0)</f>
        <v>0</v>
      </c>
    </row>
    <row r="1004" customFormat="false" ht="15" hidden="false" customHeight="false" outlineLevel="0" collapsed="false">
      <c r="A1004" s="0" t="s">
        <v>1101</v>
      </c>
      <c r="B1004" s="0" t="s">
        <v>1114</v>
      </c>
      <c r="C1004" s="0" t="s">
        <v>1115</v>
      </c>
      <c r="D1004" s="0" t="n">
        <v>12</v>
      </c>
      <c r="E1004" s="6" t="n">
        <v>40805.5006944445</v>
      </c>
      <c r="F1004" s="0" t="n">
        <v>1.45</v>
      </c>
      <c r="G1004" s="0" t="n">
        <v>12640</v>
      </c>
      <c r="H1004" s="0" t="s">
        <v>43</v>
      </c>
      <c r="I1004" s="7" t="n">
        <f aca="false">IF(AND(LEFT(A1004,1)&lt;&gt;"C",D1004&gt;0,F1004&gt;0),1,0)</f>
        <v>1</v>
      </c>
      <c r="J1004" s="7" t="n">
        <f aca="false">IF(I1004=1,D1004*F1004,0)</f>
        <v>17.4</v>
      </c>
      <c r="K1004" s="7" t="n">
        <f aca="false">YEAR(E1004)*100+MONTH(E1004)</f>
        <v>201109</v>
      </c>
      <c r="L1004" s="7" t="n">
        <f aca="false">IF(AND(A1004&lt;&gt;A1003,LEFT(A1004,1)&lt;&gt;"C"),1,0)</f>
        <v>0</v>
      </c>
    </row>
    <row r="1005" customFormat="false" ht="15" hidden="false" customHeight="false" outlineLevel="0" collapsed="false">
      <c r="A1005" s="0" t="s">
        <v>1101</v>
      </c>
      <c r="B1005" s="0" t="s">
        <v>1116</v>
      </c>
      <c r="C1005" s="0" t="s">
        <v>1117</v>
      </c>
      <c r="D1005" s="0" t="n">
        <v>12</v>
      </c>
      <c r="E1005" s="6" t="n">
        <v>40805.5006944445</v>
      </c>
      <c r="F1005" s="0" t="n">
        <v>0.42</v>
      </c>
      <c r="G1005" s="0" t="n">
        <v>12640</v>
      </c>
      <c r="H1005" s="0" t="s">
        <v>43</v>
      </c>
      <c r="I1005" s="7" t="n">
        <f aca="false">IF(AND(LEFT(A1005,1)&lt;&gt;"C",D1005&gt;0,F1005&gt;0),1,0)</f>
        <v>1</v>
      </c>
      <c r="J1005" s="7" t="n">
        <f aca="false">IF(I1005=1,D1005*F1005,0)</f>
        <v>5.04</v>
      </c>
      <c r="K1005" s="7" t="n">
        <f aca="false">YEAR(E1005)*100+MONTH(E1005)</f>
        <v>201109</v>
      </c>
      <c r="L1005" s="7" t="n">
        <f aca="false">IF(AND(A1005&lt;&gt;A1004,LEFT(A1005,1)&lt;&gt;"C"),1,0)</f>
        <v>0</v>
      </c>
    </row>
    <row r="1006" customFormat="false" ht="15" hidden="false" customHeight="false" outlineLevel="0" collapsed="false">
      <c r="A1006" s="0" t="s">
        <v>1101</v>
      </c>
      <c r="B1006" s="0" t="s">
        <v>1118</v>
      </c>
      <c r="C1006" s="0" t="s">
        <v>1119</v>
      </c>
      <c r="D1006" s="0" t="n">
        <v>12</v>
      </c>
      <c r="E1006" s="6" t="n">
        <v>40805.5006944445</v>
      </c>
      <c r="F1006" s="0" t="n">
        <v>1.25</v>
      </c>
      <c r="G1006" s="0" t="n">
        <v>12640</v>
      </c>
      <c r="H1006" s="0" t="s">
        <v>43</v>
      </c>
      <c r="I1006" s="7" t="n">
        <f aca="false">IF(AND(LEFT(A1006,1)&lt;&gt;"C",D1006&gt;0,F1006&gt;0),1,0)</f>
        <v>1</v>
      </c>
      <c r="J1006" s="7" t="n">
        <f aca="false">IF(I1006=1,D1006*F1006,0)</f>
        <v>15</v>
      </c>
      <c r="K1006" s="7" t="n">
        <f aca="false">YEAR(E1006)*100+MONTH(E1006)</f>
        <v>201109</v>
      </c>
      <c r="L1006" s="7" t="n">
        <f aca="false">IF(AND(A1006&lt;&gt;A1005,LEFT(A1006,1)&lt;&gt;"C"),1,0)</f>
        <v>0</v>
      </c>
    </row>
    <row r="1007" customFormat="false" ht="15" hidden="false" customHeight="false" outlineLevel="0" collapsed="false">
      <c r="A1007" s="0" t="s">
        <v>1101</v>
      </c>
      <c r="B1007" s="0" t="s">
        <v>243</v>
      </c>
      <c r="C1007" s="0" t="s">
        <v>244</v>
      </c>
      <c r="D1007" s="0" t="n">
        <v>6</v>
      </c>
      <c r="E1007" s="6" t="n">
        <v>40805.5006944445</v>
      </c>
      <c r="F1007" s="0" t="n">
        <v>3.25</v>
      </c>
      <c r="G1007" s="0" t="n">
        <v>12640</v>
      </c>
      <c r="H1007" s="0" t="s">
        <v>43</v>
      </c>
      <c r="I1007" s="7" t="n">
        <f aca="false">IF(AND(LEFT(A1007,1)&lt;&gt;"C",D1007&gt;0,F1007&gt;0),1,0)</f>
        <v>1</v>
      </c>
      <c r="J1007" s="7" t="n">
        <f aca="false">IF(I1007=1,D1007*F1007,0)</f>
        <v>19.5</v>
      </c>
      <c r="K1007" s="7" t="n">
        <f aca="false">YEAR(E1007)*100+MONTH(E1007)</f>
        <v>201109</v>
      </c>
      <c r="L1007" s="7" t="n">
        <f aca="false">IF(AND(A1007&lt;&gt;A1006,LEFT(A1007,1)&lt;&gt;"C"),1,0)</f>
        <v>0</v>
      </c>
    </row>
    <row r="1008" customFormat="false" ht="15" hidden="false" customHeight="false" outlineLevel="0" collapsed="false">
      <c r="A1008" s="0" t="s">
        <v>1101</v>
      </c>
      <c r="B1008" s="0" t="s">
        <v>549</v>
      </c>
      <c r="C1008" s="0" t="s">
        <v>550</v>
      </c>
      <c r="D1008" s="0" t="n">
        <v>12</v>
      </c>
      <c r="E1008" s="6" t="n">
        <v>40805.5006944445</v>
      </c>
      <c r="F1008" s="0" t="n">
        <v>1.45</v>
      </c>
      <c r="G1008" s="0" t="n">
        <v>12640</v>
      </c>
      <c r="H1008" s="0" t="s">
        <v>43</v>
      </c>
      <c r="I1008" s="7" t="n">
        <f aca="false">IF(AND(LEFT(A1008,1)&lt;&gt;"C",D1008&gt;0,F1008&gt;0),1,0)</f>
        <v>1</v>
      </c>
      <c r="J1008" s="7" t="n">
        <f aca="false">IF(I1008=1,D1008*F1008,0)</f>
        <v>17.4</v>
      </c>
      <c r="K1008" s="7" t="n">
        <f aca="false">YEAR(E1008)*100+MONTH(E1008)</f>
        <v>201109</v>
      </c>
      <c r="L1008" s="7" t="n">
        <f aca="false">IF(AND(A1008&lt;&gt;A1007,LEFT(A1008,1)&lt;&gt;"C"),1,0)</f>
        <v>0</v>
      </c>
    </row>
    <row r="1009" customFormat="false" ht="15" hidden="false" customHeight="false" outlineLevel="0" collapsed="false">
      <c r="A1009" s="0" t="s">
        <v>1101</v>
      </c>
      <c r="B1009" s="0" t="s">
        <v>1120</v>
      </c>
      <c r="C1009" s="0" t="s">
        <v>1121</v>
      </c>
      <c r="D1009" s="0" t="n">
        <v>4</v>
      </c>
      <c r="E1009" s="6" t="n">
        <v>40805.5006944445</v>
      </c>
      <c r="F1009" s="0" t="n">
        <v>3.75</v>
      </c>
      <c r="G1009" s="0" t="n">
        <v>12640</v>
      </c>
      <c r="H1009" s="0" t="s">
        <v>43</v>
      </c>
      <c r="I1009" s="7" t="n">
        <f aca="false">IF(AND(LEFT(A1009,1)&lt;&gt;"C",D1009&gt;0,F1009&gt;0),1,0)</f>
        <v>1</v>
      </c>
      <c r="J1009" s="7" t="n">
        <f aca="false">IF(I1009=1,D1009*F1009,0)</f>
        <v>15</v>
      </c>
      <c r="K1009" s="7" t="n">
        <f aca="false">YEAR(E1009)*100+MONTH(E1009)</f>
        <v>201109</v>
      </c>
      <c r="L1009" s="7" t="n">
        <f aca="false">IF(AND(A1009&lt;&gt;A1008,LEFT(A1009,1)&lt;&gt;"C"),1,0)</f>
        <v>0</v>
      </c>
    </row>
    <row r="1010" customFormat="false" ht="15" hidden="false" customHeight="false" outlineLevel="0" collapsed="false">
      <c r="A1010" s="0" t="s">
        <v>1101</v>
      </c>
      <c r="B1010" s="0" t="s">
        <v>1122</v>
      </c>
      <c r="C1010" s="0" t="s">
        <v>1123</v>
      </c>
      <c r="D1010" s="0" t="n">
        <v>12</v>
      </c>
      <c r="E1010" s="6" t="n">
        <v>40805.5006944445</v>
      </c>
      <c r="F1010" s="0" t="n">
        <v>0.83</v>
      </c>
      <c r="G1010" s="0" t="n">
        <v>12640</v>
      </c>
      <c r="H1010" s="0" t="s">
        <v>43</v>
      </c>
      <c r="I1010" s="7" t="n">
        <f aca="false">IF(AND(LEFT(A1010,1)&lt;&gt;"C",D1010&gt;0,F1010&gt;0),1,0)</f>
        <v>1</v>
      </c>
      <c r="J1010" s="7" t="n">
        <f aca="false">IF(I1010=1,D1010*F1010,0)</f>
        <v>9.96</v>
      </c>
      <c r="K1010" s="7" t="n">
        <f aca="false">YEAR(E1010)*100+MONTH(E1010)</f>
        <v>201109</v>
      </c>
      <c r="L1010" s="7" t="n">
        <f aca="false">IF(AND(A1010&lt;&gt;A1009,LEFT(A1010,1)&lt;&gt;"C"),1,0)</f>
        <v>0</v>
      </c>
    </row>
    <row r="1011" customFormat="false" ht="15" hidden="false" customHeight="false" outlineLevel="0" collapsed="false">
      <c r="A1011" s="0" t="s">
        <v>1101</v>
      </c>
      <c r="B1011" s="0" t="s">
        <v>583</v>
      </c>
      <c r="C1011" s="0" t="s">
        <v>584</v>
      </c>
      <c r="D1011" s="0" t="n">
        <v>12</v>
      </c>
      <c r="E1011" s="6" t="n">
        <v>40805.5006944445</v>
      </c>
      <c r="F1011" s="0" t="n">
        <v>1.45</v>
      </c>
      <c r="G1011" s="0" t="n">
        <v>12640</v>
      </c>
      <c r="H1011" s="0" t="s">
        <v>43</v>
      </c>
      <c r="I1011" s="7" t="n">
        <f aca="false">IF(AND(LEFT(A1011,1)&lt;&gt;"C",D1011&gt;0,F1011&gt;0),1,0)</f>
        <v>1</v>
      </c>
      <c r="J1011" s="7" t="n">
        <f aca="false">IF(I1011=1,D1011*F1011,0)</f>
        <v>17.4</v>
      </c>
      <c r="K1011" s="7" t="n">
        <f aca="false">YEAR(E1011)*100+MONTH(E1011)</f>
        <v>201109</v>
      </c>
      <c r="L1011" s="7" t="n">
        <f aca="false">IF(AND(A1011&lt;&gt;A1010,LEFT(A1011,1)&lt;&gt;"C"),1,0)</f>
        <v>0</v>
      </c>
    </row>
    <row r="1012" customFormat="false" ht="15" hidden="false" customHeight="false" outlineLevel="0" collapsed="false">
      <c r="A1012" s="0" t="s">
        <v>1101</v>
      </c>
      <c r="B1012" s="0" t="s">
        <v>297</v>
      </c>
      <c r="C1012" s="0" t="s">
        <v>298</v>
      </c>
      <c r="D1012" s="0" t="n">
        <v>4</v>
      </c>
      <c r="E1012" s="6" t="n">
        <v>40805.5006944445</v>
      </c>
      <c r="F1012" s="0" t="n">
        <v>3.75</v>
      </c>
      <c r="G1012" s="0" t="n">
        <v>12640</v>
      </c>
      <c r="H1012" s="0" t="s">
        <v>43</v>
      </c>
      <c r="I1012" s="7" t="n">
        <f aca="false">IF(AND(LEFT(A1012,1)&lt;&gt;"C",D1012&gt;0,F1012&gt;0),1,0)</f>
        <v>1</v>
      </c>
      <c r="J1012" s="7" t="n">
        <f aca="false">IF(I1012=1,D1012*F1012,0)</f>
        <v>15</v>
      </c>
      <c r="K1012" s="7" t="n">
        <f aca="false">YEAR(E1012)*100+MONTH(E1012)</f>
        <v>201109</v>
      </c>
      <c r="L1012" s="7" t="n">
        <f aca="false">IF(AND(A1012&lt;&gt;A1011,LEFT(A1012,1)&lt;&gt;"C"),1,0)</f>
        <v>0</v>
      </c>
    </row>
    <row r="1013" customFormat="false" ht="15" hidden="false" customHeight="false" outlineLevel="0" collapsed="false">
      <c r="A1013" s="0" t="s">
        <v>1101</v>
      </c>
      <c r="B1013" s="0" t="s">
        <v>322</v>
      </c>
      <c r="C1013" s="0" t="s">
        <v>323</v>
      </c>
      <c r="D1013" s="0" t="n">
        <v>4</v>
      </c>
      <c r="E1013" s="6" t="n">
        <v>40805.5006944445</v>
      </c>
      <c r="F1013" s="0" t="n">
        <v>3.75</v>
      </c>
      <c r="G1013" s="0" t="n">
        <v>12640</v>
      </c>
      <c r="H1013" s="0" t="s">
        <v>43</v>
      </c>
      <c r="I1013" s="7" t="n">
        <f aca="false">IF(AND(LEFT(A1013,1)&lt;&gt;"C",D1013&gt;0,F1013&gt;0),1,0)</f>
        <v>1</v>
      </c>
      <c r="J1013" s="7" t="n">
        <f aca="false">IF(I1013=1,D1013*F1013,0)</f>
        <v>15</v>
      </c>
      <c r="K1013" s="7" t="n">
        <f aca="false">YEAR(E1013)*100+MONTH(E1013)</f>
        <v>201109</v>
      </c>
      <c r="L1013" s="7" t="n">
        <f aca="false">IF(AND(A1013&lt;&gt;A1012,LEFT(A1013,1)&lt;&gt;"C"),1,0)</f>
        <v>0</v>
      </c>
    </row>
    <row r="1014" customFormat="false" ht="15" hidden="false" customHeight="false" outlineLevel="0" collapsed="false">
      <c r="A1014" s="0" t="s">
        <v>1101</v>
      </c>
      <c r="B1014" s="0" t="s">
        <v>318</v>
      </c>
      <c r="C1014" s="0" t="s">
        <v>319</v>
      </c>
      <c r="D1014" s="0" t="n">
        <v>4</v>
      </c>
      <c r="E1014" s="6" t="n">
        <v>40805.5006944445</v>
      </c>
      <c r="F1014" s="0" t="n">
        <v>3.75</v>
      </c>
      <c r="G1014" s="0" t="n">
        <v>12640</v>
      </c>
      <c r="H1014" s="0" t="s">
        <v>43</v>
      </c>
      <c r="I1014" s="7" t="n">
        <f aca="false">IF(AND(LEFT(A1014,1)&lt;&gt;"C",D1014&gt;0,F1014&gt;0),1,0)</f>
        <v>1</v>
      </c>
      <c r="J1014" s="7" t="n">
        <f aca="false">IF(I1014=1,D1014*F1014,0)</f>
        <v>15</v>
      </c>
      <c r="K1014" s="7" t="n">
        <f aca="false">YEAR(E1014)*100+MONTH(E1014)</f>
        <v>201109</v>
      </c>
      <c r="L1014" s="7" t="n">
        <f aca="false">IF(AND(A1014&lt;&gt;A1013,LEFT(A1014,1)&lt;&gt;"C"),1,0)</f>
        <v>0</v>
      </c>
    </row>
    <row r="1015" customFormat="false" ht="15" hidden="false" customHeight="false" outlineLevel="0" collapsed="false">
      <c r="A1015" s="0" t="s">
        <v>1101</v>
      </c>
      <c r="B1015" s="0" t="s">
        <v>1124</v>
      </c>
      <c r="C1015" s="0" t="s">
        <v>1125</v>
      </c>
      <c r="D1015" s="0" t="n">
        <v>2</v>
      </c>
      <c r="E1015" s="6" t="n">
        <v>40805.5006944445</v>
      </c>
      <c r="F1015" s="0" t="n">
        <v>8.5</v>
      </c>
      <c r="G1015" s="0" t="n">
        <v>12640</v>
      </c>
      <c r="H1015" s="0" t="s">
        <v>43</v>
      </c>
      <c r="I1015" s="7" t="n">
        <f aca="false">IF(AND(LEFT(A1015,1)&lt;&gt;"C",D1015&gt;0,F1015&gt;0),1,0)</f>
        <v>1</v>
      </c>
      <c r="J1015" s="7" t="n">
        <f aca="false">IF(I1015=1,D1015*F1015,0)</f>
        <v>17</v>
      </c>
      <c r="K1015" s="7" t="n">
        <f aca="false">YEAR(E1015)*100+MONTH(E1015)</f>
        <v>201109</v>
      </c>
      <c r="L1015" s="7" t="n">
        <f aca="false">IF(AND(A1015&lt;&gt;A1014,LEFT(A1015,1)&lt;&gt;"C"),1,0)</f>
        <v>0</v>
      </c>
    </row>
    <row r="1016" customFormat="false" ht="15" hidden="false" customHeight="false" outlineLevel="0" collapsed="false">
      <c r="A1016" s="0" t="s">
        <v>1101</v>
      </c>
      <c r="B1016" s="0" t="s">
        <v>1126</v>
      </c>
      <c r="C1016" s="0" t="s">
        <v>1127</v>
      </c>
      <c r="D1016" s="0" t="n">
        <v>2</v>
      </c>
      <c r="E1016" s="6" t="n">
        <v>40805.5006944445</v>
      </c>
      <c r="F1016" s="0" t="n">
        <v>8.5</v>
      </c>
      <c r="G1016" s="0" t="n">
        <v>12640</v>
      </c>
      <c r="H1016" s="0" t="s">
        <v>43</v>
      </c>
      <c r="I1016" s="7" t="n">
        <f aca="false">IF(AND(LEFT(A1016,1)&lt;&gt;"C",D1016&gt;0,F1016&gt;0),1,0)</f>
        <v>1</v>
      </c>
      <c r="J1016" s="7" t="n">
        <f aca="false">IF(I1016=1,D1016*F1016,0)</f>
        <v>17</v>
      </c>
      <c r="K1016" s="7" t="n">
        <f aca="false">YEAR(E1016)*100+MONTH(E1016)</f>
        <v>201109</v>
      </c>
      <c r="L1016" s="7" t="n">
        <f aca="false">IF(AND(A1016&lt;&gt;A1015,LEFT(A1016,1)&lt;&gt;"C"),1,0)</f>
        <v>0</v>
      </c>
    </row>
    <row r="1017" customFormat="false" ht="15" hidden="false" customHeight="false" outlineLevel="0" collapsed="false">
      <c r="A1017" s="0" t="s">
        <v>1101</v>
      </c>
      <c r="B1017" s="0" t="s">
        <v>1128</v>
      </c>
      <c r="C1017" s="0" t="s">
        <v>1129</v>
      </c>
      <c r="D1017" s="0" t="n">
        <v>2</v>
      </c>
      <c r="E1017" s="6" t="n">
        <v>40805.5006944445</v>
      </c>
      <c r="F1017" s="0" t="n">
        <v>8.5</v>
      </c>
      <c r="G1017" s="0" t="n">
        <v>12640</v>
      </c>
      <c r="H1017" s="0" t="s">
        <v>43</v>
      </c>
      <c r="I1017" s="7" t="n">
        <f aca="false">IF(AND(LEFT(A1017,1)&lt;&gt;"C",D1017&gt;0,F1017&gt;0),1,0)</f>
        <v>1</v>
      </c>
      <c r="J1017" s="7" t="n">
        <f aca="false">IF(I1017=1,D1017*F1017,0)</f>
        <v>17</v>
      </c>
      <c r="K1017" s="7" t="n">
        <f aca="false">YEAR(E1017)*100+MONTH(E1017)</f>
        <v>201109</v>
      </c>
      <c r="L1017" s="7" t="n">
        <f aca="false">IF(AND(A1017&lt;&gt;A1016,LEFT(A1017,1)&lt;&gt;"C"),1,0)</f>
        <v>0</v>
      </c>
    </row>
    <row r="1018" customFormat="false" ht="15" hidden="false" customHeight="false" outlineLevel="0" collapsed="false">
      <c r="A1018" s="0" t="s">
        <v>1101</v>
      </c>
      <c r="B1018" s="0" t="s">
        <v>107</v>
      </c>
      <c r="C1018" s="0" t="s">
        <v>108</v>
      </c>
      <c r="D1018" s="0" t="n">
        <v>6</v>
      </c>
      <c r="E1018" s="6" t="n">
        <v>40805.5006944445</v>
      </c>
      <c r="F1018" s="0" t="n">
        <v>2.55</v>
      </c>
      <c r="G1018" s="0" t="n">
        <v>12640</v>
      </c>
      <c r="H1018" s="0" t="s">
        <v>43</v>
      </c>
      <c r="I1018" s="7" t="n">
        <f aca="false">IF(AND(LEFT(A1018,1)&lt;&gt;"C",D1018&gt;0,F1018&gt;0),1,0)</f>
        <v>1</v>
      </c>
      <c r="J1018" s="7" t="n">
        <f aca="false">IF(I1018=1,D1018*F1018,0)</f>
        <v>15.3</v>
      </c>
      <c r="K1018" s="7" t="n">
        <f aca="false">YEAR(E1018)*100+MONTH(E1018)</f>
        <v>201109</v>
      </c>
      <c r="L1018" s="7" t="n">
        <f aca="false">IF(AND(A1018&lt;&gt;A1017,LEFT(A1018,1)&lt;&gt;"C"),1,0)</f>
        <v>0</v>
      </c>
    </row>
    <row r="1019" customFormat="false" ht="15" hidden="false" customHeight="false" outlineLevel="0" collapsed="false">
      <c r="A1019" s="0" t="s">
        <v>1101</v>
      </c>
      <c r="B1019" s="0" t="s">
        <v>148</v>
      </c>
      <c r="C1019" s="0" t="s">
        <v>149</v>
      </c>
      <c r="D1019" s="0" t="n">
        <v>3</v>
      </c>
      <c r="E1019" s="6" t="n">
        <v>40805.5006944445</v>
      </c>
      <c r="F1019" s="0" t="n">
        <v>12.75</v>
      </c>
      <c r="G1019" s="0" t="n">
        <v>12640</v>
      </c>
      <c r="H1019" s="0" t="s">
        <v>43</v>
      </c>
      <c r="I1019" s="7" t="n">
        <f aca="false">IF(AND(LEFT(A1019,1)&lt;&gt;"C",D1019&gt;0,F1019&gt;0),1,0)</f>
        <v>1</v>
      </c>
      <c r="J1019" s="7" t="n">
        <f aca="false">IF(I1019=1,D1019*F1019,0)</f>
        <v>38.25</v>
      </c>
      <c r="K1019" s="7" t="n">
        <f aca="false">YEAR(E1019)*100+MONTH(E1019)</f>
        <v>201109</v>
      </c>
      <c r="L1019" s="7" t="n">
        <f aca="false">IF(AND(A1019&lt;&gt;A1018,LEFT(A1019,1)&lt;&gt;"C"),1,0)</f>
        <v>0</v>
      </c>
    </row>
    <row r="1020" customFormat="false" ht="15" hidden="false" customHeight="false" outlineLevel="0" collapsed="false">
      <c r="A1020" s="0" t="s">
        <v>1101</v>
      </c>
      <c r="B1020" s="0" t="s">
        <v>827</v>
      </c>
      <c r="C1020" s="0" t="s">
        <v>828</v>
      </c>
      <c r="D1020" s="0" t="n">
        <v>6</v>
      </c>
      <c r="E1020" s="6" t="n">
        <v>40805.5006944445</v>
      </c>
      <c r="F1020" s="0" t="n">
        <v>2.95</v>
      </c>
      <c r="G1020" s="0" t="n">
        <v>12640</v>
      </c>
      <c r="H1020" s="0" t="s">
        <v>43</v>
      </c>
      <c r="I1020" s="7" t="n">
        <f aca="false">IF(AND(LEFT(A1020,1)&lt;&gt;"C",D1020&gt;0,F1020&gt;0),1,0)</f>
        <v>1</v>
      </c>
      <c r="J1020" s="7" t="n">
        <f aca="false">IF(I1020=1,D1020*F1020,0)</f>
        <v>17.7</v>
      </c>
      <c r="K1020" s="7" t="n">
        <f aca="false">YEAR(E1020)*100+MONTH(E1020)</f>
        <v>201109</v>
      </c>
      <c r="L1020" s="7" t="n">
        <f aca="false">IF(AND(A1020&lt;&gt;A1019,LEFT(A1020,1)&lt;&gt;"C"),1,0)</f>
        <v>0</v>
      </c>
    </row>
    <row r="1021" customFormat="false" ht="15" hidden="false" customHeight="false" outlineLevel="0" collapsed="false">
      <c r="A1021" s="0" t="s">
        <v>1101</v>
      </c>
      <c r="B1021" s="0" t="s">
        <v>1130</v>
      </c>
      <c r="C1021" s="0" t="s">
        <v>1131</v>
      </c>
      <c r="D1021" s="0" t="n">
        <v>12</v>
      </c>
      <c r="E1021" s="6" t="n">
        <v>40805.5006944445</v>
      </c>
      <c r="F1021" s="0" t="n">
        <v>1.25</v>
      </c>
      <c r="G1021" s="0" t="n">
        <v>12640</v>
      </c>
      <c r="H1021" s="0" t="s">
        <v>43</v>
      </c>
      <c r="I1021" s="7" t="n">
        <f aca="false">IF(AND(LEFT(A1021,1)&lt;&gt;"C",D1021&gt;0,F1021&gt;0),1,0)</f>
        <v>1</v>
      </c>
      <c r="J1021" s="7" t="n">
        <f aca="false">IF(I1021=1,D1021*F1021,0)</f>
        <v>15</v>
      </c>
      <c r="K1021" s="7" t="n">
        <f aca="false">YEAR(E1021)*100+MONTH(E1021)</f>
        <v>201109</v>
      </c>
      <c r="L1021" s="7" t="n">
        <f aca="false">IF(AND(A1021&lt;&gt;A1020,LEFT(A1021,1)&lt;&gt;"C"),1,0)</f>
        <v>0</v>
      </c>
    </row>
    <row r="1022" customFormat="false" ht="15" hidden="false" customHeight="false" outlineLevel="0" collapsed="false">
      <c r="A1022" s="0" t="s">
        <v>1101</v>
      </c>
      <c r="B1022" s="0" t="s">
        <v>825</v>
      </c>
      <c r="C1022" s="0" t="s">
        <v>826</v>
      </c>
      <c r="D1022" s="0" t="n">
        <v>6</v>
      </c>
      <c r="E1022" s="6" t="n">
        <v>40805.5006944445</v>
      </c>
      <c r="F1022" s="0" t="n">
        <v>2.95</v>
      </c>
      <c r="G1022" s="0" t="n">
        <v>12640</v>
      </c>
      <c r="H1022" s="0" t="s">
        <v>43</v>
      </c>
      <c r="I1022" s="7" t="n">
        <f aca="false">IF(AND(LEFT(A1022,1)&lt;&gt;"C",D1022&gt;0,F1022&gt;0),1,0)</f>
        <v>1</v>
      </c>
      <c r="J1022" s="7" t="n">
        <f aca="false">IF(I1022=1,D1022*F1022,0)</f>
        <v>17.7</v>
      </c>
      <c r="K1022" s="7" t="n">
        <f aca="false">YEAR(E1022)*100+MONTH(E1022)</f>
        <v>201109</v>
      </c>
      <c r="L1022" s="7" t="n">
        <f aca="false">IF(AND(A1022&lt;&gt;A1021,LEFT(A1022,1)&lt;&gt;"C"),1,0)</f>
        <v>0</v>
      </c>
    </row>
    <row r="1023" customFormat="false" ht="15" hidden="false" customHeight="false" outlineLevel="0" collapsed="false">
      <c r="A1023" s="0" t="s">
        <v>1101</v>
      </c>
      <c r="B1023" s="0" t="s">
        <v>1132</v>
      </c>
      <c r="C1023" s="0" t="s">
        <v>1133</v>
      </c>
      <c r="D1023" s="0" t="n">
        <v>12</v>
      </c>
      <c r="E1023" s="6" t="n">
        <v>40805.5006944445</v>
      </c>
      <c r="F1023" s="0" t="n">
        <v>1.25</v>
      </c>
      <c r="G1023" s="0" t="n">
        <v>12640</v>
      </c>
      <c r="H1023" s="0" t="s">
        <v>43</v>
      </c>
      <c r="I1023" s="7" t="n">
        <f aca="false">IF(AND(LEFT(A1023,1)&lt;&gt;"C",D1023&gt;0,F1023&gt;0),1,0)</f>
        <v>1</v>
      </c>
      <c r="J1023" s="7" t="n">
        <f aca="false">IF(I1023=1,D1023*F1023,0)</f>
        <v>15</v>
      </c>
      <c r="K1023" s="7" t="n">
        <f aca="false">YEAR(E1023)*100+MONTH(E1023)</f>
        <v>201109</v>
      </c>
      <c r="L1023" s="7" t="n">
        <f aca="false">IF(AND(A1023&lt;&gt;A1022,LEFT(A1023,1)&lt;&gt;"C"),1,0)</f>
        <v>0</v>
      </c>
    </row>
    <row r="1024" customFormat="false" ht="15" hidden="false" customHeight="false" outlineLevel="0" collapsed="false">
      <c r="A1024" s="0" t="s">
        <v>1101</v>
      </c>
      <c r="B1024" s="0" t="s">
        <v>1134</v>
      </c>
      <c r="C1024" s="0" t="s">
        <v>1135</v>
      </c>
      <c r="D1024" s="0" t="n">
        <v>4</v>
      </c>
      <c r="E1024" s="6" t="n">
        <v>40805.5006944445</v>
      </c>
      <c r="F1024" s="0" t="n">
        <v>4.95</v>
      </c>
      <c r="G1024" s="0" t="n">
        <v>12640</v>
      </c>
      <c r="H1024" s="0" t="s">
        <v>43</v>
      </c>
      <c r="I1024" s="7" t="n">
        <f aca="false">IF(AND(LEFT(A1024,1)&lt;&gt;"C",D1024&gt;0,F1024&gt;0),1,0)</f>
        <v>1</v>
      </c>
      <c r="J1024" s="7" t="n">
        <f aca="false">IF(I1024=1,D1024*F1024,0)</f>
        <v>19.8</v>
      </c>
      <c r="K1024" s="7" t="n">
        <f aca="false">YEAR(E1024)*100+MONTH(E1024)</f>
        <v>201109</v>
      </c>
      <c r="L1024" s="7" t="n">
        <f aca="false">IF(AND(A1024&lt;&gt;A1023,LEFT(A1024,1)&lt;&gt;"C"),1,0)</f>
        <v>0</v>
      </c>
    </row>
    <row r="1025" customFormat="false" ht="15" hidden="false" customHeight="false" outlineLevel="0" collapsed="false">
      <c r="A1025" s="0" t="s">
        <v>1101</v>
      </c>
      <c r="B1025" s="0" t="s">
        <v>823</v>
      </c>
      <c r="C1025" s="0" t="s">
        <v>824</v>
      </c>
      <c r="D1025" s="0" t="n">
        <v>6</v>
      </c>
      <c r="E1025" s="6" t="n">
        <v>40805.5006944445</v>
      </c>
      <c r="F1025" s="0" t="n">
        <v>2.95</v>
      </c>
      <c r="G1025" s="0" t="n">
        <v>12640</v>
      </c>
      <c r="H1025" s="0" t="s">
        <v>43</v>
      </c>
      <c r="I1025" s="7" t="n">
        <f aca="false">IF(AND(LEFT(A1025,1)&lt;&gt;"C",D1025&gt;0,F1025&gt;0),1,0)</f>
        <v>1</v>
      </c>
      <c r="J1025" s="7" t="n">
        <f aca="false">IF(I1025=1,D1025*F1025,0)</f>
        <v>17.7</v>
      </c>
      <c r="K1025" s="7" t="n">
        <f aca="false">YEAR(E1025)*100+MONTH(E1025)</f>
        <v>201109</v>
      </c>
      <c r="L1025" s="7" t="n">
        <f aca="false">IF(AND(A1025&lt;&gt;A1024,LEFT(A1025,1)&lt;&gt;"C"),1,0)</f>
        <v>0</v>
      </c>
    </row>
    <row r="1026" customFormat="false" ht="15" hidden="false" customHeight="false" outlineLevel="0" collapsed="false">
      <c r="A1026" s="0" t="s">
        <v>1101</v>
      </c>
      <c r="B1026" s="0" t="s">
        <v>293</v>
      </c>
      <c r="C1026" s="0" t="s">
        <v>294</v>
      </c>
      <c r="D1026" s="0" t="n">
        <v>2</v>
      </c>
      <c r="E1026" s="6" t="n">
        <v>40805.5006944445</v>
      </c>
      <c r="F1026" s="0" t="n">
        <v>8.5</v>
      </c>
      <c r="G1026" s="0" t="n">
        <v>12640</v>
      </c>
      <c r="H1026" s="0" t="s">
        <v>43</v>
      </c>
      <c r="I1026" s="7" t="n">
        <f aca="false">IF(AND(LEFT(A1026,1)&lt;&gt;"C",D1026&gt;0,F1026&gt;0),1,0)</f>
        <v>1</v>
      </c>
      <c r="J1026" s="7" t="n">
        <f aca="false">IF(I1026=1,D1026*F1026,0)</f>
        <v>17</v>
      </c>
      <c r="K1026" s="7" t="n">
        <f aca="false">YEAR(E1026)*100+MONTH(E1026)</f>
        <v>201109</v>
      </c>
      <c r="L1026" s="7" t="n">
        <f aca="false">IF(AND(A1026&lt;&gt;A1025,LEFT(A1026,1)&lt;&gt;"C"),1,0)</f>
        <v>0</v>
      </c>
    </row>
    <row r="1027" customFormat="false" ht="15" hidden="false" customHeight="false" outlineLevel="0" collapsed="false">
      <c r="A1027" s="0" t="s">
        <v>1101</v>
      </c>
      <c r="B1027" s="0" t="s">
        <v>1099</v>
      </c>
      <c r="C1027" s="0" t="s">
        <v>1100</v>
      </c>
      <c r="D1027" s="0" t="n">
        <v>6</v>
      </c>
      <c r="E1027" s="6" t="n">
        <v>40805.5006944445</v>
      </c>
      <c r="F1027" s="0" t="n">
        <v>2.49</v>
      </c>
      <c r="G1027" s="0" t="n">
        <v>12640</v>
      </c>
      <c r="H1027" s="0" t="s">
        <v>43</v>
      </c>
      <c r="I1027" s="7" t="n">
        <f aca="false">IF(AND(LEFT(A1027,1)&lt;&gt;"C",D1027&gt;0,F1027&gt;0),1,0)</f>
        <v>1</v>
      </c>
      <c r="J1027" s="7" t="n">
        <f aca="false">IF(I1027=1,D1027*F1027,0)</f>
        <v>14.94</v>
      </c>
      <c r="K1027" s="7" t="n">
        <f aca="false">YEAR(E1027)*100+MONTH(E1027)</f>
        <v>201109</v>
      </c>
      <c r="L1027" s="7" t="n">
        <f aca="false">IF(AND(A1027&lt;&gt;A1026,LEFT(A1027,1)&lt;&gt;"C"),1,0)</f>
        <v>0</v>
      </c>
    </row>
    <row r="1028" customFormat="false" ht="15" hidden="false" customHeight="false" outlineLevel="0" collapsed="false">
      <c r="A1028" s="0" t="s">
        <v>1101</v>
      </c>
      <c r="B1028" s="0" t="s">
        <v>1136</v>
      </c>
      <c r="C1028" s="0" t="s">
        <v>1137</v>
      </c>
      <c r="D1028" s="0" t="n">
        <v>2</v>
      </c>
      <c r="E1028" s="6" t="n">
        <v>40805.5006944445</v>
      </c>
      <c r="F1028" s="0" t="n">
        <v>6.75</v>
      </c>
      <c r="G1028" s="0" t="n">
        <v>12640</v>
      </c>
      <c r="H1028" s="0" t="s">
        <v>43</v>
      </c>
      <c r="I1028" s="7" t="n">
        <f aca="false">IF(AND(LEFT(A1028,1)&lt;&gt;"C",D1028&gt;0,F1028&gt;0),1,0)</f>
        <v>1</v>
      </c>
      <c r="J1028" s="7" t="n">
        <f aca="false">IF(I1028=1,D1028*F1028,0)</f>
        <v>13.5</v>
      </c>
      <c r="K1028" s="7" t="n">
        <f aca="false">YEAR(E1028)*100+MONTH(E1028)</f>
        <v>201109</v>
      </c>
      <c r="L1028" s="7" t="n">
        <f aca="false">IF(AND(A1028&lt;&gt;A1027,LEFT(A1028,1)&lt;&gt;"C"),1,0)</f>
        <v>0</v>
      </c>
    </row>
    <row r="1029" customFormat="false" ht="15" hidden="false" customHeight="false" outlineLevel="0" collapsed="false">
      <c r="A1029" s="0" t="s">
        <v>1101</v>
      </c>
      <c r="B1029" s="0" t="s">
        <v>1138</v>
      </c>
      <c r="C1029" s="0" t="s">
        <v>1139</v>
      </c>
      <c r="D1029" s="0" t="n">
        <v>4</v>
      </c>
      <c r="E1029" s="6" t="n">
        <v>40805.5006944445</v>
      </c>
      <c r="F1029" s="0" t="n">
        <v>4.95</v>
      </c>
      <c r="G1029" s="0" t="n">
        <v>12640</v>
      </c>
      <c r="H1029" s="0" t="s">
        <v>43</v>
      </c>
      <c r="I1029" s="7" t="n">
        <f aca="false">IF(AND(LEFT(A1029,1)&lt;&gt;"C",D1029&gt;0,F1029&gt;0),1,0)</f>
        <v>1</v>
      </c>
      <c r="J1029" s="7" t="n">
        <f aca="false">IF(I1029=1,D1029*F1029,0)</f>
        <v>19.8</v>
      </c>
      <c r="K1029" s="7" t="n">
        <f aca="false">YEAR(E1029)*100+MONTH(E1029)</f>
        <v>201109</v>
      </c>
      <c r="L1029" s="7" t="n">
        <f aca="false">IF(AND(A1029&lt;&gt;A1028,LEFT(A1029,1)&lt;&gt;"C"),1,0)</f>
        <v>0</v>
      </c>
    </row>
    <row r="1030" customFormat="false" ht="15" hidden="false" customHeight="false" outlineLevel="0" collapsed="false">
      <c r="A1030" s="0" t="s">
        <v>1101</v>
      </c>
      <c r="B1030" s="0" t="s">
        <v>1021</v>
      </c>
      <c r="C1030" s="0" t="s">
        <v>1022</v>
      </c>
      <c r="D1030" s="0" t="n">
        <v>2</v>
      </c>
      <c r="E1030" s="6" t="n">
        <v>40805.5006944445</v>
      </c>
      <c r="F1030" s="0" t="n">
        <v>8.25</v>
      </c>
      <c r="G1030" s="0" t="n">
        <v>12640</v>
      </c>
      <c r="H1030" s="0" t="s">
        <v>43</v>
      </c>
      <c r="I1030" s="7" t="n">
        <f aca="false">IF(AND(LEFT(A1030,1)&lt;&gt;"C",D1030&gt;0,F1030&gt;0),1,0)</f>
        <v>1</v>
      </c>
      <c r="J1030" s="7" t="n">
        <f aca="false">IF(I1030=1,D1030*F1030,0)</f>
        <v>16.5</v>
      </c>
      <c r="K1030" s="7" t="n">
        <f aca="false">YEAR(E1030)*100+MONTH(E1030)</f>
        <v>201109</v>
      </c>
      <c r="L1030" s="7" t="n">
        <f aca="false">IF(AND(A1030&lt;&gt;A1029,LEFT(A1030,1)&lt;&gt;"C"),1,0)</f>
        <v>0</v>
      </c>
    </row>
    <row r="1031" customFormat="false" ht="15" hidden="false" customHeight="false" outlineLevel="0" collapsed="false">
      <c r="A1031" s="0" t="s">
        <v>1101</v>
      </c>
      <c r="B1031" s="0" t="s">
        <v>1140</v>
      </c>
      <c r="C1031" s="0" t="s">
        <v>1141</v>
      </c>
      <c r="D1031" s="0" t="n">
        <v>4</v>
      </c>
      <c r="E1031" s="6" t="n">
        <v>40805.5006944445</v>
      </c>
      <c r="F1031" s="0" t="n">
        <v>4.25</v>
      </c>
      <c r="G1031" s="0" t="n">
        <v>12640</v>
      </c>
      <c r="H1031" s="0" t="s">
        <v>43</v>
      </c>
      <c r="I1031" s="7" t="n">
        <f aca="false">IF(AND(LEFT(A1031,1)&lt;&gt;"C",D1031&gt;0,F1031&gt;0),1,0)</f>
        <v>1</v>
      </c>
      <c r="J1031" s="7" t="n">
        <f aca="false">IF(I1031=1,D1031*F1031,0)</f>
        <v>17</v>
      </c>
      <c r="K1031" s="7" t="n">
        <f aca="false">YEAR(E1031)*100+MONTH(E1031)</f>
        <v>201109</v>
      </c>
      <c r="L1031" s="7" t="n">
        <f aca="false">IF(AND(A1031&lt;&gt;A1030,LEFT(A1031,1)&lt;&gt;"C"),1,0)</f>
        <v>0</v>
      </c>
    </row>
    <row r="1032" customFormat="false" ht="15" hidden="false" customHeight="false" outlineLevel="0" collapsed="false">
      <c r="A1032" s="0" t="s">
        <v>1101</v>
      </c>
      <c r="B1032" s="0" t="s">
        <v>1142</v>
      </c>
      <c r="C1032" s="0" t="s">
        <v>1143</v>
      </c>
      <c r="D1032" s="0" t="n">
        <v>5</v>
      </c>
      <c r="E1032" s="6" t="n">
        <v>40805.5006944445</v>
      </c>
      <c r="F1032" s="0" t="n">
        <v>2.1</v>
      </c>
      <c r="G1032" s="0" t="n">
        <v>12640</v>
      </c>
      <c r="H1032" s="0" t="s">
        <v>43</v>
      </c>
      <c r="I1032" s="7" t="n">
        <f aca="false">IF(AND(LEFT(A1032,1)&lt;&gt;"C",D1032&gt;0,F1032&gt;0),1,0)</f>
        <v>1</v>
      </c>
      <c r="J1032" s="7" t="n">
        <f aca="false">IF(I1032=1,D1032*F1032,0)</f>
        <v>10.5</v>
      </c>
      <c r="K1032" s="7" t="n">
        <f aca="false">YEAR(E1032)*100+MONTH(E1032)</f>
        <v>201109</v>
      </c>
      <c r="L1032" s="7" t="n">
        <f aca="false">IF(AND(A1032&lt;&gt;A1031,LEFT(A1032,1)&lt;&gt;"C"),1,0)</f>
        <v>0</v>
      </c>
    </row>
    <row r="1033" customFormat="false" ht="15" hidden="false" customHeight="false" outlineLevel="0" collapsed="false">
      <c r="A1033" s="0" t="s">
        <v>1101</v>
      </c>
      <c r="B1033" s="0" t="s">
        <v>1144</v>
      </c>
      <c r="C1033" s="0" t="s">
        <v>1145</v>
      </c>
      <c r="D1033" s="0" t="n">
        <v>5</v>
      </c>
      <c r="E1033" s="6" t="n">
        <v>40805.5006944445</v>
      </c>
      <c r="F1033" s="0" t="n">
        <v>2.1</v>
      </c>
      <c r="G1033" s="0" t="n">
        <v>12640</v>
      </c>
      <c r="H1033" s="0" t="s">
        <v>43</v>
      </c>
      <c r="I1033" s="7" t="n">
        <f aca="false">IF(AND(LEFT(A1033,1)&lt;&gt;"C",D1033&gt;0,F1033&gt;0),1,0)</f>
        <v>1</v>
      </c>
      <c r="J1033" s="7" t="n">
        <f aca="false">IF(I1033=1,D1033*F1033,0)</f>
        <v>10.5</v>
      </c>
      <c r="K1033" s="7" t="n">
        <f aca="false">YEAR(E1033)*100+MONTH(E1033)</f>
        <v>201109</v>
      </c>
      <c r="L1033" s="7" t="n">
        <f aca="false">IF(AND(A1033&lt;&gt;A1032,LEFT(A1033,1)&lt;&gt;"C"),1,0)</f>
        <v>0</v>
      </c>
    </row>
    <row r="1034" customFormat="false" ht="15" hidden="false" customHeight="false" outlineLevel="0" collapsed="false">
      <c r="A1034" s="0" t="s">
        <v>1101</v>
      </c>
      <c r="B1034" s="0" t="s">
        <v>1146</v>
      </c>
      <c r="C1034" s="0" t="s">
        <v>1147</v>
      </c>
      <c r="D1034" s="0" t="n">
        <v>10</v>
      </c>
      <c r="E1034" s="6" t="n">
        <v>40805.5006944445</v>
      </c>
      <c r="F1034" s="0" t="n">
        <v>2.08</v>
      </c>
      <c r="G1034" s="0" t="n">
        <v>12640</v>
      </c>
      <c r="H1034" s="0" t="s">
        <v>43</v>
      </c>
      <c r="I1034" s="7" t="n">
        <f aca="false">IF(AND(LEFT(A1034,1)&lt;&gt;"C",D1034&gt;0,F1034&gt;0),1,0)</f>
        <v>1</v>
      </c>
      <c r="J1034" s="7" t="n">
        <f aca="false">IF(I1034=1,D1034*F1034,0)</f>
        <v>20.8</v>
      </c>
      <c r="K1034" s="7" t="n">
        <f aca="false">YEAR(E1034)*100+MONTH(E1034)</f>
        <v>201109</v>
      </c>
      <c r="L1034" s="7" t="n">
        <f aca="false">IF(AND(A1034&lt;&gt;A1033,LEFT(A1034,1)&lt;&gt;"C"),1,0)</f>
        <v>0</v>
      </c>
    </row>
    <row r="1035" customFormat="false" ht="15" hidden="false" customHeight="false" outlineLevel="0" collapsed="false">
      <c r="A1035" s="0" t="s">
        <v>1101</v>
      </c>
      <c r="B1035" s="0" t="s">
        <v>465</v>
      </c>
      <c r="C1035" s="0" t="s">
        <v>466</v>
      </c>
      <c r="D1035" s="0" t="n">
        <v>2</v>
      </c>
      <c r="E1035" s="6" t="n">
        <v>40805.5006944445</v>
      </c>
      <c r="F1035" s="0" t="n">
        <v>7.95</v>
      </c>
      <c r="G1035" s="0" t="n">
        <v>12640</v>
      </c>
      <c r="H1035" s="0" t="s">
        <v>43</v>
      </c>
      <c r="I1035" s="7" t="n">
        <f aca="false">IF(AND(LEFT(A1035,1)&lt;&gt;"C",D1035&gt;0,F1035&gt;0),1,0)</f>
        <v>1</v>
      </c>
      <c r="J1035" s="7" t="n">
        <f aca="false">IF(I1035=1,D1035*F1035,0)</f>
        <v>15.9</v>
      </c>
      <c r="K1035" s="7" t="n">
        <f aca="false">YEAR(E1035)*100+MONTH(E1035)</f>
        <v>201109</v>
      </c>
      <c r="L1035" s="7" t="n">
        <f aca="false">IF(AND(A1035&lt;&gt;A1034,LEFT(A1035,1)&lt;&gt;"C"),1,0)</f>
        <v>0</v>
      </c>
    </row>
    <row r="1036" customFormat="false" ht="15" hidden="false" customHeight="false" outlineLevel="0" collapsed="false">
      <c r="A1036" s="0" t="s">
        <v>1101</v>
      </c>
      <c r="B1036" s="0" t="s">
        <v>729</v>
      </c>
      <c r="C1036" s="0" t="s">
        <v>730</v>
      </c>
      <c r="D1036" s="0" t="n">
        <v>3</v>
      </c>
      <c r="E1036" s="6" t="n">
        <v>40805.5006944445</v>
      </c>
      <c r="F1036" s="0" t="n">
        <v>4.95</v>
      </c>
      <c r="G1036" s="0" t="n">
        <v>12640</v>
      </c>
      <c r="H1036" s="0" t="s">
        <v>43</v>
      </c>
      <c r="I1036" s="7" t="n">
        <f aca="false">IF(AND(LEFT(A1036,1)&lt;&gt;"C",D1036&gt;0,F1036&gt;0),1,0)</f>
        <v>1</v>
      </c>
      <c r="J1036" s="7" t="n">
        <f aca="false">IF(I1036=1,D1036*F1036,0)</f>
        <v>14.85</v>
      </c>
      <c r="K1036" s="7" t="n">
        <f aca="false">YEAR(E1036)*100+MONTH(E1036)</f>
        <v>201109</v>
      </c>
      <c r="L1036" s="7" t="n">
        <f aca="false">IF(AND(A1036&lt;&gt;A1035,LEFT(A1036,1)&lt;&gt;"C"),1,0)</f>
        <v>0</v>
      </c>
    </row>
    <row r="1037" customFormat="false" ht="15" hidden="false" customHeight="false" outlineLevel="0" collapsed="false">
      <c r="A1037" s="0" t="s">
        <v>1101</v>
      </c>
      <c r="B1037" s="0" t="s">
        <v>804</v>
      </c>
      <c r="C1037" s="0" t="s">
        <v>805</v>
      </c>
      <c r="D1037" s="0" t="n">
        <v>3</v>
      </c>
      <c r="E1037" s="6" t="n">
        <v>40805.5006944445</v>
      </c>
      <c r="F1037" s="0" t="n">
        <v>4.95</v>
      </c>
      <c r="G1037" s="0" t="n">
        <v>12640</v>
      </c>
      <c r="H1037" s="0" t="s">
        <v>43</v>
      </c>
      <c r="I1037" s="7" t="n">
        <f aca="false">IF(AND(LEFT(A1037,1)&lt;&gt;"C",D1037&gt;0,F1037&gt;0),1,0)</f>
        <v>1</v>
      </c>
      <c r="J1037" s="7" t="n">
        <f aca="false">IF(I1037=1,D1037*F1037,0)</f>
        <v>14.85</v>
      </c>
      <c r="K1037" s="7" t="n">
        <f aca="false">YEAR(E1037)*100+MONTH(E1037)</f>
        <v>201109</v>
      </c>
      <c r="L1037" s="7" t="n">
        <f aca="false">IF(AND(A1037&lt;&gt;A1036,LEFT(A1037,1)&lt;&gt;"C"),1,0)</f>
        <v>0</v>
      </c>
    </row>
    <row r="1038" customFormat="false" ht="15" hidden="false" customHeight="false" outlineLevel="0" collapsed="false">
      <c r="A1038" s="0" t="s">
        <v>1101</v>
      </c>
      <c r="B1038" s="0" t="s">
        <v>84</v>
      </c>
      <c r="C1038" s="0" t="s">
        <v>85</v>
      </c>
      <c r="D1038" s="0" t="n">
        <v>5</v>
      </c>
      <c r="E1038" s="6" t="n">
        <v>40805.5006944445</v>
      </c>
      <c r="F1038" s="0" t="n">
        <v>18</v>
      </c>
      <c r="G1038" s="0" t="n">
        <v>12640</v>
      </c>
      <c r="H1038" s="0" t="s">
        <v>43</v>
      </c>
      <c r="I1038" s="7" t="n">
        <f aca="false">IF(AND(LEFT(A1038,1)&lt;&gt;"C",D1038&gt;0,F1038&gt;0),1,0)</f>
        <v>1</v>
      </c>
      <c r="J1038" s="7" t="n">
        <f aca="false">IF(I1038=1,D1038*F1038,0)</f>
        <v>90</v>
      </c>
      <c r="K1038" s="7" t="n">
        <f aca="false">YEAR(E1038)*100+MONTH(E1038)</f>
        <v>201109</v>
      </c>
      <c r="L1038" s="7" t="n">
        <f aca="false">IF(AND(A1038&lt;&gt;A1037,LEFT(A1038,1)&lt;&gt;"C"),1,0)</f>
        <v>0</v>
      </c>
    </row>
    <row r="1039" customFormat="false" ht="15" hidden="false" customHeight="false" outlineLevel="0" collapsed="false">
      <c r="A1039" s="0" t="s">
        <v>1148</v>
      </c>
      <c r="B1039" s="0" t="s">
        <v>1149</v>
      </c>
      <c r="C1039" s="0" t="s">
        <v>1150</v>
      </c>
      <c r="D1039" s="0" t="n">
        <v>6</v>
      </c>
      <c r="E1039" s="6" t="n">
        <v>40805.5131944444</v>
      </c>
      <c r="F1039" s="0" t="n">
        <v>5.95</v>
      </c>
      <c r="G1039" s="0" t="n">
        <v>12682</v>
      </c>
      <c r="H1039" s="0" t="s">
        <v>43</v>
      </c>
      <c r="I1039" s="7" t="n">
        <f aca="false">IF(AND(LEFT(A1039,1)&lt;&gt;"C",D1039&gt;0,F1039&gt;0),1,0)</f>
        <v>1</v>
      </c>
      <c r="J1039" s="7" t="n">
        <f aca="false">IF(I1039=1,D1039*F1039,0)</f>
        <v>35.7</v>
      </c>
      <c r="K1039" s="7" t="n">
        <f aca="false">YEAR(E1039)*100+MONTH(E1039)</f>
        <v>201109</v>
      </c>
      <c r="L1039" s="7" t="n">
        <f aca="false">IF(AND(A1039&lt;&gt;A1038,LEFT(A1039,1)&lt;&gt;"C"),1,0)</f>
        <v>1</v>
      </c>
    </row>
    <row r="1040" customFormat="false" ht="15" hidden="false" customHeight="false" outlineLevel="0" collapsed="false">
      <c r="A1040" s="0" t="s">
        <v>1148</v>
      </c>
      <c r="B1040" s="0" t="s">
        <v>1151</v>
      </c>
      <c r="C1040" s="0" t="s">
        <v>1152</v>
      </c>
      <c r="D1040" s="0" t="n">
        <v>2</v>
      </c>
      <c r="E1040" s="6" t="n">
        <v>40805.5131944444</v>
      </c>
      <c r="F1040" s="0" t="n">
        <v>12.5</v>
      </c>
      <c r="G1040" s="0" t="n">
        <v>12682</v>
      </c>
      <c r="H1040" s="0" t="s">
        <v>43</v>
      </c>
      <c r="I1040" s="7" t="n">
        <f aca="false">IF(AND(LEFT(A1040,1)&lt;&gt;"C",D1040&gt;0,F1040&gt;0),1,0)</f>
        <v>1</v>
      </c>
      <c r="J1040" s="7" t="n">
        <f aca="false">IF(I1040=1,D1040*F1040,0)</f>
        <v>25</v>
      </c>
      <c r="K1040" s="7" t="n">
        <f aca="false">YEAR(E1040)*100+MONTH(E1040)</f>
        <v>201109</v>
      </c>
      <c r="L1040" s="7" t="n">
        <f aca="false">IF(AND(A1040&lt;&gt;A1039,LEFT(A1040,1)&lt;&gt;"C"),1,0)</f>
        <v>0</v>
      </c>
    </row>
    <row r="1041" customFormat="false" ht="15" hidden="false" customHeight="false" outlineLevel="0" collapsed="false">
      <c r="A1041" s="0" t="s">
        <v>1148</v>
      </c>
      <c r="B1041" s="0" t="s">
        <v>877</v>
      </c>
      <c r="C1041" s="0" t="s">
        <v>878</v>
      </c>
      <c r="D1041" s="0" t="n">
        <v>12</v>
      </c>
      <c r="E1041" s="6" t="n">
        <v>40805.5131944444</v>
      </c>
      <c r="F1041" s="0" t="n">
        <v>0.83</v>
      </c>
      <c r="G1041" s="0" t="n">
        <v>12682</v>
      </c>
      <c r="H1041" s="0" t="s">
        <v>43</v>
      </c>
      <c r="I1041" s="7" t="n">
        <f aca="false">IF(AND(LEFT(A1041,1)&lt;&gt;"C",D1041&gt;0,F1041&gt;0),1,0)</f>
        <v>1</v>
      </c>
      <c r="J1041" s="7" t="n">
        <f aca="false">IF(I1041=1,D1041*F1041,0)</f>
        <v>9.96</v>
      </c>
      <c r="K1041" s="7" t="n">
        <f aca="false">YEAR(E1041)*100+MONTH(E1041)</f>
        <v>201109</v>
      </c>
      <c r="L1041" s="7" t="n">
        <f aca="false">IF(AND(A1041&lt;&gt;A1040,LEFT(A1041,1)&lt;&gt;"C"),1,0)</f>
        <v>0</v>
      </c>
    </row>
    <row r="1042" customFormat="false" ht="15" hidden="false" customHeight="false" outlineLevel="0" collapsed="false">
      <c r="A1042" s="0" t="s">
        <v>1148</v>
      </c>
      <c r="B1042" s="0" t="s">
        <v>1153</v>
      </c>
      <c r="C1042" s="0" t="s">
        <v>1154</v>
      </c>
      <c r="D1042" s="0" t="n">
        <v>2</v>
      </c>
      <c r="E1042" s="6" t="n">
        <v>40805.5131944444</v>
      </c>
      <c r="F1042" s="0" t="n">
        <v>9.95</v>
      </c>
      <c r="G1042" s="0" t="n">
        <v>12682</v>
      </c>
      <c r="H1042" s="0" t="s">
        <v>43</v>
      </c>
      <c r="I1042" s="7" t="n">
        <f aca="false">IF(AND(LEFT(A1042,1)&lt;&gt;"C",D1042&gt;0,F1042&gt;0),1,0)</f>
        <v>1</v>
      </c>
      <c r="J1042" s="7" t="n">
        <f aca="false">IF(I1042=1,D1042*F1042,0)</f>
        <v>19.9</v>
      </c>
      <c r="K1042" s="7" t="n">
        <f aca="false">YEAR(E1042)*100+MONTH(E1042)</f>
        <v>201109</v>
      </c>
      <c r="L1042" s="7" t="n">
        <f aca="false">IF(AND(A1042&lt;&gt;A1041,LEFT(A1042,1)&lt;&gt;"C"),1,0)</f>
        <v>0</v>
      </c>
    </row>
    <row r="1043" customFormat="false" ht="15" hidden="false" customHeight="false" outlineLevel="0" collapsed="false">
      <c r="A1043" s="0" t="s">
        <v>1148</v>
      </c>
      <c r="B1043" s="0" t="s">
        <v>1155</v>
      </c>
      <c r="C1043" s="0" t="s">
        <v>1156</v>
      </c>
      <c r="D1043" s="0" t="n">
        <v>6</v>
      </c>
      <c r="E1043" s="6" t="n">
        <v>40805.5131944444</v>
      </c>
      <c r="F1043" s="0" t="n">
        <v>4.95</v>
      </c>
      <c r="G1043" s="0" t="n">
        <v>12682</v>
      </c>
      <c r="H1043" s="0" t="s">
        <v>43</v>
      </c>
      <c r="I1043" s="7" t="n">
        <f aca="false">IF(AND(LEFT(A1043,1)&lt;&gt;"C",D1043&gt;0,F1043&gt;0),1,0)</f>
        <v>1</v>
      </c>
      <c r="J1043" s="7" t="n">
        <f aca="false">IF(I1043=1,D1043*F1043,0)</f>
        <v>29.7</v>
      </c>
      <c r="K1043" s="7" t="n">
        <f aca="false">YEAR(E1043)*100+MONTH(E1043)</f>
        <v>201109</v>
      </c>
      <c r="L1043" s="7" t="n">
        <f aca="false">IF(AND(A1043&lt;&gt;A1042,LEFT(A1043,1)&lt;&gt;"C"),1,0)</f>
        <v>0</v>
      </c>
    </row>
    <row r="1044" customFormat="false" ht="15" hidden="false" customHeight="false" outlineLevel="0" collapsed="false">
      <c r="A1044" s="0" t="s">
        <v>1148</v>
      </c>
      <c r="B1044" s="0" t="s">
        <v>80</v>
      </c>
      <c r="C1044" s="0" t="s">
        <v>81</v>
      </c>
      <c r="D1044" s="0" t="n">
        <v>20</v>
      </c>
      <c r="E1044" s="6" t="n">
        <v>40805.5131944444</v>
      </c>
      <c r="F1044" s="0" t="n">
        <v>0.83</v>
      </c>
      <c r="G1044" s="0" t="n">
        <v>12682</v>
      </c>
      <c r="H1044" s="0" t="s">
        <v>43</v>
      </c>
      <c r="I1044" s="7" t="n">
        <f aca="false">IF(AND(LEFT(A1044,1)&lt;&gt;"C",D1044&gt;0,F1044&gt;0),1,0)</f>
        <v>1</v>
      </c>
      <c r="J1044" s="7" t="n">
        <f aca="false">IF(I1044=1,D1044*F1044,0)</f>
        <v>16.6</v>
      </c>
      <c r="K1044" s="7" t="n">
        <f aca="false">YEAR(E1044)*100+MONTH(E1044)</f>
        <v>201109</v>
      </c>
      <c r="L1044" s="7" t="n">
        <f aca="false">IF(AND(A1044&lt;&gt;A1043,LEFT(A1044,1)&lt;&gt;"C"),1,0)</f>
        <v>0</v>
      </c>
    </row>
    <row r="1045" customFormat="false" ht="15" hidden="false" customHeight="false" outlineLevel="0" collapsed="false">
      <c r="A1045" s="0" t="s">
        <v>1148</v>
      </c>
      <c r="B1045" s="0" t="s">
        <v>68</v>
      </c>
      <c r="C1045" s="0" t="s">
        <v>69</v>
      </c>
      <c r="D1045" s="0" t="n">
        <v>20</v>
      </c>
      <c r="E1045" s="6" t="n">
        <v>40805.5131944444</v>
      </c>
      <c r="F1045" s="0" t="n">
        <v>1.65</v>
      </c>
      <c r="G1045" s="0" t="n">
        <v>12682</v>
      </c>
      <c r="H1045" s="0" t="s">
        <v>43</v>
      </c>
      <c r="I1045" s="7" t="n">
        <f aca="false">IF(AND(LEFT(A1045,1)&lt;&gt;"C",D1045&gt;0,F1045&gt;0),1,0)</f>
        <v>1</v>
      </c>
      <c r="J1045" s="7" t="n">
        <f aca="false">IF(I1045=1,D1045*F1045,0)</f>
        <v>33</v>
      </c>
      <c r="K1045" s="7" t="n">
        <f aca="false">YEAR(E1045)*100+MONTH(E1045)</f>
        <v>201109</v>
      </c>
      <c r="L1045" s="7" t="n">
        <f aca="false">IF(AND(A1045&lt;&gt;A1044,LEFT(A1045,1)&lt;&gt;"C"),1,0)</f>
        <v>0</v>
      </c>
    </row>
    <row r="1046" customFormat="false" ht="15" hidden="false" customHeight="false" outlineLevel="0" collapsed="false">
      <c r="A1046" s="0" t="s">
        <v>1148</v>
      </c>
      <c r="B1046" s="0" t="s">
        <v>70</v>
      </c>
      <c r="C1046" s="0" t="s">
        <v>71</v>
      </c>
      <c r="D1046" s="0" t="n">
        <v>10</v>
      </c>
      <c r="E1046" s="6" t="n">
        <v>40805.5131944444</v>
      </c>
      <c r="F1046" s="0" t="n">
        <v>1.65</v>
      </c>
      <c r="G1046" s="0" t="n">
        <v>12682</v>
      </c>
      <c r="H1046" s="0" t="s">
        <v>43</v>
      </c>
      <c r="I1046" s="7" t="n">
        <f aca="false">IF(AND(LEFT(A1046,1)&lt;&gt;"C",D1046&gt;0,F1046&gt;0),1,0)</f>
        <v>1</v>
      </c>
      <c r="J1046" s="7" t="n">
        <f aca="false">IF(I1046=1,D1046*F1046,0)</f>
        <v>16.5</v>
      </c>
      <c r="K1046" s="7" t="n">
        <f aca="false">YEAR(E1046)*100+MONTH(E1046)</f>
        <v>201109</v>
      </c>
      <c r="L1046" s="7" t="n">
        <f aca="false">IF(AND(A1046&lt;&gt;A1045,LEFT(A1046,1)&lt;&gt;"C"),1,0)</f>
        <v>0</v>
      </c>
    </row>
    <row r="1047" customFormat="false" ht="15" hidden="false" customHeight="false" outlineLevel="0" collapsed="false">
      <c r="A1047" s="0" t="s">
        <v>1148</v>
      </c>
      <c r="B1047" s="0" t="s">
        <v>689</v>
      </c>
      <c r="C1047" s="0" t="s">
        <v>690</v>
      </c>
      <c r="D1047" s="0" t="n">
        <v>8</v>
      </c>
      <c r="E1047" s="6" t="n">
        <v>40805.5131944444</v>
      </c>
      <c r="F1047" s="0" t="n">
        <v>1.25</v>
      </c>
      <c r="G1047" s="0" t="n">
        <v>12682</v>
      </c>
      <c r="H1047" s="0" t="s">
        <v>43</v>
      </c>
      <c r="I1047" s="7" t="n">
        <f aca="false">IF(AND(LEFT(A1047,1)&lt;&gt;"C",D1047&gt;0,F1047&gt;0),1,0)</f>
        <v>1</v>
      </c>
      <c r="J1047" s="7" t="n">
        <f aca="false">IF(I1047=1,D1047*F1047,0)</f>
        <v>10</v>
      </c>
      <c r="K1047" s="7" t="n">
        <f aca="false">YEAR(E1047)*100+MONTH(E1047)</f>
        <v>201109</v>
      </c>
      <c r="L1047" s="7" t="n">
        <f aca="false">IF(AND(A1047&lt;&gt;A1046,LEFT(A1047,1)&lt;&gt;"C"),1,0)</f>
        <v>0</v>
      </c>
    </row>
    <row r="1048" customFormat="false" ht="15" hidden="false" customHeight="false" outlineLevel="0" collapsed="false">
      <c r="A1048" s="0" t="s">
        <v>1148</v>
      </c>
      <c r="B1048" s="0" t="s">
        <v>463</v>
      </c>
      <c r="C1048" s="0" t="s">
        <v>464</v>
      </c>
      <c r="D1048" s="0" t="n">
        <v>4</v>
      </c>
      <c r="E1048" s="6" t="n">
        <v>40805.5131944444</v>
      </c>
      <c r="F1048" s="0" t="n">
        <v>7.95</v>
      </c>
      <c r="G1048" s="0" t="n">
        <v>12682</v>
      </c>
      <c r="H1048" s="0" t="s">
        <v>43</v>
      </c>
      <c r="I1048" s="7" t="n">
        <f aca="false">IF(AND(LEFT(A1048,1)&lt;&gt;"C",D1048&gt;0,F1048&gt;0),1,0)</f>
        <v>1</v>
      </c>
      <c r="J1048" s="7" t="n">
        <f aca="false">IF(I1048=1,D1048*F1048,0)</f>
        <v>31.8</v>
      </c>
      <c r="K1048" s="7" t="n">
        <f aca="false">YEAR(E1048)*100+MONTH(E1048)</f>
        <v>201109</v>
      </c>
      <c r="L1048" s="7" t="n">
        <f aca="false">IF(AND(A1048&lt;&gt;A1047,LEFT(A1048,1)&lt;&gt;"C"),1,0)</f>
        <v>0</v>
      </c>
    </row>
    <row r="1049" customFormat="false" ht="15" hidden="false" customHeight="false" outlineLevel="0" collapsed="false">
      <c r="A1049" s="0" t="s">
        <v>1148</v>
      </c>
      <c r="B1049" s="0" t="s">
        <v>769</v>
      </c>
      <c r="C1049" s="0" t="s">
        <v>770</v>
      </c>
      <c r="D1049" s="0" t="n">
        <v>12</v>
      </c>
      <c r="E1049" s="6" t="n">
        <v>40805.5131944444</v>
      </c>
      <c r="F1049" s="0" t="n">
        <v>1.45</v>
      </c>
      <c r="G1049" s="0" t="n">
        <v>12682</v>
      </c>
      <c r="H1049" s="0" t="s">
        <v>43</v>
      </c>
      <c r="I1049" s="7" t="n">
        <f aca="false">IF(AND(LEFT(A1049,1)&lt;&gt;"C",D1049&gt;0,F1049&gt;0),1,0)</f>
        <v>1</v>
      </c>
      <c r="J1049" s="7" t="n">
        <f aca="false">IF(I1049=1,D1049*F1049,0)</f>
        <v>17.4</v>
      </c>
      <c r="K1049" s="7" t="n">
        <f aca="false">YEAR(E1049)*100+MONTH(E1049)</f>
        <v>201109</v>
      </c>
      <c r="L1049" s="7" t="n">
        <f aca="false">IF(AND(A1049&lt;&gt;A1048,LEFT(A1049,1)&lt;&gt;"C"),1,0)</f>
        <v>0</v>
      </c>
    </row>
    <row r="1050" customFormat="false" ht="15" hidden="false" customHeight="false" outlineLevel="0" collapsed="false">
      <c r="A1050" s="0" t="s">
        <v>1148</v>
      </c>
      <c r="B1050" s="0" t="s">
        <v>465</v>
      </c>
      <c r="C1050" s="0" t="s">
        <v>466</v>
      </c>
      <c r="D1050" s="0" t="n">
        <v>2</v>
      </c>
      <c r="E1050" s="6" t="n">
        <v>40805.5131944444</v>
      </c>
      <c r="F1050" s="0" t="n">
        <v>7.95</v>
      </c>
      <c r="G1050" s="0" t="n">
        <v>12682</v>
      </c>
      <c r="H1050" s="0" t="s">
        <v>43</v>
      </c>
      <c r="I1050" s="7" t="n">
        <f aca="false">IF(AND(LEFT(A1050,1)&lt;&gt;"C",D1050&gt;0,F1050&gt;0),1,0)</f>
        <v>1</v>
      </c>
      <c r="J1050" s="7" t="n">
        <f aca="false">IF(I1050=1,D1050*F1050,0)</f>
        <v>15.9</v>
      </c>
      <c r="K1050" s="7" t="n">
        <f aca="false">YEAR(E1050)*100+MONTH(E1050)</f>
        <v>201109</v>
      </c>
      <c r="L1050" s="7" t="n">
        <f aca="false">IF(AND(A1050&lt;&gt;A1049,LEFT(A1050,1)&lt;&gt;"C"),1,0)</f>
        <v>0</v>
      </c>
    </row>
    <row r="1051" customFormat="false" ht="15" hidden="false" customHeight="false" outlineLevel="0" collapsed="false">
      <c r="A1051" s="0" t="s">
        <v>1148</v>
      </c>
      <c r="B1051" s="0" t="s">
        <v>439</v>
      </c>
      <c r="C1051" s="0" t="s">
        <v>440</v>
      </c>
      <c r="D1051" s="0" t="n">
        <v>3</v>
      </c>
      <c r="E1051" s="6" t="n">
        <v>40805.5131944444</v>
      </c>
      <c r="F1051" s="0" t="n">
        <v>5.95</v>
      </c>
      <c r="G1051" s="0" t="n">
        <v>12682</v>
      </c>
      <c r="H1051" s="0" t="s">
        <v>43</v>
      </c>
      <c r="I1051" s="7" t="n">
        <f aca="false">IF(AND(LEFT(A1051,1)&lt;&gt;"C",D1051&gt;0,F1051&gt;0),1,0)</f>
        <v>1</v>
      </c>
      <c r="J1051" s="7" t="n">
        <f aca="false">IF(I1051=1,D1051*F1051,0)</f>
        <v>17.85</v>
      </c>
      <c r="K1051" s="7" t="n">
        <f aca="false">YEAR(E1051)*100+MONTH(E1051)</f>
        <v>201109</v>
      </c>
      <c r="L1051" s="7" t="n">
        <f aca="false">IF(AND(A1051&lt;&gt;A1050,LEFT(A1051,1)&lt;&gt;"C"),1,0)</f>
        <v>0</v>
      </c>
    </row>
    <row r="1052" customFormat="false" ht="15" hidden="false" customHeight="false" outlineLevel="0" collapsed="false">
      <c r="A1052" s="0" t="s">
        <v>1148</v>
      </c>
      <c r="B1052" s="0" t="s">
        <v>1157</v>
      </c>
      <c r="C1052" s="0" t="s">
        <v>1158</v>
      </c>
      <c r="D1052" s="0" t="n">
        <v>24</v>
      </c>
      <c r="E1052" s="6" t="n">
        <v>40805.5131944444</v>
      </c>
      <c r="F1052" s="0" t="n">
        <v>0.42</v>
      </c>
      <c r="G1052" s="0" t="n">
        <v>12682</v>
      </c>
      <c r="H1052" s="0" t="s">
        <v>43</v>
      </c>
      <c r="I1052" s="7" t="n">
        <f aca="false">IF(AND(LEFT(A1052,1)&lt;&gt;"C",D1052&gt;0,F1052&gt;0),1,0)</f>
        <v>1</v>
      </c>
      <c r="J1052" s="7" t="n">
        <f aca="false">IF(I1052=1,D1052*F1052,0)</f>
        <v>10.08</v>
      </c>
      <c r="K1052" s="7" t="n">
        <f aca="false">YEAR(E1052)*100+MONTH(E1052)</f>
        <v>201109</v>
      </c>
      <c r="L1052" s="7" t="n">
        <f aca="false">IF(AND(A1052&lt;&gt;A1051,LEFT(A1052,1)&lt;&gt;"C"),1,0)</f>
        <v>0</v>
      </c>
    </row>
    <row r="1053" customFormat="false" ht="15" hidden="false" customHeight="false" outlineLevel="0" collapsed="false">
      <c r="A1053" s="0" t="s">
        <v>1148</v>
      </c>
      <c r="B1053" s="0" t="s">
        <v>1159</v>
      </c>
      <c r="C1053" s="0" t="s">
        <v>1160</v>
      </c>
      <c r="D1053" s="0" t="n">
        <v>24</v>
      </c>
      <c r="E1053" s="6" t="n">
        <v>40805.5131944444</v>
      </c>
      <c r="F1053" s="0" t="n">
        <v>0.42</v>
      </c>
      <c r="G1053" s="0" t="n">
        <v>12682</v>
      </c>
      <c r="H1053" s="0" t="s">
        <v>43</v>
      </c>
      <c r="I1053" s="7" t="n">
        <f aca="false">IF(AND(LEFT(A1053,1)&lt;&gt;"C",D1053&gt;0,F1053&gt;0),1,0)</f>
        <v>1</v>
      </c>
      <c r="J1053" s="7" t="n">
        <f aca="false">IF(I1053=1,D1053*F1053,0)</f>
        <v>10.08</v>
      </c>
      <c r="K1053" s="7" t="n">
        <f aca="false">YEAR(E1053)*100+MONTH(E1053)</f>
        <v>201109</v>
      </c>
      <c r="L1053" s="7" t="n">
        <f aca="false">IF(AND(A1053&lt;&gt;A1052,LEFT(A1053,1)&lt;&gt;"C"),1,0)</f>
        <v>0</v>
      </c>
    </row>
    <row r="1054" customFormat="false" ht="15" hidden="false" customHeight="false" outlineLevel="0" collapsed="false">
      <c r="A1054" s="0" t="s">
        <v>1148</v>
      </c>
      <c r="B1054" s="0" t="s">
        <v>606</v>
      </c>
      <c r="C1054" s="0" t="s">
        <v>607</v>
      </c>
      <c r="D1054" s="0" t="n">
        <v>12</v>
      </c>
      <c r="E1054" s="6" t="n">
        <v>40805.5131944444</v>
      </c>
      <c r="F1054" s="0" t="n">
        <v>0.42</v>
      </c>
      <c r="G1054" s="0" t="n">
        <v>12682</v>
      </c>
      <c r="H1054" s="0" t="s">
        <v>43</v>
      </c>
      <c r="I1054" s="7" t="n">
        <f aca="false">IF(AND(LEFT(A1054,1)&lt;&gt;"C",D1054&gt;0,F1054&gt;0),1,0)</f>
        <v>1</v>
      </c>
      <c r="J1054" s="7" t="n">
        <f aca="false">IF(I1054=1,D1054*F1054,0)</f>
        <v>5.04</v>
      </c>
      <c r="K1054" s="7" t="n">
        <f aca="false">YEAR(E1054)*100+MONTH(E1054)</f>
        <v>201109</v>
      </c>
      <c r="L1054" s="7" t="n">
        <f aca="false">IF(AND(A1054&lt;&gt;A1053,LEFT(A1054,1)&lt;&gt;"C"),1,0)</f>
        <v>0</v>
      </c>
    </row>
    <row r="1055" customFormat="false" ht="15" hidden="false" customHeight="false" outlineLevel="0" collapsed="false">
      <c r="A1055" s="0" t="s">
        <v>1148</v>
      </c>
      <c r="B1055" s="0" t="s">
        <v>567</v>
      </c>
      <c r="C1055" s="0" t="s">
        <v>568</v>
      </c>
      <c r="D1055" s="0" t="n">
        <v>10</v>
      </c>
      <c r="E1055" s="6" t="n">
        <v>40805.5131944444</v>
      </c>
      <c r="F1055" s="0" t="n">
        <v>1.65</v>
      </c>
      <c r="G1055" s="0" t="n">
        <v>12682</v>
      </c>
      <c r="H1055" s="0" t="s">
        <v>43</v>
      </c>
      <c r="I1055" s="7" t="n">
        <f aca="false">IF(AND(LEFT(A1055,1)&lt;&gt;"C",D1055&gt;0,F1055&gt;0),1,0)</f>
        <v>1</v>
      </c>
      <c r="J1055" s="7" t="n">
        <f aca="false">IF(I1055=1,D1055*F1055,0)</f>
        <v>16.5</v>
      </c>
      <c r="K1055" s="7" t="n">
        <f aca="false">YEAR(E1055)*100+MONTH(E1055)</f>
        <v>201109</v>
      </c>
      <c r="L1055" s="7" t="n">
        <f aca="false">IF(AND(A1055&lt;&gt;A1054,LEFT(A1055,1)&lt;&gt;"C"),1,0)</f>
        <v>0</v>
      </c>
    </row>
    <row r="1056" customFormat="false" ht="15" hidden="false" customHeight="false" outlineLevel="0" collapsed="false">
      <c r="A1056" s="0" t="s">
        <v>1148</v>
      </c>
      <c r="B1056" s="0" t="s">
        <v>84</v>
      </c>
      <c r="C1056" s="0" t="s">
        <v>85</v>
      </c>
      <c r="D1056" s="0" t="n">
        <v>1</v>
      </c>
      <c r="E1056" s="6" t="n">
        <v>40805.5131944444</v>
      </c>
      <c r="F1056" s="0" t="n">
        <v>18</v>
      </c>
      <c r="G1056" s="0" t="n">
        <v>12682</v>
      </c>
      <c r="H1056" s="0" t="s">
        <v>43</v>
      </c>
      <c r="I1056" s="7" t="n">
        <f aca="false">IF(AND(LEFT(A1056,1)&lt;&gt;"C",D1056&gt;0,F1056&gt;0),1,0)</f>
        <v>1</v>
      </c>
      <c r="J1056" s="7" t="n">
        <f aca="false">IF(I1056=1,D1056*F1056,0)</f>
        <v>18</v>
      </c>
      <c r="K1056" s="7" t="n">
        <f aca="false">YEAR(E1056)*100+MONTH(E1056)</f>
        <v>201109</v>
      </c>
      <c r="L1056" s="7" t="n">
        <f aca="false">IF(AND(A1056&lt;&gt;A1055,LEFT(A1056,1)&lt;&gt;"C"),1,0)</f>
        <v>0</v>
      </c>
    </row>
    <row r="1057" customFormat="false" ht="15" hidden="false" customHeight="false" outlineLevel="0" collapsed="false">
      <c r="A1057" s="0" t="s">
        <v>1161</v>
      </c>
      <c r="B1057" s="0" t="s">
        <v>754</v>
      </c>
      <c r="C1057" s="0" t="s">
        <v>755</v>
      </c>
      <c r="D1057" s="0" t="n">
        <v>96</v>
      </c>
      <c r="E1057" s="6" t="n">
        <v>40805.5201388889</v>
      </c>
      <c r="F1057" s="0" t="n">
        <v>1.85</v>
      </c>
      <c r="G1057" s="0" t="n">
        <v>12497</v>
      </c>
      <c r="H1057" s="0" t="s">
        <v>33</v>
      </c>
      <c r="I1057" s="7" t="n">
        <f aca="false">IF(AND(LEFT(A1057,1)&lt;&gt;"C",D1057&gt;0,F1057&gt;0),1,0)</f>
        <v>1</v>
      </c>
      <c r="J1057" s="7" t="n">
        <f aca="false">IF(I1057=1,D1057*F1057,0)</f>
        <v>177.6</v>
      </c>
      <c r="K1057" s="7" t="n">
        <f aca="false">YEAR(E1057)*100+MONTH(E1057)</f>
        <v>201109</v>
      </c>
      <c r="L1057" s="7" t="n">
        <f aca="false">IF(AND(A1057&lt;&gt;A1056,LEFT(A1057,1)&lt;&gt;"C"),1,0)</f>
        <v>1</v>
      </c>
    </row>
    <row r="1058" customFormat="false" ht="15" hidden="false" customHeight="false" outlineLevel="0" collapsed="false">
      <c r="A1058" s="0" t="s">
        <v>1161</v>
      </c>
      <c r="B1058" s="0" t="s">
        <v>752</v>
      </c>
      <c r="C1058" s="0" t="s">
        <v>753</v>
      </c>
      <c r="D1058" s="0" t="n">
        <v>48</v>
      </c>
      <c r="E1058" s="6" t="n">
        <v>40805.5201388889</v>
      </c>
      <c r="F1058" s="0" t="n">
        <v>1.45</v>
      </c>
      <c r="G1058" s="0" t="n">
        <v>12497</v>
      </c>
      <c r="H1058" s="0" t="s">
        <v>33</v>
      </c>
      <c r="I1058" s="7" t="n">
        <f aca="false">IF(AND(LEFT(A1058,1)&lt;&gt;"C",D1058&gt;0,F1058&gt;0),1,0)</f>
        <v>1</v>
      </c>
      <c r="J1058" s="7" t="n">
        <f aca="false">IF(I1058=1,D1058*F1058,0)</f>
        <v>69.6</v>
      </c>
      <c r="K1058" s="7" t="n">
        <f aca="false">YEAR(E1058)*100+MONTH(E1058)</f>
        <v>201109</v>
      </c>
      <c r="L1058" s="7" t="n">
        <f aca="false">IF(AND(A1058&lt;&gt;A1057,LEFT(A1058,1)&lt;&gt;"C"),1,0)</f>
        <v>0</v>
      </c>
    </row>
    <row r="1059" customFormat="false" ht="15" hidden="false" customHeight="false" outlineLevel="0" collapsed="false">
      <c r="A1059" s="0" t="s">
        <v>1161</v>
      </c>
      <c r="B1059" s="0" t="s">
        <v>1162</v>
      </c>
      <c r="C1059" s="0" t="s">
        <v>1163</v>
      </c>
      <c r="D1059" s="0" t="n">
        <v>75</v>
      </c>
      <c r="E1059" s="6" t="n">
        <v>40805.5201388889</v>
      </c>
      <c r="F1059" s="0" t="n">
        <v>0.42</v>
      </c>
      <c r="G1059" s="0" t="n">
        <v>12497</v>
      </c>
      <c r="H1059" s="0" t="s">
        <v>33</v>
      </c>
      <c r="I1059" s="7" t="n">
        <f aca="false">IF(AND(LEFT(A1059,1)&lt;&gt;"C",D1059&gt;0,F1059&gt;0),1,0)</f>
        <v>1</v>
      </c>
      <c r="J1059" s="7" t="n">
        <f aca="false">IF(I1059=1,D1059*F1059,0)</f>
        <v>31.5</v>
      </c>
      <c r="K1059" s="7" t="n">
        <f aca="false">YEAR(E1059)*100+MONTH(E1059)</f>
        <v>201109</v>
      </c>
      <c r="L1059" s="7" t="n">
        <f aca="false">IF(AND(A1059&lt;&gt;A1058,LEFT(A1059,1)&lt;&gt;"C"),1,0)</f>
        <v>0</v>
      </c>
    </row>
    <row r="1060" customFormat="false" ht="15" hidden="false" customHeight="false" outlineLevel="0" collapsed="false">
      <c r="A1060" s="0" t="s">
        <v>1161</v>
      </c>
      <c r="B1060" s="0" t="s">
        <v>1164</v>
      </c>
      <c r="C1060" s="0" t="s">
        <v>1165</v>
      </c>
      <c r="D1060" s="0" t="n">
        <v>75</v>
      </c>
      <c r="E1060" s="6" t="n">
        <v>40805.5201388889</v>
      </c>
      <c r="F1060" s="0" t="n">
        <v>0.42</v>
      </c>
      <c r="G1060" s="0" t="n">
        <v>12497</v>
      </c>
      <c r="H1060" s="0" t="s">
        <v>33</v>
      </c>
      <c r="I1060" s="7" t="n">
        <f aca="false">IF(AND(LEFT(A1060,1)&lt;&gt;"C",D1060&gt;0,F1060&gt;0),1,0)</f>
        <v>1</v>
      </c>
      <c r="J1060" s="7" t="n">
        <f aca="false">IF(I1060=1,D1060*F1060,0)</f>
        <v>31.5</v>
      </c>
      <c r="K1060" s="7" t="n">
        <f aca="false">YEAR(E1060)*100+MONTH(E1060)</f>
        <v>201109</v>
      </c>
      <c r="L1060" s="7" t="n">
        <f aca="false">IF(AND(A1060&lt;&gt;A1059,LEFT(A1060,1)&lt;&gt;"C"),1,0)</f>
        <v>0</v>
      </c>
    </row>
    <row r="1061" customFormat="false" ht="15" hidden="false" customHeight="false" outlineLevel="0" collapsed="false">
      <c r="A1061" s="0" t="s">
        <v>1161</v>
      </c>
      <c r="B1061" s="0" t="s">
        <v>939</v>
      </c>
      <c r="C1061" s="0" t="s">
        <v>940</v>
      </c>
      <c r="D1061" s="0" t="n">
        <v>24</v>
      </c>
      <c r="E1061" s="6" t="n">
        <v>40805.5201388889</v>
      </c>
      <c r="F1061" s="0" t="n">
        <v>0.85</v>
      </c>
      <c r="G1061" s="0" t="n">
        <v>12497</v>
      </c>
      <c r="H1061" s="0" t="s">
        <v>33</v>
      </c>
      <c r="I1061" s="7" t="n">
        <f aca="false">IF(AND(LEFT(A1061,1)&lt;&gt;"C",D1061&gt;0,F1061&gt;0),1,0)</f>
        <v>1</v>
      </c>
      <c r="J1061" s="7" t="n">
        <f aca="false">IF(I1061=1,D1061*F1061,0)</f>
        <v>20.4</v>
      </c>
      <c r="K1061" s="7" t="n">
        <f aca="false">YEAR(E1061)*100+MONTH(E1061)</f>
        <v>201109</v>
      </c>
      <c r="L1061" s="7" t="n">
        <f aca="false">IF(AND(A1061&lt;&gt;A1060,LEFT(A1061,1)&lt;&gt;"C"),1,0)</f>
        <v>0</v>
      </c>
    </row>
    <row r="1062" customFormat="false" ht="15" hidden="false" customHeight="false" outlineLevel="0" collapsed="false">
      <c r="A1062" s="0" t="s">
        <v>1161</v>
      </c>
      <c r="B1062" s="0" t="s">
        <v>1166</v>
      </c>
      <c r="C1062" s="0" t="s">
        <v>1167</v>
      </c>
      <c r="D1062" s="0" t="n">
        <v>125</v>
      </c>
      <c r="E1062" s="6" t="n">
        <v>40805.5201388889</v>
      </c>
      <c r="F1062" s="0" t="n">
        <v>0.42</v>
      </c>
      <c r="G1062" s="0" t="n">
        <v>12497</v>
      </c>
      <c r="H1062" s="0" t="s">
        <v>33</v>
      </c>
      <c r="I1062" s="7" t="n">
        <f aca="false">IF(AND(LEFT(A1062,1)&lt;&gt;"C",D1062&gt;0,F1062&gt;0),1,0)</f>
        <v>1</v>
      </c>
      <c r="J1062" s="7" t="n">
        <f aca="false">IF(I1062=1,D1062*F1062,0)</f>
        <v>52.5</v>
      </c>
      <c r="K1062" s="7" t="n">
        <f aca="false">YEAR(E1062)*100+MONTH(E1062)</f>
        <v>201109</v>
      </c>
      <c r="L1062" s="7" t="n">
        <f aca="false">IF(AND(A1062&lt;&gt;A1061,LEFT(A1062,1)&lt;&gt;"C"),1,0)</f>
        <v>0</v>
      </c>
    </row>
    <row r="1063" customFormat="false" ht="15" hidden="false" customHeight="false" outlineLevel="0" collapsed="false">
      <c r="A1063" s="0" t="s">
        <v>1161</v>
      </c>
      <c r="B1063" s="0" t="s">
        <v>1168</v>
      </c>
      <c r="C1063" s="0" t="s">
        <v>1169</v>
      </c>
      <c r="D1063" s="0" t="n">
        <v>125</v>
      </c>
      <c r="E1063" s="6" t="n">
        <v>40805.5201388889</v>
      </c>
      <c r="F1063" s="0" t="n">
        <v>0.42</v>
      </c>
      <c r="G1063" s="0" t="n">
        <v>12497</v>
      </c>
      <c r="H1063" s="0" t="s">
        <v>33</v>
      </c>
      <c r="I1063" s="7" t="n">
        <f aca="false">IF(AND(LEFT(A1063,1)&lt;&gt;"C",D1063&gt;0,F1063&gt;0),1,0)</f>
        <v>1</v>
      </c>
      <c r="J1063" s="7" t="n">
        <f aca="false">IF(I1063=1,D1063*F1063,0)</f>
        <v>52.5</v>
      </c>
      <c r="K1063" s="7" t="n">
        <f aca="false">YEAR(E1063)*100+MONTH(E1063)</f>
        <v>201109</v>
      </c>
      <c r="L1063" s="7" t="n">
        <f aca="false">IF(AND(A1063&lt;&gt;A1062,LEFT(A1063,1)&lt;&gt;"C"),1,0)</f>
        <v>0</v>
      </c>
    </row>
    <row r="1064" customFormat="false" ht="15" hidden="false" customHeight="false" outlineLevel="0" collapsed="false">
      <c r="A1064" s="0" t="s">
        <v>1161</v>
      </c>
      <c r="B1064" s="0" t="s">
        <v>501</v>
      </c>
      <c r="C1064" s="0" t="s">
        <v>502</v>
      </c>
      <c r="D1064" s="0" t="n">
        <v>125</v>
      </c>
      <c r="E1064" s="6" t="n">
        <v>40805.5201388889</v>
      </c>
      <c r="F1064" s="0" t="n">
        <v>0.42</v>
      </c>
      <c r="G1064" s="0" t="n">
        <v>12497</v>
      </c>
      <c r="H1064" s="0" t="s">
        <v>33</v>
      </c>
      <c r="I1064" s="7" t="n">
        <f aca="false">IF(AND(LEFT(A1064,1)&lt;&gt;"C",D1064&gt;0,F1064&gt;0),1,0)</f>
        <v>1</v>
      </c>
      <c r="J1064" s="7" t="n">
        <f aca="false">IF(I1064=1,D1064*F1064,0)</f>
        <v>52.5</v>
      </c>
      <c r="K1064" s="7" t="n">
        <f aca="false">YEAR(E1064)*100+MONTH(E1064)</f>
        <v>201109</v>
      </c>
      <c r="L1064" s="7" t="n">
        <f aca="false">IF(AND(A1064&lt;&gt;A1063,LEFT(A1064,1)&lt;&gt;"C"),1,0)</f>
        <v>0</v>
      </c>
    </row>
    <row r="1065" customFormat="false" ht="15" hidden="false" customHeight="false" outlineLevel="0" collapsed="false">
      <c r="A1065" s="0" t="s">
        <v>1161</v>
      </c>
      <c r="B1065" s="0" t="s">
        <v>973</v>
      </c>
      <c r="C1065" s="0" t="s">
        <v>974</v>
      </c>
      <c r="D1065" s="0" t="n">
        <v>125</v>
      </c>
      <c r="E1065" s="6" t="n">
        <v>40805.5201388889</v>
      </c>
      <c r="F1065" s="0" t="n">
        <v>0.42</v>
      </c>
      <c r="G1065" s="0" t="n">
        <v>12497</v>
      </c>
      <c r="H1065" s="0" t="s">
        <v>33</v>
      </c>
      <c r="I1065" s="7" t="n">
        <f aca="false">IF(AND(LEFT(A1065,1)&lt;&gt;"C",D1065&gt;0,F1065&gt;0),1,0)</f>
        <v>1</v>
      </c>
      <c r="J1065" s="7" t="n">
        <f aca="false">IF(I1065=1,D1065*F1065,0)</f>
        <v>52.5</v>
      </c>
      <c r="K1065" s="7" t="n">
        <f aca="false">YEAR(E1065)*100+MONTH(E1065)</f>
        <v>201109</v>
      </c>
      <c r="L1065" s="7" t="n">
        <f aca="false">IF(AND(A1065&lt;&gt;A1064,LEFT(A1065,1)&lt;&gt;"C"),1,0)</f>
        <v>0</v>
      </c>
    </row>
    <row r="1066" customFormat="false" ht="15" hidden="false" customHeight="false" outlineLevel="0" collapsed="false">
      <c r="A1066" s="0" t="s">
        <v>1161</v>
      </c>
      <c r="B1066" s="0" t="s">
        <v>1170</v>
      </c>
      <c r="C1066" s="0" t="s">
        <v>1171</v>
      </c>
      <c r="D1066" s="0" t="n">
        <v>125</v>
      </c>
      <c r="E1066" s="6" t="n">
        <v>40805.5201388889</v>
      </c>
      <c r="F1066" s="0" t="n">
        <v>0.42</v>
      </c>
      <c r="G1066" s="0" t="n">
        <v>12497</v>
      </c>
      <c r="H1066" s="0" t="s">
        <v>33</v>
      </c>
      <c r="I1066" s="7" t="n">
        <f aca="false">IF(AND(LEFT(A1066,1)&lt;&gt;"C",D1066&gt;0,F1066&gt;0),1,0)</f>
        <v>1</v>
      </c>
      <c r="J1066" s="7" t="n">
        <f aca="false">IF(I1066=1,D1066*F1066,0)</f>
        <v>52.5</v>
      </c>
      <c r="K1066" s="7" t="n">
        <f aca="false">YEAR(E1066)*100+MONTH(E1066)</f>
        <v>201109</v>
      </c>
      <c r="L1066" s="7" t="n">
        <f aca="false">IF(AND(A1066&lt;&gt;A1065,LEFT(A1066,1)&lt;&gt;"C"),1,0)</f>
        <v>0</v>
      </c>
    </row>
    <row r="1067" customFormat="false" ht="15" hidden="false" customHeight="false" outlineLevel="0" collapsed="false">
      <c r="A1067" s="0" t="s">
        <v>1161</v>
      </c>
      <c r="B1067" s="0" t="s">
        <v>113</v>
      </c>
      <c r="C1067" s="0" t="s">
        <v>114</v>
      </c>
      <c r="D1067" s="0" t="n">
        <v>96</v>
      </c>
      <c r="E1067" s="6" t="n">
        <v>40805.5201388889</v>
      </c>
      <c r="F1067" s="0" t="n">
        <v>1.25</v>
      </c>
      <c r="G1067" s="0" t="n">
        <v>12497</v>
      </c>
      <c r="H1067" s="0" t="s">
        <v>33</v>
      </c>
      <c r="I1067" s="7" t="n">
        <f aca="false">IF(AND(LEFT(A1067,1)&lt;&gt;"C",D1067&gt;0,F1067&gt;0),1,0)</f>
        <v>1</v>
      </c>
      <c r="J1067" s="7" t="n">
        <f aca="false">IF(I1067=1,D1067*F1067,0)</f>
        <v>120</v>
      </c>
      <c r="K1067" s="7" t="n">
        <f aca="false">YEAR(E1067)*100+MONTH(E1067)</f>
        <v>201109</v>
      </c>
      <c r="L1067" s="7" t="n">
        <f aca="false">IF(AND(A1067&lt;&gt;A1066,LEFT(A1067,1)&lt;&gt;"C"),1,0)</f>
        <v>0</v>
      </c>
    </row>
    <row r="1068" customFormat="false" ht="15" hidden="false" customHeight="false" outlineLevel="0" collapsed="false">
      <c r="A1068" s="0" t="s">
        <v>1161</v>
      </c>
      <c r="B1068" s="0" t="s">
        <v>412</v>
      </c>
      <c r="C1068" s="0" t="s">
        <v>413</v>
      </c>
      <c r="D1068" s="0" t="n">
        <v>96</v>
      </c>
      <c r="E1068" s="6" t="n">
        <v>40805.5201388889</v>
      </c>
      <c r="F1068" s="0" t="n">
        <v>1.25</v>
      </c>
      <c r="G1068" s="0" t="n">
        <v>12497</v>
      </c>
      <c r="H1068" s="0" t="s">
        <v>33</v>
      </c>
      <c r="I1068" s="7" t="n">
        <f aca="false">IF(AND(LEFT(A1068,1)&lt;&gt;"C",D1068&gt;0,F1068&gt;0),1,0)</f>
        <v>1</v>
      </c>
      <c r="J1068" s="7" t="n">
        <f aca="false">IF(I1068=1,D1068*F1068,0)</f>
        <v>120</v>
      </c>
      <c r="K1068" s="7" t="n">
        <f aca="false">YEAR(E1068)*100+MONTH(E1068)</f>
        <v>201109</v>
      </c>
      <c r="L1068" s="7" t="n">
        <f aca="false">IF(AND(A1068&lt;&gt;A1067,LEFT(A1068,1)&lt;&gt;"C"),1,0)</f>
        <v>0</v>
      </c>
    </row>
    <row r="1069" customFormat="false" ht="15" hidden="false" customHeight="false" outlineLevel="0" collapsed="false">
      <c r="A1069" s="0" t="s">
        <v>1161</v>
      </c>
      <c r="B1069" s="0" t="s">
        <v>1118</v>
      </c>
      <c r="C1069" s="0" t="s">
        <v>1119</v>
      </c>
      <c r="D1069" s="0" t="n">
        <v>96</v>
      </c>
      <c r="E1069" s="6" t="n">
        <v>40805.5201388889</v>
      </c>
      <c r="F1069" s="0" t="n">
        <v>1.25</v>
      </c>
      <c r="G1069" s="0" t="n">
        <v>12497</v>
      </c>
      <c r="H1069" s="0" t="s">
        <v>33</v>
      </c>
      <c r="I1069" s="7" t="n">
        <f aca="false">IF(AND(LEFT(A1069,1)&lt;&gt;"C",D1069&gt;0,F1069&gt;0),1,0)</f>
        <v>1</v>
      </c>
      <c r="J1069" s="7" t="n">
        <f aca="false">IF(I1069=1,D1069*F1069,0)</f>
        <v>120</v>
      </c>
      <c r="K1069" s="7" t="n">
        <f aca="false">YEAR(E1069)*100+MONTH(E1069)</f>
        <v>201109</v>
      </c>
      <c r="L1069" s="7" t="n">
        <f aca="false">IF(AND(A1069&lt;&gt;A1068,LEFT(A1069,1)&lt;&gt;"C"),1,0)</f>
        <v>0</v>
      </c>
    </row>
    <row r="1070" customFormat="false" ht="15" hidden="false" customHeight="false" outlineLevel="0" collapsed="false">
      <c r="A1070" s="0" t="s">
        <v>1161</v>
      </c>
      <c r="B1070" s="0" t="s">
        <v>84</v>
      </c>
      <c r="C1070" s="0" t="s">
        <v>85</v>
      </c>
      <c r="D1070" s="0" t="n">
        <v>5</v>
      </c>
      <c r="E1070" s="6" t="n">
        <v>40805.5201388889</v>
      </c>
      <c r="F1070" s="0" t="n">
        <v>18</v>
      </c>
      <c r="G1070" s="0" t="n">
        <v>12497</v>
      </c>
      <c r="H1070" s="0" t="s">
        <v>33</v>
      </c>
      <c r="I1070" s="7" t="n">
        <f aca="false">IF(AND(LEFT(A1070,1)&lt;&gt;"C",D1070&gt;0,F1070&gt;0),1,0)</f>
        <v>1</v>
      </c>
      <c r="J1070" s="7" t="n">
        <f aca="false">IF(I1070=1,D1070*F1070,0)</f>
        <v>90</v>
      </c>
      <c r="K1070" s="7" t="n">
        <f aca="false">YEAR(E1070)*100+MONTH(E1070)</f>
        <v>201109</v>
      </c>
      <c r="L1070" s="7" t="n">
        <f aca="false">IF(AND(A1070&lt;&gt;A1069,LEFT(A1070,1)&lt;&gt;"C"),1,0)</f>
        <v>0</v>
      </c>
    </row>
    <row r="1071" customFormat="false" ht="15" hidden="false" customHeight="false" outlineLevel="0" collapsed="false">
      <c r="A1071" s="0" t="s">
        <v>1172</v>
      </c>
      <c r="B1071" s="0" t="s">
        <v>74</v>
      </c>
      <c r="C1071" s="0" t="s">
        <v>75</v>
      </c>
      <c r="D1071" s="0" t="n">
        <v>12</v>
      </c>
      <c r="E1071" s="6" t="n">
        <v>40805.525</v>
      </c>
      <c r="F1071" s="0" t="n">
        <v>1.95</v>
      </c>
      <c r="G1071" s="0" t="n">
        <v>12724</v>
      </c>
      <c r="H1071" s="0" t="s">
        <v>43</v>
      </c>
      <c r="I1071" s="7" t="n">
        <f aca="false">IF(AND(LEFT(A1071,1)&lt;&gt;"C",D1071&gt;0,F1071&gt;0),1,0)</f>
        <v>1</v>
      </c>
      <c r="J1071" s="7" t="n">
        <f aca="false">IF(I1071=1,D1071*F1071,0)</f>
        <v>23.4</v>
      </c>
      <c r="K1071" s="7" t="n">
        <f aca="false">YEAR(E1071)*100+MONTH(E1071)</f>
        <v>201109</v>
      </c>
      <c r="L1071" s="7" t="n">
        <f aca="false">IF(AND(A1071&lt;&gt;A1070,LEFT(A1071,1)&lt;&gt;"C"),1,0)</f>
        <v>1</v>
      </c>
    </row>
    <row r="1072" customFormat="false" ht="15" hidden="false" customHeight="false" outlineLevel="0" collapsed="false">
      <c r="A1072" s="0" t="s">
        <v>1172</v>
      </c>
      <c r="B1072" s="0" t="s">
        <v>783</v>
      </c>
      <c r="C1072" s="0" t="s">
        <v>784</v>
      </c>
      <c r="D1072" s="0" t="n">
        <v>6</v>
      </c>
      <c r="E1072" s="6" t="n">
        <v>40805.525</v>
      </c>
      <c r="F1072" s="0" t="n">
        <v>2.1</v>
      </c>
      <c r="G1072" s="0" t="n">
        <v>12724</v>
      </c>
      <c r="H1072" s="0" t="s">
        <v>43</v>
      </c>
      <c r="I1072" s="7" t="n">
        <f aca="false">IF(AND(LEFT(A1072,1)&lt;&gt;"C",D1072&gt;0,F1072&gt;0),1,0)</f>
        <v>1</v>
      </c>
      <c r="J1072" s="7" t="n">
        <f aca="false">IF(I1072=1,D1072*F1072,0)</f>
        <v>12.6</v>
      </c>
      <c r="K1072" s="7" t="n">
        <f aca="false">YEAR(E1072)*100+MONTH(E1072)</f>
        <v>201109</v>
      </c>
      <c r="L1072" s="7" t="n">
        <f aca="false">IF(AND(A1072&lt;&gt;A1071,LEFT(A1072,1)&lt;&gt;"C"),1,0)</f>
        <v>0</v>
      </c>
    </row>
    <row r="1073" customFormat="false" ht="15" hidden="false" customHeight="false" outlineLevel="0" collapsed="false">
      <c r="A1073" s="0" t="s">
        <v>1172</v>
      </c>
      <c r="B1073" s="0" t="s">
        <v>93</v>
      </c>
      <c r="C1073" s="0" t="s">
        <v>94</v>
      </c>
      <c r="D1073" s="0" t="n">
        <v>4</v>
      </c>
      <c r="E1073" s="6" t="n">
        <v>40805.525</v>
      </c>
      <c r="F1073" s="0" t="n">
        <v>4.15</v>
      </c>
      <c r="G1073" s="0" t="n">
        <v>12724</v>
      </c>
      <c r="H1073" s="0" t="s">
        <v>43</v>
      </c>
      <c r="I1073" s="7" t="n">
        <f aca="false">IF(AND(LEFT(A1073,1)&lt;&gt;"C",D1073&gt;0,F1073&gt;0),1,0)</f>
        <v>1</v>
      </c>
      <c r="J1073" s="7" t="n">
        <f aca="false">IF(I1073=1,D1073*F1073,0)</f>
        <v>16.6</v>
      </c>
      <c r="K1073" s="7" t="n">
        <f aca="false">YEAR(E1073)*100+MONTH(E1073)</f>
        <v>201109</v>
      </c>
      <c r="L1073" s="7" t="n">
        <f aca="false">IF(AND(A1073&lt;&gt;A1072,LEFT(A1073,1)&lt;&gt;"C"),1,0)</f>
        <v>0</v>
      </c>
    </row>
    <row r="1074" customFormat="false" ht="15" hidden="false" customHeight="false" outlineLevel="0" collapsed="false">
      <c r="A1074" s="0" t="s">
        <v>1172</v>
      </c>
      <c r="B1074" s="0" t="s">
        <v>76</v>
      </c>
      <c r="C1074" s="0" t="s">
        <v>77</v>
      </c>
      <c r="D1074" s="0" t="n">
        <v>12</v>
      </c>
      <c r="E1074" s="6" t="n">
        <v>40805.525</v>
      </c>
      <c r="F1074" s="0" t="n">
        <v>1.95</v>
      </c>
      <c r="G1074" s="0" t="n">
        <v>12724</v>
      </c>
      <c r="H1074" s="0" t="s">
        <v>43</v>
      </c>
      <c r="I1074" s="7" t="n">
        <f aca="false">IF(AND(LEFT(A1074,1)&lt;&gt;"C",D1074&gt;0,F1074&gt;0),1,0)</f>
        <v>1</v>
      </c>
      <c r="J1074" s="7" t="n">
        <f aca="false">IF(I1074=1,D1074*F1074,0)</f>
        <v>23.4</v>
      </c>
      <c r="K1074" s="7" t="n">
        <f aca="false">YEAR(E1074)*100+MONTH(E1074)</f>
        <v>201109</v>
      </c>
      <c r="L1074" s="7" t="n">
        <f aca="false">IF(AND(A1074&lt;&gt;A1073,LEFT(A1074,1)&lt;&gt;"C"),1,0)</f>
        <v>0</v>
      </c>
    </row>
    <row r="1075" customFormat="false" ht="15" hidden="false" customHeight="false" outlineLevel="0" collapsed="false">
      <c r="A1075" s="0" t="s">
        <v>1172</v>
      </c>
      <c r="B1075" s="0" t="s">
        <v>91</v>
      </c>
      <c r="C1075" s="0" t="s">
        <v>92</v>
      </c>
      <c r="D1075" s="0" t="n">
        <v>4</v>
      </c>
      <c r="E1075" s="6" t="n">
        <v>40805.525</v>
      </c>
      <c r="F1075" s="0" t="n">
        <v>4.15</v>
      </c>
      <c r="G1075" s="0" t="n">
        <v>12724</v>
      </c>
      <c r="H1075" s="0" t="s">
        <v>43</v>
      </c>
      <c r="I1075" s="7" t="n">
        <f aca="false">IF(AND(LEFT(A1075,1)&lt;&gt;"C",D1075&gt;0,F1075&gt;0),1,0)</f>
        <v>1</v>
      </c>
      <c r="J1075" s="7" t="n">
        <f aca="false">IF(I1075=1,D1075*F1075,0)</f>
        <v>16.6</v>
      </c>
      <c r="K1075" s="7" t="n">
        <f aca="false">YEAR(E1075)*100+MONTH(E1075)</f>
        <v>201109</v>
      </c>
      <c r="L1075" s="7" t="n">
        <f aca="false">IF(AND(A1075&lt;&gt;A1074,LEFT(A1075,1)&lt;&gt;"C"),1,0)</f>
        <v>0</v>
      </c>
    </row>
    <row r="1076" customFormat="false" ht="15" hidden="false" customHeight="false" outlineLevel="0" collapsed="false">
      <c r="A1076" s="0" t="s">
        <v>1172</v>
      </c>
      <c r="B1076" s="0" t="s">
        <v>557</v>
      </c>
      <c r="C1076" s="0" t="s">
        <v>558</v>
      </c>
      <c r="D1076" s="0" t="n">
        <v>12</v>
      </c>
      <c r="E1076" s="6" t="n">
        <v>40805.525</v>
      </c>
      <c r="F1076" s="0" t="n">
        <v>1.95</v>
      </c>
      <c r="G1076" s="0" t="n">
        <v>12724</v>
      </c>
      <c r="H1076" s="0" t="s">
        <v>43</v>
      </c>
      <c r="I1076" s="7" t="n">
        <f aca="false">IF(AND(LEFT(A1076,1)&lt;&gt;"C",D1076&gt;0,F1076&gt;0),1,0)</f>
        <v>1</v>
      </c>
      <c r="J1076" s="7" t="n">
        <f aca="false">IF(I1076=1,D1076*F1076,0)</f>
        <v>23.4</v>
      </c>
      <c r="K1076" s="7" t="n">
        <f aca="false">YEAR(E1076)*100+MONTH(E1076)</f>
        <v>201109</v>
      </c>
      <c r="L1076" s="7" t="n">
        <f aca="false">IF(AND(A1076&lt;&gt;A1075,LEFT(A1076,1)&lt;&gt;"C"),1,0)</f>
        <v>0</v>
      </c>
    </row>
    <row r="1077" customFormat="false" ht="15" hidden="false" customHeight="false" outlineLevel="0" collapsed="false">
      <c r="A1077" s="0" t="s">
        <v>1172</v>
      </c>
      <c r="B1077" s="0" t="s">
        <v>653</v>
      </c>
      <c r="C1077" s="0" t="s">
        <v>654</v>
      </c>
      <c r="D1077" s="0" t="n">
        <v>2</v>
      </c>
      <c r="E1077" s="6" t="n">
        <v>40805.525</v>
      </c>
      <c r="F1077" s="0" t="n">
        <v>6.25</v>
      </c>
      <c r="G1077" s="0" t="n">
        <v>12724</v>
      </c>
      <c r="H1077" s="0" t="s">
        <v>43</v>
      </c>
      <c r="I1077" s="7" t="n">
        <f aca="false">IF(AND(LEFT(A1077,1)&lt;&gt;"C",D1077&gt;0,F1077&gt;0),1,0)</f>
        <v>1</v>
      </c>
      <c r="J1077" s="7" t="n">
        <f aca="false">IF(I1077=1,D1077*F1077,0)</f>
        <v>12.5</v>
      </c>
      <c r="K1077" s="7" t="n">
        <f aca="false">YEAR(E1077)*100+MONTH(E1077)</f>
        <v>201109</v>
      </c>
      <c r="L1077" s="7" t="n">
        <f aca="false">IF(AND(A1077&lt;&gt;A1076,LEFT(A1077,1)&lt;&gt;"C"),1,0)</f>
        <v>0</v>
      </c>
    </row>
    <row r="1078" customFormat="false" ht="15" hidden="false" customHeight="false" outlineLevel="0" collapsed="false">
      <c r="A1078" s="0" t="s">
        <v>1172</v>
      </c>
      <c r="B1078" s="0" t="s">
        <v>89</v>
      </c>
      <c r="C1078" s="0" t="s">
        <v>90</v>
      </c>
      <c r="D1078" s="0" t="n">
        <v>4</v>
      </c>
      <c r="E1078" s="6" t="n">
        <v>40805.525</v>
      </c>
      <c r="F1078" s="0" t="n">
        <v>4.15</v>
      </c>
      <c r="G1078" s="0" t="n">
        <v>12724</v>
      </c>
      <c r="H1078" s="0" t="s">
        <v>43</v>
      </c>
      <c r="I1078" s="7" t="n">
        <f aca="false">IF(AND(LEFT(A1078,1)&lt;&gt;"C",D1078&gt;0,F1078&gt;0),1,0)</f>
        <v>1</v>
      </c>
      <c r="J1078" s="7" t="n">
        <f aca="false">IF(I1078=1,D1078*F1078,0)</f>
        <v>16.6</v>
      </c>
      <c r="K1078" s="7" t="n">
        <f aca="false">YEAR(E1078)*100+MONTH(E1078)</f>
        <v>201109</v>
      </c>
      <c r="L1078" s="7" t="n">
        <f aca="false">IF(AND(A1078&lt;&gt;A1077,LEFT(A1078,1)&lt;&gt;"C"),1,0)</f>
        <v>0</v>
      </c>
    </row>
    <row r="1079" customFormat="false" ht="15" hidden="false" customHeight="false" outlineLevel="0" collapsed="false">
      <c r="A1079" s="0" t="s">
        <v>1172</v>
      </c>
      <c r="B1079" s="0" t="s">
        <v>72</v>
      </c>
      <c r="C1079" s="0" t="s">
        <v>73</v>
      </c>
      <c r="D1079" s="0" t="n">
        <v>12</v>
      </c>
      <c r="E1079" s="6" t="n">
        <v>40805.525</v>
      </c>
      <c r="F1079" s="0" t="n">
        <v>1.95</v>
      </c>
      <c r="G1079" s="0" t="n">
        <v>12724</v>
      </c>
      <c r="H1079" s="0" t="s">
        <v>43</v>
      </c>
      <c r="I1079" s="7" t="n">
        <f aca="false">IF(AND(LEFT(A1079,1)&lt;&gt;"C",D1079&gt;0,F1079&gt;0),1,0)</f>
        <v>1</v>
      </c>
      <c r="J1079" s="7" t="n">
        <f aca="false">IF(I1079=1,D1079*F1079,0)</f>
        <v>23.4</v>
      </c>
      <c r="K1079" s="7" t="n">
        <f aca="false">YEAR(E1079)*100+MONTH(E1079)</f>
        <v>201109</v>
      </c>
      <c r="L1079" s="7" t="n">
        <f aca="false">IF(AND(A1079&lt;&gt;A1078,LEFT(A1079,1)&lt;&gt;"C"),1,0)</f>
        <v>0</v>
      </c>
    </row>
    <row r="1080" customFormat="false" ht="15" hidden="false" customHeight="false" outlineLevel="0" collapsed="false">
      <c r="A1080" s="0" t="s">
        <v>1172</v>
      </c>
      <c r="B1080" s="0" t="s">
        <v>657</v>
      </c>
      <c r="C1080" s="0" t="s">
        <v>658</v>
      </c>
      <c r="D1080" s="0" t="n">
        <v>12</v>
      </c>
      <c r="E1080" s="6" t="n">
        <v>40805.525</v>
      </c>
      <c r="F1080" s="0" t="n">
        <v>1.25</v>
      </c>
      <c r="G1080" s="0" t="n">
        <v>12724</v>
      </c>
      <c r="H1080" s="0" t="s">
        <v>43</v>
      </c>
      <c r="I1080" s="7" t="n">
        <f aca="false">IF(AND(LEFT(A1080,1)&lt;&gt;"C",D1080&gt;0,F1080&gt;0),1,0)</f>
        <v>1</v>
      </c>
      <c r="J1080" s="7" t="n">
        <f aca="false">IF(I1080=1,D1080*F1080,0)</f>
        <v>15</v>
      </c>
      <c r="K1080" s="7" t="n">
        <f aca="false">YEAR(E1080)*100+MONTH(E1080)</f>
        <v>201109</v>
      </c>
      <c r="L1080" s="7" t="n">
        <f aca="false">IF(AND(A1080&lt;&gt;A1079,LEFT(A1080,1)&lt;&gt;"C"),1,0)</f>
        <v>0</v>
      </c>
    </row>
    <row r="1081" customFormat="false" ht="15" hidden="false" customHeight="false" outlineLevel="0" collapsed="false">
      <c r="A1081" s="0" t="s">
        <v>1172</v>
      </c>
      <c r="B1081" s="0" t="s">
        <v>659</v>
      </c>
      <c r="C1081" s="0" t="s">
        <v>660</v>
      </c>
      <c r="D1081" s="0" t="n">
        <v>6</v>
      </c>
      <c r="E1081" s="6" t="n">
        <v>40805.525</v>
      </c>
      <c r="F1081" s="0" t="n">
        <v>4.15</v>
      </c>
      <c r="G1081" s="0" t="n">
        <v>12724</v>
      </c>
      <c r="H1081" s="0" t="s">
        <v>43</v>
      </c>
      <c r="I1081" s="7" t="n">
        <f aca="false">IF(AND(LEFT(A1081,1)&lt;&gt;"C",D1081&gt;0,F1081&gt;0),1,0)</f>
        <v>1</v>
      </c>
      <c r="J1081" s="7" t="n">
        <f aca="false">IF(I1081=1,D1081*F1081,0)</f>
        <v>24.9</v>
      </c>
      <c r="K1081" s="7" t="n">
        <f aca="false">YEAR(E1081)*100+MONTH(E1081)</f>
        <v>201109</v>
      </c>
      <c r="L1081" s="7" t="n">
        <f aca="false">IF(AND(A1081&lt;&gt;A1080,LEFT(A1081,1)&lt;&gt;"C"),1,0)</f>
        <v>0</v>
      </c>
    </row>
    <row r="1082" customFormat="false" ht="15" hidden="false" customHeight="false" outlineLevel="0" collapsed="false">
      <c r="A1082" s="0" t="s">
        <v>1172</v>
      </c>
      <c r="B1082" s="0" t="s">
        <v>87</v>
      </c>
      <c r="C1082" s="0" t="s">
        <v>88</v>
      </c>
      <c r="D1082" s="0" t="n">
        <v>4</v>
      </c>
      <c r="E1082" s="6" t="n">
        <v>40805.525</v>
      </c>
      <c r="F1082" s="0" t="n">
        <v>4.15</v>
      </c>
      <c r="G1082" s="0" t="n">
        <v>12724</v>
      </c>
      <c r="H1082" s="0" t="s">
        <v>43</v>
      </c>
      <c r="I1082" s="7" t="n">
        <f aca="false">IF(AND(LEFT(A1082,1)&lt;&gt;"C",D1082&gt;0,F1082&gt;0),1,0)</f>
        <v>1</v>
      </c>
      <c r="J1082" s="7" t="n">
        <f aca="false">IF(I1082=1,D1082*F1082,0)</f>
        <v>16.6</v>
      </c>
      <c r="K1082" s="7" t="n">
        <f aca="false">YEAR(E1082)*100+MONTH(E1082)</f>
        <v>201109</v>
      </c>
      <c r="L1082" s="7" t="n">
        <f aca="false">IF(AND(A1082&lt;&gt;A1081,LEFT(A1082,1)&lt;&gt;"C"),1,0)</f>
        <v>0</v>
      </c>
    </row>
    <row r="1083" customFormat="false" ht="15" hidden="false" customHeight="false" outlineLevel="0" collapsed="false">
      <c r="A1083" s="0" t="s">
        <v>1172</v>
      </c>
      <c r="B1083" s="0" t="s">
        <v>374</v>
      </c>
      <c r="C1083" s="0" t="s">
        <v>375</v>
      </c>
      <c r="D1083" s="0" t="n">
        <v>12</v>
      </c>
      <c r="E1083" s="6" t="n">
        <v>40805.525</v>
      </c>
      <c r="F1083" s="0" t="n">
        <v>1.25</v>
      </c>
      <c r="G1083" s="0" t="n">
        <v>12724</v>
      </c>
      <c r="H1083" s="0" t="s">
        <v>43</v>
      </c>
      <c r="I1083" s="7" t="n">
        <f aca="false">IF(AND(LEFT(A1083,1)&lt;&gt;"C",D1083&gt;0,F1083&gt;0),1,0)</f>
        <v>1</v>
      </c>
      <c r="J1083" s="7" t="n">
        <f aca="false">IF(I1083=1,D1083*F1083,0)</f>
        <v>15</v>
      </c>
      <c r="K1083" s="7" t="n">
        <f aca="false">YEAR(E1083)*100+MONTH(E1083)</f>
        <v>201109</v>
      </c>
      <c r="L1083" s="7" t="n">
        <f aca="false">IF(AND(A1083&lt;&gt;A1082,LEFT(A1083,1)&lt;&gt;"C"),1,0)</f>
        <v>0</v>
      </c>
    </row>
    <row r="1084" customFormat="false" ht="15" hidden="false" customHeight="false" outlineLevel="0" collapsed="false">
      <c r="A1084" s="0" t="s">
        <v>1172</v>
      </c>
      <c r="B1084" s="0" t="s">
        <v>837</v>
      </c>
      <c r="C1084" s="0" t="s">
        <v>838</v>
      </c>
      <c r="D1084" s="0" t="n">
        <v>12</v>
      </c>
      <c r="E1084" s="6" t="n">
        <v>40805.525</v>
      </c>
      <c r="F1084" s="0" t="n">
        <v>4.15</v>
      </c>
      <c r="G1084" s="0" t="n">
        <v>12724</v>
      </c>
      <c r="H1084" s="0" t="s">
        <v>43</v>
      </c>
      <c r="I1084" s="7" t="n">
        <f aca="false">IF(AND(LEFT(A1084,1)&lt;&gt;"C",D1084&gt;0,F1084&gt;0),1,0)</f>
        <v>1</v>
      </c>
      <c r="J1084" s="7" t="n">
        <f aca="false">IF(I1084=1,D1084*F1084,0)</f>
        <v>49.8</v>
      </c>
      <c r="K1084" s="7" t="n">
        <f aca="false">YEAR(E1084)*100+MONTH(E1084)</f>
        <v>201109</v>
      </c>
      <c r="L1084" s="7" t="n">
        <f aca="false">IF(AND(A1084&lt;&gt;A1083,LEFT(A1084,1)&lt;&gt;"C"),1,0)</f>
        <v>0</v>
      </c>
    </row>
    <row r="1085" customFormat="false" ht="15" hidden="false" customHeight="false" outlineLevel="0" collapsed="false">
      <c r="A1085" s="0" t="s">
        <v>1172</v>
      </c>
      <c r="B1085" s="0" t="s">
        <v>537</v>
      </c>
      <c r="C1085" s="0" t="s">
        <v>538</v>
      </c>
      <c r="D1085" s="0" t="n">
        <v>6</v>
      </c>
      <c r="E1085" s="6" t="n">
        <v>40805.525</v>
      </c>
      <c r="F1085" s="0" t="n">
        <v>4.15</v>
      </c>
      <c r="G1085" s="0" t="n">
        <v>12724</v>
      </c>
      <c r="H1085" s="0" t="s">
        <v>43</v>
      </c>
      <c r="I1085" s="7" t="n">
        <f aca="false">IF(AND(LEFT(A1085,1)&lt;&gt;"C",D1085&gt;0,F1085&gt;0),1,0)</f>
        <v>1</v>
      </c>
      <c r="J1085" s="7" t="n">
        <f aca="false">IF(I1085=1,D1085*F1085,0)</f>
        <v>24.9</v>
      </c>
      <c r="K1085" s="7" t="n">
        <f aca="false">YEAR(E1085)*100+MONTH(E1085)</f>
        <v>201109</v>
      </c>
      <c r="L1085" s="7" t="n">
        <f aca="false">IF(AND(A1085&lt;&gt;A1084,LEFT(A1085,1)&lt;&gt;"C"),1,0)</f>
        <v>0</v>
      </c>
    </row>
    <row r="1086" customFormat="false" ht="15" hidden="false" customHeight="false" outlineLevel="0" collapsed="false">
      <c r="A1086" s="0" t="s">
        <v>1172</v>
      </c>
      <c r="B1086" s="0" t="s">
        <v>1173</v>
      </c>
      <c r="C1086" s="0" t="s">
        <v>1174</v>
      </c>
      <c r="D1086" s="0" t="n">
        <v>3</v>
      </c>
      <c r="E1086" s="6" t="n">
        <v>40805.525</v>
      </c>
      <c r="F1086" s="0" t="n">
        <v>5.95</v>
      </c>
      <c r="G1086" s="0" t="n">
        <v>12724</v>
      </c>
      <c r="H1086" s="0" t="s">
        <v>43</v>
      </c>
      <c r="I1086" s="7" t="n">
        <f aca="false">IF(AND(LEFT(A1086,1)&lt;&gt;"C",D1086&gt;0,F1086&gt;0),1,0)</f>
        <v>1</v>
      </c>
      <c r="J1086" s="7" t="n">
        <f aca="false">IF(I1086=1,D1086*F1086,0)</f>
        <v>17.85</v>
      </c>
      <c r="K1086" s="7" t="n">
        <f aca="false">YEAR(E1086)*100+MONTH(E1086)</f>
        <v>201109</v>
      </c>
      <c r="L1086" s="7" t="n">
        <f aca="false">IF(AND(A1086&lt;&gt;A1085,LEFT(A1086,1)&lt;&gt;"C"),1,0)</f>
        <v>0</v>
      </c>
    </row>
    <row r="1087" customFormat="false" ht="15" hidden="false" customHeight="false" outlineLevel="0" collapsed="false">
      <c r="A1087" s="0" t="s">
        <v>1172</v>
      </c>
      <c r="B1087" s="0" t="s">
        <v>123</v>
      </c>
      <c r="C1087" s="0" t="s">
        <v>124</v>
      </c>
      <c r="D1087" s="0" t="n">
        <v>6</v>
      </c>
      <c r="E1087" s="6" t="n">
        <v>40805.525</v>
      </c>
      <c r="F1087" s="0" t="n">
        <v>2.95</v>
      </c>
      <c r="G1087" s="0" t="n">
        <v>12724</v>
      </c>
      <c r="H1087" s="0" t="s">
        <v>43</v>
      </c>
      <c r="I1087" s="7" t="n">
        <f aca="false">IF(AND(LEFT(A1087,1)&lt;&gt;"C",D1087&gt;0,F1087&gt;0),1,0)</f>
        <v>1</v>
      </c>
      <c r="J1087" s="7" t="n">
        <f aca="false">IF(I1087=1,D1087*F1087,0)</f>
        <v>17.7</v>
      </c>
      <c r="K1087" s="7" t="n">
        <f aca="false">YEAR(E1087)*100+MONTH(E1087)</f>
        <v>201109</v>
      </c>
      <c r="L1087" s="7" t="n">
        <f aca="false">IF(AND(A1087&lt;&gt;A1086,LEFT(A1087,1)&lt;&gt;"C"),1,0)</f>
        <v>0</v>
      </c>
    </row>
    <row r="1088" customFormat="false" ht="15" hidden="false" customHeight="false" outlineLevel="0" collapsed="false">
      <c r="A1088" s="0" t="s">
        <v>1172</v>
      </c>
      <c r="B1088" s="0" t="s">
        <v>80</v>
      </c>
      <c r="C1088" s="0" t="s">
        <v>81</v>
      </c>
      <c r="D1088" s="0" t="n">
        <v>20</v>
      </c>
      <c r="E1088" s="6" t="n">
        <v>40805.525</v>
      </c>
      <c r="F1088" s="0" t="n">
        <v>0.83</v>
      </c>
      <c r="G1088" s="0" t="n">
        <v>12724</v>
      </c>
      <c r="H1088" s="0" t="s">
        <v>43</v>
      </c>
      <c r="I1088" s="7" t="n">
        <f aca="false">IF(AND(LEFT(A1088,1)&lt;&gt;"C",D1088&gt;0,F1088&gt;0),1,0)</f>
        <v>1</v>
      </c>
      <c r="J1088" s="7" t="n">
        <f aca="false">IF(I1088=1,D1088*F1088,0)</f>
        <v>16.6</v>
      </c>
      <c r="K1088" s="7" t="n">
        <f aca="false">YEAR(E1088)*100+MONTH(E1088)</f>
        <v>201109</v>
      </c>
      <c r="L1088" s="7" t="n">
        <f aca="false">IF(AND(A1088&lt;&gt;A1087,LEFT(A1088,1)&lt;&gt;"C"),1,0)</f>
        <v>0</v>
      </c>
    </row>
    <row r="1089" customFormat="false" ht="15" hidden="false" customHeight="false" outlineLevel="0" collapsed="false">
      <c r="A1089" s="0" t="s">
        <v>1172</v>
      </c>
      <c r="B1089" s="0" t="s">
        <v>1048</v>
      </c>
      <c r="C1089" s="0" t="s">
        <v>1049</v>
      </c>
      <c r="D1089" s="0" t="n">
        <v>4</v>
      </c>
      <c r="E1089" s="6" t="n">
        <v>40805.525</v>
      </c>
      <c r="F1089" s="0" t="n">
        <v>4.15</v>
      </c>
      <c r="G1089" s="0" t="n">
        <v>12724</v>
      </c>
      <c r="H1089" s="0" t="s">
        <v>43</v>
      </c>
      <c r="I1089" s="7" t="n">
        <f aca="false">IF(AND(LEFT(A1089,1)&lt;&gt;"C",D1089&gt;0,F1089&gt;0),1,0)</f>
        <v>1</v>
      </c>
      <c r="J1089" s="7" t="n">
        <f aca="false">IF(I1089=1,D1089*F1089,0)</f>
        <v>16.6</v>
      </c>
      <c r="K1089" s="7" t="n">
        <f aca="false">YEAR(E1089)*100+MONTH(E1089)</f>
        <v>201109</v>
      </c>
      <c r="L1089" s="7" t="n">
        <f aca="false">IF(AND(A1089&lt;&gt;A1088,LEFT(A1089,1)&lt;&gt;"C"),1,0)</f>
        <v>0</v>
      </c>
    </row>
    <row r="1090" customFormat="false" ht="15" hidden="false" customHeight="false" outlineLevel="0" collapsed="false">
      <c r="A1090" s="0" t="s">
        <v>1172</v>
      </c>
      <c r="B1090" s="0" t="s">
        <v>1046</v>
      </c>
      <c r="C1090" s="0" t="s">
        <v>1047</v>
      </c>
      <c r="D1090" s="0" t="n">
        <v>4</v>
      </c>
      <c r="E1090" s="6" t="n">
        <v>40805.525</v>
      </c>
      <c r="F1090" s="0" t="n">
        <v>4.15</v>
      </c>
      <c r="G1090" s="0" t="n">
        <v>12724</v>
      </c>
      <c r="H1090" s="0" t="s">
        <v>43</v>
      </c>
      <c r="I1090" s="7" t="n">
        <f aca="false">IF(AND(LEFT(A1090,1)&lt;&gt;"C",D1090&gt;0,F1090&gt;0),1,0)</f>
        <v>1</v>
      </c>
      <c r="J1090" s="7" t="n">
        <f aca="false">IF(I1090=1,D1090*F1090,0)</f>
        <v>16.6</v>
      </c>
      <c r="K1090" s="7" t="n">
        <f aca="false">YEAR(E1090)*100+MONTH(E1090)</f>
        <v>201109</v>
      </c>
      <c r="L1090" s="7" t="n">
        <f aca="false">IF(AND(A1090&lt;&gt;A1089,LEFT(A1090,1)&lt;&gt;"C"),1,0)</f>
        <v>0</v>
      </c>
    </row>
    <row r="1091" customFormat="false" ht="15" hidden="false" customHeight="false" outlineLevel="0" collapsed="false">
      <c r="A1091" s="0" t="s">
        <v>1172</v>
      </c>
      <c r="B1091" s="0" t="s">
        <v>1042</v>
      </c>
      <c r="C1091" s="0" t="s">
        <v>1043</v>
      </c>
      <c r="D1091" s="0" t="n">
        <v>4</v>
      </c>
      <c r="E1091" s="6" t="n">
        <v>40805.525</v>
      </c>
      <c r="F1091" s="0" t="n">
        <v>4.15</v>
      </c>
      <c r="G1091" s="0" t="n">
        <v>12724</v>
      </c>
      <c r="H1091" s="0" t="s">
        <v>43</v>
      </c>
      <c r="I1091" s="7" t="n">
        <f aca="false">IF(AND(LEFT(A1091,1)&lt;&gt;"C",D1091&gt;0,F1091&gt;0),1,0)</f>
        <v>1</v>
      </c>
      <c r="J1091" s="7" t="n">
        <f aca="false">IF(I1091=1,D1091*F1091,0)</f>
        <v>16.6</v>
      </c>
      <c r="K1091" s="7" t="n">
        <f aca="false">YEAR(E1091)*100+MONTH(E1091)</f>
        <v>201109</v>
      </c>
      <c r="L1091" s="7" t="n">
        <f aca="false">IF(AND(A1091&lt;&gt;A1090,LEFT(A1091,1)&lt;&gt;"C"),1,0)</f>
        <v>0</v>
      </c>
    </row>
    <row r="1092" customFormat="false" ht="15" hidden="false" customHeight="false" outlineLevel="0" collapsed="false">
      <c r="A1092" s="0" t="s">
        <v>1172</v>
      </c>
      <c r="B1092" s="0" t="s">
        <v>1175</v>
      </c>
      <c r="C1092" s="0" t="s">
        <v>1176</v>
      </c>
      <c r="D1092" s="0" t="n">
        <v>6</v>
      </c>
      <c r="E1092" s="6" t="n">
        <v>40805.525</v>
      </c>
      <c r="F1092" s="0" t="n">
        <v>2.08</v>
      </c>
      <c r="G1092" s="0" t="n">
        <v>12724</v>
      </c>
      <c r="H1092" s="0" t="s">
        <v>43</v>
      </c>
      <c r="I1092" s="7" t="n">
        <f aca="false">IF(AND(LEFT(A1092,1)&lt;&gt;"C",D1092&gt;0,F1092&gt;0),1,0)</f>
        <v>1</v>
      </c>
      <c r="J1092" s="7" t="n">
        <f aca="false">IF(I1092=1,D1092*F1092,0)</f>
        <v>12.48</v>
      </c>
      <c r="K1092" s="7" t="n">
        <f aca="false">YEAR(E1092)*100+MONTH(E1092)</f>
        <v>201109</v>
      </c>
      <c r="L1092" s="7" t="n">
        <f aca="false">IF(AND(A1092&lt;&gt;A1091,LEFT(A1092,1)&lt;&gt;"C"),1,0)</f>
        <v>0</v>
      </c>
    </row>
    <row r="1093" customFormat="false" ht="15" hidden="false" customHeight="false" outlineLevel="0" collapsed="false">
      <c r="A1093" s="0" t="s">
        <v>1172</v>
      </c>
      <c r="B1093" s="0" t="s">
        <v>1044</v>
      </c>
      <c r="C1093" s="0" t="s">
        <v>1045</v>
      </c>
      <c r="D1093" s="0" t="n">
        <v>4</v>
      </c>
      <c r="E1093" s="6" t="n">
        <v>40805.525</v>
      </c>
      <c r="F1093" s="0" t="n">
        <v>4.15</v>
      </c>
      <c r="G1093" s="0" t="n">
        <v>12724</v>
      </c>
      <c r="H1093" s="0" t="s">
        <v>43</v>
      </c>
      <c r="I1093" s="7" t="n">
        <f aca="false">IF(AND(LEFT(A1093,1)&lt;&gt;"C",D1093&gt;0,F1093&gt;0),1,0)</f>
        <v>1</v>
      </c>
      <c r="J1093" s="7" t="n">
        <f aca="false">IF(I1093=1,D1093*F1093,0)</f>
        <v>16.6</v>
      </c>
      <c r="K1093" s="7" t="n">
        <f aca="false">YEAR(E1093)*100+MONTH(E1093)</f>
        <v>201109</v>
      </c>
      <c r="L1093" s="7" t="n">
        <f aca="false">IF(AND(A1093&lt;&gt;A1092,LEFT(A1093,1)&lt;&gt;"C"),1,0)</f>
        <v>0</v>
      </c>
    </row>
    <row r="1094" customFormat="false" ht="15" hidden="false" customHeight="false" outlineLevel="0" collapsed="false">
      <c r="A1094" s="0" t="s">
        <v>1172</v>
      </c>
      <c r="B1094" s="0" t="s">
        <v>1065</v>
      </c>
      <c r="C1094" s="0" t="s">
        <v>1066</v>
      </c>
      <c r="D1094" s="0" t="n">
        <v>6</v>
      </c>
      <c r="E1094" s="6" t="n">
        <v>40805.525</v>
      </c>
      <c r="F1094" s="0" t="n">
        <v>2.08</v>
      </c>
      <c r="G1094" s="0" t="n">
        <v>12724</v>
      </c>
      <c r="H1094" s="0" t="s">
        <v>43</v>
      </c>
      <c r="I1094" s="7" t="n">
        <f aca="false">IF(AND(LEFT(A1094,1)&lt;&gt;"C",D1094&gt;0,F1094&gt;0),1,0)</f>
        <v>1</v>
      </c>
      <c r="J1094" s="7" t="n">
        <f aca="false">IF(I1094=1,D1094*F1094,0)</f>
        <v>12.48</v>
      </c>
      <c r="K1094" s="7" t="n">
        <f aca="false">YEAR(E1094)*100+MONTH(E1094)</f>
        <v>201109</v>
      </c>
      <c r="L1094" s="7" t="n">
        <f aca="false">IF(AND(A1094&lt;&gt;A1093,LEFT(A1094,1)&lt;&gt;"C"),1,0)</f>
        <v>0</v>
      </c>
    </row>
    <row r="1095" customFormat="false" ht="15" hidden="false" customHeight="false" outlineLevel="0" collapsed="false">
      <c r="A1095" s="0" t="s">
        <v>1172</v>
      </c>
      <c r="B1095" s="0" t="s">
        <v>1177</v>
      </c>
      <c r="C1095" s="0" t="s">
        <v>1178</v>
      </c>
      <c r="D1095" s="0" t="n">
        <v>6</v>
      </c>
      <c r="E1095" s="6" t="n">
        <v>40805.525</v>
      </c>
      <c r="F1095" s="0" t="n">
        <v>2.55</v>
      </c>
      <c r="G1095" s="0" t="n">
        <v>12724</v>
      </c>
      <c r="H1095" s="0" t="s">
        <v>43</v>
      </c>
      <c r="I1095" s="7" t="n">
        <f aca="false">IF(AND(LEFT(A1095,1)&lt;&gt;"C",D1095&gt;0,F1095&gt;0),1,0)</f>
        <v>1</v>
      </c>
      <c r="J1095" s="7" t="n">
        <f aca="false">IF(I1095=1,D1095*F1095,0)</f>
        <v>15.3</v>
      </c>
      <c r="K1095" s="7" t="n">
        <f aca="false">YEAR(E1095)*100+MONTH(E1095)</f>
        <v>201109</v>
      </c>
      <c r="L1095" s="7" t="n">
        <f aca="false">IF(AND(A1095&lt;&gt;A1094,LEFT(A1095,1)&lt;&gt;"C"),1,0)</f>
        <v>0</v>
      </c>
    </row>
    <row r="1096" customFormat="false" ht="15" hidden="false" customHeight="false" outlineLevel="0" collapsed="false">
      <c r="A1096" s="0" t="s">
        <v>1172</v>
      </c>
      <c r="B1096" s="0" t="s">
        <v>60</v>
      </c>
      <c r="C1096" s="0" t="s">
        <v>61</v>
      </c>
      <c r="D1096" s="0" t="n">
        <v>6</v>
      </c>
      <c r="E1096" s="6" t="n">
        <v>40805.525</v>
      </c>
      <c r="F1096" s="0" t="n">
        <v>2.55</v>
      </c>
      <c r="G1096" s="0" t="n">
        <v>12724</v>
      </c>
      <c r="H1096" s="0" t="s">
        <v>43</v>
      </c>
      <c r="I1096" s="7" t="n">
        <f aca="false">IF(AND(LEFT(A1096,1)&lt;&gt;"C",D1096&gt;0,F1096&gt;0),1,0)</f>
        <v>1</v>
      </c>
      <c r="J1096" s="7" t="n">
        <f aca="false">IF(I1096=1,D1096*F1096,0)</f>
        <v>15.3</v>
      </c>
      <c r="K1096" s="7" t="n">
        <f aca="false">YEAR(E1096)*100+MONTH(E1096)</f>
        <v>201109</v>
      </c>
      <c r="L1096" s="7" t="n">
        <f aca="false">IF(AND(A1096&lt;&gt;A1095,LEFT(A1096,1)&lt;&gt;"C"),1,0)</f>
        <v>0</v>
      </c>
    </row>
    <row r="1097" customFormat="false" ht="15" hidden="false" customHeight="false" outlineLevel="0" collapsed="false">
      <c r="A1097" s="0" t="s">
        <v>1172</v>
      </c>
      <c r="B1097" s="0" t="s">
        <v>84</v>
      </c>
      <c r="C1097" s="0" t="s">
        <v>85</v>
      </c>
      <c r="D1097" s="0" t="n">
        <v>3</v>
      </c>
      <c r="E1097" s="6" t="n">
        <v>40805.525</v>
      </c>
      <c r="F1097" s="0" t="n">
        <v>18</v>
      </c>
      <c r="G1097" s="0" t="n">
        <v>12724</v>
      </c>
      <c r="H1097" s="0" t="s">
        <v>43</v>
      </c>
      <c r="I1097" s="7" t="n">
        <f aca="false">IF(AND(LEFT(A1097,1)&lt;&gt;"C",D1097&gt;0,F1097&gt;0),1,0)</f>
        <v>1</v>
      </c>
      <c r="J1097" s="7" t="n">
        <f aca="false">IF(I1097=1,D1097*F1097,0)</f>
        <v>54</v>
      </c>
      <c r="K1097" s="7" t="n">
        <f aca="false">YEAR(E1097)*100+MONTH(E1097)</f>
        <v>201109</v>
      </c>
      <c r="L1097" s="7" t="n">
        <f aca="false">IF(AND(A1097&lt;&gt;A1096,LEFT(A1097,1)&lt;&gt;"C"),1,0)</f>
        <v>0</v>
      </c>
    </row>
    <row r="1098" customFormat="false" ht="15" hidden="false" customHeight="false" outlineLevel="0" collapsed="false">
      <c r="A1098" s="0" t="s">
        <v>1179</v>
      </c>
      <c r="B1098" s="0" t="s">
        <v>465</v>
      </c>
      <c r="C1098" s="0" t="s">
        <v>466</v>
      </c>
      <c r="D1098" s="0" t="n">
        <v>4</v>
      </c>
      <c r="E1098" s="6" t="n">
        <v>40805.5611111111</v>
      </c>
      <c r="F1098" s="0" t="n">
        <v>7.95</v>
      </c>
      <c r="G1098" s="0" t="n">
        <v>12621</v>
      </c>
      <c r="H1098" s="0" t="s">
        <v>33</v>
      </c>
      <c r="I1098" s="7" t="n">
        <f aca="false">IF(AND(LEFT(A1098,1)&lt;&gt;"C",D1098&gt;0,F1098&gt;0),1,0)</f>
        <v>1</v>
      </c>
      <c r="J1098" s="7" t="n">
        <f aca="false">IF(I1098=1,D1098*F1098,0)</f>
        <v>31.8</v>
      </c>
      <c r="K1098" s="7" t="n">
        <f aca="false">YEAR(E1098)*100+MONTH(E1098)</f>
        <v>201109</v>
      </c>
      <c r="L1098" s="7" t="n">
        <f aca="false">IF(AND(A1098&lt;&gt;A1097,LEFT(A1098,1)&lt;&gt;"C"),1,0)</f>
        <v>1</v>
      </c>
    </row>
    <row r="1099" customFormat="false" ht="15" hidden="false" customHeight="false" outlineLevel="0" collapsed="false">
      <c r="A1099" s="0" t="s">
        <v>1179</v>
      </c>
      <c r="B1099" s="0" t="s">
        <v>463</v>
      </c>
      <c r="C1099" s="0" t="s">
        <v>464</v>
      </c>
      <c r="D1099" s="0" t="n">
        <v>2</v>
      </c>
      <c r="E1099" s="6" t="n">
        <v>40805.5611111111</v>
      </c>
      <c r="F1099" s="0" t="n">
        <v>7.95</v>
      </c>
      <c r="G1099" s="0" t="n">
        <v>12621</v>
      </c>
      <c r="H1099" s="0" t="s">
        <v>33</v>
      </c>
      <c r="I1099" s="7" t="n">
        <f aca="false">IF(AND(LEFT(A1099,1)&lt;&gt;"C",D1099&gt;0,F1099&gt;0),1,0)</f>
        <v>1</v>
      </c>
      <c r="J1099" s="7" t="n">
        <f aca="false">IF(I1099=1,D1099*F1099,0)</f>
        <v>15.9</v>
      </c>
      <c r="K1099" s="7" t="n">
        <f aca="false">YEAR(E1099)*100+MONTH(E1099)</f>
        <v>201109</v>
      </c>
      <c r="L1099" s="7" t="n">
        <f aca="false">IF(AND(A1099&lt;&gt;A1098,LEFT(A1099,1)&lt;&gt;"C"),1,0)</f>
        <v>0</v>
      </c>
    </row>
    <row r="1100" customFormat="false" ht="15" hidden="false" customHeight="false" outlineLevel="0" collapsed="false">
      <c r="A1100" s="0" t="s">
        <v>1179</v>
      </c>
      <c r="B1100" s="0" t="s">
        <v>322</v>
      </c>
      <c r="C1100" s="0" t="s">
        <v>323</v>
      </c>
      <c r="D1100" s="0" t="n">
        <v>4</v>
      </c>
      <c r="E1100" s="6" t="n">
        <v>40805.5611111111</v>
      </c>
      <c r="F1100" s="0" t="n">
        <v>3.75</v>
      </c>
      <c r="G1100" s="0" t="n">
        <v>12621</v>
      </c>
      <c r="H1100" s="0" t="s">
        <v>33</v>
      </c>
      <c r="I1100" s="7" t="n">
        <f aca="false">IF(AND(LEFT(A1100,1)&lt;&gt;"C",D1100&gt;0,F1100&gt;0),1,0)</f>
        <v>1</v>
      </c>
      <c r="J1100" s="7" t="n">
        <f aca="false">IF(I1100=1,D1100*F1100,0)</f>
        <v>15</v>
      </c>
      <c r="K1100" s="7" t="n">
        <f aca="false">YEAR(E1100)*100+MONTH(E1100)</f>
        <v>201109</v>
      </c>
      <c r="L1100" s="7" t="n">
        <f aca="false">IF(AND(A1100&lt;&gt;A1099,LEFT(A1100,1)&lt;&gt;"C"),1,0)</f>
        <v>0</v>
      </c>
    </row>
    <row r="1101" customFormat="false" ht="15" hidden="false" customHeight="false" outlineLevel="0" collapsed="false">
      <c r="A1101" s="0" t="s">
        <v>1179</v>
      </c>
      <c r="B1101" s="0" t="s">
        <v>320</v>
      </c>
      <c r="C1101" s="0" t="s">
        <v>321</v>
      </c>
      <c r="D1101" s="0" t="n">
        <v>4</v>
      </c>
      <c r="E1101" s="6" t="n">
        <v>40805.5611111111</v>
      </c>
      <c r="F1101" s="0" t="n">
        <v>3.75</v>
      </c>
      <c r="G1101" s="0" t="n">
        <v>12621</v>
      </c>
      <c r="H1101" s="0" t="s">
        <v>33</v>
      </c>
      <c r="I1101" s="7" t="n">
        <f aca="false">IF(AND(LEFT(A1101,1)&lt;&gt;"C",D1101&gt;0,F1101&gt;0),1,0)</f>
        <v>1</v>
      </c>
      <c r="J1101" s="7" t="n">
        <f aca="false">IF(I1101=1,D1101*F1101,0)</f>
        <v>15</v>
      </c>
      <c r="K1101" s="7" t="n">
        <f aca="false">YEAR(E1101)*100+MONTH(E1101)</f>
        <v>201109</v>
      </c>
      <c r="L1101" s="7" t="n">
        <f aca="false">IF(AND(A1101&lt;&gt;A1100,LEFT(A1101,1)&lt;&gt;"C"),1,0)</f>
        <v>0</v>
      </c>
    </row>
    <row r="1102" customFormat="false" ht="15" hidden="false" customHeight="false" outlineLevel="0" collapsed="false">
      <c r="A1102" s="0" t="s">
        <v>1179</v>
      </c>
      <c r="B1102" s="0" t="s">
        <v>295</v>
      </c>
      <c r="C1102" s="0" t="s">
        <v>296</v>
      </c>
      <c r="D1102" s="0" t="n">
        <v>4</v>
      </c>
      <c r="E1102" s="6" t="n">
        <v>40805.5611111111</v>
      </c>
      <c r="F1102" s="0" t="n">
        <v>3.75</v>
      </c>
      <c r="G1102" s="0" t="n">
        <v>12621</v>
      </c>
      <c r="H1102" s="0" t="s">
        <v>33</v>
      </c>
      <c r="I1102" s="7" t="n">
        <f aca="false">IF(AND(LEFT(A1102,1)&lt;&gt;"C",D1102&gt;0,F1102&gt;0),1,0)</f>
        <v>1</v>
      </c>
      <c r="J1102" s="7" t="n">
        <f aca="false">IF(I1102=1,D1102*F1102,0)</f>
        <v>15</v>
      </c>
      <c r="K1102" s="7" t="n">
        <f aca="false">YEAR(E1102)*100+MONTH(E1102)</f>
        <v>201109</v>
      </c>
      <c r="L1102" s="7" t="n">
        <f aca="false">IF(AND(A1102&lt;&gt;A1101,LEFT(A1102,1)&lt;&gt;"C"),1,0)</f>
        <v>0</v>
      </c>
    </row>
    <row r="1103" customFormat="false" ht="15" hidden="false" customHeight="false" outlineLevel="0" collapsed="false">
      <c r="A1103" s="0" t="s">
        <v>1179</v>
      </c>
      <c r="B1103" s="0" t="s">
        <v>299</v>
      </c>
      <c r="C1103" s="0" t="s">
        <v>300</v>
      </c>
      <c r="D1103" s="0" t="n">
        <v>4</v>
      </c>
      <c r="E1103" s="6" t="n">
        <v>40805.5611111111</v>
      </c>
      <c r="F1103" s="0" t="n">
        <v>3.75</v>
      </c>
      <c r="G1103" s="0" t="n">
        <v>12621</v>
      </c>
      <c r="H1103" s="0" t="s">
        <v>33</v>
      </c>
      <c r="I1103" s="7" t="n">
        <f aca="false">IF(AND(LEFT(A1103,1)&lt;&gt;"C",D1103&gt;0,F1103&gt;0),1,0)</f>
        <v>1</v>
      </c>
      <c r="J1103" s="7" t="n">
        <f aca="false">IF(I1103=1,D1103*F1103,0)</f>
        <v>15</v>
      </c>
      <c r="K1103" s="7" t="n">
        <f aca="false">YEAR(E1103)*100+MONTH(E1103)</f>
        <v>201109</v>
      </c>
      <c r="L1103" s="7" t="n">
        <f aca="false">IF(AND(A1103&lt;&gt;A1102,LEFT(A1103,1)&lt;&gt;"C"),1,0)</f>
        <v>0</v>
      </c>
    </row>
    <row r="1104" customFormat="false" ht="15" hidden="false" customHeight="false" outlineLevel="0" collapsed="false">
      <c r="A1104" s="0" t="s">
        <v>1179</v>
      </c>
      <c r="B1104" s="0" t="s">
        <v>1180</v>
      </c>
      <c r="C1104" s="0" t="s">
        <v>1181</v>
      </c>
      <c r="D1104" s="0" t="n">
        <v>24</v>
      </c>
      <c r="E1104" s="6" t="n">
        <v>40805.5611111111</v>
      </c>
      <c r="F1104" s="0" t="n">
        <v>0.39</v>
      </c>
      <c r="G1104" s="0" t="n">
        <v>12621</v>
      </c>
      <c r="H1104" s="0" t="s">
        <v>33</v>
      </c>
      <c r="I1104" s="7" t="n">
        <f aca="false">IF(AND(LEFT(A1104,1)&lt;&gt;"C",D1104&gt;0,F1104&gt;0),1,0)</f>
        <v>1</v>
      </c>
      <c r="J1104" s="7" t="n">
        <f aca="false">IF(I1104=1,D1104*F1104,0)</f>
        <v>9.36</v>
      </c>
      <c r="K1104" s="7" t="n">
        <f aca="false">YEAR(E1104)*100+MONTH(E1104)</f>
        <v>201109</v>
      </c>
      <c r="L1104" s="7" t="n">
        <f aca="false">IF(AND(A1104&lt;&gt;A1103,LEFT(A1104,1)&lt;&gt;"C"),1,0)</f>
        <v>0</v>
      </c>
    </row>
    <row r="1105" customFormat="false" ht="15" hidden="false" customHeight="false" outlineLevel="0" collapsed="false">
      <c r="A1105" s="0" t="s">
        <v>1179</v>
      </c>
      <c r="B1105" s="0" t="s">
        <v>627</v>
      </c>
      <c r="C1105" s="0" t="s">
        <v>628</v>
      </c>
      <c r="D1105" s="0" t="n">
        <v>10</v>
      </c>
      <c r="E1105" s="6" t="n">
        <v>40805.5611111111</v>
      </c>
      <c r="F1105" s="0" t="n">
        <v>0.85</v>
      </c>
      <c r="G1105" s="0" t="n">
        <v>12621</v>
      </c>
      <c r="H1105" s="0" t="s">
        <v>33</v>
      </c>
      <c r="I1105" s="7" t="n">
        <f aca="false">IF(AND(LEFT(A1105,1)&lt;&gt;"C",D1105&gt;0,F1105&gt;0),1,0)</f>
        <v>1</v>
      </c>
      <c r="J1105" s="7" t="n">
        <f aca="false">IF(I1105=1,D1105*F1105,0)</f>
        <v>8.5</v>
      </c>
      <c r="K1105" s="7" t="n">
        <f aca="false">YEAR(E1105)*100+MONTH(E1105)</f>
        <v>201109</v>
      </c>
      <c r="L1105" s="7" t="n">
        <f aca="false">IF(AND(A1105&lt;&gt;A1104,LEFT(A1105,1)&lt;&gt;"C"),1,0)</f>
        <v>0</v>
      </c>
    </row>
    <row r="1106" customFormat="false" ht="15" hidden="false" customHeight="false" outlineLevel="0" collapsed="false">
      <c r="A1106" s="0" t="s">
        <v>1179</v>
      </c>
      <c r="B1106" s="0" t="s">
        <v>78</v>
      </c>
      <c r="C1106" s="0" t="s">
        <v>79</v>
      </c>
      <c r="D1106" s="0" t="n">
        <v>10</v>
      </c>
      <c r="E1106" s="6" t="n">
        <v>40805.5611111111</v>
      </c>
      <c r="F1106" s="0" t="n">
        <v>1.65</v>
      </c>
      <c r="G1106" s="0" t="n">
        <v>12621</v>
      </c>
      <c r="H1106" s="0" t="s">
        <v>33</v>
      </c>
      <c r="I1106" s="7" t="n">
        <f aca="false">IF(AND(LEFT(A1106,1)&lt;&gt;"C",D1106&gt;0,F1106&gt;0),1,0)</f>
        <v>1</v>
      </c>
      <c r="J1106" s="7" t="n">
        <f aca="false">IF(I1106=1,D1106*F1106,0)</f>
        <v>16.5</v>
      </c>
      <c r="K1106" s="7" t="n">
        <f aca="false">YEAR(E1106)*100+MONTH(E1106)</f>
        <v>201109</v>
      </c>
      <c r="L1106" s="7" t="n">
        <f aca="false">IF(AND(A1106&lt;&gt;A1105,LEFT(A1106,1)&lt;&gt;"C"),1,0)</f>
        <v>0</v>
      </c>
    </row>
    <row r="1107" customFormat="false" ht="15" hidden="false" customHeight="false" outlineLevel="0" collapsed="false">
      <c r="A1107" s="0" t="s">
        <v>1179</v>
      </c>
      <c r="B1107" s="0" t="s">
        <v>74</v>
      </c>
      <c r="C1107" s="0" t="s">
        <v>75</v>
      </c>
      <c r="D1107" s="0" t="n">
        <v>48</v>
      </c>
      <c r="E1107" s="6" t="n">
        <v>40805.5611111111</v>
      </c>
      <c r="F1107" s="0" t="n">
        <v>1.95</v>
      </c>
      <c r="G1107" s="0" t="n">
        <v>12621</v>
      </c>
      <c r="H1107" s="0" t="s">
        <v>33</v>
      </c>
      <c r="I1107" s="7" t="n">
        <f aca="false">IF(AND(LEFT(A1107,1)&lt;&gt;"C",D1107&gt;0,F1107&gt;0),1,0)</f>
        <v>1</v>
      </c>
      <c r="J1107" s="7" t="n">
        <f aca="false">IF(I1107=1,D1107*F1107,0)</f>
        <v>93.6</v>
      </c>
      <c r="K1107" s="7" t="n">
        <f aca="false">YEAR(E1107)*100+MONTH(E1107)</f>
        <v>201109</v>
      </c>
      <c r="L1107" s="7" t="n">
        <f aca="false">IF(AND(A1107&lt;&gt;A1106,LEFT(A1107,1)&lt;&gt;"C"),1,0)</f>
        <v>0</v>
      </c>
    </row>
    <row r="1108" customFormat="false" ht="15" hidden="false" customHeight="false" outlineLevel="0" collapsed="false">
      <c r="A1108" s="0" t="s">
        <v>1179</v>
      </c>
      <c r="B1108" s="0" t="s">
        <v>484</v>
      </c>
      <c r="C1108" s="0" t="s">
        <v>485</v>
      </c>
      <c r="D1108" s="0" t="n">
        <v>12</v>
      </c>
      <c r="E1108" s="6" t="n">
        <v>40805.5611111111</v>
      </c>
      <c r="F1108" s="0" t="n">
        <v>1.65</v>
      </c>
      <c r="G1108" s="0" t="n">
        <v>12621</v>
      </c>
      <c r="H1108" s="0" t="s">
        <v>33</v>
      </c>
      <c r="I1108" s="7" t="n">
        <f aca="false">IF(AND(LEFT(A1108,1)&lt;&gt;"C",D1108&gt;0,F1108&gt;0),1,0)</f>
        <v>1</v>
      </c>
      <c r="J1108" s="7" t="n">
        <f aca="false">IF(I1108=1,D1108*F1108,0)</f>
        <v>19.8</v>
      </c>
      <c r="K1108" s="7" t="n">
        <f aca="false">YEAR(E1108)*100+MONTH(E1108)</f>
        <v>201109</v>
      </c>
      <c r="L1108" s="7" t="n">
        <f aca="false">IF(AND(A1108&lt;&gt;A1107,LEFT(A1108,1)&lt;&gt;"C"),1,0)</f>
        <v>0</v>
      </c>
    </row>
    <row r="1109" customFormat="false" ht="15" hidden="false" customHeight="false" outlineLevel="0" collapsed="false">
      <c r="A1109" s="0" t="s">
        <v>1179</v>
      </c>
      <c r="B1109" s="0" t="s">
        <v>123</v>
      </c>
      <c r="C1109" s="0" t="s">
        <v>124</v>
      </c>
      <c r="D1109" s="0" t="n">
        <v>24</v>
      </c>
      <c r="E1109" s="6" t="n">
        <v>40805.5611111111</v>
      </c>
      <c r="F1109" s="0" t="n">
        <v>2.95</v>
      </c>
      <c r="G1109" s="0" t="n">
        <v>12621</v>
      </c>
      <c r="H1109" s="0" t="s">
        <v>33</v>
      </c>
      <c r="I1109" s="7" t="n">
        <f aca="false">IF(AND(LEFT(A1109,1)&lt;&gt;"C",D1109&gt;0,F1109&gt;0),1,0)</f>
        <v>1</v>
      </c>
      <c r="J1109" s="7" t="n">
        <f aca="false">IF(I1109=1,D1109*F1109,0)</f>
        <v>70.8</v>
      </c>
      <c r="K1109" s="7" t="n">
        <f aca="false">YEAR(E1109)*100+MONTH(E1109)</f>
        <v>201109</v>
      </c>
      <c r="L1109" s="7" t="n">
        <f aca="false">IF(AND(A1109&lt;&gt;A1108,LEFT(A1109,1)&lt;&gt;"C"),1,0)</f>
        <v>0</v>
      </c>
    </row>
    <row r="1110" customFormat="false" ht="15" hidden="false" customHeight="false" outlineLevel="0" collapsed="false">
      <c r="A1110" s="0" t="s">
        <v>1179</v>
      </c>
      <c r="B1110" s="0" t="s">
        <v>610</v>
      </c>
      <c r="C1110" s="0" t="s">
        <v>611</v>
      </c>
      <c r="D1110" s="0" t="n">
        <v>12</v>
      </c>
      <c r="E1110" s="6" t="n">
        <v>40805.5611111111</v>
      </c>
      <c r="F1110" s="0" t="n">
        <v>2.95</v>
      </c>
      <c r="G1110" s="0" t="n">
        <v>12621</v>
      </c>
      <c r="H1110" s="0" t="s">
        <v>33</v>
      </c>
      <c r="I1110" s="7" t="n">
        <f aca="false">IF(AND(LEFT(A1110,1)&lt;&gt;"C",D1110&gt;0,F1110&gt;0),1,0)</f>
        <v>1</v>
      </c>
      <c r="J1110" s="7" t="n">
        <f aca="false">IF(I1110=1,D1110*F1110,0)</f>
        <v>35.4</v>
      </c>
      <c r="K1110" s="7" t="n">
        <f aca="false">YEAR(E1110)*100+MONTH(E1110)</f>
        <v>201109</v>
      </c>
      <c r="L1110" s="7" t="n">
        <f aca="false">IF(AND(A1110&lt;&gt;A1109,LEFT(A1110,1)&lt;&gt;"C"),1,0)</f>
        <v>0</v>
      </c>
    </row>
    <row r="1111" customFormat="false" ht="15" hidden="false" customHeight="false" outlineLevel="0" collapsed="false">
      <c r="A1111" s="0" t="s">
        <v>1179</v>
      </c>
      <c r="B1111" s="0" t="s">
        <v>741</v>
      </c>
      <c r="C1111" s="0" t="s">
        <v>742</v>
      </c>
      <c r="D1111" s="0" t="n">
        <v>12</v>
      </c>
      <c r="E1111" s="6" t="n">
        <v>40805.5611111111</v>
      </c>
      <c r="F1111" s="0" t="n">
        <v>0.42</v>
      </c>
      <c r="G1111" s="0" t="n">
        <v>12621</v>
      </c>
      <c r="H1111" s="0" t="s">
        <v>33</v>
      </c>
      <c r="I1111" s="7" t="n">
        <f aca="false">IF(AND(LEFT(A1111,1)&lt;&gt;"C",D1111&gt;0,F1111&gt;0),1,0)</f>
        <v>1</v>
      </c>
      <c r="J1111" s="7" t="n">
        <f aca="false">IF(I1111=1,D1111*F1111,0)</f>
        <v>5.04</v>
      </c>
      <c r="K1111" s="7" t="n">
        <f aca="false">YEAR(E1111)*100+MONTH(E1111)</f>
        <v>201109</v>
      </c>
      <c r="L1111" s="7" t="n">
        <f aca="false">IF(AND(A1111&lt;&gt;A1110,LEFT(A1111,1)&lt;&gt;"C"),1,0)</f>
        <v>0</v>
      </c>
    </row>
    <row r="1112" customFormat="false" ht="15" hidden="false" customHeight="false" outlineLevel="0" collapsed="false">
      <c r="A1112" s="0" t="s">
        <v>1179</v>
      </c>
      <c r="B1112" s="0" t="s">
        <v>84</v>
      </c>
      <c r="C1112" s="0" t="s">
        <v>85</v>
      </c>
      <c r="D1112" s="0" t="n">
        <v>2</v>
      </c>
      <c r="E1112" s="6" t="n">
        <v>40805.5611111111</v>
      </c>
      <c r="F1112" s="0" t="n">
        <v>18</v>
      </c>
      <c r="G1112" s="0" t="n">
        <v>12621</v>
      </c>
      <c r="H1112" s="0" t="s">
        <v>33</v>
      </c>
      <c r="I1112" s="7" t="n">
        <f aca="false">IF(AND(LEFT(A1112,1)&lt;&gt;"C",D1112&gt;0,F1112&gt;0),1,0)</f>
        <v>1</v>
      </c>
      <c r="J1112" s="7" t="n">
        <f aca="false">IF(I1112=1,D1112*F1112,0)</f>
        <v>36</v>
      </c>
      <c r="K1112" s="7" t="n">
        <f aca="false">YEAR(E1112)*100+MONTH(E1112)</f>
        <v>201109</v>
      </c>
      <c r="L1112" s="7" t="n">
        <f aca="false">IF(AND(A1112&lt;&gt;A1111,LEFT(A1112,1)&lt;&gt;"C"),1,0)</f>
        <v>0</v>
      </c>
    </row>
    <row r="1113" customFormat="false" ht="15" hidden="false" customHeight="false" outlineLevel="0" collapsed="false">
      <c r="A1113" s="0" t="s">
        <v>1182</v>
      </c>
      <c r="B1113" s="0" t="s">
        <v>64</v>
      </c>
      <c r="C1113" s="0" t="s">
        <v>65</v>
      </c>
      <c r="D1113" s="0" t="n">
        <v>12</v>
      </c>
      <c r="E1113" s="6" t="n">
        <v>40805.6222222222</v>
      </c>
      <c r="F1113" s="0" t="n">
        <v>1.65</v>
      </c>
      <c r="G1113" s="0" t="n">
        <v>12621</v>
      </c>
      <c r="H1113" s="0" t="s">
        <v>33</v>
      </c>
      <c r="I1113" s="7" t="n">
        <f aca="false">IF(AND(LEFT(A1113,1)&lt;&gt;"C",D1113&gt;0,F1113&gt;0),1,0)</f>
        <v>1</v>
      </c>
      <c r="J1113" s="7" t="n">
        <f aca="false">IF(I1113=1,D1113*F1113,0)</f>
        <v>19.8</v>
      </c>
      <c r="K1113" s="7" t="n">
        <f aca="false">YEAR(E1113)*100+MONTH(E1113)</f>
        <v>201109</v>
      </c>
      <c r="L1113" s="7" t="n">
        <f aca="false">IF(AND(A1113&lt;&gt;A1112,LEFT(A1113,1)&lt;&gt;"C"),1,0)</f>
        <v>1</v>
      </c>
    </row>
    <row r="1114" customFormat="false" ht="15" hidden="false" customHeight="false" outlineLevel="0" collapsed="false">
      <c r="A1114" s="0" t="s">
        <v>1182</v>
      </c>
      <c r="B1114" s="0" t="s">
        <v>895</v>
      </c>
      <c r="C1114" s="0" t="s">
        <v>896</v>
      </c>
      <c r="D1114" s="0" t="n">
        <v>6</v>
      </c>
      <c r="E1114" s="6" t="n">
        <v>40805.6222222222</v>
      </c>
      <c r="F1114" s="0" t="n">
        <v>2.89</v>
      </c>
      <c r="G1114" s="0" t="n">
        <v>12621</v>
      </c>
      <c r="H1114" s="0" t="s">
        <v>33</v>
      </c>
      <c r="I1114" s="7" t="n">
        <f aca="false">IF(AND(LEFT(A1114,1)&lt;&gt;"C",D1114&gt;0,F1114&gt;0),1,0)</f>
        <v>1</v>
      </c>
      <c r="J1114" s="7" t="n">
        <f aca="false">IF(I1114=1,D1114*F1114,0)</f>
        <v>17.34</v>
      </c>
      <c r="K1114" s="7" t="n">
        <f aca="false">YEAR(E1114)*100+MONTH(E1114)</f>
        <v>201109</v>
      </c>
      <c r="L1114" s="7" t="n">
        <f aca="false">IF(AND(A1114&lt;&gt;A1113,LEFT(A1114,1)&lt;&gt;"C"),1,0)</f>
        <v>0</v>
      </c>
    </row>
    <row r="1115" customFormat="false" ht="15" hidden="false" customHeight="false" outlineLevel="0" collapsed="false">
      <c r="A1115" s="0" t="s">
        <v>1182</v>
      </c>
      <c r="B1115" s="0" t="s">
        <v>825</v>
      </c>
      <c r="C1115" s="0" t="s">
        <v>826</v>
      </c>
      <c r="D1115" s="0" t="n">
        <v>6</v>
      </c>
      <c r="E1115" s="6" t="n">
        <v>40805.6222222222</v>
      </c>
      <c r="F1115" s="0" t="n">
        <v>2.95</v>
      </c>
      <c r="G1115" s="0" t="n">
        <v>12621</v>
      </c>
      <c r="H1115" s="0" t="s">
        <v>33</v>
      </c>
      <c r="I1115" s="7" t="n">
        <f aca="false">IF(AND(LEFT(A1115,1)&lt;&gt;"C",D1115&gt;0,F1115&gt;0),1,0)</f>
        <v>1</v>
      </c>
      <c r="J1115" s="7" t="n">
        <f aca="false">IF(I1115=1,D1115*F1115,0)</f>
        <v>17.7</v>
      </c>
      <c r="K1115" s="7" t="n">
        <f aca="false">YEAR(E1115)*100+MONTH(E1115)</f>
        <v>201109</v>
      </c>
      <c r="L1115" s="7" t="n">
        <f aca="false">IF(AND(A1115&lt;&gt;A1114,LEFT(A1115,1)&lt;&gt;"C"),1,0)</f>
        <v>0</v>
      </c>
    </row>
    <row r="1116" customFormat="false" ht="15" hidden="false" customHeight="false" outlineLevel="0" collapsed="false">
      <c r="A1116" s="0" t="s">
        <v>1182</v>
      </c>
      <c r="B1116" s="0" t="s">
        <v>827</v>
      </c>
      <c r="C1116" s="0" t="s">
        <v>828</v>
      </c>
      <c r="D1116" s="0" t="n">
        <v>6</v>
      </c>
      <c r="E1116" s="6" t="n">
        <v>40805.6222222222</v>
      </c>
      <c r="F1116" s="0" t="n">
        <v>2.95</v>
      </c>
      <c r="G1116" s="0" t="n">
        <v>12621</v>
      </c>
      <c r="H1116" s="0" t="s">
        <v>33</v>
      </c>
      <c r="I1116" s="7" t="n">
        <f aca="false">IF(AND(LEFT(A1116,1)&lt;&gt;"C",D1116&gt;0,F1116&gt;0),1,0)</f>
        <v>1</v>
      </c>
      <c r="J1116" s="7" t="n">
        <f aca="false">IF(I1116=1,D1116*F1116,0)</f>
        <v>17.7</v>
      </c>
      <c r="K1116" s="7" t="n">
        <f aca="false">YEAR(E1116)*100+MONTH(E1116)</f>
        <v>201109</v>
      </c>
      <c r="L1116" s="7" t="n">
        <f aca="false">IF(AND(A1116&lt;&gt;A1115,LEFT(A1116,1)&lt;&gt;"C"),1,0)</f>
        <v>0</v>
      </c>
    </row>
    <row r="1117" customFormat="false" ht="15" hidden="false" customHeight="false" outlineLevel="0" collapsed="false">
      <c r="A1117" s="0" t="s">
        <v>1182</v>
      </c>
      <c r="B1117" s="0" t="s">
        <v>1183</v>
      </c>
      <c r="C1117" s="0" t="s">
        <v>1184</v>
      </c>
      <c r="D1117" s="0" t="n">
        <v>20</v>
      </c>
      <c r="E1117" s="6" t="n">
        <v>40805.6222222222</v>
      </c>
      <c r="F1117" s="0" t="n">
        <v>0.82</v>
      </c>
      <c r="G1117" s="0" t="n">
        <v>12621</v>
      </c>
      <c r="H1117" s="0" t="s">
        <v>33</v>
      </c>
      <c r="I1117" s="7" t="n">
        <f aca="false">IF(AND(LEFT(A1117,1)&lt;&gt;"C",D1117&gt;0,F1117&gt;0),1,0)</f>
        <v>1</v>
      </c>
      <c r="J1117" s="7" t="n">
        <f aca="false">IF(I1117=1,D1117*F1117,0)</f>
        <v>16.4</v>
      </c>
      <c r="K1117" s="7" t="n">
        <f aca="false">YEAR(E1117)*100+MONTH(E1117)</f>
        <v>201109</v>
      </c>
      <c r="L1117" s="7" t="n">
        <f aca="false">IF(AND(A1117&lt;&gt;A1116,LEFT(A1117,1)&lt;&gt;"C"),1,0)</f>
        <v>0</v>
      </c>
    </row>
    <row r="1118" customFormat="false" ht="15" hidden="false" customHeight="false" outlineLevel="0" collapsed="false">
      <c r="A1118" s="0" t="s">
        <v>1182</v>
      </c>
      <c r="B1118" s="0" t="s">
        <v>1185</v>
      </c>
      <c r="C1118" s="0" t="s">
        <v>1186</v>
      </c>
      <c r="D1118" s="0" t="n">
        <v>24</v>
      </c>
      <c r="E1118" s="6" t="n">
        <v>40805.6222222222</v>
      </c>
      <c r="F1118" s="0" t="n">
        <v>1.25</v>
      </c>
      <c r="G1118" s="0" t="n">
        <v>12621</v>
      </c>
      <c r="H1118" s="0" t="s">
        <v>33</v>
      </c>
      <c r="I1118" s="7" t="n">
        <f aca="false">IF(AND(LEFT(A1118,1)&lt;&gt;"C",D1118&gt;0,F1118&gt;0),1,0)</f>
        <v>1</v>
      </c>
      <c r="J1118" s="7" t="n">
        <f aca="false">IF(I1118=1,D1118*F1118,0)</f>
        <v>30</v>
      </c>
      <c r="K1118" s="7" t="n">
        <f aca="false">YEAR(E1118)*100+MONTH(E1118)</f>
        <v>201109</v>
      </c>
      <c r="L1118" s="7" t="n">
        <f aca="false">IF(AND(A1118&lt;&gt;A1117,LEFT(A1118,1)&lt;&gt;"C"),1,0)</f>
        <v>0</v>
      </c>
    </row>
    <row r="1119" customFormat="false" ht="15" hidden="false" customHeight="false" outlineLevel="0" collapsed="false">
      <c r="A1119" s="0" t="s">
        <v>1182</v>
      </c>
      <c r="B1119" s="0" t="s">
        <v>1187</v>
      </c>
      <c r="C1119" s="0" t="s">
        <v>1188</v>
      </c>
      <c r="D1119" s="0" t="n">
        <v>48</v>
      </c>
      <c r="E1119" s="6" t="n">
        <v>40805.6222222222</v>
      </c>
      <c r="F1119" s="0" t="n">
        <v>4.95</v>
      </c>
      <c r="G1119" s="0" t="n">
        <v>12621</v>
      </c>
      <c r="H1119" s="0" t="s">
        <v>33</v>
      </c>
      <c r="I1119" s="7" t="n">
        <f aca="false">IF(AND(LEFT(A1119,1)&lt;&gt;"C",D1119&gt;0,F1119&gt;0),1,0)</f>
        <v>1</v>
      </c>
      <c r="J1119" s="7" t="n">
        <f aca="false">IF(I1119=1,D1119*F1119,0)</f>
        <v>237.6</v>
      </c>
      <c r="K1119" s="7" t="n">
        <f aca="false">YEAR(E1119)*100+MONTH(E1119)</f>
        <v>201109</v>
      </c>
      <c r="L1119" s="7" t="n">
        <f aca="false">IF(AND(A1119&lt;&gt;A1118,LEFT(A1119,1)&lt;&gt;"C"),1,0)</f>
        <v>0</v>
      </c>
    </row>
    <row r="1120" customFormat="false" ht="15" hidden="false" customHeight="false" outlineLevel="0" collapsed="false">
      <c r="A1120" s="0" t="s">
        <v>1182</v>
      </c>
      <c r="B1120" s="0" t="s">
        <v>1099</v>
      </c>
      <c r="C1120" s="0" t="s">
        <v>1100</v>
      </c>
      <c r="D1120" s="0" t="n">
        <v>96</v>
      </c>
      <c r="E1120" s="6" t="n">
        <v>40805.6222222222</v>
      </c>
      <c r="F1120" s="0" t="n">
        <v>2.08</v>
      </c>
      <c r="G1120" s="0" t="n">
        <v>12621</v>
      </c>
      <c r="H1120" s="0" t="s">
        <v>33</v>
      </c>
      <c r="I1120" s="7" t="n">
        <f aca="false">IF(AND(LEFT(A1120,1)&lt;&gt;"C",D1120&gt;0,F1120&gt;0),1,0)</f>
        <v>1</v>
      </c>
      <c r="J1120" s="7" t="n">
        <f aca="false">IF(I1120=1,D1120*F1120,0)</f>
        <v>199.68</v>
      </c>
      <c r="K1120" s="7" t="n">
        <f aca="false">YEAR(E1120)*100+MONTH(E1120)</f>
        <v>201109</v>
      </c>
      <c r="L1120" s="7" t="n">
        <f aca="false">IF(AND(A1120&lt;&gt;A1119,LEFT(A1120,1)&lt;&gt;"C"),1,0)</f>
        <v>0</v>
      </c>
    </row>
    <row r="1121" customFormat="false" ht="15" hidden="false" customHeight="false" outlineLevel="0" collapsed="false">
      <c r="A1121" s="0" t="s">
        <v>1182</v>
      </c>
      <c r="B1121" s="0" t="s">
        <v>1189</v>
      </c>
      <c r="C1121" s="0" t="s">
        <v>1190</v>
      </c>
      <c r="D1121" s="0" t="n">
        <v>12</v>
      </c>
      <c r="E1121" s="6" t="n">
        <v>40805.6222222222</v>
      </c>
      <c r="F1121" s="0" t="n">
        <v>2.89</v>
      </c>
      <c r="G1121" s="0" t="n">
        <v>12621</v>
      </c>
      <c r="H1121" s="0" t="s">
        <v>33</v>
      </c>
      <c r="I1121" s="7" t="n">
        <f aca="false">IF(AND(LEFT(A1121,1)&lt;&gt;"C",D1121&gt;0,F1121&gt;0),1,0)</f>
        <v>1</v>
      </c>
      <c r="J1121" s="7" t="n">
        <f aca="false">IF(I1121=1,D1121*F1121,0)</f>
        <v>34.68</v>
      </c>
      <c r="K1121" s="7" t="n">
        <f aca="false">YEAR(E1121)*100+MONTH(E1121)</f>
        <v>201109</v>
      </c>
      <c r="L1121" s="7" t="n">
        <f aca="false">IF(AND(A1121&lt;&gt;A1120,LEFT(A1121,1)&lt;&gt;"C"),1,0)</f>
        <v>0</v>
      </c>
    </row>
    <row r="1122" customFormat="false" ht="15" hidden="false" customHeight="false" outlineLevel="0" collapsed="false">
      <c r="A1122" s="0" t="s">
        <v>1182</v>
      </c>
      <c r="B1122" s="0" t="s">
        <v>84</v>
      </c>
      <c r="C1122" s="0" t="s">
        <v>85</v>
      </c>
      <c r="D1122" s="0" t="n">
        <v>4</v>
      </c>
      <c r="E1122" s="6" t="n">
        <v>40805.6222222222</v>
      </c>
      <c r="F1122" s="0" t="n">
        <v>18</v>
      </c>
      <c r="G1122" s="0" t="n">
        <v>12621</v>
      </c>
      <c r="H1122" s="0" t="s">
        <v>33</v>
      </c>
      <c r="I1122" s="7" t="n">
        <f aca="false">IF(AND(LEFT(A1122,1)&lt;&gt;"C",D1122&gt;0,F1122&gt;0),1,0)</f>
        <v>1</v>
      </c>
      <c r="J1122" s="7" t="n">
        <f aca="false">IF(I1122=1,D1122*F1122,0)</f>
        <v>72</v>
      </c>
      <c r="K1122" s="7" t="n">
        <f aca="false">YEAR(E1122)*100+MONTH(E1122)</f>
        <v>201109</v>
      </c>
      <c r="L1122" s="7" t="n">
        <f aca="false">IF(AND(A1122&lt;&gt;A1121,LEFT(A1122,1)&lt;&gt;"C"),1,0)</f>
        <v>0</v>
      </c>
    </row>
    <row r="1123" customFormat="false" ht="15" hidden="false" customHeight="false" outlineLevel="0" collapsed="false">
      <c r="A1123" s="0" t="s">
        <v>1191</v>
      </c>
      <c r="B1123" s="0" t="s">
        <v>1192</v>
      </c>
      <c r="C1123" s="0" t="s">
        <v>1193</v>
      </c>
      <c r="D1123" s="0" t="n">
        <v>6</v>
      </c>
      <c r="E1123" s="6" t="n">
        <v>40806.4208333333</v>
      </c>
      <c r="F1123" s="0" t="n">
        <v>2.95</v>
      </c>
      <c r="G1123" s="0" t="n">
        <v>12620</v>
      </c>
      <c r="H1123" s="0" t="s">
        <v>43</v>
      </c>
      <c r="I1123" s="7" t="n">
        <f aca="false">IF(AND(LEFT(A1123,1)&lt;&gt;"C",D1123&gt;0,F1123&gt;0),1,0)</f>
        <v>1</v>
      </c>
      <c r="J1123" s="7" t="n">
        <f aca="false">IF(I1123=1,D1123*F1123,0)</f>
        <v>17.7</v>
      </c>
      <c r="K1123" s="7" t="n">
        <f aca="false">YEAR(E1123)*100+MONTH(E1123)</f>
        <v>201109</v>
      </c>
      <c r="L1123" s="7" t="n">
        <f aca="false">IF(AND(A1123&lt;&gt;A1122,LEFT(A1123,1)&lt;&gt;"C"),1,0)</f>
        <v>1</v>
      </c>
    </row>
    <row r="1124" customFormat="false" ht="15" hidden="false" customHeight="false" outlineLevel="0" collapsed="false">
      <c r="A1124" s="0" t="s">
        <v>1191</v>
      </c>
      <c r="B1124" s="0" t="s">
        <v>1088</v>
      </c>
      <c r="C1124" s="0" t="s">
        <v>1089</v>
      </c>
      <c r="D1124" s="0" t="n">
        <v>48</v>
      </c>
      <c r="E1124" s="6" t="n">
        <v>40806.4208333333</v>
      </c>
      <c r="F1124" s="0" t="n">
        <v>0.39</v>
      </c>
      <c r="G1124" s="0" t="n">
        <v>12620</v>
      </c>
      <c r="H1124" s="0" t="s">
        <v>43</v>
      </c>
      <c r="I1124" s="7" t="n">
        <f aca="false">IF(AND(LEFT(A1124,1)&lt;&gt;"C",D1124&gt;0,F1124&gt;0),1,0)</f>
        <v>1</v>
      </c>
      <c r="J1124" s="7" t="n">
        <f aca="false">IF(I1124=1,D1124*F1124,0)</f>
        <v>18.72</v>
      </c>
      <c r="K1124" s="7" t="n">
        <f aca="false">YEAR(E1124)*100+MONTH(E1124)</f>
        <v>201109</v>
      </c>
      <c r="L1124" s="7" t="n">
        <f aca="false">IF(AND(A1124&lt;&gt;A1123,LEFT(A1124,1)&lt;&gt;"C"),1,0)</f>
        <v>0</v>
      </c>
    </row>
    <row r="1125" customFormat="false" ht="15" hidden="false" customHeight="false" outlineLevel="0" collapsed="false">
      <c r="A1125" s="0" t="s">
        <v>1191</v>
      </c>
      <c r="B1125" s="0" t="s">
        <v>1194</v>
      </c>
      <c r="C1125" s="0" t="s">
        <v>1195</v>
      </c>
      <c r="D1125" s="0" t="n">
        <v>36</v>
      </c>
      <c r="E1125" s="6" t="n">
        <v>40806.4208333333</v>
      </c>
      <c r="F1125" s="0" t="n">
        <v>0.79</v>
      </c>
      <c r="G1125" s="0" t="n">
        <v>12620</v>
      </c>
      <c r="H1125" s="0" t="s">
        <v>43</v>
      </c>
      <c r="I1125" s="7" t="n">
        <f aca="false">IF(AND(LEFT(A1125,1)&lt;&gt;"C",D1125&gt;0,F1125&gt;0),1,0)</f>
        <v>1</v>
      </c>
      <c r="J1125" s="7" t="n">
        <f aca="false">IF(I1125=1,D1125*F1125,0)</f>
        <v>28.44</v>
      </c>
      <c r="K1125" s="7" t="n">
        <f aca="false">YEAR(E1125)*100+MONTH(E1125)</f>
        <v>201109</v>
      </c>
      <c r="L1125" s="7" t="n">
        <f aca="false">IF(AND(A1125&lt;&gt;A1124,LEFT(A1125,1)&lt;&gt;"C"),1,0)</f>
        <v>0</v>
      </c>
    </row>
    <row r="1126" customFormat="false" ht="15" hidden="false" customHeight="false" outlineLevel="0" collapsed="false">
      <c r="A1126" s="0" t="s">
        <v>1191</v>
      </c>
      <c r="B1126" s="0" t="s">
        <v>1196</v>
      </c>
      <c r="C1126" s="0" t="s">
        <v>1197</v>
      </c>
      <c r="D1126" s="0" t="n">
        <v>48</v>
      </c>
      <c r="E1126" s="6" t="n">
        <v>40806.4208333333</v>
      </c>
      <c r="F1126" s="0" t="n">
        <v>0.29</v>
      </c>
      <c r="G1126" s="0" t="n">
        <v>12620</v>
      </c>
      <c r="H1126" s="0" t="s">
        <v>43</v>
      </c>
      <c r="I1126" s="7" t="n">
        <f aca="false">IF(AND(LEFT(A1126,1)&lt;&gt;"C",D1126&gt;0,F1126&gt;0),1,0)</f>
        <v>1</v>
      </c>
      <c r="J1126" s="7" t="n">
        <f aca="false">IF(I1126=1,D1126*F1126,0)</f>
        <v>13.92</v>
      </c>
      <c r="K1126" s="7" t="n">
        <f aca="false">YEAR(E1126)*100+MONTH(E1126)</f>
        <v>201109</v>
      </c>
      <c r="L1126" s="7" t="n">
        <f aca="false">IF(AND(A1126&lt;&gt;A1125,LEFT(A1126,1)&lt;&gt;"C"),1,0)</f>
        <v>0</v>
      </c>
    </row>
    <row r="1127" customFormat="false" ht="15" hidden="false" customHeight="false" outlineLevel="0" collapsed="false">
      <c r="A1127" s="0" t="s">
        <v>1191</v>
      </c>
      <c r="B1127" s="0" t="s">
        <v>1198</v>
      </c>
      <c r="C1127" s="0" t="s">
        <v>1199</v>
      </c>
      <c r="D1127" s="0" t="n">
        <v>12</v>
      </c>
      <c r="E1127" s="6" t="n">
        <v>40806.4208333333</v>
      </c>
      <c r="F1127" s="0" t="n">
        <v>0.79</v>
      </c>
      <c r="G1127" s="0" t="n">
        <v>12620</v>
      </c>
      <c r="H1127" s="0" t="s">
        <v>43</v>
      </c>
      <c r="I1127" s="7" t="n">
        <f aca="false">IF(AND(LEFT(A1127,1)&lt;&gt;"C",D1127&gt;0,F1127&gt;0),1,0)</f>
        <v>1</v>
      </c>
      <c r="J1127" s="7" t="n">
        <f aca="false">IF(I1127=1,D1127*F1127,0)</f>
        <v>9.48</v>
      </c>
      <c r="K1127" s="7" t="n">
        <f aca="false">YEAR(E1127)*100+MONTH(E1127)</f>
        <v>201109</v>
      </c>
      <c r="L1127" s="7" t="n">
        <f aca="false">IF(AND(A1127&lt;&gt;A1126,LEFT(A1127,1)&lt;&gt;"C"),1,0)</f>
        <v>0</v>
      </c>
    </row>
    <row r="1128" customFormat="false" ht="15" hidden="false" customHeight="false" outlineLevel="0" collapsed="false">
      <c r="A1128" s="0" t="s">
        <v>1191</v>
      </c>
      <c r="B1128" s="0" t="s">
        <v>1200</v>
      </c>
      <c r="C1128" s="0" t="s">
        <v>1201</v>
      </c>
      <c r="D1128" s="0" t="n">
        <v>12</v>
      </c>
      <c r="E1128" s="6" t="n">
        <v>40806.4208333333</v>
      </c>
      <c r="F1128" s="0" t="n">
        <v>1.45</v>
      </c>
      <c r="G1128" s="0" t="n">
        <v>12620</v>
      </c>
      <c r="H1128" s="0" t="s">
        <v>43</v>
      </c>
      <c r="I1128" s="7" t="n">
        <f aca="false">IF(AND(LEFT(A1128,1)&lt;&gt;"C",D1128&gt;0,F1128&gt;0),1,0)</f>
        <v>1</v>
      </c>
      <c r="J1128" s="7" t="n">
        <f aca="false">IF(I1128=1,D1128*F1128,0)</f>
        <v>17.4</v>
      </c>
      <c r="K1128" s="7" t="n">
        <f aca="false">YEAR(E1128)*100+MONTH(E1128)</f>
        <v>201109</v>
      </c>
      <c r="L1128" s="7" t="n">
        <f aca="false">IF(AND(A1128&lt;&gt;A1127,LEFT(A1128,1)&lt;&gt;"C"),1,0)</f>
        <v>0</v>
      </c>
    </row>
    <row r="1129" customFormat="false" ht="15" hidden="false" customHeight="false" outlineLevel="0" collapsed="false">
      <c r="A1129" s="0" t="s">
        <v>1191</v>
      </c>
      <c r="B1129" s="0" t="s">
        <v>779</v>
      </c>
      <c r="C1129" s="0" t="s">
        <v>780</v>
      </c>
      <c r="D1129" s="0" t="n">
        <v>4</v>
      </c>
      <c r="E1129" s="6" t="n">
        <v>40806.4208333333</v>
      </c>
      <c r="F1129" s="0" t="n">
        <v>4.95</v>
      </c>
      <c r="G1129" s="0" t="n">
        <v>12620</v>
      </c>
      <c r="H1129" s="0" t="s">
        <v>43</v>
      </c>
      <c r="I1129" s="7" t="n">
        <f aca="false">IF(AND(LEFT(A1129,1)&lt;&gt;"C",D1129&gt;0,F1129&gt;0),1,0)</f>
        <v>1</v>
      </c>
      <c r="J1129" s="7" t="n">
        <f aca="false">IF(I1129=1,D1129*F1129,0)</f>
        <v>19.8</v>
      </c>
      <c r="K1129" s="7" t="n">
        <f aca="false">YEAR(E1129)*100+MONTH(E1129)</f>
        <v>201109</v>
      </c>
      <c r="L1129" s="7" t="n">
        <f aca="false">IF(AND(A1129&lt;&gt;A1128,LEFT(A1129,1)&lt;&gt;"C"),1,0)</f>
        <v>0</v>
      </c>
    </row>
    <row r="1130" customFormat="false" ht="15" hidden="false" customHeight="false" outlineLevel="0" collapsed="false">
      <c r="A1130" s="0" t="s">
        <v>1191</v>
      </c>
      <c r="B1130" s="0" t="s">
        <v>1202</v>
      </c>
      <c r="C1130" s="0" t="s">
        <v>1203</v>
      </c>
      <c r="D1130" s="0" t="n">
        <v>12</v>
      </c>
      <c r="E1130" s="6" t="n">
        <v>40806.4208333333</v>
      </c>
      <c r="F1130" s="0" t="n">
        <v>1.95</v>
      </c>
      <c r="G1130" s="0" t="n">
        <v>12620</v>
      </c>
      <c r="H1130" s="0" t="s">
        <v>43</v>
      </c>
      <c r="I1130" s="7" t="n">
        <f aca="false">IF(AND(LEFT(A1130,1)&lt;&gt;"C",D1130&gt;0,F1130&gt;0),1,0)</f>
        <v>1</v>
      </c>
      <c r="J1130" s="7" t="n">
        <f aca="false">IF(I1130=1,D1130*F1130,0)</f>
        <v>23.4</v>
      </c>
      <c r="K1130" s="7" t="n">
        <f aca="false">YEAR(E1130)*100+MONTH(E1130)</f>
        <v>201109</v>
      </c>
      <c r="L1130" s="7" t="n">
        <f aca="false">IF(AND(A1130&lt;&gt;A1129,LEFT(A1130,1)&lt;&gt;"C"),1,0)</f>
        <v>0</v>
      </c>
    </row>
    <row r="1131" customFormat="false" ht="15" hidden="false" customHeight="false" outlineLevel="0" collapsed="false">
      <c r="A1131" s="0" t="s">
        <v>1191</v>
      </c>
      <c r="B1131" s="0" t="s">
        <v>1204</v>
      </c>
      <c r="C1131" s="0" t="s">
        <v>1205</v>
      </c>
      <c r="D1131" s="0" t="n">
        <v>1</v>
      </c>
      <c r="E1131" s="6" t="n">
        <v>40806.4208333333</v>
      </c>
      <c r="F1131" s="0" t="n">
        <v>9.95</v>
      </c>
      <c r="G1131" s="0" t="n">
        <v>12620</v>
      </c>
      <c r="H1131" s="0" t="s">
        <v>43</v>
      </c>
      <c r="I1131" s="7" t="n">
        <f aca="false">IF(AND(LEFT(A1131,1)&lt;&gt;"C",D1131&gt;0,F1131&gt;0),1,0)</f>
        <v>1</v>
      </c>
      <c r="J1131" s="7" t="n">
        <f aca="false">IF(I1131=1,D1131*F1131,0)</f>
        <v>9.95</v>
      </c>
      <c r="K1131" s="7" t="n">
        <f aca="false">YEAR(E1131)*100+MONTH(E1131)</f>
        <v>201109</v>
      </c>
      <c r="L1131" s="7" t="n">
        <f aca="false">IF(AND(A1131&lt;&gt;A1130,LEFT(A1131,1)&lt;&gt;"C"),1,0)</f>
        <v>0</v>
      </c>
    </row>
    <row r="1132" customFormat="false" ht="15" hidden="false" customHeight="false" outlineLevel="0" collapsed="false">
      <c r="A1132" s="0" t="s">
        <v>1191</v>
      </c>
      <c r="B1132" s="0" t="s">
        <v>1206</v>
      </c>
      <c r="C1132" s="0" t="s">
        <v>1207</v>
      </c>
      <c r="D1132" s="0" t="n">
        <v>6</v>
      </c>
      <c r="E1132" s="6" t="n">
        <v>40806.4208333333</v>
      </c>
      <c r="F1132" s="0" t="n">
        <v>4.95</v>
      </c>
      <c r="G1132" s="0" t="n">
        <v>12620</v>
      </c>
      <c r="H1132" s="0" t="s">
        <v>43</v>
      </c>
      <c r="I1132" s="7" t="n">
        <f aca="false">IF(AND(LEFT(A1132,1)&lt;&gt;"C",D1132&gt;0,F1132&gt;0),1,0)</f>
        <v>1</v>
      </c>
      <c r="J1132" s="7" t="n">
        <f aca="false">IF(I1132=1,D1132*F1132,0)</f>
        <v>29.7</v>
      </c>
      <c r="K1132" s="7" t="n">
        <f aca="false">YEAR(E1132)*100+MONTH(E1132)</f>
        <v>201109</v>
      </c>
      <c r="L1132" s="7" t="n">
        <f aca="false">IF(AND(A1132&lt;&gt;A1131,LEFT(A1132,1)&lt;&gt;"C"),1,0)</f>
        <v>0</v>
      </c>
    </row>
    <row r="1133" customFormat="false" ht="15" hidden="false" customHeight="false" outlineLevel="0" collapsed="false">
      <c r="A1133" s="0" t="s">
        <v>1191</v>
      </c>
      <c r="B1133" s="0" t="s">
        <v>1102</v>
      </c>
      <c r="C1133" s="0" t="s">
        <v>1103</v>
      </c>
      <c r="D1133" s="0" t="n">
        <v>12</v>
      </c>
      <c r="E1133" s="6" t="n">
        <v>40806.4208333333</v>
      </c>
      <c r="F1133" s="0" t="n">
        <v>2.55</v>
      </c>
      <c r="G1133" s="0" t="n">
        <v>12620</v>
      </c>
      <c r="H1133" s="0" t="s">
        <v>43</v>
      </c>
      <c r="I1133" s="7" t="n">
        <f aca="false">IF(AND(LEFT(A1133,1)&lt;&gt;"C",D1133&gt;0,F1133&gt;0),1,0)</f>
        <v>1</v>
      </c>
      <c r="J1133" s="7" t="n">
        <f aca="false">IF(I1133=1,D1133*F1133,0)</f>
        <v>30.6</v>
      </c>
      <c r="K1133" s="7" t="n">
        <f aca="false">YEAR(E1133)*100+MONTH(E1133)</f>
        <v>201109</v>
      </c>
      <c r="L1133" s="7" t="n">
        <f aca="false">IF(AND(A1133&lt;&gt;A1132,LEFT(A1133,1)&lt;&gt;"C"),1,0)</f>
        <v>0</v>
      </c>
    </row>
    <row r="1134" customFormat="false" ht="15" hidden="false" customHeight="false" outlineLevel="0" collapsed="false">
      <c r="A1134" s="0" t="s">
        <v>1191</v>
      </c>
      <c r="B1134" s="0" t="s">
        <v>1104</v>
      </c>
      <c r="C1134" s="0" t="s">
        <v>1105</v>
      </c>
      <c r="D1134" s="0" t="n">
        <v>12</v>
      </c>
      <c r="E1134" s="6" t="n">
        <v>40806.4208333333</v>
      </c>
      <c r="F1134" s="0" t="n">
        <v>2.55</v>
      </c>
      <c r="G1134" s="0" t="n">
        <v>12620</v>
      </c>
      <c r="H1134" s="0" t="s">
        <v>43</v>
      </c>
      <c r="I1134" s="7" t="n">
        <f aca="false">IF(AND(LEFT(A1134,1)&lt;&gt;"C",D1134&gt;0,F1134&gt;0),1,0)</f>
        <v>1</v>
      </c>
      <c r="J1134" s="7" t="n">
        <f aca="false">IF(I1134=1,D1134*F1134,0)</f>
        <v>30.6</v>
      </c>
      <c r="K1134" s="7" t="n">
        <f aca="false">YEAR(E1134)*100+MONTH(E1134)</f>
        <v>201109</v>
      </c>
      <c r="L1134" s="7" t="n">
        <f aca="false">IF(AND(A1134&lt;&gt;A1133,LEFT(A1134,1)&lt;&gt;"C"),1,0)</f>
        <v>0</v>
      </c>
    </row>
    <row r="1135" customFormat="false" ht="15" hidden="false" customHeight="false" outlineLevel="0" collapsed="false">
      <c r="A1135" s="0" t="s">
        <v>1191</v>
      </c>
      <c r="B1135" s="0" t="s">
        <v>394</v>
      </c>
      <c r="C1135" s="0" t="s">
        <v>395</v>
      </c>
      <c r="D1135" s="0" t="n">
        <v>15</v>
      </c>
      <c r="E1135" s="6" t="n">
        <v>40806.4208333333</v>
      </c>
      <c r="F1135" s="0" t="n">
        <v>0.42</v>
      </c>
      <c r="G1135" s="0" t="n">
        <v>12620</v>
      </c>
      <c r="H1135" s="0" t="s">
        <v>43</v>
      </c>
      <c r="I1135" s="7" t="n">
        <f aca="false">IF(AND(LEFT(A1135,1)&lt;&gt;"C",D1135&gt;0,F1135&gt;0),1,0)</f>
        <v>1</v>
      </c>
      <c r="J1135" s="7" t="n">
        <f aca="false">IF(I1135=1,D1135*F1135,0)</f>
        <v>6.3</v>
      </c>
      <c r="K1135" s="7" t="n">
        <f aca="false">YEAR(E1135)*100+MONTH(E1135)</f>
        <v>201109</v>
      </c>
      <c r="L1135" s="7" t="n">
        <f aca="false">IF(AND(A1135&lt;&gt;A1134,LEFT(A1135,1)&lt;&gt;"C"),1,0)</f>
        <v>0</v>
      </c>
    </row>
    <row r="1136" customFormat="false" ht="15" hidden="false" customHeight="false" outlineLevel="0" collapsed="false">
      <c r="A1136" s="0" t="s">
        <v>1191</v>
      </c>
      <c r="B1136" s="0" t="s">
        <v>392</v>
      </c>
      <c r="C1136" s="0" t="s">
        <v>393</v>
      </c>
      <c r="D1136" s="0" t="n">
        <v>12</v>
      </c>
      <c r="E1136" s="6" t="n">
        <v>40806.4208333333</v>
      </c>
      <c r="F1136" s="0" t="n">
        <v>0.85</v>
      </c>
      <c r="G1136" s="0" t="n">
        <v>12620</v>
      </c>
      <c r="H1136" s="0" t="s">
        <v>43</v>
      </c>
      <c r="I1136" s="7" t="n">
        <f aca="false">IF(AND(LEFT(A1136,1)&lt;&gt;"C",D1136&gt;0,F1136&gt;0),1,0)</f>
        <v>1</v>
      </c>
      <c r="J1136" s="7" t="n">
        <f aca="false">IF(I1136=1,D1136*F1136,0)</f>
        <v>10.2</v>
      </c>
      <c r="K1136" s="7" t="n">
        <f aca="false">YEAR(E1136)*100+MONTH(E1136)</f>
        <v>201109</v>
      </c>
      <c r="L1136" s="7" t="n">
        <f aca="false">IF(AND(A1136&lt;&gt;A1135,LEFT(A1136,1)&lt;&gt;"C"),1,0)</f>
        <v>0</v>
      </c>
    </row>
    <row r="1137" customFormat="false" ht="15" hidden="false" customHeight="false" outlineLevel="0" collapsed="false">
      <c r="A1137" s="0" t="s">
        <v>1191</v>
      </c>
      <c r="B1137" s="0" t="s">
        <v>361</v>
      </c>
      <c r="C1137" s="0" t="s">
        <v>362</v>
      </c>
      <c r="D1137" s="0" t="n">
        <v>6</v>
      </c>
      <c r="E1137" s="6" t="n">
        <v>40806.4208333333</v>
      </c>
      <c r="F1137" s="0" t="n">
        <v>2.25</v>
      </c>
      <c r="G1137" s="0" t="n">
        <v>12620</v>
      </c>
      <c r="H1137" s="0" t="s">
        <v>43</v>
      </c>
      <c r="I1137" s="7" t="n">
        <f aca="false">IF(AND(LEFT(A1137,1)&lt;&gt;"C",D1137&gt;0,F1137&gt;0),1,0)</f>
        <v>1</v>
      </c>
      <c r="J1137" s="7" t="n">
        <f aca="false">IF(I1137=1,D1137*F1137,0)</f>
        <v>13.5</v>
      </c>
      <c r="K1137" s="7" t="n">
        <f aca="false">YEAR(E1137)*100+MONTH(E1137)</f>
        <v>201109</v>
      </c>
      <c r="L1137" s="7" t="n">
        <f aca="false">IF(AND(A1137&lt;&gt;A1136,LEFT(A1137,1)&lt;&gt;"C"),1,0)</f>
        <v>0</v>
      </c>
    </row>
    <row r="1138" customFormat="false" ht="15" hidden="false" customHeight="false" outlineLevel="0" collapsed="false">
      <c r="A1138" s="0" t="s">
        <v>1191</v>
      </c>
      <c r="B1138" s="0" t="s">
        <v>1208</v>
      </c>
      <c r="C1138" s="0" t="s">
        <v>1209</v>
      </c>
      <c r="D1138" s="0" t="n">
        <v>6</v>
      </c>
      <c r="E1138" s="6" t="n">
        <v>40806.4208333333</v>
      </c>
      <c r="F1138" s="0" t="n">
        <v>2.55</v>
      </c>
      <c r="G1138" s="0" t="n">
        <v>12620</v>
      </c>
      <c r="H1138" s="0" t="s">
        <v>43</v>
      </c>
      <c r="I1138" s="7" t="n">
        <f aca="false">IF(AND(LEFT(A1138,1)&lt;&gt;"C",D1138&gt;0,F1138&gt;0),1,0)</f>
        <v>1</v>
      </c>
      <c r="J1138" s="7" t="n">
        <f aca="false">IF(I1138=1,D1138*F1138,0)</f>
        <v>15.3</v>
      </c>
      <c r="K1138" s="7" t="n">
        <f aca="false">YEAR(E1138)*100+MONTH(E1138)</f>
        <v>201109</v>
      </c>
      <c r="L1138" s="7" t="n">
        <f aca="false">IF(AND(A1138&lt;&gt;A1137,LEFT(A1138,1)&lt;&gt;"C"),1,0)</f>
        <v>0</v>
      </c>
    </row>
    <row r="1139" customFormat="false" ht="15" hidden="false" customHeight="false" outlineLevel="0" collapsed="false">
      <c r="A1139" s="0" t="s">
        <v>1191</v>
      </c>
      <c r="B1139" s="0" t="s">
        <v>667</v>
      </c>
      <c r="C1139" s="0" t="s">
        <v>668</v>
      </c>
      <c r="D1139" s="0" t="n">
        <v>10</v>
      </c>
      <c r="E1139" s="6" t="n">
        <v>40806.4208333333</v>
      </c>
      <c r="F1139" s="0" t="n">
        <v>0.85</v>
      </c>
      <c r="G1139" s="0" t="n">
        <v>12620</v>
      </c>
      <c r="H1139" s="0" t="s">
        <v>43</v>
      </c>
      <c r="I1139" s="7" t="n">
        <f aca="false">IF(AND(LEFT(A1139,1)&lt;&gt;"C",D1139&gt;0,F1139&gt;0),1,0)</f>
        <v>1</v>
      </c>
      <c r="J1139" s="7" t="n">
        <f aca="false">IF(I1139=1,D1139*F1139,0)</f>
        <v>8.5</v>
      </c>
      <c r="K1139" s="7" t="n">
        <f aca="false">YEAR(E1139)*100+MONTH(E1139)</f>
        <v>201109</v>
      </c>
      <c r="L1139" s="7" t="n">
        <f aca="false">IF(AND(A1139&lt;&gt;A1138,LEFT(A1139,1)&lt;&gt;"C"),1,0)</f>
        <v>0</v>
      </c>
    </row>
    <row r="1140" customFormat="false" ht="15" hidden="false" customHeight="false" outlineLevel="0" collapsed="false">
      <c r="A1140" s="0" t="s">
        <v>1191</v>
      </c>
      <c r="B1140" s="0" t="s">
        <v>627</v>
      </c>
      <c r="C1140" s="0" t="s">
        <v>628</v>
      </c>
      <c r="D1140" s="0" t="n">
        <v>10</v>
      </c>
      <c r="E1140" s="6" t="n">
        <v>40806.4208333333</v>
      </c>
      <c r="F1140" s="0" t="n">
        <v>0.85</v>
      </c>
      <c r="G1140" s="0" t="n">
        <v>12620</v>
      </c>
      <c r="H1140" s="0" t="s">
        <v>43</v>
      </c>
      <c r="I1140" s="7" t="n">
        <f aca="false">IF(AND(LEFT(A1140,1)&lt;&gt;"C",D1140&gt;0,F1140&gt;0),1,0)</f>
        <v>1</v>
      </c>
      <c r="J1140" s="7" t="n">
        <f aca="false">IF(I1140=1,D1140*F1140,0)</f>
        <v>8.5</v>
      </c>
      <c r="K1140" s="7" t="n">
        <f aca="false">YEAR(E1140)*100+MONTH(E1140)</f>
        <v>201109</v>
      </c>
      <c r="L1140" s="7" t="n">
        <f aca="false">IF(AND(A1140&lt;&gt;A1139,LEFT(A1140,1)&lt;&gt;"C"),1,0)</f>
        <v>0</v>
      </c>
    </row>
    <row r="1141" customFormat="false" ht="15" hidden="false" customHeight="false" outlineLevel="0" collapsed="false">
      <c r="A1141" s="0" t="s">
        <v>1191</v>
      </c>
      <c r="B1141" s="0" t="s">
        <v>1210</v>
      </c>
      <c r="C1141" s="0" t="s">
        <v>1211</v>
      </c>
      <c r="D1141" s="0" t="n">
        <v>10</v>
      </c>
      <c r="E1141" s="6" t="n">
        <v>40806.4208333333</v>
      </c>
      <c r="F1141" s="0" t="n">
        <v>1.65</v>
      </c>
      <c r="G1141" s="0" t="n">
        <v>12620</v>
      </c>
      <c r="H1141" s="0" t="s">
        <v>43</v>
      </c>
      <c r="I1141" s="7" t="n">
        <f aca="false">IF(AND(LEFT(A1141,1)&lt;&gt;"C",D1141&gt;0,F1141&gt;0),1,0)</f>
        <v>1</v>
      </c>
      <c r="J1141" s="7" t="n">
        <f aca="false">IF(I1141=1,D1141*F1141,0)</f>
        <v>16.5</v>
      </c>
      <c r="K1141" s="7" t="n">
        <f aca="false">YEAR(E1141)*100+MONTH(E1141)</f>
        <v>201109</v>
      </c>
      <c r="L1141" s="7" t="n">
        <f aca="false">IF(AND(A1141&lt;&gt;A1140,LEFT(A1141,1)&lt;&gt;"C"),1,0)</f>
        <v>0</v>
      </c>
    </row>
    <row r="1142" customFormat="false" ht="15" hidden="false" customHeight="false" outlineLevel="0" collapsed="false">
      <c r="A1142" s="0" t="s">
        <v>1191</v>
      </c>
      <c r="B1142" s="0" t="s">
        <v>781</v>
      </c>
      <c r="C1142" s="0" t="s">
        <v>782</v>
      </c>
      <c r="D1142" s="0" t="n">
        <v>3</v>
      </c>
      <c r="E1142" s="6" t="n">
        <v>40806.4208333333</v>
      </c>
      <c r="F1142" s="0" t="n">
        <v>4.95</v>
      </c>
      <c r="G1142" s="0" t="n">
        <v>12620</v>
      </c>
      <c r="H1142" s="0" t="s">
        <v>43</v>
      </c>
      <c r="I1142" s="7" t="n">
        <f aca="false">IF(AND(LEFT(A1142,1)&lt;&gt;"C",D1142&gt;0,F1142&gt;0),1,0)</f>
        <v>1</v>
      </c>
      <c r="J1142" s="7" t="n">
        <f aca="false">IF(I1142=1,D1142*F1142,0)</f>
        <v>14.85</v>
      </c>
      <c r="K1142" s="7" t="n">
        <f aca="false">YEAR(E1142)*100+MONTH(E1142)</f>
        <v>201109</v>
      </c>
      <c r="L1142" s="7" t="n">
        <f aca="false">IF(AND(A1142&lt;&gt;A1141,LEFT(A1142,1)&lt;&gt;"C"),1,0)</f>
        <v>0</v>
      </c>
    </row>
    <row r="1143" customFormat="false" ht="15" hidden="false" customHeight="false" outlineLevel="0" collapsed="false">
      <c r="A1143" s="0" t="s">
        <v>1191</v>
      </c>
      <c r="B1143" s="0" t="s">
        <v>1212</v>
      </c>
      <c r="C1143" s="0" t="s">
        <v>1213</v>
      </c>
      <c r="D1143" s="0" t="n">
        <v>8</v>
      </c>
      <c r="E1143" s="6" t="n">
        <v>40806.4208333333</v>
      </c>
      <c r="F1143" s="0" t="n">
        <v>1.25</v>
      </c>
      <c r="G1143" s="0" t="n">
        <v>12620</v>
      </c>
      <c r="H1143" s="0" t="s">
        <v>43</v>
      </c>
      <c r="I1143" s="7" t="n">
        <f aca="false">IF(AND(LEFT(A1143,1)&lt;&gt;"C",D1143&gt;0,F1143&gt;0),1,0)</f>
        <v>1</v>
      </c>
      <c r="J1143" s="7" t="n">
        <f aca="false">IF(I1143=1,D1143*F1143,0)</f>
        <v>10</v>
      </c>
      <c r="K1143" s="7" t="n">
        <f aca="false">YEAR(E1143)*100+MONTH(E1143)</f>
        <v>201109</v>
      </c>
      <c r="L1143" s="7" t="n">
        <f aca="false">IF(AND(A1143&lt;&gt;A1142,LEFT(A1143,1)&lt;&gt;"C"),1,0)</f>
        <v>0</v>
      </c>
    </row>
    <row r="1144" customFormat="false" ht="15" hidden="false" customHeight="false" outlineLevel="0" collapsed="false">
      <c r="A1144" s="0" t="s">
        <v>1191</v>
      </c>
      <c r="B1144" s="0" t="s">
        <v>1214</v>
      </c>
      <c r="C1144" s="0" t="s">
        <v>1215</v>
      </c>
      <c r="D1144" s="0" t="n">
        <v>8</v>
      </c>
      <c r="E1144" s="6" t="n">
        <v>40806.4208333333</v>
      </c>
      <c r="F1144" s="0" t="n">
        <v>1.25</v>
      </c>
      <c r="G1144" s="0" t="n">
        <v>12620</v>
      </c>
      <c r="H1144" s="0" t="s">
        <v>43</v>
      </c>
      <c r="I1144" s="7" t="n">
        <f aca="false">IF(AND(LEFT(A1144,1)&lt;&gt;"C",D1144&gt;0,F1144&gt;0),1,0)</f>
        <v>1</v>
      </c>
      <c r="J1144" s="7" t="n">
        <f aca="false">IF(I1144=1,D1144*F1144,0)</f>
        <v>10</v>
      </c>
      <c r="K1144" s="7" t="n">
        <f aca="false">YEAR(E1144)*100+MONTH(E1144)</f>
        <v>201109</v>
      </c>
      <c r="L1144" s="7" t="n">
        <f aca="false">IF(AND(A1144&lt;&gt;A1143,LEFT(A1144,1)&lt;&gt;"C"),1,0)</f>
        <v>0</v>
      </c>
    </row>
    <row r="1145" customFormat="false" ht="15" hidden="false" customHeight="false" outlineLevel="0" collapsed="false">
      <c r="A1145" s="0" t="s">
        <v>1191</v>
      </c>
      <c r="B1145" s="0" t="s">
        <v>1216</v>
      </c>
      <c r="C1145" s="0" t="s">
        <v>1217</v>
      </c>
      <c r="D1145" s="0" t="n">
        <v>8</v>
      </c>
      <c r="E1145" s="6" t="n">
        <v>40806.4208333333</v>
      </c>
      <c r="F1145" s="0" t="n">
        <v>0.85</v>
      </c>
      <c r="G1145" s="0" t="n">
        <v>12620</v>
      </c>
      <c r="H1145" s="0" t="s">
        <v>43</v>
      </c>
      <c r="I1145" s="7" t="n">
        <f aca="false">IF(AND(LEFT(A1145,1)&lt;&gt;"C",D1145&gt;0,F1145&gt;0),1,0)</f>
        <v>1</v>
      </c>
      <c r="J1145" s="7" t="n">
        <f aca="false">IF(I1145=1,D1145*F1145,0)</f>
        <v>6.8</v>
      </c>
      <c r="K1145" s="7" t="n">
        <f aca="false">YEAR(E1145)*100+MONTH(E1145)</f>
        <v>201109</v>
      </c>
      <c r="L1145" s="7" t="n">
        <f aca="false">IF(AND(A1145&lt;&gt;A1144,LEFT(A1145,1)&lt;&gt;"C"),1,0)</f>
        <v>0</v>
      </c>
    </row>
    <row r="1146" customFormat="false" ht="15" hidden="false" customHeight="false" outlineLevel="0" collapsed="false">
      <c r="A1146" s="0" t="s">
        <v>1191</v>
      </c>
      <c r="B1146" s="0" t="s">
        <v>1218</v>
      </c>
      <c r="C1146" s="0" t="s">
        <v>1219</v>
      </c>
      <c r="D1146" s="0" t="n">
        <v>1</v>
      </c>
      <c r="E1146" s="6" t="n">
        <v>40806.4208333333</v>
      </c>
      <c r="F1146" s="0" t="n">
        <v>7.5</v>
      </c>
      <c r="G1146" s="0" t="n">
        <v>12620</v>
      </c>
      <c r="H1146" s="0" t="s">
        <v>43</v>
      </c>
      <c r="I1146" s="7" t="n">
        <f aca="false">IF(AND(LEFT(A1146,1)&lt;&gt;"C",D1146&gt;0,F1146&gt;0),1,0)</f>
        <v>1</v>
      </c>
      <c r="J1146" s="7" t="n">
        <f aca="false">IF(I1146=1,D1146*F1146,0)</f>
        <v>7.5</v>
      </c>
      <c r="K1146" s="7" t="n">
        <f aca="false">YEAR(E1146)*100+MONTH(E1146)</f>
        <v>201109</v>
      </c>
      <c r="L1146" s="7" t="n">
        <f aca="false">IF(AND(A1146&lt;&gt;A1145,LEFT(A1146,1)&lt;&gt;"C"),1,0)</f>
        <v>0</v>
      </c>
    </row>
    <row r="1147" customFormat="false" ht="15" hidden="false" customHeight="false" outlineLevel="0" collapsed="false">
      <c r="A1147" s="0" t="s">
        <v>1220</v>
      </c>
      <c r="B1147" s="0" t="s">
        <v>1221</v>
      </c>
      <c r="C1147" s="0" t="s">
        <v>1222</v>
      </c>
      <c r="D1147" s="0" t="n">
        <v>12</v>
      </c>
      <c r="E1147" s="6" t="n">
        <v>40806.6270833333</v>
      </c>
      <c r="F1147" s="0" t="n">
        <v>1.65</v>
      </c>
      <c r="G1147" s="0" t="n">
        <v>12720</v>
      </c>
      <c r="H1147" s="0" t="s">
        <v>33</v>
      </c>
      <c r="I1147" s="7" t="n">
        <f aca="false">IF(AND(LEFT(A1147,1)&lt;&gt;"C",D1147&gt;0,F1147&gt;0),1,0)</f>
        <v>1</v>
      </c>
      <c r="J1147" s="7" t="n">
        <f aca="false">IF(I1147=1,D1147*F1147,0)</f>
        <v>19.8</v>
      </c>
      <c r="K1147" s="7" t="n">
        <f aca="false">YEAR(E1147)*100+MONTH(E1147)</f>
        <v>201109</v>
      </c>
      <c r="L1147" s="7" t="n">
        <f aca="false">IF(AND(A1147&lt;&gt;A1146,LEFT(A1147,1)&lt;&gt;"C"),1,0)</f>
        <v>1</v>
      </c>
    </row>
    <row r="1148" customFormat="false" ht="15" hidden="false" customHeight="false" outlineLevel="0" collapsed="false">
      <c r="A1148" s="0" t="s">
        <v>1220</v>
      </c>
      <c r="B1148" s="0" t="s">
        <v>1046</v>
      </c>
      <c r="C1148" s="0" t="s">
        <v>1047</v>
      </c>
      <c r="D1148" s="0" t="n">
        <v>4</v>
      </c>
      <c r="E1148" s="6" t="n">
        <v>40806.6270833333</v>
      </c>
      <c r="F1148" s="0" t="n">
        <v>4.15</v>
      </c>
      <c r="G1148" s="0" t="n">
        <v>12720</v>
      </c>
      <c r="H1148" s="0" t="s">
        <v>33</v>
      </c>
      <c r="I1148" s="7" t="n">
        <f aca="false">IF(AND(LEFT(A1148,1)&lt;&gt;"C",D1148&gt;0,F1148&gt;0),1,0)</f>
        <v>1</v>
      </c>
      <c r="J1148" s="7" t="n">
        <f aca="false">IF(I1148=1,D1148*F1148,0)</f>
        <v>16.6</v>
      </c>
      <c r="K1148" s="7" t="n">
        <f aca="false">YEAR(E1148)*100+MONTH(E1148)</f>
        <v>201109</v>
      </c>
      <c r="L1148" s="7" t="n">
        <f aca="false">IF(AND(A1148&lt;&gt;A1147,LEFT(A1148,1)&lt;&gt;"C"),1,0)</f>
        <v>0</v>
      </c>
    </row>
    <row r="1149" customFormat="false" ht="15" hidden="false" customHeight="false" outlineLevel="0" collapsed="false">
      <c r="A1149" s="0" t="s">
        <v>1220</v>
      </c>
      <c r="B1149" s="0" t="s">
        <v>505</v>
      </c>
      <c r="C1149" s="0" t="s">
        <v>506</v>
      </c>
      <c r="D1149" s="0" t="n">
        <v>24</v>
      </c>
      <c r="E1149" s="6" t="n">
        <v>40806.6270833333</v>
      </c>
      <c r="F1149" s="0" t="n">
        <v>0.39</v>
      </c>
      <c r="G1149" s="0" t="n">
        <v>12720</v>
      </c>
      <c r="H1149" s="0" t="s">
        <v>33</v>
      </c>
      <c r="I1149" s="7" t="n">
        <f aca="false">IF(AND(LEFT(A1149,1)&lt;&gt;"C",D1149&gt;0,F1149&gt;0),1,0)</f>
        <v>1</v>
      </c>
      <c r="J1149" s="7" t="n">
        <f aca="false">IF(I1149=1,D1149*F1149,0)</f>
        <v>9.36</v>
      </c>
      <c r="K1149" s="7" t="n">
        <f aca="false">YEAR(E1149)*100+MONTH(E1149)</f>
        <v>201109</v>
      </c>
      <c r="L1149" s="7" t="n">
        <f aca="false">IF(AND(A1149&lt;&gt;A1148,LEFT(A1149,1)&lt;&gt;"C"),1,0)</f>
        <v>0</v>
      </c>
    </row>
    <row r="1150" customFormat="false" ht="15" hidden="false" customHeight="false" outlineLevel="0" collapsed="false">
      <c r="A1150" s="0" t="s">
        <v>1220</v>
      </c>
      <c r="B1150" s="0" t="s">
        <v>583</v>
      </c>
      <c r="C1150" s="0" t="s">
        <v>584</v>
      </c>
      <c r="D1150" s="0" t="n">
        <v>12</v>
      </c>
      <c r="E1150" s="6" t="n">
        <v>40806.6270833333</v>
      </c>
      <c r="F1150" s="0" t="n">
        <v>1.45</v>
      </c>
      <c r="G1150" s="0" t="n">
        <v>12720</v>
      </c>
      <c r="H1150" s="0" t="s">
        <v>33</v>
      </c>
      <c r="I1150" s="7" t="n">
        <f aca="false">IF(AND(LEFT(A1150,1)&lt;&gt;"C",D1150&gt;0,F1150&gt;0),1,0)</f>
        <v>1</v>
      </c>
      <c r="J1150" s="7" t="n">
        <f aca="false">IF(I1150=1,D1150*F1150,0)</f>
        <v>17.4</v>
      </c>
      <c r="K1150" s="7" t="n">
        <f aca="false">YEAR(E1150)*100+MONTH(E1150)</f>
        <v>201109</v>
      </c>
      <c r="L1150" s="7" t="n">
        <f aca="false">IF(AND(A1150&lt;&gt;A1149,LEFT(A1150,1)&lt;&gt;"C"),1,0)</f>
        <v>0</v>
      </c>
    </row>
    <row r="1151" customFormat="false" ht="15" hidden="false" customHeight="false" outlineLevel="0" collapsed="false">
      <c r="A1151" s="0" t="s">
        <v>1220</v>
      </c>
      <c r="B1151" s="0" t="s">
        <v>525</v>
      </c>
      <c r="C1151" s="0" t="s">
        <v>526</v>
      </c>
      <c r="D1151" s="0" t="n">
        <v>6</v>
      </c>
      <c r="E1151" s="6" t="n">
        <v>40806.6270833333</v>
      </c>
      <c r="F1151" s="0" t="n">
        <v>2.95</v>
      </c>
      <c r="G1151" s="0" t="n">
        <v>12720</v>
      </c>
      <c r="H1151" s="0" t="s">
        <v>33</v>
      </c>
      <c r="I1151" s="7" t="n">
        <f aca="false">IF(AND(LEFT(A1151,1)&lt;&gt;"C",D1151&gt;0,F1151&gt;0),1,0)</f>
        <v>1</v>
      </c>
      <c r="J1151" s="7" t="n">
        <f aca="false">IF(I1151=1,D1151*F1151,0)</f>
        <v>17.7</v>
      </c>
      <c r="K1151" s="7" t="n">
        <f aca="false">YEAR(E1151)*100+MONTH(E1151)</f>
        <v>201109</v>
      </c>
      <c r="L1151" s="7" t="n">
        <f aca="false">IF(AND(A1151&lt;&gt;A1150,LEFT(A1151,1)&lt;&gt;"C"),1,0)</f>
        <v>0</v>
      </c>
    </row>
    <row r="1152" customFormat="false" ht="15" hidden="false" customHeight="false" outlineLevel="0" collapsed="false">
      <c r="A1152" s="0" t="s">
        <v>1220</v>
      </c>
      <c r="B1152" s="0" t="s">
        <v>527</v>
      </c>
      <c r="C1152" s="0" t="s">
        <v>528</v>
      </c>
      <c r="D1152" s="0" t="n">
        <v>6</v>
      </c>
      <c r="E1152" s="6" t="n">
        <v>40806.6270833333</v>
      </c>
      <c r="F1152" s="0" t="n">
        <v>2.95</v>
      </c>
      <c r="G1152" s="0" t="n">
        <v>12720</v>
      </c>
      <c r="H1152" s="0" t="s">
        <v>33</v>
      </c>
      <c r="I1152" s="7" t="n">
        <f aca="false">IF(AND(LEFT(A1152,1)&lt;&gt;"C",D1152&gt;0,F1152&gt;0),1,0)</f>
        <v>1</v>
      </c>
      <c r="J1152" s="7" t="n">
        <f aca="false">IF(I1152=1,D1152*F1152,0)</f>
        <v>17.7</v>
      </c>
      <c r="K1152" s="7" t="n">
        <f aca="false">YEAR(E1152)*100+MONTH(E1152)</f>
        <v>201109</v>
      </c>
      <c r="L1152" s="7" t="n">
        <f aca="false">IF(AND(A1152&lt;&gt;A1151,LEFT(A1152,1)&lt;&gt;"C"),1,0)</f>
        <v>0</v>
      </c>
    </row>
    <row r="1153" customFormat="false" ht="15" hidden="false" customHeight="false" outlineLevel="0" collapsed="false">
      <c r="A1153" s="0" t="s">
        <v>1220</v>
      </c>
      <c r="B1153" s="0" t="s">
        <v>164</v>
      </c>
      <c r="C1153" s="0" t="s">
        <v>165</v>
      </c>
      <c r="D1153" s="0" t="n">
        <v>16</v>
      </c>
      <c r="E1153" s="6" t="n">
        <v>40806.6270833333</v>
      </c>
      <c r="F1153" s="0" t="n">
        <v>1.25</v>
      </c>
      <c r="G1153" s="0" t="n">
        <v>12720</v>
      </c>
      <c r="H1153" s="0" t="s">
        <v>33</v>
      </c>
      <c r="I1153" s="7" t="n">
        <f aca="false">IF(AND(LEFT(A1153,1)&lt;&gt;"C",D1153&gt;0,F1153&gt;0),1,0)</f>
        <v>1</v>
      </c>
      <c r="J1153" s="7" t="n">
        <f aca="false">IF(I1153=1,D1153*F1153,0)</f>
        <v>20</v>
      </c>
      <c r="K1153" s="7" t="n">
        <f aca="false">YEAR(E1153)*100+MONTH(E1153)</f>
        <v>201109</v>
      </c>
      <c r="L1153" s="7" t="n">
        <f aca="false">IF(AND(A1153&lt;&gt;A1152,LEFT(A1153,1)&lt;&gt;"C"),1,0)</f>
        <v>0</v>
      </c>
    </row>
    <row r="1154" customFormat="false" ht="15" hidden="false" customHeight="false" outlineLevel="0" collapsed="false">
      <c r="A1154" s="0" t="s">
        <v>1220</v>
      </c>
      <c r="B1154" s="0" t="s">
        <v>109</v>
      </c>
      <c r="C1154" s="0" t="s">
        <v>110</v>
      </c>
      <c r="D1154" s="0" t="n">
        <v>16</v>
      </c>
      <c r="E1154" s="6" t="n">
        <v>40806.6270833333</v>
      </c>
      <c r="F1154" s="0" t="n">
        <v>0.83</v>
      </c>
      <c r="G1154" s="0" t="n">
        <v>12720</v>
      </c>
      <c r="H1154" s="0" t="s">
        <v>33</v>
      </c>
      <c r="I1154" s="7" t="n">
        <f aca="false">IF(AND(LEFT(A1154,1)&lt;&gt;"C",D1154&gt;0,F1154&gt;0),1,0)</f>
        <v>1</v>
      </c>
      <c r="J1154" s="7" t="n">
        <f aca="false">IF(I1154=1,D1154*F1154,0)</f>
        <v>13.28</v>
      </c>
      <c r="K1154" s="7" t="n">
        <f aca="false">YEAR(E1154)*100+MONTH(E1154)</f>
        <v>201109</v>
      </c>
      <c r="L1154" s="7" t="n">
        <f aca="false">IF(AND(A1154&lt;&gt;A1153,LEFT(A1154,1)&lt;&gt;"C"),1,0)</f>
        <v>0</v>
      </c>
    </row>
    <row r="1155" customFormat="false" ht="15" hidden="false" customHeight="false" outlineLevel="0" collapsed="false">
      <c r="A1155" s="0" t="s">
        <v>1220</v>
      </c>
      <c r="B1155" s="0" t="s">
        <v>717</v>
      </c>
      <c r="C1155" s="0" t="s">
        <v>718</v>
      </c>
      <c r="D1155" s="0" t="n">
        <v>8</v>
      </c>
      <c r="E1155" s="6" t="n">
        <v>40806.6270833333</v>
      </c>
      <c r="F1155" s="0" t="n">
        <v>0.83</v>
      </c>
      <c r="G1155" s="0" t="n">
        <v>12720</v>
      </c>
      <c r="H1155" s="0" t="s">
        <v>33</v>
      </c>
      <c r="I1155" s="7" t="n">
        <f aca="false">IF(AND(LEFT(A1155,1)&lt;&gt;"C",D1155&gt;0,F1155&gt;0),1,0)</f>
        <v>1</v>
      </c>
      <c r="J1155" s="7" t="n">
        <f aca="false">IF(I1155=1,D1155*F1155,0)</f>
        <v>6.64</v>
      </c>
      <c r="K1155" s="7" t="n">
        <f aca="false">YEAR(E1155)*100+MONTH(E1155)</f>
        <v>201109</v>
      </c>
      <c r="L1155" s="7" t="n">
        <f aca="false">IF(AND(A1155&lt;&gt;A1154,LEFT(A1155,1)&lt;&gt;"C"),1,0)</f>
        <v>0</v>
      </c>
    </row>
    <row r="1156" customFormat="false" ht="15" hidden="false" customHeight="false" outlineLevel="0" collapsed="false">
      <c r="A1156" s="0" t="s">
        <v>1223</v>
      </c>
      <c r="B1156" s="0" t="s">
        <v>129</v>
      </c>
      <c r="C1156" s="0" t="s">
        <v>130</v>
      </c>
      <c r="D1156" s="0" t="n">
        <v>-12</v>
      </c>
      <c r="E1156" s="6" t="n">
        <v>40806.6875</v>
      </c>
      <c r="F1156" s="0" t="n">
        <v>0.85</v>
      </c>
      <c r="G1156" s="0" t="n">
        <v>12474</v>
      </c>
      <c r="H1156" s="0" t="s">
        <v>33</v>
      </c>
      <c r="I1156" s="7" t="n">
        <f aca="false">IF(AND(LEFT(A1156,1)&lt;&gt;"C",D1156&gt;0,F1156&gt;0),1,0)</f>
        <v>0</v>
      </c>
      <c r="J1156" s="7" t="n">
        <f aca="false">IF(I1156=1,D1156*F1156,0)</f>
        <v>0</v>
      </c>
      <c r="K1156" s="7" t="n">
        <f aca="false">YEAR(E1156)*100+MONTH(E1156)</f>
        <v>201109</v>
      </c>
      <c r="L1156" s="7" t="n">
        <f aca="false">IF(AND(A1156&lt;&gt;A1155,LEFT(A1156,1)&lt;&gt;"C"),1,0)</f>
        <v>0</v>
      </c>
    </row>
    <row r="1157" customFormat="false" ht="15" hidden="false" customHeight="false" outlineLevel="0" collapsed="false">
      <c r="A1157" s="0" t="s">
        <v>1224</v>
      </c>
      <c r="B1157" s="0" t="s">
        <v>1225</v>
      </c>
      <c r="C1157" s="0" t="s">
        <v>1226</v>
      </c>
      <c r="D1157" s="0" t="n">
        <v>6</v>
      </c>
      <c r="E1157" s="6" t="n">
        <v>40807.4444444445</v>
      </c>
      <c r="F1157" s="0" t="n">
        <v>4.15</v>
      </c>
      <c r="G1157" s="0" t="n">
        <v>12583</v>
      </c>
      <c r="H1157" s="0" t="s">
        <v>43</v>
      </c>
      <c r="I1157" s="7" t="n">
        <f aca="false">IF(AND(LEFT(A1157,1)&lt;&gt;"C",D1157&gt;0,F1157&gt;0),1,0)</f>
        <v>1</v>
      </c>
      <c r="J1157" s="7" t="n">
        <f aca="false">IF(I1157=1,D1157*F1157,0)</f>
        <v>24.9</v>
      </c>
      <c r="K1157" s="7" t="n">
        <f aca="false">YEAR(E1157)*100+MONTH(E1157)</f>
        <v>201109</v>
      </c>
      <c r="L1157" s="7" t="n">
        <f aca="false">IF(AND(A1157&lt;&gt;A1156,LEFT(A1157,1)&lt;&gt;"C"),1,0)</f>
        <v>1</v>
      </c>
    </row>
    <row r="1158" customFormat="false" ht="15" hidden="false" customHeight="false" outlineLevel="0" collapsed="false">
      <c r="A1158" s="0" t="s">
        <v>1224</v>
      </c>
      <c r="B1158" s="0" t="s">
        <v>123</v>
      </c>
      <c r="C1158" s="0" t="s">
        <v>124</v>
      </c>
      <c r="D1158" s="0" t="n">
        <v>12</v>
      </c>
      <c r="E1158" s="6" t="n">
        <v>40807.4444444445</v>
      </c>
      <c r="F1158" s="0" t="n">
        <v>2.95</v>
      </c>
      <c r="G1158" s="0" t="n">
        <v>12583</v>
      </c>
      <c r="H1158" s="0" t="s">
        <v>43</v>
      </c>
      <c r="I1158" s="7" t="n">
        <f aca="false">IF(AND(LEFT(A1158,1)&lt;&gt;"C",D1158&gt;0,F1158&gt;0),1,0)</f>
        <v>1</v>
      </c>
      <c r="J1158" s="7" t="n">
        <f aca="false">IF(I1158=1,D1158*F1158,0)</f>
        <v>35.4</v>
      </c>
      <c r="K1158" s="7" t="n">
        <f aca="false">YEAR(E1158)*100+MONTH(E1158)</f>
        <v>201109</v>
      </c>
      <c r="L1158" s="7" t="n">
        <f aca="false">IF(AND(A1158&lt;&gt;A1157,LEFT(A1158,1)&lt;&gt;"C"),1,0)</f>
        <v>0</v>
      </c>
    </row>
    <row r="1159" customFormat="false" ht="15" hidden="false" customHeight="false" outlineLevel="0" collapsed="false">
      <c r="A1159" s="0" t="s">
        <v>1224</v>
      </c>
      <c r="B1159" s="0" t="s">
        <v>416</v>
      </c>
      <c r="C1159" s="0" t="s">
        <v>417</v>
      </c>
      <c r="D1159" s="0" t="n">
        <v>72</v>
      </c>
      <c r="E1159" s="6" t="n">
        <v>40807.4444444445</v>
      </c>
      <c r="F1159" s="0" t="n">
        <v>0.65</v>
      </c>
      <c r="G1159" s="0" t="n">
        <v>12583</v>
      </c>
      <c r="H1159" s="0" t="s">
        <v>43</v>
      </c>
      <c r="I1159" s="7" t="n">
        <f aca="false">IF(AND(LEFT(A1159,1)&lt;&gt;"C",D1159&gt;0,F1159&gt;0),1,0)</f>
        <v>1</v>
      </c>
      <c r="J1159" s="7" t="n">
        <f aca="false">IF(I1159=1,D1159*F1159,0)</f>
        <v>46.8</v>
      </c>
      <c r="K1159" s="7" t="n">
        <f aca="false">YEAR(E1159)*100+MONTH(E1159)</f>
        <v>201109</v>
      </c>
      <c r="L1159" s="7" t="n">
        <f aca="false">IF(AND(A1159&lt;&gt;A1158,LEFT(A1159,1)&lt;&gt;"C"),1,0)</f>
        <v>0</v>
      </c>
    </row>
    <row r="1160" customFormat="false" ht="15" hidden="false" customHeight="false" outlineLevel="0" collapsed="false">
      <c r="A1160" s="0" t="s">
        <v>1224</v>
      </c>
      <c r="B1160" s="0" t="s">
        <v>1208</v>
      </c>
      <c r="C1160" s="0" t="s">
        <v>1209</v>
      </c>
      <c r="D1160" s="0" t="n">
        <v>6</v>
      </c>
      <c r="E1160" s="6" t="n">
        <v>40807.4444444445</v>
      </c>
      <c r="F1160" s="0" t="n">
        <v>2.55</v>
      </c>
      <c r="G1160" s="0" t="n">
        <v>12583</v>
      </c>
      <c r="H1160" s="0" t="s">
        <v>43</v>
      </c>
      <c r="I1160" s="7" t="n">
        <f aca="false">IF(AND(LEFT(A1160,1)&lt;&gt;"C",D1160&gt;0,F1160&gt;0),1,0)</f>
        <v>1</v>
      </c>
      <c r="J1160" s="7" t="n">
        <f aca="false">IF(I1160=1,D1160*F1160,0)</f>
        <v>15.3</v>
      </c>
      <c r="K1160" s="7" t="n">
        <f aca="false">YEAR(E1160)*100+MONTH(E1160)</f>
        <v>201109</v>
      </c>
      <c r="L1160" s="7" t="n">
        <f aca="false">IF(AND(A1160&lt;&gt;A1159,LEFT(A1160,1)&lt;&gt;"C"),1,0)</f>
        <v>0</v>
      </c>
    </row>
    <row r="1161" customFormat="false" ht="15" hidden="false" customHeight="false" outlineLevel="0" collapsed="false">
      <c r="A1161" s="0" t="s">
        <v>1224</v>
      </c>
      <c r="B1161" s="0" t="s">
        <v>769</v>
      </c>
      <c r="C1161" s="0" t="s">
        <v>770</v>
      </c>
      <c r="D1161" s="0" t="n">
        <v>12</v>
      </c>
      <c r="E1161" s="6" t="n">
        <v>40807.4444444445</v>
      </c>
      <c r="F1161" s="0" t="n">
        <v>1.45</v>
      </c>
      <c r="G1161" s="0" t="n">
        <v>12583</v>
      </c>
      <c r="H1161" s="0" t="s">
        <v>43</v>
      </c>
      <c r="I1161" s="7" t="n">
        <f aca="false">IF(AND(LEFT(A1161,1)&lt;&gt;"C",D1161&gt;0,F1161&gt;0),1,0)</f>
        <v>1</v>
      </c>
      <c r="J1161" s="7" t="n">
        <f aca="false">IF(I1161=1,D1161*F1161,0)</f>
        <v>17.4</v>
      </c>
      <c r="K1161" s="7" t="n">
        <f aca="false">YEAR(E1161)*100+MONTH(E1161)</f>
        <v>201109</v>
      </c>
      <c r="L1161" s="7" t="n">
        <f aca="false">IF(AND(A1161&lt;&gt;A1160,LEFT(A1161,1)&lt;&gt;"C"),1,0)</f>
        <v>0</v>
      </c>
    </row>
    <row r="1162" customFormat="false" ht="15" hidden="false" customHeight="false" outlineLevel="0" collapsed="false">
      <c r="A1162" s="0" t="s">
        <v>1224</v>
      </c>
      <c r="B1162" s="0" t="s">
        <v>72</v>
      </c>
      <c r="C1162" s="0" t="s">
        <v>73</v>
      </c>
      <c r="D1162" s="0" t="n">
        <v>12</v>
      </c>
      <c r="E1162" s="6" t="n">
        <v>40807.4444444445</v>
      </c>
      <c r="F1162" s="0" t="n">
        <v>1.95</v>
      </c>
      <c r="G1162" s="0" t="n">
        <v>12583</v>
      </c>
      <c r="H1162" s="0" t="s">
        <v>43</v>
      </c>
      <c r="I1162" s="7" t="n">
        <f aca="false">IF(AND(LEFT(A1162,1)&lt;&gt;"C",D1162&gt;0,F1162&gt;0),1,0)</f>
        <v>1</v>
      </c>
      <c r="J1162" s="7" t="n">
        <f aca="false">IF(I1162=1,D1162*F1162,0)</f>
        <v>23.4</v>
      </c>
      <c r="K1162" s="7" t="n">
        <f aca="false">YEAR(E1162)*100+MONTH(E1162)</f>
        <v>201109</v>
      </c>
      <c r="L1162" s="7" t="n">
        <f aca="false">IF(AND(A1162&lt;&gt;A1161,LEFT(A1162,1)&lt;&gt;"C"),1,0)</f>
        <v>0</v>
      </c>
    </row>
    <row r="1163" customFormat="false" ht="15" hidden="false" customHeight="false" outlineLevel="0" collapsed="false">
      <c r="A1163" s="0" t="s">
        <v>1224</v>
      </c>
      <c r="B1163" s="0" t="s">
        <v>318</v>
      </c>
      <c r="C1163" s="0" t="s">
        <v>319</v>
      </c>
      <c r="D1163" s="0" t="n">
        <v>8</v>
      </c>
      <c r="E1163" s="6" t="n">
        <v>40807.4444444445</v>
      </c>
      <c r="F1163" s="0" t="n">
        <v>3.75</v>
      </c>
      <c r="G1163" s="0" t="n">
        <v>12583</v>
      </c>
      <c r="H1163" s="0" t="s">
        <v>43</v>
      </c>
      <c r="I1163" s="7" t="n">
        <f aca="false">IF(AND(LEFT(A1163,1)&lt;&gt;"C",D1163&gt;0,F1163&gt;0),1,0)</f>
        <v>1</v>
      </c>
      <c r="J1163" s="7" t="n">
        <f aca="false">IF(I1163=1,D1163*F1163,0)</f>
        <v>30</v>
      </c>
      <c r="K1163" s="7" t="n">
        <f aca="false">YEAR(E1163)*100+MONTH(E1163)</f>
        <v>201109</v>
      </c>
      <c r="L1163" s="7" t="n">
        <f aca="false">IF(AND(A1163&lt;&gt;A1162,LEFT(A1163,1)&lt;&gt;"C"),1,0)</f>
        <v>0</v>
      </c>
    </row>
    <row r="1164" customFormat="false" ht="15" hidden="false" customHeight="false" outlineLevel="0" collapsed="false">
      <c r="A1164" s="0" t="s">
        <v>1224</v>
      </c>
      <c r="B1164" s="0" t="s">
        <v>297</v>
      </c>
      <c r="C1164" s="0" t="s">
        <v>298</v>
      </c>
      <c r="D1164" s="0" t="n">
        <v>12</v>
      </c>
      <c r="E1164" s="6" t="n">
        <v>40807.4444444445</v>
      </c>
      <c r="F1164" s="0" t="n">
        <v>3.75</v>
      </c>
      <c r="G1164" s="0" t="n">
        <v>12583</v>
      </c>
      <c r="H1164" s="0" t="s">
        <v>43</v>
      </c>
      <c r="I1164" s="7" t="n">
        <f aca="false">IF(AND(LEFT(A1164,1)&lt;&gt;"C",D1164&gt;0,F1164&gt;0),1,0)</f>
        <v>1</v>
      </c>
      <c r="J1164" s="7" t="n">
        <f aca="false">IF(I1164=1,D1164*F1164,0)</f>
        <v>45</v>
      </c>
      <c r="K1164" s="7" t="n">
        <f aca="false">YEAR(E1164)*100+MONTH(E1164)</f>
        <v>201109</v>
      </c>
      <c r="L1164" s="7" t="n">
        <f aca="false">IF(AND(A1164&lt;&gt;A1163,LEFT(A1164,1)&lt;&gt;"C"),1,0)</f>
        <v>0</v>
      </c>
    </row>
    <row r="1165" customFormat="false" ht="15" hidden="false" customHeight="false" outlineLevel="0" collapsed="false">
      <c r="A1165" s="0" t="s">
        <v>1224</v>
      </c>
      <c r="B1165" s="0" t="s">
        <v>320</v>
      </c>
      <c r="C1165" s="0" t="s">
        <v>321</v>
      </c>
      <c r="D1165" s="0" t="n">
        <v>8</v>
      </c>
      <c r="E1165" s="6" t="n">
        <v>40807.4444444445</v>
      </c>
      <c r="F1165" s="0" t="n">
        <v>3.75</v>
      </c>
      <c r="G1165" s="0" t="n">
        <v>12583</v>
      </c>
      <c r="H1165" s="0" t="s">
        <v>43</v>
      </c>
      <c r="I1165" s="7" t="n">
        <f aca="false">IF(AND(LEFT(A1165,1)&lt;&gt;"C",D1165&gt;0,F1165&gt;0),1,0)</f>
        <v>1</v>
      </c>
      <c r="J1165" s="7" t="n">
        <f aca="false">IF(I1165=1,D1165*F1165,0)</f>
        <v>30</v>
      </c>
      <c r="K1165" s="7" t="n">
        <f aca="false">YEAR(E1165)*100+MONTH(E1165)</f>
        <v>201109</v>
      </c>
      <c r="L1165" s="7" t="n">
        <f aca="false">IF(AND(A1165&lt;&gt;A1164,LEFT(A1165,1)&lt;&gt;"C"),1,0)</f>
        <v>0</v>
      </c>
    </row>
    <row r="1166" customFormat="false" ht="15" hidden="false" customHeight="false" outlineLevel="0" collapsed="false">
      <c r="A1166" s="0" t="s">
        <v>1224</v>
      </c>
      <c r="B1166" s="0" t="s">
        <v>131</v>
      </c>
      <c r="C1166" s="0" t="s">
        <v>132</v>
      </c>
      <c r="D1166" s="0" t="n">
        <v>16</v>
      </c>
      <c r="E1166" s="6" t="n">
        <v>40807.4444444445</v>
      </c>
      <c r="F1166" s="0" t="n">
        <v>1.65</v>
      </c>
      <c r="G1166" s="0" t="n">
        <v>12583</v>
      </c>
      <c r="H1166" s="0" t="s">
        <v>43</v>
      </c>
      <c r="I1166" s="7" t="n">
        <f aca="false">IF(AND(LEFT(A1166,1)&lt;&gt;"C",D1166&gt;0,F1166&gt;0),1,0)</f>
        <v>1</v>
      </c>
      <c r="J1166" s="7" t="n">
        <f aca="false">IF(I1166=1,D1166*F1166,0)</f>
        <v>26.4</v>
      </c>
      <c r="K1166" s="7" t="n">
        <f aca="false">YEAR(E1166)*100+MONTH(E1166)</f>
        <v>201109</v>
      </c>
      <c r="L1166" s="7" t="n">
        <f aca="false">IF(AND(A1166&lt;&gt;A1165,LEFT(A1166,1)&lt;&gt;"C"),1,0)</f>
        <v>0</v>
      </c>
    </row>
    <row r="1167" customFormat="false" ht="15" hidden="false" customHeight="false" outlineLevel="0" collapsed="false">
      <c r="A1167" s="0" t="s">
        <v>1224</v>
      </c>
      <c r="B1167" s="0" t="s">
        <v>1094</v>
      </c>
      <c r="C1167" s="0" t="s">
        <v>1095</v>
      </c>
      <c r="D1167" s="0" t="n">
        <v>12</v>
      </c>
      <c r="E1167" s="6" t="n">
        <v>40807.4444444445</v>
      </c>
      <c r="F1167" s="0" t="n">
        <v>1.95</v>
      </c>
      <c r="G1167" s="0" t="n">
        <v>12583</v>
      </c>
      <c r="H1167" s="0" t="s">
        <v>43</v>
      </c>
      <c r="I1167" s="7" t="n">
        <f aca="false">IF(AND(LEFT(A1167,1)&lt;&gt;"C",D1167&gt;0,F1167&gt;0),1,0)</f>
        <v>1</v>
      </c>
      <c r="J1167" s="7" t="n">
        <f aca="false">IF(I1167=1,D1167*F1167,0)</f>
        <v>23.4</v>
      </c>
      <c r="K1167" s="7" t="n">
        <f aca="false">YEAR(E1167)*100+MONTH(E1167)</f>
        <v>201109</v>
      </c>
      <c r="L1167" s="7" t="n">
        <f aca="false">IF(AND(A1167&lt;&gt;A1166,LEFT(A1167,1)&lt;&gt;"C"),1,0)</f>
        <v>0</v>
      </c>
    </row>
    <row r="1168" customFormat="false" ht="15" hidden="false" customHeight="false" outlineLevel="0" collapsed="false">
      <c r="A1168" s="0" t="s">
        <v>1224</v>
      </c>
      <c r="B1168" s="0" t="s">
        <v>312</v>
      </c>
      <c r="C1168" s="0" t="s">
        <v>313</v>
      </c>
      <c r="D1168" s="0" t="n">
        <v>4</v>
      </c>
      <c r="E1168" s="6" t="n">
        <v>40807.4444444445</v>
      </c>
      <c r="F1168" s="0" t="n">
        <v>3.75</v>
      </c>
      <c r="G1168" s="0" t="n">
        <v>12583</v>
      </c>
      <c r="H1168" s="0" t="s">
        <v>43</v>
      </c>
      <c r="I1168" s="7" t="n">
        <f aca="false">IF(AND(LEFT(A1168,1)&lt;&gt;"C",D1168&gt;0,F1168&gt;0),1,0)</f>
        <v>1</v>
      </c>
      <c r="J1168" s="7" t="n">
        <f aca="false">IF(I1168=1,D1168*F1168,0)</f>
        <v>15</v>
      </c>
      <c r="K1168" s="7" t="n">
        <f aca="false">YEAR(E1168)*100+MONTH(E1168)</f>
        <v>201109</v>
      </c>
      <c r="L1168" s="7" t="n">
        <f aca="false">IF(AND(A1168&lt;&gt;A1167,LEFT(A1168,1)&lt;&gt;"C"),1,0)</f>
        <v>0</v>
      </c>
    </row>
    <row r="1169" customFormat="false" ht="15" hidden="false" customHeight="false" outlineLevel="0" collapsed="false">
      <c r="A1169" s="0" t="s">
        <v>1224</v>
      </c>
      <c r="B1169" s="0" t="s">
        <v>1048</v>
      </c>
      <c r="C1169" s="0" t="s">
        <v>1049</v>
      </c>
      <c r="D1169" s="0" t="n">
        <v>4</v>
      </c>
      <c r="E1169" s="6" t="n">
        <v>40807.4444444445</v>
      </c>
      <c r="F1169" s="0" t="n">
        <v>4.15</v>
      </c>
      <c r="G1169" s="0" t="n">
        <v>12583</v>
      </c>
      <c r="H1169" s="0" t="s">
        <v>43</v>
      </c>
      <c r="I1169" s="7" t="n">
        <f aca="false">IF(AND(LEFT(A1169,1)&lt;&gt;"C",D1169&gt;0,F1169&gt;0),1,0)</f>
        <v>1</v>
      </c>
      <c r="J1169" s="7" t="n">
        <f aca="false">IF(I1169=1,D1169*F1169,0)</f>
        <v>16.6</v>
      </c>
      <c r="K1169" s="7" t="n">
        <f aca="false">YEAR(E1169)*100+MONTH(E1169)</f>
        <v>201109</v>
      </c>
      <c r="L1169" s="7" t="n">
        <f aca="false">IF(AND(A1169&lt;&gt;A1168,LEFT(A1169,1)&lt;&gt;"C"),1,0)</f>
        <v>0</v>
      </c>
    </row>
    <row r="1170" customFormat="false" ht="15" hidden="false" customHeight="false" outlineLevel="0" collapsed="false">
      <c r="A1170" s="0" t="s">
        <v>1224</v>
      </c>
      <c r="B1170" s="0" t="s">
        <v>1042</v>
      </c>
      <c r="C1170" s="0" t="s">
        <v>1043</v>
      </c>
      <c r="D1170" s="0" t="n">
        <v>4</v>
      </c>
      <c r="E1170" s="6" t="n">
        <v>40807.4444444445</v>
      </c>
      <c r="F1170" s="0" t="n">
        <v>4.15</v>
      </c>
      <c r="G1170" s="0" t="n">
        <v>12583</v>
      </c>
      <c r="H1170" s="0" t="s">
        <v>43</v>
      </c>
      <c r="I1170" s="7" t="n">
        <f aca="false">IF(AND(LEFT(A1170,1)&lt;&gt;"C",D1170&gt;0,F1170&gt;0),1,0)</f>
        <v>1</v>
      </c>
      <c r="J1170" s="7" t="n">
        <f aca="false">IF(I1170=1,D1170*F1170,0)</f>
        <v>16.6</v>
      </c>
      <c r="K1170" s="7" t="n">
        <f aca="false">YEAR(E1170)*100+MONTH(E1170)</f>
        <v>201109</v>
      </c>
      <c r="L1170" s="7" t="n">
        <f aca="false">IF(AND(A1170&lt;&gt;A1169,LEFT(A1170,1)&lt;&gt;"C"),1,0)</f>
        <v>0</v>
      </c>
    </row>
    <row r="1171" customFormat="false" ht="15" hidden="false" customHeight="false" outlineLevel="0" collapsed="false">
      <c r="A1171" s="0" t="s">
        <v>1224</v>
      </c>
      <c r="B1171" s="0" t="s">
        <v>1044</v>
      </c>
      <c r="C1171" s="0" t="s">
        <v>1045</v>
      </c>
      <c r="D1171" s="0" t="n">
        <v>4</v>
      </c>
      <c r="E1171" s="6" t="n">
        <v>40807.4444444445</v>
      </c>
      <c r="F1171" s="0" t="n">
        <v>4.15</v>
      </c>
      <c r="G1171" s="0" t="n">
        <v>12583</v>
      </c>
      <c r="H1171" s="0" t="s">
        <v>43</v>
      </c>
      <c r="I1171" s="7" t="n">
        <f aca="false">IF(AND(LEFT(A1171,1)&lt;&gt;"C",D1171&gt;0,F1171&gt;0),1,0)</f>
        <v>1</v>
      </c>
      <c r="J1171" s="7" t="n">
        <f aca="false">IF(I1171=1,D1171*F1171,0)</f>
        <v>16.6</v>
      </c>
      <c r="K1171" s="7" t="n">
        <f aca="false">YEAR(E1171)*100+MONTH(E1171)</f>
        <v>201109</v>
      </c>
      <c r="L1171" s="7" t="n">
        <f aca="false">IF(AND(A1171&lt;&gt;A1170,LEFT(A1171,1)&lt;&gt;"C"),1,0)</f>
        <v>0</v>
      </c>
    </row>
    <row r="1172" customFormat="false" ht="15" hidden="false" customHeight="false" outlineLevel="0" collapsed="false">
      <c r="A1172" s="0" t="s">
        <v>1224</v>
      </c>
      <c r="B1172" s="0" t="s">
        <v>1227</v>
      </c>
      <c r="C1172" s="0" t="s">
        <v>1228</v>
      </c>
      <c r="D1172" s="0" t="n">
        <v>10</v>
      </c>
      <c r="E1172" s="6" t="n">
        <v>40807.4444444445</v>
      </c>
      <c r="F1172" s="0" t="n">
        <v>0.82</v>
      </c>
      <c r="G1172" s="0" t="n">
        <v>12583</v>
      </c>
      <c r="H1172" s="0" t="s">
        <v>43</v>
      </c>
      <c r="I1172" s="7" t="n">
        <f aca="false">IF(AND(LEFT(A1172,1)&lt;&gt;"C",D1172&gt;0,F1172&gt;0),1,0)</f>
        <v>1</v>
      </c>
      <c r="J1172" s="7" t="n">
        <f aca="false">IF(I1172=1,D1172*F1172,0)</f>
        <v>8.2</v>
      </c>
      <c r="K1172" s="7" t="n">
        <f aca="false">YEAR(E1172)*100+MONTH(E1172)</f>
        <v>201109</v>
      </c>
      <c r="L1172" s="7" t="n">
        <f aca="false">IF(AND(A1172&lt;&gt;A1171,LEFT(A1172,1)&lt;&gt;"C"),1,0)</f>
        <v>0</v>
      </c>
    </row>
    <row r="1173" customFormat="false" ht="15" hidden="false" customHeight="false" outlineLevel="0" collapsed="false">
      <c r="A1173" s="0" t="s">
        <v>1224</v>
      </c>
      <c r="B1173" s="0" t="s">
        <v>1183</v>
      </c>
      <c r="C1173" s="0" t="s">
        <v>1184</v>
      </c>
      <c r="D1173" s="0" t="n">
        <v>20</v>
      </c>
      <c r="E1173" s="6" t="n">
        <v>40807.4444444445</v>
      </c>
      <c r="F1173" s="0" t="n">
        <v>0.82</v>
      </c>
      <c r="G1173" s="0" t="n">
        <v>12583</v>
      </c>
      <c r="H1173" s="0" t="s">
        <v>43</v>
      </c>
      <c r="I1173" s="7" t="n">
        <f aca="false">IF(AND(LEFT(A1173,1)&lt;&gt;"C",D1173&gt;0,F1173&gt;0),1,0)</f>
        <v>1</v>
      </c>
      <c r="J1173" s="7" t="n">
        <f aca="false">IF(I1173=1,D1173*F1173,0)</f>
        <v>16.4</v>
      </c>
      <c r="K1173" s="7" t="n">
        <f aca="false">YEAR(E1173)*100+MONTH(E1173)</f>
        <v>201109</v>
      </c>
      <c r="L1173" s="7" t="n">
        <f aca="false">IF(AND(A1173&lt;&gt;A1172,LEFT(A1173,1)&lt;&gt;"C"),1,0)</f>
        <v>0</v>
      </c>
    </row>
    <row r="1174" customFormat="false" ht="15" hidden="false" customHeight="false" outlineLevel="0" collapsed="false">
      <c r="A1174" s="0" t="s">
        <v>1224</v>
      </c>
      <c r="B1174" s="0" t="s">
        <v>50</v>
      </c>
      <c r="C1174" s="0" t="s">
        <v>51</v>
      </c>
      <c r="D1174" s="0" t="n">
        <v>12</v>
      </c>
      <c r="E1174" s="6" t="n">
        <v>40807.4444444445</v>
      </c>
      <c r="F1174" s="0" t="n">
        <v>1.95</v>
      </c>
      <c r="G1174" s="0" t="n">
        <v>12583</v>
      </c>
      <c r="H1174" s="0" t="s">
        <v>43</v>
      </c>
      <c r="I1174" s="7" t="n">
        <f aca="false">IF(AND(LEFT(A1174,1)&lt;&gt;"C",D1174&gt;0,F1174&gt;0),1,0)</f>
        <v>1</v>
      </c>
      <c r="J1174" s="7" t="n">
        <f aca="false">IF(I1174=1,D1174*F1174,0)</f>
        <v>23.4</v>
      </c>
      <c r="K1174" s="7" t="n">
        <f aca="false">YEAR(E1174)*100+MONTH(E1174)</f>
        <v>201109</v>
      </c>
      <c r="L1174" s="7" t="n">
        <f aca="false">IF(AND(A1174&lt;&gt;A1173,LEFT(A1174,1)&lt;&gt;"C"),1,0)</f>
        <v>0</v>
      </c>
    </row>
    <row r="1175" customFormat="false" ht="15" hidden="false" customHeight="false" outlineLevel="0" collapsed="false">
      <c r="A1175" s="0" t="s">
        <v>1224</v>
      </c>
      <c r="B1175" s="0" t="s">
        <v>64</v>
      </c>
      <c r="C1175" s="0" t="s">
        <v>65</v>
      </c>
      <c r="D1175" s="0" t="n">
        <v>12</v>
      </c>
      <c r="E1175" s="6" t="n">
        <v>40807.4444444445</v>
      </c>
      <c r="F1175" s="0" t="n">
        <v>1.65</v>
      </c>
      <c r="G1175" s="0" t="n">
        <v>12583</v>
      </c>
      <c r="H1175" s="0" t="s">
        <v>43</v>
      </c>
      <c r="I1175" s="7" t="n">
        <f aca="false">IF(AND(LEFT(A1175,1)&lt;&gt;"C",D1175&gt;0,F1175&gt;0),1,0)</f>
        <v>1</v>
      </c>
      <c r="J1175" s="7" t="n">
        <f aca="false">IF(I1175=1,D1175*F1175,0)</f>
        <v>19.8</v>
      </c>
      <c r="K1175" s="7" t="n">
        <f aca="false">YEAR(E1175)*100+MONTH(E1175)</f>
        <v>201109</v>
      </c>
      <c r="L1175" s="7" t="n">
        <f aca="false">IF(AND(A1175&lt;&gt;A1174,LEFT(A1175,1)&lt;&gt;"C"),1,0)</f>
        <v>0</v>
      </c>
    </row>
    <row r="1176" customFormat="false" ht="15" hidden="false" customHeight="false" outlineLevel="0" collapsed="false">
      <c r="A1176" s="0" t="s">
        <v>1224</v>
      </c>
      <c r="B1176" s="0" t="s">
        <v>1229</v>
      </c>
      <c r="C1176" s="0" t="s">
        <v>1230</v>
      </c>
      <c r="D1176" s="0" t="n">
        <v>4</v>
      </c>
      <c r="E1176" s="6" t="n">
        <v>40807.4444444445</v>
      </c>
      <c r="F1176" s="0" t="n">
        <v>3.95</v>
      </c>
      <c r="G1176" s="0" t="n">
        <v>12583</v>
      </c>
      <c r="H1176" s="0" t="s">
        <v>43</v>
      </c>
      <c r="I1176" s="7" t="n">
        <f aca="false">IF(AND(LEFT(A1176,1)&lt;&gt;"C",D1176&gt;0,F1176&gt;0),1,0)</f>
        <v>1</v>
      </c>
      <c r="J1176" s="7" t="n">
        <f aca="false">IF(I1176=1,D1176*F1176,0)</f>
        <v>15.8</v>
      </c>
      <c r="K1176" s="7" t="n">
        <f aca="false">YEAR(E1176)*100+MONTH(E1176)</f>
        <v>201109</v>
      </c>
      <c r="L1176" s="7" t="n">
        <f aca="false">IF(AND(A1176&lt;&gt;A1175,LEFT(A1176,1)&lt;&gt;"C"),1,0)</f>
        <v>0</v>
      </c>
    </row>
    <row r="1177" customFormat="false" ht="15" hidden="false" customHeight="false" outlineLevel="0" collapsed="false">
      <c r="A1177" s="0" t="s">
        <v>1224</v>
      </c>
      <c r="B1177" s="0" t="s">
        <v>84</v>
      </c>
      <c r="C1177" s="0" t="s">
        <v>85</v>
      </c>
      <c r="D1177" s="0" t="n">
        <v>3</v>
      </c>
      <c r="E1177" s="6" t="n">
        <v>40807.4444444445</v>
      </c>
      <c r="F1177" s="0" t="n">
        <v>18</v>
      </c>
      <c r="G1177" s="0" t="n">
        <v>12583</v>
      </c>
      <c r="H1177" s="0" t="s">
        <v>43</v>
      </c>
      <c r="I1177" s="7" t="n">
        <f aca="false">IF(AND(LEFT(A1177,1)&lt;&gt;"C",D1177&gt;0,F1177&gt;0),1,0)</f>
        <v>1</v>
      </c>
      <c r="J1177" s="7" t="n">
        <f aca="false">IF(I1177=1,D1177*F1177,0)</f>
        <v>54</v>
      </c>
      <c r="K1177" s="7" t="n">
        <f aca="false">YEAR(E1177)*100+MONTH(E1177)</f>
        <v>201109</v>
      </c>
      <c r="L1177" s="7" t="n">
        <f aca="false">IF(AND(A1177&lt;&gt;A1176,LEFT(A1177,1)&lt;&gt;"C"),1,0)</f>
        <v>0</v>
      </c>
    </row>
    <row r="1178" customFormat="false" ht="15" hidden="false" customHeight="false" outlineLevel="0" collapsed="false">
      <c r="A1178" s="0" t="s">
        <v>1224</v>
      </c>
      <c r="B1178" s="0" t="s">
        <v>213</v>
      </c>
      <c r="C1178" s="0" t="s">
        <v>214</v>
      </c>
      <c r="D1178" s="0" t="n">
        <v>24</v>
      </c>
      <c r="E1178" s="6" t="n">
        <v>40807.4444444445</v>
      </c>
      <c r="F1178" s="0" t="n">
        <v>0.85</v>
      </c>
      <c r="G1178" s="0" t="n">
        <v>12583</v>
      </c>
      <c r="H1178" s="0" t="s">
        <v>43</v>
      </c>
      <c r="I1178" s="7" t="n">
        <f aca="false">IF(AND(LEFT(A1178,1)&lt;&gt;"C",D1178&gt;0,F1178&gt;0),1,0)</f>
        <v>1</v>
      </c>
      <c r="J1178" s="7" t="n">
        <f aca="false">IF(I1178=1,D1178*F1178,0)</f>
        <v>20.4</v>
      </c>
      <c r="K1178" s="7" t="n">
        <f aca="false">YEAR(E1178)*100+MONTH(E1178)</f>
        <v>201109</v>
      </c>
      <c r="L1178" s="7" t="n">
        <f aca="false">IF(AND(A1178&lt;&gt;A1177,LEFT(A1178,1)&lt;&gt;"C"),1,0)</f>
        <v>0</v>
      </c>
    </row>
    <row r="1179" customFormat="false" ht="15" hidden="false" customHeight="false" outlineLevel="0" collapsed="false">
      <c r="A1179" s="0" t="s">
        <v>1231</v>
      </c>
      <c r="B1179" s="0" t="s">
        <v>1232</v>
      </c>
      <c r="C1179" s="0" t="s">
        <v>1233</v>
      </c>
      <c r="D1179" s="0" t="n">
        <v>6</v>
      </c>
      <c r="E1179" s="6" t="n">
        <v>40807.4493055556</v>
      </c>
      <c r="F1179" s="0" t="n">
        <v>2.1</v>
      </c>
      <c r="G1179" s="0" t="n">
        <v>12701</v>
      </c>
      <c r="H1179" s="0" t="s">
        <v>33</v>
      </c>
      <c r="I1179" s="7" t="n">
        <f aca="false">IF(AND(LEFT(A1179,1)&lt;&gt;"C",D1179&gt;0,F1179&gt;0),1,0)</f>
        <v>1</v>
      </c>
      <c r="J1179" s="7" t="n">
        <f aca="false">IF(I1179=1,D1179*F1179,0)</f>
        <v>12.6</v>
      </c>
      <c r="K1179" s="7" t="n">
        <f aca="false">YEAR(E1179)*100+MONTH(E1179)</f>
        <v>201109</v>
      </c>
      <c r="L1179" s="7" t="n">
        <f aca="false">IF(AND(A1179&lt;&gt;A1178,LEFT(A1179,1)&lt;&gt;"C"),1,0)</f>
        <v>1</v>
      </c>
    </row>
    <row r="1180" customFormat="false" ht="15" hidden="false" customHeight="false" outlineLevel="0" collapsed="false">
      <c r="A1180" s="0" t="s">
        <v>1231</v>
      </c>
      <c r="B1180" s="0" t="s">
        <v>217</v>
      </c>
      <c r="C1180" s="0" t="s">
        <v>218</v>
      </c>
      <c r="D1180" s="0" t="n">
        <v>24</v>
      </c>
      <c r="E1180" s="6" t="n">
        <v>40807.4493055556</v>
      </c>
      <c r="F1180" s="0" t="n">
        <v>0.55</v>
      </c>
      <c r="G1180" s="0" t="n">
        <v>12701</v>
      </c>
      <c r="H1180" s="0" t="s">
        <v>33</v>
      </c>
      <c r="I1180" s="7" t="n">
        <f aca="false">IF(AND(LEFT(A1180,1)&lt;&gt;"C",D1180&gt;0,F1180&gt;0),1,0)</f>
        <v>1</v>
      </c>
      <c r="J1180" s="7" t="n">
        <f aca="false">IF(I1180=1,D1180*F1180,0)</f>
        <v>13.2</v>
      </c>
      <c r="K1180" s="7" t="n">
        <f aca="false">YEAR(E1180)*100+MONTH(E1180)</f>
        <v>201109</v>
      </c>
      <c r="L1180" s="7" t="n">
        <f aca="false">IF(AND(A1180&lt;&gt;A1179,LEFT(A1180,1)&lt;&gt;"C"),1,0)</f>
        <v>0</v>
      </c>
    </row>
    <row r="1181" customFormat="false" ht="15" hidden="false" customHeight="false" outlineLevel="0" collapsed="false">
      <c r="A1181" s="0" t="s">
        <v>1231</v>
      </c>
      <c r="B1181" s="0" t="s">
        <v>1234</v>
      </c>
      <c r="C1181" s="0" t="s">
        <v>1235</v>
      </c>
      <c r="D1181" s="0" t="n">
        <v>24</v>
      </c>
      <c r="E1181" s="6" t="n">
        <v>40807.4493055556</v>
      </c>
      <c r="F1181" s="0" t="n">
        <v>0.55</v>
      </c>
      <c r="G1181" s="0" t="n">
        <v>12701</v>
      </c>
      <c r="H1181" s="0" t="s">
        <v>33</v>
      </c>
      <c r="I1181" s="7" t="n">
        <f aca="false">IF(AND(LEFT(A1181,1)&lt;&gt;"C",D1181&gt;0,F1181&gt;0),1,0)</f>
        <v>1</v>
      </c>
      <c r="J1181" s="7" t="n">
        <f aca="false">IF(I1181=1,D1181*F1181,0)</f>
        <v>13.2</v>
      </c>
      <c r="K1181" s="7" t="n">
        <f aca="false">YEAR(E1181)*100+MONTH(E1181)</f>
        <v>201109</v>
      </c>
      <c r="L1181" s="7" t="n">
        <f aca="false">IF(AND(A1181&lt;&gt;A1180,LEFT(A1181,1)&lt;&gt;"C"),1,0)</f>
        <v>0</v>
      </c>
    </row>
    <row r="1182" customFormat="false" ht="15" hidden="false" customHeight="false" outlineLevel="0" collapsed="false">
      <c r="A1182" s="0" t="s">
        <v>1231</v>
      </c>
      <c r="B1182" s="0" t="s">
        <v>771</v>
      </c>
      <c r="C1182" s="0" t="s">
        <v>772</v>
      </c>
      <c r="D1182" s="0" t="n">
        <v>24</v>
      </c>
      <c r="E1182" s="6" t="n">
        <v>40807.4493055556</v>
      </c>
      <c r="F1182" s="0" t="n">
        <v>0.55</v>
      </c>
      <c r="G1182" s="0" t="n">
        <v>12701</v>
      </c>
      <c r="H1182" s="0" t="s">
        <v>33</v>
      </c>
      <c r="I1182" s="7" t="n">
        <f aca="false">IF(AND(LEFT(A1182,1)&lt;&gt;"C",D1182&gt;0,F1182&gt;0),1,0)</f>
        <v>1</v>
      </c>
      <c r="J1182" s="7" t="n">
        <f aca="false">IF(I1182=1,D1182*F1182,0)</f>
        <v>13.2</v>
      </c>
      <c r="K1182" s="7" t="n">
        <f aca="false">YEAR(E1182)*100+MONTH(E1182)</f>
        <v>201109</v>
      </c>
      <c r="L1182" s="7" t="n">
        <f aca="false">IF(AND(A1182&lt;&gt;A1181,LEFT(A1182,1)&lt;&gt;"C"),1,0)</f>
        <v>0</v>
      </c>
    </row>
    <row r="1183" customFormat="false" ht="15" hidden="false" customHeight="false" outlineLevel="0" collapsed="false">
      <c r="A1183" s="0" t="s">
        <v>1231</v>
      </c>
      <c r="B1183" s="0" t="s">
        <v>941</v>
      </c>
      <c r="C1183" s="0" t="s">
        <v>942</v>
      </c>
      <c r="D1183" s="0" t="n">
        <v>24</v>
      </c>
      <c r="E1183" s="6" t="n">
        <v>40807.4493055556</v>
      </c>
      <c r="F1183" s="0" t="n">
        <v>0.55</v>
      </c>
      <c r="G1183" s="0" t="n">
        <v>12701</v>
      </c>
      <c r="H1183" s="0" t="s">
        <v>33</v>
      </c>
      <c r="I1183" s="7" t="n">
        <f aca="false">IF(AND(LEFT(A1183,1)&lt;&gt;"C",D1183&gt;0,F1183&gt;0),1,0)</f>
        <v>1</v>
      </c>
      <c r="J1183" s="7" t="n">
        <f aca="false">IF(I1183=1,D1183*F1183,0)</f>
        <v>13.2</v>
      </c>
      <c r="K1183" s="7" t="n">
        <f aca="false">YEAR(E1183)*100+MONTH(E1183)</f>
        <v>201109</v>
      </c>
      <c r="L1183" s="7" t="n">
        <f aca="false">IF(AND(A1183&lt;&gt;A1182,LEFT(A1183,1)&lt;&gt;"C"),1,0)</f>
        <v>0</v>
      </c>
    </row>
    <row r="1184" customFormat="false" ht="15" hidden="false" customHeight="false" outlineLevel="0" collapsed="false">
      <c r="A1184" s="0" t="s">
        <v>1231</v>
      </c>
      <c r="B1184" s="0" t="s">
        <v>103</v>
      </c>
      <c r="C1184" s="0" t="s">
        <v>104</v>
      </c>
      <c r="D1184" s="0" t="n">
        <v>24</v>
      </c>
      <c r="E1184" s="6" t="n">
        <v>40807.4493055556</v>
      </c>
      <c r="F1184" s="0" t="n">
        <v>0.55</v>
      </c>
      <c r="G1184" s="0" t="n">
        <v>12701</v>
      </c>
      <c r="H1184" s="0" t="s">
        <v>33</v>
      </c>
      <c r="I1184" s="7" t="n">
        <f aca="false">IF(AND(LEFT(A1184,1)&lt;&gt;"C",D1184&gt;0,F1184&gt;0),1,0)</f>
        <v>1</v>
      </c>
      <c r="J1184" s="7" t="n">
        <f aca="false">IF(I1184=1,D1184*F1184,0)</f>
        <v>13.2</v>
      </c>
      <c r="K1184" s="7" t="n">
        <f aca="false">YEAR(E1184)*100+MONTH(E1184)</f>
        <v>201109</v>
      </c>
      <c r="L1184" s="7" t="n">
        <f aca="false">IF(AND(A1184&lt;&gt;A1183,LEFT(A1184,1)&lt;&gt;"C"),1,0)</f>
        <v>0</v>
      </c>
    </row>
    <row r="1185" customFormat="false" ht="15" hidden="false" customHeight="false" outlineLevel="0" collapsed="false">
      <c r="A1185" s="0" t="s">
        <v>1231</v>
      </c>
      <c r="B1185" s="0" t="s">
        <v>721</v>
      </c>
      <c r="C1185" s="0" t="s">
        <v>722</v>
      </c>
      <c r="D1185" s="0" t="n">
        <v>6</v>
      </c>
      <c r="E1185" s="6" t="n">
        <v>40807.4493055556</v>
      </c>
      <c r="F1185" s="0" t="n">
        <v>2.1</v>
      </c>
      <c r="G1185" s="0" t="n">
        <v>12701</v>
      </c>
      <c r="H1185" s="0" t="s">
        <v>33</v>
      </c>
      <c r="I1185" s="7" t="n">
        <f aca="false">IF(AND(LEFT(A1185,1)&lt;&gt;"C",D1185&gt;0,F1185&gt;0),1,0)</f>
        <v>1</v>
      </c>
      <c r="J1185" s="7" t="n">
        <f aca="false">IF(I1185=1,D1185*F1185,0)</f>
        <v>12.6</v>
      </c>
      <c r="K1185" s="7" t="n">
        <f aca="false">YEAR(E1185)*100+MONTH(E1185)</f>
        <v>201109</v>
      </c>
      <c r="L1185" s="7" t="n">
        <f aca="false">IF(AND(A1185&lt;&gt;A1184,LEFT(A1185,1)&lt;&gt;"C"),1,0)</f>
        <v>0</v>
      </c>
    </row>
    <row r="1186" customFormat="false" ht="15" hidden="false" customHeight="false" outlineLevel="0" collapsed="false">
      <c r="A1186" s="0" t="s">
        <v>1231</v>
      </c>
      <c r="B1186" s="0" t="s">
        <v>723</v>
      </c>
      <c r="C1186" s="0" t="s">
        <v>724</v>
      </c>
      <c r="D1186" s="0" t="n">
        <v>6</v>
      </c>
      <c r="E1186" s="6" t="n">
        <v>40807.4493055556</v>
      </c>
      <c r="F1186" s="0" t="n">
        <v>2.1</v>
      </c>
      <c r="G1186" s="0" t="n">
        <v>12701</v>
      </c>
      <c r="H1186" s="0" t="s">
        <v>33</v>
      </c>
      <c r="I1186" s="7" t="n">
        <f aca="false">IF(AND(LEFT(A1186,1)&lt;&gt;"C",D1186&gt;0,F1186&gt;0),1,0)</f>
        <v>1</v>
      </c>
      <c r="J1186" s="7" t="n">
        <f aca="false">IF(I1186=1,D1186*F1186,0)</f>
        <v>12.6</v>
      </c>
      <c r="K1186" s="7" t="n">
        <f aca="false">YEAR(E1186)*100+MONTH(E1186)</f>
        <v>201109</v>
      </c>
      <c r="L1186" s="7" t="n">
        <f aca="false">IF(AND(A1186&lt;&gt;A1185,LEFT(A1186,1)&lt;&gt;"C"),1,0)</f>
        <v>0</v>
      </c>
    </row>
    <row r="1187" customFormat="false" ht="15" hidden="false" customHeight="false" outlineLevel="0" collapsed="false">
      <c r="A1187" s="0" t="s">
        <v>1231</v>
      </c>
      <c r="B1187" s="0" t="s">
        <v>123</v>
      </c>
      <c r="C1187" s="0" t="s">
        <v>124</v>
      </c>
      <c r="D1187" s="0" t="n">
        <v>6</v>
      </c>
      <c r="E1187" s="6" t="n">
        <v>40807.4493055556</v>
      </c>
      <c r="F1187" s="0" t="n">
        <v>2.95</v>
      </c>
      <c r="G1187" s="0" t="n">
        <v>12701</v>
      </c>
      <c r="H1187" s="0" t="s">
        <v>33</v>
      </c>
      <c r="I1187" s="7" t="n">
        <f aca="false">IF(AND(LEFT(A1187,1)&lt;&gt;"C",D1187&gt;0,F1187&gt;0),1,0)</f>
        <v>1</v>
      </c>
      <c r="J1187" s="7" t="n">
        <f aca="false">IF(I1187=1,D1187*F1187,0)</f>
        <v>17.7</v>
      </c>
      <c r="K1187" s="7" t="n">
        <f aca="false">YEAR(E1187)*100+MONTH(E1187)</f>
        <v>201109</v>
      </c>
      <c r="L1187" s="7" t="n">
        <f aca="false">IF(AND(A1187&lt;&gt;A1186,LEFT(A1187,1)&lt;&gt;"C"),1,0)</f>
        <v>0</v>
      </c>
    </row>
    <row r="1188" customFormat="false" ht="15" hidden="false" customHeight="false" outlineLevel="0" collapsed="false">
      <c r="A1188" s="0" t="s">
        <v>1231</v>
      </c>
      <c r="B1188" s="0" t="s">
        <v>857</v>
      </c>
      <c r="C1188" s="0" t="s">
        <v>858</v>
      </c>
      <c r="D1188" s="0" t="n">
        <v>8</v>
      </c>
      <c r="E1188" s="6" t="n">
        <v>40807.4493055556</v>
      </c>
      <c r="F1188" s="0" t="n">
        <v>0.83</v>
      </c>
      <c r="G1188" s="0" t="n">
        <v>12701</v>
      </c>
      <c r="H1188" s="0" t="s">
        <v>33</v>
      </c>
      <c r="I1188" s="7" t="n">
        <f aca="false">IF(AND(LEFT(A1188,1)&lt;&gt;"C",D1188&gt;0,F1188&gt;0),1,0)</f>
        <v>1</v>
      </c>
      <c r="J1188" s="7" t="n">
        <f aca="false">IF(I1188=1,D1188*F1188,0)</f>
        <v>6.64</v>
      </c>
      <c r="K1188" s="7" t="n">
        <f aca="false">YEAR(E1188)*100+MONTH(E1188)</f>
        <v>201109</v>
      </c>
      <c r="L1188" s="7" t="n">
        <f aca="false">IF(AND(A1188&lt;&gt;A1187,LEFT(A1188,1)&lt;&gt;"C"),1,0)</f>
        <v>0</v>
      </c>
    </row>
    <row r="1189" customFormat="false" ht="15" hidden="false" customHeight="false" outlineLevel="0" collapsed="false">
      <c r="A1189" s="0" t="s">
        <v>1231</v>
      </c>
      <c r="B1189" s="0" t="s">
        <v>689</v>
      </c>
      <c r="C1189" s="0" t="s">
        <v>690</v>
      </c>
      <c r="D1189" s="0" t="n">
        <v>16</v>
      </c>
      <c r="E1189" s="6" t="n">
        <v>40807.4493055556</v>
      </c>
      <c r="F1189" s="0" t="n">
        <v>1.25</v>
      </c>
      <c r="G1189" s="0" t="n">
        <v>12701</v>
      </c>
      <c r="H1189" s="0" t="s">
        <v>33</v>
      </c>
      <c r="I1189" s="7" t="n">
        <f aca="false">IF(AND(LEFT(A1189,1)&lt;&gt;"C",D1189&gt;0,F1189&gt;0),1,0)</f>
        <v>1</v>
      </c>
      <c r="J1189" s="7" t="n">
        <f aca="false">IF(I1189=1,D1189*F1189,0)</f>
        <v>20</v>
      </c>
      <c r="K1189" s="7" t="n">
        <f aca="false">YEAR(E1189)*100+MONTH(E1189)</f>
        <v>201109</v>
      </c>
      <c r="L1189" s="7" t="n">
        <f aca="false">IF(AND(A1189&lt;&gt;A1188,LEFT(A1189,1)&lt;&gt;"C"),1,0)</f>
        <v>0</v>
      </c>
    </row>
    <row r="1190" customFormat="false" ht="15" hidden="false" customHeight="false" outlineLevel="0" collapsed="false">
      <c r="A1190" s="0" t="s">
        <v>1231</v>
      </c>
      <c r="B1190" s="0" t="s">
        <v>717</v>
      </c>
      <c r="C1190" s="0" t="s">
        <v>718</v>
      </c>
      <c r="D1190" s="0" t="n">
        <v>8</v>
      </c>
      <c r="E1190" s="6" t="n">
        <v>40807.4493055556</v>
      </c>
      <c r="F1190" s="0" t="n">
        <v>0.83</v>
      </c>
      <c r="G1190" s="0" t="n">
        <v>12701</v>
      </c>
      <c r="H1190" s="0" t="s">
        <v>33</v>
      </c>
      <c r="I1190" s="7" t="n">
        <f aca="false">IF(AND(LEFT(A1190,1)&lt;&gt;"C",D1190&gt;0,F1190&gt;0),1,0)</f>
        <v>1</v>
      </c>
      <c r="J1190" s="7" t="n">
        <f aca="false">IF(I1190=1,D1190*F1190,0)</f>
        <v>6.64</v>
      </c>
      <c r="K1190" s="7" t="n">
        <f aca="false">YEAR(E1190)*100+MONTH(E1190)</f>
        <v>201109</v>
      </c>
      <c r="L1190" s="7" t="n">
        <f aca="false">IF(AND(A1190&lt;&gt;A1189,LEFT(A1190,1)&lt;&gt;"C"),1,0)</f>
        <v>0</v>
      </c>
    </row>
    <row r="1191" customFormat="false" ht="15" hidden="false" customHeight="false" outlineLevel="0" collapsed="false">
      <c r="A1191" s="0" t="s">
        <v>1231</v>
      </c>
      <c r="B1191" s="0" t="s">
        <v>873</v>
      </c>
      <c r="C1191" s="0" t="s">
        <v>874</v>
      </c>
      <c r="D1191" s="0" t="n">
        <v>12</v>
      </c>
      <c r="E1191" s="6" t="n">
        <v>40807.4493055556</v>
      </c>
      <c r="F1191" s="0" t="n">
        <v>0.83</v>
      </c>
      <c r="G1191" s="0" t="n">
        <v>12701</v>
      </c>
      <c r="H1191" s="0" t="s">
        <v>33</v>
      </c>
      <c r="I1191" s="7" t="n">
        <f aca="false">IF(AND(LEFT(A1191,1)&lt;&gt;"C",D1191&gt;0,F1191&gt;0),1,0)</f>
        <v>1</v>
      </c>
      <c r="J1191" s="7" t="n">
        <f aca="false">IF(I1191=1,D1191*F1191,0)</f>
        <v>9.96</v>
      </c>
      <c r="K1191" s="7" t="n">
        <f aca="false">YEAR(E1191)*100+MONTH(E1191)</f>
        <v>201109</v>
      </c>
      <c r="L1191" s="7" t="n">
        <f aca="false">IF(AND(A1191&lt;&gt;A1190,LEFT(A1191,1)&lt;&gt;"C"),1,0)</f>
        <v>0</v>
      </c>
    </row>
    <row r="1192" customFormat="false" ht="15" hidden="false" customHeight="false" outlineLevel="0" collapsed="false">
      <c r="A1192" s="0" t="s">
        <v>1231</v>
      </c>
      <c r="B1192" s="0" t="s">
        <v>1236</v>
      </c>
      <c r="C1192" s="0" t="s">
        <v>1237</v>
      </c>
      <c r="D1192" s="0" t="n">
        <v>4</v>
      </c>
      <c r="E1192" s="6" t="n">
        <v>40807.4493055556</v>
      </c>
      <c r="F1192" s="0" t="n">
        <v>4.95</v>
      </c>
      <c r="G1192" s="0" t="n">
        <v>12701</v>
      </c>
      <c r="H1192" s="0" t="s">
        <v>33</v>
      </c>
      <c r="I1192" s="7" t="n">
        <f aca="false">IF(AND(LEFT(A1192,1)&lt;&gt;"C",D1192&gt;0,F1192&gt;0),1,0)</f>
        <v>1</v>
      </c>
      <c r="J1192" s="7" t="n">
        <f aca="false">IF(I1192=1,D1192*F1192,0)</f>
        <v>19.8</v>
      </c>
      <c r="K1192" s="7" t="n">
        <f aca="false">YEAR(E1192)*100+MONTH(E1192)</f>
        <v>201109</v>
      </c>
      <c r="L1192" s="7" t="n">
        <f aca="false">IF(AND(A1192&lt;&gt;A1191,LEFT(A1192,1)&lt;&gt;"C"),1,0)</f>
        <v>0</v>
      </c>
    </row>
    <row r="1193" customFormat="false" ht="15" hidden="false" customHeight="false" outlineLevel="0" collapsed="false">
      <c r="A1193" s="0" t="s">
        <v>1231</v>
      </c>
      <c r="B1193" s="0" t="s">
        <v>1238</v>
      </c>
      <c r="C1193" s="0" t="s">
        <v>1239</v>
      </c>
      <c r="D1193" s="0" t="n">
        <v>25</v>
      </c>
      <c r="E1193" s="6" t="n">
        <v>40807.4493055556</v>
      </c>
      <c r="F1193" s="0" t="n">
        <v>0.42</v>
      </c>
      <c r="G1193" s="0" t="n">
        <v>12701</v>
      </c>
      <c r="H1193" s="0" t="s">
        <v>33</v>
      </c>
      <c r="I1193" s="7" t="n">
        <f aca="false">IF(AND(LEFT(A1193,1)&lt;&gt;"C",D1193&gt;0,F1193&gt;0),1,0)</f>
        <v>1</v>
      </c>
      <c r="J1193" s="7" t="n">
        <f aca="false">IF(I1193=1,D1193*F1193,0)</f>
        <v>10.5</v>
      </c>
      <c r="K1193" s="7" t="n">
        <f aca="false">YEAR(E1193)*100+MONTH(E1193)</f>
        <v>201109</v>
      </c>
      <c r="L1193" s="7" t="n">
        <f aca="false">IF(AND(A1193&lt;&gt;A1192,LEFT(A1193,1)&lt;&gt;"C"),1,0)</f>
        <v>0</v>
      </c>
    </row>
    <row r="1194" customFormat="false" ht="15" hidden="false" customHeight="false" outlineLevel="0" collapsed="false">
      <c r="A1194" s="0" t="s">
        <v>1231</v>
      </c>
      <c r="B1194" s="0" t="s">
        <v>1240</v>
      </c>
      <c r="C1194" s="0" t="s">
        <v>1241</v>
      </c>
      <c r="D1194" s="0" t="n">
        <v>24</v>
      </c>
      <c r="E1194" s="6" t="n">
        <v>40807.4493055556</v>
      </c>
      <c r="F1194" s="0" t="n">
        <v>0.14</v>
      </c>
      <c r="G1194" s="0" t="n">
        <v>12701</v>
      </c>
      <c r="H1194" s="0" t="s">
        <v>33</v>
      </c>
      <c r="I1194" s="7" t="n">
        <f aca="false">IF(AND(LEFT(A1194,1)&lt;&gt;"C",D1194&gt;0,F1194&gt;0),1,0)</f>
        <v>1</v>
      </c>
      <c r="J1194" s="7" t="n">
        <f aca="false">IF(I1194=1,D1194*F1194,0)</f>
        <v>3.36</v>
      </c>
      <c r="K1194" s="7" t="n">
        <f aca="false">YEAR(E1194)*100+MONTH(E1194)</f>
        <v>201109</v>
      </c>
      <c r="L1194" s="7" t="n">
        <f aca="false">IF(AND(A1194&lt;&gt;A1193,LEFT(A1194,1)&lt;&gt;"C"),1,0)</f>
        <v>0</v>
      </c>
    </row>
    <row r="1195" customFormat="false" ht="15" hidden="false" customHeight="false" outlineLevel="0" collapsed="false">
      <c r="A1195" s="0" t="s">
        <v>1231</v>
      </c>
      <c r="B1195" s="0" t="s">
        <v>209</v>
      </c>
      <c r="C1195" s="0" t="s">
        <v>210</v>
      </c>
      <c r="D1195" s="0" t="n">
        <v>24</v>
      </c>
      <c r="E1195" s="6" t="n">
        <v>40807.4493055556</v>
      </c>
      <c r="F1195" s="0" t="n">
        <v>0.39</v>
      </c>
      <c r="G1195" s="0" t="n">
        <v>12701</v>
      </c>
      <c r="H1195" s="0" t="s">
        <v>33</v>
      </c>
      <c r="I1195" s="7" t="n">
        <f aca="false">IF(AND(LEFT(A1195,1)&lt;&gt;"C",D1195&gt;0,F1195&gt;0),1,0)</f>
        <v>1</v>
      </c>
      <c r="J1195" s="7" t="n">
        <f aca="false">IF(I1195=1,D1195*F1195,0)</f>
        <v>9.36</v>
      </c>
      <c r="K1195" s="7" t="n">
        <f aca="false">YEAR(E1195)*100+MONTH(E1195)</f>
        <v>201109</v>
      </c>
      <c r="L1195" s="7" t="n">
        <f aca="false">IF(AND(A1195&lt;&gt;A1194,LEFT(A1195,1)&lt;&gt;"C"),1,0)</f>
        <v>0</v>
      </c>
    </row>
    <row r="1196" customFormat="false" ht="15" hidden="false" customHeight="false" outlineLevel="0" collapsed="false">
      <c r="A1196" s="0" t="s">
        <v>1231</v>
      </c>
      <c r="B1196" s="0" t="s">
        <v>1242</v>
      </c>
      <c r="C1196" s="0" t="s">
        <v>1243</v>
      </c>
      <c r="D1196" s="0" t="n">
        <v>12</v>
      </c>
      <c r="E1196" s="6" t="n">
        <v>40807.4493055556</v>
      </c>
      <c r="F1196" s="0" t="n">
        <v>1.25</v>
      </c>
      <c r="G1196" s="0" t="n">
        <v>12701</v>
      </c>
      <c r="H1196" s="0" t="s">
        <v>33</v>
      </c>
      <c r="I1196" s="7" t="n">
        <f aca="false">IF(AND(LEFT(A1196,1)&lt;&gt;"C",D1196&gt;0,F1196&gt;0),1,0)</f>
        <v>1</v>
      </c>
      <c r="J1196" s="7" t="n">
        <f aca="false">IF(I1196=1,D1196*F1196,0)</f>
        <v>15</v>
      </c>
      <c r="K1196" s="7" t="n">
        <f aca="false">YEAR(E1196)*100+MONTH(E1196)</f>
        <v>201109</v>
      </c>
      <c r="L1196" s="7" t="n">
        <f aca="false">IF(AND(A1196&lt;&gt;A1195,LEFT(A1196,1)&lt;&gt;"C"),1,0)</f>
        <v>0</v>
      </c>
    </row>
    <row r="1197" customFormat="false" ht="15" hidden="false" customHeight="false" outlineLevel="0" collapsed="false">
      <c r="A1197" s="0" t="s">
        <v>1231</v>
      </c>
      <c r="B1197" s="0" t="s">
        <v>697</v>
      </c>
      <c r="C1197" s="0" t="s">
        <v>698</v>
      </c>
      <c r="D1197" s="0" t="n">
        <v>12</v>
      </c>
      <c r="E1197" s="6" t="n">
        <v>40807.4493055556</v>
      </c>
      <c r="F1197" s="0" t="n">
        <v>1.69</v>
      </c>
      <c r="G1197" s="0" t="n">
        <v>12701</v>
      </c>
      <c r="H1197" s="0" t="s">
        <v>33</v>
      </c>
      <c r="I1197" s="7" t="n">
        <f aca="false">IF(AND(LEFT(A1197,1)&lt;&gt;"C",D1197&gt;0,F1197&gt;0),1,0)</f>
        <v>1</v>
      </c>
      <c r="J1197" s="7" t="n">
        <f aca="false">IF(I1197=1,D1197*F1197,0)</f>
        <v>20.28</v>
      </c>
      <c r="K1197" s="7" t="n">
        <f aca="false">YEAR(E1197)*100+MONTH(E1197)</f>
        <v>201109</v>
      </c>
      <c r="L1197" s="7" t="n">
        <f aca="false">IF(AND(A1197&lt;&gt;A1196,LEFT(A1197,1)&lt;&gt;"C"),1,0)</f>
        <v>0</v>
      </c>
    </row>
    <row r="1198" customFormat="false" ht="15" hidden="false" customHeight="false" outlineLevel="0" collapsed="false">
      <c r="A1198" s="0" t="s">
        <v>1231</v>
      </c>
      <c r="B1198" s="0" t="s">
        <v>598</v>
      </c>
      <c r="C1198" s="0" t="s">
        <v>599</v>
      </c>
      <c r="D1198" s="0" t="n">
        <v>8</v>
      </c>
      <c r="E1198" s="6" t="n">
        <v>40807.4493055556</v>
      </c>
      <c r="F1198" s="0" t="n">
        <v>1.95</v>
      </c>
      <c r="G1198" s="0" t="n">
        <v>12701</v>
      </c>
      <c r="H1198" s="0" t="s">
        <v>33</v>
      </c>
      <c r="I1198" s="7" t="n">
        <f aca="false">IF(AND(LEFT(A1198,1)&lt;&gt;"C",D1198&gt;0,F1198&gt;0),1,0)</f>
        <v>1</v>
      </c>
      <c r="J1198" s="7" t="n">
        <f aca="false">IF(I1198=1,D1198*F1198,0)</f>
        <v>15.6</v>
      </c>
      <c r="K1198" s="7" t="n">
        <f aca="false">YEAR(E1198)*100+MONTH(E1198)</f>
        <v>201109</v>
      </c>
      <c r="L1198" s="7" t="n">
        <f aca="false">IF(AND(A1198&lt;&gt;A1197,LEFT(A1198,1)&lt;&gt;"C"),1,0)</f>
        <v>0</v>
      </c>
    </row>
    <row r="1199" customFormat="false" ht="15" hidden="false" customHeight="false" outlineLevel="0" collapsed="false">
      <c r="A1199" s="0" t="s">
        <v>1231</v>
      </c>
      <c r="B1199" s="0" t="s">
        <v>1244</v>
      </c>
      <c r="C1199" s="0" t="s">
        <v>1245</v>
      </c>
      <c r="D1199" s="0" t="n">
        <v>6</v>
      </c>
      <c r="E1199" s="6" t="n">
        <v>40807.4493055556</v>
      </c>
      <c r="F1199" s="0" t="n">
        <v>3.75</v>
      </c>
      <c r="G1199" s="0" t="n">
        <v>12701</v>
      </c>
      <c r="H1199" s="0" t="s">
        <v>33</v>
      </c>
      <c r="I1199" s="7" t="n">
        <f aca="false">IF(AND(LEFT(A1199,1)&lt;&gt;"C",D1199&gt;0,F1199&gt;0),1,0)</f>
        <v>1</v>
      </c>
      <c r="J1199" s="7" t="n">
        <f aca="false">IF(I1199=1,D1199*F1199,0)</f>
        <v>22.5</v>
      </c>
      <c r="K1199" s="7" t="n">
        <f aca="false">YEAR(E1199)*100+MONTH(E1199)</f>
        <v>201109</v>
      </c>
      <c r="L1199" s="7" t="n">
        <f aca="false">IF(AND(A1199&lt;&gt;A1198,LEFT(A1199,1)&lt;&gt;"C"),1,0)</f>
        <v>0</v>
      </c>
    </row>
    <row r="1200" customFormat="false" ht="15" hidden="false" customHeight="false" outlineLevel="0" collapsed="false">
      <c r="A1200" s="0" t="s">
        <v>1231</v>
      </c>
      <c r="B1200" s="0" t="s">
        <v>1246</v>
      </c>
      <c r="C1200" s="0" t="s">
        <v>1247</v>
      </c>
      <c r="D1200" s="0" t="n">
        <v>20</v>
      </c>
      <c r="E1200" s="6" t="n">
        <v>40807.4493055556</v>
      </c>
      <c r="F1200" s="0" t="n">
        <v>0.42</v>
      </c>
      <c r="G1200" s="0" t="n">
        <v>12701</v>
      </c>
      <c r="H1200" s="0" t="s">
        <v>33</v>
      </c>
      <c r="I1200" s="7" t="n">
        <f aca="false">IF(AND(LEFT(A1200,1)&lt;&gt;"C",D1200&gt;0,F1200&gt;0),1,0)</f>
        <v>1</v>
      </c>
      <c r="J1200" s="7" t="n">
        <f aca="false">IF(I1200=1,D1200*F1200,0)</f>
        <v>8.4</v>
      </c>
      <c r="K1200" s="7" t="n">
        <f aca="false">YEAR(E1200)*100+MONTH(E1200)</f>
        <v>201109</v>
      </c>
      <c r="L1200" s="7" t="n">
        <f aca="false">IF(AND(A1200&lt;&gt;A1199,LEFT(A1200,1)&lt;&gt;"C"),1,0)</f>
        <v>0</v>
      </c>
    </row>
    <row r="1201" customFormat="false" ht="15" hidden="false" customHeight="false" outlineLevel="0" collapsed="false">
      <c r="A1201" s="0" t="s">
        <v>1231</v>
      </c>
      <c r="B1201" s="0" t="s">
        <v>463</v>
      </c>
      <c r="C1201" s="0" t="s">
        <v>464</v>
      </c>
      <c r="D1201" s="0" t="n">
        <v>2</v>
      </c>
      <c r="E1201" s="6" t="n">
        <v>40807.4493055556</v>
      </c>
      <c r="F1201" s="0" t="n">
        <v>7.95</v>
      </c>
      <c r="G1201" s="0" t="n">
        <v>12701</v>
      </c>
      <c r="H1201" s="0" t="s">
        <v>33</v>
      </c>
      <c r="I1201" s="7" t="n">
        <f aca="false">IF(AND(LEFT(A1201,1)&lt;&gt;"C",D1201&gt;0,F1201&gt;0),1,0)</f>
        <v>1</v>
      </c>
      <c r="J1201" s="7" t="n">
        <f aca="false">IF(I1201=1,D1201*F1201,0)</f>
        <v>15.9</v>
      </c>
      <c r="K1201" s="7" t="n">
        <f aca="false">YEAR(E1201)*100+MONTH(E1201)</f>
        <v>201109</v>
      </c>
      <c r="L1201" s="7" t="n">
        <f aca="false">IF(AND(A1201&lt;&gt;A1200,LEFT(A1201,1)&lt;&gt;"C"),1,0)</f>
        <v>0</v>
      </c>
    </row>
    <row r="1202" customFormat="false" ht="15" hidden="false" customHeight="false" outlineLevel="0" collapsed="false">
      <c r="A1202" s="0" t="s">
        <v>1231</v>
      </c>
      <c r="B1202" s="0" t="s">
        <v>465</v>
      </c>
      <c r="C1202" s="0" t="s">
        <v>466</v>
      </c>
      <c r="D1202" s="0" t="n">
        <v>2</v>
      </c>
      <c r="E1202" s="6" t="n">
        <v>40807.4493055556</v>
      </c>
      <c r="F1202" s="0" t="n">
        <v>7.95</v>
      </c>
      <c r="G1202" s="0" t="n">
        <v>12701</v>
      </c>
      <c r="H1202" s="0" t="s">
        <v>33</v>
      </c>
      <c r="I1202" s="7" t="n">
        <f aca="false">IF(AND(LEFT(A1202,1)&lt;&gt;"C",D1202&gt;0,F1202&gt;0),1,0)</f>
        <v>1</v>
      </c>
      <c r="J1202" s="7" t="n">
        <f aca="false">IF(I1202=1,D1202*F1202,0)</f>
        <v>15.9</v>
      </c>
      <c r="K1202" s="7" t="n">
        <f aca="false">YEAR(E1202)*100+MONTH(E1202)</f>
        <v>201109</v>
      </c>
      <c r="L1202" s="7" t="n">
        <f aca="false">IF(AND(A1202&lt;&gt;A1201,LEFT(A1202,1)&lt;&gt;"C"),1,0)</f>
        <v>0</v>
      </c>
    </row>
    <row r="1203" customFormat="false" ht="15" hidden="false" customHeight="false" outlineLevel="0" collapsed="false">
      <c r="A1203" s="0" t="s">
        <v>1231</v>
      </c>
      <c r="B1203" s="0" t="s">
        <v>1248</v>
      </c>
      <c r="C1203" s="0" t="s">
        <v>1249</v>
      </c>
      <c r="D1203" s="0" t="n">
        <v>3</v>
      </c>
      <c r="E1203" s="6" t="n">
        <v>40807.4493055556</v>
      </c>
      <c r="F1203" s="0" t="n">
        <v>4.95</v>
      </c>
      <c r="G1203" s="0" t="n">
        <v>12701</v>
      </c>
      <c r="H1203" s="0" t="s">
        <v>33</v>
      </c>
      <c r="I1203" s="7" t="n">
        <f aca="false">IF(AND(LEFT(A1203,1)&lt;&gt;"C",D1203&gt;0,F1203&gt;0),1,0)</f>
        <v>1</v>
      </c>
      <c r="J1203" s="7" t="n">
        <f aca="false">IF(I1203=1,D1203*F1203,0)</f>
        <v>14.85</v>
      </c>
      <c r="K1203" s="7" t="n">
        <f aca="false">YEAR(E1203)*100+MONTH(E1203)</f>
        <v>201109</v>
      </c>
      <c r="L1203" s="7" t="n">
        <f aca="false">IF(AND(A1203&lt;&gt;A1202,LEFT(A1203,1)&lt;&gt;"C"),1,0)</f>
        <v>0</v>
      </c>
    </row>
    <row r="1204" customFormat="false" ht="15" hidden="false" customHeight="false" outlineLevel="0" collapsed="false">
      <c r="A1204" s="0" t="s">
        <v>1231</v>
      </c>
      <c r="B1204" s="0" t="s">
        <v>1048</v>
      </c>
      <c r="C1204" s="0" t="s">
        <v>1049</v>
      </c>
      <c r="D1204" s="0" t="n">
        <v>4</v>
      </c>
      <c r="E1204" s="6" t="n">
        <v>40807.4493055556</v>
      </c>
      <c r="F1204" s="0" t="n">
        <v>4.15</v>
      </c>
      <c r="G1204" s="0" t="n">
        <v>12701</v>
      </c>
      <c r="H1204" s="0" t="s">
        <v>33</v>
      </c>
      <c r="I1204" s="7" t="n">
        <f aca="false">IF(AND(LEFT(A1204,1)&lt;&gt;"C",D1204&gt;0,F1204&gt;0),1,0)</f>
        <v>1</v>
      </c>
      <c r="J1204" s="7" t="n">
        <f aca="false">IF(I1204=1,D1204*F1204,0)</f>
        <v>16.6</v>
      </c>
      <c r="K1204" s="7" t="n">
        <f aca="false">YEAR(E1204)*100+MONTH(E1204)</f>
        <v>201109</v>
      </c>
      <c r="L1204" s="7" t="n">
        <f aca="false">IF(AND(A1204&lt;&gt;A1203,LEFT(A1204,1)&lt;&gt;"C"),1,0)</f>
        <v>0</v>
      </c>
    </row>
    <row r="1205" customFormat="false" ht="15" hidden="false" customHeight="false" outlineLevel="0" collapsed="false">
      <c r="A1205" s="0" t="s">
        <v>1231</v>
      </c>
      <c r="B1205" s="0" t="s">
        <v>1042</v>
      </c>
      <c r="C1205" s="0" t="s">
        <v>1043</v>
      </c>
      <c r="D1205" s="0" t="n">
        <v>4</v>
      </c>
      <c r="E1205" s="6" t="n">
        <v>40807.4493055556</v>
      </c>
      <c r="F1205" s="0" t="n">
        <v>4.15</v>
      </c>
      <c r="G1205" s="0" t="n">
        <v>12701</v>
      </c>
      <c r="H1205" s="0" t="s">
        <v>33</v>
      </c>
      <c r="I1205" s="7" t="n">
        <f aca="false">IF(AND(LEFT(A1205,1)&lt;&gt;"C",D1205&gt;0,F1205&gt;0),1,0)</f>
        <v>1</v>
      </c>
      <c r="J1205" s="7" t="n">
        <f aca="false">IF(I1205=1,D1205*F1205,0)</f>
        <v>16.6</v>
      </c>
      <c r="K1205" s="7" t="n">
        <f aca="false">YEAR(E1205)*100+MONTH(E1205)</f>
        <v>201109</v>
      </c>
      <c r="L1205" s="7" t="n">
        <f aca="false">IF(AND(A1205&lt;&gt;A1204,LEFT(A1205,1)&lt;&gt;"C"),1,0)</f>
        <v>0</v>
      </c>
    </row>
    <row r="1206" customFormat="false" ht="15" hidden="false" customHeight="false" outlineLevel="0" collapsed="false">
      <c r="A1206" s="0" t="s">
        <v>1231</v>
      </c>
      <c r="B1206" s="0" t="s">
        <v>505</v>
      </c>
      <c r="C1206" s="0" t="s">
        <v>506</v>
      </c>
      <c r="D1206" s="0" t="n">
        <v>24</v>
      </c>
      <c r="E1206" s="6" t="n">
        <v>40807.4493055556</v>
      </c>
      <c r="F1206" s="0" t="n">
        <v>0.39</v>
      </c>
      <c r="G1206" s="0" t="n">
        <v>12701</v>
      </c>
      <c r="H1206" s="0" t="s">
        <v>33</v>
      </c>
      <c r="I1206" s="7" t="n">
        <f aca="false">IF(AND(LEFT(A1206,1)&lt;&gt;"C",D1206&gt;0,F1206&gt;0),1,0)</f>
        <v>1</v>
      </c>
      <c r="J1206" s="7" t="n">
        <f aca="false">IF(I1206=1,D1206*F1206,0)</f>
        <v>9.36</v>
      </c>
      <c r="K1206" s="7" t="n">
        <f aca="false">YEAR(E1206)*100+MONTH(E1206)</f>
        <v>201109</v>
      </c>
      <c r="L1206" s="7" t="n">
        <f aca="false">IF(AND(A1206&lt;&gt;A1205,LEFT(A1206,1)&lt;&gt;"C"),1,0)</f>
        <v>0</v>
      </c>
    </row>
    <row r="1207" customFormat="false" ht="15" hidden="false" customHeight="false" outlineLevel="0" collapsed="false">
      <c r="A1207" s="0" t="s">
        <v>1231</v>
      </c>
      <c r="B1207" s="0" t="s">
        <v>877</v>
      </c>
      <c r="C1207" s="0" t="s">
        <v>878</v>
      </c>
      <c r="D1207" s="0" t="n">
        <v>24</v>
      </c>
      <c r="E1207" s="6" t="n">
        <v>40807.4493055556</v>
      </c>
      <c r="F1207" s="0" t="n">
        <v>0.83</v>
      </c>
      <c r="G1207" s="0" t="n">
        <v>12701</v>
      </c>
      <c r="H1207" s="0" t="s">
        <v>33</v>
      </c>
      <c r="I1207" s="7" t="n">
        <f aca="false">IF(AND(LEFT(A1207,1)&lt;&gt;"C",D1207&gt;0,F1207&gt;0),1,0)</f>
        <v>1</v>
      </c>
      <c r="J1207" s="7" t="n">
        <f aca="false">IF(I1207=1,D1207*F1207,0)</f>
        <v>19.92</v>
      </c>
      <c r="K1207" s="7" t="n">
        <f aca="false">YEAR(E1207)*100+MONTH(E1207)</f>
        <v>201109</v>
      </c>
      <c r="L1207" s="7" t="n">
        <f aca="false">IF(AND(A1207&lt;&gt;A1206,LEFT(A1207,1)&lt;&gt;"C"),1,0)</f>
        <v>0</v>
      </c>
    </row>
    <row r="1208" customFormat="false" ht="15" hidden="false" customHeight="false" outlineLevel="0" collapsed="false">
      <c r="A1208" s="0" t="s">
        <v>1231</v>
      </c>
      <c r="B1208" s="0" t="s">
        <v>80</v>
      </c>
      <c r="C1208" s="0" t="s">
        <v>81</v>
      </c>
      <c r="D1208" s="0" t="n">
        <v>20</v>
      </c>
      <c r="E1208" s="6" t="n">
        <v>40807.4493055556</v>
      </c>
      <c r="F1208" s="0" t="n">
        <v>0.83</v>
      </c>
      <c r="G1208" s="0" t="n">
        <v>12701</v>
      </c>
      <c r="H1208" s="0" t="s">
        <v>33</v>
      </c>
      <c r="I1208" s="7" t="n">
        <f aca="false">IF(AND(LEFT(A1208,1)&lt;&gt;"C",D1208&gt;0,F1208&gt;0),1,0)</f>
        <v>1</v>
      </c>
      <c r="J1208" s="7" t="n">
        <f aca="false">IF(I1208=1,D1208*F1208,0)</f>
        <v>16.6</v>
      </c>
      <c r="K1208" s="7" t="n">
        <f aca="false">YEAR(E1208)*100+MONTH(E1208)</f>
        <v>201109</v>
      </c>
      <c r="L1208" s="7" t="n">
        <f aca="false">IF(AND(A1208&lt;&gt;A1207,LEFT(A1208,1)&lt;&gt;"C"),1,0)</f>
        <v>0</v>
      </c>
    </row>
    <row r="1209" customFormat="false" ht="15" hidden="false" customHeight="false" outlineLevel="0" collapsed="false">
      <c r="A1209" s="0" t="s">
        <v>1231</v>
      </c>
      <c r="B1209" s="0" t="s">
        <v>1250</v>
      </c>
      <c r="C1209" s="0" t="s">
        <v>1251</v>
      </c>
      <c r="D1209" s="0" t="n">
        <v>24</v>
      </c>
      <c r="E1209" s="6" t="n">
        <v>40807.4493055556</v>
      </c>
      <c r="F1209" s="0" t="n">
        <v>0.39</v>
      </c>
      <c r="G1209" s="0" t="n">
        <v>12701</v>
      </c>
      <c r="H1209" s="0" t="s">
        <v>33</v>
      </c>
      <c r="I1209" s="7" t="n">
        <f aca="false">IF(AND(LEFT(A1209,1)&lt;&gt;"C",D1209&gt;0,F1209&gt;0),1,0)</f>
        <v>1</v>
      </c>
      <c r="J1209" s="7" t="n">
        <f aca="false">IF(I1209=1,D1209*F1209,0)</f>
        <v>9.36</v>
      </c>
      <c r="K1209" s="7" t="n">
        <f aca="false">YEAR(E1209)*100+MONTH(E1209)</f>
        <v>201109</v>
      </c>
      <c r="L1209" s="7" t="n">
        <f aca="false">IF(AND(A1209&lt;&gt;A1208,LEFT(A1209,1)&lt;&gt;"C"),1,0)</f>
        <v>0</v>
      </c>
    </row>
    <row r="1210" customFormat="false" ht="15" hidden="false" customHeight="false" outlineLevel="0" collapsed="false">
      <c r="A1210" s="0" t="s">
        <v>1231</v>
      </c>
      <c r="B1210" s="0" t="s">
        <v>84</v>
      </c>
      <c r="C1210" s="0" t="s">
        <v>85</v>
      </c>
      <c r="D1210" s="0" t="n">
        <v>2</v>
      </c>
      <c r="E1210" s="6" t="n">
        <v>40807.4493055556</v>
      </c>
      <c r="F1210" s="0" t="n">
        <v>18</v>
      </c>
      <c r="G1210" s="0" t="n">
        <v>12701</v>
      </c>
      <c r="H1210" s="0" t="s">
        <v>33</v>
      </c>
      <c r="I1210" s="7" t="n">
        <f aca="false">IF(AND(LEFT(A1210,1)&lt;&gt;"C",D1210&gt;0,F1210&gt;0),1,0)</f>
        <v>1</v>
      </c>
      <c r="J1210" s="7" t="n">
        <f aca="false">IF(I1210=1,D1210*F1210,0)</f>
        <v>36</v>
      </c>
      <c r="K1210" s="7" t="n">
        <f aca="false">YEAR(E1210)*100+MONTH(E1210)</f>
        <v>201109</v>
      </c>
      <c r="L1210" s="7" t="n">
        <f aca="false">IF(AND(A1210&lt;&gt;A1209,LEFT(A1210,1)&lt;&gt;"C"),1,0)</f>
        <v>0</v>
      </c>
    </row>
    <row r="1211" customFormat="false" ht="15" hidden="false" customHeight="false" outlineLevel="0" collapsed="false">
      <c r="A1211" s="0" t="s">
        <v>1252</v>
      </c>
      <c r="B1211" s="0" t="s">
        <v>1048</v>
      </c>
      <c r="C1211" s="0" t="s">
        <v>1049</v>
      </c>
      <c r="D1211" s="0" t="n">
        <v>4</v>
      </c>
      <c r="E1211" s="6" t="n">
        <v>40807.5180555556</v>
      </c>
      <c r="F1211" s="0" t="n">
        <v>4.15</v>
      </c>
      <c r="G1211" s="0" t="n">
        <v>12721</v>
      </c>
      <c r="H1211" s="0" t="s">
        <v>43</v>
      </c>
      <c r="I1211" s="7" t="n">
        <f aca="false">IF(AND(LEFT(A1211,1)&lt;&gt;"C",D1211&gt;0,F1211&gt;0),1,0)</f>
        <v>1</v>
      </c>
      <c r="J1211" s="7" t="n">
        <f aca="false">IF(I1211=1,D1211*F1211,0)</f>
        <v>16.6</v>
      </c>
      <c r="K1211" s="7" t="n">
        <f aca="false">YEAR(E1211)*100+MONTH(E1211)</f>
        <v>201109</v>
      </c>
      <c r="L1211" s="7" t="n">
        <f aca="false">IF(AND(A1211&lt;&gt;A1210,LEFT(A1211,1)&lt;&gt;"C"),1,0)</f>
        <v>1</v>
      </c>
    </row>
    <row r="1212" customFormat="false" ht="15" hidden="false" customHeight="false" outlineLevel="0" collapsed="false">
      <c r="A1212" s="0" t="s">
        <v>1252</v>
      </c>
      <c r="B1212" s="0" t="s">
        <v>1044</v>
      </c>
      <c r="C1212" s="0" t="s">
        <v>1045</v>
      </c>
      <c r="D1212" s="0" t="n">
        <v>4</v>
      </c>
      <c r="E1212" s="6" t="n">
        <v>40807.5180555556</v>
      </c>
      <c r="F1212" s="0" t="n">
        <v>4.15</v>
      </c>
      <c r="G1212" s="0" t="n">
        <v>12721</v>
      </c>
      <c r="H1212" s="0" t="s">
        <v>43</v>
      </c>
      <c r="I1212" s="7" t="n">
        <f aca="false">IF(AND(LEFT(A1212,1)&lt;&gt;"C",D1212&gt;0,F1212&gt;0),1,0)</f>
        <v>1</v>
      </c>
      <c r="J1212" s="7" t="n">
        <f aca="false">IF(I1212=1,D1212*F1212,0)</f>
        <v>16.6</v>
      </c>
      <c r="K1212" s="7" t="n">
        <f aca="false">YEAR(E1212)*100+MONTH(E1212)</f>
        <v>201109</v>
      </c>
      <c r="L1212" s="7" t="n">
        <f aca="false">IF(AND(A1212&lt;&gt;A1211,LEFT(A1212,1)&lt;&gt;"C"),1,0)</f>
        <v>0</v>
      </c>
    </row>
    <row r="1213" customFormat="false" ht="15" hidden="false" customHeight="false" outlineLevel="0" collapsed="false">
      <c r="A1213" s="0" t="s">
        <v>1252</v>
      </c>
      <c r="B1213" s="0" t="s">
        <v>1042</v>
      </c>
      <c r="C1213" s="0" t="s">
        <v>1043</v>
      </c>
      <c r="D1213" s="0" t="n">
        <v>4</v>
      </c>
      <c r="E1213" s="6" t="n">
        <v>40807.5180555556</v>
      </c>
      <c r="F1213" s="0" t="n">
        <v>4.15</v>
      </c>
      <c r="G1213" s="0" t="n">
        <v>12721</v>
      </c>
      <c r="H1213" s="0" t="s">
        <v>43</v>
      </c>
      <c r="I1213" s="7" t="n">
        <f aca="false">IF(AND(LEFT(A1213,1)&lt;&gt;"C",D1213&gt;0,F1213&gt;0),1,0)</f>
        <v>1</v>
      </c>
      <c r="J1213" s="7" t="n">
        <f aca="false">IF(I1213=1,D1213*F1213,0)</f>
        <v>16.6</v>
      </c>
      <c r="K1213" s="7" t="n">
        <f aca="false">YEAR(E1213)*100+MONTH(E1213)</f>
        <v>201109</v>
      </c>
      <c r="L1213" s="7" t="n">
        <f aca="false">IF(AND(A1213&lt;&gt;A1212,LEFT(A1213,1)&lt;&gt;"C"),1,0)</f>
        <v>0</v>
      </c>
    </row>
    <row r="1214" customFormat="false" ht="15" hidden="false" customHeight="false" outlineLevel="0" collapsed="false">
      <c r="A1214" s="0" t="s">
        <v>1252</v>
      </c>
      <c r="B1214" s="0" t="s">
        <v>80</v>
      </c>
      <c r="C1214" s="0" t="s">
        <v>81</v>
      </c>
      <c r="D1214" s="0" t="n">
        <v>20</v>
      </c>
      <c r="E1214" s="6" t="n">
        <v>40807.5180555556</v>
      </c>
      <c r="F1214" s="0" t="n">
        <v>0.83</v>
      </c>
      <c r="G1214" s="0" t="n">
        <v>12721</v>
      </c>
      <c r="H1214" s="0" t="s">
        <v>43</v>
      </c>
      <c r="I1214" s="7" t="n">
        <f aca="false">IF(AND(LEFT(A1214,1)&lt;&gt;"C",D1214&gt;0,F1214&gt;0),1,0)</f>
        <v>1</v>
      </c>
      <c r="J1214" s="7" t="n">
        <f aca="false">IF(I1214=1,D1214*F1214,0)</f>
        <v>16.6</v>
      </c>
      <c r="K1214" s="7" t="n">
        <f aca="false">YEAR(E1214)*100+MONTH(E1214)</f>
        <v>201109</v>
      </c>
      <c r="L1214" s="7" t="n">
        <f aca="false">IF(AND(A1214&lt;&gt;A1213,LEFT(A1214,1)&lt;&gt;"C"),1,0)</f>
        <v>0</v>
      </c>
    </row>
    <row r="1215" customFormat="false" ht="15" hidden="false" customHeight="false" outlineLevel="0" collapsed="false">
      <c r="A1215" s="0" t="s">
        <v>1252</v>
      </c>
      <c r="B1215" s="0" t="s">
        <v>412</v>
      </c>
      <c r="C1215" s="0" t="s">
        <v>413</v>
      </c>
      <c r="D1215" s="0" t="n">
        <v>12</v>
      </c>
      <c r="E1215" s="6" t="n">
        <v>40807.5180555556</v>
      </c>
      <c r="F1215" s="0" t="n">
        <v>1.25</v>
      </c>
      <c r="G1215" s="0" t="n">
        <v>12721</v>
      </c>
      <c r="H1215" s="0" t="s">
        <v>43</v>
      </c>
      <c r="I1215" s="7" t="n">
        <f aca="false">IF(AND(LEFT(A1215,1)&lt;&gt;"C",D1215&gt;0,F1215&gt;0),1,0)</f>
        <v>1</v>
      </c>
      <c r="J1215" s="7" t="n">
        <f aca="false">IF(I1215=1,D1215*F1215,0)</f>
        <v>15</v>
      </c>
      <c r="K1215" s="7" t="n">
        <f aca="false">YEAR(E1215)*100+MONTH(E1215)</f>
        <v>201109</v>
      </c>
      <c r="L1215" s="7" t="n">
        <f aca="false">IF(AND(A1215&lt;&gt;A1214,LEFT(A1215,1)&lt;&gt;"C"),1,0)</f>
        <v>0</v>
      </c>
    </row>
    <row r="1216" customFormat="false" ht="15" hidden="false" customHeight="false" outlineLevel="0" collapsed="false">
      <c r="A1216" s="0" t="s">
        <v>1252</v>
      </c>
      <c r="B1216" s="0" t="s">
        <v>563</v>
      </c>
      <c r="C1216" s="0" t="s">
        <v>564</v>
      </c>
      <c r="D1216" s="0" t="n">
        <v>10</v>
      </c>
      <c r="E1216" s="6" t="n">
        <v>40807.5180555556</v>
      </c>
      <c r="F1216" s="0" t="n">
        <v>2.08</v>
      </c>
      <c r="G1216" s="0" t="n">
        <v>12721</v>
      </c>
      <c r="H1216" s="0" t="s">
        <v>43</v>
      </c>
      <c r="I1216" s="7" t="n">
        <f aca="false">IF(AND(LEFT(A1216,1)&lt;&gt;"C",D1216&gt;0,F1216&gt;0),1,0)</f>
        <v>1</v>
      </c>
      <c r="J1216" s="7" t="n">
        <f aca="false">IF(I1216=1,D1216*F1216,0)</f>
        <v>20.8</v>
      </c>
      <c r="K1216" s="7" t="n">
        <f aca="false">YEAR(E1216)*100+MONTH(E1216)</f>
        <v>201109</v>
      </c>
      <c r="L1216" s="7" t="n">
        <f aca="false">IF(AND(A1216&lt;&gt;A1215,LEFT(A1216,1)&lt;&gt;"C"),1,0)</f>
        <v>0</v>
      </c>
    </row>
    <row r="1217" customFormat="false" ht="15" hidden="false" customHeight="false" outlineLevel="0" collapsed="false">
      <c r="A1217" s="0" t="s">
        <v>1252</v>
      </c>
      <c r="B1217" s="0" t="s">
        <v>645</v>
      </c>
      <c r="C1217" s="0" t="s">
        <v>646</v>
      </c>
      <c r="D1217" s="0" t="n">
        <v>10</v>
      </c>
      <c r="E1217" s="6" t="n">
        <v>40807.5180555556</v>
      </c>
      <c r="F1217" s="0" t="n">
        <v>2.08</v>
      </c>
      <c r="G1217" s="0" t="n">
        <v>12721</v>
      </c>
      <c r="H1217" s="0" t="s">
        <v>43</v>
      </c>
      <c r="I1217" s="7" t="n">
        <f aca="false">IF(AND(LEFT(A1217,1)&lt;&gt;"C",D1217&gt;0,F1217&gt;0),1,0)</f>
        <v>1</v>
      </c>
      <c r="J1217" s="7" t="n">
        <f aca="false">IF(I1217=1,D1217*F1217,0)</f>
        <v>20.8</v>
      </c>
      <c r="K1217" s="7" t="n">
        <f aca="false">YEAR(E1217)*100+MONTH(E1217)</f>
        <v>201109</v>
      </c>
      <c r="L1217" s="7" t="n">
        <f aca="false">IF(AND(A1217&lt;&gt;A1216,LEFT(A1217,1)&lt;&gt;"C"),1,0)</f>
        <v>0</v>
      </c>
    </row>
    <row r="1218" customFormat="false" ht="15" hidden="false" customHeight="false" outlineLevel="0" collapsed="false">
      <c r="A1218" s="0" t="s">
        <v>1252</v>
      </c>
      <c r="B1218" s="0" t="s">
        <v>1006</v>
      </c>
      <c r="C1218" s="0" t="s">
        <v>1007</v>
      </c>
      <c r="D1218" s="0" t="n">
        <v>25</v>
      </c>
      <c r="E1218" s="6" t="n">
        <v>40807.5180555556</v>
      </c>
      <c r="F1218" s="0" t="n">
        <v>0.42</v>
      </c>
      <c r="G1218" s="0" t="n">
        <v>12721</v>
      </c>
      <c r="H1218" s="0" t="s">
        <v>43</v>
      </c>
      <c r="I1218" s="7" t="n">
        <f aca="false">IF(AND(LEFT(A1218,1)&lt;&gt;"C",D1218&gt;0,F1218&gt;0),1,0)</f>
        <v>1</v>
      </c>
      <c r="J1218" s="7" t="n">
        <f aca="false">IF(I1218=1,D1218*F1218,0)</f>
        <v>10.5</v>
      </c>
      <c r="K1218" s="7" t="n">
        <f aca="false">YEAR(E1218)*100+MONTH(E1218)</f>
        <v>201109</v>
      </c>
      <c r="L1218" s="7" t="n">
        <f aca="false">IF(AND(A1218&lt;&gt;A1217,LEFT(A1218,1)&lt;&gt;"C"),1,0)</f>
        <v>0</v>
      </c>
    </row>
    <row r="1219" customFormat="false" ht="15" hidden="false" customHeight="false" outlineLevel="0" collapsed="false">
      <c r="A1219" s="0" t="s">
        <v>1252</v>
      </c>
      <c r="B1219" s="0" t="s">
        <v>1004</v>
      </c>
      <c r="C1219" s="0" t="s">
        <v>1005</v>
      </c>
      <c r="D1219" s="0" t="n">
        <v>50</v>
      </c>
      <c r="E1219" s="6" t="n">
        <v>40807.5180555556</v>
      </c>
      <c r="F1219" s="0" t="n">
        <v>0.42</v>
      </c>
      <c r="G1219" s="0" t="n">
        <v>12721</v>
      </c>
      <c r="H1219" s="0" t="s">
        <v>43</v>
      </c>
      <c r="I1219" s="7" t="n">
        <f aca="false">IF(AND(LEFT(A1219,1)&lt;&gt;"C",D1219&gt;0,F1219&gt;0),1,0)</f>
        <v>1</v>
      </c>
      <c r="J1219" s="7" t="n">
        <f aca="false">IF(I1219=1,D1219*F1219,0)</f>
        <v>21</v>
      </c>
      <c r="K1219" s="7" t="n">
        <f aca="false">YEAR(E1219)*100+MONTH(E1219)</f>
        <v>201109</v>
      </c>
      <c r="L1219" s="7" t="n">
        <f aca="false">IF(AND(A1219&lt;&gt;A1218,LEFT(A1219,1)&lt;&gt;"C"),1,0)</f>
        <v>0</v>
      </c>
    </row>
    <row r="1220" customFormat="false" ht="15" hidden="false" customHeight="false" outlineLevel="0" collapsed="false">
      <c r="A1220" s="0" t="s">
        <v>1252</v>
      </c>
      <c r="B1220" s="0" t="s">
        <v>1253</v>
      </c>
      <c r="C1220" s="0" t="s">
        <v>1254</v>
      </c>
      <c r="D1220" s="0" t="n">
        <v>25</v>
      </c>
      <c r="E1220" s="6" t="n">
        <v>40807.5180555556</v>
      </c>
      <c r="F1220" s="0" t="n">
        <v>0.42</v>
      </c>
      <c r="G1220" s="0" t="n">
        <v>12721</v>
      </c>
      <c r="H1220" s="0" t="s">
        <v>43</v>
      </c>
      <c r="I1220" s="7" t="n">
        <f aca="false">IF(AND(LEFT(A1220,1)&lt;&gt;"C",D1220&gt;0,F1220&gt;0),1,0)</f>
        <v>1</v>
      </c>
      <c r="J1220" s="7" t="n">
        <f aca="false">IF(I1220=1,D1220*F1220,0)</f>
        <v>10.5</v>
      </c>
      <c r="K1220" s="7" t="n">
        <f aca="false">YEAR(E1220)*100+MONTH(E1220)</f>
        <v>201109</v>
      </c>
      <c r="L1220" s="7" t="n">
        <f aca="false">IF(AND(A1220&lt;&gt;A1219,LEFT(A1220,1)&lt;&gt;"C"),1,0)</f>
        <v>0</v>
      </c>
    </row>
    <row r="1221" customFormat="false" ht="15" hidden="false" customHeight="false" outlineLevel="0" collapsed="false">
      <c r="A1221" s="0" t="s">
        <v>1252</v>
      </c>
      <c r="B1221" s="0" t="s">
        <v>973</v>
      </c>
      <c r="C1221" s="0" t="s">
        <v>974</v>
      </c>
      <c r="D1221" s="0" t="n">
        <v>25</v>
      </c>
      <c r="E1221" s="6" t="n">
        <v>40807.5180555556</v>
      </c>
      <c r="F1221" s="0" t="n">
        <v>0.42</v>
      </c>
      <c r="G1221" s="0" t="n">
        <v>12721</v>
      </c>
      <c r="H1221" s="0" t="s">
        <v>43</v>
      </c>
      <c r="I1221" s="7" t="n">
        <f aca="false">IF(AND(LEFT(A1221,1)&lt;&gt;"C",D1221&gt;0,F1221&gt;0),1,0)</f>
        <v>1</v>
      </c>
      <c r="J1221" s="7" t="n">
        <f aca="false">IF(I1221=1,D1221*F1221,0)</f>
        <v>10.5</v>
      </c>
      <c r="K1221" s="7" t="n">
        <f aca="false">YEAR(E1221)*100+MONTH(E1221)</f>
        <v>201109</v>
      </c>
      <c r="L1221" s="7" t="n">
        <f aca="false">IF(AND(A1221&lt;&gt;A1220,LEFT(A1221,1)&lt;&gt;"C"),1,0)</f>
        <v>0</v>
      </c>
    </row>
    <row r="1222" customFormat="false" ht="15" hidden="false" customHeight="false" outlineLevel="0" collapsed="false">
      <c r="A1222" s="0" t="s">
        <v>1252</v>
      </c>
      <c r="B1222" s="0" t="s">
        <v>1255</v>
      </c>
      <c r="C1222" s="0" t="s">
        <v>1256</v>
      </c>
      <c r="D1222" s="0" t="n">
        <v>25</v>
      </c>
      <c r="E1222" s="6" t="n">
        <v>40807.5180555556</v>
      </c>
      <c r="F1222" s="0" t="n">
        <v>0.42</v>
      </c>
      <c r="G1222" s="0" t="n">
        <v>12721</v>
      </c>
      <c r="H1222" s="0" t="s">
        <v>43</v>
      </c>
      <c r="I1222" s="7" t="n">
        <f aca="false">IF(AND(LEFT(A1222,1)&lt;&gt;"C",D1222&gt;0,F1222&gt;0),1,0)</f>
        <v>1</v>
      </c>
      <c r="J1222" s="7" t="n">
        <f aca="false">IF(I1222=1,D1222*F1222,0)</f>
        <v>10.5</v>
      </c>
      <c r="K1222" s="7" t="n">
        <f aca="false">YEAR(E1222)*100+MONTH(E1222)</f>
        <v>201109</v>
      </c>
      <c r="L1222" s="7" t="n">
        <f aca="false">IF(AND(A1222&lt;&gt;A1221,LEFT(A1222,1)&lt;&gt;"C"),1,0)</f>
        <v>0</v>
      </c>
    </row>
    <row r="1223" customFormat="false" ht="15" hidden="false" customHeight="false" outlineLevel="0" collapsed="false">
      <c r="A1223" s="0" t="s">
        <v>1252</v>
      </c>
      <c r="B1223" s="0" t="s">
        <v>247</v>
      </c>
      <c r="C1223" s="0" t="s">
        <v>248</v>
      </c>
      <c r="D1223" s="0" t="n">
        <v>25</v>
      </c>
      <c r="E1223" s="6" t="n">
        <v>40807.5180555556</v>
      </c>
      <c r="F1223" s="0" t="n">
        <v>0.42</v>
      </c>
      <c r="G1223" s="0" t="n">
        <v>12721</v>
      </c>
      <c r="H1223" s="0" t="s">
        <v>43</v>
      </c>
      <c r="I1223" s="7" t="n">
        <f aca="false">IF(AND(LEFT(A1223,1)&lt;&gt;"C",D1223&gt;0,F1223&gt;0),1,0)</f>
        <v>1</v>
      </c>
      <c r="J1223" s="7" t="n">
        <f aca="false">IF(I1223=1,D1223*F1223,0)</f>
        <v>10.5</v>
      </c>
      <c r="K1223" s="7" t="n">
        <f aca="false">YEAR(E1223)*100+MONTH(E1223)</f>
        <v>201109</v>
      </c>
      <c r="L1223" s="7" t="n">
        <f aca="false">IF(AND(A1223&lt;&gt;A1222,LEFT(A1223,1)&lt;&gt;"C"),1,0)</f>
        <v>0</v>
      </c>
    </row>
    <row r="1224" customFormat="false" ht="15" hidden="false" customHeight="false" outlineLevel="0" collapsed="false">
      <c r="A1224" s="0" t="s">
        <v>1252</v>
      </c>
      <c r="B1224" s="0" t="s">
        <v>1257</v>
      </c>
      <c r="C1224" s="0" t="s">
        <v>1258</v>
      </c>
      <c r="D1224" s="0" t="n">
        <v>25</v>
      </c>
      <c r="E1224" s="6" t="n">
        <v>40807.5180555556</v>
      </c>
      <c r="F1224" s="0" t="n">
        <v>0.42</v>
      </c>
      <c r="G1224" s="0" t="n">
        <v>12721</v>
      </c>
      <c r="H1224" s="0" t="s">
        <v>43</v>
      </c>
      <c r="I1224" s="7" t="n">
        <f aca="false">IF(AND(LEFT(A1224,1)&lt;&gt;"C",D1224&gt;0,F1224&gt;0),1,0)</f>
        <v>1</v>
      </c>
      <c r="J1224" s="7" t="n">
        <f aca="false">IF(I1224=1,D1224*F1224,0)</f>
        <v>10.5</v>
      </c>
      <c r="K1224" s="7" t="n">
        <f aca="false">YEAR(E1224)*100+MONTH(E1224)</f>
        <v>201109</v>
      </c>
      <c r="L1224" s="7" t="n">
        <f aca="false">IF(AND(A1224&lt;&gt;A1223,LEFT(A1224,1)&lt;&gt;"C"),1,0)</f>
        <v>0</v>
      </c>
    </row>
    <row r="1225" customFormat="false" ht="15" hidden="false" customHeight="false" outlineLevel="0" collapsed="false">
      <c r="A1225" s="0" t="s">
        <v>1252</v>
      </c>
      <c r="B1225" s="0" t="s">
        <v>503</v>
      </c>
      <c r="C1225" s="0" t="s">
        <v>504</v>
      </c>
      <c r="D1225" s="0" t="n">
        <v>25</v>
      </c>
      <c r="E1225" s="6" t="n">
        <v>40807.5180555556</v>
      </c>
      <c r="F1225" s="0" t="n">
        <v>0.42</v>
      </c>
      <c r="G1225" s="0" t="n">
        <v>12721</v>
      </c>
      <c r="H1225" s="0" t="s">
        <v>43</v>
      </c>
      <c r="I1225" s="7" t="n">
        <f aca="false">IF(AND(LEFT(A1225,1)&lt;&gt;"C",D1225&gt;0,F1225&gt;0),1,0)</f>
        <v>1</v>
      </c>
      <c r="J1225" s="7" t="n">
        <f aca="false">IF(I1225=1,D1225*F1225,0)</f>
        <v>10.5</v>
      </c>
      <c r="K1225" s="7" t="n">
        <f aca="false">YEAR(E1225)*100+MONTH(E1225)</f>
        <v>201109</v>
      </c>
      <c r="L1225" s="7" t="n">
        <f aca="false">IF(AND(A1225&lt;&gt;A1224,LEFT(A1225,1)&lt;&gt;"C"),1,0)</f>
        <v>0</v>
      </c>
    </row>
    <row r="1226" customFormat="false" ht="15" hidden="false" customHeight="false" outlineLevel="0" collapsed="false">
      <c r="A1226" s="0" t="s">
        <v>1252</v>
      </c>
      <c r="B1226" s="0" t="s">
        <v>1259</v>
      </c>
      <c r="C1226" s="0" t="s">
        <v>1260</v>
      </c>
      <c r="D1226" s="0" t="n">
        <v>25</v>
      </c>
      <c r="E1226" s="6" t="n">
        <v>40807.5180555556</v>
      </c>
      <c r="F1226" s="0" t="n">
        <v>0.42</v>
      </c>
      <c r="G1226" s="0" t="n">
        <v>12721</v>
      </c>
      <c r="H1226" s="0" t="s">
        <v>43</v>
      </c>
      <c r="I1226" s="7" t="n">
        <f aca="false">IF(AND(LEFT(A1226,1)&lt;&gt;"C",D1226&gt;0,F1226&gt;0),1,0)</f>
        <v>1</v>
      </c>
      <c r="J1226" s="7" t="n">
        <f aca="false">IF(I1226=1,D1226*F1226,0)</f>
        <v>10.5</v>
      </c>
      <c r="K1226" s="7" t="n">
        <f aca="false">YEAR(E1226)*100+MONTH(E1226)</f>
        <v>201109</v>
      </c>
      <c r="L1226" s="7" t="n">
        <f aca="false">IF(AND(A1226&lt;&gt;A1225,LEFT(A1226,1)&lt;&gt;"C"),1,0)</f>
        <v>0</v>
      </c>
    </row>
    <row r="1227" customFormat="false" ht="15" hidden="false" customHeight="false" outlineLevel="0" collapsed="false">
      <c r="A1227" s="0" t="s">
        <v>1252</v>
      </c>
      <c r="B1227" s="0" t="s">
        <v>1261</v>
      </c>
      <c r="C1227" s="0" t="s">
        <v>1262</v>
      </c>
      <c r="D1227" s="0" t="n">
        <v>24</v>
      </c>
      <c r="E1227" s="6" t="n">
        <v>40807.5180555556</v>
      </c>
      <c r="F1227" s="0" t="n">
        <v>0.55</v>
      </c>
      <c r="G1227" s="0" t="n">
        <v>12721</v>
      </c>
      <c r="H1227" s="0" t="s">
        <v>43</v>
      </c>
      <c r="I1227" s="7" t="n">
        <f aca="false">IF(AND(LEFT(A1227,1)&lt;&gt;"C",D1227&gt;0,F1227&gt;0),1,0)</f>
        <v>1</v>
      </c>
      <c r="J1227" s="7" t="n">
        <f aca="false">IF(I1227=1,D1227*F1227,0)</f>
        <v>13.2</v>
      </c>
      <c r="K1227" s="7" t="n">
        <f aca="false">YEAR(E1227)*100+MONTH(E1227)</f>
        <v>201109</v>
      </c>
      <c r="L1227" s="7" t="n">
        <f aca="false">IF(AND(A1227&lt;&gt;A1226,LEFT(A1227,1)&lt;&gt;"C"),1,0)</f>
        <v>0</v>
      </c>
    </row>
    <row r="1228" customFormat="false" ht="15" hidden="false" customHeight="false" outlineLevel="0" collapsed="false">
      <c r="A1228" s="0" t="s">
        <v>1252</v>
      </c>
      <c r="B1228" s="0" t="s">
        <v>771</v>
      </c>
      <c r="C1228" s="0" t="s">
        <v>772</v>
      </c>
      <c r="D1228" s="0" t="n">
        <v>24</v>
      </c>
      <c r="E1228" s="6" t="n">
        <v>40807.5180555556</v>
      </c>
      <c r="F1228" s="0" t="n">
        <v>0.55</v>
      </c>
      <c r="G1228" s="0" t="n">
        <v>12721</v>
      </c>
      <c r="H1228" s="0" t="s">
        <v>43</v>
      </c>
      <c r="I1228" s="7" t="n">
        <f aca="false">IF(AND(LEFT(A1228,1)&lt;&gt;"C",D1228&gt;0,F1228&gt;0),1,0)</f>
        <v>1</v>
      </c>
      <c r="J1228" s="7" t="n">
        <f aca="false">IF(I1228=1,D1228*F1228,0)</f>
        <v>13.2</v>
      </c>
      <c r="K1228" s="7" t="n">
        <f aca="false">YEAR(E1228)*100+MONTH(E1228)</f>
        <v>201109</v>
      </c>
      <c r="L1228" s="7" t="n">
        <f aca="false">IF(AND(A1228&lt;&gt;A1227,LEFT(A1228,1)&lt;&gt;"C"),1,0)</f>
        <v>0</v>
      </c>
    </row>
    <row r="1229" customFormat="false" ht="15" hidden="false" customHeight="false" outlineLevel="0" collapsed="false">
      <c r="A1229" s="0" t="s">
        <v>1252</v>
      </c>
      <c r="B1229" s="0" t="s">
        <v>215</v>
      </c>
      <c r="C1229" s="0" t="s">
        <v>216</v>
      </c>
      <c r="D1229" s="0" t="n">
        <v>24</v>
      </c>
      <c r="E1229" s="6" t="n">
        <v>40807.5180555556</v>
      </c>
      <c r="F1229" s="0" t="n">
        <v>0.55</v>
      </c>
      <c r="G1229" s="0" t="n">
        <v>12721</v>
      </c>
      <c r="H1229" s="0" t="s">
        <v>43</v>
      </c>
      <c r="I1229" s="7" t="n">
        <f aca="false">IF(AND(LEFT(A1229,1)&lt;&gt;"C",D1229&gt;0,F1229&gt;0),1,0)</f>
        <v>1</v>
      </c>
      <c r="J1229" s="7" t="n">
        <f aca="false">IF(I1229=1,D1229*F1229,0)</f>
        <v>13.2</v>
      </c>
      <c r="K1229" s="7" t="n">
        <f aca="false">YEAR(E1229)*100+MONTH(E1229)</f>
        <v>201109</v>
      </c>
      <c r="L1229" s="7" t="n">
        <f aca="false">IF(AND(A1229&lt;&gt;A1228,LEFT(A1229,1)&lt;&gt;"C"),1,0)</f>
        <v>0</v>
      </c>
    </row>
    <row r="1230" customFormat="false" ht="15" hidden="false" customHeight="false" outlineLevel="0" collapsed="false">
      <c r="A1230" s="0" t="s">
        <v>1252</v>
      </c>
      <c r="B1230" s="0" t="s">
        <v>1263</v>
      </c>
      <c r="C1230" s="0" t="s">
        <v>1264</v>
      </c>
      <c r="D1230" s="0" t="n">
        <v>6</v>
      </c>
      <c r="E1230" s="6" t="n">
        <v>40807.5180555556</v>
      </c>
      <c r="F1230" s="0" t="n">
        <v>2.1</v>
      </c>
      <c r="G1230" s="0" t="n">
        <v>12721</v>
      </c>
      <c r="H1230" s="0" t="s">
        <v>43</v>
      </c>
      <c r="I1230" s="7" t="n">
        <f aca="false">IF(AND(LEFT(A1230,1)&lt;&gt;"C",D1230&gt;0,F1230&gt;0),1,0)</f>
        <v>1</v>
      </c>
      <c r="J1230" s="7" t="n">
        <f aca="false">IF(I1230=1,D1230*F1230,0)</f>
        <v>12.6</v>
      </c>
      <c r="K1230" s="7" t="n">
        <f aca="false">YEAR(E1230)*100+MONTH(E1230)</f>
        <v>201109</v>
      </c>
      <c r="L1230" s="7" t="n">
        <f aca="false">IF(AND(A1230&lt;&gt;A1229,LEFT(A1230,1)&lt;&gt;"C"),1,0)</f>
        <v>0</v>
      </c>
    </row>
    <row r="1231" customFormat="false" ht="15" hidden="false" customHeight="false" outlineLevel="0" collapsed="false">
      <c r="A1231" s="0" t="s">
        <v>1252</v>
      </c>
      <c r="B1231" s="0" t="s">
        <v>68</v>
      </c>
      <c r="C1231" s="0" t="s">
        <v>69</v>
      </c>
      <c r="D1231" s="0" t="n">
        <v>10</v>
      </c>
      <c r="E1231" s="6" t="n">
        <v>40807.5180555556</v>
      </c>
      <c r="F1231" s="0" t="n">
        <v>1.65</v>
      </c>
      <c r="G1231" s="0" t="n">
        <v>12721</v>
      </c>
      <c r="H1231" s="0" t="s">
        <v>43</v>
      </c>
      <c r="I1231" s="7" t="n">
        <f aca="false">IF(AND(LEFT(A1231,1)&lt;&gt;"C",D1231&gt;0,F1231&gt;0),1,0)</f>
        <v>1</v>
      </c>
      <c r="J1231" s="7" t="n">
        <f aca="false">IF(I1231=1,D1231*F1231,0)</f>
        <v>16.5</v>
      </c>
      <c r="K1231" s="7" t="n">
        <f aca="false">YEAR(E1231)*100+MONTH(E1231)</f>
        <v>201109</v>
      </c>
      <c r="L1231" s="7" t="n">
        <f aca="false">IF(AND(A1231&lt;&gt;A1230,LEFT(A1231,1)&lt;&gt;"C"),1,0)</f>
        <v>0</v>
      </c>
    </row>
    <row r="1232" customFormat="false" ht="15" hidden="false" customHeight="false" outlineLevel="0" collapsed="false">
      <c r="A1232" s="0" t="s">
        <v>1252</v>
      </c>
      <c r="B1232" s="0" t="s">
        <v>469</v>
      </c>
      <c r="C1232" s="0" t="s">
        <v>470</v>
      </c>
      <c r="D1232" s="0" t="n">
        <v>6</v>
      </c>
      <c r="E1232" s="6" t="n">
        <v>40807.5180555556</v>
      </c>
      <c r="F1232" s="0" t="n">
        <v>2.1</v>
      </c>
      <c r="G1232" s="0" t="n">
        <v>12721</v>
      </c>
      <c r="H1232" s="0" t="s">
        <v>43</v>
      </c>
      <c r="I1232" s="7" t="n">
        <f aca="false">IF(AND(LEFT(A1232,1)&lt;&gt;"C",D1232&gt;0,F1232&gt;0),1,0)</f>
        <v>1</v>
      </c>
      <c r="J1232" s="7" t="n">
        <f aca="false">IF(I1232=1,D1232*F1232,0)</f>
        <v>12.6</v>
      </c>
      <c r="K1232" s="7" t="n">
        <f aca="false">YEAR(E1232)*100+MONTH(E1232)</f>
        <v>201109</v>
      </c>
      <c r="L1232" s="7" t="n">
        <f aca="false">IF(AND(A1232&lt;&gt;A1231,LEFT(A1232,1)&lt;&gt;"C"),1,0)</f>
        <v>0</v>
      </c>
    </row>
    <row r="1233" customFormat="false" ht="15" hidden="false" customHeight="false" outlineLevel="0" collapsed="false">
      <c r="A1233" s="0" t="s">
        <v>1252</v>
      </c>
      <c r="B1233" s="0" t="s">
        <v>467</v>
      </c>
      <c r="C1233" s="0" t="s">
        <v>468</v>
      </c>
      <c r="D1233" s="0" t="n">
        <v>8</v>
      </c>
      <c r="E1233" s="6" t="n">
        <v>40807.5180555556</v>
      </c>
      <c r="F1233" s="0" t="n">
        <v>1.95</v>
      </c>
      <c r="G1233" s="0" t="n">
        <v>12721</v>
      </c>
      <c r="H1233" s="0" t="s">
        <v>43</v>
      </c>
      <c r="I1233" s="7" t="n">
        <f aca="false">IF(AND(LEFT(A1233,1)&lt;&gt;"C",D1233&gt;0,F1233&gt;0),1,0)</f>
        <v>1</v>
      </c>
      <c r="J1233" s="7" t="n">
        <f aca="false">IF(I1233=1,D1233*F1233,0)</f>
        <v>15.6</v>
      </c>
      <c r="K1233" s="7" t="n">
        <f aca="false">YEAR(E1233)*100+MONTH(E1233)</f>
        <v>201109</v>
      </c>
      <c r="L1233" s="7" t="n">
        <f aca="false">IF(AND(A1233&lt;&gt;A1232,LEFT(A1233,1)&lt;&gt;"C"),1,0)</f>
        <v>0</v>
      </c>
    </row>
    <row r="1234" customFormat="false" ht="15" hidden="false" customHeight="false" outlineLevel="0" collapsed="false">
      <c r="A1234" s="0" t="s">
        <v>1252</v>
      </c>
      <c r="B1234" s="0" t="s">
        <v>84</v>
      </c>
      <c r="C1234" s="0" t="s">
        <v>85</v>
      </c>
      <c r="D1234" s="0" t="n">
        <v>1</v>
      </c>
      <c r="E1234" s="6" t="n">
        <v>40807.5180555556</v>
      </c>
      <c r="F1234" s="0" t="n">
        <v>18</v>
      </c>
      <c r="G1234" s="0" t="n">
        <v>12721</v>
      </c>
      <c r="H1234" s="0" t="s">
        <v>43</v>
      </c>
      <c r="I1234" s="7" t="n">
        <f aca="false">IF(AND(LEFT(A1234,1)&lt;&gt;"C",D1234&gt;0,F1234&gt;0),1,0)</f>
        <v>1</v>
      </c>
      <c r="J1234" s="7" t="n">
        <f aca="false">IF(I1234=1,D1234*F1234,0)</f>
        <v>18</v>
      </c>
      <c r="K1234" s="7" t="n">
        <f aca="false">YEAR(E1234)*100+MONTH(E1234)</f>
        <v>201109</v>
      </c>
      <c r="L1234" s="7" t="n">
        <f aca="false">IF(AND(A1234&lt;&gt;A1233,LEFT(A1234,1)&lt;&gt;"C"),1,0)</f>
        <v>0</v>
      </c>
    </row>
    <row r="1235" customFormat="false" ht="15" hidden="false" customHeight="false" outlineLevel="0" collapsed="false">
      <c r="A1235" s="0" t="s">
        <v>1265</v>
      </c>
      <c r="B1235" s="0" t="s">
        <v>598</v>
      </c>
      <c r="C1235" s="0" t="s">
        <v>599</v>
      </c>
      <c r="D1235" s="0" t="n">
        <v>8</v>
      </c>
      <c r="E1235" s="6" t="n">
        <v>40807.5888888889</v>
      </c>
      <c r="F1235" s="0" t="n">
        <v>1.95</v>
      </c>
      <c r="G1235" s="0" t="n">
        <v>12604</v>
      </c>
      <c r="H1235" s="0" t="s">
        <v>43</v>
      </c>
      <c r="I1235" s="7" t="n">
        <f aca="false">IF(AND(LEFT(A1235,1)&lt;&gt;"C",D1235&gt;0,F1235&gt;0),1,0)</f>
        <v>1</v>
      </c>
      <c r="J1235" s="7" t="n">
        <f aca="false">IF(I1235=1,D1235*F1235,0)</f>
        <v>15.6</v>
      </c>
      <c r="K1235" s="7" t="n">
        <f aca="false">YEAR(E1235)*100+MONTH(E1235)</f>
        <v>201109</v>
      </c>
      <c r="L1235" s="7" t="n">
        <f aca="false">IF(AND(A1235&lt;&gt;A1234,LEFT(A1235,1)&lt;&gt;"C"),1,0)</f>
        <v>1</v>
      </c>
    </row>
    <row r="1236" customFormat="false" ht="15" hidden="false" customHeight="false" outlineLevel="0" collapsed="false">
      <c r="A1236" s="0" t="s">
        <v>1265</v>
      </c>
      <c r="B1236" s="0" t="s">
        <v>1266</v>
      </c>
      <c r="C1236" s="0" t="s">
        <v>1267</v>
      </c>
      <c r="D1236" s="0" t="n">
        <v>8</v>
      </c>
      <c r="E1236" s="6" t="n">
        <v>40807.5888888889</v>
      </c>
      <c r="F1236" s="0" t="n">
        <v>1.95</v>
      </c>
      <c r="G1236" s="0" t="n">
        <v>12604</v>
      </c>
      <c r="H1236" s="0" t="s">
        <v>43</v>
      </c>
      <c r="I1236" s="7" t="n">
        <f aca="false">IF(AND(LEFT(A1236,1)&lt;&gt;"C",D1236&gt;0,F1236&gt;0),1,0)</f>
        <v>1</v>
      </c>
      <c r="J1236" s="7" t="n">
        <f aca="false">IF(I1236=1,D1236*F1236,0)</f>
        <v>15.6</v>
      </c>
      <c r="K1236" s="7" t="n">
        <f aca="false">YEAR(E1236)*100+MONTH(E1236)</f>
        <v>201109</v>
      </c>
      <c r="L1236" s="7" t="n">
        <f aca="false">IF(AND(A1236&lt;&gt;A1235,LEFT(A1236,1)&lt;&gt;"C"),1,0)</f>
        <v>0</v>
      </c>
    </row>
    <row r="1237" customFormat="false" ht="15" hidden="false" customHeight="false" outlineLevel="0" collapsed="false">
      <c r="A1237" s="0" t="s">
        <v>1265</v>
      </c>
      <c r="B1237" s="0" t="s">
        <v>48</v>
      </c>
      <c r="C1237" s="0" t="s">
        <v>49</v>
      </c>
      <c r="D1237" s="0" t="n">
        <v>24</v>
      </c>
      <c r="E1237" s="6" t="n">
        <v>40807.5888888889</v>
      </c>
      <c r="F1237" s="0" t="n">
        <v>0.65</v>
      </c>
      <c r="G1237" s="0" t="n">
        <v>12604</v>
      </c>
      <c r="H1237" s="0" t="s">
        <v>43</v>
      </c>
      <c r="I1237" s="7" t="n">
        <f aca="false">IF(AND(LEFT(A1237,1)&lt;&gt;"C",D1237&gt;0,F1237&gt;0),1,0)</f>
        <v>1</v>
      </c>
      <c r="J1237" s="7" t="n">
        <f aca="false">IF(I1237=1,D1237*F1237,0)</f>
        <v>15.6</v>
      </c>
      <c r="K1237" s="7" t="n">
        <f aca="false">YEAR(E1237)*100+MONTH(E1237)</f>
        <v>201109</v>
      </c>
      <c r="L1237" s="7" t="n">
        <f aca="false">IF(AND(A1237&lt;&gt;A1236,LEFT(A1237,1)&lt;&gt;"C"),1,0)</f>
        <v>0</v>
      </c>
    </row>
    <row r="1238" customFormat="false" ht="15" hidden="false" customHeight="false" outlineLevel="0" collapsed="false">
      <c r="A1238" s="0" t="s">
        <v>1265</v>
      </c>
      <c r="B1238" s="0" t="s">
        <v>339</v>
      </c>
      <c r="C1238" s="0" t="s">
        <v>340</v>
      </c>
      <c r="D1238" s="0" t="n">
        <v>8</v>
      </c>
      <c r="E1238" s="6" t="n">
        <v>40807.5888888889</v>
      </c>
      <c r="F1238" s="0" t="n">
        <v>1.95</v>
      </c>
      <c r="G1238" s="0" t="n">
        <v>12604</v>
      </c>
      <c r="H1238" s="0" t="s">
        <v>43</v>
      </c>
      <c r="I1238" s="7" t="n">
        <f aca="false">IF(AND(LEFT(A1238,1)&lt;&gt;"C",D1238&gt;0,F1238&gt;0),1,0)</f>
        <v>1</v>
      </c>
      <c r="J1238" s="7" t="n">
        <f aca="false">IF(I1238=1,D1238*F1238,0)</f>
        <v>15.6</v>
      </c>
      <c r="K1238" s="7" t="n">
        <f aca="false">YEAR(E1238)*100+MONTH(E1238)</f>
        <v>201109</v>
      </c>
      <c r="L1238" s="7" t="n">
        <f aca="false">IF(AND(A1238&lt;&gt;A1237,LEFT(A1238,1)&lt;&gt;"C"),1,0)</f>
        <v>0</v>
      </c>
    </row>
    <row r="1239" customFormat="false" ht="15" hidden="false" customHeight="false" outlineLevel="0" collapsed="false">
      <c r="A1239" s="0" t="s">
        <v>1265</v>
      </c>
      <c r="B1239" s="0" t="s">
        <v>109</v>
      </c>
      <c r="C1239" s="0" t="s">
        <v>110</v>
      </c>
      <c r="D1239" s="0" t="n">
        <v>8</v>
      </c>
      <c r="E1239" s="6" t="n">
        <v>40807.5888888889</v>
      </c>
      <c r="F1239" s="0" t="n">
        <v>0.83</v>
      </c>
      <c r="G1239" s="0" t="n">
        <v>12604</v>
      </c>
      <c r="H1239" s="0" t="s">
        <v>43</v>
      </c>
      <c r="I1239" s="7" t="n">
        <f aca="false">IF(AND(LEFT(A1239,1)&lt;&gt;"C",D1239&gt;0,F1239&gt;0),1,0)</f>
        <v>1</v>
      </c>
      <c r="J1239" s="7" t="n">
        <f aca="false">IF(I1239=1,D1239*F1239,0)</f>
        <v>6.64</v>
      </c>
      <c r="K1239" s="7" t="n">
        <f aca="false">YEAR(E1239)*100+MONTH(E1239)</f>
        <v>201109</v>
      </c>
      <c r="L1239" s="7" t="n">
        <f aca="false">IF(AND(A1239&lt;&gt;A1238,LEFT(A1239,1)&lt;&gt;"C"),1,0)</f>
        <v>0</v>
      </c>
    </row>
    <row r="1240" customFormat="false" ht="15" hidden="false" customHeight="false" outlineLevel="0" collapsed="false">
      <c r="A1240" s="0" t="s">
        <v>1265</v>
      </c>
      <c r="B1240" s="0" t="s">
        <v>717</v>
      </c>
      <c r="C1240" s="0" t="s">
        <v>718</v>
      </c>
      <c r="D1240" s="0" t="n">
        <v>8</v>
      </c>
      <c r="E1240" s="6" t="n">
        <v>40807.5888888889</v>
      </c>
      <c r="F1240" s="0" t="n">
        <v>0.83</v>
      </c>
      <c r="G1240" s="0" t="n">
        <v>12604</v>
      </c>
      <c r="H1240" s="0" t="s">
        <v>43</v>
      </c>
      <c r="I1240" s="7" t="n">
        <f aca="false">IF(AND(LEFT(A1240,1)&lt;&gt;"C",D1240&gt;0,F1240&gt;0),1,0)</f>
        <v>1</v>
      </c>
      <c r="J1240" s="7" t="n">
        <f aca="false">IF(I1240=1,D1240*F1240,0)</f>
        <v>6.64</v>
      </c>
      <c r="K1240" s="7" t="n">
        <f aca="false">YEAR(E1240)*100+MONTH(E1240)</f>
        <v>201109</v>
      </c>
      <c r="L1240" s="7" t="n">
        <f aca="false">IF(AND(A1240&lt;&gt;A1239,LEFT(A1240,1)&lt;&gt;"C"),1,0)</f>
        <v>0</v>
      </c>
    </row>
    <row r="1241" customFormat="false" ht="15" hidden="false" customHeight="false" outlineLevel="0" collapsed="false">
      <c r="A1241" s="0" t="s">
        <v>1268</v>
      </c>
      <c r="B1241" s="0" t="s">
        <v>503</v>
      </c>
      <c r="C1241" s="0" t="s">
        <v>504</v>
      </c>
      <c r="D1241" s="0" t="n">
        <v>25</v>
      </c>
      <c r="E1241" s="6" t="n">
        <v>40807.6131944444</v>
      </c>
      <c r="F1241" s="0" t="n">
        <v>0.42</v>
      </c>
      <c r="G1241" s="0" t="n">
        <v>12523</v>
      </c>
      <c r="H1241" s="0" t="s">
        <v>43</v>
      </c>
      <c r="I1241" s="7" t="n">
        <f aca="false">IF(AND(LEFT(A1241,1)&lt;&gt;"C",D1241&gt;0,F1241&gt;0),1,0)</f>
        <v>1</v>
      </c>
      <c r="J1241" s="7" t="n">
        <f aca="false">IF(I1241=1,D1241*F1241,0)</f>
        <v>10.5</v>
      </c>
      <c r="K1241" s="7" t="n">
        <f aca="false">YEAR(E1241)*100+MONTH(E1241)</f>
        <v>201109</v>
      </c>
      <c r="L1241" s="7" t="n">
        <f aca="false">IF(AND(A1241&lt;&gt;A1240,LEFT(A1241,1)&lt;&gt;"C"),1,0)</f>
        <v>1</v>
      </c>
    </row>
    <row r="1242" customFormat="false" ht="15" hidden="false" customHeight="false" outlineLevel="0" collapsed="false">
      <c r="A1242" s="0" t="s">
        <v>1268</v>
      </c>
      <c r="B1242" s="0" t="s">
        <v>1269</v>
      </c>
      <c r="C1242" s="0" t="s">
        <v>1270</v>
      </c>
      <c r="D1242" s="0" t="n">
        <v>12</v>
      </c>
      <c r="E1242" s="6" t="n">
        <v>40807.6131944444</v>
      </c>
      <c r="F1242" s="0" t="n">
        <v>2.1</v>
      </c>
      <c r="G1242" s="0" t="n">
        <v>12523</v>
      </c>
      <c r="H1242" s="0" t="s">
        <v>43</v>
      </c>
      <c r="I1242" s="7" t="n">
        <f aca="false">IF(AND(LEFT(A1242,1)&lt;&gt;"C",D1242&gt;0,F1242&gt;0),1,0)</f>
        <v>1</v>
      </c>
      <c r="J1242" s="7" t="n">
        <f aca="false">IF(I1242=1,D1242*F1242,0)</f>
        <v>25.2</v>
      </c>
      <c r="K1242" s="7" t="n">
        <f aca="false">YEAR(E1242)*100+MONTH(E1242)</f>
        <v>201109</v>
      </c>
      <c r="L1242" s="7" t="n">
        <f aca="false">IF(AND(A1242&lt;&gt;A1241,LEFT(A1242,1)&lt;&gt;"C"),1,0)</f>
        <v>0</v>
      </c>
    </row>
    <row r="1243" customFormat="false" ht="15" hidden="false" customHeight="false" outlineLevel="0" collapsed="false">
      <c r="A1243" s="0" t="s">
        <v>1268</v>
      </c>
      <c r="B1243" s="0" t="s">
        <v>1271</v>
      </c>
      <c r="C1243" s="0" t="s">
        <v>1272</v>
      </c>
      <c r="D1243" s="0" t="n">
        <v>1</v>
      </c>
      <c r="E1243" s="6" t="n">
        <v>40807.6131944444</v>
      </c>
      <c r="F1243" s="0" t="n">
        <v>9.95</v>
      </c>
      <c r="G1243" s="0" t="n">
        <v>12523</v>
      </c>
      <c r="H1243" s="0" t="s">
        <v>43</v>
      </c>
      <c r="I1243" s="7" t="n">
        <f aca="false">IF(AND(LEFT(A1243,1)&lt;&gt;"C",D1243&gt;0,F1243&gt;0),1,0)</f>
        <v>1</v>
      </c>
      <c r="J1243" s="7" t="n">
        <f aca="false">IF(I1243=1,D1243*F1243,0)</f>
        <v>9.95</v>
      </c>
      <c r="K1243" s="7" t="n">
        <f aca="false">YEAR(E1243)*100+MONTH(E1243)</f>
        <v>201109</v>
      </c>
      <c r="L1243" s="7" t="n">
        <f aca="false">IF(AND(A1243&lt;&gt;A1242,LEFT(A1243,1)&lt;&gt;"C"),1,0)</f>
        <v>0</v>
      </c>
    </row>
    <row r="1244" customFormat="false" ht="15" hidden="false" customHeight="false" outlineLevel="0" collapsed="false">
      <c r="A1244" s="0" t="s">
        <v>1268</v>
      </c>
      <c r="B1244" s="0" t="s">
        <v>1273</v>
      </c>
      <c r="C1244" s="0" t="s">
        <v>1274</v>
      </c>
      <c r="D1244" s="0" t="n">
        <v>12</v>
      </c>
      <c r="E1244" s="6" t="n">
        <v>40807.6131944444</v>
      </c>
      <c r="F1244" s="0" t="n">
        <v>1.45</v>
      </c>
      <c r="G1244" s="0" t="n">
        <v>12523</v>
      </c>
      <c r="H1244" s="0" t="s">
        <v>43</v>
      </c>
      <c r="I1244" s="7" t="n">
        <f aca="false">IF(AND(LEFT(A1244,1)&lt;&gt;"C",D1244&gt;0,F1244&gt;0),1,0)</f>
        <v>1</v>
      </c>
      <c r="J1244" s="7" t="n">
        <f aca="false">IF(I1244=1,D1244*F1244,0)</f>
        <v>17.4</v>
      </c>
      <c r="K1244" s="7" t="n">
        <f aca="false">YEAR(E1244)*100+MONTH(E1244)</f>
        <v>201109</v>
      </c>
      <c r="L1244" s="7" t="n">
        <f aca="false">IF(AND(A1244&lt;&gt;A1243,LEFT(A1244,1)&lt;&gt;"C"),1,0)</f>
        <v>0</v>
      </c>
    </row>
    <row r="1245" customFormat="false" ht="15" hidden="false" customHeight="false" outlineLevel="0" collapsed="false">
      <c r="A1245" s="0" t="s">
        <v>1268</v>
      </c>
      <c r="B1245" s="0" t="s">
        <v>138</v>
      </c>
      <c r="C1245" s="0" t="s">
        <v>139</v>
      </c>
      <c r="D1245" s="0" t="n">
        <v>6</v>
      </c>
      <c r="E1245" s="6" t="n">
        <v>40807.6131944444</v>
      </c>
      <c r="F1245" s="0" t="n">
        <v>2.08</v>
      </c>
      <c r="G1245" s="0" t="n">
        <v>12523</v>
      </c>
      <c r="H1245" s="0" t="s">
        <v>43</v>
      </c>
      <c r="I1245" s="7" t="n">
        <f aca="false">IF(AND(LEFT(A1245,1)&lt;&gt;"C",D1245&gt;0,F1245&gt;0),1,0)</f>
        <v>1</v>
      </c>
      <c r="J1245" s="7" t="n">
        <f aca="false">IF(I1245=1,D1245*F1245,0)</f>
        <v>12.48</v>
      </c>
      <c r="K1245" s="7" t="n">
        <f aca="false">YEAR(E1245)*100+MONTH(E1245)</f>
        <v>201109</v>
      </c>
      <c r="L1245" s="7" t="n">
        <f aca="false">IF(AND(A1245&lt;&gt;A1244,LEFT(A1245,1)&lt;&gt;"C"),1,0)</f>
        <v>0</v>
      </c>
    </row>
    <row r="1246" customFormat="false" ht="15" hidden="false" customHeight="false" outlineLevel="0" collapsed="false">
      <c r="A1246" s="0" t="s">
        <v>1268</v>
      </c>
      <c r="B1246" s="0" t="s">
        <v>1124</v>
      </c>
      <c r="C1246" s="0" t="s">
        <v>1125</v>
      </c>
      <c r="D1246" s="0" t="n">
        <v>2</v>
      </c>
      <c r="E1246" s="6" t="n">
        <v>40807.6131944444</v>
      </c>
      <c r="F1246" s="0" t="n">
        <v>8.5</v>
      </c>
      <c r="G1246" s="0" t="n">
        <v>12523</v>
      </c>
      <c r="H1246" s="0" t="s">
        <v>43</v>
      </c>
      <c r="I1246" s="7" t="n">
        <f aca="false">IF(AND(LEFT(A1246,1)&lt;&gt;"C",D1246&gt;0,F1246&gt;0),1,0)</f>
        <v>1</v>
      </c>
      <c r="J1246" s="7" t="n">
        <f aca="false">IF(I1246=1,D1246*F1246,0)</f>
        <v>17</v>
      </c>
      <c r="K1246" s="7" t="n">
        <f aca="false">YEAR(E1246)*100+MONTH(E1246)</f>
        <v>201109</v>
      </c>
      <c r="L1246" s="7" t="n">
        <f aca="false">IF(AND(A1246&lt;&gt;A1245,LEFT(A1246,1)&lt;&gt;"C"),1,0)</f>
        <v>0</v>
      </c>
    </row>
    <row r="1247" customFormat="false" ht="15" hidden="false" customHeight="false" outlineLevel="0" collapsed="false">
      <c r="A1247" s="0" t="s">
        <v>1268</v>
      </c>
      <c r="B1247" s="0" t="s">
        <v>452</v>
      </c>
      <c r="C1247" s="0" t="s">
        <v>453</v>
      </c>
      <c r="D1247" s="0" t="n">
        <v>2</v>
      </c>
      <c r="E1247" s="6" t="n">
        <v>40807.6131944444</v>
      </c>
      <c r="F1247" s="0" t="n">
        <v>8.5</v>
      </c>
      <c r="G1247" s="0" t="n">
        <v>12523</v>
      </c>
      <c r="H1247" s="0" t="s">
        <v>43</v>
      </c>
      <c r="I1247" s="7" t="n">
        <f aca="false">IF(AND(LEFT(A1247,1)&lt;&gt;"C",D1247&gt;0,F1247&gt;0),1,0)</f>
        <v>1</v>
      </c>
      <c r="J1247" s="7" t="n">
        <f aca="false">IF(I1247=1,D1247*F1247,0)</f>
        <v>17</v>
      </c>
      <c r="K1247" s="7" t="n">
        <f aca="false">YEAR(E1247)*100+MONTH(E1247)</f>
        <v>201109</v>
      </c>
      <c r="L1247" s="7" t="n">
        <f aca="false">IF(AND(A1247&lt;&gt;A1246,LEFT(A1247,1)&lt;&gt;"C"),1,0)</f>
        <v>0</v>
      </c>
    </row>
    <row r="1248" customFormat="false" ht="15" hidden="false" customHeight="false" outlineLevel="0" collapsed="false">
      <c r="A1248" s="0" t="s">
        <v>1268</v>
      </c>
      <c r="B1248" s="0" t="s">
        <v>781</v>
      </c>
      <c r="C1248" s="0" t="s">
        <v>782</v>
      </c>
      <c r="D1248" s="0" t="n">
        <v>3</v>
      </c>
      <c r="E1248" s="6" t="n">
        <v>40807.6131944444</v>
      </c>
      <c r="F1248" s="0" t="n">
        <v>4.95</v>
      </c>
      <c r="G1248" s="0" t="n">
        <v>12523</v>
      </c>
      <c r="H1248" s="0" t="s">
        <v>43</v>
      </c>
      <c r="I1248" s="7" t="n">
        <f aca="false">IF(AND(LEFT(A1248,1)&lt;&gt;"C",D1248&gt;0,F1248&gt;0),1,0)</f>
        <v>1</v>
      </c>
      <c r="J1248" s="7" t="n">
        <f aca="false">IF(I1248=1,D1248*F1248,0)</f>
        <v>14.85</v>
      </c>
      <c r="K1248" s="7" t="n">
        <f aca="false">YEAR(E1248)*100+MONTH(E1248)</f>
        <v>201109</v>
      </c>
      <c r="L1248" s="7" t="n">
        <f aca="false">IF(AND(A1248&lt;&gt;A1247,LEFT(A1248,1)&lt;&gt;"C"),1,0)</f>
        <v>0</v>
      </c>
    </row>
    <row r="1249" customFormat="false" ht="15" hidden="false" customHeight="false" outlineLevel="0" collapsed="false">
      <c r="A1249" s="0" t="s">
        <v>1275</v>
      </c>
      <c r="B1249" s="0" t="s">
        <v>1276</v>
      </c>
      <c r="C1249" s="0" t="s">
        <v>1277</v>
      </c>
      <c r="D1249" s="0" t="n">
        <v>24</v>
      </c>
      <c r="E1249" s="6" t="n">
        <v>40807.6409722222</v>
      </c>
      <c r="F1249" s="0" t="n">
        <v>0.39</v>
      </c>
      <c r="G1249" s="0" t="n">
        <v>12520</v>
      </c>
      <c r="H1249" s="0" t="s">
        <v>33</v>
      </c>
      <c r="I1249" s="7" t="n">
        <f aca="false">IF(AND(LEFT(A1249,1)&lt;&gt;"C",D1249&gt;0,F1249&gt;0),1,0)</f>
        <v>1</v>
      </c>
      <c r="J1249" s="7" t="n">
        <f aca="false">IF(I1249=1,D1249*F1249,0)</f>
        <v>9.36</v>
      </c>
      <c r="K1249" s="7" t="n">
        <f aca="false">YEAR(E1249)*100+MONTH(E1249)</f>
        <v>201109</v>
      </c>
      <c r="L1249" s="7" t="n">
        <f aca="false">IF(AND(A1249&lt;&gt;A1248,LEFT(A1249,1)&lt;&gt;"C"),1,0)</f>
        <v>1</v>
      </c>
    </row>
    <row r="1250" customFormat="false" ht="15" hidden="false" customHeight="false" outlineLevel="0" collapsed="false">
      <c r="A1250" s="0" t="s">
        <v>1275</v>
      </c>
      <c r="B1250" s="0" t="s">
        <v>1278</v>
      </c>
      <c r="C1250" s="0" t="s">
        <v>1279</v>
      </c>
      <c r="D1250" s="0" t="n">
        <v>24</v>
      </c>
      <c r="E1250" s="6" t="n">
        <v>40807.6409722222</v>
      </c>
      <c r="F1250" s="0" t="n">
        <v>0.39</v>
      </c>
      <c r="G1250" s="0" t="n">
        <v>12520</v>
      </c>
      <c r="H1250" s="0" t="s">
        <v>33</v>
      </c>
      <c r="I1250" s="7" t="n">
        <f aca="false">IF(AND(LEFT(A1250,1)&lt;&gt;"C",D1250&gt;0,F1250&gt;0),1,0)</f>
        <v>1</v>
      </c>
      <c r="J1250" s="7" t="n">
        <f aca="false">IF(I1250=1,D1250*F1250,0)</f>
        <v>9.36</v>
      </c>
      <c r="K1250" s="7" t="n">
        <f aca="false">YEAR(E1250)*100+MONTH(E1250)</f>
        <v>201109</v>
      </c>
      <c r="L1250" s="7" t="n">
        <f aca="false">IF(AND(A1250&lt;&gt;A1249,LEFT(A1250,1)&lt;&gt;"C"),1,0)</f>
        <v>0</v>
      </c>
    </row>
    <row r="1251" customFormat="false" ht="15" hidden="false" customHeight="false" outlineLevel="0" collapsed="false">
      <c r="A1251" s="0" t="s">
        <v>1275</v>
      </c>
      <c r="B1251" s="0" t="s">
        <v>1280</v>
      </c>
      <c r="C1251" s="0" t="s">
        <v>1281</v>
      </c>
      <c r="D1251" s="0" t="n">
        <v>24</v>
      </c>
      <c r="E1251" s="6" t="n">
        <v>40807.6409722222</v>
      </c>
      <c r="F1251" s="0" t="n">
        <v>0.39</v>
      </c>
      <c r="G1251" s="0" t="n">
        <v>12520</v>
      </c>
      <c r="H1251" s="0" t="s">
        <v>33</v>
      </c>
      <c r="I1251" s="7" t="n">
        <f aca="false">IF(AND(LEFT(A1251,1)&lt;&gt;"C",D1251&gt;0,F1251&gt;0),1,0)</f>
        <v>1</v>
      </c>
      <c r="J1251" s="7" t="n">
        <f aca="false">IF(I1251=1,D1251*F1251,0)</f>
        <v>9.36</v>
      </c>
      <c r="K1251" s="7" t="n">
        <f aca="false">YEAR(E1251)*100+MONTH(E1251)</f>
        <v>201109</v>
      </c>
      <c r="L1251" s="7" t="n">
        <f aca="false">IF(AND(A1251&lt;&gt;A1250,LEFT(A1251,1)&lt;&gt;"C"),1,0)</f>
        <v>0</v>
      </c>
    </row>
    <row r="1252" customFormat="false" ht="15" hidden="false" customHeight="false" outlineLevel="0" collapsed="false">
      <c r="A1252" s="0" t="s">
        <v>1275</v>
      </c>
      <c r="B1252" s="0" t="s">
        <v>1282</v>
      </c>
      <c r="C1252" s="0" t="s">
        <v>1283</v>
      </c>
      <c r="D1252" s="0" t="n">
        <v>5</v>
      </c>
      <c r="E1252" s="6" t="n">
        <v>40807.6409722222</v>
      </c>
      <c r="F1252" s="0" t="n">
        <v>4.95</v>
      </c>
      <c r="G1252" s="0" t="n">
        <v>12520</v>
      </c>
      <c r="H1252" s="0" t="s">
        <v>33</v>
      </c>
      <c r="I1252" s="7" t="n">
        <f aca="false">IF(AND(LEFT(A1252,1)&lt;&gt;"C",D1252&gt;0,F1252&gt;0),1,0)</f>
        <v>1</v>
      </c>
      <c r="J1252" s="7" t="n">
        <f aca="false">IF(I1252=1,D1252*F1252,0)</f>
        <v>24.75</v>
      </c>
      <c r="K1252" s="7" t="n">
        <f aca="false">YEAR(E1252)*100+MONTH(E1252)</f>
        <v>201109</v>
      </c>
      <c r="L1252" s="7" t="n">
        <f aca="false">IF(AND(A1252&lt;&gt;A1251,LEFT(A1252,1)&lt;&gt;"C"),1,0)</f>
        <v>0</v>
      </c>
    </row>
    <row r="1253" customFormat="false" ht="15" hidden="false" customHeight="false" outlineLevel="0" collapsed="false">
      <c r="A1253" s="0" t="s">
        <v>1275</v>
      </c>
      <c r="B1253" s="0" t="s">
        <v>185</v>
      </c>
      <c r="C1253" s="0" t="s">
        <v>186</v>
      </c>
      <c r="D1253" s="0" t="n">
        <v>3</v>
      </c>
      <c r="E1253" s="6" t="n">
        <v>40807.6409722222</v>
      </c>
      <c r="F1253" s="0" t="n">
        <v>5.45</v>
      </c>
      <c r="G1253" s="0" t="n">
        <v>12520</v>
      </c>
      <c r="H1253" s="0" t="s">
        <v>33</v>
      </c>
      <c r="I1253" s="7" t="n">
        <f aca="false">IF(AND(LEFT(A1253,1)&lt;&gt;"C",D1253&gt;0,F1253&gt;0),1,0)</f>
        <v>1</v>
      </c>
      <c r="J1253" s="7" t="n">
        <f aca="false">IF(I1253=1,D1253*F1253,0)</f>
        <v>16.35</v>
      </c>
      <c r="K1253" s="7" t="n">
        <f aca="false">YEAR(E1253)*100+MONTH(E1253)</f>
        <v>201109</v>
      </c>
      <c r="L1253" s="7" t="n">
        <f aca="false">IF(AND(A1253&lt;&gt;A1252,LEFT(A1253,1)&lt;&gt;"C"),1,0)</f>
        <v>0</v>
      </c>
    </row>
    <row r="1254" customFormat="false" ht="15" hidden="false" customHeight="false" outlineLevel="0" collapsed="false">
      <c r="A1254" s="0" t="s">
        <v>1275</v>
      </c>
      <c r="B1254" s="0" t="s">
        <v>779</v>
      </c>
      <c r="C1254" s="0" t="s">
        <v>780</v>
      </c>
      <c r="D1254" s="0" t="n">
        <v>4</v>
      </c>
      <c r="E1254" s="6" t="n">
        <v>40807.6409722222</v>
      </c>
      <c r="F1254" s="0" t="n">
        <v>4.95</v>
      </c>
      <c r="G1254" s="0" t="n">
        <v>12520</v>
      </c>
      <c r="H1254" s="0" t="s">
        <v>33</v>
      </c>
      <c r="I1254" s="7" t="n">
        <f aca="false">IF(AND(LEFT(A1254,1)&lt;&gt;"C",D1254&gt;0,F1254&gt;0),1,0)</f>
        <v>1</v>
      </c>
      <c r="J1254" s="7" t="n">
        <f aca="false">IF(I1254=1,D1254*F1254,0)</f>
        <v>19.8</v>
      </c>
      <c r="K1254" s="7" t="n">
        <f aca="false">YEAR(E1254)*100+MONTH(E1254)</f>
        <v>201109</v>
      </c>
      <c r="L1254" s="7" t="n">
        <f aca="false">IF(AND(A1254&lt;&gt;A1253,LEFT(A1254,1)&lt;&gt;"C"),1,0)</f>
        <v>0</v>
      </c>
    </row>
    <row r="1255" customFormat="false" ht="15" hidden="false" customHeight="false" outlineLevel="0" collapsed="false">
      <c r="A1255" s="0" t="s">
        <v>1275</v>
      </c>
      <c r="B1255" s="0" t="s">
        <v>1208</v>
      </c>
      <c r="C1255" s="0" t="s">
        <v>1209</v>
      </c>
      <c r="D1255" s="0" t="n">
        <v>6</v>
      </c>
      <c r="E1255" s="6" t="n">
        <v>40807.6409722222</v>
      </c>
      <c r="F1255" s="0" t="n">
        <v>2.55</v>
      </c>
      <c r="G1255" s="0" t="n">
        <v>12520</v>
      </c>
      <c r="H1255" s="0" t="s">
        <v>33</v>
      </c>
      <c r="I1255" s="7" t="n">
        <f aca="false">IF(AND(LEFT(A1255,1)&lt;&gt;"C",D1255&gt;0,F1255&gt;0),1,0)</f>
        <v>1</v>
      </c>
      <c r="J1255" s="7" t="n">
        <f aca="false">IF(I1255=1,D1255*F1255,0)</f>
        <v>15.3</v>
      </c>
      <c r="K1255" s="7" t="n">
        <f aca="false">YEAR(E1255)*100+MONTH(E1255)</f>
        <v>201109</v>
      </c>
      <c r="L1255" s="7" t="n">
        <f aca="false">IF(AND(A1255&lt;&gt;A1254,LEFT(A1255,1)&lt;&gt;"C"),1,0)</f>
        <v>0</v>
      </c>
    </row>
    <row r="1256" customFormat="false" ht="15" hidden="false" customHeight="false" outlineLevel="0" collapsed="false">
      <c r="A1256" s="0" t="s">
        <v>1275</v>
      </c>
      <c r="B1256" s="0" t="s">
        <v>939</v>
      </c>
      <c r="C1256" s="0" t="s">
        <v>940</v>
      </c>
      <c r="D1256" s="0" t="n">
        <v>24</v>
      </c>
      <c r="E1256" s="6" t="n">
        <v>40807.6409722222</v>
      </c>
      <c r="F1256" s="0" t="n">
        <v>0.85</v>
      </c>
      <c r="G1256" s="0" t="n">
        <v>12520</v>
      </c>
      <c r="H1256" s="0" t="s">
        <v>33</v>
      </c>
      <c r="I1256" s="7" t="n">
        <f aca="false">IF(AND(LEFT(A1256,1)&lt;&gt;"C",D1256&gt;0,F1256&gt;0),1,0)</f>
        <v>1</v>
      </c>
      <c r="J1256" s="7" t="n">
        <f aca="false">IF(I1256=1,D1256*F1256,0)</f>
        <v>20.4</v>
      </c>
      <c r="K1256" s="7" t="n">
        <f aca="false">YEAR(E1256)*100+MONTH(E1256)</f>
        <v>201109</v>
      </c>
      <c r="L1256" s="7" t="n">
        <f aca="false">IF(AND(A1256&lt;&gt;A1255,LEFT(A1256,1)&lt;&gt;"C"),1,0)</f>
        <v>0</v>
      </c>
    </row>
    <row r="1257" customFormat="false" ht="15" hidden="false" customHeight="false" outlineLevel="0" collapsed="false">
      <c r="A1257" s="0" t="s">
        <v>1275</v>
      </c>
      <c r="B1257" s="0" t="s">
        <v>962</v>
      </c>
      <c r="C1257" s="0" t="s">
        <v>963</v>
      </c>
      <c r="D1257" s="0" t="n">
        <v>8</v>
      </c>
      <c r="E1257" s="6" t="n">
        <v>40807.6409722222</v>
      </c>
      <c r="F1257" s="0" t="n">
        <v>0.85</v>
      </c>
      <c r="G1257" s="0" t="n">
        <v>12520</v>
      </c>
      <c r="H1257" s="0" t="s">
        <v>33</v>
      </c>
      <c r="I1257" s="7" t="n">
        <f aca="false">IF(AND(LEFT(A1257,1)&lt;&gt;"C",D1257&gt;0,F1257&gt;0),1,0)</f>
        <v>1</v>
      </c>
      <c r="J1257" s="7" t="n">
        <f aca="false">IF(I1257=1,D1257*F1257,0)</f>
        <v>6.8</v>
      </c>
      <c r="K1257" s="7" t="n">
        <f aca="false">YEAR(E1257)*100+MONTH(E1257)</f>
        <v>201109</v>
      </c>
      <c r="L1257" s="7" t="n">
        <f aca="false">IF(AND(A1257&lt;&gt;A1256,LEFT(A1257,1)&lt;&gt;"C"),1,0)</f>
        <v>0</v>
      </c>
    </row>
    <row r="1258" customFormat="false" ht="15" hidden="false" customHeight="false" outlineLevel="0" collapsed="false">
      <c r="A1258" s="0" t="s">
        <v>1275</v>
      </c>
      <c r="B1258" s="0" t="s">
        <v>1284</v>
      </c>
      <c r="C1258" s="0" t="s">
        <v>1285</v>
      </c>
      <c r="D1258" s="0" t="n">
        <v>6</v>
      </c>
      <c r="E1258" s="6" t="n">
        <v>40807.6409722222</v>
      </c>
      <c r="F1258" s="0" t="n">
        <v>2.95</v>
      </c>
      <c r="G1258" s="0" t="n">
        <v>12520</v>
      </c>
      <c r="H1258" s="0" t="s">
        <v>33</v>
      </c>
      <c r="I1258" s="7" t="n">
        <f aca="false">IF(AND(LEFT(A1258,1)&lt;&gt;"C",D1258&gt;0,F1258&gt;0),1,0)</f>
        <v>1</v>
      </c>
      <c r="J1258" s="7" t="n">
        <f aca="false">IF(I1258=1,D1258*F1258,0)</f>
        <v>17.7</v>
      </c>
      <c r="K1258" s="7" t="n">
        <f aca="false">YEAR(E1258)*100+MONTH(E1258)</f>
        <v>201109</v>
      </c>
      <c r="L1258" s="7" t="n">
        <f aca="false">IF(AND(A1258&lt;&gt;A1257,LEFT(A1258,1)&lt;&gt;"C"),1,0)</f>
        <v>0</v>
      </c>
    </row>
    <row r="1259" customFormat="false" ht="15" hidden="false" customHeight="false" outlineLevel="0" collapsed="false">
      <c r="A1259" s="0" t="s">
        <v>1275</v>
      </c>
      <c r="B1259" s="0" t="s">
        <v>649</v>
      </c>
      <c r="C1259" s="0" t="s">
        <v>650</v>
      </c>
      <c r="D1259" s="0" t="n">
        <v>12</v>
      </c>
      <c r="E1259" s="6" t="n">
        <v>40807.6409722222</v>
      </c>
      <c r="F1259" s="0" t="n">
        <v>0.39</v>
      </c>
      <c r="G1259" s="0" t="n">
        <v>12520</v>
      </c>
      <c r="H1259" s="0" t="s">
        <v>33</v>
      </c>
      <c r="I1259" s="7" t="n">
        <f aca="false">IF(AND(LEFT(A1259,1)&lt;&gt;"C",D1259&gt;0,F1259&gt;0),1,0)</f>
        <v>1</v>
      </c>
      <c r="J1259" s="7" t="n">
        <f aca="false">IF(I1259=1,D1259*F1259,0)</f>
        <v>4.68</v>
      </c>
      <c r="K1259" s="7" t="n">
        <f aca="false">YEAR(E1259)*100+MONTH(E1259)</f>
        <v>201109</v>
      </c>
      <c r="L1259" s="7" t="n">
        <f aca="false">IF(AND(A1259&lt;&gt;A1258,LEFT(A1259,1)&lt;&gt;"C"),1,0)</f>
        <v>0</v>
      </c>
    </row>
    <row r="1260" customFormat="false" ht="15" hidden="false" customHeight="false" outlineLevel="0" collapsed="false">
      <c r="A1260" s="0" t="s">
        <v>1275</v>
      </c>
      <c r="B1260" s="0" t="s">
        <v>1286</v>
      </c>
      <c r="C1260" s="0" t="s">
        <v>1287</v>
      </c>
      <c r="D1260" s="0" t="n">
        <v>18</v>
      </c>
      <c r="E1260" s="6" t="n">
        <v>40807.6409722222</v>
      </c>
      <c r="F1260" s="0" t="n">
        <v>2.89</v>
      </c>
      <c r="G1260" s="0" t="n">
        <v>12520</v>
      </c>
      <c r="H1260" s="0" t="s">
        <v>33</v>
      </c>
      <c r="I1260" s="7" t="n">
        <f aca="false">IF(AND(LEFT(A1260,1)&lt;&gt;"C",D1260&gt;0,F1260&gt;0),1,0)</f>
        <v>1</v>
      </c>
      <c r="J1260" s="7" t="n">
        <f aca="false">IF(I1260=1,D1260*F1260,0)</f>
        <v>52.02</v>
      </c>
      <c r="K1260" s="7" t="n">
        <f aca="false">YEAR(E1260)*100+MONTH(E1260)</f>
        <v>201109</v>
      </c>
      <c r="L1260" s="7" t="n">
        <f aca="false">IF(AND(A1260&lt;&gt;A1259,LEFT(A1260,1)&lt;&gt;"C"),1,0)</f>
        <v>0</v>
      </c>
    </row>
    <row r="1261" customFormat="false" ht="15" hidden="false" customHeight="false" outlineLevel="0" collapsed="false">
      <c r="A1261" s="0" t="s">
        <v>1275</v>
      </c>
      <c r="B1261" s="0" t="s">
        <v>1288</v>
      </c>
      <c r="C1261" s="0" t="s">
        <v>1289</v>
      </c>
      <c r="D1261" s="0" t="n">
        <v>24</v>
      </c>
      <c r="E1261" s="6" t="n">
        <v>40807.6409722222</v>
      </c>
      <c r="F1261" s="0" t="n">
        <v>0.39</v>
      </c>
      <c r="G1261" s="0" t="n">
        <v>12520</v>
      </c>
      <c r="H1261" s="0" t="s">
        <v>33</v>
      </c>
      <c r="I1261" s="7" t="n">
        <f aca="false">IF(AND(LEFT(A1261,1)&lt;&gt;"C",D1261&gt;0,F1261&gt;0),1,0)</f>
        <v>1</v>
      </c>
      <c r="J1261" s="7" t="n">
        <f aca="false">IF(I1261=1,D1261*F1261,0)</f>
        <v>9.36</v>
      </c>
      <c r="K1261" s="7" t="n">
        <f aca="false">YEAR(E1261)*100+MONTH(E1261)</f>
        <v>201109</v>
      </c>
      <c r="L1261" s="7" t="n">
        <f aca="false">IF(AND(A1261&lt;&gt;A1260,LEFT(A1261,1)&lt;&gt;"C"),1,0)</f>
        <v>0</v>
      </c>
    </row>
    <row r="1262" customFormat="false" ht="15" hidden="false" customHeight="false" outlineLevel="0" collapsed="false">
      <c r="A1262" s="0" t="s">
        <v>1275</v>
      </c>
      <c r="B1262" s="0" t="s">
        <v>228</v>
      </c>
      <c r="C1262" s="0" t="s">
        <v>229</v>
      </c>
      <c r="D1262" s="0" t="n">
        <v>6</v>
      </c>
      <c r="E1262" s="6" t="n">
        <v>40807.6409722222</v>
      </c>
      <c r="F1262" s="0" t="n">
        <v>3.25</v>
      </c>
      <c r="G1262" s="0" t="n">
        <v>12520</v>
      </c>
      <c r="H1262" s="0" t="s">
        <v>33</v>
      </c>
      <c r="I1262" s="7" t="n">
        <f aca="false">IF(AND(LEFT(A1262,1)&lt;&gt;"C",D1262&gt;0,F1262&gt;0),1,0)</f>
        <v>1</v>
      </c>
      <c r="J1262" s="7" t="n">
        <f aca="false">IF(I1262=1,D1262*F1262,0)</f>
        <v>19.5</v>
      </c>
      <c r="K1262" s="7" t="n">
        <f aca="false">YEAR(E1262)*100+MONTH(E1262)</f>
        <v>201109</v>
      </c>
      <c r="L1262" s="7" t="n">
        <f aca="false">IF(AND(A1262&lt;&gt;A1261,LEFT(A1262,1)&lt;&gt;"C"),1,0)</f>
        <v>0</v>
      </c>
    </row>
    <row r="1263" customFormat="false" ht="15" hidden="false" customHeight="false" outlineLevel="0" collapsed="false">
      <c r="A1263" s="0" t="s">
        <v>1275</v>
      </c>
      <c r="B1263" s="0" t="s">
        <v>1290</v>
      </c>
      <c r="C1263" s="0" t="s">
        <v>1291</v>
      </c>
      <c r="D1263" s="0" t="n">
        <v>6</v>
      </c>
      <c r="E1263" s="6" t="n">
        <v>40807.6409722222</v>
      </c>
      <c r="F1263" s="0" t="n">
        <v>3.25</v>
      </c>
      <c r="G1263" s="0" t="n">
        <v>12520</v>
      </c>
      <c r="H1263" s="0" t="s">
        <v>33</v>
      </c>
      <c r="I1263" s="7" t="n">
        <f aca="false">IF(AND(LEFT(A1263,1)&lt;&gt;"C",D1263&gt;0,F1263&gt;0),1,0)</f>
        <v>1</v>
      </c>
      <c r="J1263" s="7" t="n">
        <f aca="false">IF(I1263=1,D1263*F1263,0)</f>
        <v>19.5</v>
      </c>
      <c r="K1263" s="7" t="n">
        <f aca="false">YEAR(E1263)*100+MONTH(E1263)</f>
        <v>201109</v>
      </c>
      <c r="L1263" s="7" t="n">
        <f aca="false">IF(AND(A1263&lt;&gt;A1262,LEFT(A1263,1)&lt;&gt;"C"),1,0)</f>
        <v>0</v>
      </c>
    </row>
    <row r="1264" customFormat="false" ht="15" hidden="false" customHeight="false" outlineLevel="0" collapsed="false">
      <c r="A1264" s="0" t="s">
        <v>1275</v>
      </c>
      <c r="B1264" s="0" t="s">
        <v>74</v>
      </c>
      <c r="C1264" s="0" t="s">
        <v>75</v>
      </c>
      <c r="D1264" s="0" t="n">
        <v>12</v>
      </c>
      <c r="E1264" s="6" t="n">
        <v>40807.6409722222</v>
      </c>
      <c r="F1264" s="0" t="n">
        <v>1.95</v>
      </c>
      <c r="G1264" s="0" t="n">
        <v>12520</v>
      </c>
      <c r="H1264" s="0" t="s">
        <v>33</v>
      </c>
      <c r="I1264" s="7" t="n">
        <f aca="false">IF(AND(LEFT(A1264,1)&lt;&gt;"C",D1264&gt;0,F1264&gt;0),1,0)</f>
        <v>1</v>
      </c>
      <c r="J1264" s="7" t="n">
        <f aca="false">IF(I1264=1,D1264*F1264,0)</f>
        <v>23.4</v>
      </c>
      <c r="K1264" s="7" t="n">
        <f aca="false">YEAR(E1264)*100+MONTH(E1264)</f>
        <v>201109</v>
      </c>
      <c r="L1264" s="7" t="n">
        <f aca="false">IF(AND(A1264&lt;&gt;A1263,LEFT(A1264,1)&lt;&gt;"C"),1,0)</f>
        <v>0</v>
      </c>
    </row>
    <row r="1265" customFormat="false" ht="15" hidden="false" customHeight="false" outlineLevel="0" collapsed="false">
      <c r="A1265" s="0" t="s">
        <v>1275</v>
      </c>
      <c r="B1265" s="0" t="s">
        <v>197</v>
      </c>
      <c r="C1265" s="0" t="s">
        <v>198</v>
      </c>
      <c r="D1265" s="0" t="n">
        <v>12</v>
      </c>
      <c r="E1265" s="6" t="n">
        <v>40807.6409722222</v>
      </c>
      <c r="F1265" s="0" t="n">
        <v>0.85</v>
      </c>
      <c r="G1265" s="0" t="n">
        <v>12520</v>
      </c>
      <c r="H1265" s="0" t="s">
        <v>33</v>
      </c>
      <c r="I1265" s="7" t="n">
        <f aca="false">IF(AND(LEFT(A1265,1)&lt;&gt;"C",D1265&gt;0,F1265&gt;0),1,0)</f>
        <v>1</v>
      </c>
      <c r="J1265" s="7" t="n">
        <f aca="false">IF(I1265=1,D1265*F1265,0)</f>
        <v>10.2</v>
      </c>
      <c r="K1265" s="7" t="n">
        <f aca="false">YEAR(E1265)*100+MONTH(E1265)</f>
        <v>201109</v>
      </c>
      <c r="L1265" s="7" t="n">
        <f aca="false">IF(AND(A1265&lt;&gt;A1264,LEFT(A1265,1)&lt;&gt;"C"),1,0)</f>
        <v>0</v>
      </c>
    </row>
    <row r="1266" customFormat="false" ht="15" hidden="false" customHeight="false" outlineLevel="0" collapsed="false">
      <c r="A1266" s="0" t="s">
        <v>1275</v>
      </c>
      <c r="B1266" s="0" t="s">
        <v>750</v>
      </c>
      <c r="C1266" s="0" t="s">
        <v>751</v>
      </c>
      <c r="D1266" s="0" t="n">
        <v>16</v>
      </c>
      <c r="E1266" s="6" t="n">
        <v>40807.6409722222</v>
      </c>
      <c r="F1266" s="0" t="n">
        <v>1.69</v>
      </c>
      <c r="G1266" s="0" t="n">
        <v>12520</v>
      </c>
      <c r="H1266" s="0" t="s">
        <v>33</v>
      </c>
      <c r="I1266" s="7" t="n">
        <f aca="false">IF(AND(LEFT(A1266,1)&lt;&gt;"C",D1266&gt;0,F1266&gt;0),1,0)</f>
        <v>1</v>
      </c>
      <c r="J1266" s="7" t="n">
        <f aca="false">IF(I1266=1,D1266*F1266,0)</f>
        <v>27.04</v>
      </c>
      <c r="K1266" s="7" t="n">
        <f aca="false">YEAR(E1266)*100+MONTH(E1266)</f>
        <v>201109</v>
      </c>
      <c r="L1266" s="7" t="n">
        <f aca="false">IF(AND(A1266&lt;&gt;A1265,LEFT(A1266,1)&lt;&gt;"C"),1,0)</f>
        <v>0</v>
      </c>
    </row>
    <row r="1267" customFormat="false" ht="15" hidden="false" customHeight="false" outlineLevel="0" collapsed="false">
      <c r="A1267" s="0" t="s">
        <v>1275</v>
      </c>
      <c r="B1267" s="0" t="s">
        <v>420</v>
      </c>
      <c r="C1267" s="0" t="s">
        <v>421</v>
      </c>
      <c r="D1267" s="0" t="n">
        <v>5</v>
      </c>
      <c r="E1267" s="6" t="n">
        <v>40807.6409722222</v>
      </c>
      <c r="F1267" s="0" t="n">
        <v>2.1</v>
      </c>
      <c r="G1267" s="0" t="n">
        <v>12520</v>
      </c>
      <c r="H1267" s="0" t="s">
        <v>33</v>
      </c>
      <c r="I1267" s="7" t="n">
        <f aca="false">IF(AND(LEFT(A1267,1)&lt;&gt;"C",D1267&gt;0,F1267&gt;0),1,0)</f>
        <v>1</v>
      </c>
      <c r="J1267" s="7" t="n">
        <f aca="false">IF(I1267=1,D1267*F1267,0)</f>
        <v>10.5</v>
      </c>
      <c r="K1267" s="7" t="n">
        <f aca="false">YEAR(E1267)*100+MONTH(E1267)</f>
        <v>201109</v>
      </c>
      <c r="L1267" s="7" t="n">
        <f aca="false">IF(AND(A1267&lt;&gt;A1266,LEFT(A1267,1)&lt;&gt;"C"),1,0)</f>
        <v>0</v>
      </c>
    </row>
    <row r="1268" customFormat="false" ht="15" hidden="false" customHeight="false" outlineLevel="0" collapsed="false">
      <c r="A1268" s="0" t="s">
        <v>1275</v>
      </c>
      <c r="B1268" s="0" t="s">
        <v>316</v>
      </c>
      <c r="C1268" s="0" t="s">
        <v>317</v>
      </c>
      <c r="D1268" s="0" t="n">
        <v>6</v>
      </c>
      <c r="E1268" s="6" t="n">
        <v>40807.6409722222</v>
      </c>
      <c r="F1268" s="0" t="n">
        <v>4.95</v>
      </c>
      <c r="G1268" s="0" t="n">
        <v>12520</v>
      </c>
      <c r="H1268" s="0" t="s">
        <v>33</v>
      </c>
      <c r="I1268" s="7" t="n">
        <f aca="false">IF(AND(LEFT(A1268,1)&lt;&gt;"C",D1268&gt;0,F1268&gt;0),1,0)</f>
        <v>1</v>
      </c>
      <c r="J1268" s="7" t="n">
        <f aca="false">IF(I1268=1,D1268*F1268,0)</f>
        <v>29.7</v>
      </c>
      <c r="K1268" s="7" t="n">
        <f aca="false">YEAR(E1268)*100+MONTH(E1268)</f>
        <v>201109</v>
      </c>
      <c r="L1268" s="7" t="n">
        <f aca="false">IF(AND(A1268&lt;&gt;A1267,LEFT(A1268,1)&lt;&gt;"C"),1,0)</f>
        <v>0</v>
      </c>
    </row>
    <row r="1269" customFormat="false" ht="15" hidden="false" customHeight="false" outlineLevel="0" collapsed="false">
      <c r="A1269" s="0" t="s">
        <v>1275</v>
      </c>
      <c r="B1269" s="0" t="s">
        <v>1292</v>
      </c>
      <c r="C1269" s="0" t="s">
        <v>1293</v>
      </c>
      <c r="D1269" s="0" t="n">
        <v>3</v>
      </c>
      <c r="E1269" s="6" t="n">
        <v>40807.6409722222</v>
      </c>
      <c r="F1269" s="0" t="n">
        <v>4.95</v>
      </c>
      <c r="G1269" s="0" t="n">
        <v>12520</v>
      </c>
      <c r="H1269" s="0" t="s">
        <v>33</v>
      </c>
      <c r="I1269" s="7" t="n">
        <f aca="false">IF(AND(LEFT(A1269,1)&lt;&gt;"C",D1269&gt;0,F1269&gt;0),1,0)</f>
        <v>1</v>
      </c>
      <c r="J1269" s="7" t="n">
        <f aca="false">IF(I1269=1,D1269*F1269,0)</f>
        <v>14.85</v>
      </c>
      <c r="K1269" s="7" t="n">
        <f aca="false">YEAR(E1269)*100+MONTH(E1269)</f>
        <v>201109</v>
      </c>
      <c r="L1269" s="7" t="n">
        <f aca="false">IF(AND(A1269&lt;&gt;A1268,LEFT(A1269,1)&lt;&gt;"C"),1,0)</f>
        <v>0</v>
      </c>
    </row>
    <row r="1270" customFormat="false" ht="15" hidden="false" customHeight="false" outlineLevel="0" collapsed="false">
      <c r="A1270" s="0" t="s">
        <v>1275</v>
      </c>
      <c r="B1270" s="0" t="s">
        <v>1294</v>
      </c>
      <c r="C1270" s="0" t="s">
        <v>1295</v>
      </c>
      <c r="D1270" s="0" t="n">
        <v>12</v>
      </c>
      <c r="E1270" s="6" t="n">
        <v>40807.6409722222</v>
      </c>
      <c r="F1270" s="0" t="n">
        <v>0.42</v>
      </c>
      <c r="G1270" s="0" t="n">
        <v>12520</v>
      </c>
      <c r="H1270" s="0" t="s">
        <v>33</v>
      </c>
      <c r="I1270" s="7" t="n">
        <f aca="false">IF(AND(LEFT(A1270,1)&lt;&gt;"C",D1270&gt;0,F1270&gt;0),1,0)</f>
        <v>1</v>
      </c>
      <c r="J1270" s="7" t="n">
        <f aca="false">IF(I1270=1,D1270*F1270,0)</f>
        <v>5.04</v>
      </c>
      <c r="K1270" s="7" t="n">
        <f aca="false">YEAR(E1270)*100+MONTH(E1270)</f>
        <v>201109</v>
      </c>
      <c r="L1270" s="7" t="n">
        <f aca="false">IF(AND(A1270&lt;&gt;A1269,LEFT(A1270,1)&lt;&gt;"C"),1,0)</f>
        <v>0</v>
      </c>
    </row>
    <row r="1271" customFormat="false" ht="15" hidden="false" customHeight="false" outlineLevel="0" collapsed="false">
      <c r="A1271" s="0" t="s">
        <v>1275</v>
      </c>
      <c r="B1271" s="0" t="s">
        <v>131</v>
      </c>
      <c r="C1271" s="0" t="s">
        <v>132</v>
      </c>
      <c r="D1271" s="0" t="n">
        <v>8</v>
      </c>
      <c r="E1271" s="6" t="n">
        <v>40807.6409722222</v>
      </c>
      <c r="F1271" s="0" t="n">
        <v>1.65</v>
      </c>
      <c r="G1271" s="0" t="n">
        <v>12520</v>
      </c>
      <c r="H1271" s="0" t="s">
        <v>33</v>
      </c>
      <c r="I1271" s="7" t="n">
        <f aca="false">IF(AND(LEFT(A1271,1)&lt;&gt;"C",D1271&gt;0,F1271&gt;0),1,0)</f>
        <v>1</v>
      </c>
      <c r="J1271" s="7" t="n">
        <f aca="false">IF(I1271=1,D1271*F1271,0)</f>
        <v>13.2</v>
      </c>
      <c r="K1271" s="7" t="n">
        <f aca="false">YEAR(E1271)*100+MONTH(E1271)</f>
        <v>201109</v>
      </c>
      <c r="L1271" s="7" t="n">
        <f aca="false">IF(AND(A1271&lt;&gt;A1270,LEFT(A1271,1)&lt;&gt;"C"),1,0)</f>
        <v>0</v>
      </c>
    </row>
    <row r="1272" customFormat="false" ht="15" hidden="false" customHeight="false" outlineLevel="0" collapsed="false">
      <c r="A1272" s="0" t="s">
        <v>1275</v>
      </c>
      <c r="B1272" s="0" t="s">
        <v>347</v>
      </c>
      <c r="C1272" s="0" t="s">
        <v>348</v>
      </c>
      <c r="D1272" s="0" t="n">
        <v>12</v>
      </c>
      <c r="E1272" s="6" t="n">
        <v>40807.6409722222</v>
      </c>
      <c r="F1272" s="0" t="n">
        <v>1.65</v>
      </c>
      <c r="G1272" s="0" t="n">
        <v>12520</v>
      </c>
      <c r="H1272" s="0" t="s">
        <v>33</v>
      </c>
      <c r="I1272" s="7" t="n">
        <f aca="false">IF(AND(LEFT(A1272,1)&lt;&gt;"C",D1272&gt;0,F1272&gt;0),1,0)</f>
        <v>1</v>
      </c>
      <c r="J1272" s="7" t="n">
        <f aca="false">IF(I1272=1,D1272*F1272,0)</f>
        <v>19.8</v>
      </c>
      <c r="K1272" s="7" t="n">
        <f aca="false">YEAR(E1272)*100+MONTH(E1272)</f>
        <v>201109</v>
      </c>
      <c r="L1272" s="7" t="n">
        <f aca="false">IF(AND(A1272&lt;&gt;A1271,LEFT(A1272,1)&lt;&gt;"C"),1,0)</f>
        <v>0</v>
      </c>
    </row>
    <row r="1273" customFormat="false" ht="15" hidden="false" customHeight="false" outlineLevel="0" collapsed="false">
      <c r="A1273" s="0" t="s">
        <v>1275</v>
      </c>
      <c r="B1273" s="0" t="s">
        <v>179</v>
      </c>
      <c r="C1273" s="0" t="s">
        <v>180</v>
      </c>
      <c r="D1273" s="0" t="n">
        <v>12</v>
      </c>
      <c r="E1273" s="6" t="n">
        <v>40807.6409722222</v>
      </c>
      <c r="F1273" s="0" t="n">
        <v>0.42</v>
      </c>
      <c r="G1273" s="0" t="n">
        <v>12520</v>
      </c>
      <c r="H1273" s="0" t="s">
        <v>33</v>
      </c>
      <c r="I1273" s="7" t="n">
        <f aca="false">IF(AND(LEFT(A1273,1)&lt;&gt;"C",D1273&gt;0,F1273&gt;0),1,0)</f>
        <v>1</v>
      </c>
      <c r="J1273" s="7" t="n">
        <f aca="false">IF(I1273=1,D1273*F1273,0)</f>
        <v>5.04</v>
      </c>
      <c r="K1273" s="7" t="n">
        <f aca="false">YEAR(E1273)*100+MONTH(E1273)</f>
        <v>201109</v>
      </c>
      <c r="L1273" s="7" t="n">
        <f aca="false">IF(AND(A1273&lt;&gt;A1272,LEFT(A1273,1)&lt;&gt;"C"),1,0)</f>
        <v>0</v>
      </c>
    </row>
    <row r="1274" customFormat="false" ht="15" hidden="false" customHeight="false" outlineLevel="0" collapsed="false">
      <c r="A1274" s="0" t="s">
        <v>1275</v>
      </c>
      <c r="B1274" s="0" t="s">
        <v>123</v>
      </c>
      <c r="C1274" s="0" t="s">
        <v>124</v>
      </c>
      <c r="D1274" s="0" t="n">
        <v>12</v>
      </c>
      <c r="E1274" s="6" t="n">
        <v>40807.6409722222</v>
      </c>
      <c r="F1274" s="0" t="n">
        <v>2.95</v>
      </c>
      <c r="G1274" s="0" t="n">
        <v>12520</v>
      </c>
      <c r="H1274" s="0" t="s">
        <v>33</v>
      </c>
      <c r="I1274" s="7" t="n">
        <f aca="false">IF(AND(LEFT(A1274,1)&lt;&gt;"C",D1274&gt;0,F1274&gt;0),1,0)</f>
        <v>1</v>
      </c>
      <c r="J1274" s="7" t="n">
        <f aca="false">IF(I1274=1,D1274*F1274,0)</f>
        <v>35.4</v>
      </c>
      <c r="K1274" s="7" t="n">
        <f aca="false">YEAR(E1274)*100+MONTH(E1274)</f>
        <v>201109</v>
      </c>
      <c r="L1274" s="7" t="n">
        <f aca="false">IF(AND(A1274&lt;&gt;A1273,LEFT(A1274,1)&lt;&gt;"C"),1,0)</f>
        <v>0</v>
      </c>
    </row>
    <row r="1275" customFormat="false" ht="15" hidden="false" customHeight="false" outlineLevel="0" collapsed="false">
      <c r="A1275" s="0" t="s">
        <v>1275</v>
      </c>
      <c r="B1275" s="0" t="s">
        <v>1048</v>
      </c>
      <c r="C1275" s="0" t="s">
        <v>1049</v>
      </c>
      <c r="D1275" s="0" t="n">
        <v>4</v>
      </c>
      <c r="E1275" s="6" t="n">
        <v>40807.6409722222</v>
      </c>
      <c r="F1275" s="0" t="n">
        <v>4.15</v>
      </c>
      <c r="G1275" s="0" t="n">
        <v>12520</v>
      </c>
      <c r="H1275" s="0" t="s">
        <v>33</v>
      </c>
      <c r="I1275" s="7" t="n">
        <f aca="false">IF(AND(LEFT(A1275,1)&lt;&gt;"C",D1275&gt;0,F1275&gt;0),1,0)</f>
        <v>1</v>
      </c>
      <c r="J1275" s="7" t="n">
        <f aca="false">IF(I1275=1,D1275*F1275,0)</f>
        <v>16.6</v>
      </c>
      <c r="K1275" s="7" t="n">
        <f aca="false">YEAR(E1275)*100+MONTH(E1275)</f>
        <v>201109</v>
      </c>
      <c r="L1275" s="7" t="n">
        <f aca="false">IF(AND(A1275&lt;&gt;A1274,LEFT(A1275,1)&lt;&gt;"C"),1,0)</f>
        <v>0</v>
      </c>
    </row>
    <row r="1276" customFormat="false" ht="15" hidden="false" customHeight="false" outlineLevel="0" collapsed="false">
      <c r="A1276" s="0" t="s">
        <v>1275</v>
      </c>
      <c r="B1276" s="0" t="s">
        <v>1042</v>
      </c>
      <c r="C1276" s="0" t="s">
        <v>1043</v>
      </c>
      <c r="D1276" s="0" t="n">
        <v>4</v>
      </c>
      <c r="E1276" s="6" t="n">
        <v>40807.6409722222</v>
      </c>
      <c r="F1276" s="0" t="n">
        <v>4.15</v>
      </c>
      <c r="G1276" s="0" t="n">
        <v>12520</v>
      </c>
      <c r="H1276" s="0" t="s">
        <v>33</v>
      </c>
      <c r="I1276" s="7" t="n">
        <f aca="false">IF(AND(LEFT(A1276,1)&lt;&gt;"C",D1276&gt;0,F1276&gt;0),1,0)</f>
        <v>1</v>
      </c>
      <c r="J1276" s="7" t="n">
        <f aca="false">IF(I1276=1,D1276*F1276,0)</f>
        <v>16.6</v>
      </c>
      <c r="K1276" s="7" t="n">
        <f aca="false">YEAR(E1276)*100+MONTH(E1276)</f>
        <v>201109</v>
      </c>
      <c r="L1276" s="7" t="n">
        <f aca="false">IF(AND(A1276&lt;&gt;A1275,LEFT(A1276,1)&lt;&gt;"C"),1,0)</f>
        <v>0</v>
      </c>
    </row>
    <row r="1277" customFormat="false" ht="15" hidden="false" customHeight="false" outlineLevel="0" collapsed="false">
      <c r="A1277" s="0" t="s">
        <v>1275</v>
      </c>
      <c r="B1277" s="0" t="s">
        <v>84</v>
      </c>
      <c r="C1277" s="0" t="s">
        <v>85</v>
      </c>
      <c r="D1277" s="0" t="n">
        <v>4</v>
      </c>
      <c r="E1277" s="6" t="n">
        <v>40807.6409722222</v>
      </c>
      <c r="F1277" s="0" t="n">
        <v>18</v>
      </c>
      <c r="G1277" s="0" t="n">
        <v>12520</v>
      </c>
      <c r="H1277" s="0" t="s">
        <v>33</v>
      </c>
      <c r="I1277" s="7" t="n">
        <f aca="false">IF(AND(LEFT(A1277,1)&lt;&gt;"C",D1277&gt;0,F1277&gt;0),1,0)</f>
        <v>1</v>
      </c>
      <c r="J1277" s="7" t="n">
        <f aca="false">IF(I1277=1,D1277*F1277,0)</f>
        <v>72</v>
      </c>
      <c r="K1277" s="7" t="n">
        <f aca="false">YEAR(E1277)*100+MONTH(E1277)</f>
        <v>201109</v>
      </c>
      <c r="L1277" s="7" t="n">
        <f aca="false">IF(AND(A1277&lt;&gt;A1276,LEFT(A1277,1)&lt;&gt;"C"),1,0)</f>
        <v>0</v>
      </c>
    </row>
    <row r="1278" customFormat="false" ht="15" hidden="false" customHeight="false" outlineLevel="0" collapsed="false">
      <c r="A1278" s="0" t="s">
        <v>1275</v>
      </c>
      <c r="B1278" s="0" t="s">
        <v>1296</v>
      </c>
      <c r="C1278" s="0" t="s">
        <v>1297</v>
      </c>
      <c r="D1278" s="0" t="n">
        <v>12</v>
      </c>
      <c r="E1278" s="6" t="n">
        <v>40807.6409722222</v>
      </c>
      <c r="F1278" s="0" t="n">
        <v>1.45</v>
      </c>
      <c r="G1278" s="0" t="n">
        <v>12520</v>
      </c>
      <c r="H1278" s="0" t="s">
        <v>33</v>
      </c>
      <c r="I1278" s="7" t="n">
        <f aca="false">IF(AND(LEFT(A1278,1)&lt;&gt;"C",D1278&gt;0,F1278&gt;0),1,0)</f>
        <v>1</v>
      </c>
      <c r="J1278" s="7" t="n">
        <f aca="false">IF(I1278=1,D1278*F1278,0)</f>
        <v>17.4</v>
      </c>
      <c r="K1278" s="7" t="n">
        <f aca="false">YEAR(E1278)*100+MONTH(E1278)</f>
        <v>201109</v>
      </c>
      <c r="L1278" s="7" t="n">
        <f aca="false">IF(AND(A1278&lt;&gt;A1277,LEFT(A1278,1)&lt;&gt;"C"),1,0)</f>
        <v>0</v>
      </c>
    </row>
    <row r="1279" customFormat="false" ht="15" hidden="false" customHeight="false" outlineLevel="0" collapsed="false">
      <c r="A1279" s="0" t="s">
        <v>1275</v>
      </c>
      <c r="B1279" s="0" t="s">
        <v>343</v>
      </c>
      <c r="C1279" s="0" t="s">
        <v>344</v>
      </c>
      <c r="D1279" s="0" t="n">
        <v>12</v>
      </c>
      <c r="E1279" s="6" t="n">
        <v>40807.6409722222</v>
      </c>
      <c r="F1279" s="0" t="n">
        <v>1.45</v>
      </c>
      <c r="G1279" s="0" t="n">
        <v>12520</v>
      </c>
      <c r="H1279" s="0" t="s">
        <v>33</v>
      </c>
      <c r="I1279" s="7" t="n">
        <f aca="false">IF(AND(LEFT(A1279,1)&lt;&gt;"C",D1279&gt;0,F1279&gt;0),1,0)</f>
        <v>1</v>
      </c>
      <c r="J1279" s="7" t="n">
        <f aca="false">IF(I1279=1,D1279*F1279,0)</f>
        <v>17.4</v>
      </c>
      <c r="K1279" s="7" t="n">
        <f aca="false">YEAR(E1279)*100+MONTH(E1279)</f>
        <v>201109</v>
      </c>
      <c r="L1279" s="7" t="n">
        <f aca="false">IF(AND(A1279&lt;&gt;A1278,LEFT(A1279,1)&lt;&gt;"C"),1,0)</f>
        <v>0</v>
      </c>
    </row>
    <row r="1280" customFormat="false" ht="15" hidden="false" customHeight="false" outlineLevel="0" collapsed="false">
      <c r="A1280" s="0" t="s">
        <v>1298</v>
      </c>
      <c r="B1280" s="0" t="s">
        <v>941</v>
      </c>
      <c r="C1280" s="0" t="s">
        <v>942</v>
      </c>
      <c r="D1280" s="0" t="n">
        <v>48</v>
      </c>
      <c r="E1280" s="6" t="n">
        <v>40808.4527777778</v>
      </c>
      <c r="F1280" s="0" t="n">
        <v>0.55</v>
      </c>
      <c r="G1280" s="0" t="n">
        <v>12678</v>
      </c>
      <c r="H1280" s="0" t="s">
        <v>43</v>
      </c>
      <c r="I1280" s="7" t="n">
        <f aca="false">IF(AND(LEFT(A1280,1)&lt;&gt;"C",D1280&gt;0,F1280&gt;0),1,0)</f>
        <v>1</v>
      </c>
      <c r="J1280" s="7" t="n">
        <f aca="false">IF(I1280=1,D1280*F1280,0)</f>
        <v>26.4</v>
      </c>
      <c r="K1280" s="7" t="n">
        <f aca="false">YEAR(E1280)*100+MONTH(E1280)</f>
        <v>201109</v>
      </c>
      <c r="L1280" s="7" t="n">
        <f aca="false">IF(AND(A1280&lt;&gt;A1279,LEFT(A1280,1)&lt;&gt;"C"),1,0)</f>
        <v>1</v>
      </c>
    </row>
    <row r="1281" customFormat="false" ht="15" hidden="false" customHeight="false" outlineLevel="0" collapsed="false">
      <c r="A1281" s="0" t="s">
        <v>1298</v>
      </c>
      <c r="B1281" s="0" t="s">
        <v>38</v>
      </c>
      <c r="C1281" s="0" t="s">
        <v>39</v>
      </c>
      <c r="D1281" s="0" t="n">
        <v>12</v>
      </c>
      <c r="E1281" s="6" t="n">
        <v>40808.4527777778</v>
      </c>
      <c r="F1281" s="0" t="n">
        <v>2.1</v>
      </c>
      <c r="G1281" s="0" t="n">
        <v>12678</v>
      </c>
      <c r="H1281" s="0" t="s">
        <v>43</v>
      </c>
      <c r="I1281" s="7" t="n">
        <f aca="false">IF(AND(LEFT(A1281,1)&lt;&gt;"C",D1281&gt;0,F1281&gt;0),1,0)</f>
        <v>1</v>
      </c>
      <c r="J1281" s="7" t="n">
        <f aca="false">IF(I1281=1,D1281*F1281,0)</f>
        <v>25.2</v>
      </c>
      <c r="K1281" s="7" t="n">
        <f aca="false">YEAR(E1281)*100+MONTH(E1281)</f>
        <v>201109</v>
      </c>
      <c r="L1281" s="7" t="n">
        <f aca="false">IF(AND(A1281&lt;&gt;A1280,LEFT(A1281,1)&lt;&gt;"C"),1,0)</f>
        <v>0</v>
      </c>
    </row>
    <row r="1282" customFormat="false" ht="15" hidden="false" customHeight="false" outlineLevel="0" collapsed="false">
      <c r="A1282" s="0" t="s">
        <v>1298</v>
      </c>
      <c r="B1282" s="0" t="s">
        <v>109</v>
      </c>
      <c r="C1282" s="0" t="s">
        <v>110</v>
      </c>
      <c r="D1282" s="0" t="n">
        <v>56</v>
      </c>
      <c r="E1282" s="6" t="n">
        <v>40808.4527777778</v>
      </c>
      <c r="F1282" s="0" t="n">
        <v>0.83</v>
      </c>
      <c r="G1282" s="0" t="n">
        <v>12678</v>
      </c>
      <c r="H1282" s="0" t="s">
        <v>43</v>
      </c>
      <c r="I1282" s="7" t="n">
        <f aca="false">IF(AND(LEFT(A1282,1)&lt;&gt;"C",D1282&gt;0,F1282&gt;0),1,0)</f>
        <v>1</v>
      </c>
      <c r="J1282" s="7" t="n">
        <f aca="false">IF(I1282=1,D1282*F1282,0)</f>
        <v>46.48</v>
      </c>
      <c r="K1282" s="7" t="n">
        <f aca="false">YEAR(E1282)*100+MONTH(E1282)</f>
        <v>201109</v>
      </c>
      <c r="L1282" s="7" t="n">
        <f aca="false">IF(AND(A1282&lt;&gt;A1281,LEFT(A1282,1)&lt;&gt;"C"),1,0)</f>
        <v>0</v>
      </c>
    </row>
    <row r="1283" customFormat="false" ht="15" hidden="false" customHeight="false" outlineLevel="0" collapsed="false">
      <c r="A1283" s="0" t="s">
        <v>1298</v>
      </c>
      <c r="B1283" s="0" t="s">
        <v>717</v>
      </c>
      <c r="C1283" s="0" t="s">
        <v>718</v>
      </c>
      <c r="D1283" s="0" t="n">
        <v>56</v>
      </c>
      <c r="E1283" s="6" t="n">
        <v>40808.4527777778</v>
      </c>
      <c r="F1283" s="0" t="n">
        <v>0.83</v>
      </c>
      <c r="G1283" s="0" t="n">
        <v>12678</v>
      </c>
      <c r="H1283" s="0" t="s">
        <v>43</v>
      </c>
      <c r="I1283" s="7" t="n">
        <f aca="false">IF(AND(LEFT(A1283,1)&lt;&gt;"C",D1283&gt;0,F1283&gt;0),1,0)</f>
        <v>1</v>
      </c>
      <c r="J1283" s="7" t="n">
        <f aca="false">IF(I1283=1,D1283*F1283,0)</f>
        <v>46.48</v>
      </c>
      <c r="K1283" s="7" t="n">
        <f aca="false">YEAR(E1283)*100+MONTH(E1283)</f>
        <v>201109</v>
      </c>
      <c r="L1283" s="7" t="n">
        <f aca="false">IF(AND(A1283&lt;&gt;A1282,LEFT(A1283,1)&lt;&gt;"C"),1,0)</f>
        <v>0</v>
      </c>
    </row>
    <row r="1284" customFormat="false" ht="15" hidden="false" customHeight="false" outlineLevel="0" collapsed="false">
      <c r="A1284" s="0" t="s">
        <v>1298</v>
      </c>
      <c r="B1284" s="0" t="s">
        <v>857</v>
      </c>
      <c r="C1284" s="0" t="s">
        <v>858</v>
      </c>
      <c r="D1284" s="0" t="n">
        <v>56</v>
      </c>
      <c r="E1284" s="6" t="n">
        <v>40808.4527777778</v>
      </c>
      <c r="F1284" s="0" t="n">
        <v>0.83</v>
      </c>
      <c r="G1284" s="0" t="n">
        <v>12678</v>
      </c>
      <c r="H1284" s="0" t="s">
        <v>43</v>
      </c>
      <c r="I1284" s="7" t="n">
        <f aca="false">IF(AND(LEFT(A1284,1)&lt;&gt;"C",D1284&gt;0,F1284&gt;0),1,0)</f>
        <v>1</v>
      </c>
      <c r="J1284" s="7" t="n">
        <f aca="false">IF(I1284=1,D1284*F1284,0)</f>
        <v>46.48</v>
      </c>
      <c r="K1284" s="7" t="n">
        <f aca="false">YEAR(E1284)*100+MONTH(E1284)</f>
        <v>201109</v>
      </c>
      <c r="L1284" s="7" t="n">
        <f aca="false">IF(AND(A1284&lt;&gt;A1283,LEFT(A1284,1)&lt;&gt;"C"),1,0)</f>
        <v>0</v>
      </c>
    </row>
    <row r="1285" customFormat="false" ht="15" hidden="false" customHeight="false" outlineLevel="0" collapsed="false">
      <c r="A1285" s="0" t="s">
        <v>1298</v>
      </c>
      <c r="B1285" s="0" t="s">
        <v>689</v>
      </c>
      <c r="C1285" s="0" t="s">
        <v>690</v>
      </c>
      <c r="D1285" s="0" t="n">
        <v>40</v>
      </c>
      <c r="E1285" s="6" t="n">
        <v>40808.4527777778</v>
      </c>
      <c r="F1285" s="0" t="n">
        <v>1.25</v>
      </c>
      <c r="G1285" s="0" t="n">
        <v>12678</v>
      </c>
      <c r="H1285" s="0" t="s">
        <v>43</v>
      </c>
      <c r="I1285" s="7" t="n">
        <f aca="false">IF(AND(LEFT(A1285,1)&lt;&gt;"C",D1285&gt;0,F1285&gt;0),1,0)</f>
        <v>1</v>
      </c>
      <c r="J1285" s="7" t="n">
        <f aca="false">IF(I1285=1,D1285*F1285,0)</f>
        <v>50</v>
      </c>
      <c r="K1285" s="7" t="n">
        <f aca="false">YEAR(E1285)*100+MONTH(E1285)</f>
        <v>201109</v>
      </c>
      <c r="L1285" s="7" t="n">
        <f aca="false">IF(AND(A1285&lt;&gt;A1284,LEFT(A1285,1)&lt;&gt;"C"),1,0)</f>
        <v>0</v>
      </c>
    </row>
    <row r="1286" customFormat="false" ht="15" hidden="false" customHeight="false" outlineLevel="0" collapsed="false">
      <c r="A1286" s="0" t="s">
        <v>1298</v>
      </c>
      <c r="B1286" s="0" t="s">
        <v>275</v>
      </c>
      <c r="C1286" s="0" t="s">
        <v>276</v>
      </c>
      <c r="D1286" s="0" t="n">
        <v>120</v>
      </c>
      <c r="E1286" s="6" t="n">
        <v>40808.4527777778</v>
      </c>
      <c r="F1286" s="0" t="n">
        <v>0.42</v>
      </c>
      <c r="G1286" s="0" t="n">
        <v>12678</v>
      </c>
      <c r="H1286" s="0" t="s">
        <v>43</v>
      </c>
      <c r="I1286" s="7" t="n">
        <f aca="false">IF(AND(LEFT(A1286,1)&lt;&gt;"C",D1286&gt;0,F1286&gt;0),1,0)</f>
        <v>1</v>
      </c>
      <c r="J1286" s="7" t="n">
        <f aca="false">IF(I1286=1,D1286*F1286,0)</f>
        <v>50.4</v>
      </c>
      <c r="K1286" s="7" t="n">
        <f aca="false">YEAR(E1286)*100+MONTH(E1286)</f>
        <v>201109</v>
      </c>
      <c r="L1286" s="7" t="n">
        <f aca="false">IF(AND(A1286&lt;&gt;A1285,LEFT(A1286,1)&lt;&gt;"C"),1,0)</f>
        <v>0</v>
      </c>
    </row>
    <row r="1287" customFormat="false" ht="15" hidden="false" customHeight="false" outlineLevel="0" collapsed="false">
      <c r="A1287" s="0" t="s">
        <v>1298</v>
      </c>
      <c r="B1287" s="0" t="s">
        <v>966</v>
      </c>
      <c r="C1287" s="0" t="s">
        <v>967</v>
      </c>
      <c r="D1287" s="0" t="n">
        <v>48</v>
      </c>
      <c r="E1287" s="6" t="n">
        <v>40808.4527777778</v>
      </c>
      <c r="F1287" s="0" t="n">
        <v>0.55</v>
      </c>
      <c r="G1287" s="0" t="n">
        <v>12678</v>
      </c>
      <c r="H1287" s="0" t="s">
        <v>43</v>
      </c>
      <c r="I1287" s="7" t="n">
        <f aca="false">IF(AND(LEFT(A1287,1)&lt;&gt;"C",D1287&gt;0,F1287&gt;0),1,0)</f>
        <v>1</v>
      </c>
      <c r="J1287" s="7" t="n">
        <f aca="false">IF(I1287=1,D1287*F1287,0)</f>
        <v>26.4</v>
      </c>
      <c r="K1287" s="7" t="n">
        <f aca="false">YEAR(E1287)*100+MONTH(E1287)</f>
        <v>201109</v>
      </c>
      <c r="L1287" s="7" t="n">
        <f aca="false">IF(AND(A1287&lt;&gt;A1286,LEFT(A1287,1)&lt;&gt;"C"),1,0)</f>
        <v>0</v>
      </c>
    </row>
    <row r="1288" customFormat="false" ht="15" hidden="false" customHeight="false" outlineLevel="0" collapsed="false">
      <c r="A1288" s="0" t="s">
        <v>1298</v>
      </c>
      <c r="B1288" s="0" t="s">
        <v>217</v>
      </c>
      <c r="C1288" s="0" t="s">
        <v>218</v>
      </c>
      <c r="D1288" s="0" t="n">
        <v>48</v>
      </c>
      <c r="E1288" s="6" t="n">
        <v>40808.4527777778</v>
      </c>
      <c r="F1288" s="0" t="n">
        <v>0.55</v>
      </c>
      <c r="G1288" s="0" t="n">
        <v>12678</v>
      </c>
      <c r="H1288" s="0" t="s">
        <v>43</v>
      </c>
      <c r="I1288" s="7" t="n">
        <f aca="false">IF(AND(LEFT(A1288,1)&lt;&gt;"C",D1288&gt;0,F1288&gt;0),1,0)</f>
        <v>1</v>
      </c>
      <c r="J1288" s="7" t="n">
        <f aca="false">IF(I1288=1,D1288*F1288,0)</f>
        <v>26.4</v>
      </c>
      <c r="K1288" s="7" t="n">
        <f aca="false">YEAR(E1288)*100+MONTH(E1288)</f>
        <v>201109</v>
      </c>
      <c r="L1288" s="7" t="n">
        <f aca="false">IF(AND(A1288&lt;&gt;A1287,LEFT(A1288,1)&lt;&gt;"C"),1,0)</f>
        <v>0</v>
      </c>
    </row>
    <row r="1289" customFormat="false" ht="15" hidden="false" customHeight="false" outlineLevel="0" collapsed="false">
      <c r="A1289" s="0" t="s">
        <v>1298</v>
      </c>
      <c r="B1289" s="0" t="s">
        <v>84</v>
      </c>
      <c r="C1289" s="0" t="s">
        <v>85</v>
      </c>
      <c r="D1289" s="0" t="n">
        <v>3</v>
      </c>
      <c r="E1289" s="6" t="n">
        <v>40808.4527777778</v>
      </c>
      <c r="F1289" s="0" t="n">
        <v>18</v>
      </c>
      <c r="G1289" s="0" t="n">
        <v>12678</v>
      </c>
      <c r="H1289" s="0" t="s">
        <v>43</v>
      </c>
      <c r="I1289" s="7" t="n">
        <f aca="false">IF(AND(LEFT(A1289,1)&lt;&gt;"C",D1289&gt;0,F1289&gt;0),1,0)</f>
        <v>1</v>
      </c>
      <c r="J1289" s="7" t="n">
        <f aca="false">IF(I1289=1,D1289*F1289,0)</f>
        <v>54</v>
      </c>
      <c r="K1289" s="7" t="n">
        <f aca="false">YEAR(E1289)*100+MONTH(E1289)</f>
        <v>201109</v>
      </c>
      <c r="L1289" s="7" t="n">
        <f aca="false">IF(AND(A1289&lt;&gt;A1288,LEFT(A1289,1)&lt;&gt;"C"),1,0)</f>
        <v>0</v>
      </c>
    </row>
    <row r="1290" customFormat="false" ht="15" hidden="false" customHeight="false" outlineLevel="0" collapsed="false">
      <c r="A1290" s="0" t="s">
        <v>1299</v>
      </c>
      <c r="B1290" s="0" t="s">
        <v>903</v>
      </c>
      <c r="C1290" s="0" t="s">
        <v>904</v>
      </c>
      <c r="D1290" s="0" t="n">
        <v>2</v>
      </c>
      <c r="E1290" s="6" t="n">
        <v>40808.4861111111</v>
      </c>
      <c r="F1290" s="0" t="n">
        <v>9.95</v>
      </c>
      <c r="G1290" s="0" t="n">
        <v>12657</v>
      </c>
      <c r="H1290" s="0" t="s">
        <v>43</v>
      </c>
      <c r="I1290" s="7" t="n">
        <f aca="false">IF(AND(LEFT(A1290,1)&lt;&gt;"C",D1290&gt;0,F1290&gt;0),1,0)</f>
        <v>1</v>
      </c>
      <c r="J1290" s="7" t="n">
        <f aca="false">IF(I1290=1,D1290*F1290,0)</f>
        <v>19.9</v>
      </c>
      <c r="K1290" s="7" t="n">
        <f aca="false">YEAR(E1290)*100+MONTH(E1290)</f>
        <v>201109</v>
      </c>
      <c r="L1290" s="7" t="n">
        <f aca="false">IF(AND(A1290&lt;&gt;A1289,LEFT(A1290,1)&lt;&gt;"C"),1,0)</f>
        <v>1</v>
      </c>
    </row>
    <row r="1291" customFormat="false" ht="15" hidden="false" customHeight="false" outlineLevel="0" collapsed="false">
      <c r="A1291" s="0" t="s">
        <v>1299</v>
      </c>
      <c r="B1291" s="0" t="s">
        <v>627</v>
      </c>
      <c r="C1291" s="0" t="s">
        <v>628</v>
      </c>
      <c r="D1291" s="0" t="n">
        <v>10</v>
      </c>
      <c r="E1291" s="6" t="n">
        <v>40808.4861111111</v>
      </c>
      <c r="F1291" s="0" t="n">
        <v>0.85</v>
      </c>
      <c r="G1291" s="0" t="n">
        <v>12657</v>
      </c>
      <c r="H1291" s="0" t="s">
        <v>43</v>
      </c>
      <c r="I1291" s="7" t="n">
        <f aca="false">IF(AND(LEFT(A1291,1)&lt;&gt;"C",D1291&gt;0,F1291&gt;0),1,0)</f>
        <v>1</v>
      </c>
      <c r="J1291" s="7" t="n">
        <f aca="false">IF(I1291=1,D1291*F1291,0)</f>
        <v>8.5</v>
      </c>
      <c r="K1291" s="7" t="n">
        <f aca="false">YEAR(E1291)*100+MONTH(E1291)</f>
        <v>201109</v>
      </c>
      <c r="L1291" s="7" t="n">
        <f aca="false">IF(AND(A1291&lt;&gt;A1290,LEFT(A1291,1)&lt;&gt;"C"),1,0)</f>
        <v>0</v>
      </c>
    </row>
    <row r="1292" customFormat="false" ht="15" hidden="false" customHeight="false" outlineLevel="0" collapsed="false">
      <c r="A1292" s="0" t="s">
        <v>1299</v>
      </c>
      <c r="B1292" s="0" t="s">
        <v>452</v>
      </c>
      <c r="C1292" s="0" t="s">
        <v>453</v>
      </c>
      <c r="D1292" s="0" t="n">
        <v>2</v>
      </c>
      <c r="E1292" s="6" t="n">
        <v>40808.4861111111</v>
      </c>
      <c r="F1292" s="0" t="n">
        <v>8.5</v>
      </c>
      <c r="G1292" s="0" t="n">
        <v>12657</v>
      </c>
      <c r="H1292" s="0" t="s">
        <v>43</v>
      </c>
      <c r="I1292" s="7" t="n">
        <f aca="false">IF(AND(LEFT(A1292,1)&lt;&gt;"C",D1292&gt;0,F1292&gt;0),1,0)</f>
        <v>1</v>
      </c>
      <c r="J1292" s="7" t="n">
        <f aca="false">IF(I1292=1,D1292*F1292,0)</f>
        <v>17</v>
      </c>
      <c r="K1292" s="7" t="n">
        <f aca="false">YEAR(E1292)*100+MONTH(E1292)</f>
        <v>201109</v>
      </c>
      <c r="L1292" s="7" t="n">
        <f aca="false">IF(AND(A1292&lt;&gt;A1291,LEFT(A1292,1)&lt;&gt;"C"),1,0)</f>
        <v>0</v>
      </c>
    </row>
    <row r="1293" customFormat="false" ht="15" hidden="false" customHeight="false" outlineLevel="0" collapsed="false">
      <c r="A1293" s="0" t="s">
        <v>1299</v>
      </c>
      <c r="B1293" s="0" t="s">
        <v>326</v>
      </c>
      <c r="C1293" s="0" t="s">
        <v>327</v>
      </c>
      <c r="D1293" s="0" t="n">
        <v>2</v>
      </c>
      <c r="E1293" s="6" t="n">
        <v>40808.4861111111</v>
      </c>
      <c r="F1293" s="0" t="n">
        <v>8.5</v>
      </c>
      <c r="G1293" s="0" t="n">
        <v>12657</v>
      </c>
      <c r="H1293" s="0" t="s">
        <v>43</v>
      </c>
      <c r="I1293" s="7" t="n">
        <f aca="false">IF(AND(LEFT(A1293,1)&lt;&gt;"C",D1293&gt;0,F1293&gt;0),1,0)</f>
        <v>1</v>
      </c>
      <c r="J1293" s="7" t="n">
        <f aca="false">IF(I1293=1,D1293*F1293,0)</f>
        <v>17</v>
      </c>
      <c r="K1293" s="7" t="n">
        <f aca="false">YEAR(E1293)*100+MONTH(E1293)</f>
        <v>201109</v>
      </c>
      <c r="L1293" s="7" t="n">
        <f aca="false">IF(AND(A1293&lt;&gt;A1292,LEFT(A1293,1)&lt;&gt;"C"),1,0)</f>
        <v>0</v>
      </c>
    </row>
    <row r="1294" customFormat="false" ht="15" hidden="false" customHeight="false" outlineLevel="0" collapsed="false">
      <c r="A1294" s="0" t="s">
        <v>1299</v>
      </c>
      <c r="B1294" s="0" t="s">
        <v>217</v>
      </c>
      <c r="C1294" s="0" t="s">
        <v>218</v>
      </c>
      <c r="D1294" s="0" t="n">
        <v>24</v>
      </c>
      <c r="E1294" s="6" t="n">
        <v>40808.4861111111</v>
      </c>
      <c r="F1294" s="0" t="n">
        <v>0.55</v>
      </c>
      <c r="G1294" s="0" t="n">
        <v>12657</v>
      </c>
      <c r="H1294" s="0" t="s">
        <v>43</v>
      </c>
      <c r="I1294" s="7" t="n">
        <f aca="false">IF(AND(LEFT(A1294,1)&lt;&gt;"C",D1294&gt;0,F1294&gt;0),1,0)</f>
        <v>1</v>
      </c>
      <c r="J1294" s="7" t="n">
        <f aca="false">IF(I1294=1,D1294*F1294,0)</f>
        <v>13.2</v>
      </c>
      <c r="K1294" s="7" t="n">
        <f aca="false">YEAR(E1294)*100+MONTH(E1294)</f>
        <v>201109</v>
      </c>
      <c r="L1294" s="7" t="n">
        <f aca="false">IF(AND(A1294&lt;&gt;A1293,LEFT(A1294,1)&lt;&gt;"C"),1,0)</f>
        <v>0</v>
      </c>
    </row>
    <row r="1295" customFormat="false" ht="15" hidden="false" customHeight="false" outlineLevel="0" collapsed="false">
      <c r="A1295" s="0" t="s">
        <v>1299</v>
      </c>
      <c r="B1295" s="0" t="s">
        <v>1300</v>
      </c>
      <c r="C1295" s="0" t="s">
        <v>1301</v>
      </c>
      <c r="D1295" s="0" t="n">
        <v>24</v>
      </c>
      <c r="E1295" s="6" t="n">
        <v>40808.4861111111</v>
      </c>
      <c r="F1295" s="0" t="n">
        <v>0.55</v>
      </c>
      <c r="G1295" s="0" t="n">
        <v>12657</v>
      </c>
      <c r="H1295" s="0" t="s">
        <v>43</v>
      </c>
      <c r="I1295" s="7" t="n">
        <f aca="false">IF(AND(LEFT(A1295,1)&lt;&gt;"C",D1295&gt;0,F1295&gt;0),1,0)</f>
        <v>1</v>
      </c>
      <c r="J1295" s="7" t="n">
        <f aca="false">IF(I1295=1,D1295*F1295,0)</f>
        <v>13.2</v>
      </c>
      <c r="K1295" s="7" t="n">
        <f aca="false">YEAR(E1295)*100+MONTH(E1295)</f>
        <v>201109</v>
      </c>
      <c r="L1295" s="7" t="n">
        <f aca="false">IF(AND(A1295&lt;&gt;A1294,LEFT(A1295,1)&lt;&gt;"C"),1,0)</f>
        <v>0</v>
      </c>
    </row>
    <row r="1296" customFormat="false" ht="15" hidden="false" customHeight="false" outlineLevel="0" collapsed="false">
      <c r="A1296" s="0" t="s">
        <v>1299</v>
      </c>
      <c r="B1296" s="0" t="s">
        <v>827</v>
      </c>
      <c r="C1296" s="0" t="s">
        <v>828</v>
      </c>
      <c r="D1296" s="0" t="n">
        <v>6</v>
      </c>
      <c r="E1296" s="6" t="n">
        <v>40808.4861111111</v>
      </c>
      <c r="F1296" s="0" t="n">
        <v>2.95</v>
      </c>
      <c r="G1296" s="0" t="n">
        <v>12657</v>
      </c>
      <c r="H1296" s="0" t="s">
        <v>43</v>
      </c>
      <c r="I1296" s="7" t="n">
        <f aca="false">IF(AND(LEFT(A1296,1)&lt;&gt;"C",D1296&gt;0,F1296&gt;0),1,0)</f>
        <v>1</v>
      </c>
      <c r="J1296" s="7" t="n">
        <f aca="false">IF(I1296=1,D1296*F1296,0)</f>
        <v>17.7</v>
      </c>
      <c r="K1296" s="7" t="n">
        <f aca="false">YEAR(E1296)*100+MONTH(E1296)</f>
        <v>201109</v>
      </c>
      <c r="L1296" s="7" t="n">
        <f aca="false">IF(AND(A1296&lt;&gt;A1295,LEFT(A1296,1)&lt;&gt;"C"),1,0)</f>
        <v>0</v>
      </c>
    </row>
    <row r="1297" customFormat="false" ht="15" hidden="false" customHeight="false" outlineLevel="0" collapsed="false">
      <c r="A1297" s="0" t="s">
        <v>1299</v>
      </c>
      <c r="B1297" s="0" t="s">
        <v>148</v>
      </c>
      <c r="C1297" s="0" t="s">
        <v>149</v>
      </c>
      <c r="D1297" s="0" t="n">
        <v>2</v>
      </c>
      <c r="E1297" s="6" t="n">
        <v>40808.4861111111</v>
      </c>
      <c r="F1297" s="0" t="n">
        <v>12.75</v>
      </c>
      <c r="G1297" s="0" t="n">
        <v>12657</v>
      </c>
      <c r="H1297" s="0" t="s">
        <v>43</v>
      </c>
      <c r="I1297" s="7" t="n">
        <f aca="false">IF(AND(LEFT(A1297,1)&lt;&gt;"C",D1297&gt;0,F1297&gt;0),1,0)</f>
        <v>1</v>
      </c>
      <c r="J1297" s="7" t="n">
        <f aca="false">IF(I1297=1,D1297*F1297,0)</f>
        <v>25.5</v>
      </c>
      <c r="K1297" s="7" t="n">
        <f aca="false">YEAR(E1297)*100+MONTH(E1297)</f>
        <v>201109</v>
      </c>
      <c r="L1297" s="7" t="n">
        <f aca="false">IF(AND(A1297&lt;&gt;A1296,LEFT(A1297,1)&lt;&gt;"C"),1,0)</f>
        <v>0</v>
      </c>
    </row>
    <row r="1298" customFormat="false" ht="15" hidden="false" customHeight="false" outlineLevel="0" collapsed="false">
      <c r="A1298" s="0" t="s">
        <v>1299</v>
      </c>
      <c r="B1298" s="0" t="s">
        <v>1110</v>
      </c>
      <c r="C1298" s="0" t="s">
        <v>1111</v>
      </c>
      <c r="D1298" s="0" t="n">
        <v>4</v>
      </c>
      <c r="E1298" s="6" t="n">
        <v>40808.4861111111</v>
      </c>
      <c r="F1298" s="0" t="n">
        <v>4.15</v>
      </c>
      <c r="G1298" s="0" t="n">
        <v>12657</v>
      </c>
      <c r="H1298" s="0" t="s">
        <v>43</v>
      </c>
      <c r="I1298" s="7" t="n">
        <f aca="false">IF(AND(LEFT(A1298,1)&lt;&gt;"C",D1298&gt;0,F1298&gt;0),1,0)</f>
        <v>1</v>
      </c>
      <c r="J1298" s="7" t="n">
        <f aca="false">IF(I1298=1,D1298*F1298,0)</f>
        <v>16.6</v>
      </c>
      <c r="K1298" s="7" t="n">
        <f aca="false">YEAR(E1298)*100+MONTH(E1298)</f>
        <v>201109</v>
      </c>
      <c r="L1298" s="7" t="n">
        <f aca="false">IF(AND(A1298&lt;&gt;A1297,LEFT(A1298,1)&lt;&gt;"C"),1,0)</f>
        <v>0</v>
      </c>
    </row>
    <row r="1299" customFormat="false" ht="15" hidden="false" customHeight="false" outlineLevel="0" collapsed="false">
      <c r="A1299" s="0" t="s">
        <v>1299</v>
      </c>
      <c r="B1299" s="0" t="s">
        <v>1061</v>
      </c>
      <c r="C1299" s="0" t="s">
        <v>1062</v>
      </c>
      <c r="D1299" s="0" t="n">
        <v>4</v>
      </c>
      <c r="E1299" s="6" t="n">
        <v>40808.4861111111</v>
      </c>
      <c r="F1299" s="0" t="n">
        <v>3.25</v>
      </c>
      <c r="G1299" s="0" t="n">
        <v>12657</v>
      </c>
      <c r="H1299" s="0" t="s">
        <v>43</v>
      </c>
      <c r="I1299" s="7" t="n">
        <f aca="false">IF(AND(LEFT(A1299,1)&lt;&gt;"C",D1299&gt;0,F1299&gt;0),1,0)</f>
        <v>1</v>
      </c>
      <c r="J1299" s="7" t="n">
        <f aca="false">IF(I1299=1,D1299*F1299,0)</f>
        <v>13</v>
      </c>
      <c r="K1299" s="7" t="n">
        <f aca="false">YEAR(E1299)*100+MONTH(E1299)</f>
        <v>201109</v>
      </c>
      <c r="L1299" s="7" t="n">
        <f aca="false">IF(AND(A1299&lt;&gt;A1298,LEFT(A1299,1)&lt;&gt;"C"),1,0)</f>
        <v>0</v>
      </c>
    </row>
    <row r="1300" customFormat="false" ht="15" hidden="false" customHeight="false" outlineLevel="0" collapsed="false">
      <c r="A1300" s="0" t="s">
        <v>1299</v>
      </c>
      <c r="B1300" s="0" t="s">
        <v>1302</v>
      </c>
      <c r="C1300" s="0" t="s">
        <v>1303</v>
      </c>
      <c r="D1300" s="0" t="n">
        <v>8</v>
      </c>
      <c r="E1300" s="6" t="n">
        <v>40808.4861111111</v>
      </c>
      <c r="F1300" s="0" t="n">
        <v>2.49</v>
      </c>
      <c r="G1300" s="0" t="n">
        <v>12657</v>
      </c>
      <c r="H1300" s="0" t="s">
        <v>43</v>
      </c>
      <c r="I1300" s="7" t="n">
        <f aca="false">IF(AND(LEFT(A1300,1)&lt;&gt;"C",D1300&gt;0,F1300&gt;0),1,0)</f>
        <v>1</v>
      </c>
      <c r="J1300" s="7" t="n">
        <f aca="false">IF(I1300=1,D1300*F1300,0)</f>
        <v>19.92</v>
      </c>
      <c r="K1300" s="7" t="n">
        <f aca="false">YEAR(E1300)*100+MONTH(E1300)</f>
        <v>201109</v>
      </c>
      <c r="L1300" s="7" t="n">
        <f aca="false">IF(AND(A1300&lt;&gt;A1299,LEFT(A1300,1)&lt;&gt;"C"),1,0)</f>
        <v>0</v>
      </c>
    </row>
    <row r="1301" customFormat="false" ht="15" hidden="false" customHeight="false" outlineLevel="0" collapsed="false">
      <c r="A1301" s="0" t="s">
        <v>1299</v>
      </c>
      <c r="B1301" s="0" t="s">
        <v>1015</v>
      </c>
      <c r="C1301" s="0" t="s">
        <v>1016</v>
      </c>
      <c r="D1301" s="0" t="n">
        <v>12</v>
      </c>
      <c r="E1301" s="6" t="n">
        <v>40808.4861111111</v>
      </c>
      <c r="F1301" s="0" t="n">
        <v>1.65</v>
      </c>
      <c r="G1301" s="0" t="n">
        <v>12657</v>
      </c>
      <c r="H1301" s="0" t="s">
        <v>43</v>
      </c>
      <c r="I1301" s="7" t="n">
        <f aca="false">IF(AND(LEFT(A1301,1)&lt;&gt;"C",D1301&gt;0,F1301&gt;0),1,0)</f>
        <v>1</v>
      </c>
      <c r="J1301" s="7" t="n">
        <f aca="false">IF(I1301=1,D1301*F1301,0)</f>
        <v>19.8</v>
      </c>
      <c r="K1301" s="7" t="n">
        <f aca="false">YEAR(E1301)*100+MONTH(E1301)</f>
        <v>201109</v>
      </c>
      <c r="L1301" s="7" t="n">
        <f aca="false">IF(AND(A1301&lt;&gt;A1300,LEFT(A1301,1)&lt;&gt;"C"),1,0)</f>
        <v>0</v>
      </c>
    </row>
    <row r="1302" customFormat="false" ht="15" hidden="false" customHeight="false" outlineLevel="0" collapsed="false">
      <c r="A1302" s="0" t="s">
        <v>1299</v>
      </c>
      <c r="B1302" s="0" t="s">
        <v>1225</v>
      </c>
      <c r="C1302" s="0" t="s">
        <v>1226</v>
      </c>
      <c r="D1302" s="0" t="n">
        <v>6</v>
      </c>
      <c r="E1302" s="6" t="n">
        <v>40808.4861111111</v>
      </c>
      <c r="F1302" s="0" t="n">
        <v>4.15</v>
      </c>
      <c r="G1302" s="0" t="n">
        <v>12657</v>
      </c>
      <c r="H1302" s="0" t="s">
        <v>43</v>
      </c>
      <c r="I1302" s="7" t="n">
        <f aca="false">IF(AND(LEFT(A1302,1)&lt;&gt;"C",D1302&gt;0,F1302&gt;0),1,0)</f>
        <v>1</v>
      </c>
      <c r="J1302" s="7" t="n">
        <f aca="false">IF(I1302=1,D1302*F1302,0)</f>
        <v>24.9</v>
      </c>
      <c r="K1302" s="7" t="n">
        <f aca="false">YEAR(E1302)*100+MONTH(E1302)</f>
        <v>201109</v>
      </c>
      <c r="L1302" s="7" t="n">
        <f aca="false">IF(AND(A1302&lt;&gt;A1301,LEFT(A1302,1)&lt;&gt;"C"),1,0)</f>
        <v>0</v>
      </c>
    </row>
    <row r="1303" customFormat="false" ht="15" hidden="false" customHeight="false" outlineLevel="0" collapsed="false">
      <c r="A1303" s="0" t="s">
        <v>1299</v>
      </c>
      <c r="B1303" s="0" t="s">
        <v>567</v>
      </c>
      <c r="C1303" s="0" t="s">
        <v>568</v>
      </c>
      <c r="D1303" s="0" t="n">
        <v>10</v>
      </c>
      <c r="E1303" s="6" t="n">
        <v>40808.4861111111</v>
      </c>
      <c r="F1303" s="0" t="n">
        <v>1.65</v>
      </c>
      <c r="G1303" s="0" t="n">
        <v>12657</v>
      </c>
      <c r="H1303" s="0" t="s">
        <v>43</v>
      </c>
      <c r="I1303" s="7" t="n">
        <f aca="false">IF(AND(LEFT(A1303,1)&lt;&gt;"C",D1303&gt;0,F1303&gt;0),1,0)</f>
        <v>1</v>
      </c>
      <c r="J1303" s="7" t="n">
        <f aca="false">IF(I1303=1,D1303*F1303,0)</f>
        <v>16.5</v>
      </c>
      <c r="K1303" s="7" t="n">
        <f aca="false">YEAR(E1303)*100+MONTH(E1303)</f>
        <v>201109</v>
      </c>
      <c r="L1303" s="7" t="n">
        <f aca="false">IF(AND(A1303&lt;&gt;A1302,LEFT(A1303,1)&lt;&gt;"C"),1,0)</f>
        <v>0</v>
      </c>
    </row>
    <row r="1304" customFormat="false" ht="15" hidden="false" customHeight="false" outlineLevel="0" collapsed="false">
      <c r="A1304" s="0" t="s">
        <v>1299</v>
      </c>
      <c r="B1304" s="0" t="s">
        <v>1304</v>
      </c>
      <c r="C1304" s="0" t="s">
        <v>1305</v>
      </c>
      <c r="D1304" s="0" t="n">
        <v>25</v>
      </c>
      <c r="E1304" s="6" t="n">
        <v>40808.4861111111</v>
      </c>
      <c r="F1304" s="0" t="n">
        <v>0.42</v>
      </c>
      <c r="G1304" s="0" t="n">
        <v>12657</v>
      </c>
      <c r="H1304" s="0" t="s">
        <v>43</v>
      </c>
      <c r="I1304" s="7" t="n">
        <f aca="false">IF(AND(LEFT(A1304,1)&lt;&gt;"C",D1304&gt;0,F1304&gt;0),1,0)</f>
        <v>1</v>
      </c>
      <c r="J1304" s="7" t="n">
        <f aca="false">IF(I1304=1,D1304*F1304,0)</f>
        <v>10.5</v>
      </c>
      <c r="K1304" s="7" t="n">
        <f aca="false">YEAR(E1304)*100+MONTH(E1304)</f>
        <v>201109</v>
      </c>
      <c r="L1304" s="7" t="n">
        <f aca="false">IF(AND(A1304&lt;&gt;A1303,LEFT(A1304,1)&lt;&gt;"C"),1,0)</f>
        <v>0</v>
      </c>
    </row>
    <row r="1305" customFormat="false" ht="15" hidden="false" customHeight="false" outlineLevel="0" collapsed="false">
      <c r="A1305" s="0" t="s">
        <v>1299</v>
      </c>
      <c r="B1305" s="0" t="s">
        <v>1017</v>
      </c>
      <c r="C1305" s="0" t="s">
        <v>1018</v>
      </c>
      <c r="D1305" s="0" t="n">
        <v>36</v>
      </c>
      <c r="E1305" s="6" t="n">
        <v>40808.4861111111</v>
      </c>
      <c r="F1305" s="0" t="n">
        <v>2.1</v>
      </c>
      <c r="G1305" s="0" t="n">
        <v>12657</v>
      </c>
      <c r="H1305" s="0" t="s">
        <v>43</v>
      </c>
      <c r="I1305" s="7" t="n">
        <f aca="false">IF(AND(LEFT(A1305,1)&lt;&gt;"C",D1305&gt;0,F1305&gt;0),1,0)</f>
        <v>1</v>
      </c>
      <c r="J1305" s="7" t="n">
        <f aca="false">IF(I1305=1,D1305*F1305,0)</f>
        <v>75.6</v>
      </c>
      <c r="K1305" s="7" t="n">
        <f aca="false">YEAR(E1305)*100+MONTH(E1305)</f>
        <v>201109</v>
      </c>
      <c r="L1305" s="7" t="n">
        <f aca="false">IF(AND(A1305&lt;&gt;A1304,LEFT(A1305,1)&lt;&gt;"C"),1,0)</f>
        <v>0</v>
      </c>
    </row>
    <row r="1306" customFormat="false" ht="15" hidden="false" customHeight="false" outlineLevel="0" collapsed="false">
      <c r="A1306" s="0" t="s">
        <v>1299</v>
      </c>
      <c r="B1306" s="0" t="s">
        <v>1306</v>
      </c>
      <c r="C1306" s="0" t="s">
        <v>1307</v>
      </c>
      <c r="D1306" s="0" t="n">
        <v>12</v>
      </c>
      <c r="E1306" s="6" t="n">
        <v>40808.4861111111</v>
      </c>
      <c r="F1306" s="0" t="n">
        <v>1.25</v>
      </c>
      <c r="G1306" s="0" t="n">
        <v>12657</v>
      </c>
      <c r="H1306" s="0" t="s">
        <v>43</v>
      </c>
      <c r="I1306" s="7" t="n">
        <f aca="false">IF(AND(LEFT(A1306,1)&lt;&gt;"C",D1306&gt;0,F1306&gt;0),1,0)</f>
        <v>1</v>
      </c>
      <c r="J1306" s="7" t="n">
        <f aca="false">IF(I1306=1,D1306*F1306,0)</f>
        <v>15</v>
      </c>
      <c r="K1306" s="7" t="n">
        <f aca="false">YEAR(E1306)*100+MONTH(E1306)</f>
        <v>201109</v>
      </c>
      <c r="L1306" s="7" t="n">
        <f aca="false">IF(AND(A1306&lt;&gt;A1305,LEFT(A1306,1)&lt;&gt;"C"),1,0)</f>
        <v>0</v>
      </c>
    </row>
    <row r="1307" customFormat="false" ht="15" hidden="false" customHeight="false" outlineLevel="0" collapsed="false">
      <c r="A1307" s="0" t="s">
        <v>1299</v>
      </c>
      <c r="B1307" s="0" t="s">
        <v>1290</v>
      </c>
      <c r="C1307" s="0" t="s">
        <v>1291</v>
      </c>
      <c r="D1307" s="0" t="n">
        <v>6</v>
      </c>
      <c r="E1307" s="6" t="n">
        <v>40808.4861111111</v>
      </c>
      <c r="F1307" s="0" t="n">
        <v>3.25</v>
      </c>
      <c r="G1307" s="0" t="n">
        <v>12657</v>
      </c>
      <c r="H1307" s="0" t="s">
        <v>43</v>
      </c>
      <c r="I1307" s="7" t="n">
        <f aca="false">IF(AND(LEFT(A1307,1)&lt;&gt;"C",D1307&gt;0,F1307&gt;0),1,0)</f>
        <v>1</v>
      </c>
      <c r="J1307" s="7" t="n">
        <f aca="false">IF(I1307=1,D1307*F1307,0)</f>
        <v>19.5</v>
      </c>
      <c r="K1307" s="7" t="n">
        <f aca="false">YEAR(E1307)*100+MONTH(E1307)</f>
        <v>201109</v>
      </c>
      <c r="L1307" s="7" t="n">
        <f aca="false">IF(AND(A1307&lt;&gt;A1306,LEFT(A1307,1)&lt;&gt;"C"),1,0)</f>
        <v>0</v>
      </c>
    </row>
    <row r="1308" customFormat="false" ht="15" hidden="false" customHeight="false" outlineLevel="0" collapsed="false">
      <c r="A1308" s="0" t="s">
        <v>1299</v>
      </c>
      <c r="B1308" s="0" t="s">
        <v>445</v>
      </c>
      <c r="C1308" s="0" t="s">
        <v>446</v>
      </c>
      <c r="D1308" s="0" t="n">
        <v>2</v>
      </c>
      <c r="E1308" s="6" t="n">
        <v>40808.4861111111</v>
      </c>
      <c r="F1308" s="0" t="n">
        <v>7.95</v>
      </c>
      <c r="G1308" s="0" t="n">
        <v>12657</v>
      </c>
      <c r="H1308" s="0" t="s">
        <v>43</v>
      </c>
      <c r="I1308" s="7" t="n">
        <f aca="false">IF(AND(LEFT(A1308,1)&lt;&gt;"C",D1308&gt;0,F1308&gt;0),1,0)</f>
        <v>1</v>
      </c>
      <c r="J1308" s="7" t="n">
        <f aca="false">IF(I1308=1,D1308*F1308,0)</f>
        <v>15.9</v>
      </c>
      <c r="K1308" s="7" t="n">
        <f aca="false">YEAR(E1308)*100+MONTH(E1308)</f>
        <v>201109</v>
      </c>
      <c r="L1308" s="7" t="n">
        <f aca="false">IF(AND(A1308&lt;&gt;A1307,LEFT(A1308,1)&lt;&gt;"C"),1,0)</f>
        <v>0</v>
      </c>
    </row>
    <row r="1309" customFormat="false" ht="15" hidden="false" customHeight="false" outlineLevel="0" collapsed="false">
      <c r="A1309" s="0" t="s">
        <v>1299</v>
      </c>
      <c r="B1309" s="0" t="s">
        <v>1308</v>
      </c>
      <c r="C1309" s="0" t="s">
        <v>1309</v>
      </c>
      <c r="D1309" s="0" t="n">
        <v>2</v>
      </c>
      <c r="E1309" s="6" t="n">
        <v>40808.4861111111</v>
      </c>
      <c r="F1309" s="0" t="n">
        <v>12.75</v>
      </c>
      <c r="G1309" s="0" t="n">
        <v>12657</v>
      </c>
      <c r="H1309" s="0" t="s">
        <v>43</v>
      </c>
      <c r="I1309" s="7" t="n">
        <f aca="false">IF(AND(LEFT(A1309,1)&lt;&gt;"C",D1309&gt;0,F1309&gt;0),1,0)</f>
        <v>1</v>
      </c>
      <c r="J1309" s="7" t="n">
        <f aca="false">IF(I1309=1,D1309*F1309,0)</f>
        <v>25.5</v>
      </c>
      <c r="K1309" s="7" t="n">
        <f aca="false">YEAR(E1309)*100+MONTH(E1309)</f>
        <v>201109</v>
      </c>
      <c r="L1309" s="7" t="n">
        <f aca="false">IF(AND(A1309&lt;&gt;A1308,LEFT(A1309,1)&lt;&gt;"C"),1,0)</f>
        <v>0</v>
      </c>
    </row>
    <row r="1310" customFormat="false" ht="15" hidden="false" customHeight="false" outlineLevel="0" collapsed="false">
      <c r="A1310" s="0" t="s">
        <v>1299</v>
      </c>
      <c r="B1310" s="0" t="s">
        <v>1310</v>
      </c>
      <c r="C1310" s="0" t="s">
        <v>1311</v>
      </c>
      <c r="D1310" s="0" t="n">
        <v>3</v>
      </c>
      <c r="E1310" s="6" t="n">
        <v>40808.4861111111</v>
      </c>
      <c r="F1310" s="0" t="n">
        <v>4.95</v>
      </c>
      <c r="G1310" s="0" t="n">
        <v>12657</v>
      </c>
      <c r="H1310" s="0" t="s">
        <v>43</v>
      </c>
      <c r="I1310" s="7" t="n">
        <f aca="false">IF(AND(LEFT(A1310,1)&lt;&gt;"C",D1310&gt;0,F1310&gt;0),1,0)</f>
        <v>1</v>
      </c>
      <c r="J1310" s="7" t="n">
        <f aca="false">IF(I1310=1,D1310*F1310,0)</f>
        <v>14.85</v>
      </c>
      <c r="K1310" s="7" t="n">
        <f aca="false">YEAR(E1310)*100+MONTH(E1310)</f>
        <v>201109</v>
      </c>
      <c r="L1310" s="7" t="n">
        <f aca="false">IF(AND(A1310&lt;&gt;A1309,LEFT(A1310,1)&lt;&gt;"C"),1,0)</f>
        <v>0</v>
      </c>
    </row>
    <row r="1311" customFormat="false" ht="15" hidden="false" customHeight="false" outlineLevel="0" collapsed="false">
      <c r="A1311" s="0" t="s">
        <v>1299</v>
      </c>
      <c r="B1311" s="0" t="s">
        <v>1312</v>
      </c>
      <c r="C1311" s="0" t="s">
        <v>1313</v>
      </c>
      <c r="D1311" s="0" t="n">
        <v>12</v>
      </c>
      <c r="E1311" s="6" t="n">
        <v>40808.4861111111</v>
      </c>
      <c r="F1311" s="0" t="n">
        <v>0.65</v>
      </c>
      <c r="G1311" s="0" t="n">
        <v>12657</v>
      </c>
      <c r="H1311" s="0" t="s">
        <v>43</v>
      </c>
      <c r="I1311" s="7" t="n">
        <f aca="false">IF(AND(LEFT(A1311,1)&lt;&gt;"C",D1311&gt;0,F1311&gt;0),1,0)</f>
        <v>1</v>
      </c>
      <c r="J1311" s="7" t="n">
        <f aca="false">IF(I1311=1,D1311*F1311,0)</f>
        <v>7.8</v>
      </c>
      <c r="K1311" s="7" t="n">
        <f aca="false">YEAR(E1311)*100+MONTH(E1311)</f>
        <v>201109</v>
      </c>
      <c r="L1311" s="7" t="n">
        <f aca="false">IF(AND(A1311&lt;&gt;A1310,LEFT(A1311,1)&lt;&gt;"C"),1,0)</f>
        <v>0</v>
      </c>
    </row>
    <row r="1312" customFormat="false" ht="15" hidden="false" customHeight="false" outlineLevel="0" collapsed="false">
      <c r="A1312" s="0" t="s">
        <v>1299</v>
      </c>
      <c r="B1312" s="0" t="s">
        <v>1314</v>
      </c>
      <c r="C1312" s="0" t="s">
        <v>1315</v>
      </c>
      <c r="D1312" s="0" t="n">
        <v>12</v>
      </c>
      <c r="E1312" s="6" t="n">
        <v>40808.4861111111</v>
      </c>
      <c r="F1312" s="0" t="n">
        <v>2.08</v>
      </c>
      <c r="G1312" s="0" t="n">
        <v>12657</v>
      </c>
      <c r="H1312" s="0" t="s">
        <v>43</v>
      </c>
      <c r="I1312" s="7" t="n">
        <f aca="false">IF(AND(LEFT(A1312,1)&lt;&gt;"C",D1312&gt;0,F1312&gt;0),1,0)</f>
        <v>1</v>
      </c>
      <c r="J1312" s="7" t="n">
        <f aca="false">IF(I1312=1,D1312*F1312,0)</f>
        <v>24.96</v>
      </c>
      <c r="K1312" s="7" t="n">
        <f aca="false">YEAR(E1312)*100+MONTH(E1312)</f>
        <v>201109</v>
      </c>
      <c r="L1312" s="7" t="n">
        <f aca="false">IF(AND(A1312&lt;&gt;A1311,LEFT(A1312,1)&lt;&gt;"C"),1,0)</f>
        <v>0</v>
      </c>
    </row>
    <row r="1313" customFormat="false" ht="15" hidden="false" customHeight="false" outlineLevel="0" collapsed="false">
      <c r="A1313" s="0" t="s">
        <v>1299</v>
      </c>
      <c r="B1313" s="0" t="s">
        <v>1316</v>
      </c>
      <c r="C1313" s="0" t="s">
        <v>1317</v>
      </c>
      <c r="D1313" s="0" t="n">
        <v>12</v>
      </c>
      <c r="E1313" s="6" t="n">
        <v>40808.4861111111</v>
      </c>
      <c r="F1313" s="0" t="n">
        <v>2.08</v>
      </c>
      <c r="G1313" s="0" t="n">
        <v>12657</v>
      </c>
      <c r="H1313" s="0" t="s">
        <v>43</v>
      </c>
      <c r="I1313" s="7" t="n">
        <f aca="false">IF(AND(LEFT(A1313,1)&lt;&gt;"C",D1313&gt;0,F1313&gt;0),1,0)</f>
        <v>1</v>
      </c>
      <c r="J1313" s="7" t="n">
        <f aca="false">IF(I1313=1,D1313*F1313,0)</f>
        <v>24.96</v>
      </c>
      <c r="K1313" s="7" t="n">
        <f aca="false">YEAR(E1313)*100+MONTH(E1313)</f>
        <v>201109</v>
      </c>
      <c r="L1313" s="7" t="n">
        <f aca="false">IF(AND(A1313&lt;&gt;A1312,LEFT(A1313,1)&lt;&gt;"C"),1,0)</f>
        <v>0</v>
      </c>
    </row>
    <row r="1314" customFormat="false" ht="15" hidden="false" customHeight="false" outlineLevel="0" collapsed="false">
      <c r="A1314" s="0" t="s">
        <v>1299</v>
      </c>
      <c r="B1314" s="0" t="s">
        <v>1318</v>
      </c>
      <c r="C1314" s="0" t="s">
        <v>1319</v>
      </c>
      <c r="D1314" s="0" t="n">
        <v>3</v>
      </c>
      <c r="E1314" s="6" t="n">
        <v>40808.4861111111</v>
      </c>
      <c r="F1314" s="0" t="n">
        <v>4.95</v>
      </c>
      <c r="G1314" s="0" t="n">
        <v>12657</v>
      </c>
      <c r="H1314" s="0" t="s">
        <v>43</v>
      </c>
      <c r="I1314" s="7" t="n">
        <f aca="false">IF(AND(LEFT(A1314,1)&lt;&gt;"C",D1314&gt;0,F1314&gt;0),1,0)</f>
        <v>1</v>
      </c>
      <c r="J1314" s="7" t="n">
        <f aca="false">IF(I1314=1,D1314*F1314,0)</f>
        <v>14.85</v>
      </c>
      <c r="K1314" s="7" t="n">
        <f aca="false">YEAR(E1314)*100+MONTH(E1314)</f>
        <v>201109</v>
      </c>
      <c r="L1314" s="7" t="n">
        <f aca="false">IF(AND(A1314&lt;&gt;A1313,LEFT(A1314,1)&lt;&gt;"C"),1,0)</f>
        <v>0</v>
      </c>
    </row>
    <row r="1315" customFormat="false" ht="15" hidden="false" customHeight="false" outlineLevel="0" collapsed="false">
      <c r="A1315" s="0" t="s">
        <v>1299</v>
      </c>
      <c r="B1315" s="0" t="s">
        <v>1320</v>
      </c>
      <c r="C1315" s="0" t="s">
        <v>1321</v>
      </c>
      <c r="D1315" s="0" t="n">
        <v>10</v>
      </c>
      <c r="E1315" s="6" t="n">
        <v>40808.4861111111</v>
      </c>
      <c r="F1315" s="0" t="n">
        <v>1.45</v>
      </c>
      <c r="G1315" s="0" t="n">
        <v>12657</v>
      </c>
      <c r="H1315" s="0" t="s">
        <v>43</v>
      </c>
      <c r="I1315" s="7" t="n">
        <f aca="false">IF(AND(LEFT(A1315,1)&lt;&gt;"C",D1315&gt;0,F1315&gt;0),1,0)</f>
        <v>1</v>
      </c>
      <c r="J1315" s="7" t="n">
        <f aca="false">IF(I1315=1,D1315*F1315,0)</f>
        <v>14.5</v>
      </c>
      <c r="K1315" s="7" t="n">
        <f aca="false">YEAR(E1315)*100+MONTH(E1315)</f>
        <v>201109</v>
      </c>
      <c r="L1315" s="7" t="n">
        <f aca="false">IF(AND(A1315&lt;&gt;A1314,LEFT(A1315,1)&lt;&gt;"C"),1,0)</f>
        <v>0</v>
      </c>
    </row>
    <row r="1316" customFormat="false" ht="15" hidden="false" customHeight="false" outlineLevel="0" collapsed="false">
      <c r="A1316" s="0" t="s">
        <v>1299</v>
      </c>
      <c r="B1316" s="0" t="s">
        <v>84</v>
      </c>
      <c r="C1316" s="0" t="s">
        <v>85</v>
      </c>
      <c r="D1316" s="0" t="n">
        <v>4</v>
      </c>
      <c r="E1316" s="6" t="n">
        <v>40808.4861111111</v>
      </c>
      <c r="F1316" s="0" t="n">
        <v>18</v>
      </c>
      <c r="G1316" s="0" t="n">
        <v>12657</v>
      </c>
      <c r="H1316" s="0" t="s">
        <v>43</v>
      </c>
      <c r="I1316" s="7" t="n">
        <f aca="false">IF(AND(LEFT(A1316,1)&lt;&gt;"C",D1316&gt;0,F1316&gt;0),1,0)</f>
        <v>1</v>
      </c>
      <c r="J1316" s="7" t="n">
        <f aca="false">IF(I1316=1,D1316*F1316,0)</f>
        <v>72</v>
      </c>
      <c r="K1316" s="7" t="n">
        <f aca="false">YEAR(E1316)*100+MONTH(E1316)</f>
        <v>201109</v>
      </c>
      <c r="L1316" s="7" t="n">
        <f aca="false">IF(AND(A1316&lt;&gt;A1315,LEFT(A1316,1)&lt;&gt;"C"),1,0)</f>
        <v>0</v>
      </c>
    </row>
    <row r="1317" customFormat="false" ht="15" hidden="false" customHeight="false" outlineLevel="0" collapsed="false">
      <c r="A1317" s="0" t="s">
        <v>1299</v>
      </c>
      <c r="B1317" s="0" t="s">
        <v>661</v>
      </c>
      <c r="C1317" s="0" t="s">
        <v>662</v>
      </c>
      <c r="D1317" s="0" t="n">
        <v>4</v>
      </c>
      <c r="E1317" s="6" t="n">
        <v>40808.4861111111</v>
      </c>
      <c r="F1317" s="0" t="n">
        <v>9.95</v>
      </c>
      <c r="G1317" s="0" t="n">
        <v>12657</v>
      </c>
      <c r="H1317" s="0" t="s">
        <v>43</v>
      </c>
      <c r="I1317" s="7" t="n">
        <f aca="false">IF(AND(LEFT(A1317,1)&lt;&gt;"C",D1317&gt;0,F1317&gt;0),1,0)</f>
        <v>1</v>
      </c>
      <c r="J1317" s="7" t="n">
        <f aca="false">IF(I1317=1,D1317*F1317,0)</f>
        <v>39.8</v>
      </c>
      <c r="K1317" s="7" t="n">
        <f aca="false">YEAR(E1317)*100+MONTH(E1317)</f>
        <v>201109</v>
      </c>
      <c r="L1317" s="7" t="n">
        <f aca="false">IF(AND(A1317&lt;&gt;A1316,LEFT(A1317,1)&lt;&gt;"C"),1,0)</f>
        <v>0</v>
      </c>
    </row>
    <row r="1318" customFormat="false" ht="15" hidden="false" customHeight="false" outlineLevel="0" collapsed="false">
      <c r="A1318" s="0" t="s">
        <v>1322</v>
      </c>
      <c r="B1318" s="0" t="s">
        <v>1323</v>
      </c>
      <c r="C1318" s="0" t="s">
        <v>1324</v>
      </c>
      <c r="D1318" s="0" t="n">
        <v>4</v>
      </c>
      <c r="E1318" s="6" t="n">
        <v>40808.6902777778</v>
      </c>
      <c r="F1318" s="0" t="n">
        <v>4.95</v>
      </c>
      <c r="G1318" s="0" t="n">
        <v>12609</v>
      </c>
      <c r="H1318" s="0" t="s">
        <v>33</v>
      </c>
      <c r="I1318" s="7" t="n">
        <f aca="false">IF(AND(LEFT(A1318,1)&lt;&gt;"C",D1318&gt;0,F1318&gt;0),1,0)</f>
        <v>1</v>
      </c>
      <c r="J1318" s="7" t="n">
        <f aca="false">IF(I1318=1,D1318*F1318,0)</f>
        <v>19.8</v>
      </c>
      <c r="K1318" s="7" t="n">
        <f aca="false">YEAR(E1318)*100+MONTH(E1318)</f>
        <v>201109</v>
      </c>
      <c r="L1318" s="7" t="n">
        <f aca="false">IF(AND(A1318&lt;&gt;A1317,LEFT(A1318,1)&lt;&gt;"C"),1,0)</f>
        <v>1</v>
      </c>
    </row>
    <row r="1319" customFormat="false" ht="15" hidden="false" customHeight="false" outlineLevel="0" collapsed="false">
      <c r="A1319" s="0" t="s">
        <v>1322</v>
      </c>
      <c r="B1319" s="0" t="s">
        <v>567</v>
      </c>
      <c r="C1319" s="0" t="s">
        <v>568</v>
      </c>
      <c r="D1319" s="0" t="n">
        <v>10</v>
      </c>
      <c r="E1319" s="6" t="n">
        <v>40808.6902777778</v>
      </c>
      <c r="F1319" s="0" t="n">
        <v>1.65</v>
      </c>
      <c r="G1319" s="0" t="n">
        <v>12609</v>
      </c>
      <c r="H1319" s="0" t="s">
        <v>33</v>
      </c>
      <c r="I1319" s="7" t="n">
        <f aca="false">IF(AND(LEFT(A1319,1)&lt;&gt;"C",D1319&gt;0,F1319&gt;0),1,0)</f>
        <v>1</v>
      </c>
      <c r="J1319" s="7" t="n">
        <f aca="false">IF(I1319=1,D1319*F1319,0)</f>
        <v>16.5</v>
      </c>
      <c r="K1319" s="7" t="n">
        <f aca="false">YEAR(E1319)*100+MONTH(E1319)</f>
        <v>201109</v>
      </c>
      <c r="L1319" s="7" t="n">
        <f aca="false">IF(AND(A1319&lt;&gt;A1318,LEFT(A1319,1)&lt;&gt;"C"),1,0)</f>
        <v>0</v>
      </c>
    </row>
    <row r="1320" customFormat="false" ht="15" hidden="false" customHeight="false" outlineLevel="0" collapsed="false">
      <c r="A1320" s="0" t="s">
        <v>1322</v>
      </c>
      <c r="B1320" s="0" t="s">
        <v>56</v>
      </c>
      <c r="C1320" s="0" t="s">
        <v>57</v>
      </c>
      <c r="D1320" s="0" t="n">
        <v>10</v>
      </c>
      <c r="E1320" s="6" t="n">
        <v>40808.6902777778</v>
      </c>
      <c r="F1320" s="0" t="n">
        <v>1.65</v>
      </c>
      <c r="G1320" s="0" t="n">
        <v>12609</v>
      </c>
      <c r="H1320" s="0" t="s">
        <v>33</v>
      </c>
      <c r="I1320" s="7" t="n">
        <f aca="false">IF(AND(LEFT(A1320,1)&lt;&gt;"C",D1320&gt;0,F1320&gt;0),1,0)</f>
        <v>1</v>
      </c>
      <c r="J1320" s="7" t="n">
        <f aca="false">IF(I1320=1,D1320*F1320,0)</f>
        <v>16.5</v>
      </c>
      <c r="K1320" s="7" t="n">
        <f aca="false">YEAR(E1320)*100+MONTH(E1320)</f>
        <v>201109</v>
      </c>
      <c r="L1320" s="7" t="n">
        <f aca="false">IF(AND(A1320&lt;&gt;A1319,LEFT(A1320,1)&lt;&gt;"C"),1,0)</f>
        <v>0</v>
      </c>
    </row>
    <row r="1321" customFormat="false" ht="15" hidden="false" customHeight="false" outlineLevel="0" collapsed="false">
      <c r="A1321" s="0" t="s">
        <v>1322</v>
      </c>
      <c r="B1321" s="0" t="s">
        <v>70</v>
      </c>
      <c r="C1321" s="0" t="s">
        <v>71</v>
      </c>
      <c r="D1321" s="0" t="n">
        <v>10</v>
      </c>
      <c r="E1321" s="6" t="n">
        <v>40808.6902777778</v>
      </c>
      <c r="F1321" s="0" t="n">
        <v>1.65</v>
      </c>
      <c r="G1321" s="0" t="n">
        <v>12609</v>
      </c>
      <c r="H1321" s="0" t="s">
        <v>33</v>
      </c>
      <c r="I1321" s="7" t="n">
        <f aca="false">IF(AND(LEFT(A1321,1)&lt;&gt;"C",D1321&gt;0,F1321&gt;0),1,0)</f>
        <v>1</v>
      </c>
      <c r="J1321" s="7" t="n">
        <f aca="false">IF(I1321=1,D1321*F1321,0)</f>
        <v>16.5</v>
      </c>
      <c r="K1321" s="7" t="n">
        <f aca="false">YEAR(E1321)*100+MONTH(E1321)</f>
        <v>201109</v>
      </c>
      <c r="L1321" s="7" t="n">
        <f aca="false">IF(AND(A1321&lt;&gt;A1320,LEFT(A1321,1)&lt;&gt;"C"),1,0)</f>
        <v>0</v>
      </c>
    </row>
    <row r="1322" customFormat="false" ht="15" hidden="false" customHeight="false" outlineLevel="0" collapsed="false">
      <c r="A1322" s="0" t="s">
        <v>1322</v>
      </c>
      <c r="B1322" s="0" t="s">
        <v>1042</v>
      </c>
      <c r="C1322" s="0" t="s">
        <v>1043</v>
      </c>
      <c r="D1322" s="0" t="n">
        <v>4</v>
      </c>
      <c r="E1322" s="6" t="n">
        <v>40808.6902777778</v>
      </c>
      <c r="F1322" s="0" t="n">
        <v>4.15</v>
      </c>
      <c r="G1322" s="0" t="n">
        <v>12609</v>
      </c>
      <c r="H1322" s="0" t="s">
        <v>33</v>
      </c>
      <c r="I1322" s="7" t="n">
        <f aca="false">IF(AND(LEFT(A1322,1)&lt;&gt;"C",D1322&gt;0,F1322&gt;0),1,0)</f>
        <v>1</v>
      </c>
      <c r="J1322" s="7" t="n">
        <f aca="false">IF(I1322=1,D1322*F1322,0)</f>
        <v>16.6</v>
      </c>
      <c r="K1322" s="7" t="n">
        <f aca="false">YEAR(E1322)*100+MONTH(E1322)</f>
        <v>201109</v>
      </c>
      <c r="L1322" s="7" t="n">
        <f aca="false">IF(AND(A1322&lt;&gt;A1321,LEFT(A1322,1)&lt;&gt;"C"),1,0)</f>
        <v>0</v>
      </c>
    </row>
    <row r="1323" customFormat="false" ht="15" hidden="false" customHeight="false" outlineLevel="0" collapsed="false">
      <c r="A1323" s="0" t="s">
        <v>1322</v>
      </c>
      <c r="B1323" s="0" t="s">
        <v>1048</v>
      </c>
      <c r="C1323" s="0" t="s">
        <v>1049</v>
      </c>
      <c r="D1323" s="0" t="n">
        <v>4</v>
      </c>
      <c r="E1323" s="6" t="n">
        <v>40808.6902777778</v>
      </c>
      <c r="F1323" s="0" t="n">
        <v>4.15</v>
      </c>
      <c r="G1323" s="0" t="n">
        <v>12609</v>
      </c>
      <c r="H1323" s="0" t="s">
        <v>33</v>
      </c>
      <c r="I1323" s="7" t="n">
        <f aca="false">IF(AND(LEFT(A1323,1)&lt;&gt;"C",D1323&gt;0,F1323&gt;0),1,0)</f>
        <v>1</v>
      </c>
      <c r="J1323" s="7" t="n">
        <f aca="false">IF(I1323=1,D1323*F1323,0)</f>
        <v>16.6</v>
      </c>
      <c r="K1323" s="7" t="n">
        <f aca="false">YEAR(E1323)*100+MONTH(E1323)</f>
        <v>201109</v>
      </c>
      <c r="L1323" s="7" t="n">
        <f aca="false">IF(AND(A1323&lt;&gt;A1322,LEFT(A1323,1)&lt;&gt;"C"),1,0)</f>
        <v>0</v>
      </c>
    </row>
    <row r="1324" customFormat="false" ht="15" hidden="false" customHeight="false" outlineLevel="0" collapsed="false">
      <c r="A1324" s="0" t="s">
        <v>1322</v>
      </c>
      <c r="B1324" s="0" t="s">
        <v>766</v>
      </c>
      <c r="C1324" s="0" t="s">
        <v>767</v>
      </c>
      <c r="D1324" s="0" t="n">
        <v>8</v>
      </c>
      <c r="E1324" s="6" t="n">
        <v>40808.6902777778</v>
      </c>
      <c r="F1324" s="0" t="n">
        <v>2.25</v>
      </c>
      <c r="G1324" s="0" t="n">
        <v>12609</v>
      </c>
      <c r="H1324" s="0" t="s">
        <v>33</v>
      </c>
      <c r="I1324" s="7" t="n">
        <f aca="false">IF(AND(LEFT(A1324,1)&lt;&gt;"C",D1324&gt;0,F1324&gt;0),1,0)</f>
        <v>1</v>
      </c>
      <c r="J1324" s="7" t="n">
        <f aca="false">IF(I1324=1,D1324*F1324,0)</f>
        <v>18</v>
      </c>
      <c r="K1324" s="7" t="n">
        <f aca="false">YEAR(E1324)*100+MONTH(E1324)</f>
        <v>201109</v>
      </c>
      <c r="L1324" s="7" t="n">
        <f aca="false">IF(AND(A1324&lt;&gt;A1323,LEFT(A1324,1)&lt;&gt;"C"),1,0)</f>
        <v>0</v>
      </c>
    </row>
    <row r="1325" customFormat="false" ht="15" hidden="false" customHeight="false" outlineLevel="0" collapsed="false">
      <c r="A1325" s="0" t="s">
        <v>1322</v>
      </c>
      <c r="B1325" s="0" t="s">
        <v>873</v>
      </c>
      <c r="C1325" s="0" t="s">
        <v>874</v>
      </c>
      <c r="D1325" s="0" t="n">
        <v>12</v>
      </c>
      <c r="E1325" s="6" t="n">
        <v>40808.6902777778</v>
      </c>
      <c r="F1325" s="0" t="n">
        <v>0.83</v>
      </c>
      <c r="G1325" s="0" t="n">
        <v>12609</v>
      </c>
      <c r="H1325" s="0" t="s">
        <v>33</v>
      </c>
      <c r="I1325" s="7" t="n">
        <f aca="false">IF(AND(LEFT(A1325,1)&lt;&gt;"C",D1325&gt;0,F1325&gt;0),1,0)</f>
        <v>1</v>
      </c>
      <c r="J1325" s="7" t="n">
        <f aca="false">IF(I1325=1,D1325*F1325,0)</f>
        <v>9.96</v>
      </c>
      <c r="K1325" s="7" t="n">
        <f aca="false">YEAR(E1325)*100+MONTH(E1325)</f>
        <v>201109</v>
      </c>
      <c r="L1325" s="7" t="n">
        <f aca="false">IF(AND(A1325&lt;&gt;A1324,LEFT(A1325,1)&lt;&gt;"C"),1,0)</f>
        <v>0</v>
      </c>
    </row>
    <row r="1326" customFormat="false" ht="15" hidden="false" customHeight="false" outlineLevel="0" collapsed="false">
      <c r="A1326" s="0" t="s">
        <v>1322</v>
      </c>
      <c r="B1326" s="0" t="s">
        <v>895</v>
      </c>
      <c r="C1326" s="0" t="s">
        <v>896</v>
      </c>
      <c r="D1326" s="0" t="n">
        <v>6</v>
      </c>
      <c r="E1326" s="6" t="n">
        <v>40808.6902777778</v>
      </c>
      <c r="F1326" s="0" t="n">
        <v>2.89</v>
      </c>
      <c r="G1326" s="0" t="n">
        <v>12609</v>
      </c>
      <c r="H1326" s="0" t="s">
        <v>33</v>
      </c>
      <c r="I1326" s="7" t="n">
        <f aca="false">IF(AND(LEFT(A1326,1)&lt;&gt;"C",D1326&gt;0,F1326&gt;0),1,0)</f>
        <v>1</v>
      </c>
      <c r="J1326" s="7" t="n">
        <f aca="false">IF(I1326=1,D1326*F1326,0)</f>
        <v>17.34</v>
      </c>
      <c r="K1326" s="7" t="n">
        <f aca="false">YEAR(E1326)*100+MONTH(E1326)</f>
        <v>201109</v>
      </c>
      <c r="L1326" s="7" t="n">
        <f aca="false">IF(AND(A1326&lt;&gt;A1325,LEFT(A1326,1)&lt;&gt;"C"),1,0)</f>
        <v>0</v>
      </c>
    </row>
    <row r="1327" customFormat="false" ht="15" hidden="false" customHeight="false" outlineLevel="0" collapsed="false">
      <c r="A1327" s="0" t="s">
        <v>1322</v>
      </c>
      <c r="B1327" s="0" t="s">
        <v>847</v>
      </c>
      <c r="C1327" s="0" t="s">
        <v>848</v>
      </c>
      <c r="D1327" s="0" t="n">
        <v>12</v>
      </c>
      <c r="E1327" s="6" t="n">
        <v>40808.6902777778</v>
      </c>
      <c r="F1327" s="0" t="n">
        <v>1.45</v>
      </c>
      <c r="G1327" s="0" t="n">
        <v>12609</v>
      </c>
      <c r="H1327" s="0" t="s">
        <v>33</v>
      </c>
      <c r="I1327" s="7" t="n">
        <f aca="false">IF(AND(LEFT(A1327,1)&lt;&gt;"C",D1327&gt;0,F1327&gt;0),1,0)</f>
        <v>1</v>
      </c>
      <c r="J1327" s="7" t="n">
        <f aca="false">IF(I1327=1,D1327*F1327,0)</f>
        <v>17.4</v>
      </c>
      <c r="K1327" s="7" t="n">
        <f aca="false">YEAR(E1327)*100+MONTH(E1327)</f>
        <v>201109</v>
      </c>
      <c r="L1327" s="7" t="n">
        <f aca="false">IF(AND(A1327&lt;&gt;A1326,LEFT(A1327,1)&lt;&gt;"C"),1,0)</f>
        <v>0</v>
      </c>
    </row>
    <row r="1328" customFormat="false" ht="15" hidden="false" customHeight="false" outlineLevel="0" collapsed="false">
      <c r="A1328" s="0" t="s">
        <v>1322</v>
      </c>
      <c r="B1328" s="0" t="s">
        <v>1325</v>
      </c>
      <c r="C1328" s="0" t="s">
        <v>1326</v>
      </c>
      <c r="D1328" s="0" t="n">
        <v>3</v>
      </c>
      <c r="E1328" s="6" t="n">
        <v>40808.6902777778</v>
      </c>
      <c r="F1328" s="0" t="n">
        <v>6.25</v>
      </c>
      <c r="G1328" s="0" t="n">
        <v>12609</v>
      </c>
      <c r="H1328" s="0" t="s">
        <v>33</v>
      </c>
      <c r="I1328" s="7" t="n">
        <f aca="false">IF(AND(LEFT(A1328,1)&lt;&gt;"C",D1328&gt;0,F1328&gt;0),1,0)</f>
        <v>1</v>
      </c>
      <c r="J1328" s="7" t="n">
        <f aca="false">IF(I1328=1,D1328*F1328,0)</f>
        <v>18.75</v>
      </c>
      <c r="K1328" s="7" t="n">
        <f aca="false">YEAR(E1328)*100+MONTH(E1328)</f>
        <v>201109</v>
      </c>
      <c r="L1328" s="7" t="n">
        <f aca="false">IF(AND(A1328&lt;&gt;A1327,LEFT(A1328,1)&lt;&gt;"C"),1,0)</f>
        <v>0</v>
      </c>
    </row>
    <row r="1329" customFormat="false" ht="15" hidden="false" customHeight="false" outlineLevel="0" collapsed="false">
      <c r="A1329" s="0" t="s">
        <v>1322</v>
      </c>
      <c r="B1329" s="0" t="s">
        <v>1327</v>
      </c>
      <c r="C1329" s="0" t="s">
        <v>1328</v>
      </c>
      <c r="D1329" s="0" t="n">
        <v>3</v>
      </c>
      <c r="E1329" s="6" t="n">
        <v>40808.6902777778</v>
      </c>
      <c r="F1329" s="0" t="n">
        <v>6.25</v>
      </c>
      <c r="G1329" s="0" t="n">
        <v>12609</v>
      </c>
      <c r="H1329" s="0" t="s">
        <v>33</v>
      </c>
      <c r="I1329" s="7" t="n">
        <f aca="false">IF(AND(LEFT(A1329,1)&lt;&gt;"C",D1329&gt;0,F1329&gt;0),1,0)</f>
        <v>1</v>
      </c>
      <c r="J1329" s="7" t="n">
        <f aca="false">IF(I1329=1,D1329*F1329,0)</f>
        <v>18.75</v>
      </c>
      <c r="K1329" s="7" t="n">
        <f aca="false">YEAR(E1329)*100+MONTH(E1329)</f>
        <v>201109</v>
      </c>
      <c r="L1329" s="7" t="n">
        <f aca="false">IF(AND(A1329&lt;&gt;A1328,LEFT(A1329,1)&lt;&gt;"C"),1,0)</f>
        <v>0</v>
      </c>
    </row>
    <row r="1330" customFormat="false" ht="15" hidden="false" customHeight="false" outlineLevel="0" collapsed="false">
      <c r="A1330" s="0" t="s">
        <v>1322</v>
      </c>
      <c r="B1330" s="0" t="s">
        <v>937</v>
      </c>
      <c r="C1330" s="0" t="s">
        <v>938</v>
      </c>
      <c r="D1330" s="0" t="n">
        <v>6</v>
      </c>
      <c r="E1330" s="6" t="n">
        <v>40808.6902777778</v>
      </c>
      <c r="F1330" s="0" t="n">
        <v>3.75</v>
      </c>
      <c r="G1330" s="0" t="n">
        <v>12609</v>
      </c>
      <c r="H1330" s="0" t="s">
        <v>33</v>
      </c>
      <c r="I1330" s="7" t="n">
        <f aca="false">IF(AND(LEFT(A1330,1)&lt;&gt;"C",D1330&gt;0,F1330&gt;0),1,0)</f>
        <v>1</v>
      </c>
      <c r="J1330" s="7" t="n">
        <f aca="false">IF(I1330=1,D1330*F1330,0)</f>
        <v>22.5</v>
      </c>
      <c r="K1330" s="7" t="n">
        <f aca="false">YEAR(E1330)*100+MONTH(E1330)</f>
        <v>201109</v>
      </c>
      <c r="L1330" s="7" t="n">
        <f aca="false">IF(AND(A1330&lt;&gt;A1329,LEFT(A1330,1)&lt;&gt;"C"),1,0)</f>
        <v>0</v>
      </c>
    </row>
    <row r="1331" customFormat="false" ht="15" hidden="false" customHeight="false" outlineLevel="0" collapsed="false">
      <c r="A1331" s="0" t="s">
        <v>1322</v>
      </c>
      <c r="B1331" s="0" t="s">
        <v>1329</v>
      </c>
      <c r="C1331" s="0" t="s">
        <v>1330</v>
      </c>
      <c r="D1331" s="0" t="n">
        <v>12</v>
      </c>
      <c r="E1331" s="6" t="n">
        <v>40808.6902777778</v>
      </c>
      <c r="F1331" s="0" t="n">
        <v>2.08</v>
      </c>
      <c r="G1331" s="0" t="n">
        <v>12609</v>
      </c>
      <c r="H1331" s="0" t="s">
        <v>33</v>
      </c>
      <c r="I1331" s="7" t="n">
        <f aca="false">IF(AND(LEFT(A1331,1)&lt;&gt;"C",D1331&gt;0,F1331&gt;0),1,0)</f>
        <v>1</v>
      </c>
      <c r="J1331" s="7" t="n">
        <f aca="false">IF(I1331=1,D1331*F1331,0)</f>
        <v>24.96</v>
      </c>
      <c r="K1331" s="7" t="n">
        <f aca="false">YEAR(E1331)*100+MONTH(E1331)</f>
        <v>201109</v>
      </c>
      <c r="L1331" s="7" t="n">
        <f aca="false">IF(AND(A1331&lt;&gt;A1330,LEFT(A1331,1)&lt;&gt;"C"),1,0)</f>
        <v>0</v>
      </c>
    </row>
    <row r="1332" customFormat="false" ht="15" hidden="false" customHeight="false" outlineLevel="0" collapsed="false">
      <c r="A1332" s="0" t="s">
        <v>1322</v>
      </c>
      <c r="B1332" s="0" t="s">
        <v>1331</v>
      </c>
      <c r="C1332" s="0" t="s">
        <v>1332</v>
      </c>
      <c r="D1332" s="0" t="n">
        <v>12</v>
      </c>
      <c r="E1332" s="6" t="n">
        <v>40808.6902777778</v>
      </c>
      <c r="F1332" s="0" t="n">
        <v>2.08</v>
      </c>
      <c r="G1332" s="0" t="n">
        <v>12609</v>
      </c>
      <c r="H1332" s="0" t="s">
        <v>33</v>
      </c>
      <c r="I1332" s="7" t="n">
        <f aca="false">IF(AND(LEFT(A1332,1)&lt;&gt;"C",D1332&gt;0,F1332&gt;0),1,0)</f>
        <v>1</v>
      </c>
      <c r="J1332" s="7" t="n">
        <f aca="false">IF(I1332=1,D1332*F1332,0)</f>
        <v>24.96</v>
      </c>
      <c r="K1332" s="7" t="n">
        <f aca="false">YEAR(E1332)*100+MONTH(E1332)</f>
        <v>201109</v>
      </c>
      <c r="L1332" s="7" t="n">
        <f aca="false">IF(AND(A1332&lt;&gt;A1331,LEFT(A1332,1)&lt;&gt;"C"),1,0)</f>
        <v>0</v>
      </c>
    </row>
    <row r="1333" customFormat="false" ht="15" hidden="false" customHeight="false" outlineLevel="0" collapsed="false">
      <c r="A1333" s="0" t="s">
        <v>1322</v>
      </c>
      <c r="B1333" s="0" t="s">
        <v>1333</v>
      </c>
      <c r="C1333" s="0" t="s">
        <v>1334</v>
      </c>
      <c r="D1333" s="0" t="n">
        <v>12</v>
      </c>
      <c r="E1333" s="6" t="n">
        <v>40808.6902777778</v>
      </c>
      <c r="F1333" s="0" t="n">
        <v>1.25</v>
      </c>
      <c r="G1333" s="0" t="n">
        <v>12609</v>
      </c>
      <c r="H1333" s="0" t="s">
        <v>33</v>
      </c>
      <c r="I1333" s="7" t="n">
        <f aca="false">IF(AND(LEFT(A1333,1)&lt;&gt;"C",D1333&gt;0,F1333&gt;0),1,0)</f>
        <v>1</v>
      </c>
      <c r="J1333" s="7" t="n">
        <f aca="false">IF(I1333=1,D1333*F1333,0)</f>
        <v>15</v>
      </c>
      <c r="K1333" s="7" t="n">
        <f aca="false">YEAR(E1333)*100+MONTH(E1333)</f>
        <v>201109</v>
      </c>
      <c r="L1333" s="7" t="n">
        <f aca="false">IF(AND(A1333&lt;&gt;A1332,LEFT(A1333,1)&lt;&gt;"C"),1,0)</f>
        <v>0</v>
      </c>
    </row>
    <row r="1334" customFormat="false" ht="15" hidden="false" customHeight="false" outlineLevel="0" collapsed="false">
      <c r="A1334" s="0" t="s">
        <v>1322</v>
      </c>
      <c r="B1334" s="0" t="s">
        <v>84</v>
      </c>
      <c r="C1334" s="0" t="s">
        <v>85</v>
      </c>
      <c r="D1334" s="0" t="n">
        <v>2</v>
      </c>
      <c r="E1334" s="6" t="n">
        <v>40808.6902777778</v>
      </c>
      <c r="F1334" s="0" t="n">
        <v>18</v>
      </c>
      <c r="G1334" s="0" t="n">
        <v>12609</v>
      </c>
      <c r="H1334" s="0" t="s">
        <v>33</v>
      </c>
      <c r="I1334" s="7" t="n">
        <f aca="false">IF(AND(LEFT(A1334,1)&lt;&gt;"C",D1334&gt;0,F1334&gt;0),1,0)</f>
        <v>1</v>
      </c>
      <c r="J1334" s="7" t="n">
        <f aca="false">IF(I1334=1,D1334*F1334,0)</f>
        <v>36</v>
      </c>
      <c r="K1334" s="7" t="n">
        <f aca="false">YEAR(E1334)*100+MONTH(E1334)</f>
        <v>201109</v>
      </c>
      <c r="L1334" s="7" t="n">
        <f aca="false">IF(AND(A1334&lt;&gt;A1333,LEFT(A1334,1)&lt;&gt;"C"),1,0)</f>
        <v>0</v>
      </c>
    </row>
    <row r="1335" customFormat="false" ht="15" hidden="false" customHeight="false" outlineLevel="0" collapsed="false">
      <c r="A1335" s="0" t="s">
        <v>1335</v>
      </c>
      <c r="B1335" s="0" t="s">
        <v>1336</v>
      </c>
      <c r="C1335" s="0" t="s">
        <v>1337</v>
      </c>
      <c r="D1335" s="0" t="n">
        <v>24</v>
      </c>
      <c r="E1335" s="6" t="n">
        <v>40808.7069444444</v>
      </c>
      <c r="F1335" s="0" t="n">
        <v>1.25</v>
      </c>
      <c r="G1335" s="0" t="n">
        <v>12437</v>
      </c>
      <c r="H1335" s="0" t="s">
        <v>43</v>
      </c>
      <c r="I1335" s="7" t="n">
        <f aca="false">IF(AND(LEFT(A1335,1)&lt;&gt;"C",D1335&gt;0,F1335&gt;0),1,0)</f>
        <v>1</v>
      </c>
      <c r="J1335" s="7" t="n">
        <f aca="false">IF(I1335=1,D1335*F1335,0)</f>
        <v>30</v>
      </c>
      <c r="K1335" s="7" t="n">
        <f aca="false">YEAR(E1335)*100+MONTH(E1335)</f>
        <v>201109</v>
      </c>
      <c r="L1335" s="7" t="n">
        <f aca="false">IF(AND(A1335&lt;&gt;A1334,LEFT(A1335,1)&lt;&gt;"C"),1,0)</f>
        <v>1</v>
      </c>
    </row>
    <row r="1336" customFormat="false" ht="15" hidden="false" customHeight="false" outlineLevel="0" collapsed="false">
      <c r="A1336" s="0" t="s">
        <v>1335</v>
      </c>
      <c r="B1336" s="0" t="s">
        <v>616</v>
      </c>
      <c r="C1336" s="0" t="s">
        <v>617</v>
      </c>
      <c r="D1336" s="0" t="n">
        <v>24</v>
      </c>
      <c r="E1336" s="6" t="n">
        <v>40808.7069444444</v>
      </c>
      <c r="F1336" s="0" t="n">
        <v>1.25</v>
      </c>
      <c r="G1336" s="0" t="n">
        <v>12437</v>
      </c>
      <c r="H1336" s="0" t="s">
        <v>43</v>
      </c>
      <c r="I1336" s="7" t="n">
        <f aca="false">IF(AND(LEFT(A1336,1)&lt;&gt;"C",D1336&gt;0,F1336&gt;0),1,0)</f>
        <v>1</v>
      </c>
      <c r="J1336" s="7" t="n">
        <f aca="false">IF(I1336=1,D1336*F1336,0)</f>
        <v>30</v>
      </c>
      <c r="K1336" s="7" t="n">
        <f aca="false">YEAR(E1336)*100+MONTH(E1336)</f>
        <v>201109</v>
      </c>
      <c r="L1336" s="7" t="n">
        <f aca="false">IF(AND(A1336&lt;&gt;A1335,LEFT(A1336,1)&lt;&gt;"C"),1,0)</f>
        <v>0</v>
      </c>
    </row>
    <row r="1337" customFormat="false" ht="15" hidden="false" customHeight="false" outlineLevel="0" collapsed="false">
      <c r="A1337" s="0" t="s">
        <v>1335</v>
      </c>
      <c r="B1337" s="0" t="s">
        <v>1338</v>
      </c>
      <c r="C1337" s="0" t="s">
        <v>1339</v>
      </c>
      <c r="D1337" s="0" t="n">
        <v>12</v>
      </c>
      <c r="E1337" s="6" t="n">
        <v>40808.7069444444</v>
      </c>
      <c r="F1337" s="0" t="n">
        <v>2.95</v>
      </c>
      <c r="G1337" s="0" t="n">
        <v>12437</v>
      </c>
      <c r="H1337" s="0" t="s">
        <v>43</v>
      </c>
      <c r="I1337" s="7" t="n">
        <f aca="false">IF(AND(LEFT(A1337,1)&lt;&gt;"C",D1337&gt;0,F1337&gt;0),1,0)</f>
        <v>1</v>
      </c>
      <c r="J1337" s="7" t="n">
        <f aca="false">IF(I1337=1,D1337*F1337,0)</f>
        <v>35.4</v>
      </c>
      <c r="K1337" s="7" t="n">
        <f aca="false">YEAR(E1337)*100+MONTH(E1337)</f>
        <v>201109</v>
      </c>
      <c r="L1337" s="7" t="n">
        <f aca="false">IF(AND(A1337&lt;&gt;A1336,LEFT(A1337,1)&lt;&gt;"C"),1,0)</f>
        <v>0</v>
      </c>
    </row>
    <row r="1338" customFormat="false" ht="15" hidden="false" customHeight="false" outlineLevel="0" collapsed="false">
      <c r="A1338" s="0" t="s">
        <v>1335</v>
      </c>
      <c r="B1338" s="0" t="s">
        <v>199</v>
      </c>
      <c r="C1338" s="0" t="s">
        <v>200</v>
      </c>
      <c r="D1338" s="0" t="n">
        <v>24</v>
      </c>
      <c r="E1338" s="6" t="n">
        <v>40808.7069444444</v>
      </c>
      <c r="F1338" s="0" t="n">
        <v>0.85</v>
      </c>
      <c r="G1338" s="0" t="n">
        <v>12437</v>
      </c>
      <c r="H1338" s="0" t="s">
        <v>43</v>
      </c>
      <c r="I1338" s="7" t="n">
        <f aca="false">IF(AND(LEFT(A1338,1)&lt;&gt;"C",D1338&gt;0,F1338&gt;0),1,0)</f>
        <v>1</v>
      </c>
      <c r="J1338" s="7" t="n">
        <f aca="false">IF(I1338=1,D1338*F1338,0)</f>
        <v>20.4</v>
      </c>
      <c r="K1338" s="7" t="n">
        <f aca="false">YEAR(E1338)*100+MONTH(E1338)</f>
        <v>201109</v>
      </c>
      <c r="L1338" s="7" t="n">
        <f aca="false">IF(AND(A1338&lt;&gt;A1337,LEFT(A1338,1)&lt;&gt;"C"),1,0)</f>
        <v>0</v>
      </c>
    </row>
    <row r="1339" customFormat="false" ht="15" hidden="false" customHeight="false" outlineLevel="0" collapsed="false">
      <c r="A1339" s="0" t="s">
        <v>1335</v>
      </c>
      <c r="B1339" s="0" t="s">
        <v>219</v>
      </c>
      <c r="C1339" s="0" t="s">
        <v>220</v>
      </c>
      <c r="D1339" s="0" t="n">
        <v>24</v>
      </c>
      <c r="E1339" s="6" t="n">
        <v>40808.7069444444</v>
      </c>
      <c r="F1339" s="0" t="n">
        <v>0.55</v>
      </c>
      <c r="G1339" s="0" t="n">
        <v>12437</v>
      </c>
      <c r="H1339" s="0" t="s">
        <v>43</v>
      </c>
      <c r="I1339" s="7" t="n">
        <f aca="false">IF(AND(LEFT(A1339,1)&lt;&gt;"C",D1339&gt;0,F1339&gt;0),1,0)</f>
        <v>1</v>
      </c>
      <c r="J1339" s="7" t="n">
        <f aca="false">IF(I1339=1,D1339*F1339,0)</f>
        <v>13.2</v>
      </c>
      <c r="K1339" s="7" t="n">
        <f aca="false">YEAR(E1339)*100+MONTH(E1339)</f>
        <v>201109</v>
      </c>
      <c r="L1339" s="7" t="n">
        <f aca="false">IF(AND(A1339&lt;&gt;A1338,LEFT(A1339,1)&lt;&gt;"C"),1,0)</f>
        <v>0</v>
      </c>
    </row>
    <row r="1340" customFormat="false" ht="15" hidden="false" customHeight="false" outlineLevel="0" collapsed="false">
      <c r="A1340" s="0" t="s">
        <v>1335</v>
      </c>
      <c r="B1340" s="0" t="s">
        <v>157</v>
      </c>
      <c r="C1340" s="0" t="s">
        <v>158</v>
      </c>
      <c r="D1340" s="0" t="n">
        <v>24</v>
      </c>
      <c r="E1340" s="6" t="n">
        <v>40808.7069444444</v>
      </c>
      <c r="F1340" s="0" t="n">
        <v>0.65</v>
      </c>
      <c r="G1340" s="0" t="n">
        <v>12437</v>
      </c>
      <c r="H1340" s="0" t="s">
        <v>43</v>
      </c>
      <c r="I1340" s="7" t="n">
        <f aca="false">IF(AND(LEFT(A1340,1)&lt;&gt;"C",D1340&gt;0,F1340&gt;0),1,0)</f>
        <v>1</v>
      </c>
      <c r="J1340" s="7" t="n">
        <f aca="false">IF(I1340=1,D1340*F1340,0)</f>
        <v>15.6</v>
      </c>
      <c r="K1340" s="7" t="n">
        <f aca="false">YEAR(E1340)*100+MONTH(E1340)</f>
        <v>201109</v>
      </c>
      <c r="L1340" s="7" t="n">
        <f aca="false">IF(AND(A1340&lt;&gt;A1339,LEFT(A1340,1)&lt;&gt;"C"),1,0)</f>
        <v>0</v>
      </c>
    </row>
    <row r="1341" customFormat="false" ht="15" hidden="false" customHeight="false" outlineLevel="0" collapsed="false">
      <c r="A1341" s="0" t="s">
        <v>1335</v>
      </c>
      <c r="B1341" s="0" t="s">
        <v>195</v>
      </c>
      <c r="C1341" s="0" t="s">
        <v>196</v>
      </c>
      <c r="D1341" s="0" t="n">
        <v>12</v>
      </c>
      <c r="E1341" s="6" t="n">
        <v>40808.7069444444</v>
      </c>
      <c r="F1341" s="0" t="n">
        <v>0.85</v>
      </c>
      <c r="G1341" s="0" t="n">
        <v>12437</v>
      </c>
      <c r="H1341" s="0" t="s">
        <v>43</v>
      </c>
      <c r="I1341" s="7" t="n">
        <f aca="false">IF(AND(LEFT(A1341,1)&lt;&gt;"C",D1341&gt;0,F1341&gt;0),1,0)</f>
        <v>1</v>
      </c>
      <c r="J1341" s="7" t="n">
        <f aca="false">IF(I1341=1,D1341*F1341,0)</f>
        <v>10.2</v>
      </c>
      <c r="K1341" s="7" t="n">
        <f aca="false">YEAR(E1341)*100+MONTH(E1341)</f>
        <v>201109</v>
      </c>
      <c r="L1341" s="7" t="n">
        <f aca="false">IF(AND(A1341&lt;&gt;A1340,LEFT(A1341,1)&lt;&gt;"C"),1,0)</f>
        <v>0</v>
      </c>
    </row>
    <row r="1342" customFormat="false" ht="15" hidden="false" customHeight="false" outlineLevel="0" collapsed="false">
      <c r="A1342" s="0" t="s">
        <v>1335</v>
      </c>
      <c r="B1342" s="0" t="s">
        <v>586</v>
      </c>
      <c r="C1342" s="0" t="s">
        <v>587</v>
      </c>
      <c r="D1342" s="0" t="n">
        <v>24</v>
      </c>
      <c r="E1342" s="6" t="n">
        <v>40808.7069444444</v>
      </c>
      <c r="F1342" s="0" t="n">
        <v>1.25</v>
      </c>
      <c r="G1342" s="0" t="n">
        <v>12437</v>
      </c>
      <c r="H1342" s="0" t="s">
        <v>43</v>
      </c>
      <c r="I1342" s="7" t="n">
        <f aca="false">IF(AND(LEFT(A1342,1)&lt;&gt;"C",D1342&gt;0,F1342&gt;0),1,0)</f>
        <v>1</v>
      </c>
      <c r="J1342" s="7" t="n">
        <f aca="false">IF(I1342=1,D1342*F1342,0)</f>
        <v>30</v>
      </c>
      <c r="K1342" s="7" t="n">
        <f aca="false">YEAR(E1342)*100+MONTH(E1342)</f>
        <v>201109</v>
      </c>
      <c r="L1342" s="7" t="n">
        <f aca="false">IF(AND(A1342&lt;&gt;A1341,LEFT(A1342,1)&lt;&gt;"C"),1,0)</f>
        <v>0</v>
      </c>
    </row>
    <row r="1343" customFormat="false" ht="15" hidden="false" customHeight="false" outlineLevel="0" collapsed="false">
      <c r="A1343" s="0" t="s">
        <v>1335</v>
      </c>
      <c r="B1343" s="0" t="s">
        <v>324</v>
      </c>
      <c r="C1343" s="0" t="s">
        <v>325</v>
      </c>
      <c r="D1343" s="0" t="n">
        <v>4</v>
      </c>
      <c r="E1343" s="6" t="n">
        <v>40808.7069444444</v>
      </c>
      <c r="F1343" s="0" t="n">
        <v>4.95</v>
      </c>
      <c r="G1343" s="0" t="n">
        <v>12437</v>
      </c>
      <c r="H1343" s="0" t="s">
        <v>43</v>
      </c>
      <c r="I1343" s="7" t="n">
        <f aca="false">IF(AND(LEFT(A1343,1)&lt;&gt;"C",D1343&gt;0,F1343&gt;0),1,0)</f>
        <v>1</v>
      </c>
      <c r="J1343" s="7" t="n">
        <f aca="false">IF(I1343=1,D1343*F1343,0)</f>
        <v>19.8</v>
      </c>
      <c r="K1343" s="7" t="n">
        <f aca="false">YEAR(E1343)*100+MONTH(E1343)</f>
        <v>201109</v>
      </c>
      <c r="L1343" s="7" t="n">
        <f aca="false">IF(AND(A1343&lt;&gt;A1342,LEFT(A1343,1)&lt;&gt;"C"),1,0)</f>
        <v>0</v>
      </c>
    </row>
    <row r="1344" customFormat="false" ht="15" hidden="false" customHeight="false" outlineLevel="0" collapsed="false">
      <c r="A1344" s="0" t="s">
        <v>1335</v>
      </c>
      <c r="B1344" s="0" t="s">
        <v>84</v>
      </c>
      <c r="C1344" s="0" t="s">
        <v>85</v>
      </c>
      <c r="D1344" s="0" t="n">
        <v>1</v>
      </c>
      <c r="E1344" s="6" t="n">
        <v>40808.7069444444</v>
      </c>
      <c r="F1344" s="0" t="n">
        <v>18</v>
      </c>
      <c r="G1344" s="0" t="n">
        <v>12437</v>
      </c>
      <c r="H1344" s="0" t="s">
        <v>43</v>
      </c>
      <c r="I1344" s="7" t="n">
        <f aca="false">IF(AND(LEFT(A1344,1)&lt;&gt;"C",D1344&gt;0,F1344&gt;0),1,0)</f>
        <v>1</v>
      </c>
      <c r="J1344" s="7" t="n">
        <f aca="false">IF(I1344=1,D1344*F1344,0)</f>
        <v>18</v>
      </c>
      <c r="K1344" s="7" t="n">
        <f aca="false">YEAR(E1344)*100+MONTH(E1344)</f>
        <v>201109</v>
      </c>
      <c r="L1344" s="7" t="n">
        <f aca="false">IF(AND(A1344&lt;&gt;A1343,LEFT(A1344,1)&lt;&gt;"C"),1,0)</f>
        <v>0</v>
      </c>
    </row>
    <row r="1345" customFormat="false" ht="15" hidden="false" customHeight="false" outlineLevel="0" collapsed="false">
      <c r="A1345" s="0" t="s">
        <v>1340</v>
      </c>
      <c r="B1345" s="0" t="s">
        <v>1341</v>
      </c>
      <c r="C1345" s="0" t="s">
        <v>1342</v>
      </c>
      <c r="D1345" s="0" t="n">
        <v>3</v>
      </c>
      <c r="E1345" s="6" t="n">
        <v>40808.7180555556</v>
      </c>
      <c r="F1345" s="0" t="n">
        <v>4.95</v>
      </c>
      <c r="G1345" s="0" t="n">
        <v>12647</v>
      </c>
      <c r="H1345" s="0" t="s">
        <v>33</v>
      </c>
      <c r="I1345" s="7" t="n">
        <f aca="false">IF(AND(LEFT(A1345,1)&lt;&gt;"C",D1345&gt;0,F1345&gt;0),1,0)</f>
        <v>1</v>
      </c>
      <c r="J1345" s="7" t="n">
        <f aca="false">IF(I1345=1,D1345*F1345,0)</f>
        <v>14.85</v>
      </c>
      <c r="K1345" s="7" t="n">
        <f aca="false">YEAR(E1345)*100+MONTH(E1345)</f>
        <v>201109</v>
      </c>
      <c r="L1345" s="7" t="n">
        <f aca="false">IF(AND(A1345&lt;&gt;A1344,LEFT(A1345,1)&lt;&gt;"C"),1,0)</f>
        <v>1</v>
      </c>
    </row>
    <row r="1346" customFormat="false" ht="15" hidden="false" customHeight="false" outlineLevel="0" collapsed="false">
      <c r="A1346" s="0" t="s">
        <v>1340</v>
      </c>
      <c r="B1346" s="0" t="s">
        <v>60</v>
      </c>
      <c r="C1346" s="0" t="s">
        <v>61</v>
      </c>
      <c r="D1346" s="0" t="n">
        <v>60</v>
      </c>
      <c r="E1346" s="6" t="n">
        <v>40808.7180555556</v>
      </c>
      <c r="F1346" s="0" t="n">
        <v>2.1</v>
      </c>
      <c r="G1346" s="0" t="n">
        <v>12647</v>
      </c>
      <c r="H1346" s="0" t="s">
        <v>33</v>
      </c>
      <c r="I1346" s="7" t="n">
        <f aca="false">IF(AND(LEFT(A1346,1)&lt;&gt;"C",D1346&gt;0,F1346&gt;0),1,0)</f>
        <v>1</v>
      </c>
      <c r="J1346" s="7" t="n">
        <f aca="false">IF(I1346=1,D1346*F1346,0)</f>
        <v>126</v>
      </c>
      <c r="K1346" s="7" t="n">
        <f aca="false">YEAR(E1346)*100+MONTH(E1346)</f>
        <v>201109</v>
      </c>
      <c r="L1346" s="7" t="n">
        <f aca="false">IF(AND(A1346&lt;&gt;A1345,LEFT(A1346,1)&lt;&gt;"C"),1,0)</f>
        <v>0</v>
      </c>
    </row>
    <row r="1347" customFormat="false" ht="15" hidden="false" customHeight="false" outlineLevel="0" collapsed="false">
      <c r="A1347" s="0" t="s">
        <v>1340</v>
      </c>
      <c r="B1347" s="0" t="s">
        <v>84</v>
      </c>
      <c r="C1347" s="0" t="s">
        <v>85</v>
      </c>
      <c r="D1347" s="0" t="n">
        <v>1</v>
      </c>
      <c r="E1347" s="6" t="n">
        <v>40808.7180555556</v>
      </c>
      <c r="F1347" s="0" t="n">
        <v>18</v>
      </c>
      <c r="G1347" s="0" t="n">
        <v>12647</v>
      </c>
      <c r="H1347" s="0" t="s">
        <v>33</v>
      </c>
      <c r="I1347" s="7" t="n">
        <f aca="false">IF(AND(LEFT(A1347,1)&lt;&gt;"C",D1347&gt;0,F1347&gt;0),1,0)</f>
        <v>1</v>
      </c>
      <c r="J1347" s="7" t="n">
        <f aca="false">IF(I1347=1,D1347*F1347,0)</f>
        <v>18</v>
      </c>
      <c r="K1347" s="7" t="n">
        <f aca="false">YEAR(E1347)*100+MONTH(E1347)</f>
        <v>201109</v>
      </c>
      <c r="L1347" s="7" t="n">
        <f aca="false">IF(AND(A1347&lt;&gt;A1346,LEFT(A1347,1)&lt;&gt;"C"),1,0)</f>
        <v>0</v>
      </c>
    </row>
    <row r="1348" customFormat="false" ht="15" hidden="false" customHeight="false" outlineLevel="0" collapsed="false">
      <c r="A1348" s="0" t="s">
        <v>1343</v>
      </c>
      <c r="B1348" s="0" t="s">
        <v>465</v>
      </c>
      <c r="C1348" s="0" t="s">
        <v>466</v>
      </c>
      <c r="D1348" s="0" t="n">
        <v>2</v>
      </c>
      <c r="E1348" s="6" t="n">
        <v>40808.71875</v>
      </c>
      <c r="F1348" s="0" t="n">
        <v>7.95</v>
      </c>
      <c r="G1348" s="0" t="n">
        <v>12579</v>
      </c>
      <c r="H1348" s="0" t="s">
        <v>43</v>
      </c>
      <c r="I1348" s="7" t="n">
        <f aca="false">IF(AND(LEFT(A1348,1)&lt;&gt;"C",D1348&gt;0,F1348&gt;0),1,0)</f>
        <v>1</v>
      </c>
      <c r="J1348" s="7" t="n">
        <f aca="false">IF(I1348=1,D1348*F1348,0)</f>
        <v>15.9</v>
      </c>
      <c r="K1348" s="7" t="n">
        <f aca="false">YEAR(E1348)*100+MONTH(E1348)</f>
        <v>201109</v>
      </c>
      <c r="L1348" s="7" t="n">
        <f aca="false">IF(AND(A1348&lt;&gt;A1347,LEFT(A1348,1)&lt;&gt;"C"),1,0)</f>
        <v>1</v>
      </c>
    </row>
    <row r="1349" customFormat="false" ht="15" hidden="false" customHeight="false" outlineLevel="0" collapsed="false">
      <c r="A1349" s="0" t="s">
        <v>1343</v>
      </c>
      <c r="B1349" s="0" t="s">
        <v>463</v>
      </c>
      <c r="C1349" s="0" t="s">
        <v>464</v>
      </c>
      <c r="D1349" s="0" t="n">
        <v>2</v>
      </c>
      <c r="E1349" s="6" t="n">
        <v>40808.71875</v>
      </c>
      <c r="F1349" s="0" t="n">
        <v>7.95</v>
      </c>
      <c r="G1349" s="0" t="n">
        <v>12579</v>
      </c>
      <c r="H1349" s="0" t="s">
        <v>43</v>
      </c>
      <c r="I1349" s="7" t="n">
        <f aca="false">IF(AND(LEFT(A1349,1)&lt;&gt;"C",D1349&gt;0,F1349&gt;0),1,0)</f>
        <v>1</v>
      </c>
      <c r="J1349" s="7" t="n">
        <f aca="false">IF(I1349=1,D1349*F1349,0)</f>
        <v>15.9</v>
      </c>
      <c r="K1349" s="7" t="n">
        <f aca="false">YEAR(E1349)*100+MONTH(E1349)</f>
        <v>201109</v>
      </c>
      <c r="L1349" s="7" t="n">
        <f aca="false">IF(AND(A1349&lt;&gt;A1348,LEFT(A1349,1)&lt;&gt;"C"),1,0)</f>
        <v>0</v>
      </c>
    </row>
    <row r="1350" customFormat="false" ht="15" hidden="false" customHeight="false" outlineLevel="0" collapsed="false">
      <c r="A1350" s="0" t="s">
        <v>1343</v>
      </c>
      <c r="B1350" s="0" t="s">
        <v>1344</v>
      </c>
      <c r="C1350" s="0" t="s">
        <v>1345</v>
      </c>
      <c r="D1350" s="0" t="n">
        <v>6</v>
      </c>
      <c r="E1350" s="6" t="n">
        <v>40808.71875</v>
      </c>
      <c r="F1350" s="0" t="n">
        <v>2.95</v>
      </c>
      <c r="G1350" s="0" t="n">
        <v>12579</v>
      </c>
      <c r="H1350" s="0" t="s">
        <v>43</v>
      </c>
      <c r="I1350" s="7" t="n">
        <f aca="false">IF(AND(LEFT(A1350,1)&lt;&gt;"C",D1350&gt;0,F1350&gt;0),1,0)</f>
        <v>1</v>
      </c>
      <c r="J1350" s="7" t="n">
        <f aca="false">IF(I1350=1,D1350*F1350,0)</f>
        <v>17.7</v>
      </c>
      <c r="K1350" s="7" t="n">
        <f aca="false">YEAR(E1350)*100+MONTH(E1350)</f>
        <v>201109</v>
      </c>
      <c r="L1350" s="7" t="n">
        <f aca="false">IF(AND(A1350&lt;&gt;A1349,LEFT(A1350,1)&lt;&gt;"C"),1,0)</f>
        <v>0</v>
      </c>
    </row>
    <row r="1351" customFormat="false" ht="15" hidden="false" customHeight="false" outlineLevel="0" collapsed="false">
      <c r="A1351" s="0" t="s">
        <v>1343</v>
      </c>
      <c r="B1351" s="0" t="s">
        <v>691</v>
      </c>
      <c r="C1351" s="0" t="s">
        <v>692</v>
      </c>
      <c r="D1351" s="0" t="n">
        <v>12</v>
      </c>
      <c r="E1351" s="6" t="n">
        <v>40808.71875</v>
      </c>
      <c r="F1351" s="0" t="n">
        <v>1.25</v>
      </c>
      <c r="G1351" s="0" t="n">
        <v>12579</v>
      </c>
      <c r="H1351" s="0" t="s">
        <v>43</v>
      </c>
      <c r="I1351" s="7" t="n">
        <f aca="false">IF(AND(LEFT(A1351,1)&lt;&gt;"C",D1351&gt;0,F1351&gt;0),1,0)</f>
        <v>1</v>
      </c>
      <c r="J1351" s="7" t="n">
        <f aca="false">IF(I1351=1,D1351*F1351,0)</f>
        <v>15</v>
      </c>
      <c r="K1351" s="7" t="n">
        <f aca="false">YEAR(E1351)*100+MONTH(E1351)</f>
        <v>201109</v>
      </c>
      <c r="L1351" s="7" t="n">
        <f aca="false">IF(AND(A1351&lt;&gt;A1350,LEFT(A1351,1)&lt;&gt;"C"),1,0)</f>
        <v>0</v>
      </c>
    </row>
    <row r="1352" customFormat="false" ht="15" hidden="false" customHeight="false" outlineLevel="0" collapsed="false">
      <c r="A1352" s="0" t="s">
        <v>1343</v>
      </c>
      <c r="B1352" s="0" t="s">
        <v>1346</v>
      </c>
      <c r="C1352" s="0" t="s">
        <v>1347</v>
      </c>
      <c r="D1352" s="0" t="n">
        <v>6</v>
      </c>
      <c r="E1352" s="6" t="n">
        <v>40808.71875</v>
      </c>
      <c r="F1352" s="0" t="n">
        <v>3.25</v>
      </c>
      <c r="G1352" s="0" t="n">
        <v>12579</v>
      </c>
      <c r="H1352" s="0" t="s">
        <v>43</v>
      </c>
      <c r="I1352" s="7" t="n">
        <f aca="false">IF(AND(LEFT(A1352,1)&lt;&gt;"C",D1352&gt;0,F1352&gt;0),1,0)</f>
        <v>1</v>
      </c>
      <c r="J1352" s="7" t="n">
        <f aca="false">IF(I1352=1,D1352*F1352,0)</f>
        <v>19.5</v>
      </c>
      <c r="K1352" s="7" t="n">
        <f aca="false">YEAR(E1352)*100+MONTH(E1352)</f>
        <v>201109</v>
      </c>
      <c r="L1352" s="7" t="n">
        <f aca="false">IF(AND(A1352&lt;&gt;A1351,LEFT(A1352,1)&lt;&gt;"C"),1,0)</f>
        <v>0</v>
      </c>
    </row>
    <row r="1353" customFormat="false" ht="15" hidden="false" customHeight="false" outlineLevel="0" collapsed="false">
      <c r="A1353" s="0" t="s">
        <v>1343</v>
      </c>
      <c r="B1353" s="0" t="s">
        <v>133</v>
      </c>
      <c r="C1353" s="0" t="s">
        <v>134</v>
      </c>
      <c r="D1353" s="0" t="n">
        <v>6</v>
      </c>
      <c r="E1353" s="6" t="n">
        <v>40808.71875</v>
      </c>
      <c r="F1353" s="0" t="n">
        <v>3.25</v>
      </c>
      <c r="G1353" s="0" t="n">
        <v>12579</v>
      </c>
      <c r="H1353" s="0" t="s">
        <v>43</v>
      </c>
      <c r="I1353" s="7" t="n">
        <f aca="false">IF(AND(LEFT(A1353,1)&lt;&gt;"C",D1353&gt;0,F1353&gt;0),1,0)</f>
        <v>1</v>
      </c>
      <c r="J1353" s="7" t="n">
        <f aca="false">IF(I1353=1,D1353*F1353,0)</f>
        <v>19.5</v>
      </c>
      <c r="K1353" s="7" t="n">
        <f aca="false">YEAR(E1353)*100+MONTH(E1353)</f>
        <v>201109</v>
      </c>
      <c r="L1353" s="7" t="n">
        <f aca="false">IF(AND(A1353&lt;&gt;A1352,LEFT(A1353,1)&lt;&gt;"C"),1,0)</f>
        <v>0</v>
      </c>
    </row>
    <row r="1354" customFormat="false" ht="15" hidden="false" customHeight="false" outlineLevel="0" collapsed="false">
      <c r="A1354" s="0" t="s">
        <v>1343</v>
      </c>
      <c r="B1354" s="0" t="s">
        <v>1348</v>
      </c>
      <c r="C1354" s="0" t="s">
        <v>1349</v>
      </c>
      <c r="D1354" s="0" t="n">
        <v>6</v>
      </c>
      <c r="E1354" s="6" t="n">
        <v>40808.71875</v>
      </c>
      <c r="F1354" s="0" t="n">
        <v>1.95</v>
      </c>
      <c r="G1354" s="0" t="n">
        <v>12579</v>
      </c>
      <c r="H1354" s="0" t="s">
        <v>43</v>
      </c>
      <c r="I1354" s="7" t="n">
        <f aca="false">IF(AND(LEFT(A1354,1)&lt;&gt;"C",D1354&gt;0,F1354&gt;0),1,0)</f>
        <v>1</v>
      </c>
      <c r="J1354" s="7" t="n">
        <f aca="false">IF(I1354=1,D1354*F1354,0)</f>
        <v>11.7</v>
      </c>
      <c r="K1354" s="7" t="n">
        <f aca="false">YEAR(E1354)*100+MONTH(E1354)</f>
        <v>201109</v>
      </c>
      <c r="L1354" s="7" t="n">
        <f aca="false">IF(AND(A1354&lt;&gt;A1353,LEFT(A1354,1)&lt;&gt;"C"),1,0)</f>
        <v>0</v>
      </c>
    </row>
    <row r="1355" customFormat="false" ht="15" hidden="false" customHeight="false" outlineLevel="0" collapsed="false">
      <c r="A1355" s="0" t="s">
        <v>1343</v>
      </c>
      <c r="B1355" s="0" t="s">
        <v>222</v>
      </c>
      <c r="C1355" s="0" t="s">
        <v>223</v>
      </c>
      <c r="D1355" s="0" t="n">
        <v>6</v>
      </c>
      <c r="E1355" s="6" t="n">
        <v>40808.71875</v>
      </c>
      <c r="F1355" s="0" t="n">
        <v>2.25</v>
      </c>
      <c r="G1355" s="0" t="n">
        <v>12579</v>
      </c>
      <c r="H1355" s="0" t="s">
        <v>43</v>
      </c>
      <c r="I1355" s="7" t="n">
        <f aca="false">IF(AND(LEFT(A1355,1)&lt;&gt;"C",D1355&gt;0,F1355&gt;0),1,0)</f>
        <v>1</v>
      </c>
      <c r="J1355" s="7" t="n">
        <f aca="false">IF(I1355=1,D1355*F1355,0)</f>
        <v>13.5</v>
      </c>
      <c r="K1355" s="7" t="n">
        <f aca="false">YEAR(E1355)*100+MONTH(E1355)</f>
        <v>201109</v>
      </c>
      <c r="L1355" s="7" t="n">
        <f aca="false">IF(AND(A1355&lt;&gt;A1354,LEFT(A1355,1)&lt;&gt;"C"),1,0)</f>
        <v>0</v>
      </c>
    </row>
    <row r="1356" customFormat="false" ht="15" hidden="false" customHeight="false" outlineLevel="0" collapsed="false">
      <c r="A1356" s="0" t="s">
        <v>1343</v>
      </c>
      <c r="B1356" s="0" t="s">
        <v>559</v>
      </c>
      <c r="C1356" s="0" t="s">
        <v>560</v>
      </c>
      <c r="D1356" s="0" t="n">
        <v>10</v>
      </c>
      <c r="E1356" s="6" t="n">
        <v>40808.71875</v>
      </c>
      <c r="F1356" s="0" t="n">
        <v>0.85</v>
      </c>
      <c r="G1356" s="0" t="n">
        <v>12579</v>
      </c>
      <c r="H1356" s="0" t="s">
        <v>43</v>
      </c>
      <c r="I1356" s="7" t="n">
        <f aca="false">IF(AND(LEFT(A1356,1)&lt;&gt;"C",D1356&gt;0,F1356&gt;0),1,0)</f>
        <v>1</v>
      </c>
      <c r="J1356" s="7" t="n">
        <f aca="false">IF(I1356=1,D1356*F1356,0)</f>
        <v>8.5</v>
      </c>
      <c r="K1356" s="7" t="n">
        <f aca="false">YEAR(E1356)*100+MONTH(E1356)</f>
        <v>201109</v>
      </c>
      <c r="L1356" s="7" t="n">
        <f aca="false">IF(AND(A1356&lt;&gt;A1355,LEFT(A1356,1)&lt;&gt;"C"),1,0)</f>
        <v>0</v>
      </c>
    </row>
    <row r="1357" customFormat="false" ht="15" hidden="false" customHeight="false" outlineLevel="0" collapsed="false">
      <c r="A1357" s="0" t="s">
        <v>1343</v>
      </c>
      <c r="B1357" s="0" t="s">
        <v>627</v>
      </c>
      <c r="C1357" s="0" t="s">
        <v>628</v>
      </c>
      <c r="D1357" s="0" t="n">
        <v>10</v>
      </c>
      <c r="E1357" s="6" t="n">
        <v>40808.71875</v>
      </c>
      <c r="F1357" s="0" t="n">
        <v>0.85</v>
      </c>
      <c r="G1357" s="0" t="n">
        <v>12579</v>
      </c>
      <c r="H1357" s="0" t="s">
        <v>43</v>
      </c>
      <c r="I1357" s="7" t="n">
        <f aca="false">IF(AND(LEFT(A1357,1)&lt;&gt;"C",D1357&gt;0,F1357&gt;0),1,0)</f>
        <v>1</v>
      </c>
      <c r="J1357" s="7" t="n">
        <f aca="false">IF(I1357=1,D1357*F1357,0)</f>
        <v>8.5</v>
      </c>
      <c r="K1357" s="7" t="n">
        <f aca="false">YEAR(E1357)*100+MONTH(E1357)</f>
        <v>201109</v>
      </c>
      <c r="L1357" s="7" t="n">
        <f aca="false">IF(AND(A1357&lt;&gt;A1356,LEFT(A1357,1)&lt;&gt;"C"),1,0)</f>
        <v>0</v>
      </c>
    </row>
    <row r="1358" customFormat="false" ht="15" hidden="false" customHeight="false" outlineLevel="0" collapsed="false">
      <c r="A1358" s="0" t="s">
        <v>1343</v>
      </c>
      <c r="B1358" s="0" t="s">
        <v>794</v>
      </c>
      <c r="C1358" s="0" t="s">
        <v>795</v>
      </c>
      <c r="D1358" s="0" t="n">
        <v>10</v>
      </c>
      <c r="E1358" s="6" t="n">
        <v>40808.71875</v>
      </c>
      <c r="F1358" s="0" t="n">
        <v>0.85</v>
      </c>
      <c r="G1358" s="0" t="n">
        <v>12579</v>
      </c>
      <c r="H1358" s="0" t="s">
        <v>43</v>
      </c>
      <c r="I1358" s="7" t="n">
        <f aca="false">IF(AND(LEFT(A1358,1)&lt;&gt;"C",D1358&gt;0,F1358&gt;0),1,0)</f>
        <v>1</v>
      </c>
      <c r="J1358" s="7" t="n">
        <f aca="false">IF(I1358=1,D1358*F1358,0)</f>
        <v>8.5</v>
      </c>
      <c r="K1358" s="7" t="n">
        <f aca="false">YEAR(E1358)*100+MONTH(E1358)</f>
        <v>201109</v>
      </c>
      <c r="L1358" s="7" t="n">
        <f aca="false">IF(AND(A1358&lt;&gt;A1357,LEFT(A1358,1)&lt;&gt;"C"),1,0)</f>
        <v>0</v>
      </c>
    </row>
    <row r="1359" customFormat="false" ht="15" hidden="false" customHeight="false" outlineLevel="0" collapsed="false">
      <c r="A1359" s="0" t="s">
        <v>1343</v>
      </c>
      <c r="B1359" s="0" t="s">
        <v>1350</v>
      </c>
      <c r="C1359" s="0" t="s">
        <v>1351</v>
      </c>
      <c r="D1359" s="0" t="n">
        <v>25</v>
      </c>
      <c r="E1359" s="6" t="n">
        <v>40808.71875</v>
      </c>
      <c r="F1359" s="0" t="n">
        <v>0.42</v>
      </c>
      <c r="G1359" s="0" t="n">
        <v>12579</v>
      </c>
      <c r="H1359" s="0" t="s">
        <v>43</v>
      </c>
      <c r="I1359" s="7" t="n">
        <f aca="false">IF(AND(LEFT(A1359,1)&lt;&gt;"C",D1359&gt;0,F1359&gt;0),1,0)</f>
        <v>1</v>
      </c>
      <c r="J1359" s="7" t="n">
        <f aca="false">IF(I1359=1,D1359*F1359,0)</f>
        <v>10.5</v>
      </c>
      <c r="K1359" s="7" t="n">
        <f aca="false">YEAR(E1359)*100+MONTH(E1359)</f>
        <v>201109</v>
      </c>
      <c r="L1359" s="7" t="n">
        <f aca="false">IF(AND(A1359&lt;&gt;A1358,LEFT(A1359,1)&lt;&gt;"C"),1,0)</f>
        <v>0</v>
      </c>
    </row>
    <row r="1360" customFormat="false" ht="15" hidden="false" customHeight="false" outlineLevel="0" collapsed="false">
      <c r="A1360" s="0" t="s">
        <v>1343</v>
      </c>
      <c r="B1360" s="0" t="s">
        <v>1259</v>
      </c>
      <c r="C1360" s="0" t="s">
        <v>1260</v>
      </c>
      <c r="D1360" s="0" t="n">
        <v>25</v>
      </c>
      <c r="E1360" s="6" t="n">
        <v>40808.71875</v>
      </c>
      <c r="F1360" s="0" t="n">
        <v>0.42</v>
      </c>
      <c r="G1360" s="0" t="n">
        <v>12579</v>
      </c>
      <c r="H1360" s="0" t="s">
        <v>43</v>
      </c>
      <c r="I1360" s="7" t="n">
        <f aca="false">IF(AND(LEFT(A1360,1)&lt;&gt;"C",D1360&gt;0,F1360&gt;0),1,0)</f>
        <v>1</v>
      </c>
      <c r="J1360" s="7" t="n">
        <f aca="false">IF(I1360=1,D1360*F1360,0)</f>
        <v>10.5</v>
      </c>
      <c r="K1360" s="7" t="n">
        <f aca="false">YEAR(E1360)*100+MONTH(E1360)</f>
        <v>201109</v>
      </c>
      <c r="L1360" s="7" t="n">
        <f aca="false">IF(AND(A1360&lt;&gt;A1359,LEFT(A1360,1)&lt;&gt;"C"),1,0)</f>
        <v>0</v>
      </c>
    </row>
    <row r="1361" customFormat="false" ht="15" hidden="false" customHeight="false" outlineLevel="0" collapsed="false">
      <c r="A1361" s="0" t="s">
        <v>1343</v>
      </c>
      <c r="B1361" s="0" t="s">
        <v>1170</v>
      </c>
      <c r="C1361" s="0" t="s">
        <v>1171</v>
      </c>
      <c r="D1361" s="0" t="n">
        <v>25</v>
      </c>
      <c r="E1361" s="6" t="n">
        <v>40808.71875</v>
      </c>
      <c r="F1361" s="0" t="n">
        <v>0.42</v>
      </c>
      <c r="G1361" s="0" t="n">
        <v>12579</v>
      </c>
      <c r="H1361" s="0" t="s">
        <v>43</v>
      </c>
      <c r="I1361" s="7" t="n">
        <f aca="false">IF(AND(LEFT(A1361,1)&lt;&gt;"C",D1361&gt;0,F1361&gt;0),1,0)</f>
        <v>1</v>
      </c>
      <c r="J1361" s="7" t="n">
        <f aca="false">IF(I1361=1,D1361*F1361,0)</f>
        <v>10.5</v>
      </c>
      <c r="K1361" s="7" t="n">
        <f aca="false">YEAR(E1361)*100+MONTH(E1361)</f>
        <v>201109</v>
      </c>
      <c r="L1361" s="7" t="n">
        <f aca="false">IF(AND(A1361&lt;&gt;A1360,LEFT(A1361,1)&lt;&gt;"C"),1,0)</f>
        <v>0</v>
      </c>
    </row>
    <row r="1362" customFormat="false" ht="15" hidden="false" customHeight="false" outlineLevel="0" collapsed="false">
      <c r="A1362" s="0" t="s">
        <v>1343</v>
      </c>
      <c r="B1362" s="0" t="s">
        <v>973</v>
      </c>
      <c r="C1362" s="0" t="s">
        <v>974</v>
      </c>
      <c r="D1362" s="0" t="n">
        <v>25</v>
      </c>
      <c r="E1362" s="6" t="n">
        <v>40808.71875</v>
      </c>
      <c r="F1362" s="0" t="n">
        <v>0.42</v>
      </c>
      <c r="G1362" s="0" t="n">
        <v>12579</v>
      </c>
      <c r="H1362" s="0" t="s">
        <v>43</v>
      </c>
      <c r="I1362" s="7" t="n">
        <f aca="false">IF(AND(LEFT(A1362,1)&lt;&gt;"C",D1362&gt;0,F1362&gt;0),1,0)</f>
        <v>1</v>
      </c>
      <c r="J1362" s="7" t="n">
        <f aca="false">IF(I1362=1,D1362*F1362,0)</f>
        <v>10.5</v>
      </c>
      <c r="K1362" s="7" t="n">
        <f aca="false">YEAR(E1362)*100+MONTH(E1362)</f>
        <v>201109</v>
      </c>
      <c r="L1362" s="7" t="n">
        <f aca="false">IF(AND(A1362&lt;&gt;A1361,LEFT(A1362,1)&lt;&gt;"C"),1,0)</f>
        <v>0</v>
      </c>
    </row>
    <row r="1363" customFormat="false" ht="15" hidden="false" customHeight="false" outlineLevel="0" collapsed="false">
      <c r="A1363" s="0" t="s">
        <v>1343</v>
      </c>
      <c r="B1363" s="0" t="s">
        <v>1352</v>
      </c>
      <c r="C1363" s="0" t="s">
        <v>1353</v>
      </c>
      <c r="D1363" s="0" t="n">
        <v>1</v>
      </c>
      <c r="E1363" s="6" t="n">
        <v>40808.71875</v>
      </c>
      <c r="F1363" s="0" t="n">
        <v>12.75</v>
      </c>
      <c r="G1363" s="0" t="n">
        <v>12579</v>
      </c>
      <c r="H1363" s="0" t="s">
        <v>43</v>
      </c>
      <c r="I1363" s="7" t="n">
        <f aca="false">IF(AND(LEFT(A1363,1)&lt;&gt;"C",D1363&gt;0,F1363&gt;0),1,0)</f>
        <v>1</v>
      </c>
      <c r="J1363" s="7" t="n">
        <f aca="false">IF(I1363=1,D1363*F1363,0)</f>
        <v>12.75</v>
      </c>
      <c r="K1363" s="7" t="n">
        <f aca="false">YEAR(E1363)*100+MONTH(E1363)</f>
        <v>201109</v>
      </c>
      <c r="L1363" s="7" t="n">
        <f aca="false">IF(AND(A1363&lt;&gt;A1362,LEFT(A1363,1)&lt;&gt;"C"),1,0)</f>
        <v>0</v>
      </c>
    </row>
    <row r="1364" customFormat="false" ht="15" hidden="false" customHeight="false" outlineLevel="0" collapsed="false">
      <c r="A1364" s="0" t="s">
        <v>1343</v>
      </c>
      <c r="B1364" s="0" t="s">
        <v>1354</v>
      </c>
      <c r="C1364" s="0" t="s">
        <v>1355</v>
      </c>
      <c r="D1364" s="0" t="n">
        <v>12</v>
      </c>
      <c r="E1364" s="6" t="n">
        <v>40808.71875</v>
      </c>
      <c r="F1364" s="0" t="n">
        <v>1.25</v>
      </c>
      <c r="G1364" s="0" t="n">
        <v>12579</v>
      </c>
      <c r="H1364" s="0" t="s">
        <v>43</v>
      </c>
      <c r="I1364" s="7" t="n">
        <f aca="false">IF(AND(LEFT(A1364,1)&lt;&gt;"C",D1364&gt;0,F1364&gt;0),1,0)</f>
        <v>1</v>
      </c>
      <c r="J1364" s="7" t="n">
        <f aca="false">IF(I1364=1,D1364*F1364,0)</f>
        <v>15</v>
      </c>
      <c r="K1364" s="7" t="n">
        <f aca="false">YEAR(E1364)*100+MONTH(E1364)</f>
        <v>201109</v>
      </c>
      <c r="L1364" s="7" t="n">
        <f aca="false">IF(AND(A1364&lt;&gt;A1363,LEFT(A1364,1)&lt;&gt;"C"),1,0)</f>
        <v>0</v>
      </c>
    </row>
    <row r="1365" customFormat="false" ht="15" hidden="false" customHeight="false" outlineLevel="0" collapsed="false">
      <c r="A1365" s="0" t="s">
        <v>1343</v>
      </c>
      <c r="B1365" s="0" t="s">
        <v>1356</v>
      </c>
      <c r="C1365" s="0" t="s">
        <v>1357</v>
      </c>
      <c r="D1365" s="0" t="n">
        <v>6</v>
      </c>
      <c r="E1365" s="6" t="n">
        <v>40808.71875</v>
      </c>
      <c r="F1365" s="0" t="n">
        <v>1.95</v>
      </c>
      <c r="G1365" s="0" t="n">
        <v>12579</v>
      </c>
      <c r="H1365" s="0" t="s">
        <v>43</v>
      </c>
      <c r="I1365" s="7" t="n">
        <f aca="false">IF(AND(LEFT(A1365,1)&lt;&gt;"C",D1365&gt;0,F1365&gt;0),1,0)</f>
        <v>1</v>
      </c>
      <c r="J1365" s="7" t="n">
        <f aca="false">IF(I1365=1,D1365*F1365,0)</f>
        <v>11.7</v>
      </c>
      <c r="K1365" s="7" t="n">
        <f aca="false">YEAR(E1365)*100+MONTH(E1365)</f>
        <v>201109</v>
      </c>
      <c r="L1365" s="7" t="n">
        <f aca="false">IF(AND(A1365&lt;&gt;A1364,LEFT(A1365,1)&lt;&gt;"C"),1,0)</f>
        <v>0</v>
      </c>
    </row>
    <row r="1366" customFormat="false" ht="15" hidden="false" customHeight="false" outlineLevel="0" collapsed="false">
      <c r="A1366" s="0" t="s">
        <v>1343</v>
      </c>
      <c r="B1366" s="0" t="s">
        <v>148</v>
      </c>
      <c r="C1366" s="0" t="s">
        <v>149</v>
      </c>
      <c r="D1366" s="0" t="n">
        <v>1</v>
      </c>
      <c r="E1366" s="6" t="n">
        <v>40808.71875</v>
      </c>
      <c r="F1366" s="0" t="n">
        <v>12.75</v>
      </c>
      <c r="G1366" s="0" t="n">
        <v>12579</v>
      </c>
      <c r="H1366" s="0" t="s">
        <v>43</v>
      </c>
      <c r="I1366" s="7" t="n">
        <f aca="false">IF(AND(LEFT(A1366,1)&lt;&gt;"C",D1366&gt;0,F1366&gt;0),1,0)</f>
        <v>1</v>
      </c>
      <c r="J1366" s="7" t="n">
        <f aca="false">IF(I1366=1,D1366*F1366,0)</f>
        <v>12.75</v>
      </c>
      <c r="K1366" s="7" t="n">
        <f aca="false">YEAR(E1366)*100+MONTH(E1366)</f>
        <v>201109</v>
      </c>
      <c r="L1366" s="7" t="n">
        <f aca="false">IF(AND(A1366&lt;&gt;A1365,LEFT(A1366,1)&lt;&gt;"C"),1,0)</f>
        <v>0</v>
      </c>
    </row>
    <row r="1367" customFormat="false" ht="15" hidden="false" customHeight="false" outlineLevel="0" collapsed="false">
      <c r="A1367" s="0" t="s">
        <v>1343</v>
      </c>
      <c r="B1367" s="0" t="s">
        <v>177</v>
      </c>
      <c r="C1367" s="0" t="s">
        <v>178</v>
      </c>
      <c r="D1367" s="0" t="n">
        <v>8</v>
      </c>
      <c r="E1367" s="6" t="n">
        <v>40808.71875</v>
      </c>
      <c r="F1367" s="0" t="n">
        <v>1.25</v>
      </c>
      <c r="G1367" s="0" t="n">
        <v>12579</v>
      </c>
      <c r="H1367" s="0" t="s">
        <v>43</v>
      </c>
      <c r="I1367" s="7" t="n">
        <f aca="false">IF(AND(LEFT(A1367,1)&lt;&gt;"C",D1367&gt;0,F1367&gt;0),1,0)</f>
        <v>1</v>
      </c>
      <c r="J1367" s="7" t="n">
        <f aca="false">IF(I1367=1,D1367*F1367,0)</f>
        <v>10</v>
      </c>
      <c r="K1367" s="7" t="n">
        <f aca="false">YEAR(E1367)*100+MONTH(E1367)</f>
        <v>201109</v>
      </c>
      <c r="L1367" s="7" t="n">
        <f aca="false">IF(AND(A1367&lt;&gt;A1366,LEFT(A1367,1)&lt;&gt;"C"),1,0)</f>
        <v>0</v>
      </c>
    </row>
    <row r="1368" customFormat="false" ht="15" hidden="false" customHeight="false" outlineLevel="0" collapsed="false">
      <c r="A1368" s="0" t="s">
        <v>1343</v>
      </c>
      <c r="B1368" s="0" t="s">
        <v>171</v>
      </c>
      <c r="C1368" s="0" t="s">
        <v>172</v>
      </c>
      <c r="D1368" s="0" t="n">
        <v>8</v>
      </c>
      <c r="E1368" s="6" t="n">
        <v>40808.71875</v>
      </c>
      <c r="F1368" s="0" t="n">
        <v>1.25</v>
      </c>
      <c r="G1368" s="0" t="n">
        <v>12579</v>
      </c>
      <c r="H1368" s="0" t="s">
        <v>43</v>
      </c>
      <c r="I1368" s="7" t="n">
        <f aca="false">IF(AND(LEFT(A1368,1)&lt;&gt;"C",D1368&gt;0,F1368&gt;0),1,0)</f>
        <v>1</v>
      </c>
      <c r="J1368" s="7" t="n">
        <f aca="false">IF(I1368=1,D1368*F1368,0)</f>
        <v>10</v>
      </c>
      <c r="K1368" s="7" t="n">
        <f aca="false">YEAR(E1368)*100+MONTH(E1368)</f>
        <v>201109</v>
      </c>
      <c r="L1368" s="7" t="n">
        <f aca="false">IF(AND(A1368&lt;&gt;A1367,LEFT(A1368,1)&lt;&gt;"C"),1,0)</f>
        <v>0</v>
      </c>
    </row>
    <row r="1369" customFormat="false" ht="15" hidden="false" customHeight="false" outlineLevel="0" collapsed="false">
      <c r="A1369" s="0" t="s">
        <v>1343</v>
      </c>
      <c r="B1369" s="0" t="s">
        <v>1358</v>
      </c>
      <c r="C1369" s="0" t="s">
        <v>1359</v>
      </c>
      <c r="D1369" s="0" t="n">
        <v>8</v>
      </c>
      <c r="E1369" s="6" t="n">
        <v>40808.71875</v>
      </c>
      <c r="F1369" s="0" t="n">
        <v>1.69</v>
      </c>
      <c r="G1369" s="0" t="n">
        <v>12579</v>
      </c>
      <c r="H1369" s="0" t="s">
        <v>43</v>
      </c>
      <c r="I1369" s="7" t="n">
        <f aca="false">IF(AND(LEFT(A1369,1)&lt;&gt;"C",D1369&gt;0,F1369&gt;0),1,0)</f>
        <v>1</v>
      </c>
      <c r="J1369" s="7" t="n">
        <f aca="false">IF(I1369=1,D1369*F1369,0)</f>
        <v>13.52</v>
      </c>
      <c r="K1369" s="7" t="n">
        <f aca="false">YEAR(E1369)*100+MONTH(E1369)</f>
        <v>201109</v>
      </c>
      <c r="L1369" s="7" t="n">
        <f aca="false">IF(AND(A1369&lt;&gt;A1368,LEFT(A1369,1)&lt;&gt;"C"),1,0)</f>
        <v>0</v>
      </c>
    </row>
    <row r="1370" customFormat="false" ht="15" hidden="false" customHeight="false" outlineLevel="0" collapsed="false">
      <c r="A1370" s="0" t="s">
        <v>1343</v>
      </c>
      <c r="B1370" s="0" t="s">
        <v>1360</v>
      </c>
      <c r="C1370" s="0" t="s">
        <v>1361</v>
      </c>
      <c r="D1370" s="0" t="n">
        <v>8</v>
      </c>
      <c r="E1370" s="6" t="n">
        <v>40808.71875</v>
      </c>
      <c r="F1370" s="0" t="n">
        <v>0.85</v>
      </c>
      <c r="G1370" s="0" t="n">
        <v>12579</v>
      </c>
      <c r="H1370" s="0" t="s">
        <v>43</v>
      </c>
      <c r="I1370" s="7" t="n">
        <f aca="false">IF(AND(LEFT(A1370,1)&lt;&gt;"C",D1370&gt;0,F1370&gt;0),1,0)</f>
        <v>1</v>
      </c>
      <c r="J1370" s="7" t="n">
        <f aca="false">IF(I1370=1,D1370*F1370,0)</f>
        <v>6.8</v>
      </c>
      <c r="K1370" s="7" t="n">
        <f aca="false">YEAR(E1370)*100+MONTH(E1370)</f>
        <v>201109</v>
      </c>
      <c r="L1370" s="7" t="n">
        <f aca="false">IF(AND(A1370&lt;&gt;A1369,LEFT(A1370,1)&lt;&gt;"C"),1,0)</f>
        <v>0</v>
      </c>
    </row>
    <row r="1371" customFormat="false" ht="15" hidden="false" customHeight="false" outlineLevel="0" collapsed="false">
      <c r="A1371" s="0" t="s">
        <v>1343</v>
      </c>
      <c r="B1371" s="0" t="s">
        <v>333</v>
      </c>
      <c r="C1371" s="0" t="s">
        <v>334</v>
      </c>
      <c r="D1371" s="0" t="n">
        <v>12</v>
      </c>
      <c r="E1371" s="6" t="n">
        <v>40808.71875</v>
      </c>
      <c r="F1371" s="0" t="n">
        <v>1.65</v>
      </c>
      <c r="G1371" s="0" t="n">
        <v>12579</v>
      </c>
      <c r="H1371" s="0" t="s">
        <v>43</v>
      </c>
      <c r="I1371" s="7" t="n">
        <f aca="false">IF(AND(LEFT(A1371,1)&lt;&gt;"C",D1371&gt;0,F1371&gt;0),1,0)</f>
        <v>1</v>
      </c>
      <c r="J1371" s="7" t="n">
        <f aca="false">IF(I1371=1,D1371*F1371,0)</f>
        <v>19.8</v>
      </c>
      <c r="K1371" s="7" t="n">
        <f aca="false">YEAR(E1371)*100+MONTH(E1371)</f>
        <v>201109</v>
      </c>
      <c r="L1371" s="7" t="n">
        <f aca="false">IF(AND(A1371&lt;&gt;A1370,LEFT(A1371,1)&lt;&gt;"C"),1,0)</f>
        <v>0</v>
      </c>
    </row>
    <row r="1372" customFormat="false" ht="15" hidden="false" customHeight="false" outlineLevel="0" collapsed="false">
      <c r="A1372" s="0" t="s">
        <v>1343</v>
      </c>
      <c r="B1372" s="0" t="s">
        <v>335</v>
      </c>
      <c r="C1372" s="0" t="s">
        <v>336</v>
      </c>
      <c r="D1372" s="0" t="n">
        <v>12</v>
      </c>
      <c r="E1372" s="6" t="n">
        <v>40808.71875</v>
      </c>
      <c r="F1372" s="0" t="n">
        <v>1.65</v>
      </c>
      <c r="G1372" s="0" t="n">
        <v>12579</v>
      </c>
      <c r="H1372" s="0" t="s">
        <v>43</v>
      </c>
      <c r="I1372" s="7" t="n">
        <f aca="false">IF(AND(LEFT(A1372,1)&lt;&gt;"C",D1372&gt;0,F1372&gt;0),1,0)</f>
        <v>1</v>
      </c>
      <c r="J1372" s="7" t="n">
        <f aca="false">IF(I1372=1,D1372*F1372,0)</f>
        <v>19.8</v>
      </c>
      <c r="K1372" s="7" t="n">
        <f aca="false">YEAR(E1372)*100+MONTH(E1372)</f>
        <v>201109</v>
      </c>
      <c r="L1372" s="7" t="n">
        <f aca="false">IF(AND(A1372&lt;&gt;A1371,LEFT(A1372,1)&lt;&gt;"C"),1,0)</f>
        <v>0</v>
      </c>
    </row>
    <row r="1373" customFormat="false" ht="15" hidden="false" customHeight="false" outlineLevel="0" collapsed="false">
      <c r="A1373" s="0" t="s">
        <v>1343</v>
      </c>
      <c r="B1373" s="0" t="s">
        <v>592</v>
      </c>
      <c r="C1373" s="0" t="s">
        <v>593</v>
      </c>
      <c r="D1373" s="0" t="n">
        <v>6</v>
      </c>
      <c r="E1373" s="6" t="n">
        <v>40808.71875</v>
      </c>
      <c r="F1373" s="0" t="n">
        <v>2.95</v>
      </c>
      <c r="G1373" s="0" t="n">
        <v>12579</v>
      </c>
      <c r="H1373" s="0" t="s">
        <v>43</v>
      </c>
      <c r="I1373" s="7" t="n">
        <f aca="false">IF(AND(LEFT(A1373,1)&lt;&gt;"C",D1373&gt;0,F1373&gt;0),1,0)</f>
        <v>1</v>
      </c>
      <c r="J1373" s="7" t="n">
        <f aca="false">IF(I1373=1,D1373*F1373,0)</f>
        <v>17.7</v>
      </c>
      <c r="K1373" s="7" t="n">
        <f aca="false">YEAR(E1373)*100+MONTH(E1373)</f>
        <v>201109</v>
      </c>
      <c r="L1373" s="7" t="n">
        <f aca="false">IF(AND(A1373&lt;&gt;A1372,LEFT(A1373,1)&lt;&gt;"C"),1,0)</f>
        <v>0</v>
      </c>
    </row>
    <row r="1374" customFormat="false" ht="15" hidden="false" customHeight="false" outlineLevel="0" collapsed="false">
      <c r="A1374" s="0" t="s">
        <v>1343</v>
      </c>
      <c r="B1374" s="0" t="s">
        <v>535</v>
      </c>
      <c r="C1374" s="0" t="s">
        <v>536</v>
      </c>
      <c r="D1374" s="0" t="n">
        <v>16</v>
      </c>
      <c r="E1374" s="6" t="n">
        <v>40808.71875</v>
      </c>
      <c r="F1374" s="0" t="n">
        <v>1.25</v>
      </c>
      <c r="G1374" s="0" t="n">
        <v>12579</v>
      </c>
      <c r="H1374" s="0" t="s">
        <v>43</v>
      </c>
      <c r="I1374" s="7" t="n">
        <f aca="false">IF(AND(LEFT(A1374,1)&lt;&gt;"C",D1374&gt;0,F1374&gt;0),1,0)</f>
        <v>1</v>
      </c>
      <c r="J1374" s="7" t="n">
        <f aca="false">IF(I1374=1,D1374*F1374,0)</f>
        <v>20</v>
      </c>
      <c r="K1374" s="7" t="n">
        <f aca="false">YEAR(E1374)*100+MONTH(E1374)</f>
        <v>201109</v>
      </c>
      <c r="L1374" s="7" t="n">
        <f aca="false">IF(AND(A1374&lt;&gt;A1373,LEFT(A1374,1)&lt;&gt;"C"),1,0)</f>
        <v>0</v>
      </c>
    </row>
    <row r="1375" customFormat="false" ht="15" hidden="false" customHeight="false" outlineLevel="0" collapsed="false">
      <c r="A1375" s="0" t="s">
        <v>1343</v>
      </c>
      <c r="B1375" s="0" t="s">
        <v>257</v>
      </c>
      <c r="C1375" s="0" t="s">
        <v>258</v>
      </c>
      <c r="D1375" s="0" t="n">
        <v>8</v>
      </c>
      <c r="E1375" s="6" t="n">
        <v>40808.71875</v>
      </c>
      <c r="F1375" s="0" t="n">
        <v>2.55</v>
      </c>
      <c r="G1375" s="0" t="n">
        <v>12579</v>
      </c>
      <c r="H1375" s="0" t="s">
        <v>43</v>
      </c>
      <c r="I1375" s="7" t="n">
        <f aca="false">IF(AND(LEFT(A1375,1)&lt;&gt;"C",D1375&gt;0,F1375&gt;0),1,0)</f>
        <v>1</v>
      </c>
      <c r="J1375" s="7" t="n">
        <f aca="false">IF(I1375=1,D1375*F1375,0)</f>
        <v>20.4</v>
      </c>
      <c r="K1375" s="7" t="n">
        <f aca="false">YEAR(E1375)*100+MONTH(E1375)</f>
        <v>201109</v>
      </c>
      <c r="L1375" s="7" t="n">
        <f aca="false">IF(AND(A1375&lt;&gt;A1374,LEFT(A1375,1)&lt;&gt;"C"),1,0)</f>
        <v>0</v>
      </c>
    </row>
    <row r="1376" customFormat="false" ht="15" hidden="false" customHeight="false" outlineLevel="0" collapsed="false">
      <c r="A1376" s="0" t="s">
        <v>1343</v>
      </c>
      <c r="B1376" s="0" t="s">
        <v>84</v>
      </c>
      <c r="C1376" s="0" t="s">
        <v>85</v>
      </c>
      <c r="D1376" s="0" t="n">
        <v>3</v>
      </c>
      <c r="E1376" s="6" t="n">
        <v>40808.71875</v>
      </c>
      <c r="F1376" s="0" t="n">
        <v>18</v>
      </c>
      <c r="G1376" s="0" t="n">
        <v>12579</v>
      </c>
      <c r="H1376" s="0" t="s">
        <v>43</v>
      </c>
      <c r="I1376" s="7" t="n">
        <f aca="false">IF(AND(LEFT(A1376,1)&lt;&gt;"C",D1376&gt;0,F1376&gt;0),1,0)</f>
        <v>1</v>
      </c>
      <c r="J1376" s="7" t="n">
        <f aca="false">IF(I1376=1,D1376*F1376,0)</f>
        <v>54</v>
      </c>
      <c r="K1376" s="7" t="n">
        <f aca="false">YEAR(E1376)*100+MONTH(E1376)</f>
        <v>201109</v>
      </c>
      <c r="L1376" s="7" t="n">
        <f aca="false">IF(AND(A1376&lt;&gt;A1375,LEFT(A1376,1)&lt;&gt;"C"),1,0)</f>
        <v>0</v>
      </c>
    </row>
    <row r="1377" customFormat="false" ht="15" hidden="false" customHeight="false" outlineLevel="0" collapsed="false">
      <c r="A1377" s="0" t="s">
        <v>1362</v>
      </c>
      <c r="B1377" s="0" t="s">
        <v>84</v>
      </c>
      <c r="C1377" s="0" t="s">
        <v>85</v>
      </c>
      <c r="D1377" s="0" t="n">
        <v>-1</v>
      </c>
      <c r="E1377" s="6" t="n">
        <v>40808.7215277778</v>
      </c>
      <c r="F1377" s="0" t="n">
        <v>18</v>
      </c>
      <c r="G1377" s="0" t="n">
        <v>12579</v>
      </c>
      <c r="H1377" s="0" t="s">
        <v>43</v>
      </c>
      <c r="I1377" s="7" t="n">
        <f aca="false">IF(AND(LEFT(A1377,1)&lt;&gt;"C",D1377&gt;0,F1377&gt;0),1,0)</f>
        <v>0</v>
      </c>
      <c r="J1377" s="7" t="n">
        <f aca="false">IF(I1377=1,D1377*F1377,0)</f>
        <v>0</v>
      </c>
      <c r="K1377" s="7" t="n">
        <f aca="false">YEAR(E1377)*100+MONTH(E1377)</f>
        <v>201109</v>
      </c>
      <c r="L1377" s="7" t="n">
        <f aca="false">IF(AND(A1377&lt;&gt;A1376,LEFT(A1377,1)&lt;&gt;"C"),1,0)</f>
        <v>0</v>
      </c>
    </row>
    <row r="1378" customFormat="false" ht="15" hidden="false" customHeight="false" outlineLevel="0" collapsed="false">
      <c r="A1378" s="0" t="s">
        <v>1363</v>
      </c>
      <c r="B1378" s="0" t="s">
        <v>1341</v>
      </c>
      <c r="C1378" s="0" t="s">
        <v>1342</v>
      </c>
      <c r="D1378" s="0" t="n">
        <v>6</v>
      </c>
      <c r="E1378" s="6" t="n">
        <v>40808.7256944445</v>
      </c>
      <c r="F1378" s="0" t="n">
        <v>4.95</v>
      </c>
      <c r="G1378" s="0" t="n">
        <v>12471</v>
      </c>
      <c r="H1378" s="0" t="s">
        <v>33</v>
      </c>
      <c r="I1378" s="7" t="n">
        <f aca="false">IF(AND(LEFT(A1378,1)&lt;&gt;"C",D1378&gt;0,F1378&gt;0),1,0)</f>
        <v>1</v>
      </c>
      <c r="J1378" s="7" t="n">
        <f aca="false">IF(I1378=1,D1378*F1378,0)</f>
        <v>29.7</v>
      </c>
      <c r="K1378" s="7" t="n">
        <f aca="false">YEAR(E1378)*100+MONTH(E1378)</f>
        <v>201109</v>
      </c>
      <c r="L1378" s="7" t="n">
        <f aca="false">IF(AND(A1378&lt;&gt;A1377,LEFT(A1378,1)&lt;&gt;"C"),1,0)</f>
        <v>1</v>
      </c>
    </row>
    <row r="1379" customFormat="false" ht="15" hidden="false" customHeight="false" outlineLevel="0" collapsed="false">
      <c r="A1379" s="0" t="s">
        <v>1363</v>
      </c>
      <c r="B1379" s="0" t="s">
        <v>1364</v>
      </c>
      <c r="C1379" s="0" t="s">
        <v>1365</v>
      </c>
      <c r="D1379" s="0" t="n">
        <v>36</v>
      </c>
      <c r="E1379" s="6" t="n">
        <v>40808.7256944445</v>
      </c>
      <c r="F1379" s="0" t="n">
        <v>1.95</v>
      </c>
      <c r="G1379" s="0" t="n">
        <v>12471</v>
      </c>
      <c r="H1379" s="0" t="s">
        <v>33</v>
      </c>
      <c r="I1379" s="7" t="n">
        <f aca="false">IF(AND(LEFT(A1379,1)&lt;&gt;"C",D1379&gt;0,F1379&gt;0),1,0)</f>
        <v>1</v>
      </c>
      <c r="J1379" s="7" t="n">
        <f aca="false">IF(I1379=1,D1379*F1379,0)</f>
        <v>70.2</v>
      </c>
      <c r="K1379" s="7" t="n">
        <f aca="false">YEAR(E1379)*100+MONTH(E1379)</f>
        <v>201109</v>
      </c>
      <c r="L1379" s="7" t="n">
        <f aca="false">IF(AND(A1379&lt;&gt;A1378,LEFT(A1379,1)&lt;&gt;"C"),1,0)</f>
        <v>0</v>
      </c>
    </row>
    <row r="1380" customFormat="false" ht="15" hidden="false" customHeight="false" outlineLevel="0" collapsed="false">
      <c r="A1380" s="0" t="s">
        <v>1363</v>
      </c>
      <c r="B1380" s="0" t="s">
        <v>583</v>
      </c>
      <c r="C1380" s="0" t="s">
        <v>584</v>
      </c>
      <c r="D1380" s="0" t="n">
        <v>12</v>
      </c>
      <c r="E1380" s="6" t="n">
        <v>40808.7256944445</v>
      </c>
      <c r="F1380" s="0" t="n">
        <v>1.45</v>
      </c>
      <c r="G1380" s="0" t="n">
        <v>12471</v>
      </c>
      <c r="H1380" s="0" t="s">
        <v>33</v>
      </c>
      <c r="I1380" s="7" t="n">
        <f aca="false">IF(AND(LEFT(A1380,1)&lt;&gt;"C",D1380&gt;0,F1380&gt;0),1,0)</f>
        <v>1</v>
      </c>
      <c r="J1380" s="7" t="n">
        <f aca="false">IF(I1380=1,D1380*F1380,0)</f>
        <v>17.4</v>
      </c>
      <c r="K1380" s="7" t="n">
        <f aca="false">YEAR(E1380)*100+MONTH(E1380)</f>
        <v>201109</v>
      </c>
      <c r="L1380" s="7" t="n">
        <f aca="false">IF(AND(A1380&lt;&gt;A1379,LEFT(A1380,1)&lt;&gt;"C"),1,0)</f>
        <v>0</v>
      </c>
    </row>
    <row r="1381" customFormat="false" ht="15" hidden="false" customHeight="false" outlineLevel="0" collapsed="false">
      <c r="A1381" s="0" t="s">
        <v>1363</v>
      </c>
      <c r="B1381" s="0" t="s">
        <v>471</v>
      </c>
      <c r="C1381" s="0" t="s">
        <v>472</v>
      </c>
      <c r="D1381" s="0" t="n">
        <v>12</v>
      </c>
      <c r="E1381" s="6" t="n">
        <v>40808.7256944445</v>
      </c>
      <c r="F1381" s="0" t="n">
        <v>1.65</v>
      </c>
      <c r="G1381" s="0" t="n">
        <v>12471</v>
      </c>
      <c r="H1381" s="0" t="s">
        <v>33</v>
      </c>
      <c r="I1381" s="7" t="n">
        <f aca="false">IF(AND(LEFT(A1381,1)&lt;&gt;"C",D1381&gt;0,F1381&gt;0),1,0)</f>
        <v>1</v>
      </c>
      <c r="J1381" s="7" t="n">
        <f aca="false">IF(I1381=1,D1381*F1381,0)</f>
        <v>19.8</v>
      </c>
      <c r="K1381" s="7" t="n">
        <f aca="false">YEAR(E1381)*100+MONTH(E1381)</f>
        <v>201109</v>
      </c>
      <c r="L1381" s="7" t="n">
        <f aca="false">IF(AND(A1381&lt;&gt;A1380,LEFT(A1381,1)&lt;&gt;"C"),1,0)</f>
        <v>0</v>
      </c>
    </row>
    <row r="1382" customFormat="false" ht="15" hidden="false" customHeight="false" outlineLevel="0" collapsed="false">
      <c r="A1382" s="0" t="s">
        <v>1363</v>
      </c>
      <c r="B1382" s="0" t="s">
        <v>1366</v>
      </c>
      <c r="C1382" s="0" t="s">
        <v>1367</v>
      </c>
      <c r="D1382" s="0" t="n">
        <v>48</v>
      </c>
      <c r="E1382" s="6" t="n">
        <v>40808.7256944445</v>
      </c>
      <c r="F1382" s="0" t="n">
        <v>0.85</v>
      </c>
      <c r="G1382" s="0" t="n">
        <v>12471</v>
      </c>
      <c r="H1382" s="0" t="s">
        <v>33</v>
      </c>
      <c r="I1382" s="7" t="n">
        <f aca="false">IF(AND(LEFT(A1382,1)&lt;&gt;"C",D1382&gt;0,F1382&gt;0),1,0)</f>
        <v>1</v>
      </c>
      <c r="J1382" s="7" t="n">
        <f aca="false">IF(I1382=1,D1382*F1382,0)</f>
        <v>40.8</v>
      </c>
      <c r="K1382" s="7" t="n">
        <f aca="false">YEAR(E1382)*100+MONTH(E1382)</f>
        <v>201109</v>
      </c>
      <c r="L1382" s="7" t="n">
        <f aca="false">IF(AND(A1382&lt;&gt;A1381,LEFT(A1382,1)&lt;&gt;"C"),1,0)</f>
        <v>0</v>
      </c>
    </row>
    <row r="1383" customFormat="false" ht="15" hidden="false" customHeight="false" outlineLevel="0" collapsed="false">
      <c r="A1383" s="0" t="s">
        <v>1363</v>
      </c>
      <c r="B1383" s="0" t="s">
        <v>830</v>
      </c>
      <c r="C1383" s="0" t="s">
        <v>831</v>
      </c>
      <c r="D1383" s="0" t="n">
        <v>12</v>
      </c>
      <c r="E1383" s="6" t="n">
        <v>40808.7256944445</v>
      </c>
      <c r="F1383" s="0" t="n">
        <v>0.83</v>
      </c>
      <c r="G1383" s="0" t="n">
        <v>12471</v>
      </c>
      <c r="H1383" s="0" t="s">
        <v>33</v>
      </c>
      <c r="I1383" s="7" t="n">
        <f aca="false">IF(AND(LEFT(A1383,1)&lt;&gt;"C",D1383&gt;0,F1383&gt;0),1,0)</f>
        <v>1</v>
      </c>
      <c r="J1383" s="7" t="n">
        <f aca="false">IF(I1383=1,D1383*F1383,0)</f>
        <v>9.96</v>
      </c>
      <c r="K1383" s="7" t="n">
        <f aca="false">YEAR(E1383)*100+MONTH(E1383)</f>
        <v>201109</v>
      </c>
      <c r="L1383" s="7" t="n">
        <f aca="false">IF(AND(A1383&lt;&gt;A1382,LEFT(A1383,1)&lt;&gt;"C"),1,0)</f>
        <v>0</v>
      </c>
    </row>
    <row r="1384" customFormat="false" ht="15" hidden="false" customHeight="false" outlineLevel="0" collapsed="false">
      <c r="A1384" s="0" t="s">
        <v>1363</v>
      </c>
      <c r="B1384" s="0" t="s">
        <v>140</v>
      </c>
      <c r="C1384" s="0" t="s">
        <v>141</v>
      </c>
      <c r="D1384" s="0" t="n">
        <v>12</v>
      </c>
      <c r="E1384" s="6" t="n">
        <v>40808.7256944445</v>
      </c>
      <c r="F1384" s="0" t="n">
        <v>1.45</v>
      </c>
      <c r="G1384" s="0" t="n">
        <v>12471</v>
      </c>
      <c r="H1384" s="0" t="s">
        <v>33</v>
      </c>
      <c r="I1384" s="7" t="n">
        <f aca="false">IF(AND(LEFT(A1384,1)&lt;&gt;"C",D1384&gt;0,F1384&gt;0),1,0)</f>
        <v>1</v>
      </c>
      <c r="J1384" s="7" t="n">
        <f aca="false">IF(I1384=1,D1384*F1384,0)</f>
        <v>17.4</v>
      </c>
      <c r="K1384" s="7" t="n">
        <f aca="false">YEAR(E1384)*100+MONTH(E1384)</f>
        <v>201109</v>
      </c>
      <c r="L1384" s="7" t="n">
        <f aca="false">IF(AND(A1384&lt;&gt;A1383,LEFT(A1384,1)&lt;&gt;"C"),1,0)</f>
        <v>0</v>
      </c>
    </row>
    <row r="1385" customFormat="false" ht="15" hidden="false" customHeight="false" outlineLevel="0" collapsed="false">
      <c r="A1385" s="0" t="s">
        <v>1363</v>
      </c>
      <c r="B1385" s="0" t="s">
        <v>84</v>
      </c>
      <c r="C1385" s="0" t="s">
        <v>85</v>
      </c>
      <c r="D1385" s="0" t="n">
        <v>1</v>
      </c>
      <c r="E1385" s="6" t="n">
        <v>40808.7256944445</v>
      </c>
      <c r="F1385" s="0" t="n">
        <v>18</v>
      </c>
      <c r="G1385" s="0" t="n">
        <v>12471</v>
      </c>
      <c r="H1385" s="0" t="s">
        <v>33</v>
      </c>
      <c r="I1385" s="7" t="n">
        <f aca="false">IF(AND(LEFT(A1385,1)&lt;&gt;"C",D1385&gt;0,F1385&gt;0),1,0)</f>
        <v>1</v>
      </c>
      <c r="J1385" s="7" t="n">
        <f aca="false">IF(I1385=1,D1385*F1385,0)</f>
        <v>18</v>
      </c>
      <c r="K1385" s="7" t="n">
        <f aca="false">YEAR(E1385)*100+MONTH(E1385)</f>
        <v>201109</v>
      </c>
      <c r="L1385" s="7" t="n">
        <f aca="false">IF(AND(A1385&lt;&gt;A1384,LEFT(A1385,1)&lt;&gt;"C"),1,0)</f>
        <v>0</v>
      </c>
    </row>
    <row r="1386" customFormat="false" ht="15" hidden="false" customHeight="false" outlineLevel="0" collapsed="false">
      <c r="A1386" s="0" t="s">
        <v>1368</v>
      </c>
      <c r="B1386" s="0" t="s">
        <v>1364</v>
      </c>
      <c r="C1386" s="0" t="s">
        <v>1365</v>
      </c>
      <c r="D1386" s="0" t="n">
        <v>96</v>
      </c>
      <c r="E1386" s="6" t="n">
        <v>40809.375</v>
      </c>
      <c r="F1386" s="0" t="n">
        <v>1.65</v>
      </c>
      <c r="G1386" s="0" t="n">
        <v>12619</v>
      </c>
      <c r="H1386" s="0" t="s">
        <v>33</v>
      </c>
      <c r="I1386" s="7" t="n">
        <f aca="false">IF(AND(LEFT(A1386,1)&lt;&gt;"C",D1386&gt;0,F1386&gt;0),1,0)</f>
        <v>1</v>
      </c>
      <c r="J1386" s="7" t="n">
        <f aca="false">IF(I1386=1,D1386*F1386,0)</f>
        <v>158.4</v>
      </c>
      <c r="K1386" s="7" t="n">
        <f aca="false">YEAR(E1386)*100+MONTH(E1386)</f>
        <v>201109</v>
      </c>
      <c r="L1386" s="7" t="n">
        <f aca="false">IF(AND(A1386&lt;&gt;A1385,LEFT(A1386,1)&lt;&gt;"C"),1,0)</f>
        <v>1</v>
      </c>
    </row>
    <row r="1387" customFormat="false" ht="15" hidden="false" customHeight="false" outlineLevel="0" collapsed="false">
      <c r="A1387" s="0" t="s">
        <v>1368</v>
      </c>
      <c r="B1387" s="0" t="s">
        <v>792</v>
      </c>
      <c r="C1387" s="0" t="s">
        <v>793</v>
      </c>
      <c r="D1387" s="0" t="n">
        <v>96</v>
      </c>
      <c r="E1387" s="6" t="n">
        <v>40809.375</v>
      </c>
      <c r="F1387" s="0" t="n">
        <v>1.65</v>
      </c>
      <c r="G1387" s="0" t="n">
        <v>12619</v>
      </c>
      <c r="H1387" s="0" t="s">
        <v>33</v>
      </c>
      <c r="I1387" s="7" t="n">
        <f aca="false">IF(AND(LEFT(A1387,1)&lt;&gt;"C",D1387&gt;0,F1387&gt;0),1,0)</f>
        <v>1</v>
      </c>
      <c r="J1387" s="7" t="n">
        <f aca="false">IF(I1387=1,D1387*F1387,0)</f>
        <v>158.4</v>
      </c>
      <c r="K1387" s="7" t="n">
        <f aca="false">YEAR(E1387)*100+MONTH(E1387)</f>
        <v>201109</v>
      </c>
      <c r="L1387" s="7" t="n">
        <f aca="false">IF(AND(A1387&lt;&gt;A1386,LEFT(A1387,1)&lt;&gt;"C"),1,0)</f>
        <v>0</v>
      </c>
    </row>
    <row r="1388" customFormat="false" ht="15" hidden="false" customHeight="false" outlineLevel="0" collapsed="false">
      <c r="A1388" s="0" t="s">
        <v>1368</v>
      </c>
      <c r="B1388" s="0" t="s">
        <v>1369</v>
      </c>
      <c r="C1388" s="0" t="s">
        <v>1370</v>
      </c>
      <c r="D1388" s="0" t="n">
        <v>36</v>
      </c>
      <c r="E1388" s="6" t="n">
        <v>40809.375</v>
      </c>
      <c r="F1388" s="0" t="n">
        <v>0.39</v>
      </c>
      <c r="G1388" s="0" t="n">
        <v>12619</v>
      </c>
      <c r="H1388" s="0" t="s">
        <v>33</v>
      </c>
      <c r="I1388" s="7" t="n">
        <f aca="false">IF(AND(LEFT(A1388,1)&lt;&gt;"C",D1388&gt;0,F1388&gt;0),1,0)</f>
        <v>1</v>
      </c>
      <c r="J1388" s="7" t="n">
        <f aca="false">IF(I1388=1,D1388*F1388,0)</f>
        <v>14.04</v>
      </c>
      <c r="K1388" s="7" t="n">
        <f aca="false">YEAR(E1388)*100+MONTH(E1388)</f>
        <v>201109</v>
      </c>
      <c r="L1388" s="7" t="n">
        <f aca="false">IF(AND(A1388&lt;&gt;A1387,LEFT(A1388,1)&lt;&gt;"C"),1,0)</f>
        <v>0</v>
      </c>
    </row>
    <row r="1389" customFormat="false" ht="15" hidden="false" customHeight="false" outlineLevel="0" collapsed="false">
      <c r="A1389" s="0" t="s">
        <v>1368</v>
      </c>
      <c r="B1389" s="0" t="s">
        <v>1371</v>
      </c>
      <c r="C1389" s="0" t="s">
        <v>1372</v>
      </c>
      <c r="D1389" s="0" t="n">
        <v>24</v>
      </c>
      <c r="E1389" s="6" t="n">
        <v>40809.375</v>
      </c>
      <c r="F1389" s="0" t="n">
        <v>0.29</v>
      </c>
      <c r="G1389" s="0" t="n">
        <v>12619</v>
      </c>
      <c r="H1389" s="0" t="s">
        <v>33</v>
      </c>
      <c r="I1389" s="7" t="n">
        <f aca="false">IF(AND(LEFT(A1389,1)&lt;&gt;"C",D1389&gt;0,F1389&gt;0),1,0)</f>
        <v>1</v>
      </c>
      <c r="J1389" s="7" t="n">
        <f aca="false">IF(I1389=1,D1389*F1389,0)</f>
        <v>6.96</v>
      </c>
      <c r="K1389" s="7" t="n">
        <f aca="false">YEAR(E1389)*100+MONTH(E1389)</f>
        <v>201109</v>
      </c>
      <c r="L1389" s="7" t="n">
        <f aca="false">IF(AND(A1389&lt;&gt;A1388,LEFT(A1389,1)&lt;&gt;"C"),1,0)</f>
        <v>0</v>
      </c>
    </row>
    <row r="1390" customFormat="false" ht="15" hidden="false" customHeight="false" outlineLevel="0" collapsed="false">
      <c r="A1390" s="0" t="s">
        <v>1368</v>
      </c>
      <c r="B1390" s="0" t="s">
        <v>1373</v>
      </c>
      <c r="C1390" s="0" t="s">
        <v>1374</v>
      </c>
      <c r="D1390" s="0" t="n">
        <v>48</v>
      </c>
      <c r="E1390" s="6" t="n">
        <v>40809.375</v>
      </c>
      <c r="F1390" s="0" t="n">
        <v>0.19</v>
      </c>
      <c r="G1390" s="0" t="n">
        <v>12619</v>
      </c>
      <c r="H1390" s="0" t="s">
        <v>33</v>
      </c>
      <c r="I1390" s="7" t="n">
        <f aca="false">IF(AND(LEFT(A1390,1)&lt;&gt;"C",D1390&gt;0,F1390&gt;0),1,0)</f>
        <v>1</v>
      </c>
      <c r="J1390" s="7" t="n">
        <f aca="false">IF(I1390=1,D1390*F1390,0)</f>
        <v>9.12</v>
      </c>
      <c r="K1390" s="7" t="n">
        <f aca="false">YEAR(E1390)*100+MONTH(E1390)</f>
        <v>201109</v>
      </c>
      <c r="L1390" s="7" t="n">
        <f aca="false">IF(AND(A1390&lt;&gt;A1389,LEFT(A1390,1)&lt;&gt;"C"),1,0)</f>
        <v>0</v>
      </c>
    </row>
    <row r="1391" customFormat="false" ht="15" hidden="false" customHeight="false" outlineLevel="0" collapsed="false">
      <c r="A1391" s="0" t="s">
        <v>1368</v>
      </c>
      <c r="B1391" s="0" t="s">
        <v>171</v>
      </c>
      <c r="C1391" s="0" t="s">
        <v>172</v>
      </c>
      <c r="D1391" s="0" t="n">
        <v>8</v>
      </c>
      <c r="E1391" s="6" t="n">
        <v>40809.375</v>
      </c>
      <c r="F1391" s="0" t="n">
        <v>1.25</v>
      </c>
      <c r="G1391" s="0" t="n">
        <v>12619</v>
      </c>
      <c r="H1391" s="0" t="s">
        <v>33</v>
      </c>
      <c r="I1391" s="7" t="n">
        <f aca="false">IF(AND(LEFT(A1391,1)&lt;&gt;"C",D1391&gt;0,F1391&gt;0),1,0)</f>
        <v>1</v>
      </c>
      <c r="J1391" s="7" t="n">
        <f aca="false">IF(I1391=1,D1391*F1391,0)</f>
        <v>10</v>
      </c>
      <c r="K1391" s="7" t="n">
        <f aca="false">YEAR(E1391)*100+MONTH(E1391)</f>
        <v>201109</v>
      </c>
      <c r="L1391" s="7" t="n">
        <f aca="false">IF(AND(A1391&lt;&gt;A1390,LEFT(A1391,1)&lt;&gt;"C"),1,0)</f>
        <v>0</v>
      </c>
    </row>
    <row r="1392" customFormat="false" ht="15" hidden="false" customHeight="false" outlineLevel="0" collapsed="false">
      <c r="A1392" s="0" t="s">
        <v>1368</v>
      </c>
      <c r="B1392" s="0" t="s">
        <v>173</v>
      </c>
      <c r="C1392" s="0" t="s">
        <v>174</v>
      </c>
      <c r="D1392" s="0" t="n">
        <v>8</v>
      </c>
      <c r="E1392" s="6" t="n">
        <v>40809.375</v>
      </c>
      <c r="F1392" s="0" t="n">
        <v>1.25</v>
      </c>
      <c r="G1392" s="0" t="n">
        <v>12619</v>
      </c>
      <c r="H1392" s="0" t="s">
        <v>33</v>
      </c>
      <c r="I1392" s="7" t="n">
        <f aca="false">IF(AND(LEFT(A1392,1)&lt;&gt;"C",D1392&gt;0,F1392&gt;0),1,0)</f>
        <v>1</v>
      </c>
      <c r="J1392" s="7" t="n">
        <f aca="false">IF(I1392=1,D1392*F1392,0)</f>
        <v>10</v>
      </c>
      <c r="K1392" s="7" t="n">
        <f aca="false">YEAR(E1392)*100+MONTH(E1392)</f>
        <v>201109</v>
      </c>
      <c r="L1392" s="7" t="n">
        <f aca="false">IF(AND(A1392&lt;&gt;A1391,LEFT(A1392,1)&lt;&gt;"C"),1,0)</f>
        <v>0</v>
      </c>
    </row>
    <row r="1393" customFormat="false" ht="15" hidden="false" customHeight="false" outlineLevel="0" collapsed="false">
      <c r="A1393" s="0" t="s">
        <v>1368</v>
      </c>
      <c r="B1393" s="0" t="s">
        <v>1375</v>
      </c>
      <c r="C1393" s="0" t="s">
        <v>1376</v>
      </c>
      <c r="D1393" s="0" t="n">
        <v>12</v>
      </c>
      <c r="E1393" s="6" t="n">
        <v>40809.375</v>
      </c>
      <c r="F1393" s="0" t="n">
        <v>1.45</v>
      </c>
      <c r="G1393" s="0" t="n">
        <v>12619</v>
      </c>
      <c r="H1393" s="0" t="s">
        <v>33</v>
      </c>
      <c r="I1393" s="7" t="n">
        <f aca="false">IF(AND(LEFT(A1393,1)&lt;&gt;"C",D1393&gt;0,F1393&gt;0),1,0)</f>
        <v>1</v>
      </c>
      <c r="J1393" s="7" t="n">
        <f aca="false">IF(I1393=1,D1393*F1393,0)</f>
        <v>17.4</v>
      </c>
      <c r="K1393" s="7" t="n">
        <f aca="false">YEAR(E1393)*100+MONTH(E1393)</f>
        <v>201109</v>
      </c>
      <c r="L1393" s="7" t="n">
        <f aca="false">IF(AND(A1393&lt;&gt;A1392,LEFT(A1393,1)&lt;&gt;"C"),1,0)</f>
        <v>0</v>
      </c>
    </row>
    <row r="1394" customFormat="false" ht="15" hidden="false" customHeight="false" outlineLevel="0" collapsed="false">
      <c r="A1394" s="0" t="s">
        <v>1368</v>
      </c>
      <c r="B1394" s="0" t="s">
        <v>217</v>
      </c>
      <c r="C1394" s="0" t="s">
        <v>218</v>
      </c>
      <c r="D1394" s="0" t="n">
        <v>24</v>
      </c>
      <c r="E1394" s="6" t="n">
        <v>40809.375</v>
      </c>
      <c r="F1394" s="0" t="n">
        <v>0.55</v>
      </c>
      <c r="G1394" s="0" t="n">
        <v>12619</v>
      </c>
      <c r="H1394" s="0" t="s">
        <v>33</v>
      </c>
      <c r="I1394" s="7" t="n">
        <f aca="false">IF(AND(LEFT(A1394,1)&lt;&gt;"C",D1394&gt;0,F1394&gt;0),1,0)</f>
        <v>1</v>
      </c>
      <c r="J1394" s="7" t="n">
        <f aca="false">IF(I1394=1,D1394*F1394,0)</f>
        <v>13.2</v>
      </c>
      <c r="K1394" s="7" t="n">
        <f aca="false">YEAR(E1394)*100+MONTH(E1394)</f>
        <v>201109</v>
      </c>
      <c r="L1394" s="7" t="n">
        <f aca="false">IF(AND(A1394&lt;&gt;A1393,LEFT(A1394,1)&lt;&gt;"C"),1,0)</f>
        <v>0</v>
      </c>
    </row>
    <row r="1395" customFormat="false" ht="15" hidden="false" customHeight="false" outlineLevel="0" collapsed="false">
      <c r="A1395" s="0" t="s">
        <v>1368</v>
      </c>
      <c r="B1395" s="0" t="s">
        <v>103</v>
      </c>
      <c r="C1395" s="0" t="s">
        <v>104</v>
      </c>
      <c r="D1395" s="0" t="n">
        <v>24</v>
      </c>
      <c r="E1395" s="6" t="n">
        <v>40809.375</v>
      </c>
      <c r="F1395" s="0" t="n">
        <v>0.55</v>
      </c>
      <c r="G1395" s="0" t="n">
        <v>12619</v>
      </c>
      <c r="H1395" s="0" t="s">
        <v>33</v>
      </c>
      <c r="I1395" s="7" t="n">
        <f aca="false">IF(AND(LEFT(A1395,1)&lt;&gt;"C",D1395&gt;0,F1395&gt;0),1,0)</f>
        <v>1</v>
      </c>
      <c r="J1395" s="7" t="n">
        <f aca="false">IF(I1395=1,D1395*F1395,0)</f>
        <v>13.2</v>
      </c>
      <c r="K1395" s="7" t="n">
        <f aca="false">YEAR(E1395)*100+MONTH(E1395)</f>
        <v>201109</v>
      </c>
      <c r="L1395" s="7" t="n">
        <f aca="false">IF(AND(A1395&lt;&gt;A1394,LEFT(A1395,1)&lt;&gt;"C"),1,0)</f>
        <v>0</v>
      </c>
    </row>
    <row r="1396" customFormat="false" ht="15" hidden="false" customHeight="false" outlineLevel="0" collapsed="false">
      <c r="A1396" s="0" t="s">
        <v>1368</v>
      </c>
      <c r="B1396" s="0" t="s">
        <v>1300</v>
      </c>
      <c r="C1396" s="0" t="s">
        <v>1301</v>
      </c>
      <c r="D1396" s="0" t="n">
        <v>24</v>
      </c>
      <c r="E1396" s="6" t="n">
        <v>40809.375</v>
      </c>
      <c r="F1396" s="0" t="n">
        <v>0.55</v>
      </c>
      <c r="G1396" s="0" t="n">
        <v>12619</v>
      </c>
      <c r="H1396" s="0" t="s">
        <v>33</v>
      </c>
      <c r="I1396" s="7" t="n">
        <f aca="false">IF(AND(LEFT(A1396,1)&lt;&gt;"C",D1396&gt;0,F1396&gt;0),1,0)</f>
        <v>1</v>
      </c>
      <c r="J1396" s="7" t="n">
        <f aca="false">IF(I1396=1,D1396*F1396,0)</f>
        <v>13.2</v>
      </c>
      <c r="K1396" s="7" t="n">
        <f aca="false">YEAR(E1396)*100+MONTH(E1396)</f>
        <v>201109</v>
      </c>
      <c r="L1396" s="7" t="n">
        <f aca="false">IF(AND(A1396&lt;&gt;A1395,LEFT(A1396,1)&lt;&gt;"C"),1,0)</f>
        <v>0</v>
      </c>
    </row>
    <row r="1397" customFormat="false" ht="15" hidden="false" customHeight="false" outlineLevel="0" collapsed="false">
      <c r="A1397" s="0" t="s">
        <v>1368</v>
      </c>
      <c r="B1397" s="0" t="s">
        <v>773</v>
      </c>
      <c r="C1397" s="0" t="s">
        <v>774</v>
      </c>
      <c r="D1397" s="0" t="n">
        <v>24</v>
      </c>
      <c r="E1397" s="6" t="n">
        <v>40809.375</v>
      </c>
      <c r="F1397" s="0" t="n">
        <v>0.55</v>
      </c>
      <c r="G1397" s="0" t="n">
        <v>12619</v>
      </c>
      <c r="H1397" s="0" t="s">
        <v>33</v>
      </c>
      <c r="I1397" s="7" t="n">
        <f aca="false">IF(AND(LEFT(A1397,1)&lt;&gt;"C",D1397&gt;0,F1397&gt;0),1,0)</f>
        <v>1</v>
      </c>
      <c r="J1397" s="7" t="n">
        <f aca="false">IF(I1397=1,D1397*F1397,0)</f>
        <v>13.2</v>
      </c>
      <c r="K1397" s="7" t="n">
        <f aca="false">YEAR(E1397)*100+MONTH(E1397)</f>
        <v>201109</v>
      </c>
      <c r="L1397" s="7" t="n">
        <f aca="false">IF(AND(A1397&lt;&gt;A1396,LEFT(A1397,1)&lt;&gt;"C"),1,0)</f>
        <v>0</v>
      </c>
    </row>
    <row r="1398" customFormat="false" ht="15" hidden="false" customHeight="false" outlineLevel="0" collapsed="false">
      <c r="A1398" s="0" t="s">
        <v>1368</v>
      </c>
      <c r="B1398" s="0" t="s">
        <v>84</v>
      </c>
      <c r="C1398" s="0" t="s">
        <v>85</v>
      </c>
      <c r="D1398" s="0" t="n">
        <v>2</v>
      </c>
      <c r="E1398" s="6" t="n">
        <v>40809.375</v>
      </c>
      <c r="F1398" s="0" t="n">
        <v>18</v>
      </c>
      <c r="G1398" s="0" t="n">
        <v>12619</v>
      </c>
      <c r="H1398" s="0" t="s">
        <v>33</v>
      </c>
      <c r="I1398" s="7" t="n">
        <f aca="false">IF(AND(LEFT(A1398,1)&lt;&gt;"C",D1398&gt;0,F1398&gt;0),1,0)</f>
        <v>1</v>
      </c>
      <c r="J1398" s="7" t="n">
        <f aca="false">IF(I1398=1,D1398*F1398,0)</f>
        <v>36</v>
      </c>
      <c r="K1398" s="7" t="n">
        <f aca="false">YEAR(E1398)*100+MONTH(E1398)</f>
        <v>201109</v>
      </c>
      <c r="L1398" s="7" t="n">
        <f aca="false">IF(AND(A1398&lt;&gt;A1397,LEFT(A1398,1)&lt;&gt;"C"),1,0)</f>
        <v>0</v>
      </c>
    </row>
    <row r="1399" customFormat="false" ht="15" hidden="false" customHeight="false" outlineLevel="0" collapsed="false">
      <c r="A1399" s="0" t="s">
        <v>1377</v>
      </c>
      <c r="B1399" s="0" t="s">
        <v>1378</v>
      </c>
      <c r="C1399" s="0" t="s">
        <v>1379</v>
      </c>
      <c r="D1399" s="0" t="n">
        <v>144</v>
      </c>
      <c r="E1399" s="6" t="n">
        <v>40809.3840277778</v>
      </c>
      <c r="F1399" s="0" t="n">
        <v>0.72</v>
      </c>
      <c r="G1399" s="0" t="n">
        <v>12516</v>
      </c>
      <c r="H1399" s="0" t="s">
        <v>33</v>
      </c>
      <c r="I1399" s="7" t="n">
        <f aca="false">IF(AND(LEFT(A1399,1)&lt;&gt;"C",D1399&gt;0,F1399&gt;0),1,0)</f>
        <v>1</v>
      </c>
      <c r="J1399" s="7" t="n">
        <f aca="false">IF(I1399=1,D1399*F1399,0)</f>
        <v>103.68</v>
      </c>
      <c r="K1399" s="7" t="n">
        <f aca="false">YEAR(E1399)*100+MONTH(E1399)</f>
        <v>201109</v>
      </c>
      <c r="L1399" s="7" t="n">
        <f aca="false">IF(AND(A1399&lt;&gt;A1398,LEFT(A1399,1)&lt;&gt;"C"),1,0)</f>
        <v>1</v>
      </c>
    </row>
    <row r="1400" customFormat="false" ht="15" hidden="false" customHeight="false" outlineLevel="0" collapsed="false">
      <c r="A1400" s="0" t="s">
        <v>1377</v>
      </c>
      <c r="B1400" s="0" t="s">
        <v>1380</v>
      </c>
      <c r="C1400" s="0" t="s">
        <v>1381</v>
      </c>
      <c r="D1400" s="0" t="n">
        <v>48</v>
      </c>
      <c r="E1400" s="6" t="n">
        <v>40809.3840277778</v>
      </c>
      <c r="F1400" s="0" t="n">
        <v>0.55</v>
      </c>
      <c r="G1400" s="0" t="n">
        <v>12516</v>
      </c>
      <c r="H1400" s="0" t="s">
        <v>33</v>
      </c>
      <c r="I1400" s="7" t="n">
        <f aca="false">IF(AND(LEFT(A1400,1)&lt;&gt;"C",D1400&gt;0,F1400&gt;0),1,0)</f>
        <v>1</v>
      </c>
      <c r="J1400" s="7" t="n">
        <f aca="false">IF(I1400=1,D1400*F1400,0)</f>
        <v>26.4</v>
      </c>
      <c r="K1400" s="7" t="n">
        <f aca="false">YEAR(E1400)*100+MONTH(E1400)</f>
        <v>201109</v>
      </c>
      <c r="L1400" s="7" t="n">
        <f aca="false">IF(AND(A1400&lt;&gt;A1399,LEFT(A1400,1)&lt;&gt;"C"),1,0)</f>
        <v>0</v>
      </c>
    </row>
    <row r="1401" customFormat="false" ht="15" hidden="false" customHeight="false" outlineLevel="0" collapsed="false">
      <c r="A1401" s="0" t="s">
        <v>1377</v>
      </c>
      <c r="B1401" s="0" t="s">
        <v>1146</v>
      </c>
      <c r="C1401" s="0" t="s">
        <v>1147</v>
      </c>
      <c r="D1401" s="0" t="n">
        <v>50</v>
      </c>
      <c r="E1401" s="6" t="n">
        <v>40809.3840277778</v>
      </c>
      <c r="F1401" s="0" t="n">
        <v>2.08</v>
      </c>
      <c r="G1401" s="0" t="n">
        <v>12516</v>
      </c>
      <c r="H1401" s="0" t="s">
        <v>33</v>
      </c>
      <c r="I1401" s="7" t="n">
        <f aca="false">IF(AND(LEFT(A1401,1)&lt;&gt;"C",D1401&gt;0,F1401&gt;0),1,0)</f>
        <v>1</v>
      </c>
      <c r="J1401" s="7" t="n">
        <f aca="false">IF(I1401=1,D1401*F1401,0)</f>
        <v>104</v>
      </c>
      <c r="K1401" s="7" t="n">
        <f aca="false">YEAR(E1401)*100+MONTH(E1401)</f>
        <v>201109</v>
      </c>
      <c r="L1401" s="7" t="n">
        <f aca="false">IF(AND(A1401&lt;&gt;A1400,LEFT(A1401,1)&lt;&gt;"C"),1,0)</f>
        <v>0</v>
      </c>
    </row>
    <row r="1402" customFormat="false" ht="15" hidden="false" customHeight="false" outlineLevel="0" collapsed="false">
      <c r="A1402" s="0" t="s">
        <v>1377</v>
      </c>
      <c r="B1402" s="0" t="s">
        <v>1382</v>
      </c>
      <c r="C1402" s="0" t="s">
        <v>1383</v>
      </c>
      <c r="D1402" s="0" t="n">
        <v>12</v>
      </c>
      <c r="E1402" s="6" t="n">
        <v>40809.3840277778</v>
      </c>
      <c r="F1402" s="0" t="n">
        <v>0.79</v>
      </c>
      <c r="G1402" s="0" t="n">
        <v>12516</v>
      </c>
      <c r="H1402" s="0" t="s">
        <v>33</v>
      </c>
      <c r="I1402" s="7" t="n">
        <f aca="false">IF(AND(LEFT(A1402,1)&lt;&gt;"C",D1402&gt;0,F1402&gt;0),1,0)</f>
        <v>1</v>
      </c>
      <c r="J1402" s="7" t="n">
        <f aca="false">IF(I1402=1,D1402*F1402,0)</f>
        <v>9.48</v>
      </c>
      <c r="K1402" s="7" t="n">
        <f aca="false">YEAR(E1402)*100+MONTH(E1402)</f>
        <v>201109</v>
      </c>
      <c r="L1402" s="7" t="n">
        <f aca="false">IF(AND(A1402&lt;&gt;A1401,LEFT(A1402,1)&lt;&gt;"C"),1,0)</f>
        <v>0</v>
      </c>
    </row>
    <row r="1403" customFormat="false" ht="15" hidden="false" customHeight="false" outlineLevel="0" collapsed="false">
      <c r="A1403" s="0" t="s">
        <v>1377</v>
      </c>
      <c r="B1403" s="0" t="s">
        <v>1384</v>
      </c>
      <c r="C1403" s="0" t="s">
        <v>1385</v>
      </c>
      <c r="D1403" s="0" t="n">
        <v>12</v>
      </c>
      <c r="E1403" s="6" t="n">
        <v>40809.3840277778</v>
      </c>
      <c r="F1403" s="0" t="n">
        <v>0.65</v>
      </c>
      <c r="G1403" s="0" t="n">
        <v>12516</v>
      </c>
      <c r="H1403" s="0" t="s">
        <v>33</v>
      </c>
      <c r="I1403" s="7" t="n">
        <f aca="false">IF(AND(LEFT(A1403,1)&lt;&gt;"C",D1403&gt;0,F1403&gt;0),1,0)</f>
        <v>1</v>
      </c>
      <c r="J1403" s="7" t="n">
        <f aca="false">IF(I1403=1,D1403*F1403,0)</f>
        <v>7.8</v>
      </c>
      <c r="K1403" s="7" t="n">
        <f aca="false">YEAR(E1403)*100+MONTH(E1403)</f>
        <v>201109</v>
      </c>
      <c r="L1403" s="7" t="n">
        <f aca="false">IF(AND(A1403&lt;&gt;A1402,LEFT(A1403,1)&lt;&gt;"C"),1,0)</f>
        <v>0</v>
      </c>
    </row>
    <row r="1404" customFormat="false" ht="15" hidden="false" customHeight="false" outlineLevel="0" collapsed="false">
      <c r="A1404" s="0" t="s">
        <v>1377</v>
      </c>
      <c r="B1404" s="0" t="s">
        <v>1386</v>
      </c>
      <c r="C1404" s="0" t="s">
        <v>1387</v>
      </c>
      <c r="D1404" s="0" t="n">
        <v>50</v>
      </c>
      <c r="E1404" s="6" t="n">
        <v>40809.3840277778</v>
      </c>
      <c r="F1404" s="0" t="n">
        <v>2.08</v>
      </c>
      <c r="G1404" s="0" t="n">
        <v>12516</v>
      </c>
      <c r="H1404" s="0" t="s">
        <v>33</v>
      </c>
      <c r="I1404" s="7" t="n">
        <f aca="false">IF(AND(LEFT(A1404,1)&lt;&gt;"C",D1404&gt;0,F1404&gt;0),1,0)</f>
        <v>1</v>
      </c>
      <c r="J1404" s="7" t="n">
        <f aca="false">IF(I1404=1,D1404*F1404,0)</f>
        <v>104</v>
      </c>
      <c r="K1404" s="7" t="n">
        <f aca="false">YEAR(E1404)*100+MONTH(E1404)</f>
        <v>201109</v>
      </c>
      <c r="L1404" s="7" t="n">
        <f aca="false">IF(AND(A1404&lt;&gt;A1403,LEFT(A1404,1)&lt;&gt;"C"),1,0)</f>
        <v>0</v>
      </c>
    </row>
    <row r="1405" customFormat="false" ht="15" hidden="false" customHeight="false" outlineLevel="0" collapsed="false">
      <c r="A1405" s="0" t="s">
        <v>1377</v>
      </c>
      <c r="B1405" s="0" t="s">
        <v>1388</v>
      </c>
      <c r="C1405" s="0" t="s">
        <v>1389</v>
      </c>
      <c r="D1405" s="0" t="n">
        <v>50</v>
      </c>
      <c r="E1405" s="6" t="n">
        <v>40809.3840277778</v>
      </c>
      <c r="F1405" s="0" t="n">
        <v>2.08</v>
      </c>
      <c r="G1405" s="0" t="n">
        <v>12516</v>
      </c>
      <c r="H1405" s="0" t="s">
        <v>33</v>
      </c>
      <c r="I1405" s="7" t="n">
        <f aca="false">IF(AND(LEFT(A1405,1)&lt;&gt;"C",D1405&gt;0,F1405&gt;0),1,0)</f>
        <v>1</v>
      </c>
      <c r="J1405" s="7" t="n">
        <f aca="false">IF(I1405=1,D1405*F1405,0)</f>
        <v>104</v>
      </c>
      <c r="K1405" s="7" t="n">
        <f aca="false">YEAR(E1405)*100+MONTH(E1405)</f>
        <v>201109</v>
      </c>
      <c r="L1405" s="7" t="n">
        <f aca="false">IF(AND(A1405&lt;&gt;A1404,LEFT(A1405,1)&lt;&gt;"C"),1,0)</f>
        <v>0</v>
      </c>
    </row>
    <row r="1406" customFormat="false" ht="15" hidden="false" customHeight="false" outlineLevel="0" collapsed="false">
      <c r="A1406" s="0" t="s">
        <v>1377</v>
      </c>
      <c r="B1406" s="0" t="s">
        <v>667</v>
      </c>
      <c r="C1406" s="0" t="s">
        <v>668</v>
      </c>
      <c r="D1406" s="0" t="n">
        <v>50</v>
      </c>
      <c r="E1406" s="6" t="n">
        <v>40809.3840277778</v>
      </c>
      <c r="F1406" s="0" t="n">
        <v>0.85</v>
      </c>
      <c r="G1406" s="0" t="n">
        <v>12516</v>
      </c>
      <c r="H1406" s="0" t="s">
        <v>33</v>
      </c>
      <c r="I1406" s="7" t="n">
        <f aca="false">IF(AND(LEFT(A1406,1)&lt;&gt;"C",D1406&gt;0,F1406&gt;0),1,0)</f>
        <v>1</v>
      </c>
      <c r="J1406" s="7" t="n">
        <f aca="false">IF(I1406=1,D1406*F1406,0)</f>
        <v>42.5</v>
      </c>
      <c r="K1406" s="7" t="n">
        <f aca="false">YEAR(E1406)*100+MONTH(E1406)</f>
        <v>201109</v>
      </c>
      <c r="L1406" s="7" t="n">
        <f aca="false">IF(AND(A1406&lt;&gt;A1405,LEFT(A1406,1)&lt;&gt;"C"),1,0)</f>
        <v>0</v>
      </c>
    </row>
    <row r="1407" customFormat="false" ht="15" hidden="false" customHeight="false" outlineLevel="0" collapsed="false">
      <c r="A1407" s="0" t="s">
        <v>1377</v>
      </c>
      <c r="B1407" s="0" t="s">
        <v>794</v>
      </c>
      <c r="C1407" s="0" t="s">
        <v>795</v>
      </c>
      <c r="D1407" s="0" t="n">
        <v>40</v>
      </c>
      <c r="E1407" s="6" t="n">
        <v>40809.3840277778</v>
      </c>
      <c r="F1407" s="0" t="n">
        <v>0.85</v>
      </c>
      <c r="G1407" s="0" t="n">
        <v>12516</v>
      </c>
      <c r="H1407" s="0" t="s">
        <v>33</v>
      </c>
      <c r="I1407" s="7" t="n">
        <f aca="false">IF(AND(LEFT(A1407,1)&lt;&gt;"C",D1407&gt;0,F1407&gt;0),1,0)</f>
        <v>1</v>
      </c>
      <c r="J1407" s="7" t="n">
        <f aca="false">IF(I1407=1,D1407*F1407,0)</f>
        <v>34</v>
      </c>
      <c r="K1407" s="7" t="n">
        <f aca="false">YEAR(E1407)*100+MONTH(E1407)</f>
        <v>201109</v>
      </c>
      <c r="L1407" s="7" t="n">
        <f aca="false">IF(AND(A1407&lt;&gt;A1406,LEFT(A1407,1)&lt;&gt;"C"),1,0)</f>
        <v>0</v>
      </c>
    </row>
    <row r="1408" customFormat="false" ht="15" hidden="false" customHeight="false" outlineLevel="0" collapsed="false">
      <c r="A1408" s="0" t="s">
        <v>1377</v>
      </c>
      <c r="B1408" s="0" t="s">
        <v>637</v>
      </c>
      <c r="C1408" s="0" t="s">
        <v>638</v>
      </c>
      <c r="D1408" s="0" t="n">
        <v>20</v>
      </c>
      <c r="E1408" s="6" t="n">
        <v>40809.3840277778</v>
      </c>
      <c r="F1408" s="0" t="n">
        <v>0.85</v>
      </c>
      <c r="G1408" s="0" t="n">
        <v>12516</v>
      </c>
      <c r="H1408" s="0" t="s">
        <v>33</v>
      </c>
      <c r="I1408" s="7" t="n">
        <f aca="false">IF(AND(LEFT(A1408,1)&lt;&gt;"C",D1408&gt;0,F1408&gt;0),1,0)</f>
        <v>1</v>
      </c>
      <c r="J1408" s="7" t="n">
        <f aca="false">IF(I1408=1,D1408*F1408,0)</f>
        <v>17</v>
      </c>
      <c r="K1408" s="7" t="n">
        <f aca="false">YEAR(E1408)*100+MONTH(E1408)</f>
        <v>201109</v>
      </c>
      <c r="L1408" s="7" t="n">
        <f aca="false">IF(AND(A1408&lt;&gt;A1407,LEFT(A1408,1)&lt;&gt;"C"),1,0)</f>
        <v>0</v>
      </c>
    </row>
    <row r="1409" customFormat="false" ht="15" hidden="false" customHeight="false" outlineLevel="0" collapsed="false">
      <c r="A1409" s="0" t="s">
        <v>1377</v>
      </c>
      <c r="B1409" s="0" t="s">
        <v>569</v>
      </c>
      <c r="C1409" s="0" t="s">
        <v>570</v>
      </c>
      <c r="D1409" s="0" t="n">
        <v>30</v>
      </c>
      <c r="E1409" s="6" t="n">
        <v>40809.3840277778</v>
      </c>
      <c r="F1409" s="0" t="n">
        <v>2.08</v>
      </c>
      <c r="G1409" s="0" t="n">
        <v>12516</v>
      </c>
      <c r="H1409" s="0" t="s">
        <v>33</v>
      </c>
      <c r="I1409" s="7" t="n">
        <f aca="false">IF(AND(LEFT(A1409,1)&lt;&gt;"C",D1409&gt;0,F1409&gt;0),1,0)</f>
        <v>1</v>
      </c>
      <c r="J1409" s="7" t="n">
        <f aca="false">IF(I1409=1,D1409*F1409,0)</f>
        <v>62.4</v>
      </c>
      <c r="K1409" s="7" t="n">
        <f aca="false">YEAR(E1409)*100+MONTH(E1409)</f>
        <v>201109</v>
      </c>
      <c r="L1409" s="7" t="n">
        <f aca="false">IF(AND(A1409&lt;&gt;A1408,LEFT(A1409,1)&lt;&gt;"C"),1,0)</f>
        <v>0</v>
      </c>
    </row>
    <row r="1410" customFormat="false" ht="15" hidden="false" customHeight="false" outlineLevel="0" collapsed="false">
      <c r="A1410" s="0" t="s">
        <v>1377</v>
      </c>
      <c r="B1410" s="0" t="s">
        <v>1390</v>
      </c>
      <c r="C1410" s="0" t="s">
        <v>1391</v>
      </c>
      <c r="D1410" s="0" t="n">
        <v>20</v>
      </c>
      <c r="E1410" s="6" t="n">
        <v>40809.3840277778</v>
      </c>
      <c r="F1410" s="0" t="n">
        <v>2.08</v>
      </c>
      <c r="G1410" s="0" t="n">
        <v>12516</v>
      </c>
      <c r="H1410" s="0" t="s">
        <v>33</v>
      </c>
      <c r="I1410" s="7" t="n">
        <f aca="false">IF(AND(LEFT(A1410,1)&lt;&gt;"C",D1410&gt;0,F1410&gt;0),1,0)</f>
        <v>1</v>
      </c>
      <c r="J1410" s="7" t="n">
        <f aca="false">IF(I1410=1,D1410*F1410,0)</f>
        <v>41.6</v>
      </c>
      <c r="K1410" s="7" t="n">
        <f aca="false">YEAR(E1410)*100+MONTH(E1410)</f>
        <v>201109</v>
      </c>
      <c r="L1410" s="7" t="n">
        <f aca="false">IF(AND(A1410&lt;&gt;A1409,LEFT(A1410,1)&lt;&gt;"C"),1,0)</f>
        <v>0</v>
      </c>
    </row>
    <row r="1411" customFormat="false" ht="15" hidden="false" customHeight="false" outlineLevel="0" collapsed="false">
      <c r="A1411" s="0" t="s">
        <v>1377</v>
      </c>
      <c r="B1411" s="0" t="s">
        <v>84</v>
      </c>
      <c r="C1411" s="0" t="s">
        <v>85</v>
      </c>
      <c r="D1411" s="0" t="n">
        <v>4</v>
      </c>
      <c r="E1411" s="6" t="n">
        <v>40809.3840277778</v>
      </c>
      <c r="F1411" s="0" t="n">
        <v>18</v>
      </c>
      <c r="G1411" s="0" t="n">
        <v>12516</v>
      </c>
      <c r="H1411" s="0" t="s">
        <v>33</v>
      </c>
      <c r="I1411" s="7" t="n">
        <f aca="false">IF(AND(LEFT(A1411,1)&lt;&gt;"C",D1411&gt;0,F1411&gt;0),1,0)</f>
        <v>1</v>
      </c>
      <c r="J1411" s="7" t="n">
        <f aca="false">IF(I1411=1,D1411*F1411,0)</f>
        <v>72</v>
      </c>
      <c r="K1411" s="7" t="n">
        <f aca="false">YEAR(E1411)*100+MONTH(E1411)</f>
        <v>201109</v>
      </c>
      <c r="L1411" s="7" t="n">
        <f aca="false">IF(AND(A1411&lt;&gt;A1410,LEFT(A1411,1)&lt;&gt;"C"),1,0)</f>
        <v>0</v>
      </c>
    </row>
    <row r="1412" customFormat="false" ht="15" hidden="false" customHeight="false" outlineLevel="0" collapsed="false">
      <c r="A1412" s="0" t="s">
        <v>1392</v>
      </c>
      <c r="B1412" s="0" t="s">
        <v>1393</v>
      </c>
      <c r="C1412" s="0" t="s">
        <v>1394</v>
      </c>
      <c r="D1412" s="0" t="n">
        <v>4</v>
      </c>
      <c r="E1412" s="6" t="n">
        <v>40809.50625</v>
      </c>
      <c r="F1412" s="0" t="n">
        <v>3.75</v>
      </c>
      <c r="G1412" s="0" t="n">
        <v>12681</v>
      </c>
      <c r="H1412" s="0" t="s">
        <v>43</v>
      </c>
      <c r="I1412" s="7" t="n">
        <f aca="false">IF(AND(LEFT(A1412,1)&lt;&gt;"C",D1412&gt;0,F1412&gt;0),1,0)</f>
        <v>1</v>
      </c>
      <c r="J1412" s="7" t="n">
        <f aca="false">IF(I1412=1,D1412*F1412,0)</f>
        <v>15</v>
      </c>
      <c r="K1412" s="7" t="n">
        <f aca="false">YEAR(E1412)*100+MONTH(E1412)</f>
        <v>201109</v>
      </c>
      <c r="L1412" s="7" t="n">
        <f aca="false">IF(AND(A1412&lt;&gt;A1411,LEFT(A1412,1)&lt;&gt;"C"),1,0)</f>
        <v>1</v>
      </c>
    </row>
    <row r="1413" customFormat="false" ht="15" hidden="false" customHeight="false" outlineLevel="0" collapsed="false">
      <c r="A1413" s="0" t="s">
        <v>1392</v>
      </c>
      <c r="B1413" s="0" t="s">
        <v>594</v>
      </c>
      <c r="C1413" s="0" t="s">
        <v>595</v>
      </c>
      <c r="D1413" s="0" t="n">
        <v>12</v>
      </c>
      <c r="E1413" s="6" t="n">
        <v>40809.50625</v>
      </c>
      <c r="F1413" s="0" t="n">
        <v>2.08</v>
      </c>
      <c r="G1413" s="0" t="n">
        <v>12681</v>
      </c>
      <c r="H1413" s="0" t="s">
        <v>43</v>
      </c>
      <c r="I1413" s="7" t="n">
        <f aca="false">IF(AND(LEFT(A1413,1)&lt;&gt;"C",D1413&gt;0,F1413&gt;0),1,0)</f>
        <v>1</v>
      </c>
      <c r="J1413" s="7" t="n">
        <f aca="false">IF(I1413=1,D1413*F1413,0)</f>
        <v>24.96</v>
      </c>
      <c r="K1413" s="7" t="n">
        <f aca="false">YEAR(E1413)*100+MONTH(E1413)</f>
        <v>201109</v>
      </c>
      <c r="L1413" s="7" t="n">
        <f aca="false">IF(AND(A1413&lt;&gt;A1412,LEFT(A1413,1)&lt;&gt;"C"),1,0)</f>
        <v>0</v>
      </c>
    </row>
    <row r="1414" customFormat="false" ht="15" hidden="false" customHeight="false" outlineLevel="0" collapsed="false">
      <c r="A1414" s="0" t="s">
        <v>1392</v>
      </c>
      <c r="B1414" s="0" t="s">
        <v>471</v>
      </c>
      <c r="C1414" s="0" t="s">
        <v>472</v>
      </c>
      <c r="D1414" s="0" t="n">
        <v>12</v>
      </c>
      <c r="E1414" s="6" t="n">
        <v>40809.50625</v>
      </c>
      <c r="F1414" s="0" t="n">
        <v>1.65</v>
      </c>
      <c r="G1414" s="0" t="n">
        <v>12681</v>
      </c>
      <c r="H1414" s="0" t="s">
        <v>43</v>
      </c>
      <c r="I1414" s="7" t="n">
        <f aca="false">IF(AND(LEFT(A1414,1)&lt;&gt;"C",D1414&gt;0,F1414&gt;0),1,0)</f>
        <v>1</v>
      </c>
      <c r="J1414" s="7" t="n">
        <f aca="false">IF(I1414=1,D1414*F1414,0)</f>
        <v>19.8</v>
      </c>
      <c r="K1414" s="7" t="n">
        <f aca="false">YEAR(E1414)*100+MONTH(E1414)</f>
        <v>201109</v>
      </c>
      <c r="L1414" s="7" t="n">
        <f aca="false">IF(AND(A1414&lt;&gt;A1413,LEFT(A1414,1)&lt;&gt;"C"),1,0)</f>
        <v>0</v>
      </c>
    </row>
    <row r="1415" customFormat="false" ht="15" hidden="false" customHeight="false" outlineLevel="0" collapsed="false">
      <c r="A1415" s="0" t="s">
        <v>1392</v>
      </c>
      <c r="B1415" s="0" t="s">
        <v>326</v>
      </c>
      <c r="C1415" s="0" t="s">
        <v>327</v>
      </c>
      <c r="D1415" s="0" t="n">
        <v>4</v>
      </c>
      <c r="E1415" s="6" t="n">
        <v>40809.50625</v>
      </c>
      <c r="F1415" s="0" t="n">
        <v>8.5</v>
      </c>
      <c r="G1415" s="0" t="n">
        <v>12681</v>
      </c>
      <c r="H1415" s="0" t="s">
        <v>43</v>
      </c>
      <c r="I1415" s="7" t="n">
        <f aca="false">IF(AND(LEFT(A1415,1)&lt;&gt;"C",D1415&gt;0,F1415&gt;0),1,0)</f>
        <v>1</v>
      </c>
      <c r="J1415" s="7" t="n">
        <f aca="false">IF(I1415=1,D1415*F1415,0)</f>
        <v>34</v>
      </c>
      <c r="K1415" s="7" t="n">
        <f aca="false">YEAR(E1415)*100+MONTH(E1415)</f>
        <v>201109</v>
      </c>
      <c r="L1415" s="7" t="n">
        <f aca="false">IF(AND(A1415&lt;&gt;A1414,LEFT(A1415,1)&lt;&gt;"C"),1,0)</f>
        <v>0</v>
      </c>
    </row>
    <row r="1416" customFormat="false" ht="15" hidden="false" customHeight="false" outlineLevel="0" collapsed="false">
      <c r="A1416" s="0" t="s">
        <v>1392</v>
      </c>
      <c r="B1416" s="0" t="s">
        <v>847</v>
      </c>
      <c r="C1416" s="0" t="s">
        <v>848</v>
      </c>
      <c r="D1416" s="0" t="n">
        <v>12</v>
      </c>
      <c r="E1416" s="6" t="n">
        <v>40809.50625</v>
      </c>
      <c r="F1416" s="0" t="n">
        <v>1.45</v>
      </c>
      <c r="G1416" s="0" t="n">
        <v>12681</v>
      </c>
      <c r="H1416" s="0" t="s">
        <v>43</v>
      </c>
      <c r="I1416" s="7" t="n">
        <f aca="false">IF(AND(LEFT(A1416,1)&lt;&gt;"C",D1416&gt;0,F1416&gt;0),1,0)</f>
        <v>1</v>
      </c>
      <c r="J1416" s="7" t="n">
        <f aca="false">IF(I1416=1,D1416*F1416,0)</f>
        <v>17.4</v>
      </c>
      <c r="K1416" s="7" t="n">
        <f aca="false">YEAR(E1416)*100+MONTH(E1416)</f>
        <v>201109</v>
      </c>
      <c r="L1416" s="7" t="n">
        <f aca="false">IF(AND(A1416&lt;&gt;A1415,LEFT(A1416,1)&lt;&gt;"C"),1,0)</f>
        <v>0</v>
      </c>
    </row>
    <row r="1417" customFormat="false" ht="15" hidden="false" customHeight="false" outlineLevel="0" collapsed="false">
      <c r="A1417" s="0" t="s">
        <v>1392</v>
      </c>
      <c r="B1417" s="0" t="s">
        <v>463</v>
      </c>
      <c r="C1417" s="0" t="s">
        <v>464</v>
      </c>
      <c r="D1417" s="0" t="n">
        <v>4</v>
      </c>
      <c r="E1417" s="6" t="n">
        <v>40809.50625</v>
      </c>
      <c r="F1417" s="0" t="n">
        <v>7.95</v>
      </c>
      <c r="G1417" s="0" t="n">
        <v>12681</v>
      </c>
      <c r="H1417" s="0" t="s">
        <v>43</v>
      </c>
      <c r="I1417" s="7" t="n">
        <f aca="false">IF(AND(LEFT(A1417,1)&lt;&gt;"C",D1417&gt;0,F1417&gt;0),1,0)</f>
        <v>1</v>
      </c>
      <c r="J1417" s="7" t="n">
        <f aca="false">IF(I1417=1,D1417*F1417,0)</f>
        <v>31.8</v>
      </c>
      <c r="K1417" s="7" t="n">
        <f aca="false">YEAR(E1417)*100+MONTH(E1417)</f>
        <v>201109</v>
      </c>
      <c r="L1417" s="7" t="n">
        <f aca="false">IF(AND(A1417&lt;&gt;A1416,LEFT(A1417,1)&lt;&gt;"C"),1,0)</f>
        <v>0</v>
      </c>
    </row>
    <row r="1418" customFormat="false" ht="15" hidden="false" customHeight="false" outlineLevel="0" collapsed="false">
      <c r="A1418" s="0" t="s">
        <v>1392</v>
      </c>
      <c r="B1418" s="0" t="s">
        <v>1395</v>
      </c>
      <c r="C1418" s="0" t="s">
        <v>1396</v>
      </c>
      <c r="D1418" s="0" t="n">
        <v>6</v>
      </c>
      <c r="E1418" s="6" t="n">
        <v>40809.50625</v>
      </c>
      <c r="F1418" s="0" t="n">
        <v>2.95</v>
      </c>
      <c r="G1418" s="0" t="n">
        <v>12681</v>
      </c>
      <c r="H1418" s="0" t="s">
        <v>43</v>
      </c>
      <c r="I1418" s="7" t="n">
        <f aca="false">IF(AND(LEFT(A1418,1)&lt;&gt;"C",D1418&gt;0,F1418&gt;0),1,0)</f>
        <v>1</v>
      </c>
      <c r="J1418" s="7" t="n">
        <f aca="false">IF(I1418=1,D1418*F1418,0)</f>
        <v>17.7</v>
      </c>
      <c r="K1418" s="7" t="n">
        <f aca="false">YEAR(E1418)*100+MONTH(E1418)</f>
        <v>201109</v>
      </c>
      <c r="L1418" s="7" t="n">
        <f aca="false">IF(AND(A1418&lt;&gt;A1417,LEFT(A1418,1)&lt;&gt;"C"),1,0)</f>
        <v>0</v>
      </c>
    </row>
    <row r="1419" customFormat="false" ht="15" hidden="false" customHeight="false" outlineLevel="0" collapsed="false">
      <c r="A1419" s="0" t="s">
        <v>1392</v>
      </c>
      <c r="B1419" s="0" t="s">
        <v>1397</v>
      </c>
      <c r="C1419" s="0" t="s">
        <v>1398</v>
      </c>
      <c r="D1419" s="0" t="n">
        <v>12</v>
      </c>
      <c r="E1419" s="6" t="n">
        <v>40809.50625</v>
      </c>
      <c r="F1419" s="0" t="n">
        <v>2.95</v>
      </c>
      <c r="G1419" s="0" t="n">
        <v>12681</v>
      </c>
      <c r="H1419" s="0" t="s">
        <v>43</v>
      </c>
      <c r="I1419" s="7" t="n">
        <f aca="false">IF(AND(LEFT(A1419,1)&lt;&gt;"C",D1419&gt;0,F1419&gt;0),1,0)</f>
        <v>1</v>
      </c>
      <c r="J1419" s="7" t="n">
        <f aca="false">IF(I1419=1,D1419*F1419,0)</f>
        <v>35.4</v>
      </c>
      <c r="K1419" s="7" t="n">
        <f aca="false">YEAR(E1419)*100+MONTH(E1419)</f>
        <v>201109</v>
      </c>
      <c r="L1419" s="7" t="n">
        <f aca="false">IF(AND(A1419&lt;&gt;A1418,LEFT(A1419,1)&lt;&gt;"C"),1,0)</f>
        <v>0</v>
      </c>
    </row>
    <row r="1420" customFormat="false" ht="15" hidden="false" customHeight="false" outlineLevel="0" collapsed="false">
      <c r="A1420" s="0" t="s">
        <v>1392</v>
      </c>
      <c r="B1420" s="0" t="s">
        <v>133</v>
      </c>
      <c r="C1420" s="0" t="s">
        <v>134</v>
      </c>
      <c r="D1420" s="0" t="n">
        <v>6</v>
      </c>
      <c r="E1420" s="6" t="n">
        <v>40809.50625</v>
      </c>
      <c r="F1420" s="0" t="n">
        <v>3.25</v>
      </c>
      <c r="G1420" s="0" t="n">
        <v>12681</v>
      </c>
      <c r="H1420" s="0" t="s">
        <v>43</v>
      </c>
      <c r="I1420" s="7" t="n">
        <f aca="false">IF(AND(LEFT(A1420,1)&lt;&gt;"C",D1420&gt;0,F1420&gt;0),1,0)</f>
        <v>1</v>
      </c>
      <c r="J1420" s="7" t="n">
        <f aca="false">IF(I1420=1,D1420*F1420,0)</f>
        <v>19.5</v>
      </c>
      <c r="K1420" s="7" t="n">
        <f aca="false">YEAR(E1420)*100+MONTH(E1420)</f>
        <v>201109</v>
      </c>
      <c r="L1420" s="7" t="n">
        <f aca="false">IF(AND(A1420&lt;&gt;A1419,LEFT(A1420,1)&lt;&gt;"C"),1,0)</f>
        <v>0</v>
      </c>
    </row>
    <row r="1421" customFormat="false" ht="15" hidden="false" customHeight="false" outlineLevel="0" collapsed="false">
      <c r="A1421" s="0" t="s">
        <v>1392</v>
      </c>
      <c r="B1421" s="0" t="s">
        <v>743</v>
      </c>
      <c r="C1421" s="0" t="s">
        <v>744</v>
      </c>
      <c r="D1421" s="0" t="n">
        <v>12</v>
      </c>
      <c r="E1421" s="6" t="n">
        <v>40809.50625</v>
      </c>
      <c r="F1421" s="0" t="n">
        <v>0.42</v>
      </c>
      <c r="G1421" s="0" t="n">
        <v>12681</v>
      </c>
      <c r="H1421" s="0" t="s">
        <v>43</v>
      </c>
      <c r="I1421" s="7" t="n">
        <f aca="false">IF(AND(LEFT(A1421,1)&lt;&gt;"C",D1421&gt;0,F1421&gt;0),1,0)</f>
        <v>1</v>
      </c>
      <c r="J1421" s="7" t="n">
        <f aca="false">IF(I1421=1,D1421*F1421,0)</f>
        <v>5.04</v>
      </c>
      <c r="K1421" s="7" t="n">
        <f aca="false">YEAR(E1421)*100+MONTH(E1421)</f>
        <v>201109</v>
      </c>
      <c r="L1421" s="7" t="n">
        <f aca="false">IF(AND(A1421&lt;&gt;A1420,LEFT(A1421,1)&lt;&gt;"C"),1,0)</f>
        <v>0</v>
      </c>
    </row>
    <row r="1422" customFormat="false" ht="15" hidden="false" customHeight="false" outlineLevel="0" collapsed="false">
      <c r="A1422" s="0" t="s">
        <v>1392</v>
      </c>
      <c r="B1422" s="0" t="s">
        <v>1399</v>
      </c>
      <c r="C1422" s="0" t="s">
        <v>1400</v>
      </c>
      <c r="D1422" s="0" t="n">
        <v>6</v>
      </c>
      <c r="E1422" s="6" t="n">
        <v>40809.50625</v>
      </c>
      <c r="F1422" s="0" t="n">
        <v>2.95</v>
      </c>
      <c r="G1422" s="0" t="n">
        <v>12681</v>
      </c>
      <c r="H1422" s="0" t="s">
        <v>43</v>
      </c>
      <c r="I1422" s="7" t="n">
        <f aca="false">IF(AND(LEFT(A1422,1)&lt;&gt;"C",D1422&gt;0,F1422&gt;0),1,0)</f>
        <v>1</v>
      </c>
      <c r="J1422" s="7" t="n">
        <f aca="false">IF(I1422=1,D1422*F1422,0)</f>
        <v>17.7</v>
      </c>
      <c r="K1422" s="7" t="n">
        <f aca="false">YEAR(E1422)*100+MONTH(E1422)</f>
        <v>201109</v>
      </c>
      <c r="L1422" s="7" t="n">
        <f aca="false">IF(AND(A1422&lt;&gt;A1421,LEFT(A1422,1)&lt;&gt;"C"),1,0)</f>
        <v>0</v>
      </c>
    </row>
    <row r="1423" customFormat="false" ht="15" hidden="false" customHeight="false" outlineLevel="0" collapsed="false">
      <c r="A1423" s="0" t="s">
        <v>1392</v>
      </c>
      <c r="B1423" s="0" t="s">
        <v>665</v>
      </c>
      <c r="C1423" s="0" t="s">
        <v>666</v>
      </c>
      <c r="D1423" s="0" t="n">
        <v>25</v>
      </c>
      <c r="E1423" s="6" t="n">
        <v>40809.50625</v>
      </c>
      <c r="F1423" s="0" t="n">
        <v>0.42</v>
      </c>
      <c r="G1423" s="0" t="n">
        <v>12681</v>
      </c>
      <c r="H1423" s="0" t="s">
        <v>43</v>
      </c>
      <c r="I1423" s="7" t="n">
        <f aca="false">IF(AND(LEFT(A1423,1)&lt;&gt;"C",D1423&gt;0,F1423&gt;0),1,0)</f>
        <v>1</v>
      </c>
      <c r="J1423" s="7" t="n">
        <f aca="false">IF(I1423=1,D1423*F1423,0)</f>
        <v>10.5</v>
      </c>
      <c r="K1423" s="7" t="n">
        <f aca="false">YEAR(E1423)*100+MONTH(E1423)</f>
        <v>201109</v>
      </c>
      <c r="L1423" s="7" t="n">
        <f aca="false">IF(AND(A1423&lt;&gt;A1422,LEFT(A1423,1)&lt;&gt;"C"),1,0)</f>
        <v>0</v>
      </c>
    </row>
    <row r="1424" customFormat="false" ht="15" hidden="false" customHeight="false" outlineLevel="0" collapsed="false">
      <c r="A1424" s="0" t="s">
        <v>1392</v>
      </c>
      <c r="B1424" s="0" t="s">
        <v>1108</v>
      </c>
      <c r="C1424" s="0" t="s">
        <v>1109</v>
      </c>
      <c r="D1424" s="0" t="n">
        <v>12</v>
      </c>
      <c r="E1424" s="6" t="n">
        <v>40809.50625</v>
      </c>
      <c r="F1424" s="0" t="n">
        <v>0.85</v>
      </c>
      <c r="G1424" s="0" t="n">
        <v>12681</v>
      </c>
      <c r="H1424" s="0" t="s">
        <v>43</v>
      </c>
      <c r="I1424" s="7" t="n">
        <f aca="false">IF(AND(LEFT(A1424,1)&lt;&gt;"C",D1424&gt;0,F1424&gt;0),1,0)</f>
        <v>1</v>
      </c>
      <c r="J1424" s="7" t="n">
        <f aca="false">IF(I1424=1,D1424*F1424,0)</f>
        <v>10.2</v>
      </c>
      <c r="K1424" s="7" t="n">
        <f aca="false">YEAR(E1424)*100+MONTH(E1424)</f>
        <v>201109</v>
      </c>
      <c r="L1424" s="7" t="n">
        <f aca="false">IF(AND(A1424&lt;&gt;A1423,LEFT(A1424,1)&lt;&gt;"C"),1,0)</f>
        <v>0</v>
      </c>
    </row>
    <row r="1425" customFormat="false" ht="15" hidden="false" customHeight="false" outlineLevel="0" collapsed="false">
      <c r="A1425" s="0" t="s">
        <v>1392</v>
      </c>
      <c r="B1425" s="0" t="s">
        <v>64</v>
      </c>
      <c r="C1425" s="0" t="s">
        <v>65</v>
      </c>
      <c r="D1425" s="0" t="n">
        <v>24</v>
      </c>
      <c r="E1425" s="6" t="n">
        <v>40809.50625</v>
      </c>
      <c r="F1425" s="0" t="n">
        <v>1.65</v>
      </c>
      <c r="G1425" s="0" t="n">
        <v>12681</v>
      </c>
      <c r="H1425" s="0" t="s">
        <v>43</v>
      </c>
      <c r="I1425" s="7" t="n">
        <f aca="false">IF(AND(LEFT(A1425,1)&lt;&gt;"C",D1425&gt;0,F1425&gt;0),1,0)</f>
        <v>1</v>
      </c>
      <c r="J1425" s="7" t="n">
        <f aca="false">IF(I1425=1,D1425*F1425,0)</f>
        <v>39.6</v>
      </c>
      <c r="K1425" s="7" t="n">
        <f aca="false">YEAR(E1425)*100+MONTH(E1425)</f>
        <v>201109</v>
      </c>
      <c r="L1425" s="7" t="n">
        <f aca="false">IF(AND(A1425&lt;&gt;A1424,LEFT(A1425,1)&lt;&gt;"C"),1,0)</f>
        <v>0</v>
      </c>
    </row>
    <row r="1426" customFormat="false" ht="15" hidden="false" customHeight="false" outlineLevel="0" collapsed="false">
      <c r="A1426" s="0" t="s">
        <v>1392</v>
      </c>
      <c r="B1426" s="0" t="s">
        <v>1065</v>
      </c>
      <c r="C1426" s="0" t="s">
        <v>1066</v>
      </c>
      <c r="D1426" s="0" t="n">
        <v>6</v>
      </c>
      <c r="E1426" s="6" t="n">
        <v>40809.50625</v>
      </c>
      <c r="F1426" s="0" t="n">
        <v>2.08</v>
      </c>
      <c r="G1426" s="0" t="n">
        <v>12681</v>
      </c>
      <c r="H1426" s="0" t="s">
        <v>43</v>
      </c>
      <c r="I1426" s="7" t="n">
        <f aca="false">IF(AND(LEFT(A1426,1)&lt;&gt;"C",D1426&gt;0,F1426&gt;0),1,0)</f>
        <v>1</v>
      </c>
      <c r="J1426" s="7" t="n">
        <f aca="false">IF(I1426=1,D1426*F1426,0)</f>
        <v>12.48</v>
      </c>
      <c r="K1426" s="7" t="n">
        <f aca="false">YEAR(E1426)*100+MONTH(E1426)</f>
        <v>201109</v>
      </c>
      <c r="L1426" s="7" t="n">
        <f aca="false">IF(AND(A1426&lt;&gt;A1425,LEFT(A1426,1)&lt;&gt;"C"),1,0)</f>
        <v>0</v>
      </c>
    </row>
    <row r="1427" customFormat="false" ht="15" hidden="false" customHeight="false" outlineLevel="0" collapsed="false">
      <c r="A1427" s="0" t="s">
        <v>1392</v>
      </c>
      <c r="B1427" s="0" t="s">
        <v>107</v>
      </c>
      <c r="C1427" s="0" t="s">
        <v>108</v>
      </c>
      <c r="D1427" s="0" t="n">
        <v>36</v>
      </c>
      <c r="E1427" s="6" t="n">
        <v>40809.50625</v>
      </c>
      <c r="F1427" s="0" t="n">
        <v>2.1</v>
      </c>
      <c r="G1427" s="0" t="n">
        <v>12681</v>
      </c>
      <c r="H1427" s="0" t="s">
        <v>43</v>
      </c>
      <c r="I1427" s="7" t="n">
        <f aca="false">IF(AND(LEFT(A1427,1)&lt;&gt;"C",D1427&gt;0,F1427&gt;0),1,0)</f>
        <v>1</v>
      </c>
      <c r="J1427" s="7" t="n">
        <f aca="false">IF(I1427=1,D1427*F1427,0)</f>
        <v>75.6</v>
      </c>
      <c r="K1427" s="7" t="n">
        <f aca="false">YEAR(E1427)*100+MONTH(E1427)</f>
        <v>201109</v>
      </c>
      <c r="L1427" s="7" t="n">
        <f aca="false">IF(AND(A1427&lt;&gt;A1426,LEFT(A1427,1)&lt;&gt;"C"),1,0)</f>
        <v>0</v>
      </c>
    </row>
    <row r="1428" customFormat="false" ht="15" hidden="false" customHeight="false" outlineLevel="0" collapsed="false">
      <c r="A1428" s="0" t="s">
        <v>1392</v>
      </c>
      <c r="B1428" s="0" t="s">
        <v>213</v>
      </c>
      <c r="C1428" s="0" t="s">
        <v>214</v>
      </c>
      <c r="D1428" s="0" t="n">
        <v>12</v>
      </c>
      <c r="E1428" s="6" t="n">
        <v>40809.50625</v>
      </c>
      <c r="F1428" s="0" t="n">
        <v>0.85</v>
      </c>
      <c r="G1428" s="0" t="n">
        <v>12681</v>
      </c>
      <c r="H1428" s="0" t="s">
        <v>43</v>
      </c>
      <c r="I1428" s="7" t="n">
        <f aca="false">IF(AND(LEFT(A1428,1)&lt;&gt;"C",D1428&gt;0,F1428&gt;0),1,0)</f>
        <v>1</v>
      </c>
      <c r="J1428" s="7" t="n">
        <f aca="false">IF(I1428=1,D1428*F1428,0)</f>
        <v>10.2</v>
      </c>
      <c r="K1428" s="7" t="n">
        <f aca="false">YEAR(E1428)*100+MONTH(E1428)</f>
        <v>201109</v>
      </c>
      <c r="L1428" s="7" t="n">
        <f aca="false">IF(AND(A1428&lt;&gt;A1427,LEFT(A1428,1)&lt;&gt;"C"),1,0)</f>
        <v>0</v>
      </c>
    </row>
    <row r="1429" customFormat="false" ht="15" hidden="false" customHeight="false" outlineLevel="0" collapsed="false">
      <c r="A1429" s="0" t="s">
        <v>1392</v>
      </c>
      <c r="B1429" s="0" t="s">
        <v>44</v>
      </c>
      <c r="C1429" s="0" t="s">
        <v>45</v>
      </c>
      <c r="D1429" s="0" t="n">
        <v>12</v>
      </c>
      <c r="E1429" s="6" t="n">
        <v>40809.50625</v>
      </c>
      <c r="F1429" s="0" t="n">
        <v>0.65</v>
      </c>
      <c r="G1429" s="0" t="n">
        <v>12681</v>
      </c>
      <c r="H1429" s="0" t="s">
        <v>43</v>
      </c>
      <c r="I1429" s="7" t="n">
        <f aca="false">IF(AND(LEFT(A1429,1)&lt;&gt;"C",D1429&gt;0,F1429&gt;0),1,0)</f>
        <v>1</v>
      </c>
      <c r="J1429" s="7" t="n">
        <f aca="false">IF(I1429=1,D1429*F1429,0)</f>
        <v>7.8</v>
      </c>
      <c r="K1429" s="7" t="n">
        <f aca="false">YEAR(E1429)*100+MONTH(E1429)</f>
        <v>201109</v>
      </c>
      <c r="L1429" s="7" t="n">
        <f aca="false">IF(AND(A1429&lt;&gt;A1428,LEFT(A1429,1)&lt;&gt;"C"),1,0)</f>
        <v>0</v>
      </c>
    </row>
    <row r="1430" customFormat="false" ht="15" hidden="false" customHeight="false" outlineLevel="0" collapsed="false">
      <c r="A1430" s="0" t="s">
        <v>1392</v>
      </c>
      <c r="B1430" s="0" t="s">
        <v>1401</v>
      </c>
      <c r="C1430" s="0" t="s">
        <v>1402</v>
      </c>
      <c r="D1430" s="0" t="n">
        <v>10</v>
      </c>
      <c r="E1430" s="6" t="n">
        <v>40809.50625</v>
      </c>
      <c r="F1430" s="0" t="n">
        <v>1.65</v>
      </c>
      <c r="G1430" s="0" t="n">
        <v>12681</v>
      </c>
      <c r="H1430" s="0" t="s">
        <v>43</v>
      </c>
      <c r="I1430" s="7" t="n">
        <f aca="false">IF(AND(LEFT(A1430,1)&lt;&gt;"C",D1430&gt;0,F1430&gt;0),1,0)</f>
        <v>1</v>
      </c>
      <c r="J1430" s="7" t="n">
        <f aca="false">IF(I1430=1,D1430*F1430,0)</f>
        <v>16.5</v>
      </c>
      <c r="K1430" s="7" t="n">
        <f aca="false">YEAR(E1430)*100+MONTH(E1430)</f>
        <v>201109</v>
      </c>
      <c r="L1430" s="7" t="n">
        <f aca="false">IF(AND(A1430&lt;&gt;A1429,LEFT(A1430,1)&lt;&gt;"C"),1,0)</f>
        <v>0</v>
      </c>
    </row>
    <row r="1431" customFormat="false" ht="15" hidden="false" customHeight="false" outlineLevel="0" collapsed="false">
      <c r="A1431" s="0" t="s">
        <v>1392</v>
      </c>
      <c r="B1431" s="0" t="s">
        <v>903</v>
      </c>
      <c r="C1431" s="0" t="s">
        <v>904</v>
      </c>
      <c r="D1431" s="0" t="n">
        <v>2</v>
      </c>
      <c r="E1431" s="6" t="n">
        <v>40809.50625</v>
      </c>
      <c r="F1431" s="0" t="n">
        <v>9.95</v>
      </c>
      <c r="G1431" s="0" t="n">
        <v>12681</v>
      </c>
      <c r="H1431" s="0" t="s">
        <v>43</v>
      </c>
      <c r="I1431" s="7" t="n">
        <f aca="false">IF(AND(LEFT(A1431,1)&lt;&gt;"C",D1431&gt;0,F1431&gt;0),1,0)</f>
        <v>1</v>
      </c>
      <c r="J1431" s="7" t="n">
        <f aca="false">IF(I1431=1,D1431*F1431,0)</f>
        <v>19.9</v>
      </c>
      <c r="K1431" s="7" t="n">
        <f aca="false">YEAR(E1431)*100+MONTH(E1431)</f>
        <v>201109</v>
      </c>
      <c r="L1431" s="7" t="n">
        <f aca="false">IF(AND(A1431&lt;&gt;A1430,LEFT(A1431,1)&lt;&gt;"C"),1,0)</f>
        <v>0</v>
      </c>
    </row>
    <row r="1432" customFormat="false" ht="15" hidden="false" customHeight="false" outlineLevel="0" collapsed="false">
      <c r="A1432" s="0" t="s">
        <v>1392</v>
      </c>
      <c r="B1432" s="0" t="s">
        <v>201</v>
      </c>
      <c r="C1432" s="0" t="s">
        <v>202</v>
      </c>
      <c r="D1432" s="0" t="n">
        <v>24</v>
      </c>
      <c r="E1432" s="6" t="n">
        <v>40809.50625</v>
      </c>
      <c r="F1432" s="0" t="n">
        <v>0.39</v>
      </c>
      <c r="G1432" s="0" t="n">
        <v>12681</v>
      </c>
      <c r="H1432" s="0" t="s">
        <v>43</v>
      </c>
      <c r="I1432" s="7" t="n">
        <f aca="false">IF(AND(LEFT(A1432,1)&lt;&gt;"C",D1432&gt;0,F1432&gt;0),1,0)</f>
        <v>1</v>
      </c>
      <c r="J1432" s="7" t="n">
        <f aca="false">IF(I1432=1,D1432*F1432,0)</f>
        <v>9.36</v>
      </c>
      <c r="K1432" s="7" t="n">
        <f aca="false">YEAR(E1432)*100+MONTH(E1432)</f>
        <v>201109</v>
      </c>
      <c r="L1432" s="7" t="n">
        <f aca="false">IF(AND(A1432&lt;&gt;A1431,LEFT(A1432,1)&lt;&gt;"C"),1,0)</f>
        <v>0</v>
      </c>
    </row>
    <row r="1433" customFormat="false" ht="15" hidden="false" customHeight="false" outlineLevel="0" collapsed="false">
      <c r="A1433" s="0" t="s">
        <v>1392</v>
      </c>
      <c r="B1433" s="0" t="s">
        <v>1403</v>
      </c>
      <c r="C1433" s="0" t="s">
        <v>1404</v>
      </c>
      <c r="D1433" s="0" t="n">
        <v>6</v>
      </c>
      <c r="E1433" s="6" t="n">
        <v>40809.50625</v>
      </c>
      <c r="F1433" s="0" t="n">
        <v>2.55</v>
      </c>
      <c r="G1433" s="0" t="n">
        <v>12681</v>
      </c>
      <c r="H1433" s="0" t="s">
        <v>43</v>
      </c>
      <c r="I1433" s="7" t="n">
        <f aca="false">IF(AND(LEFT(A1433,1)&lt;&gt;"C",D1433&gt;0,F1433&gt;0),1,0)</f>
        <v>1</v>
      </c>
      <c r="J1433" s="7" t="n">
        <f aca="false">IF(I1433=1,D1433*F1433,0)</f>
        <v>15.3</v>
      </c>
      <c r="K1433" s="7" t="n">
        <f aca="false">YEAR(E1433)*100+MONTH(E1433)</f>
        <v>201109</v>
      </c>
      <c r="L1433" s="7" t="n">
        <f aca="false">IF(AND(A1433&lt;&gt;A1432,LEFT(A1433,1)&lt;&gt;"C"),1,0)</f>
        <v>0</v>
      </c>
    </row>
    <row r="1434" customFormat="false" ht="15" hidden="false" customHeight="false" outlineLevel="0" collapsed="false">
      <c r="A1434" s="0" t="s">
        <v>1392</v>
      </c>
      <c r="B1434" s="0" t="s">
        <v>747</v>
      </c>
      <c r="C1434" s="0" t="s">
        <v>748</v>
      </c>
      <c r="D1434" s="0" t="n">
        <v>12</v>
      </c>
      <c r="E1434" s="6" t="n">
        <v>40809.50625</v>
      </c>
      <c r="F1434" s="0" t="n">
        <v>0.42</v>
      </c>
      <c r="G1434" s="0" t="n">
        <v>12681</v>
      </c>
      <c r="H1434" s="0" t="s">
        <v>43</v>
      </c>
      <c r="I1434" s="7" t="n">
        <f aca="false">IF(AND(LEFT(A1434,1)&lt;&gt;"C",D1434&gt;0,F1434&gt;0),1,0)</f>
        <v>1</v>
      </c>
      <c r="J1434" s="7" t="n">
        <f aca="false">IF(I1434=1,D1434*F1434,0)</f>
        <v>5.04</v>
      </c>
      <c r="K1434" s="7" t="n">
        <f aca="false">YEAR(E1434)*100+MONTH(E1434)</f>
        <v>201109</v>
      </c>
      <c r="L1434" s="7" t="n">
        <f aca="false">IF(AND(A1434&lt;&gt;A1433,LEFT(A1434,1)&lt;&gt;"C"),1,0)</f>
        <v>0</v>
      </c>
    </row>
    <row r="1435" customFormat="false" ht="15" hidden="false" customHeight="false" outlineLevel="0" collapsed="false">
      <c r="A1435" s="0" t="s">
        <v>1392</v>
      </c>
      <c r="B1435" s="0" t="s">
        <v>606</v>
      </c>
      <c r="C1435" s="0" t="s">
        <v>607</v>
      </c>
      <c r="D1435" s="0" t="n">
        <v>12</v>
      </c>
      <c r="E1435" s="6" t="n">
        <v>40809.50625</v>
      </c>
      <c r="F1435" s="0" t="n">
        <v>0.42</v>
      </c>
      <c r="G1435" s="0" t="n">
        <v>12681</v>
      </c>
      <c r="H1435" s="0" t="s">
        <v>43</v>
      </c>
      <c r="I1435" s="7" t="n">
        <f aca="false">IF(AND(LEFT(A1435,1)&lt;&gt;"C",D1435&gt;0,F1435&gt;0),1,0)</f>
        <v>1</v>
      </c>
      <c r="J1435" s="7" t="n">
        <f aca="false">IF(I1435=1,D1435*F1435,0)</f>
        <v>5.04</v>
      </c>
      <c r="K1435" s="7" t="n">
        <f aca="false">YEAR(E1435)*100+MONTH(E1435)</f>
        <v>201109</v>
      </c>
      <c r="L1435" s="7" t="n">
        <f aca="false">IF(AND(A1435&lt;&gt;A1434,LEFT(A1435,1)&lt;&gt;"C"),1,0)</f>
        <v>0</v>
      </c>
    </row>
    <row r="1436" customFormat="false" ht="15" hidden="false" customHeight="false" outlineLevel="0" collapsed="false">
      <c r="A1436" s="0" t="s">
        <v>1392</v>
      </c>
      <c r="B1436" s="0" t="s">
        <v>1405</v>
      </c>
      <c r="C1436" s="0" t="s">
        <v>1406</v>
      </c>
      <c r="D1436" s="0" t="n">
        <v>12</v>
      </c>
      <c r="E1436" s="6" t="n">
        <v>40809.50625</v>
      </c>
      <c r="F1436" s="0" t="n">
        <v>1.25</v>
      </c>
      <c r="G1436" s="0" t="n">
        <v>12681</v>
      </c>
      <c r="H1436" s="0" t="s">
        <v>43</v>
      </c>
      <c r="I1436" s="7" t="n">
        <f aca="false">IF(AND(LEFT(A1436,1)&lt;&gt;"C",D1436&gt;0,F1436&gt;0),1,0)</f>
        <v>1</v>
      </c>
      <c r="J1436" s="7" t="n">
        <f aca="false">IF(I1436=1,D1436*F1436,0)</f>
        <v>15</v>
      </c>
      <c r="K1436" s="7" t="n">
        <f aca="false">YEAR(E1436)*100+MONTH(E1436)</f>
        <v>201109</v>
      </c>
      <c r="L1436" s="7" t="n">
        <f aca="false">IF(AND(A1436&lt;&gt;A1435,LEFT(A1436,1)&lt;&gt;"C"),1,0)</f>
        <v>0</v>
      </c>
    </row>
    <row r="1437" customFormat="false" ht="15" hidden="false" customHeight="false" outlineLevel="0" collapsed="false">
      <c r="A1437" s="0" t="s">
        <v>1392</v>
      </c>
      <c r="B1437" s="0" t="s">
        <v>1407</v>
      </c>
      <c r="C1437" s="0" t="s">
        <v>1408</v>
      </c>
      <c r="D1437" s="0" t="n">
        <v>24</v>
      </c>
      <c r="E1437" s="6" t="n">
        <v>40809.50625</v>
      </c>
      <c r="F1437" s="0" t="n">
        <v>0.39</v>
      </c>
      <c r="G1437" s="0" t="n">
        <v>12681</v>
      </c>
      <c r="H1437" s="0" t="s">
        <v>43</v>
      </c>
      <c r="I1437" s="7" t="n">
        <f aca="false">IF(AND(LEFT(A1437,1)&lt;&gt;"C",D1437&gt;0,F1437&gt;0),1,0)</f>
        <v>1</v>
      </c>
      <c r="J1437" s="7" t="n">
        <f aca="false">IF(I1437=1,D1437*F1437,0)</f>
        <v>9.36</v>
      </c>
      <c r="K1437" s="7" t="n">
        <f aca="false">YEAR(E1437)*100+MONTH(E1437)</f>
        <v>201109</v>
      </c>
      <c r="L1437" s="7" t="n">
        <f aca="false">IF(AND(A1437&lt;&gt;A1436,LEFT(A1437,1)&lt;&gt;"C"),1,0)</f>
        <v>0</v>
      </c>
    </row>
    <row r="1438" customFormat="false" ht="15" hidden="false" customHeight="false" outlineLevel="0" collapsed="false">
      <c r="A1438" s="0" t="s">
        <v>1392</v>
      </c>
      <c r="B1438" s="0" t="s">
        <v>97</v>
      </c>
      <c r="C1438" s="0" t="s">
        <v>98</v>
      </c>
      <c r="D1438" s="0" t="n">
        <v>12</v>
      </c>
      <c r="E1438" s="6" t="n">
        <v>40809.50625</v>
      </c>
      <c r="F1438" s="0" t="n">
        <v>1.65</v>
      </c>
      <c r="G1438" s="0" t="n">
        <v>12681</v>
      </c>
      <c r="H1438" s="0" t="s">
        <v>43</v>
      </c>
      <c r="I1438" s="7" t="n">
        <f aca="false">IF(AND(LEFT(A1438,1)&lt;&gt;"C",D1438&gt;0,F1438&gt;0),1,0)</f>
        <v>1</v>
      </c>
      <c r="J1438" s="7" t="n">
        <f aca="false">IF(I1438=1,D1438*F1438,0)</f>
        <v>19.8</v>
      </c>
      <c r="K1438" s="7" t="n">
        <f aca="false">YEAR(E1438)*100+MONTH(E1438)</f>
        <v>201109</v>
      </c>
      <c r="L1438" s="7" t="n">
        <f aca="false">IF(AND(A1438&lt;&gt;A1437,LEFT(A1438,1)&lt;&gt;"C"),1,0)</f>
        <v>0</v>
      </c>
    </row>
    <row r="1439" customFormat="false" ht="15" hidden="false" customHeight="false" outlineLevel="0" collapsed="false">
      <c r="A1439" s="0" t="s">
        <v>1392</v>
      </c>
      <c r="B1439" s="0" t="s">
        <v>1409</v>
      </c>
      <c r="C1439" s="0" t="s">
        <v>1410</v>
      </c>
      <c r="D1439" s="0" t="n">
        <v>12</v>
      </c>
      <c r="E1439" s="6" t="n">
        <v>40809.50625</v>
      </c>
      <c r="F1439" s="0" t="n">
        <v>0.85</v>
      </c>
      <c r="G1439" s="0" t="n">
        <v>12681</v>
      </c>
      <c r="H1439" s="0" t="s">
        <v>43</v>
      </c>
      <c r="I1439" s="7" t="n">
        <f aca="false">IF(AND(LEFT(A1439,1)&lt;&gt;"C",D1439&gt;0,F1439&gt;0),1,0)</f>
        <v>1</v>
      </c>
      <c r="J1439" s="7" t="n">
        <f aca="false">IF(I1439=1,D1439*F1439,0)</f>
        <v>10.2</v>
      </c>
      <c r="K1439" s="7" t="n">
        <f aca="false">YEAR(E1439)*100+MONTH(E1439)</f>
        <v>201109</v>
      </c>
      <c r="L1439" s="7" t="n">
        <f aca="false">IF(AND(A1439&lt;&gt;A1438,LEFT(A1439,1)&lt;&gt;"C"),1,0)</f>
        <v>0</v>
      </c>
    </row>
    <row r="1440" customFormat="false" ht="15" hidden="false" customHeight="false" outlineLevel="0" collapsed="false">
      <c r="A1440" s="0" t="s">
        <v>1392</v>
      </c>
      <c r="B1440" s="0" t="s">
        <v>627</v>
      </c>
      <c r="C1440" s="0" t="s">
        <v>628</v>
      </c>
      <c r="D1440" s="0" t="n">
        <v>10</v>
      </c>
      <c r="E1440" s="6" t="n">
        <v>40809.50625</v>
      </c>
      <c r="F1440" s="0" t="n">
        <v>0.85</v>
      </c>
      <c r="G1440" s="0" t="n">
        <v>12681</v>
      </c>
      <c r="H1440" s="0" t="s">
        <v>43</v>
      </c>
      <c r="I1440" s="7" t="n">
        <f aca="false">IF(AND(LEFT(A1440,1)&lt;&gt;"C",D1440&gt;0,F1440&gt;0),1,0)</f>
        <v>1</v>
      </c>
      <c r="J1440" s="7" t="n">
        <f aca="false">IF(I1440=1,D1440*F1440,0)</f>
        <v>8.5</v>
      </c>
      <c r="K1440" s="7" t="n">
        <f aca="false">YEAR(E1440)*100+MONTH(E1440)</f>
        <v>201109</v>
      </c>
      <c r="L1440" s="7" t="n">
        <f aca="false">IF(AND(A1440&lt;&gt;A1439,LEFT(A1440,1)&lt;&gt;"C"),1,0)</f>
        <v>0</v>
      </c>
    </row>
    <row r="1441" customFormat="false" ht="15" hidden="false" customHeight="false" outlineLevel="0" collapsed="false">
      <c r="A1441" s="0" t="s">
        <v>1392</v>
      </c>
      <c r="B1441" s="0" t="s">
        <v>60</v>
      </c>
      <c r="C1441" s="0" t="s">
        <v>61</v>
      </c>
      <c r="D1441" s="0" t="n">
        <v>6</v>
      </c>
      <c r="E1441" s="6" t="n">
        <v>40809.50625</v>
      </c>
      <c r="F1441" s="0" t="n">
        <v>2.55</v>
      </c>
      <c r="G1441" s="0" t="n">
        <v>12681</v>
      </c>
      <c r="H1441" s="0" t="s">
        <v>43</v>
      </c>
      <c r="I1441" s="7" t="n">
        <f aca="false">IF(AND(LEFT(A1441,1)&lt;&gt;"C",D1441&gt;0,F1441&gt;0),1,0)</f>
        <v>1</v>
      </c>
      <c r="J1441" s="7" t="n">
        <f aca="false">IF(I1441=1,D1441*F1441,0)</f>
        <v>15.3</v>
      </c>
      <c r="K1441" s="7" t="n">
        <f aca="false">YEAR(E1441)*100+MONTH(E1441)</f>
        <v>201109</v>
      </c>
      <c r="L1441" s="7" t="n">
        <f aca="false">IF(AND(A1441&lt;&gt;A1440,LEFT(A1441,1)&lt;&gt;"C"),1,0)</f>
        <v>0</v>
      </c>
    </row>
    <row r="1442" customFormat="false" ht="15" hidden="false" customHeight="false" outlineLevel="0" collapsed="false">
      <c r="A1442" s="0" t="s">
        <v>1392</v>
      </c>
      <c r="B1442" s="0" t="s">
        <v>1059</v>
      </c>
      <c r="C1442" s="0" t="s">
        <v>1060</v>
      </c>
      <c r="D1442" s="0" t="n">
        <v>12</v>
      </c>
      <c r="E1442" s="6" t="n">
        <v>40809.50625</v>
      </c>
      <c r="F1442" s="0" t="n">
        <v>2.08</v>
      </c>
      <c r="G1442" s="0" t="n">
        <v>12681</v>
      </c>
      <c r="H1442" s="0" t="s">
        <v>43</v>
      </c>
      <c r="I1442" s="7" t="n">
        <f aca="false">IF(AND(LEFT(A1442,1)&lt;&gt;"C",D1442&gt;0,F1442&gt;0),1,0)</f>
        <v>1</v>
      </c>
      <c r="J1442" s="7" t="n">
        <f aca="false">IF(I1442=1,D1442*F1442,0)</f>
        <v>24.96</v>
      </c>
      <c r="K1442" s="7" t="n">
        <f aca="false">YEAR(E1442)*100+MONTH(E1442)</f>
        <v>201109</v>
      </c>
      <c r="L1442" s="7" t="n">
        <f aca="false">IF(AND(A1442&lt;&gt;A1441,LEFT(A1442,1)&lt;&gt;"C"),1,0)</f>
        <v>0</v>
      </c>
    </row>
    <row r="1443" customFormat="false" ht="15" hidden="false" customHeight="false" outlineLevel="0" collapsed="false">
      <c r="A1443" s="0" t="s">
        <v>1392</v>
      </c>
      <c r="B1443" s="0" t="s">
        <v>335</v>
      </c>
      <c r="C1443" s="0" t="s">
        <v>336</v>
      </c>
      <c r="D1443" s="0" t="n">
        <v>12</v>
      </c>
      <c r="E1443" s="6" t="n">
        <v>40809.50625</v>
      </c>
      <c r="F1443" s="0" t="n">
        <v>1.65</v>
      </c>
      <c r="G1443" s="0" t="n">
        <v>12681</v>
      </c>
      <c r="H1443" s="0" t="s">
        <v>43</v>
      </c>
      <c r="I1443" s="7" t="n">
        <f aca="false">IF(AND(LEFT(A1443,1)&lt;&gt;"C",D1443&gt;0,F1443&gt;0),1,0)</f>
        <v>1</v>
      </c>
      <c r="J1443" s="7" t="n">
        <f aca="false">IF(I1443=1,D1443*F1443,0)</f>
        <v>19.8</v>
      </c>
      <c r="K1443" s="7" t="n">
        <f aca="false">YEAR(E1443)*100+MONTH(E1443)</f>
        <v>201109</v>
      </c>
      <c r="L1443" s="7" t="n">
        <f aca="false">IF(AND(A1443&lt;&gt;A1442,LEFT(A1443,1)&lt;&gt;"C"),1,0)</f>
        <v>0</v>
      </c>
    </row>
    <row r="1444" customFormat="false" ht="15" hidden="false" customHeight="false" outlineLevel="0" collapsed="false">
      <c r="A1444" s="0" t="s">
        <v>1392</v>
      </c>
      <c r="B1444" s="0" t="s">
        <v>80</v>
      </c>
      <c r="C1444" s="0" t="s">
        <v>81</v>
      </c>
      <c r="D1444" s="0" t="n">
        <v>40</v>
      </c>
      <c r="E1444" s="6" t="n">
        <v>40809.50625</v>
      </c>
      <c r="F1444" s="0" t="n">
        <v>0.83</v>
      </c>
      <c r="G1444" s="0" t="n">
        <v>12681</v>
      </c>
      <c r="H1444" s="0" t="s">
        <v>43</v>
      </c>
      <c r="I1444" s="7" t="n">
        <f aca="false">IF(AND(LEFT(A1444,1)&lt;&gt;"C",D1444&gt;0,F1444&gt;0),1,0)</f>
        <v>1</v>
      </c>
      <c r="J1444" s="7" t="n">
        <f aca="false">IF(I1444=1,D1444*F1444,0)</f>
        <v>33.2</v>
      </c>
      <c r="K1444" s="7" t="n">
        <f aca="false">YEAR(E1444)*100+MONTH(E1444)</f>
        <v>201109</v>
      </c>
      <c r="L1444" s="7" t="n">
        <f aca="false">IF(AND(A1444&lt;&gt;A1443,LEFT(A1444,1)&lt;&gt;"C"),1,0)</f>
        <v>0</v>
      </c>
    </row>
    <row r="1445" customFormat="false" ht="15" hidden="false" customHeight="false" outlineLevel="0" collapsed="false">
      <c r="A1445" s="0" t="s">
        <v>1392</v>
      </c>
      <c r="B1445" s="0" t="s">
        <v>735</v>
      </c>
      <c r="C1445" s="0" t="s">
        <v>736</v>
      </c>
      <c r="D1445" s="0" t="n">
        <v>8</v>
      </c>
      <c r="E1445" s="6" t="n">
        <v>40809.50625</v>
      </c>
      <c r="F1445" s="0" t="n">
        <v>4.95</v>
      </c>
      <c r="G1445" s="0" t="n">
        <v>12681</v>
      </c>
      <c r="H1445" s="0" t="s">
        <v>43</v>
      </c>
      <c r="I1445" s="7" t="n">
        <f aca="false">IF(AND(LEFT(A1445,1)&lt;&gt;"C",D1445&gt;0,F1445&gt;0),1,0)</f>
        <v>1</v>
      </c>
      <c r="J1445" s="7" t="n">
        <f aca="false">IF(I1445=1,D1445*F1445,0)</f>
        <v>39.6</v>
      </c>
      <c r="K1445" s="7" t="n">
        <f aca="false">YEAR(E1445)*100+MONTH(E1445)</f>
        <v>201109</v>
      </c>
      <c r="L1445" s="7" t="n">
        <f aca="false">IF(AND(A1445&lt;&gt;A1444,LEFT(A1445,1)&lt;&gt;"C"),1,0)</f>
        <v>0</v>
      </c>
    </row>
    <row r="1446" customFormat="false" ht="15" hidden="false" customHeight="false" outlineLevel="0" collapsed="false">
      <c r="A1446" s="0" t="s">
        <v>1392</v>
      </c>
      <c r="B1446" s="0" t="s">
        <v>125</v>
      </c>
      <c r="C1446" s="0" t="s">
        <v>126</v>
      </c>
      <c r="D1446" s="0" t="n">
        <v>24</v>
      </c>
      <c r="E1446" s="6" t="n">
        <v>40809.50625</v>
      </c>
      <c r="F1446" s="0" t="n">
        <v>1.25</v>
      </c>
      <c r="G1446" s="0" t="n">
        <v>12681</v>
      </c>
      <c r="H1446" s="0" t="s">
        <v>43</v>
      </c>
      <c r="I1446" s="7" t="n">
        <f aca="false">IF(AND(LEFT(A1446,1)&lt;&gt;"C",D1446&gt;0,F1446&gt;0),1,0)</f>
        <v>1</v>
      </c>
      <c r="J1446" s="7" t="n">
        <f aca="false">IF(I1446=1,D1446*F1446,0)</f>
        <v>30</v>
      </c>
      <c r="K1446" s="7" t="n">
        <f aca="false">YEAR(E1446)*100+MONTH(E1446)</f>
        <v>201109</v>
      </c>
      <c r="L1446" s="7" t="n">
        <f aca="false">IF(AND(A1446&lt;&gt;A1445,LEFT(A1446,1)&lt;&gt;"C"),1,0)</f>
        <v>0</v>
      </c>
    </row>
    <row r="1447" customFormat="false" ht="15" hidden="false" customHeight="false" outlineLevel="0" collapsed="false">
      <c r="A1447" s="0" t="s">
        <v>1392</v>
      </c>
      <c r="B1447" s="0" t="s">
        <v>667</v>
      </c>
      <c r="C1447" s="0" t="s">
        <v>668</v>
      </c>
      <c r="D1447" s="0" t="n">
        <v>10</v>
      </c>
      <c r="E1447" s="6" t="n">
        <v>40809.50625</v>
      </c>
      <c r="F1447" s="0" t="n">
        <v>0.85</v>
      </c>
      <c r="G1447" s="0" t="n">
        <v>12681</v>
      </c>
      <c r="H1447" s="0" t="s">
        <v>43</v>
      </c>
      <c r="I1447" s="7" t="n">
        <f aca="false">IF(AND(LEFT(A1447,1)&lt;&gt;"C",D1447&gt;0,F1447&gt;0),1,0)</f>
        <v>1</v>
      </c>
      <c r="J1447" s="7" t="n">
        <f aca="false">IF(I1447=1,D1447*F1447,0)</f>
        <v>8.5</v>
      </c>
      <c r="K1447" s="7" t="n">
        <f aca="false">YEAR(E1447)*100+MONTH(E1447)</f>
        <v>201109</v>
      </c>
      <c r="L1447" s="7" t="n">
        <f aca="false">IF(AND(A1447&lt;&gt;A1446,LEFT(A1447,1)&lt;&gt;"C"),1,0)</f>
        <v>0</v>
      </c>
    </row>
    <row r="1448" customFormat="false" ht="15" hidden="false" customHeight="false" outlineLevel="0" collapsed="false">
      <c r="A1448" s="0" t="s">
        <v>1392</v>
      </c>
      <c r="B1448" s="0" t="s">
        <v>168</v>
      </c>
      <c r="C1448" s="0" t="s">
        <v>169</v>
      </c>
      <c r="D1448" s="0" t="n">
        <v>10</v>
      </c>
      <c r="E1448" s="6" t="n">
        <v>40809.50625</v>
      </c>
      <c r="F1448" s="0" t="n">
        <v>0.85</v>
      </c>
      <c r="G1448" s="0" t="n">
        <v>12681</v>
      </c>
      <c r="H1448" s="0" t="s">
        <v>43</v>
      </c>
      <c r="I1448" s="7" t="n">
        <f aca="false">IF(AND(LEFT(A1448,1)&lt;&gt;"C",D1448&gt;0,F1448&gt;0),1,0)</f>
        <v>1</v>
      </c>
      <c r="J1448" s="7" t="n">
        <f aca="false">IF(I1448=1,D1448*F1448,0)</f>
        <v>8.5</v>
      </c>
      <c r="K1448" s="7" t="n">
        <f aca="false">YEAR(E1448)*100+MONTH(E1448)</f>
        <v>201109</v>
      </c>
      <c r="L1448" s="7" t="n">
        <f aca="false">IF(AND(A1448&lt;&gt;A1447,LEFT(A1448,1)&lt;&gt;"C"),1,0)</f>
        <v>0</v>
      </c>
    </row>
    <row r="1449" customFormat="false" ht="15" hidden="false" customHeight="false" outlineLevel="0" collapsed="false">
      <c r="A1449" s="0" t="s">
        <v>1392</v>
      </c>
      <c r="B1449" s="0" t="s">
        <v>84</v>
      </c>
      <c r="C1449" s="0" t="s">
        <v>85</v>
      </c>
      <c r="D1449" s="0" t="n">
        <v>4</v>
      </c>
      <c r="E1449" s="6" t="n">
        <v>40809.50625</v>
      </c>
      <c r="F1449" s="0" t="n">
        <v>18</v>
      </c>
      <c r="G1449" s="0" t="n">
        <v>12681</v>
      </c>
      <c r="H1449" s="0" t="s">
        <v>43</v>
      </c>
      <c r="I1449" s="7" t="n">
        <f aca="false">IF(AND(LEFT(A1449,1)&lt;&gt;"C",D1449&gt;0,F1449&gt;0),1,0)</f>
        <v>1</v>
      </c>
      <c r="J1449" s="7" t="n">
        <f aca="false">IF(I1449=1,D1449*F1449,0)</f>
        <v>72</v>
      </c>
      <c r="K1449" s="7" t="n">
        <f aca="false">YEAR(E1449)*100+MONTH(E1449)</f>
        <v>201109</v>
      </c>
      <c r="L1449" s="7" t="n">
        <f aca="false">IF(AND(A1449&lt;&gt;A1448,LEFT(A1449,1)&lt;&gt;"C"),1,0)</f>
        <v>0</v>
      </c>
    </row>
    <row r="1450" customFormat="false" ht="15" hidden="false" customHeight="false" outlineLevel="0" collapsed="false">
      <c r="A1450" s="0" t="s">
        <v>1411</v>
      </c>
      <c r="B1450" s="0" t="s">
        <v>1412</v>
      </c>
      <c r="C1450" s="0" t="s">
        <v>1413</v>
      </c>
      <c r="D1450" s="0" t="n">
        <v>24</v>
      </c>
      <c r="E1450" s="6" t="n">
        <v>40809.5381944445</v>
      </c>
      <c r="F1450" s="0" t="n">
        <v>0.42</v>
      </c>
      <c r="G1450" s="0" t="n">
        <v>12705</v>
      </c>
      <c r="H1450" s="0" t="s">
        <v>33</v>
      </c>
      <c r="I1450" s="7" t="n">
        <f aca="false">IF(AND(LEFT(A1450,1)&lt;&gt;"C",D1450&gt;0,F1450&gt;0),1,0)</f>
        <v>1</v>
      </c>
      <c r="J1450" s="7" t="n">
        <f aca="false">IF(I1450=1,D1450*F1450,0)</f>
        <v>10.08</v>
      </c>
      <c r="K1450" s="7" t="n">
        <f aca="false">YEAR(E1450)*100+MONTH(E1450)</f>
        <v>201109</v>
      </c>
      <c r="L1450" s="7" t="n">
        <f aca="false">IF(AND(A1450&lt;&gt;A1449,LEFT(A1450,1)&lt;&gt;"C"),1,0)</f>
        <v>1</v>
      </c>
    </row>
    <row r="1451" customFormat="false" ht="15" hidden="false" customHeight="false" outlineLevel="0" collapsed="false">
      <c r="A1451" s="0" t="s">
        <v>1411</v>
      </c>
      <c r="B1451" s="0" t="s">
        <v>953</v>
      </c>
      <c r="C1451" s="0" t="s">
        <v>954</v>
      </c>
      <c r="D1451" s="0" t="n">
        <v>10</v>
      </c>
      <c r="E1451" s="6" t="n">
        <v>40809.5381944445</v>
      </c>
      <c r="F1451" s="0" t="n">
        <v>1.25</v>
      </c>
      <c r="G1451" s="0" t="n">
        <v>12705</v>
      </c>
      <c r="H1451" s="0" t="s">
        <v>33</v>
      </c>
      <c r="I1451" s="7" t="n">
        <f aca="false">IF(AND(LEFT(A1451,1)&lt;&gt;"C",D1451&gt;0,F1451&gt;0),1,0)</f>
        <v>1</v>
      </c>
      <c r="J1451" s="7" t="n">
        <f aca="false">IF(I1451=1,D1451*F1451,0)</f>
        <v>12.5</v>
      </c>
      <c r="K1451" s="7" t="n">
        <f aca="false">YEAR(E1451)*100+MONTH(E1451)</f>
        <v>201109</v>
      </c>
      <c r="L1451" s="7" t="n">
        <f aca="false">IF(AND(A1451&lt;&gt;A1450,LEFT(A1451,1)&lt;&gt;"C"),1,0)</f>
        <v>0</v>
      </c>
    </row>
    <row r="1452" customFormat="false" ht="15" hidden="false" customHeight="false" outlineLevel="0" collapsed="false">
      <c r="A1452" s="0" t="s">
        <v>1411</v>
      </c>
      <c r="B1452" s="0" t="s">
        <v>168</v>
      </c>
      <c r="C1452" s="0" t="s">
        <v>169</v>
      </c>
      <c r="D1452" s="0" t="n">
        <v>10</v>
      </c>
      <c r="E1452" s="6" t="n">
        <v>40809.5381944445</v>
      </c>
      <c r="F1452" s="0" t="n">
        <v>0.85</v>
      </c>
      <c r="G1452" s="0" t="n">
        <v>12705</v>
      </c>
      <c r="H1452" s="0" t="s">
        <v>33</v>
      </c>
      <c r="I1452" s="7" t="n">
        <f aca="false">IF(AND(LEFT(A1452,1)&lt;&gt;"C",D1452&gt;0,F1452&gt;0),1,0)</f>
        <v>1</v>
      </c>
      <c r="J1452" s="7" t="n">
        <f aca="false">IF(I1452=1,D1452*F1452,0)</f>
        <v>8.5</v>
      </c>
      <c r="K1452" s="7" t="n">
        <f aca="false">YEAR(E1452)*100+MONTH(E1452)</f>
        <v>201109</v>
      </c>
      <c r="L1452" s="7" t="n">
        <f aca="false">IF(AND(A1452&lt;&gt;A1451,LEFT(A1452,1)&lt;&gt;"C"),1,0)</f>
        <v>0</v>
      </c>
    </row>
    <row r="1453" customFormat="false" ht="15" hidden="false" customHeight="false" outlineLevel="0" collapsed="false">
      <c r="A1453" s="0" t="s">
        <v>1411</v>
      </c>
      <c r="B1453" s="0" t="s">
        <v>905</v>
      </c>
      <c r="C1453" s="0" t="s">
        <v>906</v>
      </c>
      <c r="D1453" s="0" t="n">
        <v>4</v>
      </c>
      <c r="E1453" s="6" t="n">
        <v>40809.5381944445</v>
      </c>
      <c r="F1453" s="0" t="n">
        <v>8.25</v>
      </c>
      <c r="G1453" s="0" t="n">
        <v>12705</v>
      </c>
      <c r="H1453" s="0" t="s">
        <v>33</v>
      </c>
      <c r="I1453" s="7" t="n">
        <f aca="false">IF(AND(LEFT(A1453,1)&lt;&gt;"C",D1453&gt;0,F1453&gt;0),1,0)</f>
        <v>1</v>
      </c>
      <c r="J1453" s="7" t="n">
        <f aca="false">IF(I1453=1,D1453*F1453,0)</f>
        <v>33</v>
      </c>
      <c r="K1453" s="7" t="n">
        <f aca="false">YEAR(E1453)*100+MONTH(E1453)</f>
        <v>201109</v>
      </c>
      <c r="L1453" s="7" t="n">
        <f aca="false">IF(AND(A1453&lt;&gt;A1452,LEFT(A1453,1)&lt;&gt;"C"),1,0)</f>
        <v>0</v>
      </c>
    </row>
    <row r="1454" customFormat="false" ht="15" hidden="false" customHeight="false" outlineLevel="0" collapsed="false">
      <c r="A1454" s="0" t="s">
        <v>1411</v>
      </c>
      <c r="B1454" s="0" t="s">
        <v>426</v>
      </c>
      <c r="C1454" s="0" t="s">
        <v>427</v>
      </c>
      <c r="D1454" s="0" t="n">
        <v>4</v>
      </c>
      <c r="E1454" s="6" t="n">
        <v>40809.5381944445</v>
      </c>
      <c r="F1454" s="0" t="n">
        <v>8.25</v>
      </c>
      <c r="G1454" s="0" t="n">
        <v>12705</v>
      </c>
      <c r="H1454" s="0" t="s">
        <v>33</v>
      </c>
      <c r="I1454" s="7" t="n">
        <f aca="false">IF(AND(LEFT(A1454,1)&lt;&gt;"C",D1454&gt;0,F1454&gt;0),1,0)</f>
        <v>1</v>
      </c>
      <c r="J1454" s="7" t="n">
        <f aca="false">IF(I1454=1,D1454*F1454,0)</f>
        <v>33</v>
      </c>
      <c r="K1454" s="7" t="n">
        <f aca="false">YEAR(E1454)*100+MONTH(E1454)</f>
        <v>201109</v>
      </c>
      <c r="L1454" s="7" t="n">
        <f aca="false">IF(AND(A1454&lt;&gt;A1453,LEFT(A1454,1)&lt;&gt;"C"),1,0)</f>
        <v>0</v>
      </c>
    </row>
    <row r="1455" customFormat="false" ht="15" hidden="false" customHeight="false" outlineLevel="0" collapsed="false">
      <c r="A1455" s="0" t="s">
        <v>1411</v>
      </c>
      <c r="B1455" s="0" t="s">
        <v>1170</v>
      </c>
      <c r="C1455" s="0" t="s">
        <v>1171</v>
      </c>
      <c r="D1455" s="0" t="n">
        <v>25</v>
      </c>
      <c r="E1455" s="6" t="n">
        <v>40809.5381944445</v>
      </c>
      <c r="F1455" s="0" t="n">
        <v>0.42</v>
      </c>
      <c r="G1455" s="0" t="n">
        <v>12705</v>
      </c>
      <c r="H1455" s="0" t="s">
        <v>33</v>
      </c>
      <c r="I1455" s="7" t="n">
        <f aca="false">IF(AND(LEFT(A1455,1)&lt;&gt;"C",D1455&gt;0,F1455&gt;0),1,0)</f>
        <v>1</v>
      </c>
      <c r="J1455" s="7" t="n">
        <f aca="false">IF(I1455=1,D1455*F1455,0)</f>
        <v>10.5</v>
      </c>
      <c r="K1455" s="7" t="n">
        <f aca="false">YEAR(E1455)*100+MONTH(E1455)</f>
        <v>201109</v>
      </c>
      <c r="L1455" s="7" t="n">
        <f aca="false">IF(AND(A1455&lt;&gt;A1454,LEFT(A1455,1)&lt;&gt;"C"),1,0)</f>
        <v>0</v>
      </c>
    </row>
    <row r="1456" customFormat="false" ht="15" hidden="false" customHeight="false" outlineLevel="0" collapsed="false">
      <c r="A1456" s="0" t="s">
        <v>1411</v>
      </c>
      <c r="B1456" s="0" t="s">
        <v>1414</v>
      </c>
      <c r="C1456" s="0" t="s">
        <v>1415</v>
      </c>
      <c r="D1456" s="0" t="n">
        <v>25</v>
      </c>
      <c r="E1456" s="6" t="n">
        <v>40809.5381944445</v>
      </c>
      <c r="F1456" s="0" t="n">
        <v>0.42</v>
      </c>
      <c r="G1456" s="0" t="n">
        <v>12705</v>
      </c>
      <c r="H1456" s="0" t="s">
        <v>33</v>
      </c>
      <c r="I1456" s="7" t="n">
        <f aca="false">IF(AND(LEFT(A1456,1)&lt;&gt;"C",D1456&gt;0,F1456&gt;0),1,0)</f>
        <v>1</v>
      </c>
      <c r="J1456" s="7" t="n">
        <f aca="false">IF(I1456=1,D1456*F1456,0)</f>
        <v>10.5</v>
      </c>
      <c r="K1456" s="7" t="n">
        <f aca="false">YEAR(E1456)*100+MONTH(E1456)</f>
        <v>201109</v>
      </c>
      <c r="L1456" s="7" t="n">
        <f aca="false">IF(AND(A1456&lt;&gt;A1455,LEFT(A1456,1)&lt;&gt;"C"),1,0)</f>
        <v>0</v>
      </c>
    </row>
    <row r="1457" customFormat="false" ht="15" hidden="false" customHeight="false" outlineLevel="0" collapsed="false">
      <c r="A1457" s="0" t="s">
        <v>1411</v>
      </c>
      <c r="B1457" s="0" t="s">
        <v>121</v>
      </c>
      <c r="C1457" s="0" t="s">
        <v>122</v>
      </c>
      <c r="D1457" s="0" t="n">
        <v>10</v>
      </c>
      <c r="E1457" s="6" t="n">
        <v>40809.5381944445</v>
      </c>
      <c r="F1457" s="0" t="n">
        <v>1.65</v>
      </c>
      <c r="G1457" s="0" t="n">
        <v>12705</v>
      </c>
      <c r="H1457" s="0" t="s">
        <v>33</v>
      </c>
      <c r="I1457" s="7" t="n">
        <f aca="false">IF(AND(LEFT(A1457,1)&lt;&gt;"C",D1457&gt;0,F1457&gt;0),1,0)</f>
        <v>1</v>
      </c>
      <c r="J1457" s="7" t="n">
        <f aca="false">IF(I1457=1,D1457*F1457,0)</f>
        <v>16.5</v>
      </c>
      <c r="K1457" s="7" t="n">
        <f aca="false">YEAR(E1457)*100+MONTH(E1457)</f>
        <v>201109</v>
      </c>
      <c r="L1457" s="7" t="n">
        <f aca="false">IF(AND(A1457&lt;&gt;A1456,LEFT(A1457,1)&lt;&gt;"C"),1,0)</f>
        <v>0</v>
      </c>
    </row>
    <row r="1458" customFormat="false" ht="15" hidden="false" customHeight="false" outlineLevel="0" collapsed="false">
      <c r="A1458" s="0" t="s">
        <v>1411</v>
      </c>
      <c r="B1458" s="0" t="s">
        <v>794</v>
      </c>
      <c r="C1458" s="0" t="s">
        <v>795</v>
      </c>
      <c r="D1458" s="0" t="n">
        <v>10</v>
      </c>
      <c r="E1458" s="6" t="n">
        <v>40809.5381944445</v>
      </c>
      <c r="F1458" s="0" t="n">
        <v>0.85</v>
      </c>
      <c r="G1458" s="0" t="n">
        <v>12705</v>
      </c>
      <c r="H1458" s="0" t="s">
        <v>33</v>
      </c>
      <c r="I1458" s="7" t="n">
        <f aca="false">IF(AND(LEFT(A1458,1)&lt;&gt;"C",D1458&gt;0,F1458&gt;0),1,0)</f>
        <v>1</v>
      </c>
      <c r="J1458" s="7" t="n">
        <f aca="false">IF(I1458=1,D1458*F1458,0)</f>
        <v>8.5</v>
      </c>
      <c r="K1458" s="7" t="n">
        <f aca="false">YEAR(E1458)*100+MONTH(E1458)</f>
        <v>201109</v>
      </c>
      <c r="L1458" s="7" t="n">
        <f aca="false">IF(AND(A1458&lt;&gt;A1457,LEFT(A1458,1)&lt;&gt;"C"),1,0)</f>
        <v>0</v>
      </c>
    </row>
    <row r="1459" customFormat="false" ht="15" hidden="false" customHeight="false" outlineLevel="0" collapsed="false">
      <c r="A1459" s="0" t="s">
        <v>1411</v>
      </c>
      <c r="B1459" s="0" t="s">
        <v>627</v>
      </c>
      <c r="C1459" s="0" t="s">
        <v>628</v>
      </c>
      <c r="D1459" s="0" t="n">
        <v>20</v>
      </c>
      <c r="E1459" s="6" t="n">
        <v>40809.5381944445</v>
      </c>
      <c r="F1459" s="0" t="n">
        <v>0.85</v>
      </c>
      <c r="G1459" s="0" t="n">
        <v>12705</v>
      </c>
      <c r="H1459" s="0" t="s">
        <v>33</v>
      </c>
      <c r="I1459" s="7" t="n">
        <f aca="false">IF(AND(LEFT(A1459,1)&lt;&gt;"C",D1459&gt;0,F1459&gt;0),1,0)</f>
        <v>1</v>
      </c>
      <c r="J1459" s="7" t="n">
        <f aca="false">IF(I1459=1,D1459*F1459,0)</f>
        <v>17</v>
      </c>
      <c r="K1459" s="7" t="n">
        <f aca="false">YEAR(E1459)*100+MONTH(E1459)</f>
        <v>201109</v>
      </c>
      <c r="L1459" s="7" t="n">
        <f aca="false">IF(AND(A1459&lt;&gt;A1458,LEFT(A1459,1)&lt;&gt;"C"),1,0)</f>
        <v>0</v>
      </c>
    </row>
    <row r="1460" customFormat="false" ht="15" hidden="false" customHeight="false" outlineLevel="0" collapsed="false">
      <c r="A1460" s="0" t="s">
        <v>1411</v>
      </c>
      <c r="B1460" s="0" t="s">
        <v>74</v>
      </c>
      <c r="C1460" s="0" t="s">
        <v>75</v>
      </c>
      <c r="D1460" s="0" t="n">
        <v>12</v>
      </c>
      <c r="E1460" s="6" t="n">
        <v>40809.5381944445</v>
      </c>
      <c r="F1460" s="0" t="n">
        <v>1.95</v>
      </c>
      <c r="G1460" s="0" t="n">
        <v>12705</v>
      </c>
      <c r="H1460" s="0" t="s">
        <v>33</v>
      </c>
      <c r="I1460" s="7" t="n">
        <f aca="false">IF(AND(LEFT(A1460,1)&lt;&gt;"C",D1460&gt;0,F1460&gt;0),1,0)</f>
        <v>1</v>
      </c>
      <c r="J1460" s="7" t="n">
        <f aca="false">IF(I1460=1,D1460*F1460,0)</f>
        <v>23.4</v>
      </c>
      <c r="K1460" s="7" t="n">
        <f aca="false">YEAR(E1460)*100+MONTH(E1460)</f>
        <v>201109</v>
      </c>
      <c r="L1460" s="7" t="n">
        <f aca="false">IF(AND(A1460&lt;&gt;A1459,LEFT(A1460,1)&lt;&gt;"C"),1,0)</f>
        <v>0</v>
      </c>
    </row>
    <row r="1461" customFormat="false" ht="15" hidden="false" customHeight="false" outlineLevel="0" collapsed="false">
      <c r="A1461" s="0" t="s">
        <v>1411</v>
      </c>
      <c r="B1461" s="0" t="s">
        <v>78</v>
      </c>
      <c r="C1461" s="0" t="s">
        <v>79</v>
      </c>
      <c r="D1461" s="0" t="n">
        <v>10</v>
      </c>
      <c r="E1461" s="6" t="n">
        <v>40809.5381944445</v>
      </c>
      <c r="F1461" s="0" t="n">
        <v>1.65</v>
      </c>
      <c r="G1461" s="0" t="n">
        <v>12705</v>
      </c>
      <c r="H1461" s="0" t="s">
        <v>33</v>
      </c>
      <c r="I1461" s="7" t="n">
        <f aca="false">IF(AND(LEFT(A1461,1)&lt;&gt;"C",D1461&gt;0,F1461&gt;0),1,0)</f>
        <v>1</v>
      </c>
      <c r="J1461" s="7" t="n">
        <f aca="false">IF(I1461=1,D1461*F1461,0)</f>
        <v>16.5</v>
      </c>
      <c r="K1461" s="7" t="n">
        <f aca="false">YEAR(E1461)*100+MONTH(E1461)</f>
        <v>201109</v>
      </c>
      <c r="L1461" s="7" t="n">
        <f aca="false">IF(AND(A1461&lt;&gt;A1460,LEFT(A1461,1)&lt;&gt;"C"),1,0)</f>
        <v>0</v>
      </c>
    </row>
    <row r="1462" customFormat="false" ht="15" hidden="false" customHeight="false" outlineLevel="0" collapsed="false">
      <c r="A1462" s="0" t="s">
        <v>1411</v>
      </c>
      <c r="B1462" s="0" t="s">
        <v>76</v>
      </c>
      <c r="C1462" s="0" t="s">
        <v>77</v>
      </c>
      <c r="D1462" s="0" t="n">
        <v>12</v>
      </c>
      <c r="E1462" s="6" t="n">
        <v>40809.5381944445</v>
      </c>
      <c r="F1462" s="0" t="n">
        <v>1.95</v>
      </c>
      <c r="G1462" s="0" t="n">
        <v>12705</v>
      </c>
      <c r="H1462" s="0" t="s">
        <v>33</v>
      </c>
      <c r="I1462" s="7" t="n">
        <f aca="false">IF(AND(LEFT(A1462,1)&lt;&gt;"C",D1462&gt;0,F1462&gt;0),1,0)</f>
        <v>1</v>
      </c>
      <c r="J1462" s="7" t="n">
        <f aca="false">IF(I1462=1,D1462*F1462,0)</f>
        <v>23.4</v>
      </c>
      <c r="K1462" s="7" t="n">
        <f aca="false">YEAR(E1462)*100+MONTH(E1462)</f>
        <v>201109</v>
      </c>
      <c r="L1462" s="7" t="n">
        <f aca="false">IF(AND(A1462&lt;&gt;A1461,LEFT(A1462,1)&lt;&gt;"C"),1,0)</f>
        <v>0</v>
      </c>
    </row>
    <row r="1463" customFormat="false" ht="15" hidden="false" customHeight="false" outlineLevel="0" collapsed="false">
      <c r="A1463" s="0" t="s">
        <v>1411</v>
      </c>
      <c r="B1463" s="0" t="s">
        <v>1320</v>
      </c>
      <c r="C1463" s="0" t="s">
        <v>1321</v>
      </c>
      <c r="D1463" s="0" t="n">
        <v>20</v>
      </c>
      <c r="E1463" s="6" t="n">
        <v>40809.5381944445</v>
      </c>
      <c r="F1463" s="0" t="n">
        <v>1.45</v>
      </c>
      <c r="G1463" s="0" t="n">
        <v>12705</v>
      </c>
      <c r="H1463" s="0" t="s">
        <v>33</v>
      </c>
      <c r="I1463" s="7" t="n">
        <f aca="false">IF(AND(LEFT(A1463,1)&lt;&gt;"C",D1463&gt;0,F1463&gt;0),1,0)</f>
        <v>1</v>
      </c>
      <c r="J1463" s="7" t="n">
        <f aca="false">IF(I1463=1,D1463*F1463,0)</f>
        <v>29</v>
      </c>
      <c r="K1463" s="7" t="n">
        <f aca="false">YEAR(E1463)*100+MONTH(E1463)</f>
        <v>201109</v>
      </c>
      <c r="L1463" s="7" t="n">
        <f aca="false">IF(AND(A1463&lt;&gt;A1462,LEFT(A1463,1)&lt;&gt;"C"),1,0)</f>
        <v>0</v>
      </c>
    </row>
    <row r="1464" customFormat="false" ht="15" hidden="false" customHeight="false" outlineLevel="0" collapsed="false">
      <c r="A1464" s="0" t="s">
        <v>1411</v>
      </c>
      <c r="B1464" s="0" t="s">
        <v>146</v>
      </c>
      <c r="C1464" s="0" t="s">
        <v>147</v>
      </c>
      <c r="D1464" s="0" t="n">
        <v>12</v>
      </c>
      <c r="E1464" s="6" t="n">
        <v>40809.5381944445</v>
      </c>
      <c r="F1464" s="0" t="n">
        <v>2.89</v>
      </c>
      <c r="G1464" s="0" t="n">
        <v>12705</v>
      </c>
      <c r="H1464" s="0" t="s">
        <v>33</v>
      </c>
      <c r="I1464" s="7" t="n">
        <f aca="false">IF(AND(LEFT(A1464,1)&lt;&gt;"C",D1464&gt;0,F1464&gt;0),1,0)</f>
        <v>1</v>
      </c>
      <c r="J1464" s="7" t="n">
        <f aca="false">IF(I1464=1,D1464*F1464,0)</f>
        <v>34.68</v>
      </c>
      <c r="K1464" s="7" t="n">
        <f aca="false">YEAR(E1464)*100+MONTH(E1464)</f>
        <v>201109</v>
      </c>
      <c r="L1464" s="7" t="n">
        <f aca="false">IF(AND(A1464&lt;&gt;A1463,LEFT(A1464,1)&lt;&gt;"C"),1,0)</f>
        <v>0</v>
      </c>
    </row>
    <row r="1465" customFormat="false" ht="15" hidden="false" customHeight="false" outlineLevel="0" collapsed="false">
      <c r="A1465" s="0" t="s">
        <v>1411</v>
      </c>
      <c r="B1465" s="0" t="s">
        <v>136</v>
      </c>
      <c r="C1465" s="0" t="s">
        <v>137</v>
      </c>
      <c r="D1465" s="0" t="n">
        <v>4</v>
      </c>
      <c r="E1465" s="6" t="n">
        <v>40809.5381944445</v>
      </c>
      <c r="F1465" s="0" t="n">
        <v>4.95</v>
      </c>
      <c r="G1465" s="0" t="n">
        <v>12705</v>
      </c>
      <c r="H1465" s="0" t="s">
        <v>33</v>
      </c>
      <c r="I1465" s="7" t="n">
        <f aca="false">IF(AND(LEFT(A1465,1)&lt;&gt;"C",D1465&gt;0,F1465&gt;0),1,0)</f>
        <v>1</v>
      </c>
      <c r="J1465" s="7" t="n">
        <f aca="false">IF(I1465=1,D1465*F1465,0)</f>
        <v>19.8</v>
      </c>
      <c r="K1465" s="7" t="n">
        <f aca="false">YEAR(E1465)*100+MONTH(E1465)</f>
        <v>201109</v>
      </c>
      <c r="L1465" s="7" t="n">
        <f aca="false">IF(AND(A1465&lt;&gt;A1464,LEFT(A1465,1)&lt;&gt;"C"),1,0)</f>
        <v>0</v>
      </c>
    </row>
    <row r="1466" customFormat="false" ht="15" hidden="false" customHeight="false" outlineLevel="0" collapsed="false">
      <c r="A1466" s="0" t="s">
        <v>1411</v>
      </c>
      <c r="B1466" s="0" t="s">
        <v>133</v>
      </c>
      <c r="C1466" s="0" t="s">
        <v>134</v>
      </c>
      <c r="D1466" s="0" t="n">
        <v>6</v>
      </c>
      <c r="E1466" s="6" t="n">
        <v>40809.5381944445</v>
      </c>
      <c r="F1466" s="0" t="n">
        <v>3.25</v>
      </c>
      <c r="G1466" s="0" t="n">
        <v>12705</v>
      </c>
      <c r="H1466" s="0" t="s">
        <v>33</v>
      </c>
      <c r="I1466" s="7" t="n">
        <f aca="false">IF(AND(LEFT(A1466,1)&lt;&gt;"C",D1466&gt;0,F1466&gt;0),1,0)</f>
        <v>1</v>
      </c>
      <c r="J1466" s="7" t="n">
        <f aca="false">IF(I1466=1,D1466*F1466,0)</f>
        <v>19.5</v>
      </c>
      <c r="K1466" s="7" t="n">
        <f aca="false">YEAR(E1466)*100+MONTH(E1466)</f>
        <v>201109</v>
      </c>
      <c r="L1466" s="7" t="n">
        <f aca="false">IF(AND(A1466&lt;&gt;A1465,LEFT(A1466,1)&lt;&gt;"C"),1,0)</f>
        <v>0</v>
      </c>
    </row>
    <row r="1467" customFormat="false" ht="15" hidden="false" customHeight="false" outlineLevel="0" collapsed="false">
      <c r="A1467" s="0" t="s">
        <v>1411</v>
      </c>
      <c r="B1467" s="0" t="s">
        <v>637</v>
      </c>
      <c r="C1467" s="0" t="s">
        <v>638</v>
      </c>
      <c r="D1467" s="0" t="n">
        <v>10</v>
      </c>
      <c r="E1467" s="6" t="n">
        <v>40809.5381944445</v>
      </c>
      <c r="F1467" s="0" t="n">
        <v>0.85</v>
      </c>
      <c r="G1467" s="0" t="n">
        <v>12705</v>
      </c>
      <c r="H1467" s="0" t="s">
        <v>33</v>
      </c>
      <c r="I1467" s="7" t="n">
        <f aca="false">IF(AND(LEFT(A1467,1)&lt;&gt;"C",D1467&gt;0,F1467&gt;0),1,0)</f>
        <v>1</v>
      </c>
      <c r="J1467" s="7" t="n">
        <f aca="false">IF(I1467=1,D1467*F1467,0)</f>
        <v>8.5</v>
      </c>
      <c r="K1467" s="7" t="n">
        <f aca="false">YEAR(E1467)*100+MONTH(E1467)</f>
        <v>201109</v>
      </c>
      <c r="L1467" s="7" t="n">
        <f aca="false">IF(AND(A1467&lt;&gt;A1466,LEFT(A1467,1)&lt;&gt;"C"),1,0)</f>
        <v>0</v>
      </c>
    </row>
    <row r="1468" customFormat="false" ht="15" hidden="false" customHeight="false" outlineLevel="0" collapsed="false">
      <c r="A1468" s="0" t="s">
        <v>1411</v>
      </c>
      <c r="B1468" s="0" t="s">
        <v>687</v>
      </c>
      <c r="C1468" s="0" t="s">
        <v>688</v>
      </c>
      <c r="D1468" s="0" t="n">
        <v>6</v>
      </c>
      <c r="E1468" s="6" t="n">
        <v>40809.5381944445</v>
      </c>
      <c r="F1468" s="0" t="n">
        <v>2.08</v>
      </c>
      <c r="G1468" s="0" t="n">
        <v>12705</v>
      </c>
      <c r="H1468" s="0" t="s">
        <v>33</v>
      </c>
      <c r="I1468" s="7" t="n">
        <f aca="false">IF(AND(LEFT(A1468,1)&lt;&gt;"C",D1468&gt;0,F1468&gt;0),1,0)</f>
        <v>1</v>
      </c>
      <c r="J1468" s="7" t="n">
        <f aca="false">IF(I1468=1,D1468*F1468,0)</f>
        <v>12.48</v>
      </c>
      <c r="K1468" s="7" t="n">
        <f aca="false">YEAR(E1468)*100+MONTH(E1468)</f>
        <v>201109</v>
      </c>
      <c r="L1468" s="7" t="n">
        <f aca="false">IF(AND(A1468&lt;&gt;A1467,LEFT(A1468,1)&lt;&gt;"C"),1,0)</f>
        <v>0</v>
      </c>
    </row>
    <row r="1469" customFormat="false" ht="15" hidden="false" customHeight="false" outlineLevel="0" collapsed="false">
      <c r="A1469" s="0" t="s">
        <v>1411</v>
      </c>
      <c r="B1469" s="0" t="s">
        <v>138</v>
      </c>
      <c r="C1469" s="0" t="s">
        <v>139</v>
      </c>
      <c r="D1469" s="0" t="n">
        <v>6</v>
      </c>
      <c r="E1469" s="6" t="n">
        <v>40809.5381944445</v>
      </c>
      <c r="F1469" s="0" t="n">
        <v>2.08</v>
      </c>
      <c r="G1469" s="0" t="n">
        <v>12705</v>
      </c>
      <c r="H1469" s="0" t="s">
        <v>33</v>
      </c>
      <c r="I1469" s="7" t="n">
        <f aca="false">IF(AND(LEFT(A1469,1)&lt;&gt;"C",D1469&gt;0,F1469&gt;0),1,0)</f>
        <v>1</v>
      </c>
      <c r="J1469" s="7" t="n">
        <f aca="false">IF(I1469=1,D1469*F1469,0)</f>
        <v>12.48</v>
      </c>
      <c r="K1469" s="7" t="n">
        <f aca="false">YEAR(E1469)*100+MONTH(E1469)</f>
        <v>201109</v>
      </c>
      <c r="L1469" s="7" t="n">
        <f aca="false">IF(AND(A1469&lt;&gt;A1468,LEFT(A1469,1)&lt;&gt;"C"),1,0)</f>
        <v>0</v>
      </c>
    </row>
    <row r="1470" customFormat="false" ht="15" hidden="false" customHeight="false" outlineLevel="0" collapsed="false">
      <c r="A1470" s="0" t="s">
        <v>1411</v>
      </c>
      <c r="B1470" s="0" t="s">
        <v>64</v>
      </c>
      <c r="C1470" s="0" t="s">
        <v>65</v>
      </c>
      <c r="D1470" s="0" t="n">
        <v>24</v>
      </c>
      <c r="E1470" s="6" t="n">
        <v>40809.5381944445</v>
      </c>
      <c r="F1470" s="0" t="n">
        <v>1.65</v>
      </c>
      <c r="G1470" s="0" t="n">
        <v>12705</v>
      </c>
      <c r="H1470" s="0" t="s">
        <v>33</v>
      </c>
      <c r="I1470" s="7" t="n">
        <f aca="false">IF(AND(LEFT(A1470,1)&lt;&gt;"C",D1470&gt;0,F1470&gt;0),1,0)</f>
        <v>1</v>
      </c>
      <c r="J1470" s="7" t="n">
        <f aca="false">IF(I1470=1,D1470*F1470,0)</f>
        <v>39.6</v>
      </c>
      <c r="K1470" s="7" t="n">
        <f aca="false">YEAR(E1470)*100+MONTH(E1470)</f>
        <v>201109</v>
      </c>
      <c r="L1470" s="7" t="n">
        <f aca="false">IF(AND(A1470&lt;&gt;A1469,LEFT(A1470,1)&lt;&gt;"C"),1,0)</f>
        <v>0</v>
      </c>
    </row>
    <row r="1471" customFormat="false" ht="15" hidden="false" customHeight="false" outlineLevel="0" collapsed="false">
      <c r="A1471" s="0" t="s">
        <v>1411</v>
      </c>
      <c r="B1471" s="0" t="s">
        <v>667</v>
      </c>
      <c r="C1471" s="0" t="s">
        <v>668</v>
      </c>
      <c r="D1471" s="0" t="n">
        <v>10</v>
      </c>
      <c r="E1471" s="6" t="n">
        <v>40809.5381944445</v>
      </c>
      <c r="F1471" s="0" t="n">
        <v>0.85</v>
      </c>
      <c r="G1471" s="0" t="n">
        <v>12705</v>
      </c>
      <c r="H1471" s="0" t="s">
        <v>33</v>
      </c>
      <c r="I1471" s="7" t="n">
        <f aca="false">IF(AND(LEFT(A1471,1)&lt;&gt;"C",D1471&gt;0,F1471&gt;0),1,0)</f>
        <v>1</v>
      </c>
      <c r="J1471" s="7" t="n">
        <f aca="false">IF(I1471=1,D1471*F1471,0)</f>
        <v>8.5</v>
      </c>
      <c r="K1471" s="7" t="n">
        <f aca="false">YEAR(E1471)*100+MONTH(E1471)</f>
        <v>201109</v>
      </c>
      <c r="L1471" s="7" t="n">
        <f aca="false">IF(AND(A1471&lt;&gt;A1470,LEFT(A1471,1)&lt;&gt;"C"),1,0)</f>
        <v>0</v>
      </c>
    </row>
    <row r="1472" customFormat="false" ht="15" hidden="false" customHeight="false" outlineLevel="0" collapsed="false">
      <c r="A1472" s="0" t="s">
        <v>1411</v>
      </c>
      <c r="B1472" s="0" t="s">
        <v>450</v>
      </c>
      <c r="C1472" s="0" t="s">
        <v>451</v>
      </c>
      <c r="D1472" s="0" t="n">
        <v>6</v>
      </c>
      <c r="E1472" s="6" t="n">
        <v>40809.5381944445</v>
      </c>
      <c r="F1472" s="0" t="n">
        <v>2.95</v>
      </c>
      <c r="G1472" s="0" t="n">
        <v>12705</v>
      </c>
      <c r="H1472" s="0" t="s">
        <v>33</v>
      </c>
      <c r="I1472" s="7" t="n">
        <f aca="false">IF(AND(LEFT(A1472,1)&lt;&gt;"C",D1472&gt;0,F1472&gt;0),1,0)</f>
        <v>1</v>
      </c>
      <c r="J1472" s="7" t="n">
        <f aca="false">IF(I1472=1,D1472*F1472,0)</f>
        <v>17.7</v>
      </c>
      <c r="K1472" s="7" t="n">
        <f aca="false">YEAR(E1472)*100+MONTH(E1472)</f>
        <v>201109</v>
      </c>
      <c r="L1472" s="7" t="n">
        <f aca="false">IF(AND(A1472&lt;&gt;A1471,LEFT(A1472,1)&lt;&gt;"C"),1,0)</f>
        <v>0</v>
      </c>
    </row>
    <row r="1473" customFormat="false" ht="15" hidden="false" customHeight="false" outlineLevel="0" collapsed="false">
      <c r="A1473" s="0" t="s">
        <v>1411</v>
      </c>
      <c r="B1473" s="0" t="s">
        <v>495</v>
      </c>
      <c r="C1473" s="0" t="s">
        <v>496</v>
      </c>
      <c r="D1473" s="0" t="n">
        <v>6</v>
      </c>
      <c r="E1473" s="6" t="n">
        <v>40809.5381944445</v>
      </c>
      <c r="F1473" s="0" t="n">
        <v>2.95</v>
      </c>
      <c r="G1473" s="0" t="n">
        <v>12705</v>
      </c>
      <c r="H1473" s="0" t="s">
        <v>33</v>
      </c>
      <c r="I1473" s="7" t="n">
        <f aca="false">IF(AND(LEFT(A1473,1)&lt;&gt;"C",D1473&gt;0,F1473&gt;0),1,0)</f>
        <v>1</v>
      </c>
      <c r="J1473" s="7" t="n">
        <f aca="false">IF(I1473=1,D1473*F1473,0)</f>
        <v>17.7</v>
      </c>
      <c r="K1473" s="7" t="n">
        <f aca="false">YEAR(E1473)*100+MONTH(E1473)</f>
        <v>201109</v>
      </c>
      <c r="L1473" s="7" t="n">
        <f aca="false">IF(AND(A1473&lt;&gt;A1472,LEFT(A1473,1)&lt;&gt;"C"),1,0)</f>
        <v>0</v>
      </c>
    </row>
    <row r="1474" customFormat="false" ht="15" hidden="false" customHeight="false" outlineLevel="0" collapsed="false">
      <c r="A1474" s="0" t="s">
        <v>1411</v>
      </c>
      <c r="B1474" s="0" t="s">
        <v>939</v>
      </c>
      <c r="C1474" s="0" t="s">
        <v>940</v>
      </c>
      <c r="D1474" s="0" t="n">
        <v>24</v>
      </c>
      <c r="E1474" s="6" t="n">
        <v>40809.5381944445</v>
      </c>
      <c r="F1474" s="0" t="n">
        <v>0.85</v>
      </c>
      <c r="G1474" s="0" t="n">
        <v>12705</v>
      </c>
      <c r="H1474" s="0" t="s">
        <v>33</v>
      </c>
      <c r="I1474" s="7" t="n">
        <f aca="false">IF(AND(LEFT(A1474,1)&lt;&gt;"C",D1474&gt;0,F1474&gt;0),1,0)</f>
        <v>1</v>
      </c>
      <c r="J1474" s="7" t="n">
        <f aca="false">IF(I1474=1,D1474*F1474,0)</f>
        <v>20.4</v>
      </c>
      <c r="K1474" s="7" t="n">
        <f aca="false">YEAR(E1474)*100+MONTH(E1474)</f>
        <v>201109</v>
      </c>
      <c r="L1474" s="7" t="n">
        <f aca="false">IF(AND(A1474&lt;&gt;A1473,LEFT(A1474,1)&lt;&gt;"C"),1,0)</f>
        <v>0</v>
      </c>
    </row>
    <row r="1475" customFormat="false" ht="15" hidden="false" customHeight="false" outlineLevel="0" collapsed="false">
      <c r="A1475" s="0" t="s">
        <v>1411</v>
      </c>
      <c r="B1475" s="0" t="s">
        <v>84</v>
      </c>
      <c r="C1475" s="0" t="s">
        <v>85</v>
      </c>
      <c r="D1475" s="0" t="n">
        <v>5</v>
      </c>
      <c r="E1475" s="6" t="n">
        <v>40809.5381944445</v>
      </c>
      <c r="F1475" s="0" t="n">
        <v>18</v>
      </c>
      <c r="G1475" s="0" t="n">
        <v>12705</v>
      </c>
      <c r="H1475" s="0" t="s">
        <v>33</v>
      </c>
      <c r="I1475" s="7" t="n">
        <f aca="false">IF(AND(LEFT(A1475,1)&lt;&gt;"C",D1475&gt;0,F1475&gt;0),1,0)</f>
        <v>1</v>
      </c>
      <c r="J1475" s="7" t="n">
        <f aca="false">IF(I1475=1,D1475*F1475,0)</f>
        <v>90</v>
      </c>
      <c r="K1475" s="7" t="n">
        <f aca="false">YEAR(E1475)*100+MONTH(E1475)</f>
        <v>201109</v>
      </c>
      <c r="L1475" s="7" t="n">
        <f aca="false">IF(AND(A1475&lt;&gt;A1474,LEFT(A1475,1)&lt;&gt;"C"),1,0)</f>
        <v>0</v>
      </c>
    </row>
    <row r="1476" customFormat="false" ht="15" hidden="false" customHeight="false" outlineLevel="0" collapsed="false">
      <c r="A1476" s="0" t="s">
        <v>1411</v>
      </c>
      <c r="B1476" s="0" t="s">
        <v>349</v>
      </c>
      <c r="C1476" s="0" t="s">
        <v>350</v>
      </c>
      <c r="D1476" s="0" t="n">
        <v>12</v>
      </c>
      <c r="E1476" s="6" t="n">
        <v>40809.5381944445</v>
      </c>
      <c r="F1476" s="0" t="n">
        <v>1.45</v>
      </c>
      <c r="G1476" s="0" t="n">
        <v>12705</v>
      </c>
      <c r="H1476" s="0" t="s">
        <v>33</v>
      </c>
      <c r="I1476" s="7" t="n">
        <f aca="false">IF(AND(LEFT(A1476,1)&lt;&gt;"C",D1476&gt;0,F1476&gt;0),1,0)</f>
        <v>1</v>
      </c>
      <c r="J1476" s="7" t="n">
        <f aca="false">IF(I1476=1,D1476*F1476,0)</f>
        <v>17.4</v>
      </c>
      <c r="K1476" s="7" t="n">
        <f aca="false">YEAR(E1476)*100+MONTH(E1476)</f>
        <v>201109</v>
      </c>
      <c r="L1476" s="7" t="n">
        <f aca="false">IF(AND(A1476&lt;&gt;A1475,LEFT(A1476,1)&lt;&gt;"C"),1,0)</f>
        <v>0</v>
      </c>
    </row>
    <row r="1477" customFormat="false" ht="15" hidden="false" customHeight="false" outlineLevel="0" collapsed="false">
      <c r="A1477" s="0" t="s">
        <v>1411</v>
      </c>
      <c r="B1477" s="0" t="s">
        <v>345</v>
      </c>
      <c r="C1477" s="0" t="s">
        <v>346</v>
      </c>
      <c r="D1477" s="0" t="n">
        <v>12</v>
      </c>
      <c r="E1477" s="6" t="n">
        <v>40809.5381944445</v>
      </c>
      <c r="F1477" s="0" t="n">
        <v>1.45</v>
      </c>
      <c r="G1477" s="0" t="n">
        <v>12705</v>
      </c>
      <c r="H1477" s="0" t="s">
        <v>33</v>
      </c>
      <c r="I1477" s="7" t="n">
        <f aca="false">IF(AND(LEFT(A1477,1)&lt;&gt;"C",D1477&gt;0,F1477&gt;0),1,0)</f>
        <v>1</v>
      </c>
      <c r="J1477" s="7" t="n">
        <f aca="false">IF(I1477=1,D1477*F1477,0)</f>
        <v>17.4</v>
      </c>
      <c r="K1477" s="7" t="n">
        <f aca="false">YEAR(E1477)*100+MONTH(E1477)</f>
        <v>201109</v>
      </c>
      <c r="L1477" s="7" t="n">
        <f aca="false">IF(AND(A1477&lt;&gt;A1476,LEFT(A1477,1)&lt;&gt;"C"),1,0)</f>
        <v>0</v>
      </c>
    </row>
    <row r="1478" customFormat="false" ht="15" hidden="false" customHeight="false" outlineLevel="0" collapsed="false">
      <c r="A1478" s="0" t="s">
        <v>1411</v>
      </c>
      <c r="B1478" s="0" t="s">
        <v>343</v>
      </c>
      <c r="C1478" s="0" t="s">
        <v>344</v>
      </c>
      <c r="D1478" s="0" t="n">
        <v>12</v>
      </c>
      <c r="E1478" s="6" t="n">
        <v>40809.5381944445</v>
      </c>
      <c r="F1478" s="0" t="n">
        <v>1.45</v>
      </c>
      <c r="G1478" s="0" t="n">
        <v>12705</v>
      </c>
      <c r="H1478" s="0" t="s">
        <v>33</v>
      </c>
      <c r="I1478" s="7" t="n">
        <f aca="false">IF(AND(LEFT(A1478,1)&lt;&gt;"C",D1478&gt;0,F1478&gt;0),1,0)</f>
        <v>1</v>
      </c>
      <c r="J1478" s="7" t="n">
        <f aca="false">IF(I1478=1,D1478*F1478,0)</f>
        <v>17.4</v>
      </c>
      <c r="K1478" s="7" t="n">
        <f aca="false">YEAR(E1478)*100+MONTH(E1478)</f>
        <v>201109</v>
      </c>
      <c r="L1478" s="7" t="n">
        <f aca="false">IF(AND(A1478&lt;&gt;A1477,LEFT(A1478,1)&lt;&gt;"C"),1,0)</f>
        <v>0</v>
      </c>
    </row>
    <row r="1479" customFormat="false" ht="15" hidden="false" customHeight="false" outlineLevel="0" collapsed="false">
      <c r="A1479" s="0" t="s">
        <v>1411</v>
      </c>
      <c r="B1479" s="0" t="s">
        <v>1416</v>
      </c>
      <c r="C1479" s="0" t="s">
        <v>1417</v>
      </c>
      <c r="D1479" s="0" t="n">
        <v>12</v>
      </c>
      <c r="E1479" s="6" t="n">
        <v>40809.5381944445</v>
      </c>
      <c r="F1479" s="0" t="n">
        <v>1.45</v>
      </c>
      <c r="G1479" s="0" t="n">
        <v>12705</v>
      </c>
      <c r="H1479" s="0" t="s">
        <v>33</v>
      </c>
      <c r="I1479" s="7" t="n">
        <f aca="false">IF(AND(LEFT(A1479,1)&lt;&gt;"C",D1479&gt;0,F1479&gt;0),1,0)</f>
        <v>1</v>
      </c>
      <c r="J1479" s="7" t="n">
        <f aca="false">IF(I1479=1,D1479*F1479,0)</f>
        <v>17.4</v>
      </c>
      <c r="K1479" s="7" t="n">
        <f aca="false">YEAR(E1479)*100+MONTH(E1479)</f>
        <v>201109</v>
      </c>
      <c r="L1479" s="7" t="n">
        <f aca="false">IF(AND(A1479&lt;&gt;A1478,LEFT(A1479,1)&lt;&gt;"C"),1,0)</f>
        <v>0</v>
      </c>
    </row>
    <row r="1480" customFormat="false" ht="15" hidden="false" customHeight="false" outlineLevel="0" collapsed="false">
      <c r="A1480" s="0" t="s">
        <v>1411</v>
      </c>
      <c r="B1480" s="0" t="s">
        <v>1296</v>
      </c>
      <c r="C1480" s="0" t="s">
        <v>1297</v>
      </c>
      <c r="D1480" s="0" t="n">
        <v>12</v>
      </c>
      <c r="E1480" s="6" t="n">
        <v>40809.5381944445</v>
      </c>
      <c r="F1480" s="0" t="n">
        <v>1.45</v>
      </c>
      <c r="G1480" s="0" t="n">
        <v>12705</v>
      </c>
      <c r="H1480" s="0" t="s">
        <v>33</v>
      </c>
      <c r="I1480" s="7" t="n">
        <f aca="false">IF(AND(LEFT(A1480,1)&lt;&gt;"C",D1480&gt;0,F1480&gt;0),1,0)</f>
        <v>1</v>
      </c>
      <c r="J1480" s="7" t="n">
        <f aca="false">IF(I1480=1,D1480*F1480,0)</f>
        <v>17.4</v>
      </c>
      <c r="K1480" s="7" t="n">
        <f aca="false">YEAR(E1480)*100+MONTH(E1480)</f>
        <v>201109</v>
      </c>
      <c r="L1480" s="7" t="n">
        <f aca="false">IF(AND(A1480&lt;&gt;A1479,LEFT(A1480,1)&lt;&gt;"C"),1,0)</f>
        <v>0</v>
      </c>
    </row>
    <row r="1481" customFormat="false" ht="15" hidden="false" customHeight="false" outlineLevel="0" collapsed="false">
      <c r="A1481" s="0" t="s">
        <v>1411</v>
      </c>
      <c r="B1481" s="0" t="s">
        <v>1418</v>
      </c>
      <c r="C1481" s="0" t="s">
        <v>1419</v>
      </c>
      <c r="D1481" s="0" t="n">
        <v>12</v>
      </c>
      <c r="E1481" s="6" t="n">
        <v>40809.5381944445</v>
      </c>
      <c r="F1481" s="0" t="n">
        <v>1.25</v>
      </c>
      <c r="G1481" s="0" t="n">
        <v>12705</v>
      </c>
      <c r="H1481" s="0" t="s">
        <v>33</v>
      </c>
      <c r="I1481" s="7" t="n">
        <f aca="false">IF(AND(LEFT(A1481,1)&lt;&gt;"C",D1481&gt;0,F1481&gt;0),1,0)</f>
        <v>1</v>
      </c>
      <c r="J1481" s="7" t="n">
        <f aca="false">IF(I1481=1,D1481*F1481,0)</f>
        <v>15</v>
      </c>
      <c r="K1481" s="7" t="n">
        <f aca="false">YEAR(E1481)*100+MONTH(E1481)</f>
        <v>201109</v>
      </c>
      <c r="L1481" s="7" t="n">
        <f aca="false">IF(AND(A1481&lt;&gt;A1480,LEFT(A1481,1)&lt;&gt;"C"),1,0)</f>
        <v>0</v>
      </c>
    </row>
    <row r="1482" customFormat="false" ht="15" hidden="false" customHeight="false" outlineLevel="0" collapsed="false">
      <c r="A1482" s="0" t="s">
        <v>1411</v>
      </c>
      <c r="B1482" s="0" t="s">
        <v>1420</v>
      </c>
      <c r="C1482" s="0" t="s">
        <v>1421</v>
      </c>
      <c r="D1482" s="0" t="n">
        <v>4</v>
      </c>
      <c r="E1482" s="6" t="n">
        <v>40809.5381944445</v>
      </c>
      <c r="F1482" s="0" t="n">
        <v>4.95</v>
      </c>
      <c r="G1482" s="0" t="n">
        <v>12705</v>
      </c>
      <c r="H1482" s="0" t="s">
        <v>33</v>
      </c>
      <c r="I1482" s="7" t="n">
        <f aca="false">IF(AND(LEFT(A1482,1)&lt;&gt;"C",D1482&gt;0,F1482&gt;0),1,0)</f>
        <v>1</v>
      </c>
      <c r="J1482" s="7" t="n">
        <f aca="false">IF(I1482=1,D1482*F1482,0)</f>
        <v>19.8</v>
      </c>
      <c r="K1482" s="7" t="n">
        <f aca="false">YEAR(E1482)*100+MONTH(E1482)</f>
        <v>201109</v>
      </c>
      <c r="L1482" s="7" t="n">
        <f aca="false">IF(AND(A1482&lt;&gt;A1481,LEFT(A1482,1)&lt;&gt;"C"),1,0)</f>
        <v>0</v>
      </c>
    </row>
    <row r="1483" customFormat="false" ht="15" hidden="false" customHeight="false" outlineLevel="0" collapsed="false">
      <c r="A1483" s="0" t="s">
        <v>1411</v>
      </c>
      <c r="B1483" s="0" t="s">
        <v>756</v>
      </c>
      <c r="C1483" s="0" t="s">
        <v>757</v>
      </c>
      <c r="D1483" s="0" t="n">
        <v>4</v>
      </c>
      <c r="E1483" s="6" t="n">
        <v>40809.5381944445</v>
      </c>
      <c r="F1483" s="0" t="n">
        <v>3.75</v>
      </c>
      <c r="G1483" s="0" t="n">
        <v>12705</v>
      </c>
      <c r="H1483" s="0" t="s">
        <v>33</v>
      </c>
      <c r="I1483" s="7" t="n">
        <f aca="false">IF(AND(LEFT(A1483,1)&lt;&gt;"C",D1483&gt;0,F1483&gt;0),1,0)</f>
        <v>1</v>
      </c>
      <c r="J1483" s="7" t="n">
        <f aca="false">IF(I1483=1,D1483*F1483,0)</f>
        <v>15</v>
      </c>
      <c r="K1483" s="7" t="n">
        <f aca="false">YEAR(E1483)*100+MONTH(E1483)</f>
        <v>201109</v>
      </c>
      <c r="L1483" s="7" t="n">
        <f aca="false">IF(AND(A1483&lt;&gt;A1482,LEFT(A1483,1)&lt;&gt;"C"),1,0)</f>
        <v>0</v>
      </c>
    </row>
    <row r="1484" customFormat="false" ht="15" hidden="false" customHeight="false" outlineLevel="0" collapsed="false">
      <c r="A1484" s="0" t="s">
        <v>1411</v>
      </c>
      <c r="B1484" s="0" t="s">
        <v>107</v>
      </c>
      <c r="C1484" s="0" t="s">
        <v>108</v>
      </c>
      <c r="D1484" s="0" t="n">
        <v>36</v>
      </c>
      <c r="E1484" s="6" t="n">
        <v>40809.5381944445</v>
      </c>
      <c r="F1484" s="0" t="n">
        <v>2.1</v>
      </c>
      <c r="G1484" s="0" t="n">
        <v>12705</v>
      </c>
      <c r="H1484" s="0" t="s">
        <v>33</v>
      </c>
      <c r="I1484" s="7" t="n">
        <f aca="false">IF(AND(LEFT(A1484,1)&lt;&gt;"C",D1484&gt;0,F1484&gt;0),1,0)</f>
        <v>1</v>
      </c>
      <c r="J1484" s="7" t="n">
        <f aca="false">IF(I1484=1,D1484*F1484,0)</f>
        <v>75.6</v>
      </c>
      <c r="K1484" s="7" t="n">
        <f aca="false">YEAR(E1484)*100+MONTH(E1484)</f>
        <v>201109</v>
      </c>
      <c r="L1484" s="7" t="n">
        <f aca="false">IF(AND(A1484&lt;&gt;A1483,LEFT(A1484,1)&lt;&gt;"C"),1,0)</f>
        <v>0</v>
      </c>
    </row>
    <row r="1485" customFormat="false" ht="15" hidden="false" customHeight="false" outlineLevel="0" collapsed="false">
      <c r="A1485" s="0" t="s">
        <v>1411</v>
      </c>
      <c r="B1485" s="0" t="s">
        <v>58</v>
      </c>
      <c r="C1485" s="0" t="s">
        <v>59</v>
      </c>
      <c r="D1485" s="0" t="n">
        <v>12</v>
      </c>
      <c r="E1485" s="6" t="n">
        <v>40809.5381944445</v>
      </c>
      <c r="F1485" s="0" t="n">
        <v>2.55</v>
      </c>
      <c r="G1485" s="0" t="n">
        <v>12705</v>
      </c>
      <c r="H1485" s="0" t="s">
        <v>33</v>
      </c>
      <c r="I1485" s="7" t="n">
        <f aca="false">IF(AND(LEFT(A1485,1)&lt;&gt;"C",D1485&gt;0,F1485&gt;0),1,0)</f>
        <v>1</v>
      </c>
      <c r="J1485" s="7" t="n">
        <f aca="false">IF(I1485=1,D1485*F1485,0)</f>
        <v>30.6</v>
      </c>
      <c r="K1485" s="7" t="n">
        <f aca="false">YEAR(E1485)*100+MONTH(E1485)</f>
        <v>201109</v>
      </c>
      <c r="L1485" s="7" t="n">
        <f aca="false">IF(AND(A1485&lt;&gt;A1484,LEFT(A1485,1)&lt;&gt;"C"),1,0)</f>
        <v>0</v>
      </c>
    </row>
    <row r="1486" customFormat="false" ht="15" hidden="false" customHeight="false" outlineLevel="0" collapsed="false">
      <c r="A1486" s="0" t="s">
        <v>1411</v>
      </c>
      <c r="B1486" s="0" t="s">
        <v>60</v>
      </c>
      <c r="C1486" s="0" t="s">
        <v>61</v>
      </c>
      <c r="D1486" s="0" t="n">
        <v>12</v>
      </c>
      <c r="E1486" s="6" t="n">
        <v>40809.5381944445</v>
      </c>
      <c r="F1486" s="0" t="n">
        <v>2.55</v>
      </c>
      <c r="G1486" s="0" t="n">
        <v>12705</v>
      </c>
      <c r="H1486" s="0" t="s">
        <v>33</v>
      </c>
      <c r="I1486" s="7" t="n">
        <f aca="false">IF(AND(LEFT(A1486,1)&lt;&gt;"C",D1486&gt;0,F1486&gt;0),1,0)</f>
        <v>1</v>
      </c>
      <c r="J1486" s="7" t="n">
        <f aca="false">IF(I1486=1,D1486*F1486,0)</f>
        <v>30.6</v>
      </c>
      <c r="K1486" s="7" t="n">
        <f aca="false">YEAR(E1486)*100+MONTH(E1486)</f>
        <v>201109</v>
      </c>
      <c r="L1486" s="7" t="n">
        <f aca="false">IF(AND(A1486&lt;&gt;A1485,LEFT(A1486,1)&lt;&gt;"C"),1,0)</f>
        <v>0</v>
      </c>
    </row>
    <row r="1487" customFormat="false" ht="15" hidden="false" customHeight="false" outlineLevel="0" collapsed="false">
      <c r="A1487" s="0" t="s">
        <v>1411</v>
      </c>
      <c r="B1487" s="0" t="s">
        <v>159</v>
      </c>
      <c r="C1487" s="0" t="s">
        <v>160</v>
      </c>
      <c r="D1487" s="0" t="n">
        <v>6</v>
      </c>
      <c r="E1487" s="6" t="n">
        <v>40809.5381944445</v>
      </c>
      <c r="F1487" s="0" t="n">
        <v>2.55</v>
      </c>
      <c r="G1487" s="0" t="n">
        <v>12705</v>
      </c>
      <c r="H1487" s="0" t="s">
        <v>33</v>
      </c>
      <c r="I1487" s="7" t="n">
        <f aca="false">IF(AND(LEFT(A1487,1)&lt;&gt;"C",D1487&gt;0,F1487&gt;0),1,0)</f>
        <v>1</v>
      </c>
      <c r="J1487" s="7" t="n">
        <f aca="false">IF(I1487=1,D1487*F1487,0)</f>
        <v>15.3</v>
      </c>
      <c r="K1487" s="7" t="n">
        <f aca="false">YEAR(E1487)*100+MONTH(E1487)</f>
        <v>201109</v>
      </c>
      <c r="L1487" s="7" t="n">
        <f aca="false">IF(AND(A1487&lt;&gt;A1486,LEFT(A1487,1)&lt;&gt;"C"),1,0)</f>
        <v>0</v>
      </c>
    </row>
    <row r="1488" customFormat="false" ht="15" hidden="false" customHeight="false" outlineLevel="0" collapsed="false">
      <c r="A1488" s="0" t="s">
        <v>1422</v>
      </c>
      <c r="B1488" s="0" t="s">
        <v>747</v>
      </c>
      <c r="C1488" s="0" t="s">
        <v>748</v>
      </c>
      <c r="D1488" s="0" t="n">
        <v>24</v>
      </c>
      <c r="E1488" s="6" t="n">
        <v>40809.65625</v>
      </c>
      <c r="F1488" s="0" t="n">
        <v>0.42</v>
      </c>
      <c r="G1488" s="0" t="n">
        <v>12518</v>
      </c>
      <c r="H1488" s="0" t="s">
        <v>33</v>
      </c>
      <c r="I1488" s="7" t="n">
        <f aca="false">IF(AND(LEFT(A1488,1)&lt;&gt;"C",D1488&gt;0,F1488&gt;0),1,0)</f>
        <v>1</v>
      </c>
      <c r="J1488" s="7" t="n">
        <f aca="false">IF(I1488=1,D1488*F1488,0)</f>
        <v>10.08</v>
      </c>
      <c r="K1488" s="7" t="n">
        <f aca="false">YEAR(E1488)*100+MONTH(E1488)</f>
        <v>201109</v>
      </c>
      <c r="L1488" s="7" t="n">
        <f aca="false">IF(AND(A1488&lt;&gt;A1487,LEFT(A1488,1)&lt;&gt;"C"),1,0)</f>
        <v>1</v>
      </c>
    </row>
    <row r="1489" customFormat="false" ht="15" hidden="false" customHeight="false" outlineLevel="0" collapsed="false">
      <c r="A1489" s="0" t="s">
        <v>1422</v>
      </c>
      <c r="B1489" s="0" t="s">
        <v>183</v>
      </c>
      <c r="C1489" s="0" t="s">
        <v>184</v>
      </c>
      <c r="D1489" s="0" t="n">
        <v>12</v>
      </c>
      <c r="E1489" s="6" t="n">
        <v>40809.65625</v>
      </c>
      <c r="F1489" s="0" t="n">
        <v>0.42</v>
      </c>
      <c r="G1489" s="0" t="n">
        <v>12518</v>
      </c>
      <c r="H1489" s="0" t="s">
        <v>33</v>
      </c>
      <c r="I1489" s="7" t="n">
        <f aca="false">IF(AND(LEFT(A1489,1)&lt;&gt;"C",D1489&gt;0,F1489&gt;0),1,0)</f>
        <v>1</v>
      </c>
      <c r="J1489" s="7" t="n">
        <f aca="false">IF(I1489=1,D1489*F1489,0)</f>
        <v>5.04</v>
      </c>
      <c r="K1489" s="7" t="n">
        <f aca="false">YEAR(E1489)*100+MONTH(E1489)</f>
        <v>201109</v>
      </c>
      <c r="L1489" s="7" t="n">
        <f aca="false">IF(AND(A1489&lt;&gt;A1488,LEFT(A1489,1)&lt;&gt;"C"),1,0)</f>
        <v>0</v>
      </c>
    </row>
    <row r="1490" customFormat="false" ht="15" hidden="false" customHeight="false" outlineLevel="0" collapsed="false">
      <c r="A1490" s="0" t="s">
        <v>1422</v>
      </c>
      <c r="B1490" s="0" t="s">
        <v>50</v>
      </c>
      <c r="C1490" s="0" t="s">
        <v>51</v>
      </c>
      <c r="D1490" s="0" t="n">
        <v>12</v>
      </c>
      <c r="E1490" s="6" t="n">
        <v>40809.65625</v>
      </c>
      <c r="F1490" s="0" t="n">
        <v>1.95</v>
      </c>
      <c r="G1490" s="0" t="n">
        <v>12518</v>
      </c>
      <c r="H1490" s="0" t="s">
        <v>33</v>
      </c>
      <c r="I1490" s="7" t="n">
        <f aca="false">IF(AND(LEFT(A1490,1)&lt;&gt;"C",D1490&gt;0,F1490&gt;0),1,0)</f>
        <v>1</v>
      </c>
      <c r="J1490" s="7" t="n">
        <f aca="false">IF(I1490=1,D1490*F1490,0)</f>
        <v>23.4</v>
      </c>
      <c r="K1490" s="7" t="n">
        <f aca="false">YEAR(E1490)*100+MONTH(E1490)</f>
        <v>201109</v>
      </c>
      <c r="L1490" s="7" t="n">
        <f aca="false">IF(AND(A1490&lt;&gt;A1489,LEFT(A1490,1)&lt;&gt;"C"),1,0)</f>
        <v>0</v>
      </c>
    </row>
    <row r="1491" customFormat="false" ht="15" hidden="false" customHeight="false" outlineLevel="0" collapsed="false">
      <c r="A1491" s="0" t="s">
        <v>1422</v>
      </c>
      <c r="B1491" s="0" t="s">
        <v>93</v>
      </c>
      <c r="C1491" s="0" t="s">
        <v>94</v>
      </c>
      <c r="D1491" s="0" t="n">
        <v>4</v>
      </c>
      <c r="E1491" s="6" t="n">
        <v>40809.65625</v>
      </c>
      <c r="F1491" s="0" t="n">
        <v>4.15</v>
      </c>
      <c r="G1491" s="0" t="n">
        <v>12518</v>
      </c>
      <c r="H1491" s="0" t="s">
        <v>33</v>
      </c>
      <c r="I1491" s="7" t="n">
        <f aca="false">IF(AND(LEFT(A1491,1)&lt;&gt;"C",D1491&gt;0,F1491&gt;0),1,0)</f>
        <v>1</v>
      </c>
      <c r="J1491" s="7" t="n">
        <f aca="false">IF(I1491=1,D1491*F1491,0)</f>
        <v>16.6</v>
      </c>
      <c r="K1491" s="7" t="n">
        <f aca="false">YEAR(E1491)*100+MONTH(E1491)</f>
        <v>201109</v>
      </c>
      <c r="L1491" s="7" t="n">
        <f aca="false">IF(AND(A1491&lt;&gt;A1490,LEFT(A1491,1)&lt;&gt;"C"),1,0)</f>
        <v>0</v>
      </c>
    </row>
    <row r="1492" customFormat="false" ht="15" hidden="false" customHeight="false" outlineLevel="0" collapsed="false">
      <c r="A1492" s="0" t="s">
        <v>1422</v>
      </c>
      <c r="B1492" s="0" t="s">
        <v>639</v>
      </c>
      <c r="C1492" s="0" t="s">
        <v>640</v>
      </c>
      <c r="D1492" s="0" t="n">
        <v>12</v>
      </c>
      <c r="E1492" s="6" t="n">
        <v>40809.65625</v>
      </c>
      <c r="F1492" s="0" t="n">
        <v>1.65</v>
      </c>
      <c r="G1492" s="0" t="n">
        <v>12518</v>
      </c>
      <c r="H1492" s="0" t="s">
        <v>33</v>
      </c>
      <c r="I1492" s="7" t="n">
        <f aca="false">IF(AND(LEFT(A1492,1)&lt;&gt;"C",D1492&gt;0,F1492&gt;0),1,0)</f>
        <v>1</v>
      </c>
      <c r="J1492" s="7" t="n">
        <f aca="false">IF(I1492=1,D1492*F1492,0)</f>
        <v>19.8</v>
      </c>
      <c r="K1492" s="7" t="n">
        <f aca="false">YEAR(E1492)*100+MONTH(E1492)</f>
        <v>201109</v>
      </c>
      <c r="L1492" s="7" t="n">
        <f aca="false">IF(AND(A1492&lt;&gt;A1491,LEFT(A1492,1)&lt;&gt;"C"),1,0)</f>
        <v>0</v>
      </c>
    </row>
    <row r="1493" customFormat="false" ht="15" hidden="false" customHeight="false" outlineLevel="0" collapsed="false">
      <c r="A1493" s="0" t="s">
        <v>1422</v>
      </c>
      <c r="B1493" s="0" t="s">
        <v>177</v>
      </c>
      <c r="C1493" s="0" t="s">
        <v>178</v>
      </c>
      <c r="D1493" s="0" t="n">
        <v>8</v>
      </c>
      <c r="E1493" s="6" t="n">
        <v>40809.65625</v>
      </c>
      <c r="F1493" s="0" t="n">
        <v>1.25</v>
      </c>
      <c r="G1493" s="0" t="n">
        <v>12518</v>
      </c>
      <c r="H1493" s="0" t="s">
        <v>33</v>
      </c>
      <c r="I1493" s="7" t="n">
        <f aca="false">IF(AND(LEFT(A1493,1)&lt;&gt;"C",D1493&gt;0,F1493&gt;0),1,0)</f>
        <v>1</v>
      </c>
      <c r="J1493" s="7" t="n">
        <f aca="false">IF(I1493=1,D1493*F1493,0)</f>
        <v>10</v>
      </c>
      <c r="K1493" s="7" t="n">
        <f aca="false">YEAR(E1493)*100+MONTH(E1493)</f>
        <v>201109</v>
      </c>
      <c r="L1493" s="7" t="n">
        <f aca="false">IF(AND(A1493&lt;&gt;A1492,LEFT(A1493,1)&lt;&gt;"C"),1,0)</f>
        <v>0</v>
      </c>
    </row>
    <row r="1494" customFormat="false" ht="15" hidden="false" customHeight="false" outlineLevel="0" collapsed="false">
      <c r="A1494" s="0" t="s">
        <v>1422</v>
      </c>
      <c r="B1494" s="0" t="s">
        <v>175</v>
      </c>
      <c r="C1494" s="0" t="s">
        <v>176</v>
      </c>
      <c r="D1494" s="0" t="n">
        <v>8</v>
      </c>
      <c r="E1494" s="6" t="n">
        <v>40809.65625</v>
      </c>
      <c r="F1494" s="0" t="n">
        <v>1.25</v>
      </c>
      <c r="G1494" s="0" t="n">
        <v>12518</v>
      </c>
      <c r="H1494" s="0" t="s">
        <v>33</v>
      </c>
      <c r="I1494" s="7" t="n">
        <f aca="false">IF(AND(LEFT(A1494,1)&lt;&gt;"C",D1494&gt;0,F1494&gt;0),1,0)</f>
        <v>1</v>
      </c>
      <c r="J1494" s="7" t="n">
        <f aca="false">IF(I1494=1,D1494*F1494,0)</f>
        <v>10</v>
      </c>
      <c r="K1494" s="7" t="n">
        <f aca="false">YEAR(E1494)*100+MONTH(E1494)</f>
        <v>201109</v>
      </c>
      <c r="L1494" s="7" t="n">
        <f aca="false">IF(AND(A1494&lt;&gt;A1493,LEFT(A1494,1)&lt;&gt;"C"),1,0)</f>
        <v>0</v>
      </c>
    </row>
    <row r="1495" customFormat="false" ht="15" hidden="false" customHeight="false" outlineLevel="0" collapsed="false">
      <c r="A1495" s="0" t="s">
        <v>1422</v>
      </c>
      <c r="B1495" s="0" t="s">
        <v>320</v>
      </c>
      <c r="C1495" s="0" t="s">
        <v>321</v>
      </c>
      <c r="D1495" s="0" t="n">
        <v>4</v>
      </c>
      <c r="E1495" s="6" t="n">
        <v>40809.65625</v>
      </c>
      <c r="F1495" s="0" t="n">
        <v>3.75</v>
      </c>
      <c r="G1495" s="0" t="n">
        <v>12518</v>
      </c>
      <c r="H1495" s="0" t="s">
        <v>33</v>
      </c>
      <c r="I1495" s="7" t="n">
        <f aca="false">IF(AND(LEFT(A1495,1)&lt;&gt;"C",D1495&gt;0,F1495&gt;0),1,0)</f>
        <v>1</v>
      </c>
      <c r="J1495" s="7" t="n">
        <f aca="false">IF(I1495=1,D1495*F1495,0)</f>
        <v>15</v>
      </c>
      <c r="K1495" s="7" t="n">
        <f aca="false">YEAR(E1495)*100+MONTH(E1495)</f>
        <v>201109</v>
      </c>
      <c r="L1495" s="7" t="n">
        <f aca="false">IF(AND(A1495&lt;&gt;A1494,LEFT(A1495,1)&lt;&gt;"C"),1,0)</f>
        <v>0</v>
      </c>
    </row>
    <row r="1496" customFormat="false" ht="15" hidden="false" customHeight="false" outlineLevel="0" collapsed="false">
      <c r="A1496" s="0" t="s">
        <v>1422</v>
      </c>
      <c r="B1496" s="0" t="s">
        <v>111</v>
      </c>
      <c r="C1496" s="0" t="s">
        <v>112</v>
      </c>
      <c r="D1496" s="0" t="n">
        <v>6</v>
      </c>
      <c r="E1496" s="6" t="n">
        <v>40809.65625</v>
      </c>
      <c r="F1496" s="0" t="n">
        <v>2.55</v>
      </c>
      <c r="G1496" s="0" t="n">
        <v>12518</v>
      </c>
      <c r="H1496" s="0" t="s">
        <v>33</v>
      </c>
      <c r="I1496" s="7" t="n">
        <f aca="false">IF(AND(LEFT(A1496,1)&lt;&gt;"C",D1496&gt;0,F1496&gt;0),1,0)</f>
        <v>1</v>
      </c>
      <c r="J1496" s="7" t="n">
        <f aca="false">IF(I1496=1,D1496*F1496,0)</f>
        <v>15.3</v>
      </c>
      <c r="K1496" s="7" t="n">
        <f aca="false">YEAR(E1496)*100+MONTH(E1496)</f>
        <v>201109</v>
      </c>
      <c r="L1496" s="7" t="n">
        <f aca="false">IF(AND(A1496&lt;&gt;A1495,LEFT(A1496,1)&lt;&gt;"C"),1,0)</f>
        <v>0</v>
      </c>
    </row>
    <row r="1497" customFormat="false" ht="15" hidden="false" customHeight="false" outlineLevel="0" collapsed="false">
      <c r="A1497" s="0" t="s">
        <v>1422</v>
      </c>
      <c r="B1497" s="0" t="s">
        <v>893</v>
      </c>
      <c r="C1497" s="0" t="s">
        <v>894</v>
      </c>
      <c r="D1497" s="0" t="n">
        <v>6</v>
      </c>
      <c r="E1497" s="6" t="n">
        <v>40809.65625</v>
      </c>
      <c r="F1497" s="0" t="n">
        <v>2.95</v>
      </c>
      <c r="G1497" s="0" t="n">
        <v>12518</v>
      </c>
      <c r="H1497" s="0" t="s">
        <v>33</v>
      </c>
      <c r="I1497" s="7" t="n">
        <f aca="false">IF(AND(LEFT(A1497,1)&lt;&gt;"C",D1497&gt;0,F1497&gt;0),1,0)</f>
        <v>1</v>
      </c>
      <c r="J1497" s="7" t="n">
        <f aca="false">IF(I1497=1,D1497*F1497,0)</f>
        <v>17.7</v>
      </c>
      <c r="K1497" s="7" t="n">
        <f aca="false">YEAR(E1497)*100+MONTH(E1497)</f>
        <v>201109</v>
      </c>
      <c r="L1497" s="7" t="n">
        <f aca="false">IF(AND(A1497&lt;&gt;A1496,LEFT(A1497,1)&lt;&gt;"C"),1,0)</f>
        <v>0</v>
      </c>
    </row>
    <row r="1498" customFormat="false" ht="15" hidden="false" customHeight="false" outlineLevel="0" collapsed="false">
      <c r="A1498" s="0" t="s">
        <v>1422</v>
      </c>
      <c r="B1498" s="0" t="s">
        <v>127</v>
      </c>
      <c r="C1498" s="0" t="s">
        <v>128</v>
      </c>
      <c r="D1498" s="0" t="n">
        <v>8</v>
      </c>
      <c r="E1498" s="6" t="n">
        <v>40809.65625</v>
      </c>
      <c r="F1498" s="0" t="n">
        <v>1.65</v>
      </c>
      <c r="G1498" s="0" t="n">
        <v>12518</v>
      </c>
      <c r="H1498" s="0" t="s">
        <v>33</v>
      </c>
      <c r="I1498" s="7" t="n">
        <f aca="false">IF(AND(LEFT(A1498,1)&lt;&gt;"C",D1498&gt;0,F1498&gt;0),1,0)</f>
        <v>1</v>
      </c>
      <c r="J1498" s="7" t="n">
        <f aca="false">IF(I1498=1,D1498*F1498,0)</f>
        <v>13.2</v>
      </c>
      <c r="K1498" s="7" t="n">
        <f aca="false">YEAR(E1498)*100+MONTH(E1498)</f>
        <v>201109</v>
      </c>
      <c r="L1498" s="7" t="n">
        <f aca="false">IF(AND(A1498&lt;&gt;A1497,LEFT(A1498,1)&lt;&gt;"C"),1,0)</f>
        <v>0</v>
      </c>
    </row>
    <row r="1499" customFormat="false" ht="15" hidden="false" customHeight="false" outlineLevel="0" collapsed="false">
      <c r="A1499" s="0" t="s">
        <v>1422</v>
      </c>
      <c r="B1499" s="0" t="s">
        <v>131</v>
      </c>
      <c r="C1499" s="0" t="s">
        <v>132</v>
      </c>
      <c r="D1499" s="0" t="n">
        <v>8</v>
      </c>
      <c r="E1499" s="6" t="n">
        <v>40809.65625</v>
      </c>
      <c r="F1499" s="0" t="n">
        <v>1.65</v>
      </c>
      <c r="G1499" s="0" t="n">
        <v>12518</v>
      </c>
      <c r="H1499" s="0" t="s">
        <v>33</v>
      </c>
      <c r="I1499" s="7" t="n">
        <f aca="false">IF(AND(LEFT(A1499,1)&lt;&gt;"C",D1499&gt;0,F1499&gt;0),1,0)</f>
        <v>1</v>
      </c>
      <c r="J1499" s="7" t="n">
        <f aca="false">IF(I1499=1,D1499*F1499,0)</f>
        <v>13.2</v>
      </c>
      <c r="K1499" s="7" t="n">
        <f aca="false">YEAR(E1499)*100+MONTH(E1499)</f>
        <v>201109</v>
      </c>
      <c r="L1499" s="7" t="n">
        <f aca="false">IF(AND(A1499&lt;&gt;A1498,LEFT(A1499,1)&lt;&gt;"C"),1,0)</f>
        <v>0</v>
      </c>
    </row>
    <row r="1500" customFormat="false" ht="15" hidden="false" customHeight="false" outlineLevel="0" collapsed="false">
      <c r="A1500" s="0" t="s">
        <v>1422</v>
      </c>
      <c r="B1500" s="0" t="s">
        <v>941</v>
      </c>
      <c r="C1500" s="0" t="s">
        <v>942</v>
      </c>
      <c r="D1500" s="0" t="n">
        <v>24</v>
      </c>
      <c r="E1500" s="6" t="n">
        <v>40809.65625</v>
      </c>
      <c r="F1500" s="0" t="n">
        <v>0.55</v>
      </c>
      <c r="G1500" s="0" t="n">
        <v>12518</v>
      </c>
      <c r="H1500" s="0" t="s">
        <v>33</v>
      </c>
      <c r="I1500" s="7" t="n">
        <f aca="false">IF(AND(LEFT(A1500,1)&lt;&gt;"C",D1500&gt;0,F1500&gt;0),1,0)</f>
        <v>1</v>
      </c>
      <c r="J1500" s="7" t="n">
        <f aca="false">IF(I1500=1,D1500*F1500,0)</f>
        <v>13.2</v>
      </c>
      <c r="K1500" s="7" t="n">
        <f aca="false">YEAR(E1500)*100+MONTH(E1500)</f>
        <v>201109</v>
      </c>
      <c r="L1500" s="7" t="n">
        <f aca="false">IF(AND(A1500&lt;&gt;A1499,LEFT(A1500,1)&lt;&gt;"C"),1,0)</f>
        <v>0</v>
      </c>
    </row>
    <row r="1501" customFormat="false" ht="15" hidden="false" customHeight="false" outlineLevel="0" collapsed="false">
      <c r="A1501" s="0" t="s">
        <v>1422</v>
      </c>
      <c r="B1501" s="0" t="s">
        <v>1423</v>
      </c>
      <c r="C1501" s="0" t="s">
        <v>1424</v>
      </c>
      <c r="D1501" s="0" t="n">
        <v>2</v>
      </c>
      <c r="E1501" s="6" t="n">
        <v>40809.65625</v>
      </c>
      <c r="F1501" s="0" t="n">
        <v>9.95</v>
      </c>
      <c r="G1501" s="0" t="n">
        <v>12518</v>
      </c>
      <c r="H1501" s="0" t="s">
        <v>33</v>
      </c>
      <c r="I1501" s="7" t="n">
        <f aca="false">IF(AND(LEFT(A1501,1)&lt;&gt;"C",D1501&gt;0,F1501&gt;0),1,0)</f>
        <v>1</v>
      </c>
      <c r="J1501" s="7" t="n">
        <f aca="false">IF(I1501=1,D1501*F1501,0)</f>
        <v>19.9</v>
      </c>
      <c r="K1501" s="7" t="n">
        <f aca="false">YEAR(E1501)*100+MONTH(E1501)</f>
        <v>201109</v>
      </c>
      <c r="L1501" s="7" t="n">
        <f aca="false">IF(AND(A1501&lt;&gt;A1500,LEFT(A1501,1)&lt;&gt;"C"),1,0)</f>
        <v>0</v>
      </c>
    </row>
    <row r="1502" customFormat="false" ht="15" hidden="false" customHeight="false" outlineLevel="0" collapsed="false">
      <c r="A1502" s="0" t="s">
        <v>1422</v>
      </c>
      <c r="B1502" s="0" t="s">
        <v>215</v>
      </c>
      <c r="C1502" s="0" t="s">
        <v>216</v>
      </c>
      <c r="D1502" s="0" t="n">
        <v>24</v>
      </c>
      <c r="E1502" s="6" t="n">
        <v>40809.65625</v>
      </c>
      <c r="F1502" s="0" t="n">
        <v>0.55</v>
      </c>
      <c r="G1502" s="0" t="n">
        <v>12518</v>
      </c>
      <c r="H1502" s="0" t="s">
        <v>33</v>
      </c>
      <c r="I1502" s="7" t="n">
        <f aca="false">IF(AND(LEFT(A1502,1)&lt;&gt;"C",D1502&gt;0,F1502&gt;0),1,0)</f>
        <v>1</v>
      </c>
      <c r="J1502" s="7" t="n">
        <f aca="false">IF(I1502=1,D1502*F1502,0)</f>
        <v>13.2</v>
      </c>
      <c r="K1502" s="7" t="n">
        <f aca="false">YEAR(E1502)*100+MONTH(E1502)</f>
        <v>201109</v>
      </c>
      <c r="L1502" s="7" t="n">
        <f aca="false">IF(AND(A1502&lt;&gt;A1501,LEFT(A1502,1)&lt;&gt;"C"),1,0)</f>
        <v>0</v>
      </c>
    </row>
    <row r="1503" customFormat="false" ht="15" hidden="false" customHeight="false" outlineLevel="0" collapsed="false">
      <c r="A1503" s="0" t="s">
        <v>1422</v>
      </c>
      <c r="B1503" s="0" t="s">
        <v>719</v>
      </c>
      <c r="C1503" s="0" t="s">
        <v>720</v>
      </c>
      <c r="D1503" s="0" t="n">
        <v>8</v>
      </c>
      <c r="E1503" s="6" t="n">
        <v>40809.65625</v>
      </c>
      <c r="F1503" s="0" t="n">
        <v>0.85</v>
      </c>
      <c r="G1503" s="0" t="n">
        <v>12518</v>
      </c>
      <c r="H1503" s="0" t="s">
        <v>33</v>
      </c>
      <c r="I1503" s="7" t="n">
        <f aca="false">IF(AND(LEFT(A1503,1)&lt;&gt;"C",D1503&gt;0,F1503&gt;0),1,0)</f>
        <v>1</v>
      </c>
      <c r="J1503" s="7" t="n">
        <f aca="false">IF(I1503=1,D1503*F1503,0)</f>
        <v>6.8</v>
      </c>
      <c r="K1503" s="7" t="n">
        <f aca="false">YEAR(E1503)*100+MONTH(E1503)</f>
        <v>201109</v>
      </c>
      <c r="L1503" s="7" t="n">
        <f aca="false">IF(AND(A1503&lt;&gt;A1502,LEFT(A1503,1)&lt;&gt;"C"),1,0)</f>
        <v>0</v>
      </c>
    </row>
    <row r="1504" customFormat="false" ht="15" hidden="false" customHeight="false" outlineLevel="0" collapsed="false">
      <c r="A1504" s="0" t="s">
        <v>1422</v>
      </c>
      <c r="B1504" s="0" t="s">
        <v>1092</v>
      </c>
      <c r="C1504" s="0" t="s">
        <v>1093</v>
      </c>
      <c r="D1504" s="0" t="n">
        <v>8</v>
      </c>
      <c r="E1504" s="6" t="n">
        <v>40809.65625</v>
      </c>
      <c r="F1504" s="0" t="n">
        <v>0.85</v>
      </c>
      <c r="G1504" s="0" t="n">
        <v>12518</v>
      </c>
      <c r="H1504" s="0" t="s">
        <v>33</v>
      </c>
      <c r="I1504" s="7" t="n">
        <f aca="false">IF(AND(LEFT(A1504,1)&lt;&gt;"C",D1504&gt;0,F1504&gt;0),1,0)</f>
        <v>1</v>
      </c>
      <c r="J1504" s="7" t="n">
        <f aca="false">IF(I1504=1,D1504*F1504,0)</f>
        <v>6.8</v>
      </c>
      <c r="K1504" s="7" t="n">
        <f aca="false">YEAR(E1504)*100+MONTH(E1504)</f>
        <v>201109</v>
      </c>
      <c r="L1504" s="7" t="n">
        <f aca="false">IF(AND(A1504&lt;&gt;A1503,LEFT(A1504,1)&lt;&gt;"C"),1,0)</f>
        <v>0</v>
      </c>
    </row>
    <row r="1505" customFormat="false" ht="15" hidden="false" customHeight="false" outlineLevel="0" collapsed="false">
      <c r="A1505" s="0" t="s">
        <v>1422</v>
      </c>
      <c r="B1505" s="0" t="s">
        <v>620</v>
      </c>
      <c r="C1505" s="0" t="s">
        <v>621</v>
      </c>
      <c r="D1505" s="0" t="n">
        <v>4</v>
      </c>
      <c r="E1505" s="6" t="n">
        <v>40809.65625</v>
      </c>
      <c r="F1505" s="0" t="n">
        <v>4.15</v>
      </c>
      <c r="G1505" s="0" t="n">
        <v>12518</v>
      </c>
      <c r="H1505" s="0" t="s">
        <v>33</v>
      </c>
      <c r="I1505" s="7" t="n">
        <f aca="false">IF(AND(LEFT(A1505,1)&lt;&gt;"C",D1505&gt;0,F1505&gt;0),1,0)</f>
        <v>1</v>
      </c>
      <c r="J1505" s="7" t="n">
        <f aca="false">IF(I1505=1,D1505*F1505,0)</f>
        <v>16.6</v>
      </c>
      <c r="K1505" s="7" t="n">
        <f aca="false">YEAR(E1505)*100+MONTH(E1505)</f>
        <v>201109</v>
      </c>
      <c r="L1505" s="7" t="n">
        <f aca="false">IF(AND(A1505&lt;&gt;A1504,LEFT(A1505,1)&lt;&gt;"C"),1,0)</f>
        <v>0</v>
      </c>
    </row>
    <row r="1506" customFormat="false" ht="15" hidden="false" customHeight="false" outlineLevel="0" collapsed="false">
      <c r="A1506" s="0" t="s">
        <v>1422</v>
      </c>
      <c r="B1506" s="0" t="s">
        <v>87</v>
      </c>
      <c r="C1506" s="0" t="s">
        <v>88</v>
      </c>
      <c r="D1506" s="0" t="n">
        <v>4</v>
      </c>
      <c r="E1506" s="6" t="n">
        <v>40809.65625</v>
      </c>
      <c r="F1506" s="0" t="n">
        <v>4.15</v>
      </c>
      <c r="G1506" s="0" t="n">
        <v>12518</v>
      </c>
      <c r="H1506" s="0" t="s">
        <v>33</v>
      </c>
      <c r="I1506" s="7" t="n">
        <f aca="false">IF(AND(LEFT(A1506,1)&lt;&gt;"C",D1506&gt;0,F1506&gt;0),1,0)</f>
        <v>1</v>
      </c>
      <c r="J1506" s="7" t="n">
        <f aca="false">IF(I1506=1,D1506*F1506,0)</f>
        <v>16.6</v>
      </c>
      <c r="K1506" s="7" t="n">
        <f aca="false">YEAR(E1506)*100+MONTH(E1506)</f>
        <v>201109</v>
      </c>
      <c r="L1506" s="7" t="n">
        <f aca="false">IF(AND(A1506&lt;&gt;A1505,LEFT(A1506,1)&lt;&gt;"C"),1,0)</f>
        <v>0</v>
      </c>
    </row>
    <row r="1507" customFormat="false" ht="15" hidden="false" customHeight="false" outlineLevel="0" collapsed="false">
      <c r="A1507" s="0" t="s">
        <v>1422</v>
      </c>
      <c r="B1507" s="0" t="s">
        <v>89</v>
      </c>
      <c r="C1507" s="0" t="s">
        <v>90</v>
      </c>
      <c r="D1507" s="0" t="n">
        <v>4</v>
      </c>
      <c r="E1507" s="6" t="n">
        <v>40809.65625</v>
      </c>
      <c r="F1507" s="0" t="n">
        <v>4.15</v>
      </c>
      <c r="G1507" s="0" t="n">
        <v>12518</v>
      </c>
      <c r="H1507" s="0" t="s">
        <v>33</v>
      </c>
      <c r="I1507" s="7" t="n">
        <f aca="false">IF(AND(LEFT(A1507,1)&lt;&gt;"C",D1507&gt;0,F1507&gt;0),1,0)</f>
        <v>1</v>
      </c>
      <c r="J1507" s="7" t="n">
        <f aca="false">IF(I1507=1,D1507*F1507,0)</f>
        <v>16.6</v>
      </c>
      <c r="K1507" s="7" t="n">
        <f aca="false">YEAR(E1507)*100+MONTH(E1507)</f>
        <v>201109</v>
      </c>
      <c r="L1507" s="7" t="n">
        <f aca="false">IF(AND(A1507&lt;&gt;A1506,LEFT(A1507,1)&lt;&gt;"C"),1,0)</f>
        <v>0</v>
      </c>
    </row>
    <row r="1508" customFormat="false" ht="15" hidden="false" customHeight="false" outlineLevel="0" collapsed="false">
      <c r="A1508" s="0" t="s">
        <v>1422</v>
      </c>
      <c r="B1508" s="0" t="s">
        <v>301</v>
      </c>
      <c r="C1508" s="0" t="s">
        <v>302</v>
      </c>
      <c r="D1508" s="0" t="n">
        <v>6</v>
      </c>
      <c r="E1508" s="6" t="n">
        <v>40809.65625</v>
      </c>
      <c r="F1508" s="0" t="n">
        <v>2.55</v>
      </c>
      <c r="G1508" s="0" t="n">
        <v>12518</v>
      </c>
      <c r="H1508" s="0" t="s">
        <v>33</v>
      </c>
      <c r="I1508" s="7" t="n">
        <f aca="false">IF(AND(LEFT(A1508,1)&lt;&gt;"C",D1508&gt;0,F1508&gt;0),1,0)</f>
        <v>1</v>
      </c>
      <c r="J1508" s="7" t="n">
        <f aca="false">IF(I1508=1,D1508*F1508,0)</f>
        <v>15.3</v>
      </c>
      <c r="K1508" s="7" t="n">
        <f aca="false">YEAR(E1508)*100+MONTH(E1508)</f>
        <v>201109</v>
      </c>
      <c r="L1508" s="7" t="n">
        <f aca="false">IF(AND(A1508&lt;&gt;A1507,LEFT(A1508,1)&lt;&gt;"C"),1,0)</f>
        <v>0</v>
      </c>
    </row>
    <row r="1509" customFormat="false" ht="15" hidden="false" customHeight="false" outlineLevel="0" collapsed="false">
      <c r="A1509" s="0" t="s">
        <v>1422</v>
      </c>
      <c r="B1509" s="0" t="s">
        <v>1425</v>
      </c>
      <c r="C1509" s="0" t="s">
        <v>1426</v>
      </c>
      <c r="D1509" s="0" t="n">
        <v>2</v>
      </c>
      <c r="E1509" s="6" t="n">
        <v>40809.65625</v>
      </c>
      <c r="F1509" s="0" t="n">
        <v>8.5</v>
      </c>
      <c r="G1509" s="0" t="n">
        <v>12518</v>
      </c>
      <c r="H1509" s="0" t="s">
        <v>33</v>
      </c>
      <c r="I1509" s="7" t="n">
        <f aca="false">IF(AND(LEFT(A1509,1)&lt;&gt;"C",D1509&gt;0,F1509&gt;0),1,0)</f>
        <v>1</v>
      </c>
      <c r="J1509" s="7" t="n">
        <f aca="false">IF(I1509=1,D1509*F1509,0)</f>
        <v>17</v>
      </c>
      <c r="K1509" s="7" t="n">
        <f aca="false">YEAR(E1509)*100+MONTH(E1509)</f>
        <v>201109</v>
      </c>
      <c r="L1509" s="7" t="n">
        <f aca="false">IF(AND(A1509&lt;&gt;A1508,LEFT(A1509,1)&lt;&gt;"C"),1,0)</f>
        <v>0</v>
      </c>
    </row>
    <row r="1510" customFormat="false" ht="15" hidden="false" customHeight="false" outlineLevel="0" collapsed="false">
      <c r="A1510" s="0" t="s">
        <v>1422</v>
      </c>
      <c r="B1510" s="0" t="s">
        <v>1427</v>
      </c>
      <c r="C1510" s="0" t="s">
        <v>1428</v>
      </c>
      <c r="D1510" s="0" t="n">
        <v>2</v>
      </c>
      <c r="E1510" s="6" t="n">
        <v>40809.65625</v>
      </c>
      <c r="F1510" s="0" t="n">
        <v>9.95</v>
      </c>
      <c r="G1510" s="0" t="n">
        <v>12518</v>
      </c>
      <c r="H1510" s="0" t="s">
        <v>33</v>
      </c>
      <c r="I1510" s="7" t="n">
        <f aca="false">IF(AND(LEFT(A1510,1)&lt;&gt;"C",D1510&gt;0,F1510&gt;0),1,0)</f>
        <v>1</v>
      </c>
      <c r="J1510" s="7" t="n">
        <f aca="false">IF(I1510=1,D1510*F1510,0)</f>
        <v>19.9</v>
      </c>
      <c r="K1510" s="7" t="n">
        <f aca="false">YEAR(E1510)*100+MONTH(E1510)</f>
        <v>201109</v>
      </c>
      <c r="L1510" s="7" t="n">
        <f aca="false">IF(AND(A1510&lt;&gt;A1509,LEFT(A1510,1)&lt;&gt;"C"),1,0)</f>
        <v>0</v>
      </c>
    </row>
    <row r="1511" customFormat="false" ht="15" hidden="false" customHeight="false" outlineLevel="0" collapsed="false">
      <c r="A1511" s="0" t="s">
        <v>1422</v>
      </c>
      <c r="B1511" s="0" t="s">
        <v>598</v>
      </c>
      <c r="C1511" s="0" t="s">
        <v>599</v>
      </c>
      <c r="D1511" s="0" t="n">
        <v>8</v>
      </c>
      <c r="E1511" s="6" t="n">
        <v>40809.65625</v>
      </c>
      <c r="F1511" s="0" t="n">
        <v>1.95</v>
      </c>
      <c r="G1511" s="0" t="n">
        <v>12518</v>
      </c>
      <c r="H1511" s="0" t="s">
        <v>33</v>
      </c>
      <c r="I1511" s="7" t="n">
        <f aca="false">IF(AND(LEFT(A1511,1)&lt;&gt;"C",D1511&gt;0,F1511&gt;0),1,0)</f>
        <v>1</v>
      </c>
      <c r="J1511" s="7" t="n">
        <f aca="false">IF(I1511=1,D1511*F1511,0)</f>
        <v>15.6</v>
      </c>
      <c r="K1511" s="7" t="n">
        <f aca="false">YEAR(E1511)*100+MONTH(E1511)</f>
        <v>201109</v>
      </c>
      <c r="L1511" s="7" t="n">
        <f aca="false">IF(AND(A1511&lt;&gt;A1510,LEFT(A1511,1)&lt;&gt;"C"),1,0)</f>
        <v>0</v>
      </c>
    </row>
    <row r="1512" customFormat="false" ht="15" hidden="false" customHeight="false" outlineLevel="0" collapsed="false">
      <c r="A1512" s="0" t="s">
        <v>1422</v>
      </c>
      <c r="B1512" s="0" t="s">
        <v>610</v>
      </c>
      <c r="C1512" s="0" t="s">
        <v>611</v>
      </c>
      <c r="D1512" s="0" t="n">
        <v>12</v>
      </c>
      <c r="E1512" s="6" t="n">
        <v>40809.65625</v>
      </c>
      <c r="F1512" s="0" t="n">
        <v>2.95</v>
      </c>
      <c r="G1512" s="0" t="n">
        <v>12518</v>
      </c>
      <c r="H1512" s="0" t="s">
        <v>33</v>
      </c>
      <c r="I1512" s="7" t="n">
        <f aca="false">IF(AND(LEFT(A1512,1)&lt;&gt;"C",D1512&gt;0,F1512&gt;0),1,0)</f>
        <v>1</v>
      </c>
      <c r="J1512" s="7" t="n">
        <f aca="false">IF(I1512=1,D1512*F1512,0)</f>
        <v>35.4</v>
      </c>
      <c r="K1512" s="7" t="n">
        <f aca="false">YEAR(E1512)*100+MONTH(E1512)</f>
        <v>201109</v>
      </c>
      <c r="L1512" s="7" t="n">
        <f aca="false">IF(AND(A1512&lt;&gt;A1511,LEFT(A1512,1)&lt;&gt;"C"),1,0)</f>
        <v>0</v>
      </c>
    </row>
    <row r="1513" customFormat="false" ht="15" hidden="false" customHeight="false" outlineLevel="0" collapsed="false">
      <c r="A1513" s="0" t="s">
        <v>1422</v>
      </c>
      <c r="B1513" s="0" t="s">
        <v>1429</v>
      </c>
      <c r="C1513" s="0" t="s">
        <v>1430</v>
      </c>
      <c r="D1513" s="0" t="n">
        <v>8</v>
      </c>
      <c r="E1513" s="6" t="n">
        <v>40809.65625</v>
      </c>
      <c r="F1513" s="0" t="n">
        <v>1.69</v>
      </c>
      <c r="G1513" s="0" t="n">
        <v>12518</v>
      </c>
      <c r="H1513" s="0" t="s">
        <v>33</v>
      </c>
      <c r="I1513" s="7" t="n">
        <f aca="false">IF(AND(LEFT(A1513,1)&lt;&gt;"C",D1513&gt;0,F1513&gt;0),1,0)</f>
        <v>1</v>
      </c>
      <c r="J1513" s="7" t="n">
        <f aca="false">IF(I1513=1,D1513*F1513,0)</f>
        <v>13.52</v>
      </c>
      <c r="K1513" s="7" t="n">
        <f aca="false">YEAR(E1513)*100+MONTH(E1513)</f>
        <v>201109</v>
      </c>
      <c r="L1513" s="7" t="n">
        <f aca="false">IF(AND(A1513&lt;&gt;A1512,LEFT(A1513,1)&lt;&gt;"C"),1,0)</f>
        <v>0</v>
      </c>
    </row>
    <row r="1514" customFormat="false" ht="15" hidden="false" customHeight="false" outlineLevel="0" collapsed="false">
      <c r="A1514" s="0" t="s">
        <v>1422</v>
      </c>
      <c r="B1514" s="0" t="s">
        <v>750</v>
      </c>
      <c r="C1514" s="0" t="s">
        <v>751</v>
      </c>
      <c r="D1514" s="0" t="n">
        <v>8</v>
      </c>
      <c r="E1514" s="6" t="n">
        <v>40809.65625</v>
      </c>
      <c r="F1514" s="0" t="n">
        <v>1.69</v>
      </c>
      <c r="G1514" s="0" t="n">
        <v>12518</v>
      </c>
      <c r="H1514" s="0" t="s">
        <v>33</v>
      </c>
      <c r="I1514" s="7" t="n">
        <f aca="false">IF(AND(LEFT(A1514,1)&lt;&gt;"C",D1514&gt;0,F1514&gt;0),1,0)</f>
        <v>1</v>
      </c>
      <c r="J1514" s="7" t="n">
        <f aca="false">IF(I1514=1,D1514*F1514,0)</f>
        <v>13.52</v>
      </c>
      <c r="K1514" s="7" t="n">
        <f aca="false">YEAR(E1514)*100+MONTH(E1514)</f>
        <v>201109</v>
      </c>
      <c r="L1514" s="7" t="n">
        <f aca="false">IF(AND(A1514&lt;&gt;A1513,LEFT(A1514,1)&lt;&gt;"C"),1,0)</f>
        <v>0</v>
      </c>
    </row>
    <row r="1515" customFormat="false" ht="15" hidden="false" customHeight="false" outlineLevel="0" collapsed="false">
      <c r="A1515" s="0" t="s">
        <v>1422</v>
      </c>
      <c r="B1515" s="0" t="s">
        <v>962</v>
      </c>
      <c r="C1515" s="0" t="s">
        <v>963</v>
      </c>
      <c r="D1515" s="0" t="n">
        <v>8</v>
      </c>
      <c r="E1515" s="6" t="n">
        <v>40809.65625</v>
      </c>
      <c r="F1515" s="0" t="n">
        <v>0.85</v>
      </c>
      <c r="G1515" s="0" t="n">
        <v>12518</v>
      </c>
      <c r="H1515" s="0" t="s">
        <v>33</v>
      </c>
      <c r="I1515" s="7" t="n">
        <f aca="false">IF(AND(LEFT(A1515,1)&lt;&gt;"C",D1515&gt;0,F1515&gt;0),1,0)</f>
        <v>1</v>
      </c>
      <c r="J1515" s="7" t="n">
        <f aca="false">IF(I1515=1,D1515*F1515,0)</f>
        <v>6.8</v>
      </c>
      <c r="K1515" s="7" t="n">
        <f aca="false">YEAR(E1515)*100+MONTH(E1515)</f>
        <v>201109</v>
      </c>
      <c r="L1515" s="7" t="n">
        <f aca="false">IF(AND(A1515&lt;&gt;A1514,LEFT(A1515,1)&lt;&gt;"C"),1,0)</f>
        <v>0</v>
      </c>
    </row>
    <row r="1516" customFormat="false" ht="15" hidden="false" customHeight="false" outlineLevel="0" collapsed="false">
      <c r="A1516" s="0" t="s">
        <v>1422</v>
      </c>
      <c r="B1516" s="0" t="s">
        <v>173</v>
      </c>
      <c r="C1516" s="0" t="s">
        <v>174</v>
      </c>
      <c r="D1516" s="0" t="n">
        <v>8</v>
      </c>
      <c r="E1516" s="6" t="n">
        <v>40809.65625</v>
      </c>
      <c r="F1516" s="0" t="n">
        <v>1.25</v>
      </c>
      <c r="G1516" s="0" t="n">
        <v>12518</v>
      </c>
      <c r="H1516" s="0" t="s">
        <v>33</v>
      </c>
      <c r="I1516" s="7" t="n">
        <f aca="false">IF(AND(LEFT(A1516,1)&lt;&gt;"C",D1516&gt;0,F1516&gt;0),1,0)</f>
        <v>1</v>
      </c>
      <c r="J1516" s="7" t="n">
        <f aca="false">IF(I1516=1,D1516*F1516,0)</f>
        <v>10</v>
      </c>
      <c r="K1516" s="7" t="n">
        <f aca="false">YEAR(E1516)*100+MONTH(E1516)</f>
        <v>201109</v>
      </c>
      <c r="L1516" s="7" t="n">
        <f aca="false">IF(AND(A1516&lt;&gt;A1515,LEFT(A1516,1)&lt;&gt;"C"),1,0)</f>
        <v>0</v>
      </c>
    </row>
    <row r="1517" customFormat="false" ht="15" hidden="false" customHeight="false" outlineLevel="0" collapsed="false">
      <c r="A1517" s="0" t="s">
        <v>1422</v>
      </c>
      <c r="B1517" s="0" t="s">
        <v>171</v>
      </c>
      <c r="C1517" s="0" t="s">
        <v>172</v>
      </c>
      <c r="D1517" s="0" t="n">
        <v>16</v>
      </c>
      <c r="E1517" s="6" t="n">
        <v>40809.65625</v>
      </c>
      <c r="F1517" s="0" t="n">
        <v>1.25</v>
      </c>
      <c r="G1517" s="0" t="n">
        <v>12518</v>
      </c>
      <c r="H1517" s="0" t="s">
        <v>33</v>
      </c>
      <c r="I1517" s="7" t="n">
        <f aca="false">IF(AND(LEFT(A1517,1)&lt;&gt;"C",D1517&gt;0,F1517&gt;0),1,0)</f>
        <v>1</v>
      </c>
      <c r="J1517" s="7" t="n">
        <f aca="false">IF(I1517=1,D1517*F1517,0)</f>
        <v>20</v>
      </c>
      <c r="K1517" s="7" t="n">
        <f aca="false">YEAR(E1517)*100+MONTH(E1517)</f>
        <v>201109</v>
      </c>
      <c r="L1517" s="7" t="n">
        <f aca="false">IF(AND(A1517&lt;&gt;A1516,LEFT(A1517,1)&lt;&gt;"C"),1,0)</f>
        <v>0</v>
      </c>
    </row>
    <row r="1518" customFormat="false" ht="15" hidden="false" customHeight="false" outlineLevel="0" collapsed="false">
      <c r="A1518" s="0" t="s">
        <v>1422</v>
      </c>
      <c r="B1518" s="0" t="s">
        <v>119</v>
      </c>
      <c r="C1518" s="0" t="s">
        <v>120</v>
      </c>
      <c r="D1518" s="0" t="n">
        <v>12</v>
      </c>
      <c r="E1518" s="6" t="n">
        <v>40809.65625</v>
      </c>
      <c r="F1518" s="0" t="n">
        <v>0.42</v>
      </c>
      <c r="G1518" s="0" t="n">
        <v>12518</v>
      </c>
      <c r="H1518" s="0" t="s">
        <v>33</v>
      </c>
      <c r="I1518" s="7" t="n">
        <f aca="false">IF(AND(LEFT(A1518,1)&lt;&gt;"C",D1518&gt;0,F1518&gt;0),1,0)</f>
        <v>1</v>
      </c>
      <c r="J1518" s="7" t="n">
        <f aca="false">IF(I1518=1,D1518*F1518,0)</f>
        <v>5.04</v>
      </c>
      <c r="K1518" s="7" t="n">
        <f aca="false">YEAR(E1518)*100+MONTH(E1518)</f>
        <v>201109</v>
      </c>
      <c r="L1518" s="7" t="n">
        <f aca="false">IF(AND(A1518&lt;&gt;A1517,LEFT(A1518,1)&lt;&gt;"C"),1,0)</f>
        <v>0</v>
      </c>
    </row>
    <row r="1519" customFormat="false" ht="15" hidden="false" customHeight="false" outlineLevel="0" collapsed="false">
      <c r="A1519" s="0" t="s">
        <v>1422</v>
      </c>
      <c r="B1519" s="0" t="s">
        <v>64</v>
      </c>
      <c r="C1519" s="0" t="s">
        <v>65</v>
      </c>
      <c r="D1519" s="0" t="n">
        <v>12</v>
      </c>
      <c r="E1519" s="6" t="n">
        <v>40809.65625</v>
      </c>
      <c r="F1519" s="0" t="n">
        <v>1.65</v>
      </c>
      <c r="G1519" s="0" t="n">
        <v>12518</v>
      </c>
      <c r="H1519" s="0" t="s">
        <v>33</v>
      </c>
      <c r="I1519" s="7" t="n">
        <f aca="false">IF(AND(LEFT(A1519,1)&lt;&gt;"C",D1519&gt;0,F1519&gt;0),1,0)</f>
        <v>1</v>
      </c>
      <c r="J1519" s="7" t="n">
        <f aca="false">IF(I1519=1,D1519*F1519,0)</f>
        <v>19.8</v>
      </c>
      <c r="K1519" s="7" t="n">
        <f aca="false">YEAR(E1519)*100+MONTH(E1519)</f>
        <v>201109</v>
      </c>
      <c r="L1519" s="7" t="n">
        <f aca="false">IF(AND(A1519&lt;&gt;A1518,LEFT(A1519,1)&lt;&gt;"C"),1,0)</f>
        <v>0</v>
      </c>
    </row>
    <row r="1520" customFormat="false" ht="15" hidden="false" customHeight="false" outlineLevel="0" collapsed="false">
      <c r="A1520" s="0" t="s">
        <v>1422</v>
      </c>
      <c r="B1520" s="0" t="s">
        <v>84</v>
      </c>
      <c r="C1520" s="0" t="s">
        <v>85</v>
      </c>
      <c r="D1520" s="0" t="n">
        <v>3</v>
      </c>
      <c r="E1520" s="6" t="n">
        <v>40809.65625</v>
      </c>
      <c r="F1520" s="0" t="n">
        <v>18</v>
      </c>
      <c r="G1520" s="0" t="n">
        <v>12518</v>
      </c>
      <c r="H1520" s="0" t="s">
        <v>33</v>
      </c>
      <c r="I1520" s="7" t="n">
        <f aca="false">IF(AND(LEFT(A1520,1)&lt;&gt;"C",D1520&gt;0,F1520&gt;0),1,0)</f>
        <v>1</v>
      </c>
      <c r="J1520" s="7" t="n">
        <f aca="false">IF(I1520=1,D1520*F1520,0)</f>
        <v>54</v>
      </c>
      <c r="K1520" s="7" t="n">
        <f aca="false">YEAR(E1520)*100+MONTH(E1520)</f>
        <v>201109</v>
      </c>
      <c r="L1520" s="7" t="n">
        <f aca="false">IF(AND(A1520&lt;&gt;A1519,LEFT(A1520,1)&lt;&gt;"C"),1,0)</f>
        <v>0</v>
      </c>
    </row>
    <row r="1521" customFormat="false" ht="15" hidden="false" customHeight="false" outlineLevel="0" collapsed="false">
      <c r="A1521" s="0" t="s">
        <v>1431</v>
      </c>
      <c r="B1521" s="0" t="s">
        <v>1432</v>
      </c>
      <c r="C1521" s="0" t="s">
        <v>1433</v>
      </c>
      <c r="D1521" s="0" t="n">
        <v>6</v>
      </c>
      <c r="E1521" s="6" t="n">
        <v>40811.4402777778</v>
      </c>
      <c r="F1521" s="0" t="n">
        <v>2.95</v>
      </c>
      <c r="G1521" s="0" t="n">
        <v>12488</v>
      </c>
      <c r="H1521" s="0" t="s">
        <v>43</v>
      </c>
      <c r="I1521" s="7" t="n">
        <f aca="false">IF(AND(LEFT(A1521,1)&lt;&gt;"C",D1521&gt;0,F1521&gt;0),1,0)</f>
        <v>1</v>
      </c>
      <c r="J1521" s="7" t="n">
        <f aca="false">IF(I1521=1,D1521*F1521,0)</f>
        <v>17.7</v>
      </c>
      <c r="K1521" s="7" t="n">
        <f aca="false">YEAR(E1521)*100+MONTH(E1521)</f>
        <v>201109</v>
      </c>
      <c r="L1521" s="7" t="n">
        <f aca="false">IF(AND(A1521&lt;&gt;A1520,LEFT(A1521,1)&lt;&gt;"C"),1,0)</f>
        <v>1</v>
      </c>
    </row>
    <row r="1522" customFormat="false" ht="15" hidden="false" customHeight="false" outlineLevel="0" collapsed="false">
      <c r="A1522" s="0" t="s">
        <v>1431</v>
      </c>
      <c r="B1522" s="0" t="s">
        <v>1434</v>
      </c>
      <c r="C1522" s="0" t="s">
        <v>1435</v>
      </c>
      <c r="D1522" s="0" t="n">
        <v>6</v>
      </c>
      <c r="E1522" s="6" t="n">
        <v>40811.4402777778</v>
      </c>
      <c r="F1522" s="0" t="n">
        <v>2.95</v>
      </c>
      <c r="G1522" s="0" t="n">
        <v>12488</v>
      </c>
      <c r="H1522" s="0" t="s">
        <v>43</v>
      </c>
      <c r="I1522" s="7" t="n">
        <f aca="false">IF(AND(LEFT(A1522,1)&lt;&gt;"C",D1522&gt;0,F1522&gt;0),1,0)</f>
        <v>1</v>
      </c>
      <c r="J1522" s="7" t="n">
        <f aca="false">IF(I1522=1,D1522*F1522,0)</f>
        <v>17.7</v>
      </c>
      <c r="K1522" s="7" t="n">
        <f aca="false">YEAR(E1522)*100+MONTH(E1522)</f>
        <v>201109</v>
      </c>
      <c r="L1522" s="7" t="n">
        <f aca="false">IF(AND(A1522&lt;&gt;A1521,LEFT(A1522,1)&lt;&gt;"C"),1,0)</f>
        <v>0</v>
      </c>
    </row>
    <row r="1523" customFormat="false" ht="15" hidden="false" customHeight="false" outlineLevel="0" collapsed="false">
      <c r="A1523" s="0" t="s">
        <v>1431</v>
      </c>
      <c r="B1523" s="0" t="s">
        <v>1436</v>
      </c>
      <c r="C1523" s="0" t="s">
        <v>1437</v>
      </c>
      <c r="D1523" s="0" t="n">
        <v>3</v>
      </c>
      <c r="E1523" s="6" t="n">
        <v>40811.4402777778</v>
      </c>
      <c r="F1523" s="0" t="n">
        <v>4.95</v>
      </c>
      <c r="G1523" s="0" t="n">
        <v>12488</v>
      </c>
      <c r="H1523" s="0" t="s">
        <v>43</v>
      </c>
      <c r="I1523" s="7" t="n">
        <f aca="false">IF(AND(LEFT(A1523,1)&lt;&gt;"C",D1523&gt;0,F1523&gt;0),1,0)</f>
        <v>1</v>
      </c>
      <c r="J1523" s="7" t="n">
        <f aca="false">IF(I1523=1,D1523*F1523,0)</f>
        <v>14.85</v>
      </c>
      <c r="K1523" s="7" t="n">
        <f aca="false">YEAR(E1523)*100+MONTH(E1523)</f>
        <v>201109</v>
      </c>
      <c r="L1523" s="7" t="n">
        <f aca="false">IF(AND(A1523&lt;&gt;A1522,LEFT(A1523,1)&lt;&gt;"C"),1,0)</f>
        <v>0</v>
      </c>
    </row>
    <row r="1524" customFormat="false" ht="15" hidden="false" customHeight="false" outlineLevel="0" collapsed="false">
      <c r="A1524" s="0" t="s">
        <v>1431</v>
      </c>
      <c r="B1524" s="0" t="s">
        <v>1438</v>
      </c>
      <c r="C1524" s="0" t="s">
        <v>1439</v>
      </c>
      <c r="D1524" s="0" t="n">
        <v>6</v>
      </c>
      <c r="E1524" s="6" t="n">
        <v>40811.4402777778</v>
      </c>
      <c r="F1524" s="0" t="n">
        <v>2.1</v>
      </c>
      <c r="G1524" s="0" t="n">
        <v>12488</v>
      </c>
      <c r="H1524" s="0" t="s">
        <v>43</v>
      </c>
      <c r="I1524" s="7" t="n">
        <f aca="false">IF(AND(LEFT(A1524,1)&lt;&gt;"C",D1524&gt;0,F1524&gt;0),1,0)</f>
        <v>1</v>
      </c>
      <c r="J1524" s="7" t="n">
        <f aca="false">IF(I1524=1,D1524*F1524,0)</f>
        <v>12.6</v>
      </c>
      <c r="K1524" s="7" t="n">
        <f aca="false">YEAR(E1524)*100+MONTH(E1524)</f>
        <v>201109</v>
      </c>
      <c r="L1524" s="7" t="n">
        <f aca="false">IF(AND(A1524&lt;&gt;A1523,LEFT(A1524,1)&lt;&gt;"C"),1,0)</f>
        <v>0</v>
      </c>
    </row>
    <row r="1525" customFormat="false" ht="15" hidden="false" customHeight="false" outlineLevel="0" collapsed="false">
      <c r="A1525" s="0" t="s">
        <v>1431</v>
      </c>
      <c r="B1525" s="0" t="s">
        <v>677</v>
      </c>
      <c r="C1525" s="0" t="s">
        <v>678</v>
      </c>
      <c r="D1525" s="0" t="n">
        <v>6</v>
      </c>
      <c r="E1525" s="6" t="n">
        <v>40811.4402777778</v>
      </c>
      <c r="F1525" s="0" t="n">
        <v>2.1</v>
      </c>
      <c r="G1525" s="0" t="n">
        <v>12488</v>
      </c>
      <c r="H1525" s="0" t="s">
        <v>43</v>
      </c>
      <c r="I1525" s="7" t="n">
        <f aca="false">IF(AND(LEFT(A1525,1)&lt;&gt;"C",D1525&gt;0,F1525&gt;0),1,0)</f>
        <v>1</v>
      </c>
      <c r="J1525" s="7" t="n">
        <f aca="false">IF(I1525=1,D1525*F1525,0)</f>
        <v>12.6</v>
      </c>
      <c r="K1525" s="7" t="n">
        <f aca="false">YEAR(E1525)*100+MONTH(E1525)</f>
        <v>201109</v>
      </c>
      <c r="L1525" s="7" t="n">
        <f aca="false">IF(AND(A1525&lt;&gt;A1524,LEFT(A1525,1)&lt;&gt;"C"),1,0)</f>
        <v>0</v>
      </c>
    </row>
    <row r="1526" customFormat="false" ht="15" hidden="false" customHeight="false" outlineLevel="0" collapsed="false">
      <c r="A1526" s="0" t="s">
        <v>1431</v>
      </c>
      <c r="B1526" s="0" t="s">
        <v>1440</v>
      </c>
      <c r="C1526" s="0" t="s">
        <v>1441</v>
      </c>
      <c r="D1526" s="0" t="n">
        <v>6</v>
      </c>
      <c r="E1526" s="6" t="n">
        <v>40811.4402777778</v>
      </c>
      <c r="F1526" s="0" t="n">
        <v>2.1</v>
      </c>
      <c r="G1526" s="0" t="n">
        <v>12488</v>
      </c>
      <c r="H1526" s="0" t="s">
        <v>43</v>
      </c>
      <c r="I1526" s="7" t="n">
        <f aca="false">IF(AND(LEFT(A1526,1)&lt;&gt;"C",D1526&gt;0,F1526&gt;0),1,0)</f>
        <v>1</v>
      </c>
      <c r="J1526" s="7" t="n">
        <f aca="false">IF(I1526=1,D1526*F1526,0)</f>
        <v>12.6</v>
      </c>
      <c r="K1526" s="7" t="n">
        <f aca="false">YEAR(E1526)*100+MONTH(E1526)</f>
        <v>201109</v>
      </c>
      <c r="L1526" s="7" t="n">
        <f aca="false">IF(AND(A1526&lt;&gt;A1525,LEFT(A1526,1)&lt;&gt;"C"),1,0)</f>
        <v>0</v>
      </c>
    </row>
    <row r="1527" customFormat="false" ht="15" hidden="false" customHeight="false" outlineLevel="0" collapsed="false">
      <c r="A1527" s="0" t="s">
        <v>1431</v>
      </c>
      <c r="B1527" s="0" t="s">
        <v>679</v>
      </c>
      <c r="C1527" s="0" t="s">
        <v>680</v>
      </c>
      <c r="D1527" s="0" t="n">
        <v>6</v>
      </c>
      <c r="E1527" s="6" t="n">
        <v>40811.4402777778</v>
      </c>
      <c r="F1527" s="0" t="n">
        <v>2.1</v>
      </c>
      <c r="G1527" s="0" t="n">
        <v>12488</v>
      </c>
      <c r="H1527" s="0" t="s">
        <v>43</v>
      </c>
      <c r="I1527" s="7" t="n">
        <f aca="false">IF(AND(LEFT(A1527,1)&lt;&gt;"C",D1527&gt;0,F1527&gt;0),1,0)</f>
        <v>1</v>
      </c>
      <c r="J1527" s="7" t="n">
        <f aca="false">IF(I1527=1,D1527*F1527,0)</f>
        <v>12.6</v>
      </c>
      <c r="K1527" s="7" t="n">
        <f aca="false">YEAR(E1527)*100+MONTH(E1527)</f>
        <v>201109</v>
      </c>
      <c r="L1527" s="7" t="n">
        <f aca="false">IF(AND(A1527&lt;&gt;A1526,LEFT(A1527,1)&lt;&gt;"C"),1,0)</f>
        <v>0</v>
      </c>
    </row>
    <row r="1528" customFormat="false" ht="15" hidden="false" customHeight="false" outlineLevel="0" collapsed="false">
      <c r="A1528" s="0" t="s">
        <v>1431</v>
      </c>
      <c r="B1528" s="0" t="s">
        <v>1442</v>
      </c>
      <c r="C1528" s="0" t="s">
        <v>1443</v>
      </c>
      <c r="D1528" s="0" t="n">
        <v>12</v>
      </c>
      <c r="E1528" s="6" t="n">
        <v>40811.4402777778</v>
      </c>
      <c r="F1528" s="0" t="n">
        <v>0.39</v>
      </c>
      <c r="G1528" s="0" t="n">
        <v>12488</v>
      </c>
      <c r="H1528" s="0" t="s">
        <v>43</v>
      </c>
      <c r="I1528" s="7" t="n">
        <f aca="false">IF(AND(LEFT(A1528,1)&lt;&gt;"C",D1528&gt;0,F1528&gt;0),1,0)</f>
        <v>1</v>
      </c>
      <c r="J1528" s="7" t="n">
        <f aca="false">IF(I1528=1,D1528*F1528,0)</f>
        <v>4.68</v>
      </c>
      <c r="K1528" s="7" t="n">
        <f aca="false">YEAR(E1528)*100+MONTH(E1528)</f>
        <v>201109</v>
      </c>
      <c r="L1528" s="7" t="n">
        <f aca="false">IF(AND(A1528&lt;&gt;A1527,LEFT(A1528,1)&lt;&gt;"C"),1,0)</f>
        <v>0</v>
      </c>
    </row>
    <row r="1529" customFormat="false" ht="15" hidden="false" customHeight="false" outlineLevel="0" collapsed="false">
      <c r="A1529" s="0" t="s">
        <v>1431</v>
      </c>
      <c r="B1529" s="0" t="s">
        <v>1444</v>
      </c>
      <c r="C1529" s="0" t="s">
        <v>1445</v>
      </c>
      <c r="D1529" s="0" t="n">
        <v>24</v>
      </c>
      <c r="E1529" s="6" t="n">
        <v>40811.4402777778</v>
      </c>
      <c r="F1529" s="0" t="n">
        <v>0.19</v>
      </c>
      <c r="G1529" s="0" t="n">
        <v>12488</v>
      </c>
      <c r="H1529" s="0" t="s">
        <v>43</v>
      </c>
      <c r="I1529" s="7" t="n">
        <f aca="false">IF(AND(LEFT(A1529,1)&lt;&gt;"C",D1529&gt;0,F1529&gt;0),1,0)</f>
        <v>1</v>
      </c>
      <c r="J1529" s="7" t="n">
        <f aca="false">IF(I1529=1,D1529*F1529,0)</f>
        <v>4.56</v>
      </c>
      <c r="K1529" s="7" t="n">
        <f aca="false">YEAR(E1529)*100+MONTH(E1529)</f>
        <v>201109</v>
      </c>
      <c r="L1529" s="7" t="n">
        <f aca="false">IF(AND(A1529&lt;&gt;A1528,LEFT(A1529,1)&lt;&gt;"C"),1,0)</f>
        <v>0</v>
      </c>
    </row>
    <row r="1530" customFormat="false" ht="15" hidden="false" customHeight="false" outlineLevel="0" collapsed="false">
      <c r="A1530" s="0" t="s">
        <v>1431</v>
      </c>
      <c r="B1530" s="0" t="s">
        <v>893</v>
      </c>
      <c r="C1530" s="0" t="s">
        <v>894</v>
      </c>
      <c r="D1530" s="0" t="n">
        <v>6</v>
      </c>
      <c r="E1530" s="6" t="n">
        <v>40811.4402777778</v>
      </c>
      <c r="F1530" s="0" t="n">
        <v>2.95</v>
      </c>
      <c r="G1530" s="0" t="n">
        <v>12488</v>
      </c>
      <c r="H1530" s="0" t="s">
        <v>43</v>
      </c>
      <c r="I1530" s="7" t="n">
        <f aca="false">IF(AND(LEFT(A1530,1)&lt;&gt;"C",D1530&gt;0,F1530&gt;0),1,0)</f>
        <v>1</v>
      </c>
      <c r="J1530" s="7" t="n">
        <f aca="false">IF(I1530=1,D1530*F1530,0)</f>
        <v>17.7</v>
      </c>
      <c r="K1530" s="7" t="n">
        <f aca="false">YEAR(E1530)*100+MONTH(E1530)</f>
        <v>201109</v>
      </c>
      <c r="L1530" s="7" t="n">
        <f aca="false">IF(AND(A1530&lt;&gt;A1529,LEFT(A1530,1)&lt;&gt;"C"),1,0)</f>
        <v>0</v>
      </c>
    </row>
    <row r="1531" customFormat="false" ht="15" hidden="false" customHeight="false" outlineLevel="0" collapsed="false">
      <c r="A1531" s="0" t="s">
        <v>1431</v>
      </c>
      <c r="B1531" s="0" t="s">
        <v>465</v>
      </c>
      <c r="C1531" s="0" t="s">
        <v>466</v>
      </c>
      <c r="D1531" s="0" t="n">
        <v>2</v>
      </c>
      <c r="E1531" s="6" t="n">
        <v>40811.4402777778</v>
      </c>
      <c r="F1531" s="0" t="n">
        <v>7.95</v>
      </c>
      <c r="G1531" s="0" t="n">
        <v>12488</v>
      </c>
      <c r="H1531" s="0" t="s">
        <v>43</v>
      </c>
      <c r="I1531" s="7" t="n">
        <f aca="false">IF(AND(LEFT(A1531,1)&lt;&gt;"C",D1531&gt;0,F1531&gt;0),1,0)</f>
        <v>1</v>
      </c>
      <c r="J1531" s="7" t="n">
        <f aca="false">IF(I1531=1,D1531*F1531,0)</f>
        <v>15.9</v>
      </c>
      <c r="K1531" s="7" t="n">
        <f aca="false">YEAR(E1531)*100+MONTH(E1531)</f>
        <v>201109</v>
      </c>
      <c r="L1531" s="7" t="n">
        <f aca="false">IF(AND(A1531&lt;&gt;A1530,LEFT(A1531,1)&lt;&gt;"C"),1,0)</f>
        <v>0</v>
      </c>
    </row>
    <row r="1532" customFormat="false" ht="15" hidden="false" customHeight="false" outlineLevel="0" collapsed="false">
      <c r="A1532" s="0" t="s">
        <v>1431</v>
      </c>
      <c r="B1532" s="0" t="s">
        <v>463</v>
      </c>
      <c r="C1532" s="0" t="s">
        <v>464</v>
      </c>
      <c r="D1532" s="0" t="n">
        <v>2</v>
      </c>
      <c r="E1532" s="6" t="n">
        <v>40811.4402777778</v>
      </c>
      <c r="F1532" s="0" t="n">
        <v>7.95</v>
      </c>
      <c r="G1532" s="0" t="n">
        <v>12488</v>
      </c>
      <c r="H1532" s="0" t="s">
        <v>43</v>
      </c>
      <c r="I1532" s="7" t="n">
        <f aca="false">IF(AND(LEFT(A1532,1)&lt;&gt;"C",D1532&gt;0,F1532&gt;0),1,0)</f>
        <v>1</v>
      </c>
      <c r="J1532" s="7" t="n">
        <f aca="false">IF(I1532=1,D1532*F1532,0)</f>
        <v>15.9</v>
      </c>
      <c r="K1532" s="7" t="n">
        <f aca="false">YEAR(E1532)*100+MONTH(E1532)</f>
        <v>201109</v>
      </c>
      <c r="L1532" s="7" t="n">
        <f aca="false">IF(AND(A1532&lt;&gt;A1531,LEFT(A1532,1)&lt;&gt;"C"),1,0)</f>
        <v>0</v>
      </c>
    </row>
    <row r="1533" customFormat="false" ht="15" hidden="false" customHeight="false" outlineLevel="0" collapsed="false">
      <c r="A1533" s="0" t="s">
        <v>1431</v>
      </c>
      <c r="B1533" s="0" t="s">
        <v>64</v>
      </c>
      <c r="C1533" s="0" t="s">
        <v>65</v>
      </c>
      <c r="D1533" s="0" t="n">
        <v>24</v>
      </c>
      <c r="E1533" s="6" t="n">
        <v>40811.4402777778</v>
      </c>
      <c r="F1533" s="0" t="n">
        <v>1.65</v>
      </c>
      <c r="G1533" s="0" t="n">
        <v>12488</v>
      </c>
      <c r="H1533" s="0" t="s">
        <v>43</v>
      </c>
      <c r="I1533" s="7" t="n">
        <f aca="false">IF(AND(LEFT(A1533,1)&lt;&gt;"C",D1533&gt;0,F1533&gt;0),1,0)</f>
        <v>1</v>
      </c>
      <c r="J1533" s="7" t="n">
        <f aca="false">IF(I1533=1,D1533*F1533,0)</f>
        <v>39.6</v>
      </c>
      <c r="K1533" s="7" t="n">
        <f aca="false">YEAR(E1533)*100+MONTH(E1533)</f>
        <v>201109</v>
      </c>
      <c r="L1533" s="7" t="n">
        <f aca="false">IF(AND(A1533&lt;&gt;A1532,LEFT(A1533,1)&lt;&gt;"C"),1,0)</f>
        <v>0</v>
      </c>
    </row>
    <row r="1534" customFormat="false" ht="15" hidden="false" customHeight="false" outlineLevel="0" collapsed="false">
      <c r="A1534" s="0" t="s">
        <v>1431</v>
      </c>
      <c r="B1534" s="0" t="s">
        <v>1446</v>
      </c>
      <c r="C1534" s="0" t="s">
        <v>1447</v>
      </c>
      <c r="D1534" s="0" t="n">
        <v>6</v>
      </c>
      <c r="E1534" s="6" t="n">
        <v>40811.4402777778</v>
      </c>
      <c r="F1534" s="0" t="n">
        <v>6.75</v>
      </c>
      <c r="G1534" s="0" t="n">
        <v>12488</v>
      </c>
      <c r="H1534" s="0" t="s">
        <v>43</v>
      </c>
      <c r="I1534" s="7" t="n">
        <f aca="false">IF(AND(LEFT(A1534,1)&lt;&gt;"C",D1534&gt;0,F1534&gt;0),1,0)</f>
        <v>1</v>
      </c>
      <c r="J1534" s="7" t="n">
        <f aca="false">IF(I1534=1,D1534*F1534,0)</f>
        <v>40.5</v>
      </c>
      <c r="K1534" s="7" t="n">
        <f aca="false">YEAR(E1534)*100+MONTH(E1534)</f>
        <v>201109</v>
      </c>
      <c r="L1534" s="7" t="n">
        <f aca="false">IF(AND(A1534&lt;&gt;A1533,LEFT(A1534,1)&lt;&gt;"C"),1,0)</f>
        <v>0</v>
      </c>
    </row>
    <row r="1535" customFormat="false" ht="15" hidden="false" customHeight="false" outlineLevel="0" collapsed="false">
      <c r="A1535" s="0" t="s">
        <v>1431</v>
      </c>
      <c r="B1535" s="0" t="s">
        <v>1448</v>
      </c>
      <c r="C1535" s="0" t="s">
        <v>1449</v>
      </c>
      <c r="D1535" s="0" t="n">
        <v>6</v>
      </c>
      <c r="E1535" s="6" t="n">
        <v>40811.4402777778</v>
      </c>
      <c r="F1535" s="0" t="n">
        <v>6.75</v>
      </c>
      <c r="G1535" s="0" t="n">
        <v>12488</v>
      </c>
      <c r="H1535" s="0" t="s">
        <v>43</v>
      </c>
      <c r="I1535" s="7" t="n">
        <f aca="false">IF(AND(LEFT(A1535,1)&lt;&gt;"C",D1535&gt;0,F1535&gt;0),1,0)</f>
        <v>1</v>
      </c>
      <c r="J1535" s="7" t="n">
        <f aca="false">IF(I1535=1,D1535*F1535,0)</f>
        <v>40.5</v>
      </c>
      <c r="K1535" s="7" t="n">
        <f aca="false">YEAR(E1535)*100+MONTH(E1535)</f>
        <v>201109</v>
      </c>
      <c r="L1535" s="7" t="n">
        <f aca="false">IF(AND(A1535&lt;&gt;A1534,LEFT(A1535,1)&lt;&gt;"C"),1,0)</f>
        <v>0</v>
      </c>
    </row>
    <row r="1536" customFormat="false" ht="15" hidden="false" customHeight="false" outlineLevel="0" collapsed="false">
      <c r="A1536" s="0" t="s">
        <v>1431</v>
      </c>
      <c r="B1536" s="0" t="s">
        <v>1011</v>
      </c>
      <c r="C1536" s="0" t="s">
        <v>1012</v>
      </c>
      <c r="D1536" s="0" t="n">
        <v>5</v>
      </c>
      <c r="E1536" s="6" t="n">
        <v>40811.4402777778</v>
      </c>
      <c r="F1536" s="0" t="n">
        <v>16.95</v>
      </c>
      <c r="G1536" s="0" t="n">
        <v>12488</v>
      </c>
      <c r="H1536" s="0" t="s">
        <v>43</v>
      </c>
      <c r="I1536" s="7" t="n">
        <f aca="false">IF(AND(LEFT(A1536,1)&lt;&gt;"C",D1536&gt;0,F1536&gt;0),1,0)</f>
        <v>1</v>
      </c>
      <c r="J1536" s="7" t="n">
        <f aca="false">IF(I1536=1,D1536*F1536,0)</f>
        <v>84.75</v>
      </c>
      <c r="K1536" s="7" t="n">
        <f aca="false">YEAR(E1536)*100+MONTH(E1536)</f>
        <v>201109</v>
      </c>
      <c r="L1536" s="7" t="n">
        <f aca="false">IF(AND(A1536&lt;&gt;A1535,LEFT(A1536,1)&lt;&gt;"C"),1,0)</f>
        <v>0</v>
      </c>
    </row>
    <row r="1537" customFormat="false" ht="15" hidden="false" customHeight="false" outlineLevel="0" collapsed="false">
      <c r="A1537" s="0" t="s">
        <v>1431</v>
      </c>
      <c r="B1537" s="0" t="s">
        <v>756</v>
      </c>
      <c r="C1537" s="0" t="s">
        <v>757</v>
      </c>
      <c r="D1537" s="0" t="n">
        <v>8</v>
      </c>
      <c r="E1537" s="6" t="n">
        <v>40811.4402777778</v>
      </c>
      <c r="F1537" s="0" t="n">
        <v>3.75</v>
      </c>
      <c r="G1537" s="0" t="n">
        <v>12488</v>
      </c>
      <c r="H1537" s="0" t="s">
        <v>43</v>
      </c>
      <c r="I1537" s="7" t="n">
        <f aca="false">IF(AND(LEFT(A1537,1)&lt;&gt;"C",D1537&gt;0,F1537&gt;0),1,0)</f>
        <v>1</v>
      </c>
      <c r="J1537" s="7" t="n">
        <f aca="false">IF(I1537=1,D1537*F1537,0)</f>
        <v>30</v>
      </c>
      <c r="K1537" s="7" t="n">
        <f aca="false">YEAR(E1537)*100+MONTH(E1537)</f>
        <v>201109</v>
      </c>
      <c r="L1537" s="7" t="n">
        <f aca="false">IF(AND(A1537&lt;&gt;A1536,LEFT(A1537,1)&lt;&gt;"C"),1,0)</f>
        <v>0</v>
      </c>
    </row>
    <row r="1538" customFormat="false" ht="15" hidden="false" customHeight="false" outlineLevel="0" collapsed="false">
      <c r="A1538" s="0" t="s">
        <v>1431</v>
      </c>
      <c r="B1538" s="0" t="s">
        <v>355</v>
      </c>
      <c r="C1538" s="0" t="s">
        <v>356</v>
      </c>
      <c r="D1538" s="0" t="n">
        <v>10</v>
      </c>
      <c r="E1538" s="6" t="n">
        <v>40811.4402777778</v>
      </c>
      <c r="F1538" s="0" t="n">
        <v>1.65</v>
      </c>
      <c r="G1538" s="0" t="n">
        <v>12488</v>
      </c>
      <c r="H1538" s="0" t="s">
        <v>43</v>
      </c>
      <c r="I1538" s="7" t="n">
        <f aca="false">IF(AND(LEFT(A1538,1)&lt;&gt;"C",D1538&gt;0,F1538&gt;0),1,0)</f>
        <v>1</v>
      </c>
      <c r="J1538" s="7" t="n">
        <f aca="false">IF(I1538=1,D1538*F1538,0)</f>
        <v>16.5</v>
      </c>
      <c r="K1538" s="7" t="n">
        <f aca="false">YEAR(E1538)*100+MONTH(E1538)</f>
        <v>201109</v>
      </c>
      <c r="L1538" s="7" t="n">
        <f aca="false">IF(AND(A1538&lt;&gt;A1537,LEFT(A1538,1)&lt;&gt;"C"),1,0)</f>
        <v>0</v>
      </c>
    </row>
    <row r="1539" customFormat="false" ht="15" hidden="false" customHeight="false" outlineLevel="0" collapsed="false">
      <c r="A1539" s="0" t="s">
        <v>1431</v>
      </c>
      <c r="B1539" s="0" t="s">
        <v>52</v>
      </c>
      <c r="C1539" s="0" t="s">
        <v>53</v>
      </c>
      <c r="D1539" s="0" t="n">
        <v>12</v>
      </c>
      <c r="E1539" s="6" t="n">
        <v>40811.4402777778</v>
      </c>
      <c r="F1539" s="0" t="n">
        <v>1.95</v>
      </c>
      <c r="G1539" s="0" t="n">
        <v>12488</v>
      </c>
      <c r="H1539" s="0" t="s">
        <v>43</v>
      </c>
      <c r="I1539" s="7" t="n">
        <f aca="false">IF(AND(LEFT(A1539,1)&lt;&gt;"C",D1539&gt;0,F1539&gt;0),1,0)</f>
        <v>1</v>
      </c>
      <c r="J1539" s="7" t="n">
        <f aca="false">IF(I1539=1,D1539*F1539,0)</f>
        <v>23.4</v>
      </c>
      <c r="K1539" s="7" t="n">
        <f aca="false">YEAR(E1539)*100+MONTH(E1539)</f>
        <v>201109</v>
      </c>
      <c r="L1539" s="7" t="n">
        <f aca="false">IF(AND(A1539&lt;&gt;A1538,LEFT(A1539,1)&lt;&gt;"C"),1,0)</f>
        <v>0</v>
      </c>
    </row>
    <row r="1540" customFormat="false" ht="15" hidden="false" customHeight="false" outlineLevel="0" collapsed="false">
      <c r="A1540" s="0" t="s">
        <v>1431</v>
      </c>
      <c r="B1540" s="0" t="s">
        <v>1013</v>
      </c>
      <c r="C1540" s="0" t="s">
        <v>1014</v>
      </c>
      <c r="D1540" s="0" t="n">
        <v>5</v>
      </c>
      <c r="E1540" s="6" t="n">
        <v>40811.4402777778</v>
      </c>
      <c r="F1540" s="0" t="n">
        <v>16.95</v>
      </c>
      <c r="G1540" s="0" t="n">
        <v>12488</v>
      </c>
      <c r="H1540" s="0" t="s">
        <v>43</v>
      </c>
      <c r="I1540" s="7" t="n">
        <f aca="false">IF(AND(LEFT(A1540,1)&lt;&gt;"C",D1540&gt;0,F1540&gt;0),1,0)</f>
        <v>1</v>
      </c>
      <c r="J1540" s="7" t="n">
        <f aca="false">IF(I1540=1,D1540*F1540,0)</f>
        <v>84.75</v>
      </c>
      <c r="K1540" s="7" t="n">
        <f aca="false">YEAR(E1540)*100+MONTH(E1540)</f>
        <v>201109</v>
      </c>
      <c r="L1540" s="7" t="n">
        <f aca="false">IF(AND(A1540&lt;&gt;A1539,LEFT(A1540,1)&lt;&gt;"C"),1,0)</f>
        <v>0</v>
      </c>
    </row>
    <row r="1541" customFormat="false" ht="15" hidden="false" customHeight="false" outlineLevel="0" collapsed="false">
      <c r="A1541" s="0" t="s">
        <v>1431</v>
      </c>
      <c r="B1541" s="0" t="s">
        <v>1450</v>
      </c>
      <c r="C1541" s="0" t="s">
        <v>1451</v>
      </c>
      <c r="D1541" s="0" t="n">
        <v>8</v>
      </c>
      <c r="E1541" s="6" t="n">
        <v>40811.4402777778</v>
      </c>
      <c r="F1541" s="0" t="n">
        <v>4.25</v>
      </c>
      <c r="G1541" s="0" t="n">
        <v>12488</v>
      </c>
      <c r="H1541" s="0" t="s">
        <v>43</v>
      </c>
      <c r="I1541" s="7" t="n">
        <f aca="false">IF(AND(LEFT(A1541,1)&lt;&gt;"C",D1541&gt;0,F1541&gt;0),1,0)</f>
        <v>1</v>
      </c>
      <c r="J1541" s="7" t="n">
        <f aca="false">IF(I1541=1,D1541*F1541,0)</f>
        <v>34</v>
      </c>
      <c r="K1541" s="7" t="n">
        <f aca="false">YEAR(E1541)*100+MONTH(E1541)</f>
        <v>201109</v>
      </c>
      <c r="L1541" s="7" t="n">
        <f aca="false">IF(AND(A1541&lt;&gt;A1540,LEFT(A1541,1)&lt;&gt;"C"),1,0)</f>
        <v>0</v>
      </c>
    </row>
    <row r="1542" customFormat="false" ht="15" hidden="false" customHeight="false" outlineLevel="0" collapsed="false">
      <c r="A1542" s="0" t="s">
        <v>1452</v>
      </c>
      <c r="B1542" s="0" t="s">
        <v>1048</v>
      </c>
      <c r="C1542" s="0" t="s">
        <v>1049</v>
      </c>
      <c r="D1542" s="0" t="n">
        <v>4</v>
      </c>
      <c r="E1542" s="6" t="n">
        <v>40811.5590277778</v>
      </c>
      <c r="F1542" s="0" t="n">
        <v>4.15</v>
      </c>
      <c r="G1542" s="0" t="n">
        <v>12685</v>
      </c>
      <c r="H1542" s="0" t="s">
        <v>43</v>
      </c>
      <c r="I1542" s="7" t="n">
        <f aca="false">IF(AND(LEFT(A1542,1)&lt;&gt;"C",D1542&gt;0,F1542&gt;0),1,0)</f>
        <v>1</v>
      </c>
      <c r="J1542" s="7" t="n">
        <f aca="false">IF(I1542=1,D1542*F1542,0)</f>
        <v>16.6</v>
      </c>
      <c r="K1542" s="7" t="n">
        <f aca="false">YEAR(E1542)*100+MONTH(E1542)</f>
        <v>201109</v>
      </c>
      <c r="L1542" s="7" t="n">
        <f aca="false">IF(AND(A1542&lt;&gt;A1541,LEFT(A1542,1)&lt;&gt;"C"),1,0)</f>
        <v>1</v>
      </c>
    </row>
    <row r="1543" customFormat="false" ht="15" hidden="false" customHeight="false" outlineLevel="0" collapsed="false">
      <c r="A1543" s="0" t="s">
        <v>1452</v>
      </c>
      <c r="B1543" s="0" t="s">
        <v>1044</v>
      </c>
      <c r="C1543" s="0" t="s">
        <v>1045</v>
      </c>
      <c r="D1543" s="0" t="n">
        <v>4</v>
      </c>
      <c r="E1543" s="6" t="n">
        <v>40811.5590277778</v>
      </c>
      <c r="F1543" s="0" t="n">
        <v>4.15</v>
      </c>
      <c r="G1543" s="0" t="n">
        <v>12685</v>
      </c>
      <c r="H1543" s="0" t="s">
        <v>43</v>
      </c>
      <c r="I1543" s="7" t="n">
        <f aca="false">IF(AND(LEFT(A1543,1)&lt;&gt;"C",D1543&gt;0,F1543&gt;0),1,0)</f>
        <v>1</v>
      </c>
      <c r="J1543" s="7" t="n">
        <f aca="false">IF(I1543=1,D1543*F1543,0)</f>
        <v>16.6</v>
      </c>
      <c r="K1543" s="7" t="n">
        <f aca="false">YEAR(E1543)*100+MONTH(E1543)</f>
        <v>201109</v>
      </c>
      <c r="L1543" s="7" t="n">
        <f aca="false">IF(AND(A1543&lt;&gt;A1542,LEFT(A1543,1)&lt;&gt;"C"),1,0)</f>
        <v>0</v>
      </c>
    </row>
    <row r="1544" customFormat="false" ht="15" hidden="false" customHeight="false" outlineLevel="0" collapsed="false">
      <c r="A1544" s="0" t="s">
        <v>1452</v>
      </c>
      <c r="B1544" s="0" t="s">
        <v>1453</v>
      </c>
      <c r="C1544" s="0" t="s">
        <v>1454</v>
      </c>
      <c r="D1544" s="0" t="n">
        <v>16</v>
      </c>
      <c r="E1544" s="6" t="n">
        <v>40811.5590277778</v>
      </c>
      <c r="F1544" s="0" t="n">
        <v>1.25</v>
      </c>
      <c r="G1544" s="0" t="n">
        <v>12685</v>
      </c>
      <c r="H1544" s="0" t="s">
        <v>43</v>
      </c>
      <c r="I1544" s="7" t="n">
        <f aca="false">IF(AND(LEFT(A1544,1)&lt;&gt;"C",D1544&gt;0,F1544&gt;0),1,0)</f>
        <v>1</v>
      </c>
      <c r="J1544" s="7" t="n">
        <f aca="false">IF(I1544=1,D1544*F1544,0)</f>
        <v>20</v>
      </c>
      <c r="K1544" s="7" t="n">
        <f aca="false">YEAR(E1544)*100+MONTH(E1544)</f>
        <v>201109</v>
      </c>
      <c r="L1544" s="7" t="n">
        <f aca="false">IF(AND(A1544&lt;&gt;A1543,LEFT(A1544,1)&lt;&gt;"C"),1,0)</f>
        <v>0</v>
      </c>
    </row>
    <row r="1545" customFormat="false" ht="15" hidden="false" customHeight="false" outlineLevel="0" collapsed="false">
      <c r="A1545" s="0" t="s">
        <v>1452</v>
      </c>
      <c r="B1545" s="0" t="s">
        <v>1455</v>
      </c>
      <c r="C1545" s="0" t="s">
        <v>1456</v>
      </c>
      <c r="D1545" s="0" t="n">
        <v>24</v>
      </c>
      <c r="E1545" s="6" t="n">
        <v>40811.5590277778</v>
      </c>
      <c r="F1545" s="0" t="n">
        <v>0.65</v>
      </c>
      <c r="G1545" s="0" t="n">
        <v>12685</v>
      </c>
      <c r="H1545" s="0" t="s">
        <v>43</v>
      </c>
      <c r="I1545" s="7" t="n">
        <f aca="false">IF(AND(LEFT(A1545,1)&lt;&gt;"C",D1545&gt;0,F1545&gt;0),1,0)</f>
        <v>1</v>
      </c>
      <c r="J1545" s="7" t="n">
        <f aca="false">IF(I1545=1,D1545*F1545,0)</f>
        <v>15.6</v>
      </c>
      <c r="K1545" s="7" t="n">
        <f aca="false">YEAR(E1545)*100+MONTH(E1545)</f>
        <v>201109</v>
      </c>
      <c r="L1545" s="7" t="n">
        <f aca="false">IF(AND(A1545&lt;&gt;A1544,LEFT(A1545,1)&lt;&gt;"C"),1,0)</f>
        <v>0</v>
      </c>
    </row>
    <row r="1546" customFormat="false" ht="15" hidden="false" customHeight="false" outlineLevel="0" collapsed="false">
      <c r="A1546" s="0" t="s">
        <v>1452</v>
      </c>
      <c r="B1546" s="0" t="s">
        <v>148</v>
      </c>
      <c r="C1546" s="0" t="s">
        <v>149</v>
      </c>
      <c r="D1546" s="0" t="n">
        <v>1</v>
      </c>
      <c r="E1546" s="6" t="n">
        <v>40811.5590277778</v>
      </c>
      <c r="F1546" s="0" t="n">
        <v>12.75</v>
      </c>
      <c r="G1546" s="0" t="n">
        <v>12685</v>
      </c>
      <c r="H1546" s="0" t="s">
        <v>43</v>
      </c>
      <c r="I1546" s="7" t="n">
        <f aca="false">IF(AND(LEFT(A1546,1)&lt;&gt;"C",D1546&gt;0,F1546&gt;0),1,0)</f>
        <v>1</v>
      </c>
      <c r="J1546" s="7" t="n">
        <f aca="false">IF(I1546=1,D1546*F1546,0)</f>
        <v>12.75</v>
      </c>
      <c r="K1546" s="7" t="n">
        <f aca="false">YEAR(E1546)*100+MONTH(E1546)</f>
        <v>201109</v>
      </c>
      <c r="L1546" s="7" t="n">
        <f aca="false">IF(AND(A1546&lt;&gt;A1545,LEFT(A1546,1)&lt;&gt;"C"),1,0)</f>
        <v>0</v>
      </c>
    </row>
    <row r="1547" customFormat="false" ht="15" hidden="false" customHeight="false" outlineLevel="0" collapsed="false">
      <c r="A1547" s="0" t="s">
        <v>1452</v>
      </c>
      <c r="B1547" s="0" t="s">
        <v>1457</v>
      </c>
      <c r="C1547" s="0" t="s">
        <v>1458</v>
      </c>
      <c r="D1547" s="0" t="n">
        <v>6</v>
      </c>
      <c r="E1547" s="6" t="n">
        <v>40811.5590277778</v>
      </c>
      <c r="F1547" s="0" t="n">
        <v>2.95</v>
      </c>
      <c r="G1547" s="0" t="n">
        <v>12685</v>
      </c>
      <c r="H1547" s="0" t="s">
        <v>43</v>
      </c>
      <c r="I1547" s="7" t="n">
        <f aca="false">IF(AND(LEFT(A1547,1)&lt;&gt;"C",D1547&gt;0,F1547&gt;0),1,0)</f>
        <v>1</v>
      </c>
      <c r="J1547" s="7" t="n">
        <f aca="false">IF(I1547=1,D1547*F1547,0)</f>
        <v>17.7</v>
      </c>
      <c r="K1547" s="7" t="n">
        <f aca="false">YEAR(E1547)*100+MONTH(E1547)</f>
        <v>201109</v>
      </c>
      <c r="L1547" s="7" t="n">
        <f aca="false">IF(AND(A1547&lt;&gt;A1546,LEFT(A1547,1)&lt;&gt;"C"),1,0)</f>
        <v>0</v>
      </c>
    </row>
    <row r="1548" customFormat="false" ht="15" hidden="false" customHeight="false" outlineLevel="0" collapsed="false">
      <c r="A1548" s="0" t="s">
        <v>1452</v>
      </c>
      <c r="B1548" s="0" t="s">
        <v>503</v>
      </c>
      <c r="C1548" s="0" t="s">
        <v>504</v>
      </c>
      <c r="D1548" s="0" t="n">
        <v>25</v>
      </c>
      <c r="E1548" s="6" t="n">
        <v>40811.5590277778</v>
      </c>
      <c r="F1548" s="0" t="n">
        <v>0.42</v>
      </c>
      <c r="G1548" s="0" t="n">
        <v>12685</v>
      </c>
      <c r="H1548" s="0" t="s">
        <v>43</v>
      </c>
      <c r="I1548" s="7" t="n">
        <f aca="false">IF(AND(LEFT(A1548,1)&lt;&gt;"C",D1548&gt;0,F1548&gt;0),1,0)</f>
        <v>1</v>
      </c>
      <c r="J1548" s="7" t="n">
        <f aca="false">IF(I1548=1,D1548*F1548,0)</f>
        <v>10.5</v>
      </c>
      <c r="K1548" s="7" t="n">
        <f aca="false">YEAR(E1548)*100+MONTH(E1548)</f>
        <v>201109</v>
      </c>
      <c r="L1548" s="7" t="n">
        <f aca="false">IF(AND(A1548&lt;&gt;A1547,LEFT(A1548,1)&lt;&gt;"C"),1,0)</f>
        <v>0</v>
      </c>
    </row>
    <row r="1549" customFormat="false" ht="15" hidden="false" customHeight="false" outlineLevel="0" collapsed="false">
      <c r="A1549" s="0" t="s">
        <v>1452</v>
      </c>
      <c r="B1549" s="0" t="s">
        <v>897</v>
      </c>
      <c r="C1549" s="0" t="s">
        <v>898</v>
      </c>
      <c r="D1549" s="0" t="n">
        <v>3</v>
      </c>
      <c r="E1549" s="6" t="n">
        <v>40811.5590277778</v>
      </c>
      <c r="F1549" s="0" t="n">
        <v>4.95</v>
      </c>
      <c r="G1549" s="0" t="n">
        <v>12685</v>
      </c>
      <c r="H1549" s="0" t="s">
        <v>43</v>
      </c>
      <c r="I1549" s="7" t="n">
        <f aca="false">IF(AND(LEFT(A1549,1)&lt;&gt;"C",D1549&gt;0,F1549&gt;0),1,0)</f>
        <v>1</v>
      </c>
      <c r="J1549" s="7" t="n">
        <f aca="false">IF(I1549=1,D1549*F1549,0)</f>
        <v>14.85</v>
      </c>
      <c r="K1549" s="7" t="n">
        <f aca="false">YEAR(E1549)*100+MONTH(E1549)</f>
        <v>201109</v>
      </c>
      <c r="L1549" s="7" t="n">
        <f aca="false">IF(AND(A1549&lt;&gt;A1548,LEFT(A1549,1)&lt;&gt;"C"),1,0)</f>
        <v>0</v>
      </c>
    </row>
    <row r="1550" customFormat="false" ht="15" hidden="false" customHeight="false" outlineLevel="0" collapsed="false">
      <c r="A1550" s="0" t="s">
        <v>1452</v>
      </c>
      <c r="B1550" s="0" t="s">
        <v>1459</v>
      </c>
      <c r="C1550" s="0" t="s">
        <v>1460</v>
      </c>
      <c r="D1550" s="0" t="n">
        <v>4</v>
      </c>
      <c r="E1550" s="6" t="n">
        <v>40811.5590277778</v>
      </c>
      <c r="F1550" s="0" t="n">
        <v>3.95</v>
      </c>
      <c r="G1550" s="0" t="n">
        <v>12685</v>
      </c>
      <c r="H1550" s="0" t="s">
        <v>43</v>
      </c>
      <c r="I1550" s="7" t="n">
        <f aca="false">IF(AND(LEFT(A1550,1)&lt;&gt;"C",D1550&gt;0,F1550&gt;0),1,0)</f>
        <v>1</v>
      </c>
      <c r="J1550" s="7" t="n">
        <f aca="false">IF(I1550=1,D1550*F1550,0)</f>
        <v>15.8</v>
      </c>
      <c r="K1550" s="7" t="n">
        <f aca="false">YEAR(E1550)*100+MONTH(E1550)</f>
        <v>201109</v>
      </c>
      <c r="L1550" s="7" t="n">
        <f aca="false">IF(AND(A1550&lt;&gt;A1549,LEFT(A1550,1)&lt;&gt;"C"),1,0)</f>
        <v>0</v>
      </c>
    </row>
    <row r="1551" customFormat="false" ht="15" hidden="false" customHeight="false" outlineLevel="0" collapsed="false">
      <c r="A1551" s="0" t="s">
        <v>1452</v>
      </c>
      <c r="B1551" s="0" t="s">
        <v>123</v>
      </c>
      <c r="C1551" s="0" t="s">
        <v>124</v>
      </c>
      <c r="D1551" s="0" t="n">
        <v>6</v>
      </c>
      <c r="E1551" s="6" t="n">
        <v>40811.5590277778</v>
      </c>
      <c r="F1551" s="0" t="n">
        <v>2.95</v>
      </c>
      <c r="G1551" s="0" t="n">
        <v>12685</v>
      </c>
      <c r="H1551" s="0" t="s">
        <v>43</v>
      </c>
      <c r="I1551" s="7" t="n">
        <f aca="false">IF(AND(LEFT(A1551,1)&lt;&gt;"C",D1551&gt;0,F1551&gt;0),1,0)</f>
        <v>1</v>
      </c>
      <c r="J1551" s="7" t="n">
        <f aca="false">IF(I1551=1,D1551*F1551,0)</f>
        <v>17.7</v>
      </c>
      <c r="K1551" s="7" t="n">
        <f aca="false">YEAR(E1551)*100+MONTH(E1551)</f>
        <v>201109</v>
      </c>
      <c r="L1551" s="7" t="n">
        <f aca="false">IF(AND(A1551&lt;&gt;A1550,LEFT(A1551,1)&lt;&gt;"C"),1,0)</f>
        <v>0</v>
      </c>
    </row>
    <row r="1552" customFormat="false" ht="15" hidden="false" customHeight="false" outlineLevel="0" collapsed="false">
      <c r="A1552" s="0" t="s">
        <v>1452</v>
      </c>
      <c r="B1552" s="0" t="s">
        <v>567</v>
      </c>
      <c r="C1552" s="0" t="s">
        <v>568</v>
      </c>
      <c r="D1552" s="0" t="n">
        <v>10</v>
      </c>
      <c r="E1552" s="6" t="n">
        <v>40811.5590277778</v>
      </c>
      <c r="F1552" s="0" t="n">
        <v>1.65</v>
      </c>
      <c r="G1552" s="0" t="n">
        <v>12685</v>
      </c>
      <c r="H1552" s="0" t="s">
        <v>43</v>
      </c>
      <c r="I1552" s="7" t="n">
        <f aca="false">IF(AND(LEFT(A1552,1)&lt;&gt;"C",D1552&gt;0,F1552&gt;0),1,0)</f>
        <v>1</v>
      </c>
      <c r="J1552" s="7" t="n">
        <f aca="false">IF(I1552=1,D1552*F1552,0)</f>
        <v>16.5</v>
      </c>
      <c r="K1552" s="7" t="n">
        <f aca="false">YEAR(E1552)*100+MONTH(E1552)</f>
        <v>201109</v>
      </c>
      <c r="L1552" s="7" t="n">
        <f aca="false">IF(AND(A1552&lt;&gt;A1551,LEFT(A1552,1)&lt;&gt;"C"),1,0)</f>
        <v>0</v>
      </c>
    </row>
    <row r="1553" customFormat="false" ht="15" hidden="false" customHeight="false" outlineLevel="0" collapsed="false">
      <c r="A1553" s="0" t="s">
        <v>1452</v>
      </c>
      <c r="B1553" s="0" t="s">
        <v>318</v>
      </c>
      <c r="C1553" s="0" t="s">
        <v>319</v>
      </c>
      <c r="D1553" s="0" t="n">
        <v>4</v>
      </c>
      <c r="E1553" s="6" t="n">
        <v>40811.5590277778</v>
      </c>
      <c r="F1553" s="0" t="n">
        <v>3.75</v>
      </c>
      <c r="G1553" s="0" t="n">
        <v>12685</v>
      </c>
      <c r="H1553" s="0" t="s">
        <v>43</v>
      </c>
      <c r="I1553" s="7" t="n">
        <f aca="false">IF(AND(LEFT(A1553,1)&lt;&gt;"C",D1553&gt;0,F1553&gt;0),1,0)</f>
        <v>1</v>
      </c>
      <c r="J1553" s="7" t="n">
        <f aca="false">IF(I1553=1,D1553*F1553,0)</f>
        <v>15</v>
      </c>
      <c r="K1553" s="7" t="n">
        <f aca="false">YEAR(E1553)*100+MONTH(E1553)</f>
        <v>201109</v>
      </c>
      <c r="L1553" s="7" t="n">
        <f aca="false">IF(AND(A1553&lt;&gt;A1552,LEFT(A1553,1)&lt;&gt;"C"),1,0)</f>
        <v>0</v>
      </c>
    </row>
    <row r="1554" customFormat="false" ht="15" hidden="false" customHeight="false" outlineLevel="0" collapsed="false">
      <c r="A1554" s="0" t="s">
        <v>1452</v>
      </c>
      <c r="B1554" s="0" t="s">
        <v>320</v>
      </c>
      <c r="C1554" s="0" t="s">
        <v>321</v>
      </c>
      <c r="D1554" s="0" t="n">
        <v>4</v>
      </c>
      <c r="E1554" s="6" t="n">
        <v>40811.5590277778</v>
      </c>
      <c r="F1554" s="0" t="n">
        <v>3.75</v>
      </c>
      <c r="G1554" s="0" t="n">
        <v>12685</v>
      </c>
      <c r="H1554" s="0" t="s">
        <v>43</v>
      </c>
      <c r="I1554" s="7" t="n">
        <f aca="false">IF(AND(LEFT(A1554,1)&lt;&gt;"C",D1554&gt;0,F1554&gt;0),1,0)</f>
        <v>1</v>
      </c>
      <c r="J1554" s="7" t="n">
        <f aca="false">IF(I1554=1,D1554*F1554,0)</f>
        <v>15</v>
      </c>
      <c r="K1554" s="7" t="n">
        <f aca="false">YEAR(E1554)*100+MONTH(E1554)</f>
        <v>201109</v>
      </c>
      <c r="L1554" s="7" t="n">
        <f aca="false">IF(AND(A1554&lt;&gt;A1553,LEFT(A1554,1)&lt;&gt;"C"),1,0)</f>
        <v>0</v>
      </c>
    </row>
    <row r="1555" customFormat="false" ht="15" hidden="false" customHeight="false" outlineLevel="0" collapsed="false">
      <c r="A1555" s="0" t="s">
        <v>1452</v>
      </c>
      <c r="B1555" s="0" t="s">
        <v>84</v>
      </c>
      <c r="C1555" s="0" t="s">
        <v>85</v>
      </c>
      <c r="D1555" s="0" t="n">
        <v>1</v>
      </c>
      <c r="E1555" s="6" t="n">
        <v>40811.5590277778</v>
      </c>
      <c r="F1555" s="0" t="n">
        <v>18</v>
      </c>
      <c r="G1555" s="0" t="n">
        <v>12685</v>
      </c>
      <c r="H1555" s="0" t="s">
        <v>43</v>
      </c>
      <c r="I1555" s="7" t="n">
        <f aca="false">IF(AND(LEFT(A1555,1)&lt;&gt;"C",D1555&gt;0,F1555&gt;0),1,0)</f>
        <v>1</v>
      </c>
      <c r="J1555" s="7" t="n">
        <f aca="false">IF(I1555=1,D1555*F1555,0)</f>
        <v>18</v>
      </c>
      <c r="K1555" s="7" t="n">
        <f aca="false">YEAR(E1555)*100+MONTH(E1555)</f>
        <v>201109</v>
      </c>
      <c r="L1555" s="7" t="n">
        <f aca="false">IF(AND(A1555&lt;&gt;A1554,LEFT(A1555,1)&lt;&gt;"C"),1,0)</f>
        <v>0</v>
      </c>
    </row>
    <row r="1556" customFormat="false" ht="15" hidden="false" customHeight="false" outlineLevel="0" collapsed="false">
      <c r="A1556" s="0" t="s">
        <v>1461</v>
      </c>
      <c r="B1556" s="0" t="s">
        <v>1225</v>
      </c>
      <c r="C1556" s="0" t="s">
        <v>1226</v>
      </c>
      <c r="D1556" s="0" t="n">
        <v>-1</v>
      </c>
      <c r="E1556" s="6" t="n">
        <v>40812.5145833333</v>
      </c>
      <c r="F1556" s="0" t="n">
        <v>4.15</v>
      </c>
      <c r="G1556" s="0" t="n">
        <v>12583</v>
      </c>
      <c r="H1556" s="0" t="s">
        <v>43</v>
      </c>
      <c r="I1556" s="7" t="n">
        <f aca="false">IF(AND(LEFT(A1556,1)&lt;&gt;"C",D1556&gt;0,F1556&gt;0),1,0)</f>
        <v>0</v>
      </c>
      <c r="J1556" s="7" t="n">
        <f aca="false">IF(I1556=1,D1556*F1556,0)</f>
        <v>0</v>
      </c>
      <c r="K1556" s="7" t="n">
        <f aca="false">YEAR(E1556)*100+MONTH(E1556)</f>
        <v>201109</v>
      </c>
      <c r="L1556" s="7" t="n">
        <f aca="false">IF(AND(A1556&lt;&gt;A1555,LEFT(A1556,1)&lt;&gt;"C"),1,0)</f>
        <v>0</v>
      </c>
    </row>
    <row r="1557" customFormat="false" ht="15" hidden="false" customHeight="false" outlineLevel="0" collapsed="false">
      <c r="A1557" s="0" t="s">
        <v>1461</v>
      </c>
      <c r="B1557" s="0" t="s">
        <v>213</v>
      </c>
      <c r="C1557" s="0" t="s">
        <v>214</v>
      </c>
      <c r="D1557" s="0" t="n">
        <v>-13</v>
      </c>
      <c r="E1557" s="6" t="n">
        <v>40812.5145833333</v>
      </c>
      <c r="F1557" s="0" t="n">
        <v>0.85</v>
      </c>
      <c r="G1557" s="0" t="n">
        <v>12583</v>
      </c>
      <c r="H1557" s="0" t="s">
        <v>43</v>
      </c>
      <c r="I1557" s="7" t="n">
        <f aca="false">IF(AND(LEFT(A1557,1)&lt;&gt;"C",D1557&gt;0,F1557&gt;0),1,0)</f>
        <v>0</v>
      </c>
      <c r="J1557" s="7" t="n">
        <f aca="false">IF(I1557=1,D1557*F1557,0)</f>
        <v>0</v>
      </c>
      <c r="K1557" s="7" t="n">
        <f aca="false">YEAR(E1557)*100+MONTH(E1557)</f>
        <v>201109</v>
      </c>
      <c r="L1557" s="7" t="n">
        <f aca="false">IF(AND(A1557&lt;&gt;A1556,LEFT(A1557,1)&lt;&gt;"C"),1,0)</f>
        <v>0</v>
      </c>
    </row>
    <row r="1558" customFormat="false" ht="15" hidden="false" customHeight="false" outlineLevel="0" collapsed="false">
      <c r="A1558" s="0" t="s">
        <v>1462</v>
      </c>
      <c r="B1558" s="0" t="s">
        <v>1463</v>
      </c>
      <c r="C1558" s="0" t="s">
        <v>1464</v>
      </c>
      <c r="D1558" s="0" t="n">
        <v>9</v>
      </c>
      <c r="E1558" s="6" t="n">
        <v>40812.6493055556</v>
      </c>
      <c r="F1558" s="0" t="n">
        <v>6.95</v>
      </c>
      <c r="G1558" s="0" t="n">
        <v>12612</v>
      </c>
      <c r="H1558" s="0" t="s">
        <v>33</v>
      </c>
      <c r="I1558" s="7" t="n">
        <f aca="false">IF(AND(LEFT(A1558,1)&lt;&gt;"C",D1558&gt;0,F1558&gt;0),1,0)</f>
        <v>1</v>
      </c>
      <c r="J1558" s="7" t="n">
        <f aca="false">IF(I1558=1,D1558*F1558,0)</f>
        <v>62.55</v>
      </c>
      <c r="K1558" s="7" t="n">
        <f aca="false">YEAR(E1558)*100+MONTH(E1558)</f>
        <v>201109</v>
      </c>
      <c r="L1558" s="7" t="n">
        <f aca="false">IF(AND(A1558&lt;&gt;A1557,LEFT(A1558,1)&lt;&gt;"C"),1,0)</f>
        <v>1</v>
      </c>
    </row>
    <row r="1559" customFormat="false" ht="15" hidden="false" customHeight="false" outlineLevel="0" collapsed="false">
      <c r="A1559" s="0" t="s">
        <v>1462</v>
      </c>
      <c r="B1559" s="0" t="s">
        <v>1465</v>
      </c>
      <c r="C1559" s="0" t="s">
        <v>1466</v>
      </c>
      <c r="D1559" s="0" t="n">
        <v>9</v>
      </c>
      <c r="E1559" s="6" t="n">
        <v>40812.6493055556</v>
      </c>
      <c r="F1559" s="0" t="n">
        <v>6.95</v>
      </c>
      <c r="G1559" s="0" t="n">
        <v>12612</v>
      </c>
      <c r="H1559" s="0" t="s">
        <v>33</v>
      </c>
      <c r="I1559" s="7" t="n">
        <f aca="false">IF(AND(LEFT(A1559,1)&lt;&gt;"C",D1559&gt;0,F1559&gt;0),1,0)</f>
        <v>1</v>
      </c>
      <c r="J1559" s="7" t="n">
        <f aca="false">IF(I1559=1,D1559*F1559,0)</f>
        <v>62.55</v>
      </c>
      <c r="K1559" s="7" t="n">
        <f aca="false">YEAR(E1559)*100+MONTH(E1559)</f>
        <v>201109</v>
      </c>
      <c r="L1559" s="7" t="n">
        <f aca="false">IF(AND(A1559&lt;&gt;A1558,LEFT(A1559,1)&lt;&gt;"C"),1,0)</f>
        <v>0</v>
      </c>
    </row>
    <row r="1560" customFormat="false" ht="15" hidden="false" customHeight="false" outlineLevel="0" collapsed="false">
      <c r="A1560" s="0" t="s">
        <v>1462</v>
      </c>
      <c r="B1560" s="0" t="s">
        <v>1467</v>
      </c>
      <c r="C1560" s="0" t="s">
        <v>1468</v>
      </c>
      <c r="D1560" s="0" t="n">
        <v>9</v>
      </c>
      <c r="E1560" s="6" t="n">
        <v>40812.6493055556</v>
      </c>
      <c r="F1560" s="0" t="n">
        <v>6.95</v>
      </c>
      <c r="G1560" s="0" t="n">
        <v>12612</v>
      </c>
      <c r="H1560" s="0" t="s">
        <v>33</v>
      </c>
      <c r="I1560" s="7" t="n">
        <f aca="false">IF(AND(LEFT(A1560,1)&lt;&gt;"C",D1560&gt;0,F1560&gt;0),1,0)</f>
        <v>1</v>
      </c>
      <c r="J1560" s="7" t="n">
        <f aca="false">IF(I1560=1,D1560*F1560,0)</f>
        <v>62.55</v>
      </c>
      <c r="K1560" s="7" t="n">
        <f aca="false">YEAR(E1560)*100+MONTH(E1560)</f>
        <v>201109</v>
      </c>
      <c r="L1560" s="7" t="n">
        <f aca="false">IF(AND(A1560&lt;&gt;A1559,LEFT(A1560,1)&lt;&gt;"C"),1,0)</f>
        <v>0</v>
      </c>
    </row>
    <row r="1561" customFormat="false" ht="15" hidden="false" customHeight="false" outlineLevel="0" collapsed="false">
      <c r="A1561" s="0" t="s">
        <v>1462</v>
      </c>
      <c r="B1561" s="0" t="s">
        <v>1469</v>
      </c>
      <c r="C1561" s="0" t="s">
        <v>1470</v>
      </c>
      <c r="D1561" s="0" t="n">
        <v>6</v>
      </c>
      <c r="E1561" s="6" t="n">
        <v>40812.6493055556</v>
      </c>
      <c r="F1561" s="0" t="n">
        <v>6.95</v>
      </c>
      <c r="G1561" s="0" t="n">
        <v>12612</v>
      </c>
      <c r="H1561" s="0" t="s">
        <v>33</v>
      </c>
      <c r="I1561" s="7" t="n">
        <f aca="false">IF(AND(LEFT(A1561,1)&lt;&gt;"C",D1561&gt;0,F1561&gt;0),1,0)</f>
        <v>1</v>
      </c>
      <c r="J1561" s="7" t="n">
        <f aca="false">IF(I1561=1,D1561*F1561,0)</f>
        <v>41.7</v>
      </c>
      <c r="K1561" s="7" t="n">
        <f aca="false">YEAR(E1561)*100+MONTH(E1561)</f>
        <v>201109</v>
      </c>
      <c r="L1561" s="7" t="n">
        <f aca="false">IF(AND(A1561&lt;&gt;A1560,LEFT(A1561,1)&lt;&gt;"C"),1,0)</f>
        <v>0</v>
      </c>
    </row>
    <row r="1562" customFormat="false" ht="15" hidden="false" customHeight="false" outlineLevel="0" collapsed="false">
      <c r="A1562" s="0" t="s">
        <v>1462</v>
      </c>
      <c r="B1562" s="0" t="s">
        <v>1471</v>
      </c>
      <c r="C1562" s="0" t="s">
        <v>1472</v>
      </c>
      <c r="D1562" s="0" t="n">
        <v>9</v>
      </c>
      <c r="E1562" s="6" t="n">
        <v>40812.6493055556</v>
      </c>
      <c r="F1562" s="0" t="n">
        <v>4.95</v>
      </c>
      <c r="G1562" s="0" t="n">
        <v>12612</v>
      </c>
      <c r="H1562" s="0" t="s">
        <v>33</v>
      </c>
      <c r="I1562" s="7" t="n">
        <f aca="false">IF(AND(LEFT(A1562,1)&lt;&gt;"C",D1562&gt;0,F1562&gt;0),1,0)</f>
        <v>1</v>
      </c>
      <c r="J1562" s="7" t="n">
        <f aca="false">IF(I1562=1,D1562*F1562,0)</f>
        <v>44.55</v>
      </c>
      <c r="K1562" s="7" t="n">
        <f aca="false">YEAR(E1562)*100+MONTH(E1562)</f>
        <v>201109</v>
      </c>
      <c r="L1562" s="7" t="n">
        <f aca="false">IF(AND(A1562&lt;&gt;A1561,LEFT(A1562,1)&lt;&gt;"C"),1,0)</f>
        <v>0</v>
      </c>
    </row>
    <row r="1563" customFormat="false" ht="15" hidden="false" customHeight="false" outlineLevel="0" collapsed="false">
      <c r="A1563" s="0" t="s">
        <v>1462</v>
      </c>
      <c r="B1563" s="0" t="s">
        <v>1473</v>
      </c>
      <c r="C1563" s="0" t="s">
        <v>1474</v>
      </c>
      <c r="D1563" s="0" t="n">
        <v>6</v>
      </c>
      <c r="E1563" s="6" t="n">
        <v>40812.6493055556</v>
      </c>
      <c r="F1563" s="0" t="n">
        <v>4.95</v>
      </c>
      <c r="G1563" s="0" t="n">
        <v>12612</v>
      </c>
      <c r="H1563" s="0" t="s">
        <v>33</v>
      </c>
      <c r="I1563" s="7" t="n">
        <f aca="false">IF(AND(LEFT(A1563,1)&lt;&gt;"C",D1563&gt;0,F1563&gt;0),1,0)</f>
        <v>1</v>
      </c>
      <c r="J1563" s="7" t="n">
        <f aca="false">IF(I1563=1,D1563*F1563,0)</f>
        <v>29.7</v>
      </c>
      <c r="K1563" s="7" t="n">
        <f aca="false">YEAR(E1563)*100+MONTH(E1563)</f>
        <v>201109</v>
      </c>
      <c r="L1563" s="7" t="n">
        <f aca="false">IF(AND(A1563&lt;&gt;A1562,LEFT(A1563,1)&lt;&gt;"C"),1,0)</f>
        <v>0</v>
      </c>
    </row>
    <row r="1564" customFormat="false" ht="15" hidden="false" customHeight="false" outlineLevel="0" collapsed="false">
      <c r="A1564" s="0" t="s">
        <v>1462</v>
      </c>
      <c r="B1564" s="0" t="s">
        <v>1475</v>
      </c>
      <c r="C1564" s="0" t="s">
        <v>1476</v>
      </c>
      <c r="D1564" s="0" t="n">
        <v>6</v>
      </c>
      <c r="E1564" s="6" t="n">
        <v>40812.6493055556</v>
      </c>
      <c r="F1564" s="0" t="n">
        <v>4.95</v>
      </c>
      <c r="G1564" s="0" t="n">
        <v>12612</v>
      </c>
      <c r="H1564" s="0" t="s">
        <v>33</v>
      </c>
      <c r="I1564" s="7" t="n">
        <f aca="false">IF(AND(LEFT(A1564,1)&lt;&gt;"C",D1564&gt;0,F1564&gt;0),1,0)</f>
        <v>1</v>
      </c>
      <c r="J1564" s="7" t="n">
        <f aca="false">IF(I1564=1,D1564*F1564,0)</f>
        <v>29.7</v>
      </c>
      <c r="K1564" s="7" t="n">
        <f aca="false">YEAR(E1564)*100+MONTH(E1564)</f>
        <v>201109</v>
      </c>
      <c r="L1564" s="7" t="n">
        <f aca="false">IF(AND(A1564&lt;&gt;A1563,LEFT(A1564,1)&lt;&gt;"C"),1,0)</f>
        <v>0</v>
      </c>
    </row>
    <row r="1565" customFormat="false" ht="15" hidden="false" customHeight="false" outlineLevel="0" collapsed="false">
      <c r="A1565" s="0" t="s">
        <v>1462</v>
      </c>
      <c r="B1565" s="0" t="s">
        <v>1477</v>
      </c>
      <c r="C1565" s="0" t="s">
        <v>1478</v>
      </c>
      <c r="D1565" s="0" t="n">
        <v>18</v>
      </c>
      <c r="E1565" s="6" t="n">
        <v>40812.6493055556</v>
      </c>
      <c r="F1565" s="0" t="n">
        <v>2.95</v>
      </c>
      <c r="G1565" s="0" t="n">
        <v>12612</v>
      </c>
      <c r="H1565" s="0" t="s">
        <v>33</v>
      </c>
      <c r="I1565" s="7" t="n">
        <f aca="false">IF(AND(LEFT(A1565,1)&lt;&gt;"C",D1565&gt;0,F1565&gt;0),1,0)</f>
        <v>1</v>
      </c>
      <c r="J1565" s="7" t="n">
        <f aca="false">IF(I1565=1,D1565*F1565,0)</f>
        <v>53.1</v>
      </c>
      <c r="K1565" s="7" t="n">
        <f aca="false">YEAR(E1565)*100+MONTH(E1565)</f>
        <v>201109</v>
      </c>
      <c r="L1565" s="7" t="n">
        <f aca="false">IF(AND(A1565&lt;&gt;A1564,LEFT(A1565,1)&lt;&gt;"C"),1,0)</f>
        <v>0</v>
      </c>
    </row>
    <row r="1566" customFormat="false" ht="15" hidden="false" customHeight="false" outlineLevel="0" collapsed="false">
      <c r="A1566" s="0" t="s">
        <v>1462</v>
      </c>
      <c r="B1566" s="0" t="s">
        <v>1479</v>
      </c>
      <c r="C1566" s="0" t="s">
        <v>1480</v>
      </c>
      <c r="D1566" s="0" t="n">
        <v>18</v>
      </c>
      <c r="E1566" s="6" t="n">
        <v>40812.6493055556</v>
      </c>
      <c r="F1566" s="0" t="n">
        <v>2.95</v>
      </c>
      <c r="G1566" s="0" t="n">
        <v>12612</v>
      </c>
      <c r="H1566" s="0" t="s">
        <v>33</v>
      </c>
      <c r="I1566" s="7" t="n">
        <f aca="false">IF(AND(LEFT(A1566,1)&lt;&gt;"C",D1566&gt;0,F1566&gt;0),1,0)</f>
        <v>1</v>
      </c>
      <c r="J1566" s="7" t="n">
        <f aca="false">IF(I1566=1,D1566*F1566,0)</f>
        <v>53.1</v>
      </c>
      <c r="K1566" s="7" t="n">
        <f aca="false">YEAR(E1566)*100+MONTH(E1566)</f>
        <v>201109</v>
      </c>
      <c r="L1566" s="7" t="n">
        <f aca="false">IF(AND(A1566&lt;&gt;A1565,LEFT(A1566,1)&lt;&gt;"C"),1,0)</f>
        <v>0</v>
      </c>
    </row>
    <row r="1567" customFormat="false" ht="15" hidden="false" customHeight="false" outlineLevel="0" collapsed="false">
      <c r="A1567" s="0" t="s">
        <v>1462</v>
      </c>
      <c r="B1567" s="0" t="s">
        <v>1481</v>
      </c>
      <c r="C1567" s="0" t="s">
        <v>1482</v>
      </c>
      <c r="D1567" s="0" t="n">
        <v>18</v>
      </c>
      <c r="E1567" s="6" t="n">
        <v>40812.6493055556</v>
      </c>
      <c r="F1567" s="0" t="n">
        <v>2.95</v>
      </c>
      <c r="G1567" s="0" t="n">
        <v>12612</v>
      </c>
      <c r="H1567" s="0" t="s">
        <v>33</v>
      </c>
      <c r="I1567" s="7" t="n">
        <f aca="false">IF(AND(LEFT(A1567,1)&lt;&gt;"C",D1567&gt;0,F1567&gt;0),1,0)</f>
        <v>1</v>
      </c>
      <c r="J1567" s="7" t="n">
        <f aca="false">IF(I1567=1,D1567*F1567,0)</f>
        <v>53.1</v>
      </c>
      <c r="K1567" s="7" t="n">
        <f aca="false">YEAR(E1567)*100+MONTH(E1567)</f>
        <v>201109</v>
      </c>
      <c r="L1567" s="7" t="n">
        <f aca="false">IF(AND(A1567&lt;&gt;A1566,LEFT(A1567,1)&lt;&gt;"C"),1,0)</f>
        <v>0</v>
      </c>
    </row>
    <row r="1568" customFormat="false" ht="15" hidden="false" customHeight="false" outlineLevel="0" collapsed="false">
      <c r="A1568" s="0" t="s">
        <v>1462</v>
      </c>
      <c r="B1568" s="0" t="s">
        <v>1483</v>
      </c>
      <c r="C1568" s="0" t="s">
        <v>1484</v>
      </c>
      <c r="D1568" s="0" t="n">
        <v>12</v>
      </c>
      <c r="E1568" s="6" t="n">
        <v>40812.6493055556</v>
      </c>
      <c r="F1568" s="0" t="n">
        <v>2.95</v>
      </c>
      <c r="G1568" s="0" t="n">
        <v>12612</v>
      </c>
      <c r="H1568" s="0" t="s">
        <v>33</v>
      </c>
      <c r="I1568" s="7" t="n">
        <f aca="false">IF(AND(LEFT(A1568,1)&lt;&gt;"C",D1568&gt;0,F1568&gt;0),1,0)</f>
        <v>1</v>
      </c>
      <c r="J1568" s="7" t="n">
        <f aca="false">IF(I1568=1,D1568*F1568,0)</f>
        <v>35.4</v>
      </c>
      <c r="K1568" s="7" t="n">
        <f aca="false">YEAR(E1568)*100+MONTH(E1568)</f>
        <v>201109</v>
      </c>
      <c r="L1568" s="7" t="n">
        <f aca="false">IF(AND(A1568&lt;&gt;A1567,LEFT(A1568,1)&lt;&gt;"C"),1,0)</f>
        <v>0</v>
      </c>
    </row>
    <row r="1569" customFormat="false" ht="15" hidden="false" customHeight="false" outlineLevel="0" collapsed="false">
      <c r="A1569" s="0" t="s">
        <v>1462</v>
      </c>
      <c r="B1569" s="0" t="s">
        <v>1485</v>
      </c>
      <c r="C1569" s="0" t="s">
        <v>1486</v>
      </c>
      <c r="D1569" s="0" t="n">
        <v>36</v>
      </c>
      <c r="E1569" s="6" t="n">
        <v>40812.6493055556</v>
      </c>
      <c r="F1569" s="0" t="n">
        <v>0.39</v>
      </c>
      <c r="G1569" s="0" t="n">
        <v>12612</v>
      </c>
      <c r="H1569" s="0" t="s">
        <v>33</v>
      </c>
      <c r="I1569" s="7" t="n">
        <f aca="false">IF(AND(LEFT(A1569,1)&lt;&gt;"C",D1569&gt;0,F1569&gt;0),1,0)</f>
        <v>1</v>
      </c>
      <c r="J1569" s="7" t="n">
        <f aca="false">IF(I1569=1,D1569*F1569,0)</f>
        <v>14.04</v>
      </c>
      <c r="K1569" s="7" t="n">
        <f aca="false">YEAR(E1569)*100+MONTH(E1569)</f>
        <v>201109</v>
      </c>
      <c r="L1569" s="7" t="n">
        <f aca="false">IF(AND(A1569&lt;&gt;A1568,LEFT(A1569,1)&lt;&gt;"C"),1,0)</f>
        <v>0</v>
      </c>
    </row>
    <row r="1570" customFormat="false" ht="15" hidden="false" customHeight="false" outlineLevel="0" collapsed="false">
      <c r="A1570" s="0" t="s">
        <v>1462</v>
      </c>
      <c r="B1570" s="0" t="s">
        <v>1487</v>
      </c>
      <c r="C1570" s="0" t="s">
        <v>1488</v>
      </c>
      <c r="D1570" s="0" t="n">
        <v>4</v>
      </c>
      <c r="E1570" s="6" t="n">
        <v>40812.6493055556</v>
      </c>
      <c r="F1570" s="0" t="n">
        <v>3.75</v>
      </c>
      <c r="G1570" s="0" t="n">
        <v>12612</v>
      </c>
      <c r="H1570" s="0" t="s">
        <v>33</v>
      </c>
      <c r="I1570" s="7" t="n">
        <f aca="false">IF(AND(LEFT(A1570,1)&lt;&gt;"C",D1570&gt;0,F1570&gt;0),1,0)</f>
        <v>1</v>
      </c>
      <c r="J1570" s="7" t="n">
        <f aca="false">IF(I1570=1,D1570*F1570,0)</f>
        <v>15</v>
      </c>
      <c r="K1570" s="7" t="n">
        <f aca="false">YEAR(E1570)*100+MONTH(E1570)</f>
        <v>201109</v>
      </c>
      <c r="L1570" s="7" t="n">
        <f aca="false">IF(AND(A1570&lt;&gt;A1569,LEFT(A1570,1)&lt;&gt;"C"),1,0)</f>
        <v>0</v>
      </c>
    </row>
    <row r="1571" customFormat="false" ht="15" hidden="false" customHeight="false" outlineLevel="0" collapsed="false">
      <c r="A1571" s="0" t="s">
        <v>1462</v>
      </c>
      <c r="B1571" s="0" t="s">
        <v>1489</v>
      </c>
      <c r="C1571" s="0" t="s">
        <v>1490</v>
      </c>
      <c r="D1571" s="0" t="n">
        <v>4</v>
      </c>
      <c r="E1571" s="6" t="n">
        <v>40812.6493055556</v>
      </c>
      <c r="F1571" s="0" t="n">
        <v>3.75</v>
      </c>
      <c r="G1571" s="0" t="n">
        <v>12612</v>
      </c>
      <c r="H1571" s="0" t="s">
        <v>33</v>
      </c>
      <c r="I1571" s="7" t="n">
        <f aca="false">IF(AND(LEFT(A1571,1)&lt;&gt;"C",D1571&gt;0,F1571&gt;0),1,0)</f>
        <v>1</v>
      </c>
      <c r="J1571" s="7" t="n">
        <f aca="false">IF(I1571=1,D1571*F1571,0)</f>
        <v>15</v>
      </c>
      <c r="K1571" s="7" t="n">
        <f aca="false">YEAR(E1571)*100+MONTH(E1571)</f>
        <v>201109</v>
      </c>
      <c r="L1571" s="7" t="n">
        <f aca="false">IF(AND(A1571&lt;&gt;A1570,LEFT(A1571,1)&lt;&gt;"C"),1,0)</f>
        <v>0</v>
      </c>
    </row>
    <row r="1572" customFormat="false" ht="15" hidden="false" customHeight="false" outlineLevel="0" collapsed="false">
      <c r="A1572" s="0" t="s">
        <v>1462</v>
      </c>
      <c r="B1572" s="0" t="s">
        <v>1491</v>
      </c>
      <c r="C1572" s="0" t="s">
        <v>1492</v>
      </c>
      <c r="D1572" s="0" t="n">
        <v>24</v>
      </c>
      <c r="E1572" s="6" t="n">
        <v>40812.6493055556</v>
      </c>
      <c r="F1572" s="0" t="n">
        <v>1</v>
      </c>
      <c r="G1572" s="0" t="n">
        <v>12612</v>
      </c>
      <c r="H1572" s="0" t="s">
        <v>33</v>
      </c>
      <c r="I1572" s="7" t="n">
        <f aca="false">IF(AND(LEFT(A1572,1)&lt;&gt;"C",D1572&gt;0,F1572&gt;0),1,0)</f>
        <v>1</v>
      </c>
      <c r="J1572" s="7" t="n">
        <f aca="false">IF(I1572=1,D1572*F1572,0)</f>
        <v>24</v>
      </c>
      <c r="K1572" s="7" t="n">
        <f aca="false">YEAR(E1572)*100+MONTH(E1572)</f>
        <v>201109</v>
      </c>
      <c r="L1572" s="7" t="n">
        <f aca="false">IF(AND(A1572&lt;&gt;A1571,LEFT(A1572,1)&lt;&gt;"C"),1,0)</f>
        <v>0</v>
      </c>
    </row>
    <row r="1573" customFormat="false" ht="15" hidden="false" customHeight="false" outlineLevel="0" collapsed="false">
      <c r="A1573" s="0" t="s">
        <v>1462</v>
      </c>
      <c r="B1573" s="0" t="s">
        <v>1493</v>
      </c>
      <c r="C1573" s="0" t="s">
        <v>1494</v>
      </c>
      <c r="D1573" s="0" t="n">
        <v>24</v>
      </c>
      <c r="E1573" s="6" t="n">
        <v>40812.6493055556</v>
      </c>
      <c r="F1573" s="0" t="n">
        <v>1</v>
      </c>
      <c r="G1573" s="0" t="n">
        <v>12612</v>
      </c>
      <c r="H1573" s="0" t="s">
        <v>33</v>
      </c>
      <c r="I1573" s="7" t="n">
        <f aca="false">IF(AND(LEFT(A1573,1)&lt;&gt;"C",D1573&gt;0,F1573&gt;0),1,0)</f>
        <v>1</v>
      </c>
      <c r="J1573" s="7" t="n">
        <f aca="false">IF(I1573=1,D1573*F1573,0)</f>
        <v>24</v>
      </c>
      <c r="K1573" s="7" t="n">
        <f aca="false">YEAR(E1573)*100+MONTH(E1573)</f>
        <v>201109</v>
      </c>
      <c r="L1573" s="7" t="n">
        <f aca="false">IF(AND(A1573&lt;&gt;A1572,LEFT(A1573,1)&lt;&gt;"C"),1,0)</f>
        <v>0</v>
      </c>
    </row>
    <row r="1574" customFormat="false" ht="15" hidden="false" customHeight="false" outlineLevel="0" collapsed="false">
      <c r="A1574" s="0" t="s">
        <v>1462</v>
      </c>
      <c r="B1574" s="0" t="s">
        <v>1495</v>
      </c>
      <c r="C1574" s="0" t="s">
        <v>1496</v>
      </c>
      <c r="D1574" s="0" t="n">
        <v>24</v>
      </c>
      <c r="E1574" s="6" t="n">
        <v>40812.6493055556</v>
      </c>
      <c r="F1574" s="0" t="n">
        <v>1</v>
      </c>
      <c r="G1574" s="0" t="n">
        <v>12612</v>
      </c>
      <c r="H1574" s="0" t="s">
        <v>33</v>
      </c>
      <c r="I1574" s="7" t="n">
        <f aca="false">IF(AND(LEFT(A1574,1)&lt;&gt;"C",D1574&gt;0,F1574&gt;0),1,0)</f>
        <v>1</v>
      </c>
      <c r="J1574" s="7" t="n">
        <f aca="false">IF(I1574=1,D1574*F1574,0)</f>
        <v>24</v>
      </c>
      <c r="K1574" s="7" t="n">
        <f aca="false">YEAR(E1574)*100+MONTH(E1574)</f>
        <v>201109</v>
      </c>
      <c r="L1574" s="7" t="n">
        <f aca="false">IF(AND(A1574&lt;&gt;A1573,LEFT(A1574,1)&lt;&gt;"C"),1,0)</f>
        <v>0</v>
      </c>
    </row>
    <row r="1575" customFormat="false" ht="15" hidden="false" customHeight="false" outlineLevel="0" collapsed="false">
      <c r="A1575" s="0" t="s">
        <v>1462</v>
      </c>
      <c r="B1575" s="0" t="s">
        <v>1497</v>
      </c>
      <c r="C1575" s="0" t="s">
        <v>1498</v>
      </c>
      <c r="D1575" s="0" t="n">
        <v>24</v>
      </c>
      <c r="E1575" s="6" t="n">
        <v>40812.6493055556</v>
      </c>
      <c r="F1575" s="0" t="n">
        <v>1</v>
      </c>
      <c r="G1575" s="0" t="n">
        <v>12612</v>
      </c>
      <c r="H1575" s="0" t="s">
        <v>33</v>
      </c>
      <c r="I1575" s="7" t="n">
        <f aca="false">IF(AND(LEFT(A1575,1)&lt;&gt;"C",D1575&gt;0,F1575&gt;0),1,0)</f>
        <v>1</v>
      </c>
      <c r="J1575" s="7" t="n">
        <f aca="false">IF(I1575=1,D1575*F1575,0)</f>
        <v>24</v>
      </c>
      <c r="K1575" s="7" t="n">
        <f aca="false">YEAR(E1575)*100+MONTH(E1575)</f>
        <v>201109</v>
      </c>
      <c r="L1575" s="7" t="n">
        <f aca="false">IF(AND(A1575&lt;&gt;A1574,LEFT(A1575,1)&lt;&gt;"C"),1,0)</f>
        <v>0</v>
      </c>
    </row>
    <row r="1576" customFormat="false" ht="15" hidden="false" customHeight="false" outlineLevel="0" collapsed="false">
      <c r="A1576" s="0" t="s">
        <v>1462</v>
      </c>
      <c r="B1576" s="0" t="s">
        <v>84</v>
      </c>
      <c r="C1576" s="0" t="s">
        <v>85</v>
      </c>
      <c r="D1576" s="0" t="n">
        <v>2</v>
      </c>
      <c r="E1576" s="6" t="n">
        <v>40812.6493055556</v>
      </c>
      <c r="F1576" s="0" t="n">
        <v>18</v>
      </c>
      <c r="G1576" s="0" t="n">
        <v>12612</v>
      </c>
      <c r="H1576" s="0" t="s">
        <v>33</v>
      </c>
      <c r="I1576" s="7" t="n">
        <f aca="false">IF(AND(LEFT(A1576,1)&lt;&gt;"C",D1576&gt;0,F1576&gt;0),1,0)</f>
        <v>1</v>
      </c>
      <c r="J1576" s="7" t="n">
        <f aca="false">IF(I1576=1,D1576*F1576,0)</f>
        <v>36</v>
      </c>
      <c r="K1576" s="7" t="n">
        <f aca="false">YEAR(E1576)*100+MONTH(E1576)</f>
        <v>201109</v>
      </c>
      <c r="L1576" s="7" t="n">
        <f aca="false">IF(AND(A1576&lt;&gt;A1575,LEFT(A1576,1)&lt;&gt;"C"),1,0)</f>
        <v>0</v>
      </c>
    </row>
    <row r="1577" customFormat="false" ht="15" hidden="false" customHeight="false" outlineLevel="0" collapsed="false">
      <c r="A1577" s="0" t="s">
        <v>1499</v>
      </c>
      <c r="B1577" s="0" t="s">
        <v>495</v>
      </c>
      <c r="C1577" s="0" t="s">
        <v>496</v>
      </c>
      <c r="D1577" s="0" t="n">
        <v>-3</v>
      </c>
      <c r="E1577" s="6" t="n">
        <v>40813.4138888889</v>
      </c>
      <c r="F1577" s="0" t="n">
        <v>2.95</v>
      </c>
      <c r="G1577" s="0" t="n">
        <v>12720</v>
      </c>
      <c r="H1577" s="0" t="s">
        <v>33</v>
      </c>
      <c r="I1577" s="7" t="n">
        <f aca="false">IF(AND(LEFT(A1577,1)&lt;&gt;"C",D1577&gt;0,F1577&gt;0),1,0)</f>
        <v>0</v>
      </c>
      <c r="J1577" s="7" t="n">
        <f aca="false">IF(I1577=1,D1577*F1577,0)</f>
        <v>0</v>
      </c>
      <c r="K1577" s="7" t="n">
        <f aca="false">YEAR(E1577)*100+MONTH(E1577)</f>
        <v>201109</v>
      </c>
      <c r="L1577" s="7" t="n">
        <f aca="false">IF(AND(A1577&lt;&gt;A1576,LEFT(A1577,1)&lt;&gt;"C"),1,0)</f>
        <v>0</v>
      </c>
    </row>
    <row r="1578" customFormat="false" ht="15" hidden="false" customHeight="false" outlineLevel="0" collapsed="false">
      <c r="A1578" s="0" t="s">
        <v>1499</v>
      </c>
      <c r="B1578" s="0" t="s">
        <v>511</v>
      </c>
      <c r="C1578" s="0" t="s">
        <v>512</v>
      </c>
      <c r="D1578" s="0" t="n">
        <v>-2</v>
      </c>
      <c r="E1578" s="6" t="n">
        <v>40813.4138888889</v>
      </c>
      <c r="F1578" s="0" t="n">
        <v>2.95</v>
      </c>
      <c r="G1578" s="0" t="n">
        <v>12720</v>
      </c>
      <c r="H1578" s="0" t="s">
        <v>33</v>
      </c>
      <c r="I1578" s="7" t="n">
        <f aca="false">IF(AND(LEFT(A1578,1)&lt;&gt;"C",D1578&gt;0,F1578&gt;0),1,0)</f>
        <v>0</v>
      </c>
      <c r="J1578" s="7" t="n">
        <f aca="false">IF(I1578=1,D1578*F1578,0)</f>
        <v>0</v>
      </c>
      <c r="K1578" s="7" t="n">
        <f aca="false">YEAR(E1578)*100+MONTH(E1578)</f>
        <v>201109</v>
      </c>
      <c r="L1578" s="7" t="n">
        <f aca="false">IF(AND(A1578&lt;&gt;A1577,LEFT(A1578,1)&lt;&gt;"C"),1,0)</f>
        <v>0</v>
      </c>
    </row>
    <row r="1579" customFormat="false" ht="15" hidden="false" customHeight="false" outlineLevel="0" collapsed="false">
      <c r="A1579" s="0" t="s">
        <v>1500</v>
      </c>
      <c r="B1579" s="0" t="s">
        <v>802</v>
      </c>
      <c r="C1579" s="0" t="s">
        <v>803</v>
      </c>
      <c r="D1579" s="0" t="n">
        <v>3</v>
      </c>
      <c r="E1579" s="6" t="n">
        <v>40813.4930555556</v>
      </c>
      <c r="F1579" s="0" t="n">
        <v>4.95</v>
      </c>
      <c r="G1579" s="0" t="n">
        <v>12517</v>
      </c>
      <c r="H1579" s="0" t="s">
        <v>33</v>
      </c>
      <c r="I1579" s="7" t="n">
        <f aca="false">IF(AND(LEFT(A1579,1)&lt;&gt;"C",D1579&gt;0,F1579&gt;0),1,0)</f>
        <v>1</v>
      </c>
      <c r="J1579" s="7" t="n">
        <f aca="false">IF(I1579=1,D1579*F1579,0)</f>
        <v>14.85</v>
      </c>
      <c r="K1579" s="7" t="n">
        <f aca="false">YEAR(E1579)*100+MONTH(E1579)</f>
        <v>201109</v>
      </c>
      <c r="L1579" s="7" t="n">
        <f aca="false">IF(AND(A1579&lt;&gt;A1578,LEFT(A1579,1)&lt;&gt;"C"),1,0)</f>
        <v>1</v>
      </c>
    </row>
    <row r="1580" customFormat="false" ht="15" hidden="false" customHeight="false" outlineLevel="0" collapsed="false">
      <c r="A1580" s="0" t="s">
        <v>1500</v>
      </c>
      <c r="B1580" s="0" t="s">
        <v>1501</v>
      </c>
      <c r="C1580" s="0" t="s">
        <v>1502</v>
      </c>
      <c r="D1580" s="0" t="n">
        <v>16</v>
      </c>
      <c r="E1580" s="6" t="n">
        <v>40813.4930555556</v>
      </c>
      <c r="F1580" s="0" t="n">
        <v>0.65</v>
      </c>
      <c r="G1580" s="0" t="n">
        <v>12517</v>
      </c>
      <c r="H1580" s="0" t="s">
        <v>33</v>
      </c>
      <c r="I1580" s="7" t="n">
        <f aca="false">IF(AND(LEFT(A1580,1)&lt;&gt;"C",D1580&gt;0,F1580&gt;0),1,0)</f>
        <v>1</v>
      </c>
      <c r="J1580" s="7" t="n">
        <f aca="false">IF(I1580=1,D1580*F1580,0)</f>
        <v>10.4</v>
      </c>
      <c r="K1580" s="7" t="n">
        <f aca="false">YEAR(E1580)*100+MONTH(E1580)</f>
        <v>201109</v>
      </c>
      <c r="L1580" s="7" t="n">
        <f aca="false">IF(AND(A1580&lt;&gt;A1579,LEFT(A1580,1)&lt;&gt;"C"),1,0)</f>
        <v>0</v>
      </c>
    </row>
    <row r="1581" customFormat="false" ht="15" hidden="false" customHeight="false" outlineLevel="0" collapsed="false">
      <c r="A1581" s="0" t="s">
        <v>1500</v>
      </c>
      <c r="B1581" s="0" t="s">
        <v>1048</v>
      </c>
      <c r="C1581" s="0" t="s">
        <v>1049</v>
      </c>
      <c r="D1581" s="0" t="n">
        <v>4</v>
      </c>
      <c r="E1581" s="6" t="n">
        <v>40813.4930555556</v>
      </c>
      <c r="F1581" s="0" t="n">
        <v>4.15</v>
      </c>
      <c r="G1581" s="0" t="n">
        <v>12517</v>
      </c>
      <c r="H1581" s="0" t="s">
        <v>33</v>
      </c>
      <c r="I1581" s="7" t="n">
        <f aca="false">IF(AND(LEFT(A1581,1)&lt;&gt;"C",D1581&gt;0,F1581&gt;0),1,0)</f>
        <v>1</v>
      </c>
      <c r="J1581" s="7" t="n">
        <f aca="false">IF(I1581=1,D1581*F1581,0)</f>
        <v>16.6</v>
      </c>
      <c r="K1581" s="7" t="n">
        <f aca="false">YEAR(E1581)*100+MONTH(E1581)</f>
        <v>201109</v>
      </c>
      <c r="L1581" s="7" t="n">
        <f aca="false">IF(AND(A1581&lt;&gt;A1580,LEFT(A1581,1)&lt;&gt;"C"),1,0)</f>
        <v>0</v>
      </c>
    </row>
    <row r="1582" customFormat="false" ht="15" hidden="false" customHeight="false" outlineLevel="0" collapsed="false">
      <c r="A1582" s="0" t="s">
        <v>1500</v>
      </c>
      <c r="B1582" s="0" t="s">
        <v>1503</v>
      </c>
      <c r="C1582" s="0" t="s">
        <v>1504</v>
      </c>
      <c r="D1582" s="0" t="n">
        <v>5</v>
      </c>
      <c r="E1582" s="6" t="n">
        <v>40813.4930555556</v>
      </c>
      <c r="F1582" s="0" t="n">
        <v>2.1</v>
      </c>
      <c r="G1582" s="0" t="n">
        <v>12517</v>
      </c>
      <c r="H1582" s="0" t="s">
        <v>33</v>
      </c>
      <c r="I1582" s="7" t="n">
        <f aca="false">IF(AND(LEFT(A1582,1)&lt;&gt;"C",D1582&gt;0,F1582&gt;0),1,0)</f>
        <v>1</v>
      </c>
      <c r="J1582" s="7" t="n">
        <f aca="false">IF(I1582=1,D1582*F1582,0)</f>
        <v>10.5</v>
      </c>
      <c r="K1582" s="7" t="n">
        <f aca="false">YEAR(E1582)*100+MONTH(E1582)</f>
        <v>201109</v>
      </c>
      <c r="L1582" s="7" t="n">
        <f aca="false">IF(AND(A1582&lt;&gt;A1581,LEFT(A1582,1)&lt;&gt;"C"),1,0)</f>
        <v>0</v>
      </c>
    </row>
    <row r="1583" customFormat="false" ht="15" hidden="false" customHeight="false" outlineLevel="0" collapsed="false">
      <c r="A1583" s="0" t="s">
        <v>1500</v>
      </c>
      <c r="B1583" s="0" t="s">
        <v>164</v>
      </c>
      <c r="C1583" s="0" t="s">
        <v>165</v>
      </c>
      <c r="D1583" s="0" t="n">
        <v>8</v>
      </c>
      <c r="E1583" s="6" t="n">
        <v>40813.4930555556</v>
      </c>
      <c r="F1583" s="0" t="n">
        <v>1.25</v>
      </c>
      <c r="G1583" s="0" t="n">
        <v>12517</v>
      </c>
      <c r="H1583" s="0" t="s">
        <v>33</v>
      </c>
      <c r="I1583" s="7" t="n">
        <f aca="false">IF(AND(LEFT(A1583,1)&lt;&gt;"C",D1583&gt;0,F1583&gt;0),1,0)</f>
        <v>1</v>
      </c>
      <c r="J1583" s="7" t="n">
        <f aca="false">IF(I1583=1,D1583*F1583,0)</f>
        <v>10</v>
      </c>
      <c r="K1583" s="7" t="n">
        <f aca="false">YEAR(E1583)*100+MONTH(E1583)</f>
        <v>201109</v>
      </c>
      <c r="L1583" s="7" t="n">
        <f aca="false">IF(AND(A1583&lt;&gt;A1582,LEFT(A1583,1)&lt;&gt;"C"),1,0)</f>
        <v>0</v>
      </c>
    </row>
    <row r="1584" customFormat="false" ht="15" hidden="false" customHeight="false" outlineLevel="0" collapsed="false">
      <c r="A1584" s="0" t="s">
        <v>1500</v>
      </c>
      <c r="B1584" s="0" t="s">
        <v>339</v>
      </c>
      <c r="C1584" s="0" t="s">
        <v>340</v>
      </c>
      <c r="D1584" s="0" t="n">
        <v>8</v>
      </c>
      <c r="E1584" s="6" t="n">
        <v>40813.4930555556</v>
      </c>
      <c r="F1584" s="0" t="n">
        <v>1.95</v>
      </c>
      <c r="G1584" s="0" t="n">
        <v>12517</v>
      </c>
      <c r="H1584" s="0" t="s">
        <v>33</v>
      </c>
      <c r="I1584" s="7" t="n">
        <f aca="false">IF(AND(LEFT(A1584,1)&lt;&gt;"C",D1584&gt;0,F1584&gt;0),1,0)</f>
        <v>1</v>
      </c>
      <c r="J1584" s="7" t="n">
        <f aca="false">IF(I1584=1,D1584*F1584,0)</f>
        <v>15.6</v>
      </c>
      <c r="K1584" s="7" t="n">
        <f aca="false">YEAR(E1584)*100+MONTH(E1584)</f>
        <v>201109</v>
      </c>
      <c r="L1584" s="7" t="n">
        <f aca="false">IF(AND(A1584&lt;&gt;A1583,LEFT(A1584,1)&lt;&gt;"C"),1,0)</f>
        <v>0</v>
      </c>
    </row>
    <row r="1585" customFormat="false" ht="15" hidden="false" customHeight="false" outlineLevel="0" collapsed="false">
      <c r="A1585" s="0" t="s">
        <v>1500</v>
      </c>
      <c r="B1585" s="0" t="s">
        <v>493</v>
      </c>
      <c r="C1585" s="0" t="s">
        <v>494</v>
      </c>
      <c r="D1585" s="0" t="n">
        <v>16</v>
      </c>
      <c r="E1585" s="6" t="n">
        <v>40813.4930555556</v>
      </c>
      <c r="F1585" s="0" t="n">
        <v>0.85</v>
      </c>
      <c r="G1585" s="0" t="n">
        <v>12517</v>
      </c>
      <c r="H1585" s="0" t="s">
        <v>33</v>
      </c>
      <c r="I1585" s="7" t="n">
        <f aca="false">IF(AND(LEFT(A1585,1)&lt;&gt;"C",D1585&gt;0,F1585&gt;0),1,0)</f>
        <v>1</v>
      </c>
      <c r="J1585" s="7" t="n">
        <f aca="false">IF(I1585=1,D1585*F1585,0)</f>
        <v>13.6</v>
      </c>
      <c r="K1585" s="7" t="n">
        <f aca="false">YEAR(E1585)*100+MONTH(E1585)</f>
        <v>201109</v>
      </c>
      <c r="L1585" s="7" t="n">
        <f aca="false">IF(AND(A1585&lt;&gt;A1584,LEFT(A1585,1)&lt;&gt;"C"),1,0)</f>
        <v>0</v>
      </c>
    </row>
    <row r="1586" customFormat="false" ht="15" hidden="false" customHeight="false" outlineLevel="0" collapsed="false">
      <c r="A1586" s="0" t="s">
        <v>1500</v>
      </c>
      <c r="B1586" s="0" t="s">
        <v>1436</v>
      </c>
      <c r="C1586" s="0" t="s">
        <v>1437</v>
      </c>
      <c r="D1586" s="0" t="n">
        <v>3</v>
      </c>
      <c r="E1586" s="6" t="n">
        <v>40813.4930555556</v>
      </c>
      <c r="F1586" s="0" t="n">
        <v>4.95</v>
      </c>
      <c r="G1586" s="0" t="n">
        <v>12517</v>
      </c>
      <c r="H1586" s="0" t="s">
        <v>33</v>
      </c>
      <c r="I1586" s="7" t="n">
        <f aca="false">IF(AND(LEFT(A1586,1)&lt;&gt;"C",D1586&gt;0,F1586&gt;0),1,0)</f>
        <v>1</v>
      </c>
      <c r="J1586" s="7" t="n">
        <f aca="false">IF(I1586=1,D1586*F1586,0)</f>
        <v>14.85</v>
      </c>
      <c r="K1586" s="7" t="n">
        <f aca="false">YEAR(E1586)*100+MONTH(E1586)</f>
        <v>201109</v>
      </c>
      <c r="L1586" s="7" t="n">
        <f aca="false">IF(AND(A1586&lt;&gt;A1585,LEFT(A1586,1)&lt;&gt;"C"),1,0)</f>
        <v>0</v>
      </c>
    </row>
    <row r="1587" customFormat="false" ht="15" hidden="false" customHeight="false" outlineLevel="0" collapsed="false">
      <c r="A1587" s="0" t="s">
        <v>1500</v>
      </c>
      <c r="B1587" s="0" t="s">
        <v>1142</v>
      </c>
      <c r="C1587" s="0" t="s">
        <v>1143</v>
      </c>
      <c r="D1587" s="0" t="n">
        <v>5</v>
      </c>
      <c r="E1587" s="6" t="n">
        <v>40813.4930555556</v>
      </c>
      <c r="F1587" s="0" t="n">
        <v>2.1</v>
      </c>
      <c r="G1587" s="0" t="n">
        <v>12517</v>
      </c>
      <c r="H1587" s="0" t="s">
        <v>33</v>
      </c>
      <c r="I1587" s="7" t="n">
        <f aca="false">IF(AND(LEFT(A1587,1)&lt;&gt;"C",D1587&gt;0,F1587&gt;0),1,0)</f>
        <v>1</v>
      </c>
      <c r="J1587" s="7" t="n">
        <f aca="false">IF(I1587=1,D1587*F1587,0)</f>
        <v>10.5</v>
      </c>
      <c r="K1587" s="7" t="n">
        <f aca="false">YEAR(E1587)*100+MONTH(E1587)</f>
        <v>201109</v>
      </c>
      <c r="L1587" s="7" t="n">
        <f aca="false">IF(AND(A1587&lt;&gt;A1586,LEFT(A1587,1)&lt;&gt;"C"),1,0)</f>
        <v>0</v>
      </c>
    </row>
    <row r="1588" customFormat="false" ht="15" hidden="false" customHeight="false" outlineLevel="0" collapsed="false">
      <c r="A1588" s="0" t="s">
        <v>1500</v>
      </c>
      <c r="B1588" s="0" t="s">
        <v>1144</v>
      </c>
      <c r="C1588" s="0" t="s">
        <v>1145</v>
      </c>
      <c r="D1588" s="0" t="n">
        <v>10</v>
      </c>
      <c r="E1588" s="6" t="n">
        <v>40813.4930555556</v>
      </c>
      <c r="F1588" s="0" t="n">
        <v>2.1</v>
      </c>
      <c r="G1588" s="0" t="n">
        <v>12517</v>
      </c>
      <c r="H1588" s="0" t="s">
        <v>33</v>
      </c>
      <c r="I1588" s="7" t="n">
        <f aca="false">IF(AND(LEFT(A1588,1)&lt;&gt;"C",D1588&gt;0,F1588&gt;0),1,0)</f>
        <v>1</v>
      </c>
      <c r="J1588" s="7" t="n">
        <f aca="false">IF(I1588=1,D1588*F1588,0)</f>
        <v>21</v>
      </c>
      <c r="K1588" s="7" t="n">
        <f aca="false">YEAR(E1588)*100+MONTH(E1588)</f>
        <v>201109</v>
      </c>
      <c r="L1588" s="7" t="n">
        <f aca="false">IF(AND(A1588&lt;&gt;A1587,LEFT(A1588,1)&lt;&gt;"C"),1,0)</f>
        <v>0</v>
      </c>
    </row>
    <row r="1589" customFormat="false" ht="15" hidden="false" customHeight="false" outlineLevel="0" collapsed="false">
      <c r="A1589" s="0" t="s">
        <v>1500</v>
      </c>
      <c r="B1589" s="0" t="s">
        <v>754</v>
      </c>
      <c r="C1589" s="0" t="s">
        <v>755</v>
      </c>
      <c r="D1589" s="0" t="n">
        <v>12</v>
      </c>
      <c r="E1589" s="6" t="n">
        <v>40813.4930555556</v>
      </c>
      <c r="F1589" s="0" t="n">
        <v>2.1</v>
      </c>
      <c r="G1589" s="0" t="n">
        <v>12517</v>
      </c>
      <c r="H1589" s="0" t="s">
        <v>33</v>
      </c>
      <c r="I1589" s="7" t="n">
        <f aca="false">IF(AND(LEFT(A1589,1)&lt;&gt;"C",D1589&gt;0,F1589&gt;0),1,0)</f>
        <v>1</v>
      </c>
      <c r="J1589" s="7" t="n">
        <f aca="false">IF(I1589=1,D1589*F1589,0)</f>
        <v>25.2</v>
      </c>
      <c r="K1589" s="7" t="n">
        <f aca="false">YEAR(E1589)*100+MONTH(E1589)</f>
        <v>201109</v>
      </c>
      <c r="L1589" s="7" t="n">
        <f aca="false">IF(AND(A1589&lt;&gt;A1588,LEFT(A1589,1)&lt;&gt;"C"),1,0)</f>
        <v>0</v>
      </c>
    </row>
    <row r="1590" customFormat="false" ht="15" hidden="false" customHeight="false" outlineLevel="0" collapsed="false">
      <c r="A1590" s="0" t="s">
        <v>1500</v>
      </c>
      <c r="B1590" s="0" t="s">
        <v>1386</v>
      </c>
      <c r="C1590" s="0" t="s">
        <v>1387</v>
      </c>
      <c r="D1590" s="0" t="n">
        <v>10</v>
      </c>
      <c r="E1590" s="6" t="n">
        <v>40813.4930555556</v>
      </c>
      <c r="F1590" s="0" t="n">
        <v>2.08</v>
      </c>
      <c r="G1590" s="0" t="n">
        <v>12517</v>
      </c>
      <c r="H1590" s="0" t="s">
        <v>33</v>
      </c>
      <c r="I1590" s="7" t="n">
        <f aca="false">IF(AND(LEFT(A1590,1)&lt;&gt;"C",D1590&gt;0,F1590&gt;0),1,0)</f>
        <v>1</v>
      </c>
      <c r="J1590" s="7" t="n">
        <f aca="false">IF(I1590=1,D1590*F1590,0)</f>
        <v>20.8</v>
      </c>
      <c r="K1590" s="7" t="n">
        <f aca="false">YEAR(E1590)*100+MONTH(E1590)</f>
        <v>201109</v>
      </c>
      <c r="L1590" s="7" t="n">
        <f aca="false">IF(AND(A1590&lt;&gt;A1589,LEFT(A1590,1)&lt;&gt;"C"),1,0)</f>
        <v>0</v>
      </c>
    </row>
    <row r="1591" customFormat="false" ht="15" hidden="false" customHeight="false" outlineLevel="0" collapsed="false">
      <c r="A1591" s="0" t="s">
        <v>1500</v>
      </c>
      <c r="B1591" s="0" t="s">
        <v>68</v>
      </c>
      <c r="C1591" s="0" t="s">
        <v>69</v>
      </c>
      <c r="D1591" s="0" t="n">
        <v>10</v>
      </c>
      <c r="E1591" s="6" t="n">
        <v>40813.4930555556</v>
      </c>
      <c r="F1591" s="0" t="n">
        <v>1.65</v>
      </c>
      <c r="G1591" s="0" t="n">
        <v>12517</v>
      </c>
      <c r="H1591" s="0" t="s">
        <v>33</v>
      </c>
      <c r="I1591" s="7" t="n">
        <f aca="false">IF(AND(LEFT(A1591,1)&lt;&gt;"C",D1591&gt;0,F1591&gt;0),1,0)</f>
        <v>1</v>
      </c>
      <c r="J1591" s="7" t="n">
        <f aca="false">IF(I1591=1,D1591*F1591,0)</f>
        <v>16.5</v>
      </c>
      <c r="K1591" s="7" t="n">
        <f aca="false">YEAR(E1591)*100+MONTH(E1591)</f>
        <v>201109</v>
      </c>
      <c r="L1591" s="7" t="n">
        <f aca="false">IF(AND(A1591&lt;&gt;A1590,LEFT(A1591,1)&lt;&gt;"C"),1,0)</f>
        <v>0</v>
      </c>
    </row>
    <row r="1592" customFormat="false" ht="15" hidden="false" customHeight="false" outlineLevel="0" collapsed="false">
      <c r="A1592" s="0" t="s">
        <v>1500</v>
      </c>
      <c r="B1592" s="0" t="s">
        <v>333</v>
      </c>
      <c r="C1592" s="0" t="s">
        <v>334</v>
      </c>
      <c r="D1592" s="0" t="n">
        <v>12</v>
      </c>
      <c r="E1592" s="6" t="n">
        <v>40813.4930555556</v>
      </c>
      <c r="F1592" s="0" t="n">
        <v>1.65</v>
      </c>
      <c r="G1592" s="0" t="n">
        <v>12517</v>
      </c>
      <c r="H1592" s="0" t="s">
        <v>33</v>
      </c>
      <c r="I1592" s="7" t="n">
        <f aca="false">IF(AND(LEFT(A1592,1)&lt;&gt;"C",D1592&gt;0,F1592&gt;0),1,0)</f>
        <v>1</v>
      </c>
      <c r="J1592" s="7" t="n">
        <f aca="false">IF(I1592=1,D1592*F1592,0)</f>
        <v>19.8</v>
      </c>
      <c r="K1592" s="7" t="n">
        <f aca="false">YEAR(E1592)*100+MONTH(E1592)</f>
        <v>201109</v>
      </c>
      <c r="L1592" s="7" t="n">
        <f aca="false">IF(AND(A1592&lt;&gt;A1591,LEFT(A1592,1)&lt;&gt;"C"),1,0)</f>
        <v>0</v>
      </c>
    </row>
    <row r="1593" customFormat="false" ht="15" hidden="false" customHeight="false" outlineLevel="0" collapsed="false">
      <c r="A1593" s="0" t="s">
        <v>1500</v>
      </c>
      <c r="B1593" s="0" t="s">
        <v>1505</v>
      </c>
      <c r="C1593" s="0" t="s">
        <v>1506</v>
      </c>
      <c r="D1593" s="0" t="n">
        <v>10</v>
      </c>
      <c r="E1593" s="6" t="n">
        <v>40813.4930555556</v>
      </c>
      <c r="F1593" s="0" t="n">
        <v>2.1</v>
      </c>
      <c r="G1593" s="0" t="n">
        <v>12517</v>
      </c>
      <c r="H1593" s="0" t="s">
        <v>33</v>
      </c>
      <c r="I1593" s="7" t="n">
        <f aca="false">IF(AND(LEFT(A1593,1)&lt;&gt;"C",D1593&gt;0,F1593&gt;0),1,0)</f>
        <v>1</v>
      </c>
      <c r="J1593" s="7" t="n">
        <f aca="false">IF(I1593=1,D1593*F1593,0)</f>
        <v>21</v>
      </c>
      <c r="K1593" s="7" t="n">
        <f aca="false">YEAR(E1593)*100+MONTH(E1593)</f>
        <v>201109</v>
      </c>
      <c r="L1593" s="7" t="n">
        <f aca="false">IF(AND(A1593&lt;&gt;A1592,LEFT(A1593,1)&lt;&gt;"C"),1,0)</f>
        <v>0</v>
      </c>
    </row>
    <row r="1594" customFormat="false" ht="15" hidden="false" customHeight="false" outlineLevel="0" collapsed="false">
      <c r="A1594" s="0" t="s">
        <v>1500</v>
      </c>
      <c r="B1594" s="0" t="s">
        <v>56</v>
      </c>
      <c r="C1594" s="0" t="s">
        <v>57</v>
      </c>
      <c r="D1594" s="0" t="n">
        <v>10</v>
      </c>
      <c r="E1594" s="6" t="n">
        <v>40813.4930555556</v>
      </c>
      <c r="F1594" s="0" t="n">
        <v>1.65</v>
      </c>
      <c r="G1594" s="0" t="n">
        <v>12517</v>
      </c>
      <c r="H1594" s="0" t="s">
        <v>33</v>
      </c>
      <c r="I1594" s="7" t="n">
        <f aca="false">IF(AND(LEFT(A1594,1)&lt;&gt;"C",D1594&gt;0,F1594&gt;0),1,0)</f>
        <v>1</v>
      </c>
      <c r="J1594" s="7" t="n">
        <f aca="false">IF(I1594=1,D1594*F1594,0)</f>
        <v>16.5</v>
      </c>
      <c r="K1594" s="7" t="n">
        <f aca="false">YEAR(E1594)*100+MONTH(E1594)</f>
        <v>201109</v>
      </c>
      <c r="L1594" s="7" t="n">
        <f aca="false">IF(AND(A1594&lt;&gt;A1593,LEFT(A1594,1)&lt;&gt;"C"),1,0)</f>
        <v>0</v>
      </c>
    </row>
    <row r="1595" customFormat="false" ht="15" hidden="false" customHeight="false" outlineLevel="0" collapsed="false">
      <c r="A1595" s="0" t="s">
        <v>1500</v>
      </c>
      <c r="B1595" s="0" t="s">
        <v>645</v>
      </c>
      <c r="C1595" s="0" t="s">
        <v>646</v>
      </c>
      <c r="D1595" s="0" t="n">
        <v>10</v>
      </c>
      <c r="E1595" s="6" t="n">
        <v>40813.4930555556</v>
      </c>
      <c r="F1595" s="0" t="n">
        <v>2.08</v>
      </c>
      <c r="G1595" s="0" t="n">
        <v>12517</v>
      </c>
      <c r="H1595" s="0" t="s">
        <v>33</v>
      </c>
      <c r="I1595" s="7" t="n">
        <f aca="false">IF(AND(LEFT(A1595,1)&lt;&gt;"C",D1595&gt;0,F1595&gt;0),1,0)</f>
        <v>1</v>
      </c>
      <c r="J1595" s="7" t="n">
        <f aca="false">IF(I1595=1,D1595*F1595,0)</f>
        <v>20.8</v>
      </c>
      <c r="K1595" s="7" t="n">
        <f aca="false">YEAR(E1595)*100+MONTH(E1595)</f>
        <v>201109</v>
      </c>
      <c r="L1595" s="7" t="n">
        <f aca="false">IF(AND(A1595&lt;&gt;A1594,LEFT(A1595,1)&lt;&gt;"C"),1,0)</f>
        <v>0</v>
      </c>
    </row>
    <row r="1596" customFormat="false" ht="15" hidden="false" customHeight="false" outlineLevel="0" collapsed="false">
      <c r="A1596" s="0" t="s">
        <v>1500</v>
      </c>
      <c r="B1596" s="0" t="s">
        <v>70</v>
      </c>
      <c r="C1596" s="0" t="s">
        <v>71</v>
      </c>
      <c r="D1596" s="0" t="n">
        <v>10</v>
      </c>
      <c r="E1596" s="6" t="n">
        <v>40813.4930555556</v>
      </c>
      <c r="F1596" s="0" t="n">
        <v>1.65</v>
      </c>
      <c r="G1596" s="0" t="n">
        <v>12517</v>
      </c>
      <c r="H1596" s="0" t="s">
        <v>33</v>
      </c>
      <c r="I1596" s="7" t="n">
        <f aca="false">IF(AND(LEFT(A1596,1)&lt;&gt;"C",D1596&gt;0,F1596&gt;0),1,0)</f>
        <v>1</v>
      </c>
      <c r="J1596" s="7" t="n">
        <f aca="false">IF(I1596=1,D1596*F1596,0)</f>
        <v>16.5</v>
      </c>
      <c r="K1596" s="7" t="n">
        <f aca="false">YEAR(E1596)*100+MONTH(E1596)</f>
        <v>201109</v>
      </c>
      <c r="L1596" s="7" t="n">
        <f aca="false">IF(AND(A1596&lt;&gt;A1595,LEFT(A1596,1)&lt;&gt;"C"),1,0)</f>
        <v>0</v>
      </c>
    </row>
    <row r="1597" customFormat="false" ht="15" hidden="false" customHeight="false" outlineLevel="0" collapsed="false">
      <c r="A1597" s="0" t="s">
        <v>1500</v>
      </c>
      <c r="B1597" s="0" t="s">
        <v>569</v>
      </c>
      <c r="C1597" s="0" t="s">
        <v>570</v>
      </c>
      <c r="D1597" s="0" t="n">
        <v>10</v>
      </c>
      <c r="E1597" s="6" t="n">
        <v>40813.4930555556</v>
      </c>
      <c r="F1597" s="0" t="n">
        <v>2.08</v>
      </c>
      <c r="G1597" s="0" t="n">
        <v>12517</v>
      </c>
      <c r="H1597" s="0" t="s">
        <v>33</v>
      </c>
      <c r="I1597" s="7" t="n">
        <f aca="false">IF(AND(LEFT(A1597,1)&lt;&gt;"C",D1597&gt;0,F1597&gt;0),1,0)</f>
        <v>1</v>
      </c>
      <c r="J1597" s="7" t="n">
        <f aca="false">IF(I1597=1,D1597*F1597,0)</f>
        <v>20.8</v>
      </c>
      <c r="K1597" s="7" t="n">
        <f aca="false">YEAR(E1597)*100+MONTH(E1597)</f>
        <v>201109</v>
      </c>
      <c r="L1597" s="7" t="n">
        <f aca="false">IF(AND(A1597&lt;&gt;A1596,LEFT(A1597,1)&lt;&gt;"C"),1,0)</f>
        <v>0</v>
      </c>
    </row>
    <row r="1598" customFormat="false" ht="15" hidden="false" customHeight="false" outlineLevel="0" collapsed="false">
      <c r="A1598" s="0" t="s">
        <v>1500</v>
      </c>
      <c r="B1598" s="0" t="s">
        <v>123</v>
      </c>
      <c r="C1598" s="0" t="s">
        <v>124</v>
      </c>
      <c r="D1598" s="0" t="n">
        <v>12</v>
      </c>
      <c r="E1598" s="6" t="n">
        <v>40813.4930555556</v>
      </c>
      <c r="F1598" s="0" t="n">
        <v>2.95</v>
      </c>
      <c r="G1598" s="0" t="n">
        <v>12517</v>
      </c>
      <c r="H1598" s="0" t="s">
        <v>33</v>
      </c>
      <c r="I1598" s="7" t="n">
        <f aca="false">IF(AND(LEFT(A1598,1)&lt;&gt;"C",D1598&gt;0,F1598&gt;0),1,0)</f>
        <v>1</v>
      </c>
      <c r="J1598" s="7" t="n">
        <f aca="false">IF(I1598=1,D1598*F1598,0)</f>
        <v>35.4</v>
      </c>
      <c r="K1598" s="7" t="n">
        <f aca="false">YEAR(E1598)*100+MONTH(E1598)</f>
        <v>201109</v>
      </c>
      <c r="L1598" s="7" t="n">
        <f aca="false">IF(AND(A1598&lt;&gt;A1597,LEFT(A1598,1)&lt;&gt;"C"),1,0)</f>
        <v>0</v>
      </c>
    </row>
    <row r="1599" customFormat="false" ht="15" hidden="false" customHeight="false" outlineLevel="0" collapsed="false">
      <c r="A1599" s="0" t="s">
        <v>1500</v>
      </c>
      <c r="B1599" s="0" t="s">
        <v>335</v>
      </c>
      <c r="C1599" s="0" t="s">
        <v>336</v>
      </c>
      <c r="D1599" s="0" t="n">
        <v>12</v>
      </c>
      <c r="E1599" s="6" t="n">
        <v>40813.4930555556</v>
      </c>
      <c r="F1599" s="0" t="n">
        <v>1.65</v>
      </c>
      <c r="G1599" s="0" t="n">
        <v>12517</v>
      </c>
      <c r="H1599" s="0" t="s">
        <v>33</v>
      </c>
      <c r="I1599" s="7" t="n">
        <f aca="false">IF(AND(LEFT(A1599,1)&lt;&gt;"C",D1599&gt;0,F1599&gt;0),1,0)</f>
        <v>1</v>
      </c>
      <c r="J1599" s="7" t="n">
        <f aca="false">IF(I1599=1,D1599*F1599,0)</f>
        <v>19.8</v>
      </c>
      <c r="K1599" s="7" t="n">
        <f aca="false">YEAR(E1599)*100+MONTH(E1599)</f>
        <v>201109</v>
      </c>
      <c r="L1599" s="7" t="n">
        <f aca="false">IF(AND(A1599&lt;&gt;A1598,LEFT(A1599,1)&lt;&gt;"C"),1,0)</f>
        <v>0</v>
      </c>
    </row>
    <row r="1600" customFormat="false" ht="15" hidden="false" customHeight="false" outlineLevel="0" collapsed="false">
      <c r="A1600" s="0" t="s">
        <v>1500</v>
      </c>
      <c r="B1600" s="0" t="s">
        <v>671</v>
      </c>
      <c r="C1600" s="0" t="s">
        <v>672</v>
      </c>
      <c r="D1600" s="0" t="n">
        <v>12</v>
      </c>
      <c r="E1600" s="6" t="n">
        <v>40813.4930555556</v>
      </c>
      <c r="F1600" s="0" t="n">
        <v>0.85</v>
      </c>
      <c r="G1600" s="0" t="n">
        <v>12517</v>
      </c>
      <c r="H1600" s="0" t="s">
        <v>33</v>
      </c>
      <c r="I1600" s="7" t="n">
        <f aca="false">IF(AND(LEFT(A1600,1)&lt;&gt;"C",D1600&gt;0,F1600&gt;0),1,0)</f>
        <v>1</v>
      </c>
      <c r="J1600" s="7" t="n">
        <f aca="false">IF(I1600=1,D1600*F1600,0)</f>
        <v>10.2</v>
      </c>
      <c r="K1600" s="7" t="n">
        <f aca="false">YEAR(E1600)*100+MONTH(E1600)</f>
        <v>201109</v>
      </c>
      <c r="L1600" s="7" t="n">
        <f aca="false">IF(AND(A1600&lt;&gt;A1599,LEFT(A1600,1)&lt;&gt;"C"),1,0)</f>
        <v>0</v>
      </c>
    </row>
    <row r="1601" customFormat="false" ht="15" hidden="false" customHeight="false" outlineLevel="0" collapsed="false">
      <c r="A1601" s="0" t="s">
        <v>1500</v>
      </c>
      <c r="B1601" s="0" t="s">
        <v>84</v>
      </c>
      <c r="C1601" s="0" t="s">
        <v>85</v>
      </c>
      <c r="D1601" s="0" t="n">
        <v>2</v>
      </c>
      <c r="E1601" s="6" t="n">
        <v>40813.4930555556</v>
      </c>
      <c r="F1601" s="0" t="n">
        <v>18</v>
      </c>
      <c r="G1601" s="0" t="n">
        <v>12517</v>
      </c>
      <c r="H1601" s="0" t="s">
        <v>33</v>
      </c>
      <c r="I1601" s="7" t="n">
        <f aca="false">IF(AND(LEFT(A1601,1)&lt;&gt;"C",D1601&gt;0,F1601&gt;0),1,0)</f>
        <v>1</v>
      </c>
      <c r="J1601" s="7" t="n">
        <f aca="false">IF(I1601=1,D1601*F1601,0)</f>
        <v>36</v>
      </c>
      <c r="K1601" s="7" t="n">
        <f aca="false">YEAR(E1601)*100+MONTH(E1601)</f>
        <v>201109</v>
      </c>
      <c r="L1601" s="7" t="n">
        <f aca="false">IF(AND(A1601&lt;&gt;A1600,LEFT(A1601,1)&lt;&gt;"C"),1,0)</f>
        <v>0</v>
      </c>
    </row>
    <row r="1602" customFormat="false" ht="15" hidden="false" customHeight="false" outlineLevel="0" collapsed="false">
      <c r="A1602" s="0" t="s">
        <v>1507</v>
      </c>
      <c r="B1602" s="0" t="s">
        <v>97</v>
      </c>
      <c r="C1602" s="0" t="s">
        <v>98</v>
      </c>
      <c r="D1602" s="0" t="n">
        <v>12</v>
      </c>
      <c r="E1602" s="6" t="n">
        <v>40813.5368055556</v>
      </c>
      <c r="F1602" s="0" t="n">
        <v>1.65</v>
      </c>
      <c r="G1602" s="0" t="n">
        <v>12680</v>
      </c>
      <c r="H1602" s="0" t="s">
        <v>43</v>
      </c>
      <c r="I1602" s="7" t="n">
        <f aca="false">IF(AND(LEFT(A1602,1)&lt;&gt;"C",D1602&gt;0,F1602&gt;0),1,0)</f>
        <v>1</v>
      </c>
      <c r="J1602" s="7" t="n">
        <f aca="false">IF(I1602=1,D1602*F1602,0)</f>
        <v>19.8</v>
      </c>
      <c r="K1602" s="7" t="n">
        <f aca="false">YEAR(E1602)*100+MONTH(E1602)</f>
        <v>201109</v>
      </c>
      <c r="L1602" s="7" t="n">
        <f aca="false">IF(AND(A1602&lt;&gt;A1601,LEFT(A1602,1)&lt;&gt;"C"),1,0)</f>
        <v>1</v>
      </c>
    </row>
    <row r="1603" customFormat="false" ht="15" hidden="false" customHeight="false" outlineLevel="0" collapsed="false">
      <c r="A1603" s="0" t="s">
        <v>1507</v>
      </c>
      <c r="B1603" s="0" t="s">
        <v>471</v>
      </c>
      <c r="C1603" s="0" t="s">
        <v>472</v>
      </c>
      <c r="D1603" s="0" t="n">
        <v>12</v>
      </c>
      <c r="E1603" s="6" t="n">
        <v>40813.5368055556</v>
      </c>
      <c r="F1603" s="0" t="n">
        <v>1.65</v>
      </c>
      <c r="G1603" s="0" t="n">
        <v>12680</v>
      </c>
      <c r="H1603" s="0" t="s">
        <v>43</v>
      </c>
      <c r="I1603" s="7" t="n">
        <f aca="false">IF(AND(LEFT(A1603,1)&lt;&gt;"C",D1603&gt;0,F1603&gt;0),1,0)</f>
        <v>1</v>
      </c>
      <c r="J1603" s="7" t="n">
        <f aca="false">IF(I1603=1,D1603*F1603,0)</f>
        <v>19.8</v>
      </c>
      <c r="K1603" s="7" t="n">
        <f aca="false">YEAR(E1603)*100+MONTH(E1603)</f>
        <v>201109</v>
      </c>
      <c r="L1603" s="7" t="n">
        <f aca="false">IF(AND(A1603&lt;&gt;A1602,LEFT(A1603,1)&lt;&gt;"C"),1,0)</f>
        <v>0</v>
      </c>
    </row>
    <row r="1604" customFormat="false" ht="15" hidden="false" customHeight="false" outlineLevel="0" collapsed="false">
      <c r="A1604" s="0" t="s">
        <v>1507</v>
      </c>
      <c r="B1604" s="0" t="s">
        <v>557</v>
      </c>
      <c r="C1604" s="0" t="s">
        <v>558</v>
      </c>
      <c r="D1604" s="0" t="n">
        <v>12</v>
      </c>
      <c r="E1604" s="6" t="n">
        <v>40813.5368055556</v>
      </c>
      <c r="F1604" s="0" t="n">
        <v>1.95</v>
      </c>
      <c r="G1604" s="0" t="n">
        <v>12680</v>
      </c>
      <c r="H1604" s="0" t="s">
        <v>43</v>
      </c>
      <c r="I1604" s="7" t="n">
        <f aca="false">IF(AND(LEFT(A1604,1)&lt;&gt;"C",D1604&gt;0,F1604&gt;0),1,0)</f>
        <v>1</v>
      </c>
      <c r="J1604" s="7" t="n">
        <f aca="false">IF(I1604=1,D1604*F1604,0)</f>
        <v>23.4</v>
      </c>
      <c r="K1604" s="7" t="n">
        <f aca="false">YEAR(E1604)*100+MONTH(E1604)</f>
        <v>201109</v>
      </c>
      <c r="L1604" s="7" t="n">
        <f aca="false">IF(AND(A1604&lt;&gt;A1603,LEFT(A1604,1)&lt;&gt;"C"),1,0)</f>
        <v>0</v>
      </c>
    </row>
    <row r="1605" customFormat="false" ht="15" hidden="false" customHeight="false" outlineLevel="0" collapsed="false">
      <c r="A1605" s="0" t="s">
        <v>1507</v>
      </c>
      <c r="B1605" s="0" t="s">
        <v>74</v>
      </c>
      <c r="C1605" s="0" t="s">
        <v>75</v>
      </c>
      <c r="D1605" s="0" t="n">
        <v>12</v>
      </c>
      <c r="E1605" s="6" t="n">
        <v>40813.5368055556</v>
      </c>
      <c r="F1605" s="0" t="n">
        <v>1.95</v>
      </c>
      <c r="G1605" s="0" t="n">
        <v>12680</v>
      </c>
      <c r="H1605" s="0" t="s">
        <v>43</v>
      </c>
      <c r="I1605" s="7" t="n">
        <f aca="false">IF(AND(LEFT(A1605,1)&lt;&gt;"C",D1605&gt;0,F1605&gt;0),1,0)</f>
        <v>1</v>
      </c>
      <c r="J1605" s="7" t="n">
        <f aca="false">IF(I1605=1,D1605*F1605,0)</f>
        <v>23.4</v>
      </c>
      <c r="K1605" s="7" t="n">
        <f aca="false">YEAR(E1605)*100+MONTH(E1605)</f>
        <v>201109</v>
      </c>
      <c r="L1605" s="7" t="n">
        <f aca="false">IF(AND(A1605&lt;&gt;A1604,LEFT(A1605,1)&lt;&gt;"C"),1,0)</f>
        <v>0</v>
      </c>
    </row>
    <row r="1606" customFormat="false" ht="15" hidden="false" customHeight="false" outlineLevel="0" collapsed="false">
      <c r="A1606" s="0" t="s">
        <v>1507</v>
      </c>
      <c r="B1606" s="0" t="s">
        <v>473</v>
      </c>
      <c r="C1606" s="0" t="s">
        <v>474</v>
      </c>
      <c r="D1606" s="0" t="n">
        <v>2</v>
      </c>
      <c r="E1606" s="6" t="n">
        <v>40813.5368055556</v>
      </c>
      <c r="F1606" s="0" t="n">
        <v>9.95</v>
      </c>
      <c r="G1606" s="0" t="n">
        <v>12680</v>
      </c>
      <c r="H1606" s="0" t="s">
        <v>43</v>
      </c>
      <c r="I1606" s="7" t="n">
        <f aca="false">IF(AND(LEFT(A1606,1)&lt;&gt;"C",D1606&gt;0,F1606&gt;0),1,0)</f>
        <v>1</v>
      </c>
      <c r="J1606" s="7" t="n">
        <f aca="false">IF(I1606=1,D1606*F1606,0)</f>
        <v>19.9</v>
      </c>
      <c r="K1606" s="7" t="n">
        <f aca="false">YEAR(E1606)*100+MONTH(E1606)</f>
        <v>201109</v>
      </c>
      <c r="L1606" s="7" t="n">
        <f aca="false">IF(AND(A1606&lt;&gt;A1605,LEFT(A1606,1)&lt;&gt;"C"),1,0)</f>
        <v>0</v>
      </c>
    </row>
    <row r="1607" customFormat="false" ht="15" hidden="false" customHeight="false" outlineLevel="0" collapsed="false">
      <c r="A1607" s="0" t="s">
        <v>1507</v>
      </c>
      <c r="B1607" s="0" t="s">
        <v>475</v>
      </c>
      <c r="C1607" s="0" t="s">
        <v>476</v>
      </c>
      <c r="D1607" s="0" t="n">
        <v>2</v>
      </c>
      <c r="E1607" s="6" t="n">
        <v>40813.5368055556</v>
      </c>
      <c r="F1607" s="0" t="n">
        <v>9.95</v>
      </c>
      <c r="G1607" s="0" t="n">
        <v>12680</v>
      </c>
      <c r="H1607" s="0" t="s">
        <v>43</v>
      </c>
      <c r="I1607" s="7" t="n">
        <f aca="false">IF(AND(LEFT(A1607,1)&lt;&gt;"C",D1607&gt;0,F1607&gt;0),1,0)</f>
        <v>1</v>
      </c>
      <c r="J1607" s="7" t="n">
        <f aca="false">IF(I1607=1,D1607*F1607,0)</f>
        <v>19.9</v>
      </c>
      <c r="K1607" s="7" t="n">
        <f aca="false">YEAR(E1607)*100+MONTH(E1607)</f>
        <v>201109</v>
      </c>
      <c r="L1607" s="7" t="n">
        <f aca="false">IF(AND(A1607&lt;&gt;A1606,LEFT(A1607,1)&lt;&gt;"C"),1,0)</f>
        <v>0</v>
      </c>
    </row>
    <row r="1608" customFormat="false" ht="15" hidden="false" customHeight="false" outlineLevel="0" collapsed="false">
      <c r="A1608" s="0" t="s">
        <v>1507</v>
      </c>
      <c r="B1608" s="0" t="s">
        <v>318</v>
      </c>
      <c r="C1608" s="0" t="s">
        <v>319</v>
      </c>
      <c r="D1608" s="0" t="n">
        <v>4</v>
      </c>
      <c r="E1608" s="6" t="n">
        <v>40813.5368055556</v>
      </c>
      <c r="F1608" s="0" t="n">
        <v>3.75</v>
      </c>
      <c r="G1608" s="0" t="n">
        <v>12680</v>
      </c>
      <c r="H1608" s="0" t="s">
        <v>43</v>
      </c>
      <c r="I1608" s="7" t="n">
        <f aca="false">IF(AND(LEFT(A1608,1)&lt;&gt;"C",D1608&gt;0,F1608&gt;0),1,0)</f>
        <v>1</v>
      </c>
      <c r="J1608" s="7" t="n">
        <f aca="false">IF(I1608=1,D1608*F1608,0)</f>
        <v>15</v>
      </c>
      <c r="K1608" s="7" t="n">
        <f aca="false">YEAR(E1608)*100+MONTH(E1608)</f>
        <v>201109</v>
      </c>
      <c r="L1608" s="7" t="n">
        <f aca="false">IF(AND(A1608&lt;&gt;A1607,LEFT(A1608,1)&lt;&gt;"C"),1,0)</f>
        <v>0</v>
      </c>
    </row>
    <row r="1609" customFormat="false" ht="15" hidden="false" customHeight="false" outlineLevel="0" collapsed="false">
      <c r="A1609" s="0" t="s">
        <v>1507</v>
      </c>
      <c r="B1609" s="0" t="s">
        <v>320</v>
      </c>
      <c r="C1609" s="0" t="s">
        <v>321</v>
      </c>
      <c r="D1609" s="0" t="n">
        <v>4</v>
      </c>
      <c r="E1609" s="6" t="n">
        <v>40813.5368055556</v>
      </c>
      <c r="F1609" s="0" t="n">
        <v>3.75</v>
      </c>
      <c r="G1609" s="0" t="n">
        <v>12680</v>
      </c>
      <c r="H1609" s="0" t="s">
        <v>43</v>
      </c>
      <c r="I1609" s="7" t="n">
        <f aca="false">IF(AND(LEFT(A1609,1)&lt;&gt;"C",D1609&gt;0,F1609&gt;0),1,0)</f>
        <v>1</v>
      </c>
      <c r="J1609" s="7" t="n">
        <f aca="false">IF(I1609=1,D1609*F1609,0)</f>
        <v>15</v>
      </c>
      <c r="K1609" s="7" t="n">
        <f aca="false">YEAR(E1609)*100+MONTH(E1609)</f>
        <v>201109</v>
      </c>
      <c r="L1609" s="7" t="n">
        <f aca="false">IF(AND(A1609&lt;&gt;A1608,LEFT(A1609,1)&lt;&gt;"C"),1,0)</f>
        <v>0</v>
      </c>
    </row>
    <row r="1610" customFormat="false" ht="15" hidden="false" customHeight="false" outlineLevel="0" collapsed="false">
      <c r="A1610" s="0" t="s">
        <v>1507</v>
      </c>
      <c r="B1610" s="0" t="s">
        <v>297</v>
      </c>
      <c r="C1610" s="0" t="s">
        <v>298</v>
      </c>
      <c r="D1610" s="0" t="n">
        <v>4</v>
      </c>
      <c r="E1610" s="6" t="n">
        <v>40813.5368055556</v>
      </c>
      <c r="F1610" s="0" t="n">
        <v>3.75</v>
      </c>
      <c r="G1610" s="0" t="n">
        <v>12680</v>
      </c>
      <c r="H1610" s="0" t="s">
        <v>43</v>
      </c>
      <c r="I1610" s="7" t="n">
        <f aca="false">IF(AND(LEFT(A1610,1)&lt;&gt;"C",D1610&gt;0,F1610&gt;0),1,0)</f>
        <v>1</v>
      </c>
      <c r="J1610" s="7" t="n">
        <f aca="false">IF(I1610=1,D1610*F1610,0)</f>
        <v>15</v>
      </c>
      <c r="K1610" s="7" t="n">
        <f aca="false">YEAR(E1610)*100+MONTH(E1610)</f>
        <v>201109</v>
      </c>
      <c r="L1610" s="7" t="n">
        <f aca="false">IF(AND(A1610&lt;&gt;A1609,LEFT(A1610,1)&lt;&gt;"C"),1,0)</f>
        <v>0</v>
      </c>
    </row>
    <row r="1611" customFormat="false" ht="15" hidden="false" customHeight="false" outlineLevel="0" collapsed="false">
      <c r="A1611" s="0" t="s">
        <v>1507</v>
      </c>
      <c r="B1611" s="0" t="s">
        <v>84</v>
      </c>
      <c r="C1611" s="0" t="s">
        <v>85</v>
      </c>
      <c r="D1611" s="0" t="n">
        <v>1</v>
      </c>
      <c r="E1611" s="6" t="n">
        <v>40813.5368055556</v>
      </c>
      <c r="F1611" s="0" t="n">
        <v>18</v>
      </c>
      <c r="G1611" s="0" t="n">
        <v>12680</v>
      </c>
      <c r="H1611" s="0" t="s">
        <v>43</v>
      </c>
      <c r="I1611" s="7" t="n">
        <f aca="false">IF(AND(LEFT(A1611,1)&lt;&gt;"C",D1611&gt;0,F1611&gt;0),1,0)</f>
        <v>1</v>
      </c>
      <c r="J1611" s="7" t="n">
        <f aca="false">IF(I1611=1,D1611*F1611,0)</f>
        <v>18</v>
      </c>
      <c r="K1611" s="7" t="n">
        <f aca="false">YEAR(E1611)*100+MONTH(E1611)</f>
        <v>201109</v>
      </c>
      <c r="L1611" s="7" t="n">
        <f aca="false">IF(AND(A1611&lt;&gt;A1610,LEFT(A1611,1)&lt;&gt;"C"),1,0)</f>
        <v>0</v>
      </c>
    </row>
    <row r="1612" customFormat="false" ht="15" hidden="false" customHeight="false" outlineLevel="0" collapsed="false">
      <c r="A1612" s="0" t="s">
        <v>1508</v>
      </c>
      <c r="B1612" s="0" t="s">
        <v>1356</v>
      </c>
      <c r="C1612" s="0" t="s">
        <v>1357</v>
      </c>
      <c r="D1612" s="0" t="n">
        <v>-6</v>
      </c>
      <c r="E1612" s="6" t="n">
        <v>40813.58125</v>
      </c>
      <c r="F1612" s="0" t="n">
        <v>1.95</v>
      </c>
      <c r="G1612" s="0" t="n">
        <v>12579</v>
      </c>
      <c r="H1612" s="0" t="s">
        <v>43</v>
      </c>
      <c r="I1612" s="7" t="n">
        <f aca="false">IF(AND(LEFT(A1612,1)&lt;&gt;"C",D1612&gt;0,F1612&gt;0),1,0)</f>
        <v>0</v>
      </c>
      <c r="J1612" s="7" t="n">
        <f aca="false">IF(I1612=1,D1612*F1612,0)</f>
        <v>0</v>
      </c>
      <c r="K1612" s="7" t="n">
        <f aca="false">YEAR(E1612)*100+MONTH(E1612)</f>
        <v>201109</v>
      </c>
      <c r="L1612" s="7" t="n">
        <f aca="false">IF(AND(A1612&lt;&gt;A1611,LEFT(A1612,1)&lt;&gt;"C"),1,0)</f>
        <v>0</v>
      </c>
    </row>
    <row r="1613" customFormat="false" ht="15" hidden="false" customHeight="false" outlineLevel="0" collapsed="false">
      <c r="A1613" s="0" t="s">
        <v>1509</v>
      </c>
      <c r="B1613" s="0" t="s">
        <v>1403</v>
      </c>
      <c r="C1613" s="0" t="s">
        <v>1404</v>
      </c>
      <c r="D1613" s="0" t="n">
        <v>-4</v>
      </c>
      <c r="E1613" s="6" t="n">
        <v>40813.6583333333</v>
      </c>
      <c r="F1613" s="0" t="n">
        <v>2.55</v>
      </c>
      <c r="G1613" s="0" t="n">
        <v>12681</v>
      </c>
      <c r="H1613" s="0" t="s">
        <v>43</v>
      </c>
      <c r="I1613" s="7" t="n">
        <f aca="false">IF(AND(LEFT(A1613,1)&lt;&gt;"C",D1613&gt;0,F1613&gt;0),1,0)</f>
        <v>0</v>
      </c>
      <c r="J1613" s="7" t="n">
        <f aca="false">IF(I1613=1,D1613*F1613,0)</f>
        <v>0</v>
      </c>
      <c r="K1613" s="7" t="n">
        <f aca="false">YEAR(E1613)*100+MONTH(E1613)</f>
        <v>201109</v>
      </c>
      <c r="L1613" s="7" t="n">
        <f aca="false">IF(AND(A1613&lt;&gt;A1612,LEFT(A1613,1)&lt;&gt;"C"),1,0)</f>
        <v>0</v>
      </c>
    </row>
    <row r="1614" customFormat="false" ht="15" hidden="false" customHeight="false" outlineLevel="0" collapsed="false">
      <c r="A1614" s="0" t="s">
        <v>1509</v>
      </c>
      <c r="B1614" s="0" t="s">
        <v>133</v>
      </c>
      <c r="C1614" s="0" t="s">
        <v>134</v>
      </c>
      <c r="D1614" s="0" t="n">
        <v>-1</v>
      </c>
      <c r="E1614" s="6" t="n">
        <v>40813.6583333333</v>
      </c>
      <c r="F1614" s="0" t="n">
        <v>3.25</v>
      </c>
      <c r="G1614" s="0" t="n">
        <v>12681</v>
      </c>
      <c r="H1614" s="0" t="s">
        <v>43</v>
      </c>
      <c r="I1614" s="7" t="n">
        <f aca="false">IF(AND(LEFT(A1614,1)&lt;&gt;"C",D1614&gt;0,F1614&gt;0),1,0)</f>
        <v>0</v>
      </c>
      <c r="J1614" s="7" t="n">
        <f aca="false">IF(I1614=1,D1614*F1614,0)</f>
        <v>0</v>
      </c>
      <c r="K1614" s="7" t="n">
        <f aca="false">YEAR(E1614)*100+MONTH(E1614)</f>
        <v>201109</v>
      </c>
      <c r="L1614" s="7" t="n">
        <f aca="false">IF(AND(A1614&lt;&gt;A1613,LEFT(A1614,1)&lt;&gt;"C"),1,0)</f>
        <v>0</v>
      </c>
    </row>
    <row r="1615" customFormat="false" ht="15" hidden="false" customHeight="false" outlineLevel="0" collapsed="false">
      <c r="A1615" s="0" t="s">
        <v>1510</v>
      </c>
      <c r="B1615" s="0" t="s">
        <v>1000</v>
      </c>
      <c r="C1615" s="0" t="s">
        <v>1001</v>
      </c>
      <c r="D1615" s="0" t="n">
        <v>-1</v>
      </c>
      <c r="E1615" s="6" t="n">
        <v>40814.4145833333</v>
      </c>
      <c r="F1615" s="0" t="n">
        <v>4.95</v>
      </c>
      <c r="G1615" s="0" t="n">
        <v>12566</v>
      </c>
      <c r="H1615" s="0" t="s">
        <v>33</v>
      </c>
      <c r="I1615" s="7" t="n">
        <f aca="false">IF(AND(LEFT(A1615,1)&lt;&gt;"C",D1615&gt;0,F1615&gt;0),1,0)</f>
        <v>0</v>
      </c>
      <c r="J1615" s="7" t="n">
        <f aca="false">IF(I1615=1,D1615*F1615,0)</f>
        <v>0</v>
      </c>
      <c r="K1615" s="7" t="n">
        <f aca="false">YEAR(E1615)*100+MONTH(E1615)</f>
        <v>201109</v>
      </c>
      <c r="L1615" s="7" t="n">
        <f aca="false">IF(AND(A1615&lt;&gt;A1614,LEFT(A1615,1)&lt;&gt;"C"),1,0)</f>
        <v>0</v>
      </c>
    </row>
    <row r="1616" customFormat="false" ht="15" hidden="false" customHeight="false" outlineLevel="0" collapsed="false">
      <c r="A1616" s="0" t="s">
        <v>1511</v>
      </c>
      <c r="B1616" s="0" t="s">
        <v>653</v>
      </c>
      <c r="C1616" s="0" t="s">
        <v>654</v>
      </c>
      <c r="D1616" s="0" t="n">
        <v>2</v>
      </c>
      <c r="E1616" s="6" t="n">
        <v>40814.4847222222</v>
      </c>
      <c r="F1616" s="0" t="n">
        <v>6.25</v>
      </c>
      <c r="G1616" s="0" t="n">
        <v>12656</v>
      </c>
      <c r="H1616" s="0" t="s">
        <v>43</v>
      </c>
      <c r="I1616" s="7" t="n">
        <f aca="false">IF(AND(LEFT(A1616,1)&lt;&gt;"C",D1616&gt;0,F1616&gt;0),1,0)</f>
        <v>1</v>
      </c>
      <c r="J1616" s="7" t="n">
        <f aca="false">IF(I1616=1,D1616*F1616,0)</f>
        <v>12.5</v>
      </c>
      <c r="K1616" s="7" t="n">
        <f aca="false">YEAR(E1616)*100+MONTH(E1616)</f>
        <v>201109</v>
      </c>
      <c r="L1616" s="7" t="n">
        <f aca="false">IF(AND(A1616&lt;&gt;A1615,LEFT(A1616,1)&lt;&gt;"C"),1,0)</f>
        <v>1</v>
      </c>
    </row>
    <row r="1617" customFormat="false" ht="15" hidden="false" customHeight="false" outlineLevel="0" collapsed="false">
      <c r="A1617" s="0" t="s">
        <v>1511</v>
      </c>
      <c r="B1617" s="0" t="s">
        <v>1085</v>
      </c>
      <c r="C1617" s="0" t="s">
        <v>1086</v>
      </c>
      <c r="D1617" s="0" t="n">
        <v>10</v>
      </c>
      <c r="E1617" s="6" t="n">
        <v>40814.4847222222</v>
      </c>
      <c r="F1617" s="0" t="n">
        <v>1.65</v>
      </c>
      <c r="G1617" s="0" t="n">
        <v>12656</v>
      </c>
      <c r="H1617" s="0" t="s">
        <v>43</v>
      </c>
      <c r="I1617" s="7" t="n">
        <f aca="false">IF(AND(LEFT(A1617,1)&lt;&gt;"C",D1617&gt;0,F1617&gt;0),1,0)</f>
        <v>1</v>
      </c>
      <c r="J1617" s="7" t="n">
        <f aca="false">IF(I1617=1,D1617*F1617,0)</f>
        <v>16.5</v>
      </c>
      <c r="K1617" s="7" t="n">
        <f aca="false">YEAR(E1617)*100+MONTH(E1617)</f>
        <v>201109</v>
      </c>
      <c r="L1617" s="7" t="n">
        <f aca="false">IF(AND(A1617&lt;&gt;A1616,LEFT(A1617,1)&lt;&gt;"C"),1,0)</f>
        <v>0</v>
      </c>
    </row>
    <row r="1618" customFormat="false" ht="15" hidden="false" customHeight="false" outlineLevel="0" collapsed="false">
      <c r="A1618" s="0" t="s">
        <v>1511</v>
      </c>
      <c r="B1618" s="0" t="s">
        <v>569</v>
      </c>
      <c r="C1618" s="0" t="s">
        <v>570</v>
      </c>
      <c r="D1618" s="0" t="n">
        <v>10</v>
      </c>
      <c r="E1618" s="6" t="n">
        <v>40814.4847222222</v>
      </c>
      <c r="F1618" s="0" t="n">
        <v>2.08</v>
      </c>
      <c r="G1618" s="0" t="n">
        <v>12656</v>
      </c>
      <c r="H1618" s="0" t="s">
        <v>43</v>
      </c>
      <c r="I1618" s="7" t="n">
        <f aca="false">IF(AND(LEFT(A1618,1)&lt;&gt;"C",D1618&gt;0,F1618&gt;0),1,0)</f>
        <v>1</v>
      </c>
      <c r="J1618" s="7" t="n">
        <f aca="false">IF(I1618=1,D1618*F1618,0)</f>
        <v>20.8</v>
      </c>
      <c r="K1618" s="7" t="n">
        <f aca="false">YEAR(E1618)*100+MONTH(E1618)</f>
        <v>201109</v>
      </c>
      <c r="L1618" s="7" t="n">
        <f aca="false">IF(AND(A1618&lt;&gt;A1617,LEFT(A1618,1)&lt;&gt;"C"),1,0)</f>
        <v>0</v>
      </c>
    </row>
    <row r="1619" customFormat="false" ht="15" hidden="false" customHeight="false" outlineLevel="0" collapsed="false">
      <c r="A1619" s="0" t="s">
        <v>1511</v>
      </c>
      <c r="B1619" s="0" t="s">
        <v>623</v>
      </c>
      <c r="C1619" s="0" t="s">
        <v>624</v>
      </c>
      <c r="D1619" s="0" t="n">
        <v>10</v>
      </c>
      <c r="E1619" s="6" t="n">
        <v>40814.4847222222</v>
      </c>
      <c r="F1619" s="0" t="n">
        <v>2.08</v>
      </c>
      <c r="G1619" s="0" t="n">
        <v>12656</v>
      </c>
      <c r="H1619" s="0" t="s">
        <v>43</v>
      </c>
      <c r="I1619" s="7" t="n">
        <f aca="false">IF(AND(LEFT(A1619,1)&lt;&gt;"C",D1619&gt;0,F1619&gt;0),1,0)</f>
        <v>1</v>
      </c>
      <c r="J1619" s="7" t="n">
        <f aca="false">IF(I1619=1,D1619*F1619,0)</f>
        <v>20.8</v>
      </c>
      <c r="K1619" s="7" t="n">
        <f aca="false">YEAR(E1619)*100+MONTH(E1619)</f>
        <v>201109</v>
      </c>
      <c r="L1619" s="7" t="n">
        <f aca="false">IF(AND(A1619&lt;&gt;A1618,LEFT(A1619,1)&lt;&gt;"C"),1,0)</f>
        <v>0</v>
      </c>
    </row>
    <row r="1620" customFormat="false" ht="15" hidden="false" customHeight="false" outlineLevel="0" collapsed="false">
      <c r="A1620" s="0" t="s">
        <v>1511</v>
      </c>
      <c r="B1620" s="0" t="s">
        <v>563</v>
      </c>
      <c r="C1620" s="0" t="s">
        <v>564</v>
      </c>
      <c r="D1620" s="0" t="n">
        <v>10</v>
      </c>
      <c r="E1620" s="6" t="n">
        <v>40814.4847222222</v>
      </c>
      <c r="F1620" s="0" t="n">
        <v>2.08</v>
      </c>
      <c r="G1620" s="0" t="n">
        <v>12656</v>
      </c>
      <c r="H1620" s="0" t="s">
        <v>43</v>
      </c>
      <c r="I1620" s="7" t="n">
        <f aca="false">IF(AND(LEFT(A1620,1)&lt;&gt;"C",D1620&gt;0,F1620&gt;0),1,0)</f>
        <v>1</v>
      </c>
      <c r="J1620" s="7" t="n">
        <f aca="false">IF(I1620=1,D1620*F1620,0)</f>
        <v>20.8</v>
      </c>
      <c r="K1620" s="7" t="n">
        <f aca="false">YEAR(E1620)*100+MONTH(E1620)</f>
        <v>201109</v>
      </c>
      <c r="L1620" s="7" t="n">
        <f aca="false">IF(AND(A1620&lt;&gt;A1619,LEFT(A1620,1)&lt;&gt;"C"),1,0)</f>
        <v>0</v>
      </c>
    </row>
    <row r="1621" customFormat="false" ht="15" hidden="false" customHeight="false" outlineLevel="0" collapsed="false">
      <c r="A1621" s="0" t="s">
        <v>1511</v>
      </c>
      <c r="B1621" s="0" t="s">
        <v>645</v>
      </c>
      <c r="C1621" s="0" t="s">
        <v>646</v>
      </c>
      <c r="D1621" s="0" t="n">
        <v>10</v>
      </c>
      <c r="E1621" s="6" t="n">
        <v>40814.4847222222</v>
      </c>
      <c r="F1621" s="0" t="n">
        <v>2.08</v>
      </c>
      <c r="G1621" s="0" t="n">
        <v>12656</v>
      </c>
      <c r="H1621" s="0" t="s">
        <v>43</v>
      </c>
      <c r="I1621" s="7" t="n">
        <f aca="false">IF(AND(LEFT(A1621,1)&lt;&gt;"C",D1621&gt;0,F1621&gt;0),1,0)</f>
        <v>1</v>
      </c>
      <c r="J1621" s="7" t="n">
        <f aca="false">IF(I1621=1,D1621*F1621,0)</f>
        <v>20.8</v>
      </c>
      <c r="K1621" s="7" t="n">
        <f aca="false">YEAR(E1621)*100+MONTH(E1621)</f>
        <v>201109</v>
      </c>
      <c r="L1621" s="7" t="n">
        <f aca="false">IF(AND(A1621&lt;&gt;A1620,LEFT(A1621,1)&lt;&gt;"C"),1,0)</f>
        <v>0</v>
      </c>
    </row>
    <row r="1622" customFormat="false" ht="15" hidden="false" customHeight="false" outlineLevel="0" collapsed="false">
      <c r="A1622" s="0" t="s">
        <v>1511</v>
      </c>
      <c r="B1622" s="0" t="s">
        <v>517</v>
      </c>
      <c r="C1622" s="0" t="s">
        <v>518</v>
      </c>
      <c r="D1622" s="0" t="n">
        <v>10</v>
      </c>
      <c r="E1622" s="6" t="n">
        <v>40814.4847222222</v>
      </c>
      <c r="F1622" s="0" t="n">
        <v>2.08</v>
      </c>
      <c r="G1622" s="0" t="n">
        <v>12656</v>
      </c>
      <c r="H1622" s="0" t="s">
        <v>43</v>
      </c>
      <c r="I1622" s="7" t="n">
        <f aca="false">IF(AND(LEFT(A1622,1)&lt;&gt;"C",D1622&gt;0,F1622&gt;0),1,0)</f>
        <v>1</v>
      </c>
      <c r="J1622" s="7" t="n">
        <f aca="false">IF(I1622=1,D1622*F1622,0)</f>
        <v>20.8</v>
      </c>
      <c r="K1622" s="7" t="n">
        <f aca="false">YEAR(E1622)*100+MONTH(E1622)</f>
        <v>201109</v>
      </c>
      <c r="L1622" s="7" t="n">
        <f aca="false">IF(AND(A1622&lt;&gt;A1621,LEFT(A1622,1)&lt;&gt;"C"),1,0)</f>
        <v>0</v>
      </c>
    </row>
    <row r="1623" customFormat="false" ht="15" hidden="false" customHeight="false" outlineLevel="0" collapsed="false">
      <c r="A1623" s="0" t="s">
        <v>1511</v>
      </c>
      <c r="B1623" s="0" t="s">
        <v>1386</v>
      </c>
      <c r="C1623" s="0" t="s">
        <v>1387</v>
      </c>
      <c r="D1623" s="0" t="n">
        <v>10</v>
      </c>
      <c r="E1623" s="6" t="n">
        <v>40814.4847222222</v>
      </c>
      <c r="F1623" s="0" t="n">
        <v>2.08</v>
      </c>
      <c r="G1623" s="0" t="n">
        <v>12656</v>
      </c>
      <c r="H1623" s="0" t="s">
        <v>43</v>
      </c>
      <c r="I1623" s="7" t="n">
        <f aca="false">IF(AND(LEFT(A1623,1)&lt;&gt;"C",D1623&gt;0,F1623&gt;0),1,0)</f>
        <v>1</v>
      </c>
      <c r="J1623" s="7" t="n">
        <f aca="false">IF(I1623=1,D1623*F1623,0)</f>
        <v>20.8</v>
      </c>
      <c r="K1623" s="7" t="n">
        <f aca="false">YEAR(E1623)*100+MONTH(E1623)</f>
        <v>201109</v>
      </c>
      <c r="L1623" s="7" t="n">
        <f aca="false">IF(AND(A1623&lt;&gt;A1622,LEFT(A1623,1)&lt;&gt;"C"),1,0)</f>
        <v>0</v>
      </c>
    </row>
    <row r="1624" customFormat="false" ht="15" hidden="false" customHeight="false" outlineLevel="0" collapsed="false">
      <c r="A1624" s="0" t="s">
        <v>1511</v>
      </c>
      <c r="B1624" s="0" t="s">
        <v>760</v>
      </c>
      <c r="C1624" s="0" t="s">
        <v>761</v>
      </c>
      <c r="D1624" s="0" t="n">
        <v>6</v>
      </c>
      <c r="E1624" s="6" t="n">
        <v>40814.4847222222</v>
      </c>
      <c r="F1624" s="0" t="n">
        <v>4.25</v>
      </c>
      <c r="G1624" s="0" t="n">
        <v>12656</v>
      </c>
      <c r="H1624" s="0" t="s">
        <v>43</v>
      </c>
      <c r="I1624" s="7" t="n">
        <f aca="false">IF(AND(LEFT(A1624,1)&lt;&gt;"C",D1624&gt;0,F1624&gt;0),1,0)</f>
        <v>1</v>
      </c>
      <c r="J1624" s="7" t="n">
        <f aca="false">IF(I1624=1,D1624*F1624,0)</f>
        <v>25.5</v>
      </c>
      <c r="K1624" s="7" t="n">
        <f aca="false">YEAR(E1624)*100+MONTH(E1624)</f>
        <v>201109</v>
      </c>
      <c r="L1624" s="7" t="n">
        <f aca="false">IF(AND(A1624&lt;&gt;A1623,LEFT(A1624,1)&lt;&gt;"C"),1,0)</f>
        <v>0</v>
      </c>
    </row>
    <row r="1625" customFormat="false" ht="15" hidden="false" customHeight="false" outlineLevel="0" collapsed="false">
      <c r="A1625" s="0" t="s">
        <v>1511</v>
      </c>
      <c r="B1625" s="0" t="s">
        <v>318</v>
      </c>
      <c r="C1625" s="0" t="s">
        <v>319</v>
      </c>
      <c r="D1625" s="0" t="n">
        <v>4</v>
      </c>
      <c r="E1625" s="6" t="n">
        <v>40814.4847222222</v>
      </c>
      <c r="F1625" s="0" t="n">
        <v>3.75</v>
      </c>
      <c r="G1625" s="0" t="n">
        <v>12656</v>
      </c>
      <c r="H1625" s="0" t="s">
        <v>43</v>
      </c>
      <c r="I1625" s="7" t="n">
        <f aca="false">IF(AND(LEFT(A1625,1)&lt;&gt;"C",D1625&gt;0,F1625&gt;0),1,0)</f>
        <v>1</v>
      </c>
      <c r="J1625" s="7" t="n">
        <f aca="false">IF(I1625=1,D1625*F1625,0)</f>
        <v>15</v>
      </c>
      <c r="K1625" s="7" t="n">
        <f aca="false">YEAR(E1625)*100+MONTH(E1625)</f>
        <v>201109</v>
      </c>
      <c r="L1625" s="7" t="n">
        <f aca="false">IF(AND(A1625&lt;&gt;A1624,LEFT(A1625,1)&lt;&gt;"C"),1,0)</f>
        <v>0</v>
      </c>
    </row>
    <row r="1626" customFormat="false" ht="15" hidden="false" customHeight="false" outlineLevel="0" collapsed="false">
      <c r="A1626" s="0" t="s">
        <v>1511</v>
      </c>
      <c r="B1626" s="0" t="s">
        <v>299</v>
      </c>
      <c r="C1626" s="0" t="s">
        <v>300</v>
      </c>
      <c r="D1626" s="0" t="n">
        <v>4</v>
      </c>
      <c r="E1626" s="6" t="n">
        <v>40814.4847222222</v>
      </c>
      <c r="F1626" s="0" t="n">
        <v>3.75</v>
      </c>
      <c r="G1626" s="0" t="n">
        <v>12656</v>
      </c>
      <c r="H1626" s="0" t="s">
        <v>43</v>
      </c>
      <c r="I1626" s="7" t="n">
        <f aca="false">IF(AND(LEFT(A1626,1)&lt;&gt;"C",D1626&gt;0,F1626&gt;0),1,0)</f>
        <v>1</v>
      </c>
      <c r="J1626" s="7" t="n">
        <f aca="false">IF(I1626=1,D1626*F1626,0)</f>
        <v>15</v>
      </c>
      <c r="K1626" s="7" t="n">
        <f aca="false">YEAR(E1626)*100+MONTH(E1626)</f>
        <v>201109</v>
      </c>
      <c r="L1626" s="7" t="n">
        <f aca="false">IF(AND(A1626&lt;&gt;A1625,LEFT(A1626,1)&lt;&gt;"C"),1,0)</f>
        <v>0</v>
      </c>
    </row>
    <row r="1627" customFormat="false" ht="15" hidden="false" customHeight="false" outlineLevel="0" collapsed="false">
      <c r="A1627" s="0" t="s">
        <v>1511</v>
      </c>
      <c r="B1627" s="0" t="s">
        <v>557</v>
      </c>
      <c r="C1627" s="0" t="s">
        <v>558</v>
      </c>
      <c r="D1627" s="0" t="n">
        <v>12</v>
      </c>
      <c r="E1627" s="6" t="n">
        <v>40814.4847222222</v>
      </c>
      <c r="F1627" s="0" t="n">
        <v>1.95</v>
      </c>
      <c r="G1627" s="0" t="n">
        <v>12656</v>
      </c>
      <c r="H1627" s="0" t="s">
        <v>43</v>
      </c>
      <c r="I1627" s="7" t="n">
        <f aca="false">IF(AND(LEFT(A1627,1)&lt;&gt;"C",D1627&gt;0,F1627&gt;0),1,0)</f>
        <v>1</v>
      </c>
      <c r="J1627" s="7" t="n">
        <f aca="false">IF(I1627=1,D1627*F1627,0)</f>
        <v>23.4</v>
      </c>
      <c r="K1627" s="7" t="n">
        <f aca="false">YEAR(E1627)*100+MONTH(E1627)</f>
        <v>201109</v>
      </c>
      <c r="L1627" s="7" t="n">
        <f aca="false">IF(AND(A1627&lt;&gt;A1626,LEFT(A1627,1)&lt;&gt;"C"),1,0)</f>
        <v>0</v>
      </c>
    </row>
    <row r="1628" customFormat="false" ht="15" hidden="false" customHeight="false" outlineLevel="0" collapsed="false">
      <c r="A1628" s="0" t="s">
        <v>1511</v>
      </c>
      <c r="B1628" s="0" t="s">
        <v>333</v>
      </c>
      <c r="C1628" s="0" t="s">
        <v>334</v>
      </c>
      <c r="D1628" s="0" t="n">
        <v>12</v>
      </c>
      <c r="E1628" s="6" t="n">
        <v>40814.4847222222</v>
      </c>
      <c r="F1628" s="0" t="n">
        <v>1.65</v>
      </c>
      <c r="G1628" s="0" t="n">
        <v>12656</v>
      </c>
      <c r="H1628" s="0" t="s">
        <v>43</v>
      </c>
      <c r="I1628" s="7" t="n">
        <f aca="false">IF(AND(LEFT(A1628,1)&lt;&gt;"C",D1628&gt;0,F1628&gt;0),1,0)</f>
        <v>1</v>
      </c>
      <c r="J1628" s="7" t="n">
        <f aca="false">IF(I1628=1,D1628*F1628,0)</f>
        <v>19.8</v>
      </c>
      <c r="K1628" s="7" t="n">
        <f aca="false">YEAR(E1628)*100+MONTH(E1628)</f>
        <v>201109</v>
      </c>
      <c r="L1628" s="7" t="n">
        <f aca="false">IF(AND(A1628&lt;&gt;A1627,LEFT(A1628,1)&lt;&gt;"C"),1,0)</f>
        <v>0</v>
      </c>
    </row>
    <row r="1629" customFormat="false" ht="15" hidden="false" customHeight="false" outlineLevel="0" collapsed="false">
      <c r="A1629" s="0" t="s">
        <v>1511</v>
      </c>
      <c r="B1629" s="0" t="s">
        <v>295</v>
      </c>
      <c r="C1629" s="0" t="s">
        <v>296</v>
      </c>
      <c r="D1629" s="0" t="n">
        <v>4</v>
      </c>
      <c r="E1629" s="6" t="n">
        <v>40814.4847222222</v>
      </c>
      <c r="F1629" s="0" t="n">
        <v>3.75</v>
      </c>
      <c r="G1629" s="0" t="n">
        <v>12656</v>
      </c>
      <c r="H1629" s="0" t="s">
        <v>43</v>
      </c>
      <c r="I1629" s="7" t="n">
        <f aca="false">IF(AND(LEFT(A1629,1)&lt;&gt;"C",D1629&gt;0,F1629&gt;0),1,0)</f>
        <v>1</v>
      </c>
      <c r="J1629" s="7" t="n">
        <f aca="false">IF(I1629=1,D1629*F1629,0)</f>
        <v>15</v>
      </c>
      <c r="K1629" s="7" t="n">
        <f aca="false">YEAR(E1629)*100+MONTH(E1629)</f>
        <v>201109</v>
      </c>
      <c r="L1629" s="7" t="n">
        <f aca="false">IF(AND(A1629&lt;&gt;A1628,LEFT(A1629,1)&lt;&gt;"C"),1,0)</f>
        <v>0</v>
      </c>
    </row>
    <row r="1630" customFormat="false" ht="15" hidden="false" customHeight="false" outlineLevel="0" collapsed="false">
      <c r="A1630" s="0" t="s">
        <v>1511</v>
      </c>
      <c r="B1630" s="0" t="s">
        <v>1436</v>
      </c>
      <c r="C1630" s="0" t="s">
        <v>1437</v>
      </c>
      <c r="D1630" s="0" t="n">
        <v>3</v>
      </c>
      <c r="E1630" s="6" t="n">
        <v>40814.4847222222</v>
      </c>
      <c r="F1630" s="0" t="n">
        <v>4.95</v>
      </c>
      <c r="G1630" s="0" t="n">
        <v>12656</v>
      </c>
      <c r="H1630" s="0" t="s">
        <v>43</v>
      </c>
      <c r="I1630" s="7" t="n">
        <f aca="false">IF(AND(LEFT(A1630,1)&lt;&gt;"C",D1630&gt;0,F1630&gt;0),1,0)</f>
        <v>1</v>
      </c>
      <c r="J1630" s="7" t="n">
        <f aca="false">IF(I1630=1,D1630*F1630,0)</f>
        <v>14.85</v>
      </c>
      <c r="K1630" s="7" t="n">
        <f aca="false">YEAR(E1630)*100+MONTH(E1630)</f>
        <v>201109</v>
      </c>
      <c r="L1630" s="7" t="n">
        <f aca="false">IF(AND(A1630&lt;&gt;A1629,LEFT(A1630,1)&lt;&gt;"C"),1,0)</f>
        <v>0</v>
      </c>
    </row>
    <row r="1631" customFormat="false" ht="15" hidden="false" customHeight="false" outlineLevel="0" collapsed="false">
      <c r="A1631" s="0" t="s">
        <v>1511</v>
      </c>
      <c r="B1631" s="0" t="s">
        <v>320</v>
      </c>
      <c r="C1631" s="0" t="s">
        <v>321</v>
      </c>
      <c r="D1631" s="0" t="n">
        <v>4</v>
      </c>
      <c r="E1631" s="6" t="n">
        <v>40814.4847222222</v>
      </c>
      <c r="F1631" s="0" t="n">
        <v>3.75</v>
      </c>
      <c r="G1631" s="0" t="n">
        <v>12656</v>
      </c>
      <c r="H1631" s="0" t="s">
        <v>43</v>
      </c>
      <c r="I1631" s="7" t="n">
        <f aca="false">IF(AND(LEFT(A1631,1)&lt;&gt;"C",D1631&gt;0,F1631&gt;0),1,0)</f>
        <v>1</v>
      </c>
      <c r="J1631" s="7" t="n">
        <f aca="false">IF(I1631=1,D1631*F1631,0)</f>
        <v>15</v>
      </c>
      <c r="K1631" s="7" t="n">
        <f aca="false">YEAR(E1631)*100+MONTH(E1631)</f>
        <v>201109</v>
      </c>
      <c r="L1631" s="7" t="n">
        <f aca="false">IF(AND(A1631&lt;&gt;A1630,LEFT(A1631,1)&lt;&gt;"C"),1,0)</f>
        <v>0</v>
      </c>
    </row>
    <row r="1632" customFormat="false" ht="15" hidden="false" customHeight="false" outlineLevel="0" collapsed="false">
      <c r="A1632" s="0" t="s">
        <v>1511</v>
      </c>
      <c r="B1632" s="0" t="s">
        <v>74</v>
      </c>
      <c r="C1632" s="0" t="s">
        <v>75</v>
      </c>
      <c r="D1632" s="0" t="n">
        <v>24</v>
      </c>
      <c r="E1632" s="6" t="n">
        <v>40814.4847222222</v>
      </c>
      <c r="F1632" s="0" t="n">
        <v>1.95</v>
      </c>
      <c r="G1632" s="0" t="n">
        <v>12656</v>
      </c>
      <c r="H1632" s="0" t="s">
        <v>43</v>
      </c>
      <c r="I1632" s="7" t="n">
        <f aca="false">IF(AND(LEFT(A1632,1)&lt;&gt;"C",D1632&gt;0,F1632&gt;0),1,0)</f>
        <v>1</v>
      </c>
      <c r="J1632" s="7" t="n">
        <f aca="false">IF(I1632=1,D1632*F1632,0)</f>
        <v>46.8</v>
      </c>
      <c r="K1632" s="7" t="n">
        <f aca="false">YEAR(E1632)*100+MONTH(E1632)</f>
        <v>201109</v>
      </c>
      <c r="L1632" s="7" t="n">
        <f aca="false">IF(AND(A1632&lt;&gt;A1631,LEFT(A1632,1)&lt;&gt;"C"),1,0)</f>
        <v>0</v>
      </c>
    </row>
    <row r="1633" customFormat="false" ht="15" hidden="false" customHeight="false" outlineLevel="0" collapsed="false">
      <c r="A1633" s="0" t="s">
        <v>1511</v>
      </c>
      <c r="B1633" s="0" t="s">
        <v>335</v>
      </c>
      <c r="C1633" s="0" t="s">
        <v>336</v>
      </c>
      <c r="D1633" s="0" t="n">
        <v>12</v>
      </c>
      <c r="E1633" s="6" t="n">
        <v>40814.4847222222</v>
      </c>
      <c r="F1633" s="0" t="n">
        <v>1.65</v>
      </c>
      <c r="G1633" s="0" t="n">
        <v>12656</v>
      </c>
      <c r="H1633" s="0" t="s">
        <v>43</v>
      </c>
      <c r="I1633" s="7" t="n">
        <f aca="false">IF(AND(LEFT(A1633,1)&lt;&gt;"C",D1633&gt;0,F1633&gt;0),1,0)</f>
        <v>1</v>
      </c>
      <c r="J1633" s="7" t="n">
        <f aca="false">IF(I1633=1,D1633*F1633,0)</f>
        <v>19.8</v>
      </c>
      <c r="K1633" s="7" t="n">
        <f aca="false">YEAR(E1633)*100+MONTH(E1633)</f>
        <v>201109</v>
      </c>
      <c r="L1633" s="7" t="n">
        <f aca="false">IF(AND(A1633&lt;&gt;A1632,LEFT(A1633,1)&lt;&gt;"C"),1,0)</f>
        <v>0</v>
      </c>
    </row>
    <row r="1634" customFormat="false" ht="15" hidden="false" customHeight="false" outlineLevel="0" collapsed="false">
      <c r="A1634" s="0" t="s">
        <v>1511</v>
      </c>
      <c r="B1634" s="0" t="s">
        <v>1044</v>
      </c>
      <c r="C1634" s="0" t="s">
        <v>1045</v>
      </c>
      <c r="D1634" s="0" t="n">
        <v>4</v>
      </c>
      <c r="E1634" s="6" t="n">
        <v>40814.4847222222</v>
      </c>
      <c r="F1634" s="0" t="n">
        <v>4.15</v>
      </c>
      <c r="G1634" s="0" t="n">
        <v>12656</v>
      </c>
      <c r="H1634" s="0" t="s">
        <v>43</v>
      </c>
      <c r="I1634" s="7" t="n">
        <f aca="false">IF(AND(LEFT(A1634,1)&lt;&gt;"C",D1634&gt;0,F1634&gt;0),1,0)</f>
        <v>1</v>
      </c>
      <c r="J1634" s="7" t="n">
        <f aca="false">IF(I1634=1,D1634*F1634,0)</f>
        <v>16.6</v>
      </c>
      <c r="K1634" s="7" t="n">
        <f aca="false">YEAR(E1634)*100+MONTH(E1634)</f>
        <v>201109</v>
      </c>
      <c r="L1634" s="7" t="n">
        <f aca="false">IF(AND(A1634&lt;&gt;A1633,LEFT(A1634,1)&lt;&gt;"C"),1,0)</f>
        <v>0</v>
      </c>
    </row>
    <row r="1635" customFormat="false" ht="15" hidden="false" customHeight="false" outlineLevel="0" collapsed="false">
      <c r="A1635" s="0" t="s">
        <v>1511</v>
      </c>
      <c r="B1635" s="0" t="s">
        <v>1048</v>
      </c>
      <c r="C1635" s="0" t="s">
        <v>1049</v>
      </c>
      <c r="D1635" s="0" t="n">
        <v>4</v>
      </c>
      <c r="E1635" s="6" t="n">
        <v>40814.4847222222</v>
      </c>
      <c r="F1635" s="0" t="n">
        <v>4.15</v>
      </c>
      <c r="G1635" s="0" t="n">
        <v>12656</v>
      </c>
      <c r="H1635" s="0" t="s">
        <v>43</v>
      </c>
      <c r="I1635" s="7" t="n">
        <f aca="false">IF(AND(LEFT(A1635,1)&lt;&gt;"C",D1635&gt;0,F1635&gt;0),1,0)</f>
        <v>1</v>
      </c>
      <c r="J1635" s="7" t="n">
        <f aca="false">IF(I1635=1,D1635*F1635,0)</f>
        <v>16.6</v>
      </c>
      <c r="K1635" s="7" t="n">
        <f aca="false">YEAR(E1635)*100+MONTH(E1635)</f>
        <v>201109</v>
      </c>
      <c r="L1635" s="7" t="n">
        <f aca="false">IF(AND(A1635&lt;&gt;A1634,LEFT(A1635,1)&lt;&gt;"C"),1,0)</f>
        <v>0</v>
      </c>
    </row>
    <row r="1636" customFormat="false" ht="15" hidden="false" customHeight="false" outlineLevel="0" collapsed="false">
      <c r="A1636" s="0" t="s">
        <v>1511</v>
      </c>
      <c r="B1636" s="0" t="s">
        <v>297</v>
      </c>
      <c r="C1636" s="0" t="s">
        <v>298</v>
      </c>
      <c r="D1636" s="0" t="n">
        <v>4</v>
      </c>
      <c r="E1636" s="6" t="n">
        <v>40814.4847222222</v>
      </c>
      <c r="F1636" s="0" t="n">
        <v>3.75</v>
      </c>
      <c r="G1636" s="0" t="n">
        <v>12656</v>
      </c>
      <c r="H1636" s="0" t="s">
        <v>43</v>
      </c>
      <c r="I1636" s="7" t="n">
        <f aca="false">IF(AND(LEFT(A1636,1)&lt;&gt;"C",D1636&gt;0,F1636&gt;0),1,0)</f>
        <v>1</v>
      </c>
      <c r="J1636" s="7" t="n">
        <f aca="false">IF(I1636=1,D1636*F1636,0)</f>
        <v>15</v>
      </c>
      <c r="K1636" s="7" t="n">
        <f aca="false">YEAR(E1636)*100+MONTH(E1636)</f>
        <v>201109</v>
      </c>
      <c r="L1636" s="7" t="n">
        <f aca="false">IF(AND(A1636&lt;&gt;A1635,LEFT(A1636,1)&lt;&gt;"C"),1,0)</f>
        <v>0</v>
      </c>
    </row>
    <row r="1637" customFormat="false" ht="15" hidden="false" customHeight="false" outlineLevel="0" collapsed="false">
      <c r="A1637" s="0" t="s">
        <v>1511</v>
      </c>
      <c r="B1637" s="0" t="s">
        <v>70</v>
      </c>
      <c r="C1637" s="0" t="s">
        <v>71</v>
      </c>
      <c r="D1637" s="0" t="n">
        <v>20</v>
      </c>
      <c r="E1637" s="6" t="n">
        <v>40814.4847222222</v>
      </c>
      <c r="F1637" s="0" t="n">
        <v>1.65</v>
      </c>
      <c r="G1637" s="0" t="n">
        <v>12656</v>
      </c>
      <c r="H1637" s="0" t="s">
        <v>43</v>
      </c>
      <c r="I1637" s="7" t="n">
        <f aca="false">IF(AND(LEFT(A1637,1)&lt;&gt;"C",D1637&gt;0,F1637&gt;0),1,0)</f>
        <v>1</v>
      </c>
      <c r="J1637" s="7" t="n">
        <f aca="false">IF(I1637=1,D1637*F1637,0)</f>
        <v>33</v>
      </c>
      <c r="K1637" s="7" t="n">
        <f aca="false">YEAR(E1637)*100+MONTH(E1637)</f>
        <v>201109</v>
      </c>
      <c r="L1637" s="7" t="n">
        <f aca="false">IF(AND(A1637&lt;&gt;A1636,LEFT(A1637,1)&lt;&gt;"C"),1,0)</f>
        <v>0</v>
      </c>
    </row>
    <row r="1638" customFormat="false" ht="15" hidden="false" customHeight="false" outlineLevel="0" collapsed="false">
      <c r="A1638" s="0" t="s">
        <v>1511</v>
      </c>
      <c r="B1638" s="0" t="s">
        <v>56</v>
      </c>
      <c r="C1638" s="0" t="s">
        <v>57</v>
      </c>
      <c r="D1638" s="0" t="n">
        <v>10</v>
      </c>
      <c r="E1638" s="6" t="n">
        <v>40814.4847222222</v>
      </c>
      <c r="F1638" s="0" t="n">
        <v>1.65</v>
      </c>
      <c r="G1638" s="0" t="n">
        <v>12656</v>
      </c>
      <c r="H1638" s="0" t="s">
        <v>43</v>
      </c>
      <c r="I1638" s="7" t="n">
        <f aca="false">IF(AND(LEFT(A1638,1)&lt;&gt;"C",D1638&gt;0,F1638&gt;0),1,0)</f>
        <v>1</v>
      </c>
      <c r="J1638" s="7" t="n">
        <f aca="false">IF(I1638=1,D1638*F1638,0)</f>
        <v>16.5</v>
      </c>
      <c r="K1638" s="7" t="n">
        <f aca="false">YEAR(E1638)*100+MONTH(E1638)</f>
        <v>201109</v>
      </c>
      <c r="L1638" s="7" t="n">
        <f aca="false">IF(AND(A1638&lt;&gt;A1637,LEFT(A1638,1)&lt;&gt;"C"),1,0)</f>
        <v>0</v>
      </c>
    </row>
    <row r="1639" customFormat="false" ht="15" hidden="false" customHeight="false" outlineLevel="0" collapsed="false">
      <c r="A1639" s="0" t="s">
        <v>1511</v>
      </c>
      <c r="B1639" s="0" t="s">
        <v>1042</v>
      </c>
      <c r="C1639" s="0" t="s">
        <v>1043</v>
      </c>
      <c r="D1639" s="0" t="n">
        <v>4</v>
      </c>
      <c r="E1639" s="6" t="n">
        <v>40814.4847222222</v>
      </c>
      <c r="F1639" s="0" t="n">
        <v>4.15</v>
      </c>
      <c r="G1639" s="0" t="n">
        <v>12656</v>
      </c>
      <c r="H1639" s="0" t="s">
        <v>43</v>
      </c>
      <c r="I1639" s="7" t="n">
        <f aca="false">IF(AND(LEFT(A1639,1)&lt;&gt;"C",D1639&gt;0,F1639&gt;0),1,0)</f>
        <v>1</v>
      </c>
      <c r="J1639" s="7" t="n">
        <f aca="false">IF(I1639=1,D1639*F1639,0)</f>
        <v>16.6</v>
      </c>
      <c r="K1639" s="7" t="n">
        <f aca="false">YEAR(E1639)*100+MONTH(E1639)</f>
        <v>201109</v>
      </c>
      <c r="L1639" s="7" t="n">
        <f aca="false">IF(AND(A1639&lt;&gt;A1638,LEFT(A1639,1)&lt;&gt;"C"),1,0)</f>
        <v>0</v>
      </c>
    </row>
    <row r="1640" customFormat="false" ht="15" hidden="false" customHeight="false" outlineLevel="0" collapsed="false">
      <c r="A1640" s="0" t="s">
        <v>1511</v>
      </c>
      <c r="B1640" s="0" t="s">
        <v>651</v>
      </c>
      <c r="C1640" s="0" t="s">
        <v>652</v>
      </c>
      <c r="D1640" s="0" t="n">
        <v>20</v>
      </c>
      <c r="E1640" s="6" t="n">
        <v>40814.4847222222</v>
      </c>
      <c r="F1640" s="0" t="n">
        <v>1.65</v>
      </c>
      <c r="G1640" s="0" t="n">
        <v>12656</v>
      </c>
      <c r="H1640" s="0" t="s">
        <v>43</v>
      </c>
      <c r="I1640" s="7" t="n">
        <f aca="false">IF(AND(LEFT(A1640,1)&lt;&gt;"C",D1640&gt;0,F1640&gt;0),1,0)</f>
        <v>1</v>
      </c>
      <c r="J1640" s="7" t="n">
        <f aca="false">IF(I1640=1,D1640*F1640,0)</f>
        <v>33</v>
      </c>
      <c r="K1640" s="7" t="n">
        <f aca="false">YEAR(E1640)*100+MONTH(E1640)</f>
        <v>201109</v>
      </c>
      <c r="L1640" s="7" t="n">
        <f aca="false">IF(AND(A1640&lt;&gt;A1639,LEFT(A1640,1)&lt;&gt;"C"),1,0)</f>
        <v>0</v>
      </c>
    </row>
    <row r="1641" customFormat="false" ht="15" hidden="false" customHeight="false" outlineLevel="0" collapsed="false">
      <c r="A1641" s="0" t="s">
        <v>1511</v>
      </c>
      <c r="B1641" s="0" t="s">
        <v>68</v>
      </c>
      <c r="C1641" s="0" t="s">
        <v>69</v>
      </c>
      <c r="D1641" s="0" t="n">
        <v>30</v>
      </c>
      <c r="E1641" s="6" t="n">
        <v>40814.4847222222</v>
      </c>
      <c r="F1641" s="0" t="n">
        <v>1.65</v>
      </c>
      <c r="G1641" s="0" t="n">
        <v>12656</v>
      </c>
      <c r="H1641" s="0" t="s">
        <v>43</v>
      </c>
      <c r="I1641" s="7" t="n">
        <f aca="false">IF(AND(LEFT(A1641,1)&lt;&gt;"C",D1641&gt;0,F1641&gt;0),1,0)</f>
        <v>1</v>
      </c>
      <c r="J1641" s="7" t="n">
        <f aca="false">IF(I1641=1,D1641*F1641,0)</f>
        <v>49.5</v>
      </c>
      <c r="K1641" s="7" t="n">
        <f aca="false">YEAR(E1641)*100+MONTH(E1641)</f>
        <v>201109</v>
      </c>
      <c r="L1641" s="7" t="n">
        <f aca="false">IF(AND(A1641&lt;&gt;A1640,LEFT(A1641,1)&lt;&gt;"C"),1,0)</f>
        <v>0</v>
      </c>
    </row>
    <row r="1642" customFormat="false" ht="15" hidden="false" customHeight="false" outlineLevel="0" collapsed="false">
      <c r="A1642" s="0" t="s">
        <v>1511</v>
      </c>
      <c r="B1642" s="0" t="s">
        <v>78</v>
      </c>
      <c r="C1642" s="0" t="s">
        <v>79</v>
      </c>
      <c r="D1642" s="0" t="n">
        <v>10</v>
      </c>
      <c r="E1642" s="6" t="n">
        <v>40814.4847222222</v>
      </c>
      <c r="F1642" s="0" t="n">
        <v>1.65</v>
      </c>
      <c r="G1642" s="0" t="n">
        <v>12656</v>
      </c>
      <c r="H1642" s="0" t="s">
        <v>43</v>
      </c>
      <c r="I1642" s="7" t="n">
        <f aca="false">IF(AND(LEFT(A1642,1)&lt;&gt;"C",D1642&gt;0,F1642&gt;0),1,0)</f>
        <v>1</v>
      </c>
      <c r="J1642" s="7" t="n">
        <f aca="false">IF(I1642=1,D1642*F1642,0)</f>
        <v>16.5</v>
      </c>
      <c r="K1642" s="7" t="n">
        <f aca="false">YEAR(E1642)*100+MONTH(E1642)</f>
        <v>201109</v>
      </c>
      <c r="L1642" s="7" t="n">
        <f aca="false">IF(AND(A1642&lt;&gt;A1641,LEFT(A1642,1)&lt;&gt;"C"),1,0)</f>
        <v>0</v>
      </c>
    </row>
    <row r="1643" customFormat="false" ht="15" hidden="false" customHeight="false" outlineLevel="0" collapsed="false">
      <c r="A1643" s="0" t="s">
        <v>1511</v>
      </c>
      <c r="B1643" s="0" t="s">
        <v>1512</v>
      </c>
      <c r="C1643" s="0" t="s">
        <v>1513</v>
      </c>
      <c r="D1643" s="0" t="n">
        <v>2</v>
      </c>
      <c r="E1643" s="6" t="n">
        <v>40814.4847222222</v>
      </c>
      <c r="F1643" s="0" t="n">
        <v>6.75</v>
      </c>
      <c r="G1643" s="0" t="n">
        <v>12656</v>
      </c>
      <c r="H1643" s="0" t="s">
        <v>43</v>
      </c>
      <c r="I1643" s="7" t="n">
        <f aca="false">IF(AND(LEFT(A1643,1)&lt;&gt;"C",D1643&gt;0,F1643&gt;0),1,0)</f>
        <v>1</v>
      </c>
      <c r="J1643" s="7" t="n">
        <f aca="false">IF(I1643=1,D1643*F1643,0)</f>
        <v>13.5</v>
      </c>
      <c r="K1643" s="7" t="n">
        <f aca="false">YEAR(E1643)*100+MONTH(E1643)</f>
        <v>201109</v>
      </c>
      <c r="L1643" s="7" t="n">
        <f aca="false">IF(AND(A1643&lt;&gt;A1642,LEFT(A1643,1)&lt;&gt;"C"),1,0)</f>
        <v>0</v>
      </c>
    </row>
    <row r="1644" customFormat="false" ht="15" hidden="false" customHeight="false" outlineLevel="0" collapsed="false">
      <c r="A1644" s="0" t="s">
        <v>1511</v>
      </c>
      <c r="B1644" s="0" t="s">
        <v>84</v>
      </c>
      <c r="C1644" s="0" t="s">
        <v>85</v>
      </c>
      <c r="D1644" s="0" t="n">
        <v>3</v>
      </c>
      <c r="E1644" s="6" t="n">
        <v>40814.4847222222</v>
      </c>
      <c r="F1644" s="0" t="n">
        <v>18</v>
      </c>
      <c r="G1644" s="0" t="n">
        <v>12656</v>
      </c>
      <c r="H1644" s="0" t="s">
        <v>43</v>
      </c>
      <c r="I1644" s="7" t="n">
        <f aca="false">IF(AND(LEFT(A1644,1)&lt;&gt;"C",D1644&gt;0,F1644&gt;0),1,0)</f>
        <v>1</v>
      </c>
      <c r="J1644" s="7" t="n">
        <f aca="false">IF(I1644=1,D1644*F1644,0)</f>
        <v>54</v>
      </c>
      <c r="K1644" s="7" t="n">
        <f aca="false">YEAR(E1644)*100+MONTH(E1644)</f>
        <v>201109</v>
      </c>
      <c r="L1644" s="7" t="n">
        <f aca="false">IF(AND(A1644&lt;&gt;A1643,LEFT(A1644,1)&lt;&gt;"C"),1,0)</f>
        <v>0</v>
      </c>
    </row>
    <row r="1645" customFormat="false" ht="15" hidden="false" customHeight="false" outlineLevel="0" collapsed="false">
      <c r="A1645" s="0" t="s">
        <v>1514</v>
      </c>
      <c r="B1645" s="0" t="s">
        <v>1515</v>
      </c>
      <c r="C1645" s="0" t="s">
        <v>1516</v>
      </c>
      <c r="D1645" s="0" t="n">
        <v>3</v>
      </c>
      <c r="E1645" s="6" t="n">
        <v>40814.5625</v>
      </c>
      <c r="F1645" s="0" t="n">
        <v>6.95</v>
      </c>
      <c r="G1645" s="0" t="n">
        <v>12708</v>
      </c>
      <c r="H1645" s="0" t="s">
        <v>33</v>
      </c>
      <c r="I1645" s="7" t="n">
        <f aca="false">IF(AND(LEFT(A1645,1)&lt;&gt;"C",D1645&gt;0,F1645&gt;0),1,0)</f>
        <v>1</v>
      </c>
      <c r="J1645" s="7" t="n">
        <f aca="false">IF(I1645=1,D1645*F1645,0)</f>
        <v>20.85</v>
      </c>
      <c r="K1645" s="7" t="n">
        <f aca="false">YEAR(E1645)*100+MONTH(E1645)</f>
        <v>201109</v>
      </c>
      <c r="L1645" s="7" t="n">
        <f aca="false">IF(AND(A1645&lt;&gt;A1644,LEFT(A1645,1)&lt;&gt;"C"),1,0)</f>
        <v>1</v>
      </c>
    </row>
    <row r="1646" customFormat="false" ht="15" hidden="false" customHeight="false" outlineLevel="0" collapsed="false">
      <c r="A1646" s="0" t="s">
        <v>1514</v>
      </c>
      <c r="B1646" s="0" t="s">
        <v>1517</v>
      </c>
      <c r="C1646" s="0" t="s">
        <v>1518</v>
      </c>
      <c r="D1646" s="0" t="n">
        <v>12</v>
      </c>
      <c r="E1646" s="6" t="n">
        <v>40814.5625</v>
      </c>
      <c r="F1646" s="0" t="n">
        <v>2.08</v>
      </c>
      <c r="G1646" s="0" t="n">
        <v>12708</v>
      </c>
      <c r="H1646" s="0" t="s">
        <v>33</v>
      </c>
      <c r="I1646" s="7" t="n">
        <f aca="false">IF(AND(LEFT(A1646,1)&lt;&gt;"C",D1646&gt;0,F1646&gt;0),1,0)</f>
        <v>1</v>
      </c>
      <c r="J1646" s="7" t="n">
        <f aca="false">IF(I1646=1,D1646*F1646,0)</f>
        <v>24.96</v>
      </c>
      <c r="K1646" s="7" t="n">
        <f aca="false">YEAR(E1646)*100+MONTH(E1646)</f>
        <v>201109</v>
      </c>
      <c r="L1646" s="7" t="n">
        <f aca="false">IF(AND(A1646&lt;&gt;A1645,LEFT(A1646,1)&lt;&gt;"C"),1,0)</f>
        <v>0</v>
      </c>
    </row>
    <row r="1647" customFormat="false" ht="15" hidden="false" customHeight="false" outlineLevel="0" collapsed="false">
      <c r="A1647" s="0" t="s">
        <v>1514</v>
      </c>
      <c r="B1647" s="0" t="s">
        <v>1519</v>
      </c>
      <c r="C1647" s="0" t="s">
        <v>1520</v>
      </c>
      <c r="D1647" s="0" t="n">
        <v>12</v>
      </c>
      <c r="E1647" s="6" t="n">
        <v>40814.5625</v>
      </c>
      <c r="F1647" s="0" t="n">
        <v>0.83</v>
      </c>
      <c r="G1647" s="0" t="n">
        <v>12708</v>
      </c>
      <c r="H1647" s="0" t="s">
        <v>33</v>
      </c>
      <c r="I1647" s="7" t="n">
        <f aca="false">IF(AND(LEFT(A1647,1)&lt;&gt;"C",D1647&gt;0,F1647&gt;0),1,0)</f>
        <v>1</v>
      </c>
      <c r="J1647" s="7" t="n">
        <f aca="false">IF(I1647=1,D1647*F1647,0)</f>
        <v>9.96</v>
      </c>
      <c r="K1647" s="7" t="n">
        <f aca="false">YEAR(E1647)*100+MONTH(E1647)</f>
        <v>201109</v>
      </c>
      <c r="L1647" s="7" t="n">
        <f aca="false">IF(AND(A1647&lt;&gt;A1646,LEFT(A1647,1)&lt;&gt;"C"),1,0)</f>
        <v>0</v>
      </c>
    </row>
    <row r="1648" customFormat="false" ht="15" hidden="false" customHeight="false" outlineLevel="0" collapsed="false">
      <c r="A1648" s="0" t="s">
        <v>1514</v>
      </c>
      <c r="B1648" s="0" t="s">
        <v>38</v>
      </c>
      <c r="C1648" s="0" t="s">
        <v>39</v>
      </c>
      <c r="D1648" s="0" t="n">
        <v>6</v>
      </c>
      <c r="E1648" s="6" t="n">
        <v>40814.5625</v>
      </c>
      <c r="F1648" s="0" t="n">
        <v>2.1</v>
      </c>
      <c r="G1648" s="0" t="n">
        <v>12708</v>
      </c>
      <c r="H1648" s="0" t="s">
        <v>33</v>
      </c>
      <c r="I1648" s="7" t="n">
        <f aca="false">IF(AND(LEFT(A1648,1)&lt;&gt;"C",D1648&gt;0,F1648&gt;0),1,0)</f>
        <v>1</v>
      </c>
      <c r="J1648" s="7" t="n">
        <f aca="false">IF(I1648=1,D1648*F1648,0)</f>
        <v>12.6</v>
      </c>
      <c r="K1648" s="7" t="n">
        <f aca="false">YEAR(E1648)*100+MONTH(E1648)</f>
        <v>201109</v>
      </c>
      <c r="L1648" s="7" t="n">
        <f aca="false">IF(AND(A1648&lt;&gt;A1647,LEFT(A1648,1)&lt;&gt;"C"),1,0)</f>
        <v>0</v>
      </c>
    </row>
    <row r="1649" customFormat="false" ht="15" hidden="false" customHeight="false" outlineLevel="0" collapsed="false">
      <c r="A1649" s="0" t="s">
        <v>1514</v>
      </c>
      <c r="B1649" s="0" t="s">
        <v>1521</v>
      </c>
      <c r="C1649" s="0" t="s">
        <v>1522</v>
      </c>
      <c r="D1649" s="0" t="n">
        <v>4</v>
      </c>
      <c r="E1649" s="6" t="n">
        <v>40814.5625</v>
      </c>
      <c r="F1649" s="0" t="n">
        <v>4.25</v>
      </c>
      <c r="G1649" s="0" t="n">
        <v>12708</v>
      </c>
      <c r="H1649" s="0" t="s">
        <v>33</v>
      </c>
      <c r="I1649" s="7" t="n">
        <f aca="false">IF(AND(LEFT(A1649,1)&lt;&gt;"C",D1649&gt;0,F1649&gt;0),1,0)</f>
        <v>1</v>
      </c>
      <c r="J1649" s="7" t="n">
        <f aca="false">IF(I1649=1,D1649*F1649,0)</f>
        <v>17</v>
      </c>
      <c r="K1649" s="7" t="n">
        <f aca="false">YEAR(E1649)*100+MONTH(E1649)</f>
        <v>201109</v>
      </c>
      <c r="L1649" s="7" t="n">
        <f aca="false">IF(AND(A1649&lt;&gt;A1648,LEFT(A1649,1)&lt;&gt;"C"),1,0)</f>
        <v>0</v>
      </c>
    </row>
    <row r="1650" customFormat="false" ht="15" hidden="false" customHeight="false" outlineLevel="0" collapsed="false">
      <c r="A1650" s="0" t="s">
        <v>1514</v>
      </c>
      <c r="B1650" s="0" t="s">
        <v>1523</v>
      </c>
      <c r="C1650" s="0" t="s">
        <v>1524</v>
      </c>
      <c r="D1650" s="0" t="n">
        <v>2</v>
      </c>
      <c r="E1650" s="6" t="n">
        <v>40814.5625</v>
      </c>
      <c r="F1650" s="0" t="n">
        <v>10.75</v>
      </c>
      <c r="G1650" s="0" t="n">
        <v>12708</v>
      </c>
      <c r="H1650" s="0" t="s">
        <v>33</v>
      </c>
      <c r="I1650" s="7" t="n">
        <f aca="false">IF(AND(LEFT(A1650,1)&lt;&gt;"C",D1650&gt;0,F1650&gt;0),1,0)</f>
        <v>1</v>
      </c>
      <c r="J1650" s="7" t="n">
        <f aca="false">IF(I1650=1,D1650*F1650,0)</f>
        <v>21.5</v>
      </c>
      <c r="K1650" s="7" t="n">
        <f aca="false">YEAR(E1650)*100+MONTH(E1650)</f>
        <v>201109</v>
      </c>
      <c r="L1650" s="7" t="n">
        <f aca="false">IF(AND(A1650&lt;&gt;A1649,LEFT(A1650,1)&lt;&gt;"C"),1,0)</f>
        <v>0</v>
      </c>
    </row>
    <row r="1651" customFormat="false" ht="15" hidden="false" customHeight="false" outlineLevel="0" collapsed="false">
      <c r="A1651" s="0" t="s">
        <v>1514</v>
      </c>
      <c r="B1651" s="0" t="s">
        <v>1420</v>
      </c>
      <c r="C1651" s="0" t="s">
        <v>1421</v>
      </c>
      <c r="D1651" s="0" t="n">
        <v>4</v>
      </c>
      <c r="E1651" s="6" t="n">
        <v>40814.5625</v>
      </c>
      <c r="F1651" s="0" t="n">
        <v>4.95</v>
      </c>
      <c r="G1651" s="0" t="n">
        <v>12708</v>
      </c>
      <c r="H1651" s="0" t="s">
        <v>33</v>
      </c>
      <c r="I1651" s="7" t="n">
        <f aca="false">IF(AND(LEFT(A1651,1)&lt;&gt;"C",D1651&gt;0,F1651&gt;0),1,0)</f>
        <v>1</v>
      </c>
      <c r="J1651" s="7" t="n">
        <f aca="false">IF(I1651=1,D1651*F1651,0)</f>
        <v>19.8</v>
      </c>
      <c r="K1651" s="7" t="n">
        <f aca="false">YEAR(E1651)*100+MONTH(E1651)</f>
        <v>201109</v>
      </c>
      <c r="L1651" s="7" t="n">
        <f aca="false">IF(AND(A1651&lt;&gt;A1650,LEFT(A1651,1)&lt;&gt;"C"),1,0)</f>
        <v>0</v>
      </c>
    </row>
    <row r="1652" customFormat="false" ht="15" hidden="false" customHeight="false" outlineLevel="0" collapsed="false">
      <c r="A1652" s="0" t="s">
        <v>1514</v>
      </c>
      <c r="B1652" s="0" t="s">
        <v>1525</v>
      </c>
      <c r="C1652" s="0" t="s">
        <v>1526</v>
      </c>
      <c r="D1652" s="0" t="n">
        <v>25</v>
      </c>
      <c r="E1652" s="6" t="n">
        <v>40814.5625</v>
      </c>
      <c r="F1652" s="0" t="n">
        <v>0.42</v>
      </c>
      <c r="G1652" s="0" t="n">
        <v>12708</v>
      </c>
      <c r="H1652" s="0" t="s">
        <v>33</v>
      </c>
      <c r="I1652" s="7" t="n">
        <f aca="false">IF(AND(LEFT(A1652,1)&lt;&gt;"C",D1652&gt;0,F1652&gt;0),1,0)</f>
        <v>1</v>
      </c>
      <c r="J1652" s="7" t="n">
        <f aca="false">IF(I1652=1,D1652*F1652,0)</f>
        <v>10.5</v>
      </c>
      <c r="K1652" s="7" t="n">
        <f aca="false">YEAR(E1652)*100+MONTH(E1652)</f>
        <v>201109</v>
      </c>
      <c r="L1652" s="7" t="n">
        <f aca="false">IF(AND(A1652&lt;&gt;A1651,LEFT(A1652,1)&lt;&gt;"C"),1,0)</f>
        <v>0</v>
      </c>
    </row>
    <row r="1653" customFormat="false" ht="15" hidden="false" customHeight="false" outlineLevel="0" collapsed="false">
      <c r="A1653" s="0" t="s">
        <v>1514</v>
      </c>
      <c r="B1653" s="0" t="s">
        <v>1341</v>
      </c>
      <c r="C1653" s="0" t="s">
        <v>1342</v>
      </c>
      <c r="D1653" s="0" t="n">
        <v>3</v>
      </c>
      <c r="E1653" s="6" t="n">
        <v>40814.5625</v>
      </c>
      <c r="F1653" s="0" t="n">
        <v>4.95</v>
      </c>
      <c r="G1653" s="0" t="n">
        <v>12708</v>
      </c>
      <c r="H1653" s="0" t="s">
        <v>33</v>
      </c>
      <c r="I1653" s="7" t="n">
        <f aca="false">IF(AND(LEFT(A1653,1)&lt;&gt;"C",D1653&gt;0,F1653&gt;0),1,0)</f>
        <v>1</v>
      </c>
      <c r="J1653" s="7" t="n">
        <f aca="false">IF(I1653=1,D1653*F1653,0)</f>
        <v>14.85</v>
      </c>
      <c r="K1653" s="7" t="n">
        <f aca="false">YEAR(E1653)*100+MONTH(E1653)</f>
        <v>201109</v>
      </c>
      <c r="L1653" s="7" t="n">
        <f aca="false">IF(AND(A1653&lt;&gt;A1652,LEFT(A1653,1)&lt;&gt;"C"),1,0)</f>
        <v>0</v>
      </c>
    </row>
    <row r="1654" customFormat="false" ht="15" hidden="false" customHeight="false" outlineLevel="0" collapsed="false">
      <c r="A1654" s="0" t="s">
        <v>1514</v>
      </c>
      <c r="B1654" s="0" t="s">
        <v>1527</v>
      </c>
      <c r="C1654" s="0" t="s">
        <v>1528</v>
      </c>
      <c r="D1654" s="0" t="n">
        <v>6</v>
      </c>
      <c r="E1654" s="6" t="n">
        <v>40814.5625</v>
      </c>
      <c r="F1654" s="0" t="n">
        <v>3.25</v>
      </c>
      <c r="G1654" s="0" t="n">
        <v>12708</v>
      </c>
      <c r="H1654" s="0" t="s">
        <v>33</v>
      </c>
      <c r="I1654" s="7" t="n">
        <f aca="false">IF(AND(LEFT(A1654,1)&lt;&gt;"C",D1654&gt;0,F1654&gt;0),1,0)</f>
        <v>1</v>
      </c>
      <c r="J1654" s="7" t="n">
        <f aca="false">IF(I1654=1,D1654*F1654,0)</f>
        <v>19.5</v>
      </c>
      <c r="K1654" s="7" t="n">
        <f aca="false">YEAR(E1654)*100+MONTH(E1654)</f>
        <v>201109</v>
      </c>
      <c r="L1654" s="7" t="n">
        <f aca="false">IF(AND(A1654&lt;&gt;A1653,LEFT(A1654,1)&lt;&gt;"C"),1,0)</f>
        <v>0</v>
      </c>
    </row>
    <row r="1655" customFormat="false" ht="15" hidden="false" customHeight="false" outlineLevel="0" collapsed="false">
      <c r="A1655" s="0" t="s">
        <v>1514</v>
      </c>
      <c r="B1655" s="0" t="s">
        <v>579</v>
      </c>
      <c r="C1655" s="0" t="s">
        <v>580</v>
      </c>
      <c r="D1655" s="0" t="n">
        <v>12</v>
      </c>
      <c r="E1655" s="6" t="n">
        <v>40814.5625</v>
      </c>
      <c r="F1655" s="0" t="n">
        <v>0.85</v>
      </c>
      <c r="G1655" s="0" t="n">
        <v>12708</v>
      </c>
      <c r="H1655" s="0" t="s">
        <v>33</v>
      </c>
      <c r="I1655" s="7" t="n">
        <f aca="false">IF(AND(LEFT(A1655,1)&lt;&gt;"C",D1655&gt;0,F1655&gt;0),1,0)</f>
        <v>1</v>
      </c>
      <c r="J1655" s="7" t="n">
        <f aca="false">IF(I1655=1,D1655*F1655,0)</f>
        <v>10.2</v>
      </c>
      <c r="K1655" s="7" t="n">
        <f aca="false">YEAR(E1655)*100+MONTH(E1655)</f>
        <v>201109</v>
      </c>
      <c r="L1655" s="7" t="n">
        <f aca="false">IF(AND(A1655&lt;&gt;A1654,LEFT(A1655,1)&lt;&gt;"C"),1,0)</f>
        <v>0</v>
      </c>
    </row>
    <row r="1656" customFormat="false" ht="15" hidden="false" customHeight="false" outlineLevel="0" collapsed="false">
      <c r="A1656" s="0" t="s">
        <v>1514</v>
      </c>
      <c r="B1656" s="0" t="s">
        <v>148</v>
      </c>
      <c r="C1656" s="0" t="s">
        <v>149</v>
      </c>
      <c r="D1656" s="0" t="n">
        <v>1</v>
      </c>
      <c r="E1656" s="6" t="n">
        <v>40814.5625</v>
      </c>
      <c r="F1656" s="0" t="n">
        <v>12.75</v>
      </c>
      <c r="G1656" s="0" t="n">
        <v>12708</v>
      </c>
      <c r="H1656" s="0" t="s">
        <v>33</v>
      </c>
      <c r="I1656" s="7" t="n">
        <f aca="false">IF(AND(LEFT(A1656,1)&lt;&gt;"C",D1656&gt;0,F1656&gt;0),1,0)</f>
        <v>1</v>
      </c>
      <c r="J1656" s="7" t="n">
        <f aca="false">IF(I1656=1,D1656*F1656,0)</f>
        <v>12.75</v>
      </c>
      <c r="K1656" s="7" t="n">
        <f aca="false">YEAR(E1656)*100+MONTH(E1656)</f>
        <v>201109</v>
      </c>
      <c r="L1656" s="7" t="n">
        <f aca="false">IF(AND(A1656&lt;&gt;A1655,LEFT(A1656,1)&lt;&gt;"C"),1,0)</f>
        <v>0</v>
      </c>
    </row>
    <row r="1657" customFormat="false" ht="15" hidden="false" customHeight="false" outlineLevel="0" collapsed="false">
      <c r="A1657" s="0" t="s">
        <v>1514</v>
      </c>
      <c r="B1657" s="0" t="s">
        <v>1057</v>
      </c>
      <c r="C1657" s="0" t="s">
        <v>1058</v>
      </c>
      <c r="D1657" s="0" t="n">
        <v>2</v>
      </c>
      <c r="E1657" s="6" t="n">
        <v>40814.5625</v>
      </c>
      <c r="F1657" s="0" t="n">
        <v>9.95</v>
      </c>
      <c r="G1657" s="0" t="n">
        <v>12708</v>
      </c>
      <c r="H1657" s="0" t="s">
        <v>33</v>
      </c>
      <c r="I1657" s="7" t="n">
        <f aca="false">IF(AND(LEFT(A1657,1)&lt;&gt;"C",D1657&gt;0,F1657&gt;0),1,0)</f>
        <v>1</v>
      </c>
      <c r="J1657" s="7" t="n">
        <f aca="false">IF(I1657=1,D1657*F1657,0)</f>
        <v>19.9</v>
      </c>
      <c r="K1657" s="7" t="n">
        <f aca="false">YEAR(E1657)*100+MONTH(E1657)</f>
        <v>201109</v>
      </c>
      <c r="L1657" s="7" t="n">
        <f aca="false">IF(AND(A1657&lt;&gt;A1656,LEFT(A1657,1)&lt;&gt;"C"),1,0)</f>
        <v>0</v>
      </c>
    </row>
    <row r="1658" customFormat="false" ht="15" hidden="false" customHeight="false" outlineLevel="0" collapsed="false">
      <c r="A1658" s="0" t="s">
        <v>1514</v>
      </c>
      <c r="B1658" s="0" t="s">
        <v>1238</v>
      </c>
      <c r="C1658" s="0" t="s">
        <v>1239</v>
      </c>
      <c r="D1658" s="0" t="n">
        <v>25</v>
      </c>
      <c r="E1658" s="6" t="n">
        <v>40814.5625</v>
      </c>
      <c r="F1658" s="0" t="n">
        <v>0.42</v>
      </c>
      <c r="G1658" s="0" t="n">
        <v>12708</v>
      </c>
      <c r="H1658" s="0" t="s">
        <v>33</v>
      </c>
      <c r="I1658" s="7" t="n">
        <f aca="false">IF(AND(LEFT(A1658,1)&lt;&gt;"C",D1658&gt;0,F1658&gt;0),1,0)</f>
        <v>1</v>
      </c>
      <c r="J1658" s="7" t="n">
        <f aca="false">IF(I1658=1,D1658*F1658,0)</f>
        <v>10.5</v>
      </c>
      <c r="K1658" s="7" t="n">
        <f aca="false">YEAR(E1658)*100+MONTH(E1658)</f>
        <v>201109</v>
      </c>
      <c r="L1658" s="7" t="n">
        <f aca="false">IF(AND(A1658&lt;&gt;A1657,LEFT(A1658,1)&lt;&gt;"C"),1,0)</f>
        <v>0</v>
      </c>
    </row>
    <row r="1659" customFormat="false" ht="15" hidden="false" customHeight="false" outlineLevel="0" collapsed="false">
      <c r="A1659" s="0" t="s">
        <v>1514</v>
      </c>
      <c r="B1659" s="0" t="s">
        <v>320</v>
      </c>
      <c r="C1659" s="0" t="s">
        <v>321</v>
      </c>
      <c r="D1659" s="0" t="n">
        <v>8</v>
      </c>
      <c r="E1659" s="6" t="n">
        <v>40814.5625</v>
      </c>
      <c r="F1659" s="0" t="n">
        <v>3.75</v>
      </c>
      <c r="G1659" s="0" t="n">
        <v>12708</v>
      </c>
      <c r="H1659" s="0" t="s">
        <v>33</v>
      </c>
      <c r="I1659" s="7" t="n">
        <f aca="false">IF(AND(LEFT(A1659,1)&lt;&gt;"C",D1659&gt;0,F1659&gt;0),1,0)</f>
        <v>1</v>
      </c>
      <c r="J1659" s="7" t="n">
        <f aca="false">IF(I1659=1,D1659*F1659,0)</f>
        <v>30</v>
      </c>
      <c r="K1659" s="7" t="n">
        <f aca="false">YEAR(E1659)*100+MONTH(E1659)</f>
        <v>201109</v>
      </c>
      <c r="L1659" s="7" t="n">
        <f aca="false">IF(AND(A1659&lt;&gt;A1658,LEFT(A1659,1)&lt;&gt;"C"),1,0)</f>
        <v>0</v>
      </c>
    </row>
    <row r="1660" customFormat="false" ht="15" hidden="false" customHeight="false" outlineLevel="0" collapsed="false">
      <c r="A1660" s="0" t="s">
        <v>1514</v>
      </c>
      <c r="B1660" s="0" t="s">
        <v>297</v>
      </c>
      <c r="C1660" s="0" t="s">
        <v>298</v>
      </c>
      <c r="D1660" s="0" t="n">
        <v>8</v>
      </c>
      <c r="E1660" s="6" t="n">
        <v>40814.5625</v>
      </c>
      <c r="F1660" s="0" t="n">
        <v>3.75</v>
      </c>
      <c r="G1660" s="0" t="n">
        <v>12708</v>
      </c>
      <c r="H1660" s="0" t="s">
        <v>33</v>
      </c>
      <c r="I1660" s="7" t="n">
        <f aca="false">IF(AND(LEFT(A1660,1)&lt;&gt;"C",D1660&gt;0,F1660&gt;0),1,0)</f>
        <v>1</v>
      </c>
      <c r="J1660" s="7" t="n">
        <f aca="false">IF(I1660=1,D1660*F1660,0)</f>
        <v>30</v>
      </c>
      <c r="K1660" s="7" t="n">
        <f aca="false">YEAR(E1660)*100+MONTH(E1660)</f>
        <v>201109</v>
      </c>
      <c r="L1660" s="7" t="n">
        <f aca="false">IF(AND(A1660&lt;&gt;A1659,LEFT(A1660,1)&lt;&gt;"C"),1,0)</f>
        <v>0</v>
      </c>
    </row>
    <row r="1661" customFormat="false" ht="15" hidden="false" customHeight="false" outlineLevel="0" collapsed="false">
      <c r="A1661" s="0" t="s">
        <v>1514</v>
      </c>
      <c r="B1661" s="0" t="s">
        <v>1416</v>
      </c>
      <c r="C1661" s="0" t="s">
        <v>1417</v>
      </c>
      <c r="D1661" s="0" t="n">
        <v>12</v>
      </c>
      <c r="E1661" s="6" t="n">
        <v>40814.5625</v>
      </c>
      <c r="F1661" s="0" t="n">
        <v>1.45</v>
      </c>
      <c r="G1661" s="0" t="n">
        <v>12708</v>
      </c>
      <c r="H1661" s="0" t="s">
        <v>33</v>
      </c>
      <c r="I1661" s="7" t="n">
        <f aca="false">IF(AND(LEFT(A1661,1)&lt;&gt;"C",D1661&gt;0,F1661&gt;0),1,0)</f>
        <v>1</v>
      </c>
      <c r="J1661" s="7" t="n">
        <f aca="false">IF(I1661=1,D1661*F1661,0)</f>
        <v>17.4</v>
      </c>
      <c r="K1661" s="7" t="n">
        <f aca="false">YEAR(E1661)*100+MONTH(E1661)</f>
        <v>201109</v>
      </c>
      <c r="L1661" s="7" t="n">
        <f aca="false">IF(AND(A1661&lt;&gt;A1660,LEFT(A1661,1)&lt;&gt;"C"),1,0)</f>
        <v>0</v>
      </c>
    </row>
    <row r="1662" customFormat="false" ht="15" hidden="false" customHeight="false" outlineLevel="0" collapsed="false">
      <c r="A1662" s="0" t="s">
        <v>1514</v>
      </c>
      <c r="B1662" s="0" t="s">
        <v>1529</v>
      </c>
      <c r="C1662" s="0" t="s">
        <v>1530</v>
      </c>
      <c r="D1662" s="0" t="n">
        <v>6</v>
      </c>
      <c r="E1662" s="6" t="n">
        <v>40814.5625</v>
      </c>
      <c r="F1662" s="0" t="n">
        <v>1.95</v>
      </c>
      <c r="G1662" s="0" t="n">
        <v>12708</v>
      </c>
      <c r="H1662" s="0" t="s">
        <v>33</v>
      </c>
      <c r="I1662" s="7" t="n">
        <f aca="false">IF(AND(LEFT(A1662,1)&lt;&gt;"C",D1662&gt;0,F1662&gt;0),1,0)</f>
        <v>1</v>
      </c>
      <c r="J1662" s="7" t="n">
        <f aca="false">IF(I1662=1,D1662*F1662,0)</f>
        <v>11.7</v>
      </c>
      <c r="K1662" s="7" t="n">
        <f aca="false">YEAR(E1662)*100+MONTH(E1662)</f>
        <v>201109</v>
      </c>
      <c r="L1662" s="7" t="n">
        <f aca="false">IF(AND(A1662&lt;&gt;A1661,LEFT(A1662,1)&lt;&gt;"C"),1,0)</f>
        <v>0</v>
      </c>
    </row>
    <row r="1663" customFormat="false" ht="15" hidden="false" customHeight="false" outlineLevel="0" collapsed="false">
      <c r="A1663" s="0" t="s">
        <v>1514</v>
      </c>
      <c r="B1663" s="0" t="s">
        <v>84</v>
      </c>
      <c r="C1663" s="0" t="s">
        <v>85</v>
      </c>
      <c r="D1663" s="0" t="n">
        <v>2</v>
      </c>
      <c r="E1663" s="6" t="n">
        <v>40814.5625</v>
      </c>
      <c r="F1663" s="0" t="n">
        <v>18</v>
      </c>
      <c r="G1663" s="0" t="n">
        <v>12708</v>
      </c>
      <c r="H1663" s="0" t="s">
        <v>33</v>
      </c>
      <c r="I1663" s="7" t="n">
        <f aca="false">IF(AND(LEFT(A1663,1)&lt;&gt;"C",D1663&gt;0,F1663&gt;0),1,0)</f>
        <v>1</v>
      </c>
      <c r="J1663" s="7" t="n">
        <f aca="false">IF(I1663=1,D1663*F1663,0)</f>
        <v>36</v>
      </c>
      <c r="K1663" s="7" t="n">
        <f aca="false">YEAR(E1663)*100+MONTH(E1663)</f>
        <v>201109</v>
      </c>
      <c r="L1663" s="7" t="n">
        <f aca="false">IF(AND(A1663&lt;&gt;A1662,LEFT(A1663,1)&lt;&gt;"C"),1,0)</f>
        <v>0</v>
      </c>
    </row>
    <row r="1664" customFormat="false" ht="15" hidden="false" customHeight="false" outlineLevel="0" collapsed="false">
      <c r="A1664" s="0" t="s">
        <v>1514</v>
      </c>
      <c r="B1664" s="0" t="s">
        <v>349</v>
      </c>
      <c r="C1664" s="0" t="s">
        <v>350</v>
      </c>
      <c r="D1664" s="0" t="n">
        <v>12</v>
      </c>
      <c r="E1664" s="6" t="n">
        <v>40814.5625</v>
      </c>
      <c r="F1664" s="0" t="n">
        <v>1.45</v>
      </c>
      <c r="G1664" s="0" t="n">
        <v>12708</v>
      </c>
      <c r="H1664" s="0" t="s">
        <v>33</v>
      </c>
      <c r="I1664" s="7" t="n">
        <f aca="false">IF(AND(LEFT(A1664,1)&lt;&gt;"C",D1664&gt;0,F1664&gt;0),1,0)</f>
        <v>1</v>
      </c>
      <c r="J1664" s="7" t="n">
        <f aca="false">IF(I1664=1,D1664*F1664,0)</f>
        <v>17.4</v>
      </c>
      <c r="K1664" s="7" t="n">
        <f aca="false">YEAR(E1664)*100+MONTH(E1664)</f>
        <v>201109</v>
      </c>
      <c r="L1664" s="7" t="n">
        <f aca="false">IF(AND(A1664&lt;&gt;A1663,LEFT(A1664,1)&lt;&gt;"C"),1,0)</f>
        <v>0</v>
      </c>
    </row>
    <row r="1665" customFormat="false" ht="15" hidden="false" customHeight="false" outlineLevel="0" collapsed="false">
      <c r="A1665" s="0" t="s">
        <v>1531</v>
      </c>
      <c r="B1665" s="0" t="s">
        <v>171</v>
      </c>
      <c r="C1665" s="0" t="s">
        <v>172</v>
      </c>
      <c r="D1665" s="0" t="n">
        <v>-2</v>
      </c>
      <c r="E1665" s="6" t="n">
        <v>40814.5861111111</v>
      </c>
      <c r="F1665" s="0" t="n">
        <v>1.25</v>
      </c>
      <c r="G1665" s="0" t="n">
        <v>12619</v>
      </c>
      <c r="H1665" s="0" t="s">
        <v>33</v>
      </c>
      <c r="I1665" s="7" t="n">
        <f aca="false">IF(AND(LEFT(A1665,1)&lt;&gt;"C",D1665&gt;0,F1665&gt;0),1,0)</f>
        <v>0</v>
      </c>
      <c r="J1665" s="7" t="n">
        <f aca="false">IF(I1665=1,D1665*F1665,0)</f>
        <v>0</v>
      </c>
      <c r="K1665" s="7" t="n">
        <f aca="false">YEAR(E1665)*100+MONTH(E1665)</f>
        <v>201109</v>
      </c>
      <c r="L1665" s="7" t="n">
        <f aca="false">IF(AND(A1665&lt;&gt;A1664,LEFT(A1665,1)&lt;&gt;"C"),1,0)</f>
        <v>0</v>
      </c>
    </row>
    <row r="1666" customFormat="false" ht="15" hidden="false" customHeight="false" outlineLevel="0" collapsed="false">
      <c r="A1666" s="0" t="s">
        <v>1532</v>
      </c>
      <c r="B1666" s="0" t="s">
        <v>80</v>
      </c>
      <c r="C1666" s="0" t="s">
        <v>81</v>
      </c>
      <c r="D1666" s="0" t="n">
        <v>40</v>
      </c>
      <c r="E1666" s="6" t="n">
        <v>40815.4326388889</v>
      </c>
      <c r="F1666" s="0" t="n">
        <v>0.83</v>
      </c>
      <c r="G1666" s="0" t="n">
        <v>12615</v>
      </c>
      <c r="H1666" s="0" t="s">
        <v>43</v>
      </c>
      <c r="I1666" s="7" t="n">
        <f aca="false">IF(AND(LEFT(A1666,1)&lt;&gt;"C",D1666&gt;0,F1666&gt;0),1,0)</f>
        <v>1</v>
      </c>
      <c r="J1666" s="7" t="n">
        <f aca="false">IF(I1666=1,D1666*F1666,0)</f>
        <v>33.2</v>
      </c>
      <c r="K1666" s="7" t="n">
        <f aca="false">YEAR(E1666)*100+MONTH(E1666)</f>
        <v>201109</v>
      </c>
      <c r="L1666" s="7" t="n">
        <f aca="false">IF(AND(A1666&lt;&gt;A1665,LEFT(A1666,1)&lt;&gt;"C"),1,0)</f>
        <v>1</v>
      </c>
    </row>
    <row r="1667" customFormat="false" ht="15" hidden="false" customHeight="false" outlineLevel="0" collapsed="false">
      <c r="A1667" s="0" t="s">
        <v>1532</v>
      </c>
      <c r="B1667" s="0" t="s">
        <v>1525</v>
      </c>
      <c r="C1667" s="0" t="s">
        <v>1526</v>
      </c>
      <c r="D1667" s="0" t="n">
        <v>25</v>
      </c>
      <c r="E1667" s="6" t="n">
        <v>40815.4326388889</v>
      </c>
      <c r="F1667" s="0" t="n">
        <v>0.42</v>
      </c>
      <c r="G1667" s="0" t="n">
        <v>12615</v>
      </c>
      <c r="H1667" s="0" t="s">
        <v>43</v>
      </c>
      <c r="I1667" s="7" t="n">
        <f aca="false">IF(AND(LEFT(A1667,1)&lt;&gt;"C",D1667&gt;0,F1667&gt;0),1,0)</f>
        <v>1</v>
      </c>
      <c r="J1667" s="7" t="n">
        <f aca="false">IF(I1667=1,D1667*F1667,0)</f>
        <v>10.5</v>
      </c>
      <c r="K1667" s="7" t="n">
        <f aca="false">YEAR(E1667)*100+MONTH(E1667)</f>
        <v>201109</v>
      </c>
      <c r="L1667" s="7" t="n">
        <f aca="false">IF(AND(A1667&lt;&gt;A1666,LEFT(A1667,1)&lt;&gt;"C"),1,0)</f>
        <v>0</v>
      </c>
    </row>
    <row r="1668" customFormat="false" ht="15" hidden="false" customHeight="false" outlineLevel="0" collapsed="false">
      <c r="A1668" s="0" t="s">
        <v>1532</v>
      </c>
      <c r="B1668" s="0" t="s">
        <v>1238</v>
      </c>
      <c r="C1668" s="0" t="s">
        <v>1239</v>
      </c>
      <c r="D1668" s="0" t="n">
        <v>25</v>
      </c>
      <c r="E1668" s="6" t="n">
        <v>40815.4326388889</v>
      </c>
      <c r="F1668" s="0" t="n">
        <v>0.42</v>
      </c>
      <c r="G1668" s="0" t="n">
        <v>12615</v>
      </c>
      <c r="H1668" s="0" t="s">
        <v>43</v>
      </c>
      <c r="I1668" s="7" t="n">
        <f aca="false">IF(AND(LEFT(A1668,1)&lt;&gt;"C",D1668&gt;0,F1668&gt;0),1,0)</f>
        <v>1</v>
      </c>
      <c r="J1668" s="7" t="n">
        <f aca="false">IF(I1668=1,D1668*F1668,0)</f>
        <v>10.5</v>
      </c>
      <c r="K1668" s="7" t="n">
        <f aca="false">YEAR(E1668)*100+MONTH(E1668)</f>
        <v>201109</v>
      </c>
      <c r="L1668" s="7" t="n">
        <f aca="false">IF(AND(A1668&lt;&gt;A1667,LEFT(A1668,1)&lt;&gt;"C"),1,0)</f>
        <v>0</v>
      </c>
    </row>
    <row r="1669" customFormat="false" ht="15" hidden="false" customHeight="false" outlineLevel="0" collapsed="false">
      <c r="A1669" s="0" t="s">
        <v>1532</v>
      </c>
      <c r="B1669" s="0" t="s">
        <v>1533</v>
      </c>
      <c r="C1669" s="0" t="s">
        <v>1534</v>
      </c>
      <c r="D1669" s="0" t="n">
        <v>12</v>
      </c>
      <c r="E1669" s="6" t="n">
        <v>40815.4326388889</v>
      </c>
      <c r="F1669" s="0" t="n">
        <v>1.25</v>
      </c>
      <c r="G1669" s="0" t="n">
        <v>12615</v>
      </c>
      <c r="H1669" s="0" t="s">
        <v>43</v>
      </c>
      <c r="I1669" s="7" t="n">
        <f aca="false">IF(AND(LEFT(A1669,1)&lt;&gt;"C",D1669&gt;0,F1669&gt;0),1,0)</f>
        <v>1</v>
      </c>
      <c r="J1669" s="7" t="n">
        <f aca="false">IF(I1669=1,D1669*F1669,0)</f>
        <v>15</v>
      </c>
      <c r="K1669" s="7" t="n">
        <f aca="false">YEAR(E1669)*100+MONTH(E1669)</f>
        <v>201109</v>
      </c>
      <c r="L1669" s="7" t="n">
        <f aca="false">IF(AND(A1669&lt;&gt;A1668,LEFT(A1669,1)&lt;&gt;"C"),1,0)</f>
        <v>0</v>
      </c>
    </row>
    <row r="1670" customFormat="false" ht="15" hidden="false" customHeight="false" outlineLevel="0" collapsed="false">
      <c r="A1670" s="0" t="s">
        <v>1532</v>
      </c>
      <c r="B1670" s="0" t="s">
        <v>1286</v>
      </c>
      <c r="C1670" s="0" t="s">
        <v>1287</v>
      </c>
      <c r="D1670" s="0" t="n">
        <v>12</v>
      </c>
      <c r="E1670" s="6" t="n">
        <v>40815.4326388889</v>
      </c>
      <c r="F1670" s="0" t="n">
        <v>2.89</v>
      </c>
      <c r="G1670" s="0" t="n">
        <v>12615</v>
      </c>
      <c r="H1670" s="0" t="s">
        <v>43</v>
      </c>
      <c r="I1670" s="7" t="n">
        <f aca="false">IF(AND(LEFT(A1670,1)&lt;&gt;"C",D1670&gt;0,F1670&gt;0),1,0)</f>
        <v>1</v>
      </c>
      <c r="J1670" s="7" t="n">
        <f aca="false">IF(I1670=1,D1670*F1670,0)</f>
        <v>34.68</v>
      </c>
      <c r="K1670" s="7" t="n">
        <f aca="false">YEAR(E1670)*100+MONTH(E1670)</f>
        <v>201109</v>
      </c>
      <c r="L1670" s="7" t="n">
        <f aca="false">IF(AND(A1670&lt;&gt;A1669,LEFT(A1670,1)&lt;&gt;"C"),1,0)</f>
        <v>0</v>
      </c>
    </row>
    <row r="1671" customFormat="false" ht="15" hidden="false" customHeight="false" outlineLevel="0" collapsed="false">
      <c r="A1671" s="0" t="s">
        <v>1532</v>
      </c>
      <c r="B1671" s="0" t="s">
        <v>1535</v>
      </c>
      <c r="C1671" s="0" t="s">
        <v>1536</v>
      </c>
      <c r="D1671" s="0" t="n">
        <v>10</v>
      </c>
      <c r="E1671" s="6" t="n">
        <v>40815.4326388889</v>
      </c>
      <c r="F1671" s="0" t="n">
        <v>2.08</v>
      </c>
      <c r="G1671" s="0" t="n">
        <v>12615</v>
      </c>
      <c r="H1671" s="0" t="s">
        <v>43</v>
      </c>
      <c r="I1671" s="7" t="n">
        <f aca="false">IF(AND(LEFT(A1671,1)&lt;&gt;"C",D1671&gt;0,F1671&gt;0),1,0)</f>
        <v>1</v>
      </c>
      <c r="J1671" s="7" t="n">
        <f aca="false">IF(I1671=1,D1671*F1671,0)</f>
        <v>20.8</v>
      </c>
      <c r="K1671" s="7" t="n">
        <f aca="false">YEAR(E1671)*100+MONTH(E1671)</f>
        <v>201109</v>
      </c>
      <c r="L1671" s="7" t="n">
        <f aca="false">IF(AND(A1671&lt;&gt;A1670,LEFT(A1671,1)&lt;&gt;"C"),1,0)</f>
        <v>0</v>
      </c>
    </row>
    <row r="1672" customFormat="false" ht="15" hidden="false" customHeight="false" outlineLevel="0" collapsed="false">
      <c r="A1672" s="0" t="s">
        <v>1532</v>
      </c>
      <c r="B1672" s="0" t="s">
        <v>569</v>
      </c>
      <c r="C1672" s="0" t="s">
        <v>570</v>
      </c>
      <c r="D1672" s="0" t="n">
        <v>10</v>
      </c>
      <c r="E1672" s="6" t="n">
        <v>40815.4326388889</v>
      </c>
      <c r="F1672" s="0" t="n">
        <v>2.08</v>
      </c>
      <c r="G1672" s="0" t="n">
        <v>12615</v>
      </c>
      <c r="H1672" s="0" t="s">
        <v>43</v>
      </c>
      <c r="I1672" s="7" t="n">
        <f aca="false">IF(AND(LEFT(A1672,1)&lt;&gt;"C",D1672&gt;0,F1672&gt;0),1,0)</f>
        <v>1</v>
      </c>
      <c r="J1672" s="7" t="n">
        <f aca="false">IF(I1672=1,D1672*F1672,0)</f>
        <v>20.8</v>
      </c>
      <c r="K1672" s="7" t="n">
        <f aca="false">YEAR(E1672)*100+MONTH(E1672)</f>
        <v>201109</v>
      </c>
      <c r="L1672" s="7" t="n">
        <f aca="false">IF(AND(A1672&lt;&gt;A1671,LEFT(A1672,1)&lt;&gt;"C"),1,0)</f>
        <v>0</v>
      </c>
    </row>
    <row r="1673" customFormat="false" ht="15" hidden="false" customHeight="false" outlineLevel="0" collapsed="false">
      <c r="A1673" s="0" t="s">
        <v>1532</v>
      </c>
      <c r="B1673" s="0" t="s">
        <v>1386</v>
      </c>
      <c r="C1673" s="0" t="s">
        <v>1387</v>
      </c>
      <c r="D1673" s="0" t="n">
        <v>10</v>
      </c>
      <c r="E1673" s="6" t="n">
        <v>40815.4326388889</v>
      </c>
      <c r="F1673" s="0" t="n">
        <v>2.08</v>
      </c>
      <c r="G1673" s="0" t="n">
        <v>12615</v>
      </c>
      <c r="H1673" s="0" t="s">
        <v>43</v>
      </c>
      <c r="I1673" s="7" t="n">
        <f aca="false">IF(AND(LEFT(A1673,1)&lt;&gt;"C",D1673&gt;0,F1673&gt;0),1,0)</f>
        <v>1</v>
      </c>
      <c r="J1673" s="7" t="n">
        <f aca="false">IF(I1673=1,D1673*F1673,0)</f>
        <v>20.8</v>
      </c>
      <c r="K1673" s="7" t="n">
        <f aca="false">YEAR(E1673)*100+MONTH(E1673)</f>
        <v>201109</v>
      </c>
      <c r="L1673" s="7" t="n">
        <f aca="false">IF(AND(A1673&lt;&gt;A1672,LEFT(A1673,1)&lt;&gt;"C"),1,0)</f>
        <v>0</v>
      </c>
    </row>
    <row r="1674" customFormat="false" ht="15" hidden="false" customHeight="false" outlineLevel="0" collapsed="false">
      <c r="A1674" s="0" t="s">
        <v>1532</v>
      </c>
      <c r="B1674" s="0" t="s">
        <v>465</v>
      </c>
      <c r="C1674" s="0" t="s">
        <v>466</v>
      </c>
      <c r="D1674" s="0" t="n">
        <v>2</v>
      </c>
      <c r="E1674" s="6" t="n">
        <v>40815.4326388889</v>
      </c>
      <c r="F1674" s="0" t="n">
        <v>7.95</v>
      </c>
      <c r="G1674" s="0" t="n">
        <v>12615</v>
      </c>
      <c r="H1674" s="0" t="s">
        <v>43</v>
      </c>
      <c r="I1674" s="7" t="n">
        <f aca="false">IF(AND(LEFT(A1674,1)&lt;&gt;"C",D1674&gt;0,F1674&gt;0),1,0)</f>
        <v>1</v>
      </c>
      <c r="J1674" s="7" t="n">
        <f aca="false">IF(I1674=1,D1674*F1674,0)</f>
        <v>15.9</v>
      </c>
      <c r="K1674" s="7" t="n">
        <f aca="false">YEAR(E1674)*100+MONTH(E1674)</f>
        <v>201109</v>
      </c>
      <c r="L1674" s="7" t="n">
        <f aca="false">IF(AND(A1674&lt;&gt;A1673,LEFT(A1674,1)&lt;&gt;"C"),1,0)</f>
        <v>0</v>
      </c>
    </row>
    <row r="1675" customFormat="false" ht="15" hidden="false" customHeight="false" outlineLevel="0" collapsed="false">
      <c r="A1675" s="0" t="s">
        <v>1532</v>
      </c>
      <c r="B1675" s="0" t="s">
        <v>463</v>
      </c>
      <c r="C1675" s="0" t="s">
        <v>464</v>
      </c>
      <c r="D1675" s="0" t="n">
        <v>2</v>
      </c>
      <c r="E1675" s="6" t="n">
        <v>40815.4326388889</v>
      </c>
      <c r="F1675" s="0" t="n">
        <v>7.95</v>
      </c>
      <c r="G1675" s="0" t="n">
        <v>12615</v>
      </c>
      <c r="H1675" s="0" t="s">
        <v>43</v>
      </c>
      <c r="I1675" s="7" t="n">
        <f aca="false">IF(AND(LEFT(A1675,1)&lt;&gt;"C",D1675&gt;0,F1675&gt;0),1,0)</f>
        <v>1</v>
      </c>
      <c r="J1675" s="7" t="n">
        <f aca="false">IF(I1675=1,D1675*F1675,0)</f>
        <v>15.9</v>
      </c>
      <c r="K1675" s="7" t="n">
        <f aca="false">YEAR(E1675)*100+MONTH(E1675)</f>
        <v>201109</v>
      </c>
      <c r="L1675" s="7" t="n">
        <f aca="false">IF(AND(A1675&lt;&gt;A1674,LEFT(A1675,1)&lt;&gt;"C"),1,0)</f>
        <v>0</v>
      </c>
    </row>
    <row r="1676" customFormat="false" ht="15" hidden="false" customHeight="false" outlineLevel="0" collapsed="false">
      <c r="A1676" s="0" t="s">
        <v>1532</v>
      </c>
      <c r="B1676" s="0" t="s">
        <v>41</v>
      </c>
      <c r="C1676" s="0" t="s">
        <v>42</v>
      </c>
      <c r="D1676" s="0" t="n">
        <v>3</v>
      </c>
      <c r="E1676" s="6" t="n">
        <v>40815.4326388889</v>
      </c>
      <c r="F1676" s="0" t="n">
        <v>5.95</v>
      </c>
      <c r="G1676" s="0" t="n">
        <v>12615</v>
      </c>
      <c r="H1676" s="0" t="s">
        <v>43</v>
      </c>
      <c r="I1676" s="7" t="n">
        <f aca="false">IF(AND(LEFT(A1676,1)&lt;&gt;"C",D1676&gt;0,F1676&gt;0),1,0)</f>
        <v>1</v>
      </c>
      <c r="J1676" s="7" t="n">
        <f aca="false">IF(I1676=1,D1676*F1676,0)</f>
        <v>17.85</v>
      </c>
      <c r="K1676" s="7" t="n">
        <f aca="false">YEAR(E1676)*100+MONTH(E1676)</f>
        <v>201109</v>
      </c>
      <c r="L1676" s="7" t="n">
        <f aca="false">IF(AND(A1676&lt;&gt;A1675,LEFT(A1676,1)&lt;&gt;"C"),1,0)</f>
        <v>0</v>
      </c>
    </row>
    <row r="1677" customFormat="false" ht="15" hidden="false" customHeight="false" outlineLevel="0" collapsed="false">
      <c r="A1677" s="0" t="s">
        <v>1532</v>
      </c>
      <c r="B1677" s="0" t="s">
        <v>82</v>
      </c>
      <c r="C1677" s="0" t="s">
        <v>83</v>
      </c>
      <c r="D1677" s="0" t="n">
        <v>3</v>
      </c>
      <c r="E1677" s="6" t="n">
        <v>40815.4326388889</v>
      </c>
      <c r="F1677" s="0" t="n">
        <v>5.95</v>
      </c>
      <c r="G1677" s="0" t="n">
        <v>12615</v>
      </c>
      <c r="H1677" s="0" t="s">
        <v>43</v>
      </c>
      <c r="I1677" s="7" t="n">
        <f aca="false">IF(AND(LEFT(A1677,1)&lt;&gt;"C",D1677&gt;0,F1677&gt;0),1,0)</f>
        <v>1</v>
      </c>
      <c r="J1677" s="7" t="n">
        <f aca="false">IF(I1677=1,D1677*F1677,0)</f>
        <v>17.85</v>
      </c>
      <c r="K1677" s="7" t="n">
        <f aca="false">YEAR(E1677)*100+MONTH(E1677)</f>
        <v>201109</v>
      </c>
      <c r="L1677" s="7" t="n">
        <f aca="false">IF(AND(A1677&lt;&gt;A1676,LEFT(A1677,1)&lt;&gt;"C"),1,0)</f>
        <v>0</v>
      </c>
    </row>
    <row r="1678" customFormat="false" ht="15" hidden="false" customHeight="false" outlineLevel="0" collapsed="false">
      <c r="A1678" s="0" t="s">
        <v>1532</v>
      </c>
      <c r="B1678" s="0" t="s">
        <v>756</v>
      </c>
      <c r="C1678" s="0" t="s">
        <v>757</v>
      </c>
      <c r="D1678" s="0" t="n">
        <v>6</v>
      </c>
      <c r="E1678" s="6" t="n">
        <v>40815.4326388889</v>
      </c>
      <c r="F1678" s="0" t="n">
        <v>2.95</v>
      </c>
      <c r="G1678" s="0" t="n">
        <v>12615</v>
      </c>
      <c r="H1678" s="0" t="s">
        <v>43</v>
      </c>
      <c r="I1678" s="7" t="n">
        <f aca="false">IF(AND(LEFT(A1678,1)&lt;&gt;"C",D1678&gt;0,F1678&gt;0),1,0)</f>
        <v>1</v>
      </c>
      <c r="J1678" s="7" t="n">
        <f aca="false">IF(I1678=1,D1678*F1678,0)</f>
        <v>17.7</v>
      </c>
      <c r="K1678" s="7" t="n">
        <f aca="false">YEAR(E1678)*100+MONTH(E1678)</f>
        <v>201109</v>
      </c>
      <c r="L1678" s="7" t="n">
        <f aca="false">IF(AND(A1678&lt;&gt;A1677,LEFT(A1678,1)&lt;&gt;"C"),1,0)</f>
        <v>0</v>
      </c>
    </row>
    <row r="1679" customFormat="false" ht="15" hidden="false" customHeight="false" outlineLevel="0" collapsed="false">
      <c r="A1679" s="0" t="s">
        <v>1532</v>
      </c>
      <c r="B1679" s="0" t="s">
        <v>804</v>
      </c>
      <c r="C1679" s="0" t="s">
        <v>805</v>
      </c>
      <c r="D1679" s="0" t="n">
        <v>3</v>
      </c>
      <c r="E1679" s="6" t="n">
        <v>40815.4326388889</v>
      </c>
      <c r="F1679" s="0" t="n">
        <v>4.95</v>
      </c>
      <c r="G1679" s="0" t="n">
        <v>12615</v>
      </c>
      <c r="H1679" s="0" t="s">
        <v>43</v>
      </c>
      <c r="I1679" s="7" t="n">
        <f aca="false">IF(AND(LEFT(A1679,1)&lt;&gt;"C",D1679&gt;0,F1679&gt;0),1,0)</f>
        <v>1</v>
      </c>
      <c r="J1679" s="7" t="n">
        <f aca="false">IF(I1679=1,D1679*F1679,0)</f>
        <v>14.85</v>
      </c>
      <c r="K1679" s="7" t="n">
        <f aca="false">YEAR(E1679)*100+MONTH(E1679)</f>
        <v>201109</v>
      </c>
      <c r="L1679" s="7" t="n">
        <f aca="false">IF(AND(A1679&lt;&gt;A1678,LEFT(A1679,1)&lt;&gt;"C"),1,0)</f>
        <v>0</v>
      </c>
    </row>
    <row r="1680" customFormat="false" ht="15" hidden="false" customHeight="false" outlineLevel="0" collapsed="false">
      <c r="A1680" s="0" t="s">
        <v>1532</v>
      </c>
      <c r="B1680" s="0" t="s">
        <v>583</v>
      </c>
      <c r="C1680" s="0" t="s">
        <v>584</v>
      </c>
      <c r="D1680" s="0" t="n">
        <v>12</v>
      </c>
      <c r="E1680" s="6" t="n">
        <v>40815.4326388889</v>
      </c>
      <c r="F1680" s="0" t="n">
        <v>1.45</v>
      </c>
      <c r="G1680" s="0" t="n">
        <v>12615</v>
      </c>
      <c r="H1680" s="0" t="s">
        <v>43</v>
      </c>
      <c r="I1680" s="7" t="n">
        <f aca="false">IF(AND(LEFT(A1680,1)&lt;&gt;"C",D1680&gt;0,F1680&gt;0),1,0)</f>
        <v>1</v>
      </c>
      <c r="J1680" s="7" t="n">
        <f aca="false">IF(I1680=1,D1680*F1680,0)</f>
        <v>17.4</v>
      </c>
      <c r="K1680" s="7" t="n">
        <f aca="false">YEAR(E1680)*100+MONTH(E1680)</f>
        <v>201109</v>
      </c>
      <c r="L1680" s="7" t="n">
        <f aca="false">IF(AND(A1680&lt;&gt;A1679,LEFT(A1680,1)&lt;&gt;"C"),1,0)</f>
        <v>0</v>
      </c>
    </row>
    <row r="1681" customFormat="false" ht="15" hidden="false" customHeight="false" outlineLevel="0" collapsed="false">
      <c r="A1681" s="0" t="s">
        <v>1532</v>
      </c>
      <c r="B1681" s="0" t="s">
        <v>68</v>
      </c>
      <c r="C1681" s="0" t="s">
        <v>69</v>
      </c>
      <c r="D1681" s="0" t="n">
        <v>10</v>
      </c>
      <c r="E1681" s="6" t="n">
        <v>40815.4326388889</v>
      </c>
      <c r="F1681" s="0" t="n">
        <v>1.65</v>
      </c>
      <c r="G1681" s="0" t="n">
        <v>12615</v>
      </c>
      <c r="H1681" s="0" t="s">
        <v>43</v>
      </c>
      <c r="I1681" s="7" t="n">
        <f aca="false">IF(AND(LEFT(A1681,1)&lt;&gt;"C",D1681&gt;0,F1681&gt;0),1,0)</f>
        <v>1</v>
      </c>
      <c r="J1681" s="7" t="n">
        <f aca="false">IF(I1681=1,D1681*F1681,0)</f>
        <v>16.5</v>
      </c>
      <c r="K1681" s="7" t="n">
        <f aca="false">YEAR(E1681)*100+MONTH(E1681)</f>
        <v>201109</v>
      </c>
      <c r="L1681" s="7" t="n">
        <f aca="false">IF(AND(A1681&lt;&gt;A1680,LEFT(A1681,1)&lt;&gt;"C"),1,0)</f>
        <v>0</v>
      </c>
    </row>
    <row r="1682" customFormat="false" ht="15" hidden="false" customHeight="false" outlineLevel="0" collapsed="false">
      <c r="A1682" s="0" t="s">
        <v>1532</v>
      </c>
      <c r="B1682" s="0" t="s">
        <v>58</v>
      </c>
      <c r="C1682" s="0" t="s">
        <v>59</v>
      </c>
      <c r="D1682" s="0" t="n">
        <v>6</v>
      </c>
      <c r="E1682" s="6" t="n">
        <v>40815.4326388889</v>
      </c>
      <c r="F1682" s="0" t="n">
        <v>2.55</v>
      </c>
      <c r="G1682" s="0" t="n">
        <v>12615</v>
      </c>
      <c r="H1682" s="0" t="s">
        <v>43</v>
      </c>
      <c r="I1682" s="7" t="n">
        <f aca="false">IF(AND(LEFT(A1682,1)&lt;&gt;"C",D1682&gt;0,F1682&gt;0),1,0)</f>
        <v>1</v>
      </c>
      <c r="J1682" s="7" t="n">
        <f aca="false">IF(I1682=1,D1682*F1682,0)</f>
        <v>15.3</v>
      </c>
      <c r="K1682" s="7" t="n">
        <f aca="false">YEAR(E1682)*100+MONTH(E1682)</f>
        <v>201109</v>
      </c>
      <c r="L1682" s="7" t="n">
        <f aca="false">IF(AND(A1682&lt;&gt;A1681,LEFT(A1682,1)&lt;&gt;"C"),1,0)</f>
        <v>0</v>
      </c>
    </row>
    <row r="1683" customFormat="false" ht="15" hidden="false" customHeight="false" outlineLevel="0" collapsed="false">
      <c r="A1683" s="0" t="s">
        <v>1532</v>
      </c>
      <c r="B1683" s="0" t="s">
        <v>74</v>
      </c>
      <c r="C1683" s="0" t="s">
        <v>75</v>
      </c>
      <c r="D1683" s="0" t="n">
        <v>12</v>
      </c>
      <c r="E1683" s="6" t="n">
        <v>40815.4326388889</v>
      </c>
      <c r="F1683" s="0" t="n">
        <v>1.95</v>
      </c>
      <c r="G1683" s="0" t="n">
        <v>12615</v>
      </c>
      <c r="H1683" s="0" t="s">
        <v>43</v>
      </c>
      <c r="I1683" s="7" t="n">
        <f aca="false">IF(AND(LEFT(A1683,1)&lt;&gt;"C",D1683&gt;0,F1683&gt;0),1,0)</f>
        <v>1</v>
      </c>
      <c r="J1683" s="7" t="n">
        <f aca="false">IF(I1683=1,D1683*F1683,0)</f>
        <v>23.4</v>
      </c>
      <c r="K1683" s="7" t="n">
        <f aca="false">YEAR(E1683)*100+MONTH(E1683)</f>
        <v>201109</v>
      </c>
      <c r="L1683" s="7" t="n">
        <f aca="false">IF(AND(A1683&lt;&gt;A1682,LEFT(A1683,1)&lt;&gt;"C"),1,0)</f>
        <v>0</v>
      </c>
    </row>
    <row r="1684" customFormat="false" ht="15" hidden="false" customHeight="false" outlineLevel="0" collapsed="false">
      <c r="A1684" s="0" t="s">
        <v>1532</v>
      </c>
      <c r="B1684" s="0" t="s">
        <v>557</v>
      </c>
      <c r="C1684" s="0" t="s">
        <v>558</v>
      </c>
      <c r="D1684" s="0" t="n">
        <v>12</v>
      </c>
      <c r="E1684" s="6" t="n">
        <v>40815.4326388889</v>
      </c>
      <c r="F1684" s="0" t="n">
        <v>1.95</v>
      </c>
      <c r="G1684" s="0" t="n">
        <v>12615</v>
      </c>
      <c r="H1684" s="0" t="s">
        <v>43</v>
      </c>
      <c r="I1684" s="7" t="n">
        <f aca="false">IF(AND(LEFT(A1684,1)&lt;&gt;"C",D1684&gt;0,F1684&gt;0),1,0)</f>
        <v>1</v>
      </c>
      <c r="J1684" s="7" t="n">
        <f aca="false">IF(I1684=1,D1684*F1684,0)</f>
        <v>23.4</v>
      </c>
      <c r="K1684" s="7" t="n">
        <f aca="false">YEAR(E1684)*100+MONTH(E1684)</f>
        <v>201109</v>
      </c>
      <c r="L1684" s="7" t="n">
        <f aca="false">IF(AND(A1684&lt;&gt;A1683,LEFT(A1684,1)&lt;&gt;"C"),1,0)</f>
        <v>0</v>
      </c>
    </row>
    <row r="1685" customFormat="false" ht="15" hidden="false" customHeight="false" outlineLevel="0" collapsed="false">
      <c r="A1685" s="0" t="s">
        <v>1532</v>
      </c>
      <c r="B1685" s="0" t="s">
        <v>1537</v>
      </c>
      <c r="C1685" s="0" t="s">
        <v>1538</v>
      </c>
      <c r="D1685" s="0" t="n">
        <v>6</v>
      </c>
      <c r="E1685" s="6" t="n">
        <v>40815.4326388889</v>
      </c>
      <c r="F1685" s="0" t="n">
        <v>3.75</v>
      </c>
      <c r="G1685" s="0" t="n">
        <v>12615</v>
      </c>
      <c r="H1685" s="0" t="s">
        <v>43</v>
      </c>
      <c r="I1685" s="7" t="n">
        <f aca="false">IF(AND(LEFT(A1685,1)&lt;&gt;"C",D1685&gt;0,F1685&gt;0),1,0)</f>
        <v>1</v>
      </c>
      <c r="J1685" s="7" t="n">
        <f aca="false">IF(I1685=1,D1685*F1685,0)</f>
        <v>22.5</v>
      </c>
      <c r="K1685" s="7" t="n">
        <f aca="false">YEAR(E1685)*100+MONTH(E1685)</f>
        <v>201109</v>
      </c>
      <c r="L1685" s="7" t="n">
        <f aca="false">IF(AND(A1685&lt;&gt;A1684,LEFT(A1685,1)&lt;&gt;"C"),1,0)</f>
        <v>0</v>
      </c>
    </row>
    <row r="1686" customFormat="false" ht="15" hidden="false" customHeight="false" outlineLevel="0" collapsed="false">
      <c r="A1686" s="0" t="s">
        <v>1532</v>
      </c>
      <c r="B1686" s="0" t="s">
        <v>1539</v>
      </c>
      <c r="C1686" s="0" t="s">
        <v>1540</v>
      </c>
      <c r="D1686" s="0" t="n">
        <v>6</v>
      </c>
      <c r="E1686" s="6" t="n">
        <v>40815.4326388889</v>
      </c>
      <c r="F1686" s="0" t="n">
        <v>2.55</v>
      </c>
      <c r="G1686" s="0" t="n">
        <v>12615</v>
      </c>
      <c r="H1686" s="0" t="s">
        <v>43</v>
      </c>
      <c r="I1686" s="7" t="n">
        <f aca="false">IF(AND(LEFT(A1686,1)&lt;&gt;"C",D1686&gt;0,F1686&gt;0),1,0)</f>
        <v>1</v>
      </c>
      <c r="J1686" s="7" t="n">
        <f aca="false">IF(I1686=1,D1686*F1686,0)</f>
        <v>15.3</v>
      </c>
      <c r="K1686" s="7" t="n">
        <f aca="false">YEAR(E1686)*100+MONTH(E1686)</f>
        <v>201109</v>
      </c>
      <c r="L1686" s="7" t="n">
        <f aca="false">IF(AND(A1686&lt;&gt;A1685,LEFT(A1686,1)&lt;&gt;"C"),1,0)</f>
        <v>0</v>
      </c>
    </row>
    <row r="1687" customFormat="false" ht="15" hidden="false" customHeight="false" outlineLevel="0" collapsed="false">
      <c r="A1687" s="0" t="s">
        <v>1532</v>
      </c>
      <c r="B1687" s="0" t="s">
        <v>64</v>
      </c>
      <c r="C1687" s="0" t="s">
        <v>65</v>
      </c>
      <c r="D1687" s="0" t="n">
        <v>12</v>
      </c>
      <c r="E1687" s="6" t="n">
        <v>40815.4326388889</v>
      </c>
      <c r="F1687" s="0" t="n">
        <v>1.65</v>
      </c>
      <c r="G1687" s="0" t="n">
        <v>12615</v>
      </c>
      <c r="H1687" s="0" t="s">
        <v>43</v>
      </c>
      <c r="I1687" s="7" t="n">
        <f aca="false">IF(AND(LEFT(A1687,1)&lt;&gt;"C",D1687&gt;0,F1687&gt;0),1,0)</f>
        <v>1</v>
      </c>
      <c r="J1687" s="7" t="n">
        <f aca="false">IF(I1687=1,D1687*F1687,0)</f>
        <v>19.8</v>
      </c>
      <c r="K1687" s="7" t="n">
        <f aca="false">YEAR(E1687)*100+MONTH(E1687)</f>
        <v>201109</v>
      </c>
      <c r="L1687" s="7" t="n">
        <f aca="false">IF(AND(A1687&lt;&gt;A1686,LEFT(A1687,1)&lt;&gt;"C"),1,0)</f>
        <v>0</v>
      </c>
    </row>
    <row r="1688" customFormat="false" ht="15" hidden="false" customHeight="false" outlineLevel="0" collapsed="false">
      <c r="A1688" s="0" t="s">
        <v>1532</v>
      </c>
      <c r="B1688" s="0" t="s">
        <v>1541</v>
      </c>
      <c r="C1688" s="0" t="s">
        <v>1542</v>
      </c>
      <c r="D1688" s="0" t="n">
        <v>48</v>
      </c>
      <c r="E1688" s="6" t="n">
        <v>40815.4326388889</v>
      </c>
      <c r="F1688" s="0" t="n">
        <v>0.29</v>
      </c>
      <c r="G1688" s="0" t="n">
        <v>12615</v>
      </c>
      <c r="H1688" s="0" t="s">
        <v>43</v>
      </c>
      <c r="I1688" s="7" t="n">
        <f aca="false">IF(AND(LEFT(A1688,1)&lt;&gt;"C",D1688&gt;0,F1688&gt;0),1,0)</f>
        <v>1</v>
      </c>
      <c r="J1688" s="7" t="n">
        <f aca="false">IF(I1688=1,D1688*F1688,0)</f>
        <v>13.92</v>
      </c>
      <c r="K1688" s="7" t="n">
        <f aca="false">YEAR(E1688)*100+MONTH(E1688)</f>
        <v>201109</v>
      </c>
      <c r="L1688" s="7" t="n">
        <f aca="false">IF(AND(A1688&lt;&gt;A1687,LEFT(A1688,1)&lt;&gt;"C"),1,0)</f>
        <v>0</v>
      </c>
    </row>
    <row r="1689" customFormat="false" ht="15" hidden="false" customHeight="false" outlineLevel="0" collapsed="false">
      <c r="A1689" s="0" t="s">
        <v>1532</v>
      </c>
      <c r="B1689" s="0" t="s">
        <v>1397</v>
      </c>
      <c r="C1689" s="0" t="s">
        <v>1398</v>
      </c>
      <c r="D1689" s="0" t="n">
        <v>6</v>
      </c>
      <c r="E1689" s="6" t="n">
        <v>40815.4326388889</v>
      </c>
      <c r="F1689" s="0" t="n">
        <v>2.95</v>
      </c>
      <c r="G1689" s="0" t="n">
        <v>12615</v>
      </c>
      <c r="H1689" s="0" t="s">
        <v>43</v>
      </c>
      <c r="I1689" s="7" t="n">
        <f aca="false">IF(AND(LEFT(A1689,1)&lt;&gt;"C",D1689&gt;0,F1689&gt;0),1,0)</f>
        <v>1</v>
      </c>
      <c r="J1689" s="7" t="n">
        <f aca="false">IF(I1689=1,D1689*F1689,0)</f>
        <v>17.7</v>
      </c>
      <c r="K1689" s="7" t="n">
        <f aca="false">YEAR(E1689)*100+MONTH(E1689)</f>
        <v>201109</v>
      </c>
      <c r="L1689" s="7" t="n">
        <f aca="false">IF(AND(A1689&lt;&gt;A1688,LEFT(A1689,1)&lt;&gt;"C"),1,0)</f>
        <v>0</v>
      </c>
    </row>
    <row r="1690" customFormat="false" ht="15" hidden="false" customHeight="false" outlineLevel="0" collapsed="false">
      <c r="A1690" s="0" t="s">
        <v>1532</v>
      </c>
      <c r="B1690" s="0" t="s">
        <v>1399</v>
      </c>
      <c r="C1690" s="0" t="s">
        <v>1400</v>
      </c>
      <c r="D1690" s="0" t="n">
        <v>6</v>
      </c>
      <c r="E1690" s="6" t="n">
        <v>40815.4326388889</v>
      </c>
      <c r="F1690" s="0" t="n">
        <v>2.95</v>
      </c>
      <c r="G1690" s="0" t="n">
        <v>12615</v>
      </c>
      <c r="H1690" s="0" t="s">
        <v>43</v>
      </c>
      <c r="I1690" s="7" t="n">
        <f aca="false">IF(AND(LEFT(A1690,1)&lt;&gt;"C",D1690&gt;0,F1690&gt;0),1,0)</f>
        <v>1</v>
      </c>
      <c r="J1690" s="7" t="n">
        <f aca="false">IF(I1690=1,D1690*F1690,0)</f>
        <v>17.7</v>
      </c>
      <c r="K1690" s="7" t="n">
        <f aca="false">YEAR(E1690)*100+MONTH(E1690)</f>
        <v>201109</v>
      </c>
      <c r="L1690" s="7" t="n">
        <f aca="false">IF(AND(A1690&lt;&gt;A1689,LEFT(A1690,1)&lt;&gt;"C"),1,0)</f>
        <v>0</v>
      </c>
    </row>
    <row r="1691" customFormat="false" ht="15" hidden="false" customHeight="false" outlineLevel="0" collapsed="false">
      <c r="A1691" s="0" t="s">
        <v>1532</v>
      </c>
      <c r="B1691" s="0" t="s">
        <v>52</v>
      </c>
      <c r="C1691" s="0" t="s">
        <v>53</v>
      </c>
      <c r="D1691" s="0" t="n">
        <v>12</v>
      </c>
      <c r="E1691" s="6" t="n">
        <v>40815.4326388889</v>
      </c>
      <c r="F1691" s="0" t="n">
        <v>1.95</v>
      </c>
      <c r="G1691" s="0" t="n">
        <v>12615</v>
      </c>
      <c r="H1691" s="0" t="s">
        <v>43</v>
      </c>
      <c r="I1691" s="7" t="n">
        <f aca="false">IF(AND(LEFT(A1691,1)&lt;&gt;"C",D1691&gt;0,F1691&gt;0),1,0)</f>
        <v>1</v>
      </c>
      <c r="J1691" s="7" t="n">
        <f aca="false">IF(I1691=1,D1691*F1691,0)</f>
        <v>23.4</v>
      </c>
      <c r="K1691" s="7" t="n">
        <f aca="false">YEAR(E1691)*100+MONTH(E1691)</f>
        <v>201109</v>
      </c>
      <c r="L1691" s="7" t="n">
        <f aca="false">IF(AND(A1691&lt;&gt;A1690,LEFT(A1691,1)&lt;&gt;"C"),1,0)</f>
        <v>0</v>
      </c>
    </row>
    <row r="1692" customFormat="false" ht="15" hidden="false" customHeight="false" outlineLevel="0" collapsed="false">
      <c r="A1692" s="0" t="s">
        <v>1532</v>
      </c>
      <c r="B1692" s="0" t="s">
        <v>412</v>
      </c>
      <c r="C1692" s="0" t="s">
        <v>413</v>
      </c>
      <c r="D1692" s="0" t="n">
        <v>12</v>
      </c>
      <c r="E1692" s="6" t="n">
        <v>40815.4326388889</v>
      </c>
      <c r="F1692" s="0" t="n">
        <v>1.25</v>
      </c>
      <c r="G1692" s="0" t="n">
        <v>12615</v>
      </c>
      <c r="H1692" s="0" t="s">
        <v>43</v>
      </c>
      <c r="I1692" s="7" t="n">
        <f aca="false">IF(AND(LEFT(A1692,1)&lt;&gt;"C",D1692&gt;0,F1692&gt;0),1,0)</f>
        <v>1</v>
      </c>
      <c r="J1692" s="7" t="n">
        <f aca="false">IF(I1692=1,D1692*F1692,0)</f>
        <v>15</v>
      </c>
      <c r="K1692" s="7" t="n">
        <f aca="false">YEAR(E1692)*100+MONTH(E1692)</f>
        <v>201109</v>
      </c>
      <c r="L1692" s="7" t="n">
        <f aca="false">IF(AND(A1692&lt;&gt;A1691,LEFT(A1692,1)&lt;&gt;"C"),1,0)</f>
        <v>0</v>
      </c>
    </row>
    <row r="1693" customFormat="false" ht="15" hidden="false" customHeight="false" outlineLevel="0" collapsed="false">
      <c r="A1693" s="0" t="s">
        <v>1532</v>
      </c>
      <c r="B1693" s="0" t="s">
        <v>113</v>
      </c>
      <c r="C1693" s="0" t="s">
        <v>114</v>
      </c>
      <c r="D1693" s="0" t="n">
        <v>12</v>
      </c>
      <c r="E1693" s="6" t="n">
        <v>40815.4326388889</v>
      </c>
      <c r="F1693" s="0" t="n">
        <v>1.25</v>
      </c>
      <c r="G1693" s="0" t="n">
        <v>12615</v>
      </c>
      <c r="H1693" s="0" t="s">
        <v>43</v>
      </c>
      <c r="I1693" s="7" t="n">
        <f aca="false">IF(AND(LEFT(A1693,1)&lt;&gt;"C",D1693&gt;0,F1693&gt;0),1,0)</f>
        <v>1</v>
      </c>
      <c r="J1693" s="7" t="n">
        <f aca="false">IF(I1693=1,D1693*F1693,0)</f>
        <v>15</v>
      </c>
      <c r="K1693" s="7" t="n">
        <f aca="false">YEAR(E1693)*100+MONTH(E1693)</f>
        <v>201109</v>
      </c>
      <c r="L1693" s="7" t="n">
        <f aca="false">IF(AND(A1693&lt;&gt;A1692,LEFT(A1693,1)&lt;&gt;"C"),1,0)</f>
        <v>0</v>
      </c>
    </row>
    <row r="1694" customFormat="false" ht="15" hidden="false" customHeight="false" outlineLevel="0" collapsed="false">
      <c r="A1694" s="0" t="s">
        <v>1532</v>
      </c>
      <c r="B1694" s="0" t="s">
        <v>84</v>
      </c>
      <c r="C1694" s="0" t="s">
        <v>85</v>
      </c>
      <c r="D1694" s="0" t="n">
        <v>3</v>
      </c>
      <c r="E1694" s="6" t="n">
        <v>40815.4326388889</v>
      </c>
      <c r="F1694" s="0" t="n">
        <v>18</v>
      </c>
      <c r="G1694" s="0" t="n">
        <v>12615</v>
      </c>
      <c r="H1694" s="0" t="s">
        <v>43</v>
      </c>
      <c r="I1694" s="7" t="n">
        <f aca="false">IF(AND(LEFT(A1694,1)&lt;&gt;"C",D1694&gt;0,F1694&gt;0),1,0)</f>
        <v>1</v>
      </c>
      <c r="J1694" s="7" t="n">
        <f aca="false">IF(I1694=1,D1694*F1694,0)</f>
        <v>54</v>
      </c>
      <c r="K1694" s="7" t="n">
        <f aca="false">YEAR(E1694)*100+MONTH(E1694)</f>
        <v>201109</v>
      </c>
      <c r="L1694" s="7" t="n">
        <f aca="false">IF(AND(A1694&lt;&gt;A1693,LEFT(A1694,1)&lt;&gt;"C"),1,0)</f>
        <v>0</v>
      </c>
    </row>
    <row r="1695" customFormat="false" ht="15" hidden="false" customHeight="false" outlineLevel="0" collapsed="false">
      <c r="A1695" s="0" t="s">
        <v>1543</v>
      </c>
      <c r="B1695" s="0" t="s">
        <v>173</v>
      </c>
      <c r="C1695" s="0" t="s">
        <v>174</v>
      </c>
      <c r="D1695" s="0" t="n">
        <v>-1</v>
      </c>
      <c r="E1695" s="6" t="n">
        <v>40815.5555555556</v>
      </c>
      <c r="F1695" s="0" t="n">
        <v>1.25</v>
      </c>
      <c r="G1695" s="0" t="n">
        <v>12619</v>
      </c>
      <c r="H1695" s="0" t="s">
        <v>33</v>
      </c>
      <c r="I1695" s="7" t="n">
        <f aca="false">IF(AND(LEFT(A1695,1)&lt;&gt;"C",D1695&gt;0,F1695&gt;0),1,0)</f>
        <v>0</v>
      </c>
      <c r="J1695" s="7" t="n">
        <f aca="false">IF(I1695=1,D1695*F1695,0)</f>
        <v>0</v>
      </c>
      <c r="K1695" s="7" t="n">
        <f aca="false">YEAR(E1695)*100+MONTH(E1695)</f>
        <v>201109</v>
      </c>
      <c r="L1695" s="7" t="n">
        <f aca="false">IF(AND(A1695&lt;&gt;A1694,LEFT(A1695,1)&lt;&gt;"C"),1,0)</f>
        <v>0</v>
      </c>
    </row>
    <row r="1696" customFormat="false" ht="15" hidden="false" customHeight="false" outlineLevel="0" collapsed="false">
      <c r="A1696" s="0" t="s">
        <v>1544</v>
      </c>
      <c r="B1696" s="0" t="s">
        <v>750</v>
      </c>
      <c r="C1696" s="0" t="s">
        <v>751</v>
      </c>
      <c r="D1696" s="0" t="n">
        <v>16</v>
      </c>
      <c r="E1696" s="6" t="n">
        <v>40815.6465277778</v>
      </c>
      <c r="F1696" s="0" t="n">
        <v>1.69</v>
      </c>
      <c r="G1696" s="0" t="n">
        <v>12728</v>
      </c>
      <c r="H1696" s="0" t="s">
        <v>43</v>
      </c>
      <c r="I1696" s="7" t="n">
        <f aca="false">IF(AND(LEFT(A1696,1)&lt;&gt;"C",D1696&gt;0,F1696&gt;0),1,0)</f>
        <v>1</v>
      </c>
      <c r="J1696" s="7" t="n">
        <f aca="false">IF(I1696=1,D1696*F1696,0)</f>
        <v>27.04</v>
      </c>
      <c r="K1696" s="7" t="n">
        <f aca="false">YEAR(E1696)*100+MONTH(E1696)</f>
        <v>201109</v>
      </c>
      <c r="L1696" s="7" t="n">
        <f aca="false">IF(AND(A1696&lt;&gt;A1695,LEFT(A1696,1)&lt;&gt;"C"),1,0)</f>
        <v>1</v>
      </c>
    </row>
    <row r="1697" customFormat="false" ht="15" hidden="false" customHeight="false" outlineLevel="0" collapsed="false">
      <c r="A1697" s="0" t="s">
        <v>1544</v>
      </c>
      <c r="B1697" s="0" t="s">
        <v>107</v>
      </c>
      <c r="C1697" s="0" t="s">
        <v>108</v>
      </c>
      <c r="D1697" s="0" t="n">
        <v>6</v>
      </c>
      <c r="E1697" s="6" t="n">
        <v>40815.6465277778</v>
      </c>
      <c r="F1697" s="0" t="n">
        <v>2.55</v>
      </c>
      <c r="G1697" s="0" t="n">
        <v>12728</v>
      </c>
      <c r="H1697" s="0" t="s">
        <v>43</v>
      </c>
      <c r="I1697" s="7" t="n">
        <f aca="false">IF(AND(LEFT(A1697,1)&lt;&gt;"C",D1697&gt;0,F1697&gt;0),1,0)</f>
        <v>1</v>
      </c>
      <c r="J1697" s="7" t="n">
        <f aca="false">IF(I1697=1,D1697*F1697,0)</f>
        <v>15.3</v>
      </c>
      <c r="K1697" s="7" t="n">
        <f aca="false">YEAR(E1697)*100+MONTH(E1697)</f>
        <v>201109</v>
      </c>
      <c r="L1697" s="7" t="n">
        <f aca="false">IF(AND(A1697&lt;&gt;A1696,LEFT(A1697,1)&lt;&gt;"C"),1,0)</f>
        <v>0</v>
      </c>
    </row>
    <row r="1698" customFormat="false" ht="15" hidden="false" customHeight="false" outlineLevel="0" collapsed="false">
      <c r="A1698" s="0" t="s">
        <v>1544</v>
      </c>
      <c r="B1698" s="0" t="s">
        <v>1102</v>
      </c>
      <c r="C1698" s="0" t="s">
        <v>1103</v>
      </c>
      <c r="D1698" s="0" t="n">
        <v>6</v>
      </c>
      <c r="E1698" s="6" t="n">
        <v>40815.6465277778</v>
      </c>
      <c r="F1698" s="0" t="n">
        <v>2.55</v>
      </c>
      <c r="G1698" s="0" t="n">
        <v>12728</v>
      </c>
      <c r="H1698" s="0" t="s">
        <v>43</v>
      </c>
      <c r="I1698" s="7" t="n">
        <f aca="false">IF(AND(LEFT(A1698,1)&lt;&gt;"C",D1698&gt;0,F1698&gt;0),1,0)</f>
        <v>1</v>
      </c>
      <c r="J1698" s="7" t="n">
        <f aca="false">IF(I1698=1,D1698*F1698,0)</f>
        <v>15.3</v>
      </c>
      <c r="K1698" s="7" t="n">
        <f aca="false">YEAR(E1698)*100+MONTH(E1698)</f>
        <v>201109</v>
      </c>
      <c r="L1698" s="7" t="n">
        <f aca="false">IF(AND(A1698&lt;&gt;A1697,LEFT(A1698,1)&lt;&gt;"C"),1,0)</f>
        <v>0</v>
      </c>
    </row>
    <row r="1699" customFormat="false" ht="15" hidden="false" customHeight="false" outlineLevel="0" collapsed="false">
      <c r="A1699" s="0" t="s">
        <v>1544</v>
      </c>
      <c r="B1699" s="0" t="s">
        <v>731</v>
      </c>
      <c r="C1699" s="0" t="s">
        <v>732</v>
      </c>
      <c r="D1699" s="0" t="n">
        <v>6</v>
      </c>
      <c r="E1699" s="6" t="n">
        <v>40815.6465277778</v>
      </c>
      <c r="F1699" s="0" t="n">
        <v>2.95</v>
      </c>
      <c r="G1699" s="0" t="n">
        <v>12728</v>
      </c>
      <c r="H1699" s="0" t="s">
        <v>43</v>
      </c>
      <c r="I1699" s="7" t="n">
        <f aca="false">IF(AND(LEFT(A1699,1)&lt;&gt;"C",D1699&gt;0,F1699&gt;0),1,0)</f>
        <v>1</v>
      </c>
      <c r="J1699" s="7" t="n">
        <f aca="false">IF(I1699=1,D1699*F1699,0)</f>
        <v>17.7</v>
      </c>
      <c r="K1699" s="7" t="n">
        <f aca="false">YEAR(E1699)*100+MONTH(E1699)</f>
        <v>201109</v>
      </c>
      <c r="L1699" s="7" t="n">
        <f aca="false">IF(AND(A1699&lt;&gt;A1698,LEFT(A1699,1)&lt;&gt;"C"),1,0)</f>
        <v>0</v>
      </c>
    </row>
    <row r="1700" customFormat="false" ht="15" hidden="false" customHeight="false" outlineLevel="0" collapsed="false">
      <c r="A1700" s="0" t="s">
        <v>1544</v>
      </c>
      <c r="B1700" s="0" t="s">
        <v>1545</v>
      </c>
      <c r="C1700" s="0" t="s">
        <v>1546</v>
      </c>
      <c r="D1700" s="0" t="n">
        <v>24</v>
      </c>
      <c r="E1700" s="6" t="n">
        <v>40815.6465277778</v>
      </c>
      <c r="F1700" s="0" t="n">
        <v>0.65</v>
      </c>
      <c r="G1700" s="0" t="n">
        <v>12728</v>
      </c>
      <c r="H1700" s="0" t="s">
        <v>43</v>
      </c>
      <c r="I1700" s="7" t="n">
        <f aca="false">IF(AND(LEFT(A1700,1)&lt;&gt;"C",D1700&gt;0,F1700&gt;0),1,0)</f>
        <v>1</v>
      </c>
      <c r="J1700" s="7" t="n">
        <f aca="false">IF(I1700=1,D1700*F1700,0)</f>
        <v>15.6</v>
      </c>
      <c r="K1700" s="7" t="n">
        <f aca="false">YEAR(E1700)*100+MONTH(E1700)</f>
        <v>201109</v>
      </c>
      <c r="L1700" s="7" t="n">
        <f aca="false">IF(AND(A1700&lt;&gt;A1699,LEFT(A1700,1)&lt;&gt;"C"),1,0)</f>
        <v>0</v>
      </c>
    </row>
    <row r="1701" customFormat="false" ht="15" hidden="false" customHeight="false" outlineLevel="0" collapsed="false">
      <c r="A1701" s="0" t="s">
        <v>1544</v>
      </c>
      <c r="B1701" s="0" t="s">
        <v>1366</v>
      </c>
      <c r="C1701" s="0" t="s">
        <v>1367</v>
      </c>
      <c r="D1701" s="0" t="n">
        <v>48</v>
      </c>
      <c r="E1701" s="6" t="n">
        <v>40815.6465277778</v>
      </c>
      <c r="F1701" s="0" t="n">
        <v>0.85</v>
      </c>
      <c r="G1701" s="0" t="n">
        <v>12728</v>
      </c>
      <c r="H1701" s="0" t="s">
        <v>43</v>
      </c>
      <c r="I1701" s="7" t="n">
        <f aca="false">IF(AND(LEFT(A1701,1)&lt;&gt;"C",D1701&gt;0,F1701&gt;0),1,0)</f>
        <v>1</v>
      </c>
      <c r="J1701" s="7" t="n">
        <f aca="false">IF(I1701=1,D1701*F1701,0)</f>
        <v>40.8</v>
      </c>
      <c r="K1701" s="7" t="n">
        <f aca="false">YEAR(E1701)*100+MONTH(E1701)</f>
        <v>201109</v>
      </c>
      <c r="L1701" s="7" t="n">
        <f aca="false">IF(AND(A1701&lt;&gt;A1700,LEFT(A1701,1)&lt;&gt;"C"),1,0)</f>
        <v>0</v>
      </c>
    </row>
    <row r="1702" customFormat="false" ht="15" hidden="false" customHeight="false" outlineLevel="0" collapsed="false">
      <c r="A1702" s="0" t="s">
        <v>1544</v>
      </c>
      <c r="B1702" s="0" t="s">
        <v>1547</v>
      </c>
      <c r="C1702" s="0" t="s">
        <v>1548</v>
      </c>
      <c r="D1702" s="0" t="n">
        <v>4</v>
      </c>
      <c r="E1702" s="6" t="n">
        <v>40815.6465277778</v>
      </c>
      <c r="F1702" s="0" t="n">
        <v>4.15</v>
      </c>
      <c r="G1702" s="0" t="n">
        <v>12728</v>
      </c>
      <c r="H1702" s="0" t="s">
        <v>43</v>
      </c>
      <c r="I1702" s="7" t="n">
        <f aca="false">IF(AND(LEFT(A1702,1)&lt;&gt;"C",D1702&gt;0,F1702&gt;0),1,0)</f>
        <v>1</v>
      </c>
      <c r="J1702" s="7" t="n">
        <f aca="false">IF(I1702=1,D1702*F1702,0)</f>
        <v>16.6</v>
      </c>
      <c r="K1702" s="7" t="n">
        <f aca="false">YEAR(E1702)*100+MONTH(E1702)</f>
        <v>201109</v>
      </c>
      <c r="L1702" s="7" t="n">
        <f aca="false">IF(AND(A1702&lt;&gt;A1701,LEFT(A1702,1)&lt;&gt;"C"),1,0)</f>
        <v>0</v>
      </c>
    </row>
    <row r="1703" customFormat="false" ht="15" hidden="false" customHeight="false" outlineLevel="0" collapsed="false">
      <c r="A1703" s="0" t="s">
        <v>1544</v>
      </c>
      <c r="B1703" s="0" t="s">
        <v>213</v>
      </c>
      <c r="C1703" s="0" t="s">
        <v>214</v>
      </c>
      <c r="D1703" s="0" t="n">
        <v>12</v>
      </c>
      <c r="E1703" s="6" t="n">
        <v>40815.6465277778</v>
      </c>
      <c r="F1703" s="0" t="n">
        <v>0.85</v>
      </c>
      <c r="G1703" s="0" t="n">
        <v>12728</v>
      </c>
      <c r="H1703" s="0" t="s">
        <v>43</v>
      </c>
      <c r="I1703" s="7" t="n">
        <f aca="false">IF(AND(LEFT(A1703,1)&lt;&gt;"C",D1703&gt;0,F1703&gt;0),1,0)</f>
        <v>1</v>
      </c>
      <c r="J1703" s="7" t="n">
        <f aca="false">IF(I1703=1,D1703*F1703,0)</f>
        <v>10.2</v>
      </c>
      <c r="K1703" s="7" t="n">
        <f aca="false">YEAR(E1703)*100+MONTH(E1703)</f>
        <v>201109</v>
      </c>
      <c r="L1703" s="7" t="n">
        <f aca="false">IF(AND(A1703&lt;&gt;A1702,LEFT(A1703,1)&lt;&gt;"C"),1,0)</f>
        <v>0</v>
      </c>
    </row>
    <row r="1704" customFormat="false" ht="15" hidden="false" customHeight="false" outlineLevel="0" collapsed="false">
      <c r="A1704" s="0" t="s">
        <v>1544</v>
      </c>
      <c r="B1704" s="0" t="s">
        <v>1549</v>
      </c>
      <c r="C1704" s="0" t="s">
        <v>1550</v>
      </c>
      <c r="D1704" s="0" t="n">
        <v>4</v>
      </c>
      <c r="E1704" s="6" t="n">
        <v>40815.6465277778</v>
      </c>
      <c r="F1704" s="0" t="n">
        <v>3.75</v>
      </c>
      <c r="G1704" s="0" t="n">
        <v>12728</v>
      </c>
      <c r="H1704" s="0" t="s">
        <v>43</v>
      </c>
      <c r="I1704" s="7" t="n">
        <f aca="false">IF(AND(LEFT(A1704,1)&lt;&gt;"C",D1704&gt;0,F1704&gt;0),1,0)</f>
        <v>1</v>
      </c>
      <c r="J1704" s="7" t="n">
        <f aca="false">IF(I1704=1,D1704*F1704,0)</f>
        <v>15</v>
      </c>
      <c r="K1704" s="7" t="n">
        <f aca="false">YEAR(E1704)*100+MONTH(E1704)</f>
        <v>201109</v>
      </c>
      <c r="L1704" s="7" t="n">
        <f aca="false">IF(AND(A1704&lt;&gt;A1703,LEFT(A1704,1)&lt;&gt;"C"),1,0)</f>
        <v>0</v>
      </c>
    </row>
    <row r="1705" customFormat="false" ht="15" hidden="false" customHeight="false" outlineLevel="0" collapsed="false">
      <c r="A1705" s="0" t="s">
        <v>1544</v>
      </c>
      <c r="B1705" s="0" t="s">
        <v>1551</v>
      </c>
      <c r="C1705" s="0" t="s">
        <v>1552</v>
      </c>
      <c r="D1705" s="0" t="n">
        <v>12</v>
      </c>
      <c r="E1705" s="6" t="n">
        <v>40815.6465277778</v>
      </c>
      <c r="F1705" s="0" t="n">
        <v>0.42</v>
      </c>
      <c r="G1705" s="0" t="n">
        <v>12728</v>
      </c>
      <c r="H1705" s="0" t="s">
        <v>43</v>
      </c>
      <c r="I1705" s="7" t="n">
        <f aca="false">IF(AND(LEFT(A1705,1)&lt;&gt;"C",D1705&gt;0,F1705&gt;0),1,0)</f>
        <v>1</v>
      </c>
      <c r="J1705" s="7" t="n">
        <f aca="false">IF(I1705=1,D1705*F1705,0)</f>
        <v>5.04</v>
      </c>
      <c r="K1705" s="7" t="n">
        <f aca="false">YEAR(E1705)*100+MONTH(E1705)</f>
        <v>201109</v>
      </c>
      <c r="L1705" s="7" t="n">
        <f aca="false">IF(AND(A1705&lt;&gt;A1704,LEFT(A1705,1)&lt;&gt;"C"),1,0)</f>
        <v>0</v>
      </c>
    </row>
    <row r="1706" customFormat="false" ht="15" hidden="false" customHeight="false" outlineLevel="0" collapsed="false">
      <c r="A1706" s="0" t="s">
        <v>1544</v>
      </c>
      <c r="B1706" s="0" t="s">
        <v>747</v>
      </c>
      <c r="C1706" s="0" t="s">
        <v>748</v>
      </c>
      <c r="D1706" s="0" t="n">
        <v>12</v>
      </c>
      <c r="E1706" s="6" t="n">
        <v>40815.6465277778</v>
      </c>
      <c r="F1706" s="0" t="n">
        <v>0.42</v>
      </c>
      <c r="G1706" s="0" t="n">
        <v>12728</v>
      </c>
      <c r="H1706" s="0" t="s">
        <v>43</v>
      </c>
      <c r="I1706" s="7" t="n">
        <f aca="false">IF(AND(LEFT(A1706,1)&lt;&gt;"C",D1706&gt;0,F1706&gt;0),1,0)</f>
        <v>1</v>
      </c>
      <c r="J1706" s="7" t="n">
        <f aca="false">IF(I1706=1,D1706*F1706,0)</f>
        <v>5.04</v>
      </c>
      <c r="K1706" s="7" t="n">
        <f aca="false">YEAR(E1706)*100+MONTH(E1706)</f>
        <v>201109</v>
      </c>
      <c r="L1706" s="7" t="n">
        <f aca="false">IF(AND(A1706&lt;&gt;A1705,LEFT(A1706,1)&lt;&gt;"C"),1,0)</f>
        <v>0</v>
      </c>
    </row>
    <row r="1707" customFormat="false" ht="15" hidden="false" customHeight="false" outlineLevel="0" collapsed="false">
      <c r="A1707" s="0" t="s">
        <v>1544</v>
      </c>
      <c r="B1707" s="0" t="s">
        <v>583</v>
      </c>
      <c r="C1707" s="0" t="s">
        <v>584</v>
      </c>
      <c r="D1707" s="0" t="n">
        <v>12</v>
      </c>
      <c r="E1707" s="6" t="n">
        <v>40815.6465277778</v>
      </c>
      <c r="F1707" s="0" t="n">
        <v>1.45</v>
      </c>
      <c r="G1707" s="0" t="n">
        <v>12728</v>
      </c>
      <c r="H1707" s="0" t="s">
        <v>43</v>
      </c>
      <c r="I1707" s="7" t="n">
        <f aca="false">IF(AND(LEFT(A1707,1)&lt;&gt;"C",D1707&gt;0,F1707&gt;0),1,0)</f>
        <v>1</v>
      </c>
      <c r="J1707" s="7" t="n">
        <f aca="false">IF(I1707=1,D1707*F1707,0)</f>
        <v>17.4</v>
      </c>
      <c r="K1707" s="7" t="n">
        <f aca="false">YEAR(E1707)*100+MONTH(E1707)</f>
        <v>201109</v>
      </c>
      <c r="L1707" s="7" t="n">
        <f aca="false">IF(AND(A1707&lt;&gt;A1706,LEFT(A1707,1)&lt;&gt;"C"),1,0)</f>
        <v>0</v>
      </c>
    </row>
    <row r="1708" customFormat="false" ht="15" hidden="false" customHeight="false" outlineLevel="0" collapsed="false">
      <c r="A1708" s="0" t="s">
        <v>1544</v>
      </c>
      <c r="B1708" s="0" t="s">
        <v>84</v>
      </c>
      <c r="C1708" s="0" t="s">
        <v>85</v>
      </c>
      <c r="D1708" s="0" t="n">
        <v>1</v>
      </c>
      <c r="E1708" s="6" t="n">
        <v>40815.6465277778</v>
      </c>
      <c r="F1708" s="0" t="n">
        <v>18</v>
      </c>
      <c r="G1708" s="0" t="n">
        <v>12728</v>
      </c>
      <c r="H1708" s="0" t="s">
        <v>43</v>
      </c>
      <c r="I1708" s="7" t="n">
        <f aca="false">IF(AND(LEFT(A1708,1)&lt;&gt;"C",D1708&gt;0,F1708&gt;0),1,0)</f>
        <v>1</v>
      </c>
      <c r="J1708" s="7" t="n">
        <f aca="false">IF(I1708=1,D1708*F1708,0)</f>
        <v>18</v>
      </c>
      <c r="K1708" s="7" t="n">
        <f aca="false">YEAR(E1708)*100+MONTH(E1708)</f>
        <v>201109</v>
      </c>
      <c r="L1708" s="7" t="n">
        <f aca="false">IF(AND(A1708&lt;&gt;A1707,LEFT(A1708,1)&lt;&gt;"C"),1,0)</f>
        <v>0</v>
      </c>
    </row>
    <row r="1709" customFormat="false" ht="15" hidden="false" customHeight="false" outlineLevel="0" collapsed="false">
      <c r="A1709" s="0" t="s">
        <v>1553</v>
      </c>
      <c r="B1709" s="0" t="s">
        <v>197</v>
      </c>
      <c r="C1709" s="0" t="s">
        <v>198</v>
      </c>
      <c r="D1709" s="0" t="n">
        <v>12</v>
      </c>
      <c r="E1709" s="6" t="n">
        <v>40815.6652777778</v>
      </c>
      <c r="F1709" s="0" t="n">
        <v>0.85</v>
      </c>
      <c r="G1709" s="0" t="n">
        <v>12709</v>
      </c>
      <c r="H1709" s="0" t="s">
        <v>33</v>
      </c>
      <c r="I1709" s="7" t="n">
        <f aca="false">IF(AND(LEFT(A1709,1)&lt;&gt;"C",D1709&gt;0,F1709&gt;0),1,0)</f>
        <v>1</v>
      </c>
      <c r="J1709" s="7" t="n">
        <f aca="false">IF(I1709=1,D1709*F1709,0)</f>
        <v>10.2</v>
      </c>
      <c r="K1709" s="7" t="n">
        <f aca="false">YEAR(E1709)*100+MONTH(E1709)</f>
        <v>201109</v>
      </c>
      <c r="L1709" s="7" t="n">
        <f aca="false">IF(AND(A1709&lt;&gt;A1708,LEFT(A1709,1)&lt;&gt;"C"),1,0)</f>
        <v>1</v>
      </c>
    </row>
    <row r="1710" customFormat="false" ht="15" hidden="false" customHeight="false" outlineLevel="0" collapsed="false">
      <c r="A1710" s="0" t="s">
        <v>1553</v>
      </c>
      <c r="B1710" s="0" t="s">
        <v>217</v>
      </c>
      <c r="C1710" s="0" t="s">
        <v>218</v>
      </c>
      <c r="D1710" s="0" t="n">
        <v>24</v>
      </c>
      <c r="E1710" s="6" t="n">
        <v>40815.6652777778</v>
      </c>
      <c r="F1710" s="0" t="n">
        <v>0.55</v>
      </c>
      <c r="G1710" s="0" t="n">
        <v>12709</v>
      </c>
      <c r="H1710" s="0" t="s">
        <v>33</v>
      </c>
      <c r="I1710" s="7" t="n">
        <f aca="false">IF(AND(LEFT(A1710,1)&lt;&gt;"C",D1710&gt;0,F1710&gt;0),1,0)</f>
        <v>1</v>
      </c>
      <c r="J1710" s="7" t="n">
        <f aca="false">IF(I1710=1,D1710*F1710,0)</f>
        <v>13.2</v>
      </c>
      <c r="K1710" s="7" t="n">
        <f aca="false">YEAR(E1710)*100+MONTH(E1710)</f>
        <v>201109</v>
      </c>
      <c r="L1710" s="7" t="n">
        <f aca="false">IF(AND(A1710&lt;&gt;A1709,LEFT(A1710,1)&lt;&gt;"C"),1,0)</f>
        <v>0</v>
      </c>
    </row>
    <row r="1711" customFormat="false" ht="15" hidden="false" customHeight="false" outlineLevel="0" collapsed="false">
      <c r="A1711" s="0" t="s">
        <v>1553</v>
      </c>
      <c r="B1711" s="0" t="s">
        <v>769</v>
      </c>
      <c r="C1711" s="0" t="s">
        <v>770</v>
      </c>
      <c r="D1711" s="0" t="n">
        <v>12</v>
      </c>
      <c r="E1711" s="6" t="n">
        <v>40815.6652777778</v>
      </c>
      <c r="F1711" s="0" t="n">
        <v>1.45</v>
      </c>
      <c r="G1711" s="0" t="n">
        <v>12709</v>
      </c>
      <c r="H1711" s="0" t="s">
        <v>33</v>
      </c>
      <c r="I1711" s="7" t="n">
        <f aca="false">IF(AND(LEFT(A1711,1)&lt;&gt;"C",D1711&gt;0,F1711&gt;0),1,0)</f>
        <v>1</v>
      </c>
      <c r="J1711" s="7" t="n">
        <f aca="false">IF(I1711=1,D1711*F1711,0)</f>
        <v>17.4</v>
      </c>
      <c r="K1711" s="7" t="n">
        <f aca="false">YEAR(E1711)*100+MONTH(E1711)</f>
        <v>201109</v>
      </c>
      <c r="L1711" s="7" t="n">
        <f aca="false">IF(AND(A1711&lt;&gt;A1710,LEFT(A1711,1)&lt;&gt;"C"),1,0)</f>
        <v>0</v>
      </c>
    </row>
    <row r="1712" customFormat="false" ht="15" hidden="false" customHeight="false" outlineLevel="0" collapsed="false">
      <c r="A1712" s="0" t="s">
        <v>1553</v>
      </c>
      <c r="B1712" s="0" t="s">
        <v>1124</v>
      </c>
      <c r="C1712" s="0" t="s">
        <v>1125</v>
      </c>
      <c r="D1712" s="0" t="n">
        <v>6</v>
      </c>
      <c r="E1712" s="6" t="n">
        <v>40815.6652777778</v>
      </c>
      <c r="F1712" s="0" t="n">
        <v>8.5</v>
      </c>
      <c r="G1712" s="0" t="n">
        <v>12709</v>
      </c>
      <c r="H1712" s="0" t="s">
        <v>33</v>
      </c>
      <c r="I1712" s="7" t="n">
        <f aca="false">IF(AND(LEFT(A1712,1)&lt;&gt;"C",D1712&gt;0,F1712&gt;0),1,0)</f>
        <v>1</v>
      </c>
      <c r="J1712" s="7" t="n">
        <f aca="false">IF(I1712=1,D1712*F1712,0)</f>
        <v>51</v>
      </c>
      <c r="K1712" s="7" t="n">
        <f aca="false">YEAR(E1712)*100+MONTH(E1712)</f>
        <v>201109</v>
      </c>
      <c r="L1712" s="7" t="n">
        <f aca="false">IF(AND(A1712&lt;&gt;A1711,LEFT(A1712,1)&lt;&gt;"C"),1,0)</f>
        <v>0</v>
      </c>
    </row>
    <row r="1713" customFormat="false" ht="15" hidden="false" customHeight="false" outlineLevel="0" collapsed="false">
      <c r="A1713" s="0" t="s">
        <v>1553</v>
      </c>
      <c r="B1713" s="0" t="s">
        <v>493</v>
      </c>
      <c r="C1713" s="0" t="s">
        <v>494</v>
      </c>
      <c r="D1713" s="0" t="n">
        <v>24</v>
      </c>
      <c r="E1713" s="6" t="n">
        <v>40815.6652777778</v>
      </c>
      <c r="F1713" s="0" t="n">
        <v>0.85</v>
      </c>
      <c r="G1713" s="0" t="n">
        <v>12709</v>
      </c>
      <c r="H1713" s="0" t="s">
        <v>33</v>
      </c>
      <c r="I1713" s="7" t="n">
        <f aca="false">IF(AND(LEFT(A1713,1)&lt;&gt;"C",D1713&gt;0,F1713&gt;0),1,0)</f>
        <v>1</v>
      </c>
      <c r="J1713" s="7" t="n">
        <f aca="false">IF(I1713=1,D1713*F1713,0)</f>
        <v>20.4</v>
      </c>
      <c r="K1713" s="7" t="n">
        <f aca="false">YEAR(E1713)*100+MONTH(E1713)</f>
        <v>201109</v>
      </c>
      <c r="L1713" s="7" t="n">
        <f aca="false">IF(AND(A1713&lt;&gt;A1712,LEFT(A1713,1)&lt;&gt;"C"),1,0)</f>
        <v>0</v>
      </c>
    </row>
    <row r="1714" customFormat="false" ht="15" hidden="false" customHeight="false" outlineLevel="0" collapsed="false">
      <c r="A1714" s="0" t="s">
        <v>1553</v>
      </c>
      <c r="B1714" s="0" t="s">
        <v>164</v>
      </c>
      <c r="C1714" s="0" t="s">
        <v>165</v>
      </c>
      <c r="D1714" s="0" t="n">
        <v>16</v>
      </c>
      <c r="E1714" s="6" t="n">
        <v>40815.6652777778</v>
      </c>
      <c r="F1714" s="0" t="n">
        <v>1.25</v>
      </c>
      <c r="G1714" s="0" t="n">
        <v>12709</v>
      </c>
      <c r="H1714" s="0" t="s">
        <v>33</v>
      </c>
      <c r="I1714" s="7" t="n">
        <f aca="false">IF(AND(LEFT(A1714,1)&lt;&gt;"C",D1714&gt;0,F1714&gt;0),1,0)</f>
        <v>1</v>
      </c>
      <c r="J1714" s="7" t="n">
        <f aca="false">IF(I1714=1,D1714*F1714,0)</f>
        <v>20</v>
      </c>
      <c r="K1714" s="7" t="n">
        <f aca="false">YEAR(E1714)*100+MONTH(E1714)</f>
        <v>201109</v>
      </c>
      <c r="L1714" s="7" t="n">
        <f aca="false">IF(AND(A1714&lt;&gt;A1713,LEFT(A1714,1)&lt;&gt;"C"),1,0)</f>
        <v>0</v>
      </c>
    </row>
    <row r="1715" customFormat="false" ht="15" hidden="false" customHeight="false" outlineLevel="0" collapsed="false">
      <c r="A1715" s="0" t="s">
        <v>1553</v>
      </c>
      <c r="B1715" s="0" t="s">
        <v>1214</v>
      </c>
      <c r="C1715" s="0" t="s">
        <v>1215</v>
      </c>
      <c r="D1715" s="0" t="n">
        <v>16</v>
      </c>
      <c r="E1715" s="6" t="n">
        <v>40815.6652777778</v>
      </c>
      <c r="F1715" s="0" t="n">
        <v>1.25</v>
      </c>
      <c r="G1715" s="0" t="n">
        <v>12709</v>
      </c>
      <c r="H1715" s="0" t="s">
        <v>33</v>
      </c>
      <c r="I1715" s="7" t="n">
        <f aca="false">IF(AND(LEFT(A1715,1)&lt;&gt;"C",D1715&gt;0,F1715&gt;0),1,0)</f>
        <v>1</v>
      </c>
      <c r="J1715" s="7" t="n">
        <f aca="false">IF(I1715=1,D1715*F1715,0)</f>
        <v>20</v>
      </c>
      <c r="K1715" s="7" t="n">
        <f aca="false">YEAR(E1715)*100+MONTH(E1715)</f>
        <v>201109</v>
      </c>
      <c r="L1715" s="7" t="n">
        <f aca="false">IF(AND(A1715&lt;&gt;A1714,LEFT(A1715,1)&lt;&gt;"C"),1,0)</f>
        <v>0</v>
      </c>
    </row>
    <row r="1716" customFormat="false" ht="15" hidden="false" customHeight="false" outlineLevel="0" collapsed="false">
      <c r="A1716" s="0" t="s">
        <v>1553</v>
      </c>
      <c r="B1716" s="0" t="s">
        <v>166</v>
      </c>
      <c r="C1716" s="0" t="s">
        <v>167</v>
      </c>
      <c r="D1716" s="0" t="n">
        <v>16</v>
      </c>
      <c r="E1716" s="6" t="n">
        <v>40815.6652777778</v>
      </c>
      <c r="F1716" s="0" t="n">
        <v>1.25</v>
      </c>
      <c r="G1716" s="0" t="n">
        <v>12709</v>
      </c>
      <c r="H1716" s="0" t="s">
        <v>33</v>
      </c>
      <c r="I1716" s="7" t="n">
        <f aca="false">IF(AND(LEFT(A1716,1)&lt;&gt;"C",D1716&gt;0,F1716&gt;0),1,0)</f>
        <v>1</v>
      </c>
      <c r="J1716" s="7" t="n">
        <f aca="false">IF(I1716=1,D1716*F1716,0)</f>
        <v>20</v>
      </c>
      <c r="K1716" s="7" t="n">
        <f aca="false">YEAR(E1716)*100+MONTH(E1716)</f>
        <v>201109</v>
      </c>
      <c r="L1716" s="7" t="n">
        <f aca="false">IF(AND(A1716&lt;&gt;A1715,LEFT(A1716,1)&lt;&gt;"C"),1,0)</f>
        <v>0</v>
      </c>
    </row>
    <row r="1717" customFormat="false" ht="15" hidden="false" customHeight="false" outlineLevel="0" collapsed="false">
      <c r="A1717" s="0" t="s">
        <v>1553</v>
      </c>
      <c r="B1717" s="0" t="s">
        <v>107</v>
      </c>
      <c r="C1717" s="0" t="s">
        <v>108</v>
      </c>
      <c r="D1717" s="0" t="n">
        <v>12</v>
      </c>
      <c r="E1717" s="6" t="n">
        <v>40815.6652777778</v>
      </c>
      <c r="F1717" s="0" t="n">
        <v>2.55</v>
      </c>
      <c r="G1717" s="0" t="n">
        <v>12709</v>
      </c>
      <c r="H1717" s="0" t="s">
        <v>33</v>
      </c>
      <c r="I1717" s="7" t="n">
        <f aca="false">IF(AND(LEFT(A1717,1)&lt;&gt;"C",D1717&gt;0,F1717&gt;0),1,0)</f>
        <v>1</v>
      </c>
      <c r="J1717" s="7" t="n">
        <f aca="false">IF(I1717=1,D1717*F1717,0)</f>
        <v>30.6</v>
      </c>
      <c r="K1717" s="7" t="n">
        <f aca="false">YEAR(E1717)*100+MONTH(E1717)</f>
        <v>201109</v>
      </c>
      <c r="L1717" s="7" t="n">
        <f aca="false">IF(AND(A1717&lt;&gt;A1716,LEFT(A1717,1)&lt;&gt;"C"),1,0)</f>
        <v>0</v>
      </c>
    </row>
    <row r="1718" customFormat="false" ht="15" hidden="false" customHeight="false" outlineLevel="0" collapsed="false">
      <c r="A1718" s="0" t="s">
        <v>1553</v>
      </c>
      <c r="B1718" s="0" t="s">
        <v>151</v>
      </c>
      <c r="C1718" s="0" t="s">
        <v>152</v>
      </c>
      <c r="D1718" s="0" t="n">
        <v>12</v>
      </c>
      <c r="E1718" s="6" t="n">
        <v>40815.6652777778</v>
      </c>
      <c r="F1718" s="0" t="n">
        <v>0.85</v>
      </c>
      <c r="G1718" s="0" t="n">
        <v>12709</v>
      </c>
      <c r="H1718" s="0" t="s">
        <v>33</v>
      </c>
      <c r="I1718" s="7" t="n">
        <f aca="false">IF(AND(LEFT(A1718,1)&lt;&gt;"C",D1718&gt;0,F1718&gt;0),1,0)</f>
        <v>1</v>
      </c>
      <c r="J1718" s="7" t="n">
        <f aca="false">IF(I1718=1,D1718*F1718,0)</f>
        <v>10.2</v>
      </c>
      <c r="K1718" s="7" t="n">
        <f aca="false">YEAR(E1718)*100+MONTH(E1718)</f>
        <v>201109</v>
      </c>
      <c r="L1718" s="7" t="n">
        <f aca="false">IF(AND(A1718&lt;&gt;A1717,LEFT(A1718,1)&lt;&gt;"C"),1,0)</f>
        <v>0</v>
      </c>
    </row>
    <row r="1719" customFormat="false" ht="15" hidden="false" customHeight="false" outlineLevel="0" collapsed="false">
      <c r="A1719" s="0" t="s">
        <v>1553</v>
      </c>
      <c r="B1719" s="0" t="s">
        <v>450</v>
      </c>
      <c r="C1719" s="0" t="s">
        <v>451</v>
      </c>
      <c r="D1719" s="0" t="n">
        <v>12</v>
      </c>
      <c r="E1719" s="6" t="n">
        <v>40815.6652777778</v>
      </c>
      <c r="F1719" s="0" t="n">
        <v>2.95</v>
      </c>
      <c r="G1719" s="0" t="n">
        <v>12709</v>
      </c>
      <c r="H1719" s="0" t="s">
        <v>33</v>
      </c>
      <c r="I1719" s="7" t="n">
        <f aca="false">IF(AND(LEFT(A1719,1)&lt;&gt;"C",D1719&gt;0,F1719&gt;0),1,0)</f>
        <v>1</v>
      </c>
      <c r="J1719" s="7" t="n">
        <f aca="false">IF(I1719=1,D1719*F1719,0)</f>
        <v>35.4</v>
      </c>
      <c r="K1719" s="7" t="n">
        <f aca="false">YEAR(E1719)*100+MONTH(E1719)</f>
        <v>201109</v>
      </c>
      <c r="L1719" s="7" t="n">
        <f aca="false">IF(AND(A1719&lt;&gt;A1718,LEFT(A1719,1)&lt;&gt;"C"),1,0)</f>
        <v>0</v>
      </c>
    </row>
    <row r="1720" customFormat="false" ht="15" hidden="false" customHeight="false" outlineLevel="0" collapsed="false">
      <c r="A1720" s="0" t="s">
        <v>1553</v>
      </c>
      <c r="B1720" s="0" t="s">
        <v>101</v>
      </c>
      <c r="C1720" s="0" t="s">
        <v>102</v>
      </c>
      <c r="D1720" s="0" t="n">
        <v>12</v>
      </c>
      <c r="E1720" s="6" t="n">
        <v>40815.6652777778</v>
      </c>
      <c r="F1720" s="0" t="n">
        <v>0.85</v>
      </c>
      <c r="G1720" s="0" t="n">
        <v>12709</v>
      </c>
      <c r="H1720" s="0" t="s">
        <v>33</v>
      </c>
      <c r="I1720" s="7" t="n">
        <f aca="false">IF(AND(LEFT(A1720,1)&lt;&gt;"C",D1720&gt;0,F1720&gt;0),1,0)</f>
        <v>1</v>
      </c>
      <c r="J1720" s="7" t="n">
        <f aca="false">IF(I1720=1,D1720*F1720,0)</f>
        <v>10.2</v>
      </c>
      <c r="K1720" s="7" t="n">
        <f aca="false">YEAR(E1720)*100+MONTH(E1720)</f>
        <v>201109</v>
      </c>
      <c r="L1720" s="7" t="n">
        <f aca="false">IF(AND(A1720&lt;&gt;A1719,LEFT(A1720,1)&lt;&gt;"C"),1,0)</f>
        <v>0</v>
      </c>
    </row>
    <row r="1721" customFormat="false" ht="15" hidden="false" customHeight="false" outlineLevel="0" collapsed="false">
      <c r="A1721" s="0" t="s">
        <v>1553</v>
      </c>
      <c r="B1721" s="0" t="s">
        <v>318</v>
      </c>
      <c r="C1721" s="0" t="s">
        <v>319</v>
      </c>
      <c r="D1721" s="0" t="n">
        <v>8</v>
      </c>
      <c r="E1721" s="6" t="n">
        <v>40815.6652777778</v>
      </c>
      <c r="F1721" s="0" t="n">
        <v>3.75</v>
      </c>
      <c r="G1721" s="0" t="n">
        <v>12709</v>
      </c>
      <c r="H1721" s="0" t="s">
        <v>33</v>
      </c>
      <c r="I1721" s="7" t="n">
        <f aca="false">IF(AND(LEFT(A1721,1)&lt;&gt;"C",D1721&gt;0,F1721&gt;0),1,0)</f>
        <v>1</v>
      </c>
      <c r="J1721" s="7" t="n">
        <f aca="false">IF(I1721=1,D1721*F1721,0)</f>
        <v>30</v>
      </c>
      <c r="K1721" s="7" t="n">
        <f aca="false">YEAR(E1721)*100+MONTH(E1721)</f>
        <v>201109</v>
      </c>
      <c r="L1721" s="7" t="n">
        <f aca="false">IF(AND(A1721&lt;&gt;A1720,LEFT(A1721,1)&lt;&gt;"C"),1,0)</f>
        <v>0</v>
      </c>
    </row>
    <row r="1722" customFormat="false" ht="15" hidden="false" customHeight="false" outlineLevel="0" collapsed="false">
      <c r="A1722" s="0" t="s">
        <v>1553</v>
      </c>
      <c r="B1722" s="0" t="s">
        <v>320</v>
      </c>
      <c r="C1722" s="0" t="s">
        <v>321</v>
      </c>
      <c r="D1722" s="0" t="n">
        <v>8</v>
      </c>
      <c r="E1722" s="6" t="n">
        <v>40815.6652777778</v>
      </c>
      <c r="F1722" s="0" t="n">
        <v>3.75</v>
      </c>
      <c r="G1722" s="0" t="n">
        <v>12709</v>
      </c>
      <c r="H1722" s="0" t="s">
        <v>33</v>
      </c>
      <c r="I1722" s="7" t="n">
        <f aca="false">IF(AND(LEFT(A1722,1)&lt;&gt;"C",D1722&gt;0,F1722&gt;0),1,0)</f>
        <v>1</v>
      </c>
      <c r="J1722" s="7" t="n">
        <f aca="false">IF(I1722=1,D1722*F1722,0)</f>
        <v>30</v>
      </c>
      <c r="K1722" s="7" t="n">
        <f aca="false">YEAR(E1722)*100+MONTH(E1722)</f>
        <v>201109</v>
      </c>
      <c r="L1722" s="7" t="n">
        <f aca="false">IF(AND(A1722&lt;&gt;A1721,LEFT(A1722,1)&lt;&gt;"C"),1,0)</f>
        <v>0</v>
      </c>
    </row>
    <row r="1723" customFormat="false" ht="15" hidden="false" customHeight="false" outlineLevel="0" collapsed="false">
      <c r="A1723" s="0" t="s">
        <v>1553</v>
      </c>
      <c r="B1723" s="0" t="s">
        <v>322</v>
      </c>
      <c r="C1723" s="0" t="s">
        <v>323</v>
      </c>
      <c r="D1723" s="0" t="n">
        <v>8</v>
      </c>
      <c r="E1723" s="6" t="n">
        <v>40815.6652777778</v>
      </c>
      <c r="F1723" s="0" t="n">
        <v>3.75</v>
      </c>
      <c r="G1723" s="0" t="n">
        <v>12709</v>
      </c>
      <c r="H1723" s="0" t="s">
        <v>33</v>
      </c>
      <c r="I1723" s="7" t="n">
        <f aca="false">IF(AND(LEFT(A1723,1)&lt;&gt;"C",D1723&gt;0,F1723&gt;0),1,0)</f>
        <v>1</v>
      </c>
      <c r="J1723" s="7" t="n">
        <f aca="false">IF(I1723=1,D1723*F1723,0)</f>
        <v>30</v>
      </c>
      <c r="K1723" s="7" t="n">
        <f aca="false">YEAR(E1723)*100+MONTH(E1723)</f>
        <v>201109</v>
      </c>
      <c r="L1723" s="7" t="n">
        <f aca="false">IF(AND(A1723&lt;&gt;A1722,LEFT(A1723,1)&lt;&gt;"C"),1,0)</f>
        <v>0</v>
      </c>
    </row>
    <row r="1724" customFormat="false" ht="15" hidden="false" customHeight="false" outlineLevel="0" collapsed="false">
      <c r="A1724" s="0" t="s">
        <v>1553</v>
      </c>
      <c r="B1724" s="0" t="s">
        <v>140</v>
      </c>
      <c r="C1724" s="0" t="s">
        <v>141</v>
      </c>
      <c r="D1724" s="0" t="n">
        <v>12</v>
      </c>
      <c r="E1724" s="6" t="n">
        <v>40815.6652777778</v>
      </c>
      <c r="F1724" s="0" t="n">
        <v>1.45</v>
      </c>
      <c r="G1724" s="0" t="n">
        <v>12709</v>
      </c>
      <c r="H1724" s="0" t="s">
        <v>33</v>
      </c>
      <c r="I1724" s="7" t="n">
        <f aca="false">IF(AND(LEFT(A1724,1)&lt;&gt;"C",D1724&gt;0,F1724&gt;0),1,0)</f>
        <v>1</v>
      </c>
      <c r="J1724" s="7" t="n">
        <f aca="false">IF(I1724=1,D1724*F1724,0)</f>
        <v>17.4</v>
      </c>
      <c r="K1724" s="7" t="n">
        <f aca="false">YEAR(E1724)*100+MONTH(E1724)</f>
        <v>201109</v>
      </c>
      <c r="L1724" s="7" t="n">
        <f aca="false">IF(AND(A1724&lt;&gt;A1723,LEFT(A1724,1)&lt;&gt;"C"),1,0)</f>
        <v>0</v>
      </c>
    </row>
    <row r="1725" customFormat="false" ht="15" hidden="false" customHeight="false" outlineLevel="0" collapsed="false">
      <c r="A1725" s="0" t="s">
        <v>1553</v>
      </c>
      <c r="B1725" s="0" t="s">
        <v>133</v>
      </c>
      <c r="C1725" s="0" t="s">
        <v>134</v>
      </c>
      <c r="D1725" s="0" t="n">
        <v>12</v>
      </c>
      <c r="E1725" s="6" t="n">
        <v>40815.6652777778</v>
      </c>
      <c r="F1725" s="0" t="n">
        <v>3.25</v>
      </c>
      <c r="G1725" s="0" t="n">
        <v>12709</v>
      </c>
      <c r="H1725" s="0" t="s">
        <v>33</v>
      </c>
      <c r="I1725" s="7" t="n">
        <f aca="false">IF(AND(LEFT(A1725,1)&lt;&gt;"C",D1725&gt;0,F1725&gt;0),1,0)</f>
        <v>1</v>
      </c>
      <c r="J1725" s="7" t="n">
        <f aca="false">IF(I1725=1,D1725*F1725,0)</f>
        <v>39</v>
      </c>
      <c r="K1725" s="7" t="n">
        <f aca="false">YEAR(E1725)*100+MONTH(E1725)</f>
        <v>201109</v>
      </c>
      <c r="L1725" s="7" t="n">
        <f aca="false">IF(AND(A1725&lt;&gt;A1724,LEFT(A1725,1)&lt;&gt;"C"),1,0)</f>
        <v>0</v>
      </c>
    </row>
    <row r="1726" customFormat="false" ht="15" hidden="false" customHeight="false" outlineLevel="0" collapsed="false">
      <c r="A1726" s="0" t="s">
        <v>1553</v>
      </c>
      <c r="B1726" s="0" t="s">
        <v>187</v>
      </c>
      <c r="C1726" s="0" t="s">
        <v>188</v>
      </c>
      <c r="D1726" s="0" t="n">
        <v>21</v>
      </c>
      <c r="E1726" s="6" t="n">
        <v>40815.6652777778</v>
      </c>
      <c r="F1726" s="0" t="n">
        <v>5.45</v>
      </c>
      <c r="G1726" s="0" t="n">
        <v>12709</v>
      </c>
      <c r="H1726" s="0" t="s">
        <v>33</v>
      </c>
      <c r="I1726" s="7" t="n">
        <f aca="false">IF(AND(LEFT(A1726,1)&lt;&gt;"C",D1726&gt;0,F1726&gt;0),1,0)</f>
        <v>1</v>
      </c>
      <c r="J1726" s="7" t="n">
        <f aca="false">IF(I1726=1,D1726*F1726,0)</f>
        <v>114.45</v>
      </c>
      <c r="K1726" s="7" t="n">
        <f aca="false">YEAR(E1726)*100+MONTH(E1726)</f>
        <v>201109</v>
      </c>
      <c r="L1726" s="7" t="n">
        <f aca="false">IF(AND(A1726&lt;&gt;A1725,LEFT(A1726,1)&lt;&gt;"C"),1,0)</f>
        <v>0</v>
      </c>
    </row>
    <row r="1727" customFormat="false" ht="15" hidden="false" customHeight="false" outlineLevel="0" collapsed="false">
      <c r="A1727" s="0" t="s">
        <v>1553</v>
      </c>
      <c r="B1727" s="0" t="s">
        <v>185</v>
      </c>
      <c r="C1727" s="0" t="s">
        <v>186</v>
      </c>
      <c r="D1727" s="0" t="n">
        <v>21</v>
      </c>
      <c r="E1727" s="6" t="n">
        <v>40815.6652777778</v>
      </c>
      <c r="F1727" s="0" t="n">
        <v>5.45</v>
      </c>
      <c r="G1727" s="0" t="n">
        <v>12709</v>
      </c>
      <c r="H1727" s="0" t="s">
        <v>33</v>
      </c>
      <c r="I1727" s="7" t="n">
        <f aca="false">IF(AND(LEFT(A1727,1)&lt;&gt;"C",D1727&gt;0,F1727&gt;0),1,0)</f>
        <v>1</v>
      </c>
      <c r="J1727" s="7" t="n">
        <f aca="false">IF(I1727=1,D1727*F1727,0)</f>
        <v>114.45</v>
      </c>
      <c r="K1727" s="7" t="n">
        <f aca="false">YEAR(E1727)*100+MONTH(E1727)</f>
        <v>201109</v>
      </c>
      <c r="L1727" s="7" t="n">
        <f aca="false">IF(AND(A1727&lt;&gt;A1726,LEFT(A1727,1)&lt;&gt;"C"),1,0)</f>
        <v>0</v>
      </c>
    </row>
    <row r="1728" customFormat="false" ht="15" hidden="false" customHeight="false" outlineLevel="0" collapsed="false">
      <c r="A1728" s="0" t="s">
        <v>1553</v>
      </c>
      <c r="B1728" s="0" t="s">
        <v>328</v>
      </c>
      <c r="C1728" s="0" t="s">
        <v>329</v>
      </c>
      <c r="D1728" s="0" t="n">
        <v>15</v>
      </c>
      <c r="E1728" s="6" t="n">
        <v>40815.6652777778</v>
      </c>
      <c r="F1728" s="0" t="n">
        <v>3.75</v>
      </c>
      <c r="G1728" s="0" t="n">
        <v>12709</v>
      </c>
      <c r="H1728" s="0" t="s">
        <v>33</v>
      </c>
      <c r="I1728" s="7" t="n">
        <f aca="false">IF(AND(LEFT(A1728,1)&lt;&gt;"C",D1728&gt;0,F1728&gt;0),1,0)</f>
        <v>1</v>
      </c>
      <c r="J1728" s="7" t="n">
        <f aca="false">IF(I1728=1,D1728*F1728,0)</f>
        <v>56.25</v>
      </c>
      <c r="K1728" s="7" t="n">
        <f aca="false">YEAR(E1728)*100+MONTH(E1728)</f>
        <v>201109</v>
      </c>
      <c r="L1728" s="7" t="n">
        <f aca="false">IF(AND(A1728&lt;&gt;A1727,LEFT(A1728,1)&lt;&gt;"C"),1,0)</f>
        <v>0</v>
      </c>
    </row>
    <row r="1729" customFormat="false" ht="15" hidden="false" customHeight="false" outlineLevel="0" collapsed="false">
      <c r="A1729" s="0" t="s">
        <v>1553</v>
      </c>
      <c r="B1729" s="0" t="s">
        <v>330</v>
      </c>
      <c r="C1729" s="0" t="s">
        <v>331</v>
      </c>
      <c r="D1729" s="0" t="n">
        <v>24</v>
      </c>
      <c r="E1729" s="6" t="n">
        <v>40815.6652777778</v>
      </c>
      <c r="F1729" s="0" t="n">
        <v>0.42</v>
      </c>
      <c r="G1729" s="0" t="n">
        <v>12709</v>
      </c>
      <c r="H1729" s="0" t="s">
        <v>33</v>
      </c>
      <c r="I1729" s="7" t="n">
        <f aca="false">IF(AND(LEFT(A1729,1)&lt;&gt;"C",D1729&gt;0,F1729&gt;0),1,0)</f>
        <v>1</v>
      </c>
      <c r="J1729" s="7" t="n">
        <f aca="false">IF(I1729=1,D1729*F1729,0)</f>
        <v>10.08</v>
      </c>
      <c r="K1729" s="7" t="n">
        <f aca="false">YEAR(E1729)*100+MONTH(E1729)</f>
        <v>201109</v>
      </c>
      <c r="L1729" s="7" t="n">
        <f aca="false">IF(AND(A1729&lt;&gt;A1728,LEFT(A1729,1)&lt;&gt;"C"),1,0)</f>
        <v>0</v>
      </c>
    </row>
    <row r="1730" customFormat="false" ht="15" hidden="false" customHeight="false" outlineLevel="0" collapsed="false">
      <c r="A1730" s="0" t="s">
        <v>1553</v>
      </c>
      <c r="B1730" s="0" t="s">
        <v>324</v>
      </c>
      <c r="C1730" s="0" t="s">
        <v>325</v>
      </c>
      <c r="D1730" s="0" t="n">
        <v>8</v>
      </c>
      <c r="E1730" s="6" t="n">
        <v>40815.6652777778</v>
      </c>
      <c r="F1730" s="0" t="n">
        <v>4.95</v>
      </c>
      <c r="G1730" s="0" t="n">
        <v>12709</v>
      </c>
      <c r="H1730" s="0" t="s">
        <v>33</v>
      </c>
      <c r="I1730" s="7" t="n">
        <f aca="false">IF(AND(LEFT(A1730,1)&lt;&gt;"C",D1730&gt;0,F1730&gt;0),1,0)</f>
        <v>1</v>
      </c>
      <c r="J1730" s="7" t="n">
        <f aca="false">IF(I1730=1,D1730*F1730,0)</f>
        <v>39.6</v>
      </c>
      <c r="K1730" s="7" t="n">
        <f aca="false">YEAR(E1730)*100+MONTH(E1730)</f>
        <v>201109</v>
      </c>
      <c r="L1730" s="7" t="n">
        <f aca="false">IF(AND(A1730&lt;&gt;A1729,LEFT(A1730,1)&lt;&gt;"C"),1,0)</f>
        <v>0</v>
      </c>
    </row>
    <row r="1731" customFormat="false" ht="15" hidden="false" customHeight="false" outlineLevel="0" collapsed="false">
      <c r="A1731" s="0" t="s">
        <v>1553</v>
      </c>
      <c r="B1731" s="0" t="s">
        <v>326</v>
      </c>
      <c r="C1731" s="0" t="s">
        <v>327</v>
      </c>
      <c r="D1731" s="0" t="n">
        <v>10</v>
      </c>
      <c r="E1731" s="6" t="n">
        <v>40815.6652777778</v>
      </c>
      <c r="F1731" s="0" t="n">
        <v>8.5</v>
      </c>
      <c r="G1731" s="0" t="n">
        <v>12709</v>
      </c>
      <c r="H1731" s="0" t="s">
        <v>33</v>
      </c>
      <c r="I1731" s="7" t="n">
        <f aca="false">IF(AND(LEFT(A1731,1)&lt;&gt;"C",D1731&gt;0,F1731&gt;0),1,0)</f>
        <v>1</v>
      </c>
      <c r="J1731" s="7" t="n">
        <f aca="false">IF(I1731=1,D1731*F1731,0)</f>
        <v>85</v>
      </c>
      <c r="K1731" s="7" t="n">
        <f aca="false">YEAR(E1731)*100+MONTH(E1731)</f>
        <v>201109</v>
      </c>
      <c r="L1731" s="7" t="n">
        <f aca="false">IF(AND(A1731&lt;&gt;A1730,LEFT(A1731,1)&lt;&gt;"C"),1,0)</f>
        <v>0</v>
      </c>
    </row>
    <row r="1732" customFormat="false" ht="15" hidden="false" customHeight="false" outlineLevel="0" collapsed="false">
      <c r="A1732" s="0" t="s">
        <v>1554</v>
      </c>
      <c r="B1732" s="0" t="s">
        <v>764</v>
      </c>
      <c r="C1732" s="0" t="s">
        <v>765</v>
      </c>
      <c r="D1732" s="0" t="n">
        <v>24</v>
      </c>
      <c r="E1732" s="6" t="n">
        <v>40815.6930555556</v>
      </c>
      <c r="F1732" s="0" t="n">
        <v>0.39</v>
      </c>
      <c r="G1732" s="0" t="n">
        <v>12718</v>
      </c>
      <c r="H1732" s="0" t="s">
        <v>43</v>
      </c>
      <c r="I1732" s="7" t="n">
        <f aca="false">IF(AND(LEFT(A1732,1)&lt;&gt;"C",D1732&gt;0,F1732&gt;0),1,0)</f>
        <v>1</v>
      </c>
      <c r="J1732" s="7" t="n">
        <f aca="false">IF(I1732=1,D1732*F1732,0)</f>
        <v>9.36</v>
      </c>
      <c r="K1732" s="7" t="n">
        <f aca="false">YEAR(E1732)*100+MONTH(E1732)</f>
        <v>201109</v>
      </c>
      <c r="L1732" s="7" t="n">
        <f aca="false">IF(AND(A1732&lt;&gt;A1731,LEFT(A1732,1)&lt;&gt;"C"),1,0)</f>
        <v>1</v>
      </c>
    </row>
    <row r="1733" customFormat="false" ht="15" hidden="false" customHeight="false" outlineLevel="0" collapsed="false">
      <c r="A1733" s="0" t="s">
        <v>1554</v>
      </c>
      <c r="B1733" s="0" t="s">
        <v>1555</v>
      </c>
      <c r="C1733" s="0" t="s">
        <v>1556</v>
      </c>
      <c r="D1733" s="0" t="n">
        <v>12</v>
      </c>
      <c r="E1733" s="6" t="n">
        <v>40815.6930555556</v>
      </c>
      <c r="F1733" s="0" t="n">
        <v>0.42</v>
      </c>
      <c r="G1733" s="0" t="n">
        <v>12718</v>
      </c>
      <c r="H1733" s="0" t="s">
        <v>43</v>
      </c>
      <c r="I1733" s="7" t="n">
        <f aca="false">IF(AND(LEFT(A1733,1)&lt;&gt;"C",D1733&gt;0,F1733&gt;0),1,0)</f>
        <v>1</v>
      </c>
      <c r="J1733" s="7" t="n">
        <f aca="false">IF(I1733=1,D1733*F1733,0)</f>
        <v>5.04</v>
      </c>
      <c r="K1733" s="7" t="n">
        <f aca="false">YEAR(E1733)*100+MONTH(E1733)</f>
        <v>201109</v>
      </c>
      <c r="L1733" s="7" t="n">
        <f aca="false">IF(AND(A1733&lt;&gt;A1732,LEFT(A1733,1)&lt;&gt;"C"),1,0)</f>
        <v>0</v>
      </c>
    </row>
    <row r="1734" customFormat="false" ht="15" hidden="false" customHeight="false" outlineLevel="0" collapsed="false">
      <c r="A1734" s="0" t="s">
        <v>1554</v>
      </c>
      <c r="B1734" s="0" t="s">
        <v>1557</v>
      </c>
      <c r="C1734" s="0" t="s">
        <v>1558</v>
      </c>
      <c r="D1734" s="0" t="n">
        <v>12</v>
      </c>
      <c r="E1734" s="6" t="n">
        <v>40815.6930555556</v>
      </c>
      <c r="F1734" s="0" t="n">
        <v>1.45</v>
      </c>
      <c r="G1734" s="0" t="n">
        <v>12718</v>
      </c>
      <c r="H1734" s="0" t="s">
        <v>43</v>
      </c>
      <c r="I1734" s="7" t="n">
        <f aca="false">IF(AND(LEFT(A1734,1)&lt;&gt;"C",D1734&gt;0,F1734&gt;0),1,0)</f>
        <v>1</v>
      </c>
      <c r="J1734" s="7" t="n">
        <f aca="false">IF(I1734=1,D1734*F1734,0)</f>
        <v>17.4</v>
      </c>
      <c r="K1734" s="7" t="n">
        <f aca="false">YEAR(E1734)*100+MONTH(E1734)</f>
        <v>201109</v>
      </c>
      <c r="L1734" s="7" t="n">
        <f aca="false">IF(AND(A1734&lt;&gt;A1733,LEFT(A1734,1)&lt;&gt;"C"),1,0)</f>
        <v>0</v>
      </c>
    </row>
    <row r="1735" customFormat="false" ht="15" hidden="false" customHeight="false" outlineLevel="0" collapsed="false">
      <c r="A1735" s="0" t="s">
        <v>1554</v>
      </c>
      <c r="B1735" s="0" t="s">
        <v>711</v>
      </c>
      <c r="C1735" s="0" t="s">
        <v>712</v>
      </c>
      <c r="D1735" s="0" t="n">
        <v>12</v>
      </c>
      <c r="E1735" s="6" t="n">
        <v>40815.6930555556</v>
      </c>
      <c r="F1735" s="0" t="n">
        <v>1.45</v>
      </c>
      <c r="G1735" s="0" t="n">
        <v>12718</v>
      </c>
      <c r="H1735" s="0" t="s">
        <v>43</v>
      </c>
      <c r="I1735" s="7" t="n">
        <f aca="false">IF(AND(LEFT(A1735,1)&lt;&gt;"C",D1735&gt;0,F1735&gt;0),1,0)</f>
        <v>1</v>
      </c>
      <c r="J1735" s="7" t="n">
        <f aca="false">IF(I1735=1,D1735*F1735,0)</f>
        <v>17.4</v>
      </c>
      <c r="K1735" s="7" t="n">
        <f aca="false">YEAR(E1735)*100+MONTH(E1735)</f>
        <v>201109</v>
      </c>
      <c r="L1735" s="7" t="n">
        <f aca="false">IF(AND(A1735&lt;&gt;A1734,LEFT(A1735,1)&lt;&gt;"C"),1,0)</f>
        <v>0</v>
      </c>
    </row>
    <row r="1736" customFormat="false" ht="15" hidden="false" customHeight="false" outlineLevel="0" collapsed="false">
      <c r="A1736" s="0" t="s">
        <v>1554</v>
      </c>
      <c r="B1736" s="0" t="s">
        <v>1559</v>
      </c>
      <c r="C1736" s="0" t="s">
        <v>1560</v>
      </c>
      <c r="D1736" s="0" t="n">
        <v>6</v>
      </c>
      <c r="E1736" s="6" t="n">
        <v>40815.6930555556</v>
      </c>
      <c r="F1736" s="0" t="n">
        <v>2.1</v>
      </c>
      <c r="G1736" s="0" t="n">
        <v>12718</v>
      </c>
      <c r="H1736" s="0" t="s">
        <v>43</v>
      </c>
      <c r="I1736" s="7" t="n">
        <f aca="false">IF(AND(LEFT(A1736,1)&lt;&gt;"C",D1736&gt;0,F1736&gt;0),1,0)</f>
        <v>1</v>
      </c>
      <c r="J1736" s="7" t="n">
        <f aca="false">IF(I1736=1,D1736*F1736,0)</f>
        <v>12.6</v>
      </c>
      <c r="K1736" s="7" t="n">
        <f aca="false">YEAR(E1736)*100+MONTH(E1736)</f>
        <v>201109</v>
      </c>
      <c r="L1736" s="7" t="n">
        <f aca="false">IF(AND(A1736&lt;&gt;A1735,LEFT(A1736,1)&lt;&gt;"C"),1,0)</f>
        <v>0</v>
      </c>
    </row>
    <row r="1737" customFormat="false" ht="15" hidden="false" customHeight="false" outlineLevel="0" collapsed="false">
      <c r="A1737" s="0" t="s">
        <v>1554</v>
      </c>
      <c r="B1737" s="0" t="s">
        <v>606</v>
      </c>
      <c r="C1737" s="0" t="s">
        <v>607</v>
      </c>
      <c r="D1737" s="0" t="n">
        <v>12</v>
      </c>
      <c r="E1737" s="6" t="n">
        <v>40815.6930555556</v>
      </c>
      <c r="F1737" s="0" t="n">
        <v>0.42</v>
      </c>
      <c r="G1737" s="0" t="n">
        <v>12718</v>
      </c>
      <c r="H1737" s="0" t="s">
        <v>43</v>
      </c>
      <c r="I1737" s="7" t="n">
        <f aca="false">IF(AND(LEFT(A1737,1)&lt;&gt;"C",D1737&gt;0,F1737&gt;0),1,0)</f>
        <v>1</v>
      </c>
      <c r="J1737" s="7" t="n">
        <f aca="false">IF(I1737=1,D1737*F1737,0)</f>
        <v>5.04</v>
      </c>
      <c r="K1737" s="7" t="n">
        <f aca="false">YEAR(E1737)*100+MONTH(E1737)</f>
        <v>201109</v>
      </c>
      <c r="L1737" s="7" t="n">
        <f aca="false">IF(AND(A1737&lt;&gt;A1736,LEFT(A1737,1)&lt;&gt;"C"),1,0)</f>
        <v>0</v>
      </c>
    </row>
    <row r="1738" customFormat="false" ht="15" hidden="false" customHeight="false" outlineLevel="0" collapsed="false">
      <c r="A1738" s="0" t="s">
        <v>1554</v>
      </c>
      <c r="B1738" s="0" t="s">
        <v>1561</v>
      </c>
      <c r="C1738" s="0" t="s">
        <v>1562</v>
      </c>
      <c r="D1738" s="0" t="n">
        <v>12</v>
      </c>
      <c r="E1738" s="6" t="n">
        <v>40815.6930555556</v>
      </c>
      <c r="F1738" s="0" t="n">
        <v>0.42</v>
      </c>
      <c r="G1738" s="0" t="n">
        <v>12718</v>
      </c>
      <c r="H1738" s="0" t="s">
        <v>43</v>
      </c>
      <c r="I1738" s="7" t="n">
        <f aca="false">IF(AND(LEFT(A1738,1)&lt;&gt;"C",D1738&gt;0,F1738&gt;0),1,0)</f>
        <v>1</v>
      </c>
      <c r="J1738" s="7" t="n">
        <f aca="false">IF(I1738=1,D1738*F1738,0)</f>
        <v>5.04</v>
      </c>
      <c r="K1738" s="7" t="n">
        <f aca="false">YEAR(E1738)*100+MONTH(E1738)</f>
        <v>201109</v>
      </c>
      <c r="L1738" s="7" t="n">
        <f aca="false">IF(AND(A1738&lt;&gt;A1737,LEFT(A1738,1)&lt;&gt;"C"),1,0)</f>
        <v>0</v>
      </c>
    </row>
    <row r="1739" customFormat="false" ht="15" hidden="false" customHeight="false" outlineLevel="0" collapsed="false">
      <c r="A1739" s="0" t="s">
        <v>1554</v>
      </c>
      <c r="B1739" s="0" t="s">
        <v>1551</v>
      </c>
      <c r="C1739" s="0" t="s">
        <v>1552</v>
      </c>
      <c r="D1739" s="0" t="n">
        <v>12</v>
      </c>
      <c r="E1739" s="6" t="n">
        <v>40815.6930555556</v>
      </c>
      <c r="F1739" s="0" t="n">
        <v>0.42</v>
      </c>
      <c r="G1739" s="0" t="n">
        <v>12718</v>
      </c>
      <c r="H1739" s="0" t="s">
        <v>43</v>
      </c>
      <c r="I1739" s="7" t="n">
        <f aca="false">IF(AND(LEFT(A1739,1)&lt;&gt;"C",D1739&gt;0,F1739&gt;0),1,0)</f>
        <v>1</v>
      </c>
      <c r="J1739" s="7" t="n">
        <f aca="false">IF(I1739=1,D1739*F1739,0)</f>
        <v>5.04</v>
      </c>
      <c r="K1739" s="7" t="n">
        <f aca="false">YEAR(E1739)*100+MONTH(E1739)</f>
        <v>201109</v>
      </c>
      <c r="L1739" s="7" t="n">
        <f aca="false">IF(AND(A1739&lt;&gt;A1738,LEFT(A1739,1)&lt;&gt;"C"),1,0)</f>
        <v>0</v>
      </c>
    </row>
    <row r="1740" customFormat="false" ht="15" hidden="false" customHeight="false" outlineLevel="0" collapsed="false">
      <c r="A1740" s="0" t="s">
        <v>1554</v>
      </c>
      <c r="B1740" s="0" t="s">
        <v>179</v>
      </c>
      <c r="C1740" s="0" t="s">
        <v>180</v>
      </c>
      <c r="D1740" s="0" t="n">
        <v>12</v>
      </c>
      <c r="E1740" s="6" t="n">
        <v>40815.6930555556</v>
      </c>
      <c r="F1740" s="0" t="n">
        <v>0.42</v>
      </c>
      <c r="G1740" s="0" t="n">
        <v>12718</v>
      </c>
      <c r="H1740" s="0" t="s">
        <v>43</v>
      </c>
      <c r="I1740" s="7" t="n">
        <f aca="false">IF(AND(LEFT(A1740,1)&lt;&gt;"C",D1740&gt;0,F1740&gt;0),1,0)</f>
        <v>1</v>
      </c>
      <c r="J1740" s="7" t="n">
        <f aca="false">IF(I1740=1,D1740*F1740,0)</f>
        <v>5.04</v>
      </c>
      <c r="K1740" s="7" t="n">
        <f aca="false">YEAR(E1740)*100+MONTH(E1740)</f>
        <v>201109</v>
      </c>
      <c r="L1740" s="7" t="n">
        <f aca="false">IF(AND(A1740&lt;&gt;A1739,LEFT(A1740,1)&lt;&gt;"C"),1,0)</f>
        <v>0</v>
      </c>
    </row>
    <row r="1741" customFormat="false" ht="15" hidden="false" customHeight="false" outlineLevel="0" collapsed="false">
      <c r="A1741" s="0" t="s">
        <v>1554</v>
      </c>
      <c r="B1741" s="0" t="s">
        <v>1563</v>
      </c>
      <c r="C1741" s="0" t="s">
        <v>1564</v>
      </c>
      <c r="D1741" s="0" t="n">
        <v>12</v>
      </c>
      <c r="E1741" s="6" t="n">
        <v>40815.6930555556</v>
      </c>
      <c r="F1741" s="0" t="n">
        <v>1.25</v>
      </c>
      <c r="G1741" s="0" t="n">
        <v>12718</v>
      </c>
      <c r="H1741" s="0" t="s">
        <v>43</v>
      </c>
      <c r="I1741" s="7" t="n">
        <f aca="false">IF(AND(LEFT(A1741,1)&lt;&gt;"C",D1741&gt;0,F1741&gt;0),1,0)</f>
        <v>1</v>
      </c>
      <c r="J1741" s="7" t="n">
        <f aca="false">IF(I1741=1,D1741*F1741,0)</f>
        <v>15</v>
      </c>
      <c r="K1741" s="7" t="n">
        <f aca="false">YEAR(E1741)*100+MONTH(E1741)</f>
        <v>201109</v>
      </c>
      <c r="L1741" s="7" t="n">
        <f aca="false">IF(AND(A1741&lt;&gt;A1740,LEFT(A1741,1)&lt;&gt;"C"),1,0)</f>
        <v>0</v>
      </c>
    </row>
    <row r="1742" customFormat="false" ht="15" hidden="false" customHeight="false" outlineLevel="0" collapsed="false">
      <c r="A1742" s="0" t="s">
        <v>1554</v>
      </c>
      <c r="B1742" s="0" t="s">
        <v>439</v>
      </c>
      <c r="C1742" s="0" t="s">
        <v>440</v>
      </c>
      <c r="D1742" s="0" t="n">
        <v>3</v>
      </c>
      <c r="E1742" s="6" t="n">
        <v>40815.6930555556</v>
      </c>
      <c r="F1742" s="0" t="n">
        <v>5.95</v>
      </c>
      <c r="G1742" s="0" t="n">
        <v>12718</v>
      </c>
      <c r="H1742" s="0" t="s">
        <v>43</v>
      </c>
      <c r="I1742" s="7" t="n">
        <f aca="false">IF(AND(LEFT(A1742,1)&lt;&gt;"C",D1742&gt;0,F1742&gt;0),1,0)</f>
        <v>1</v>
      </c>
      <c r="J1742" s="7" t="n">
        <f aca="false">IF(I1742=1,D1742*F1742,0)</f>
        <v>17.85</v>
      </c>
      <c r="K1742" s="7" t="n">
        <f aca="false">YEAR(E1742)*100+MONTH(E1742)</f>
        <v>201109</v>
      </c>
      <c r="L1742" s="7" t="n">
        <f aca="false">IF(AND(A1742&lt;&gt;A1741,LEFT(A1742,1)&lt;&gt;"C"),1,0)</f>
        <v>0</v>
      </c>
    </row>
    <row r="1743" customFormat="false" ht="15" hidden="false" customHeight="false" outlineLevel="0" collapsed="false">
      <c r="A1743" s="0" t="s">
        <v>1554</v>
      </c>
      <c r="B1743" s="0" t="s">
        <v>1061</v>
      </c>
      <c r="C1743" s="0" t="s">
        <v>1062</v>
      </c>
      <c r="D1743" s="0" t="n">
        <v>4</v>
      </c>
      <c r="E1743" s="6" t="n">
        <v>40815.6930555556</v>
      </c>
      <c r="F1743" s="0" t="n">
        <v>3.25</v>
      </c>
      <c r="G1743" s="0" t="n">
        <v>12718</v>
      </c>
      <c r="H1743" s="0" t="s">
        <v>43</v>
      </c>
      <c r="I1743" s="7" t="n">
        <f aca="false">IF(AND(LEFT(A1743,1)&lt;&gt;"C",D1743&gt;0,F1743&gt;0),1,0)</f>
        <v>1</v>
      </c>
      <c r="J1743" s="7" t="n">
        <f aca="false">IF(I1743=1,D1743*F1743,0)</f>
        <v>13</v>
      </c>
      <c r="K1743" s="7" t="n">
        <f aca="false">YEAR(E1743)*100+MONTH(E1743)</f>
        <v>201109</v>
      </c>
      <c r="L1743" s="7" t="n">
        <f aca="false">IF(AND(A1743&lt;&gt;A1742,LEFT(A1743,1)&lt;&gt;"C"),1,0)</f>
        <v>0</v>
      </c>
    </row>
    <row r="1744" customFormat="false" ht="15" hidden="false" customHeight="false" outlineLevel="0" collapsed="false">
      <c r="A1744" s="0" t="s">
        <v>1554</v>
      </c>
      <c r="B1744" s="0" t="s">
        <v>769</v>
      </c>
      <c r="C1744" s="0" t="s">
        <v>770</v>
      </c>
      <c r="D1744" s="0" t="n">
        <v>12</v>
      </c>
      <c r="E1744" s="6" t="n">
        <v>40815.6930555556</v>
      </c>
      <c r="F1744" s="0" t="n">
        <v>1.45</v>
      </c>
      <c r="G1744" s="0" t="n">
        <v>12718</v>
      </c>
      <c r="H1744" s="0" t="s">
        <v>43</v>
      </c>
      <c r="I1744" s="7" t="n">
        <f aca="false">IF(AND(LEFT(A1744,1)&lt;&gt;"C",D1744&gt;0,F1744&gt;0),1,0)</f>
        <v>1</v>
      </c>
      <c r="J1744" s="7" t="n">
        <f aca="false">IF(I1744=1,D1744*F1744,0)</f>
        <v>17.4</v>
      </c>
      <c r="K1744" s="7" t="n">
        <f aca="false">YEAR(E1744)*100+MONTH(E1744)</f>
        <v>201109</v>
      </c>
      <c r="L1744" s="7" t="n">
        <f aca="false">IF(AND(A1744&lt;&gt;A1743,LEFT(A1744,1)&lt;&gt;"C"),1,0)</f>
        <v>0</v>
      </c>
    </row>
    <row r="1745" customFormat="false" ht="15" hidden="false" customHeight="false" outlineLevel="0" collapsed="false">
      <c r="A1745" s="0" t="s">
        <v>1554</v>
      </c>
      <c r="B1745" s="0" t="s">
        <v>823</v>
      </c>
      <c r="C1745" s="0" t="s">
        <v>824</v>
      </c>
      <c r="D1745" s="0" t="n">
        <v>6</v>
      </c>
      <c r="E1745" s="6" t="n">
        <v>40815.6930555556</v>
      </c>
      <c r="F1745" s="0" t="n">
        <v>2.95</v>
      </c>
      <c r="G1745" s="0" t="n">
        <v>12718</v>
      </c>
      <c r="H1745" s="0" t="s">
        <v>43</v>
      </c>
      <c r="I1745" s="7" t="n">
        <f aca="false">IF(AND(LEFT(A1745,1)&lt;&gt;"C",D1745&gt;0,F1745&gt;0),1,0)</f>
        <v>1</v>
      </c>
      <c r="J1745" s="7" t="n">
        <f aca="false">IF(I1745=1,D1745*F1745,0)</f>
        <v>17.7</v>
      </c>
      <c r="K1745" s="7" t="n">
        <f aca="false">YEAR(E1745)*100+MONTH(E1745)</f>
        <v>201109</v>
      </c>
      <c r="L1745" s="7" t="n">
        <f aca="false">IF(AND(A1745&lt;&gt;A1744,LEFT(A1745,1)&lt;&gt;"C"),1,0)</f>
        <v>0</v>
      </c>
    </row>
    <row r="1746" customFormat="false" ht="15" hidden="false" customHeight="false" outlineLevel="0" collapsed="false">
      <c r="A1746" s="0" t="s">
        <v>1554</v>
      </c>
      <c r="B1746" s="0" t="s">
        <v>661</v>
      </c>
      <c r="C1746" s="0" t="s">
        <v>662</v>
      </c>
      <c r="D1746" s="0" t="n">
        <v>2</v>
      </c>
      <c r="E1746" s="6" t="n">
        <v>40815.6930555556</v>
      </c>
      <c r="F1746" s="0" t="n">
        <v>9.95</v>
      </c>
      <c r="G1746" s="0" t="n">
        <v>12718</v>
      </c>
      <c r="H1746" s="0" t="s">
        <v>43</v>
      </c>
      <c r="I1746" s="7" t="n">
        <f aca="false">IF(AND(LEFT(A1746,1)&lt;&gt;"C",D1746&gt;0,F1746&gt;0),1,0)</f>
        <v>1</v>
      </c>
      <c r="J1746" s="7" t="n">
        <f aca="false">IF(I1746=1,D1746*F1746,0)</f>
        <v>19.9</v>
      </c>
      <c r="K1746" s="7" t="n">
        <f aca="false">YEAR(E1746)*100+MONTH(E1746)</f>
        <v>201109</v>
      </c>
      <c r="L1746" s="7" t="n">
        <f aca="false">IF(AND(A1746&lt;&gt;A1745,LEFT(A1746,1)&lt;&gt;"C"),1,0)</f>
        <v>0</v>
      </c>
    </row>
    <row r="1747" customFormat="false" ht="15" hidden="false" customHeight="false" outlineLevel="0" collapsed="false">
      <c r="A1747" s="0" t="s">
        <v>1554</v>
      </c>
      <c r="B1747" s="0" t="s">
        <v>1565</v>
      </c>
      <c r="C1747" s="0" t="s">
        <v>1566</v>
      </c>
      <c r="D1747" s="0" t="n">
        <v>12</v>
      </c>
      <c r="E1747" s="6" t="n">
        <v>40815.6930555556</v>
      </c>
      <c r="F1747" s="0" t="n">
        <v>0.85</v>
      </c>
      <c r="G1747" s="0" t="n">
        <v>12718</v>
      </c>
      <c r="H1747" s="0" t="s">
        <v>43</v>
      </c>
      <c r="I1747" s="7" t="n">
        <f aca="false">IF(AND(LEFT(A1747,1)&lt;&gt;"C",D1747&gt;0,F1747&gt;0),1,0)</f>
        <v>1</v>
      </c>
      <c r="J1747" s="7" t="n">
        <f aca="false">IF(I1747=1,D1747*F1747,0)</f>
        <v>10.2</v>
      </c>
      <c r="K1747" s="7" t="n">
        <f aca="false">YEAR(E1747)*100+MONTH(E1747)</f>
        <v>201109</v>
      </c>
      <c r="L1747" s="7" t="n">
        <f aca="false">IF(AND(A1747&lt;&gt;A1746,LEFT(A1747,1)&lt;&gt;"C"),1,0)</f>
        <v>0</v>
      </c>
    </row>
    <row r="1748" customFormat="false" ht="15" hidden="false" customHeight="false" outlineLevel="0" collapsed="false">
      <c r="A1748" s="0" t="s">
        <v>1554</v>
      </c>
      <c r="B1748" s="0" t="s">
        <v>1444</v>
      </c>
      <c r="C1748" s="0" t="s">
        <v>1445</v>
      </c>
      <c r="D1748" s="0" t="n">
        <v>24</v>
      </c>
      <c r="E1748" s="6" t="n">
        <v>40815.6930555556</v>
      </c>
      <c r="F1748" s="0" t="n">
        <v>0.19</v>
      </c>
      <c r="G1748" s="0" t="n">
        <v>12718</v>
      </c>
      <c r="H1748" s="0" t="s">
        <v>43</v>
      </c>
      <c r="I1748" s="7" t="n">
        <f aca="false">IF(AND(LEFT(A1748,1)&lt;&gt;"C",D1748&gt;0,F1748&gt;0),1,0)</f>
        <v>1</v>
      </c>
      <c r="J1748" s="7" t="n">
        <f aca="false">IF(I1748=1,D1748*F1748,0)</f>
        <v>4.56</v>
      </c>
      <c r="K1748" s="7" t="n">
        <f aca="false">YEAR(E1748)*100+MONTH(E1748)</f>
        <v>201109</v>
      </c>
      <c r="L1748" s="7" t="n">
        <f aca="false">IF(AND(A1748&lt;&gt;A1747,LEFT(A1748,1)&lt;&gt;"C"),1,0)</f>
        <v>0</v>
      </c>
    </row>
    <row r="1749" customFormat="false" ht="15" hidden="false" customHeight="false" outlineLevel="0" collapsed="false">
      <c r="A1749" s="0" t="s">
        <v>1554</v>
      </c>
      <c r="B1749" s="0" t="s">
        <v>1442</v>
      </c>
      <c r="C1749" s="0" t="s">
        <v>1443</v>
      </c>
      <c r="D1749" s="0" t="n">
        <v>12</v>
      </c>
      <c r="E1749" s="6" t="n">
        <v>40815.6930555556</v>
      </c>
      <c r="F1749" s="0" t="n">
        <v>0.39</v>
      </c>
      <c r="G1749" s="0" t="n">
        <v>12718</v>
      </c>
      <c r="H1749" s="0" t="s">
        <v>43</v>
      </c>
      <c r="I1749" s="7" t="n">
        <f aca="false">IF(AND(LEFT(A1749,1)&lt;&gt;"C",D1749&gt;0,F1749&gt;0),1,0)</f>
        <v>1</v>
      </c>
      <c r="J1749" s="7" t="n">
        <f aca="false">IF(I1749=1,D1749*F1749,0)</f>
        <v>4.68</v>
      </c>
      <c r="K1749" s="7" t="n">
        <f aca="false">YEAR(E1749)*100+MONTH(E1749)</f>
        <v>201109</v>
      </c>
      <c r="L1749" s="7" t="n">
        <f aca="false">IF(AND(A1749&lt;&gt;A1748,LEFT(A1749,1)&lt;&gt;"C"),1,0)</f>
        <v>0</v>
      </c>
    </row>
    <row r="1750" customFormat="false" ht="15" hidden="false" customHeight="false" outlineLevel="0" collapsed="false">
      <c r="A1750" s="0" t="s">
        <v>1554</v>
      </c>
      <c r="B1750" s="0" t="s">
        <v>84</v>
      </c>
      <c r="C1750" s="0" t="s">
        <v>85</v>
      </c>
      <c r="D1750" s="0" t="n">
        <v>2</v>
      </c>
      <c r="E1750" s="6" t="n">
        <v>40815.6930555556</v>
      </c>
      <c r="F1750" s="0" t="n">
        <v>18</v>
      </c>
      <c r="G1750" s="0" t="n">
        <v>12718</v>
      </c>
      <c r="H1750" s="0" t="s">
        <v>43</v>
      </c>
      <c r="I1750" s="7" t="n">
        <f aca="false">IF(AND(LEFT(A1750,1)&lt;&gt;"C",D1750&gt;0,F1750&gt;0),1,0)</f>
        <v>1</v>
      </c>
      <c r="J1750" s="7" t="n">
        <f aca="false">IF(I1750=1,D1750*F1750,0)</f>
        <v>36</v>
      </c>
      <c r="K1750" s="7" t="n">
        <f aca="false">YEAR(E1750)*100+MONTH(E1750)</f>
        <v>201109</v>
      </c>
      <c r="L1750" s="7" t="n">
        <f aca="false">IF(AND(A1750&lt;&gt;A1749,LEFT(A1750,1)&lt;&gt;"C"),1,0)</f>
        <v>0</v>
      </c>
    </row>
    <row r="1751" customFormat="false" ht="15" hidden="false" customHeight="false" outlineLevel="0" collapsed="false">
      <c r="A1751" s="0" t="s">
        <v>1567</v>
      </c>
      <c r="B1751" s="0" t="s">
        <v>794</v>
      </c>
      <c r="C1751" s="0" t="s">
        <v>795</v>
      </c>
      <c r="D1751" s="0" t="n">
        <v>10</v>
      </c>
      <c r="E1751" s="6" t="n">
        <v>40815.7027777778</v>
      </c>
      <c r="F1751" s="0" t="n">
        <v>0.85</v>
      </c>
      <c r="G1751" s="0" t="n">
        <v>12598</v>
      </c>
      <c r="H1751" s="0" t="s">
        <v>43</v>
      </c>
      <c r="I1751" s="7" t="n">
        <f aca="false">IF(AND(LEFT(A1751,1)&lt;&gt;"C",D1751&gt;0,F1751&gt;0),1,0)</f>
        <v>1</v>
      </c>
      <c r="J1751" s="7" t="n">
        <f aca="false">IF(I1751=1,D1751*F1751,0)</f>
        <v>8.5</v>
      </c>
      <c r="K1751" s="7" t="n">
        <f aca="false">YEAR(E1751)*100+MONTH(E1751)</f>
        <v>201109</v>
      </c>
      <c r="L1751" s="7" t="n">
        <f aca="false">IF(AND(A1751&lt;&gt;A1750,LEFT(A1751,1)&lt;&gt;"C"),1,0)</f>
        <v>1</v>
      </c>
    </row>
    <row r="1752" customFormat="false" ht="15" hidden="false" customHeight="false" outlineLevel="0" collapsed="false">
      <c r="A1752" s="0" t="s">
        <v>1567</v>
      </c>
      <c r="B1752" s="0" t="s">
        <v>627</v>
      </c>
      <c r="C1752" s="0" t="s">
        <v>628</v>
      </c>
      <c r="D1752" s="0" t="n">
        <v>20</v>
      </c>
      <c r="E1752" s="6" t="n">
        <v>40815.7027777778</v>
      </c>
      <c r="F1752" s="0" t="n">
        <v>0.85</v>
      </c>
      <c r="G1752" s="0" t="n">
        <v>12598</v>
      </c>
      <c r="H1752" s="0" t="s">
        <v>43</v>
      </c>
      <c r="I1752" s="7" t="n">
        <f aca="false">IF(AND(LEFT(A1752,1)&lt;&gt;"C",D1752&gt;0,F1752&gt;0),1,0)</f>
        <v>1</v>
      </c>
      <c r="J1752" s="7" t="n">
        <f aca="false">IF(I1752=1,D1752*F1752,0)</f>
        <v>17</v>
      </c>
      <c r="K1752" s="7" t="n">
        <f aca="false">YEAR(E1752)*100+MONTH(E1752)</f>
        <v>201109</v>
      </c>
      <c r="L1752" s="7" t="n">
        <f aca="false">IF(AND(A1752&lt;&gt;A1751,LEFT(A1752,1)&lt;&gt;"C"),1,0)</f>
        <v>0</v>
      </c>
    </row>
    <row r="1753" customFormat="false" ht="15" hidden="false" customHeight="false" outlineLevel="0" collapsed="false">
      <c r="A1753" s="0" t="s">
        <v>1567</v>
      </c>
      <c r="B1753" s="0" t="s">
        <v>667</v>
      </c>
      <c r="C1753" s="0" t="s">
        <v>668</v>
      </c>
      <c r="D1753" s="0" t="n">
        <v>20</v>
      </c>
      <c r="E1753" s="6" t="n">
        <v>40815.7027777778</v>
      </c>
      <c r="F1753" s="0" t="n">
        <v>0.85</v>
      </c>
      <c r="G1753" s="0" t="n">
        <v>12598</v>
      </c>
      <c r="H1753" s="0" t="s">
        <v>43</v>
      </c>
      <c r="I1753" s="7" t="n">
        <f aca="false">IF(AND(LEFT(A1753,1)&lt;&gt;"C",D1753&gt;0,F1753&gt;0),1,0)</f>
        <v>1</v>
      </c>
      <c r="J1753" s="7" t="n">
        <f aca="false">IF(I1753=1,D1753*F1753,0)</f>
        <v>17</v>
      </c>
      <c r="K1753" s="7" t="n">
        <f aca="false">YEAR(E1753)*100+MONTH(E1753)</f>
        <v>201109</v>
      </c>
      <c r="L1753" s="7" t="n">
        <f aca="false">IF(AND(A1753&lt;&gt;A1752,LEFT(A1753,1)&lt;&gt;"C"),1,0)</f>
        <v>0</v>
      </c>
    </row>
    <row r="1754" customFormat="false" ht="15" hidden="false" customHeight="false" outlineLevel="0" collapsed="false">
      <c r="A1754" s="0" t="s">
        <v>1567</v>
      </c>
      <c r="B1754" s="0" t="s">
        <v>559</v>
      </c>
      <c r="C1754" s="0" t="s">
        <v>560</v>
      </c>
      <c r="D1754" s="0" t="n">
        <v>10</v>
      </c>
      <c r="E1754" s="6" t="n">
        <v>40815.7027777778</v>
      </c>
      <c r="F1754" s="0" t="n">
        <v>0.85</v>
      </c>
      <c r="G1754" s="0" t="n">
        <v>12598</v>
      </c>
      <c r="H1754" s="0" t="s">
        <v>43</v>
      </c>
      <c r="I1754" s="7" t="n">
        <f aca="false">IF(AND(LEFT(A1754,1)&lt;&gt;"C",D1754&gt;0,F1754&gt;0),1,0)</f>
        <v>1</v>
      </c>
      <c r="J1754" s="7" t="n">
        <f aca="false">IF(I1754=1,D1754*F1754,0)</f>
        <v>8.5</v>
      </c>
      <c r="K1754" s="7" t="n">
        <f aca="false">YEAR(E1754)*100+MONTH(E1754)</f>
        <v>201109</v>
      </c>
      <c r="L1754" s="7" t="n">
        <f aca="false">IF(AND(A1754&lt;&gt;A1753,LEFT(A1754,1)&lt;&gt;"C"),1,0)</f>
        <v>0</v>
      </c>
    </row>
    <row r="1755" customFormat="false" ht="15" hidden="false" customHeight="false" outlineLevel="0" collapsed="false">
      <c r="A1755" s="0" t="s">
        <v>1567</v>
      </c>
      <c r="B1755" s="0" t="s">
        <v>333</v>
      </c>
      <c r="C1755" s="0" t="s">
        <v>334</v>
      </c>
      <c r="D1755" s="0" t="n">
        <v>24</v>
      </c>
      <c r="E1755" s="6" t="n">
        <v>40815.7027777778</v>
      </c>
      <c r="F1755" s="0" t="n">
        <v>1.65</v>
      </c>
      <c r="G1755" s="0" t="n">
        <v>12598</v>
      </c>
      <c r="H1755" s="0" t="s">
        <v>43</v>
      </c>
      <c r="I1755" s="7" t="n">
        <f aca="false">IF(AND(LEFT(A1755,1)&lt;&gt;"C",D1755&gt;0,F1755&gt;0),1,0)</f>
        <v>1</v>
      </c>
      <c r="J1755" s="7" t="n">
        <f aca="false">IF(I1755=1,D1755*F1755,0)</f>
        <v>39.6</v>
      </c>
      <c r="K1755" s="7" t="n">
        <f aca="false">YEAR(E1755)*100+MONTH(E1755)</f>
        <v>201109</v>
      </c>
      <c r="L1755" s="7" t="n">
        <f aca="false">IF(AND(A1755&lt;&gt;A1754,LEFT(A1755,1)&lt;&gt;"C"),1,0)</f>
        <v>0</v>
      </c>
    </row>
    <row r="1756" customFormat="false" ht="15" hidden="false" customHeight="false" outlineLevel="0" collapsed="false">
      <c r="A1756" s="0" t="s">
        <v>1567</v>
      </c>
      <c r="B1756" s="0" t="s">
        <v>471</v>
      </c>
      <c r="C1756" s="0" t="s">
        <v>472</v>
      </c>
      <c r="D1756" s="0" t="n">
        <v>24</v>
      </c>
      <c r="E1756" s="6" t="n">
        <v>40815.7027777778</v>
      </c>
      <c r="F1756" s="0" t="n">
        <v>1.65</v>
      </c>
      <c r="G1756" s="0" t="n">
        <v>12598</v>
      </c>
      <c r="H1756" s="0" t="s">
        <v>43</v>
      </c>
      <c r="I1756" s="7" t="n">
        <f aca="false">IF(AND(LEFT(A1756,1)&lt;&gt;"C",D1756&gt;0,F1756&gt;0),1,0)</f>
        <v>1</v>
      </c>
      <c r="J1756" s="7" t="n">
        <f aca="false">IF(I1756=1,D1756*F1756,0)</f>
        <v>39.6</v>
      </c>
      <c r="K1756" s="7" t="n">
        <f aca="false">YEAR(E1756)*100+MONTH(E1756)</f>
        <v>201109</v>
      </c>
      <c r="L1756" s="7" t="n">
        <f aca="false">IF(AND(A1756&lt;&gt;A1755,LEFT(A1756,1)&lt;&gt;"C"),1,0)</f>
        <v>0</v>
      </c>
    </row>
    <row r="1757" customFormat="false" ht="15" hidden="false" customHeight="false" outlineLevel="0" collapsed="false">
      <c r="A1757" s="0" t="s">
        <v>1567</v>
      </c>
      <c r="B1757" s="0" t="s">
        <v>335</v>
      </c>
      <c r="C1757" s="0" t="s">
        <v>336</v>
      </c>
      <c r="D1757" s="0" t="n">
        <v>24</v>
      </c>
      <c r="E1757" s="6" t="n">
        <v>40815.7027777778</v>
      </c>
      <c r="F1757" s="0" t="n">
        <v>1.65</v>
      </c>
      <c r="G1757" s="0" t="n">
        <v>12598</v>
      </c>
      <c r="H1757" s="0" t="s">
        <v>43</v>
      </c>
      <c r="I1757" s="7" t="n">
        <f aca="false">IF(AND(LEFT(A1757,1)&lt;&gt;"C",D1757&gt;0,F1757&gt;0),1,0)</f>
        <v>1</v>
      </c>
      <c r="J1757" s="7" t="n">
        <f aca="false">IF(I1757=1,D1757*F1757,0)</f>
        <v>39.6</v>
      </c>
      <c r="K1757" s="7" t="n">
        <f aca="false">YEAR(E1757)*100+MONTH(E1757)</f>
        <v>201109</v>
      </c>
      <c r="L1757" s="7" t="n">
        <f aca="false">IF(AND(A1757&lt;&gt;A1756,LEFT(A1757,1)&lt;&gt;"C"),1,0)</f>
        <v>0</v>
      </c>
    </row>
    <row r="1758" customFormat="false" ht="15" hidden="false" customHeight="false" outlineLevel="0" collapsed="false">
      <c r="A1758" s="0" t="s">
        <v>1567</v>
      </c>
      <c r="B1758" s="0" t="s">
        <v>557</v>
      </c>
      <c r="C1758" s="0" t="s">
        <v>558</v>
      </c>
      <c r="D1758" s="0" t="n">
        <v>12</v>
      </c>
      <c r="E1758" s="6" t="n">
        <v>40815.7027777778</v>
      </c>
      <c r="F1758" s="0" t="n">
        <v>1.95</v>
      </c>
      <c r="G1758" s="0" t="n">
        <v>12598</v>
      </c>
      <c r="H1758" s="0" t="s">
        <v>43</v>
      </c>
      <c r="I1758" s="7" t="n">
        <f aca="false">IF(AND(LEFT(A1758,1)&lt;&gt;"C",D1758&gt;0,F1758&gt;0),1,0)</f>
        <v>1</v>
      </c>
      <c r="J1758" s="7" t="n">
        <f aca="false">IF(I1758=1,D1758*F1758,0)</f>
        <v>23.4</v>
      </c>
      <c r="K1758" s="7" t="n">
        <f aca="false">YEAR(E1758)*100+MONTH(E1758)</f>
        <v>201109</v>
      </c>
      <c r="L1758" s="7" t="n">
        <f aca="false">IF(AND(A1758&lt;&gt;A1757,LEFT(A1758,1)&lt;&gt;"C"),1,0)</f>
        <v>0</v>
      </c>
    </row>
    <row r="1759" customFormat="false" ht="15" hidden="false" customHeight="false" outlineLevel="0" collapsed="false">
      <c r="A1759" s="0" t="s">
        <v>1567</v>
      </c>
      <c r="B1759" s="0" t="s">
        <v>80</v>
      </c>
      <c r="C1759" s="0" t="s">
        <v>81</v>
      </c>
      <c r="D1759" s="0" t="n">
        <v>20</v>
      </c>
      <c r="E1759" s="6" t="n">
        <v>40815.7027777778</v>
      </c>
      <c r="F1759" s="0" t="n">
        <v>0.83</v>
      </c>
      <c r="G1759" s="0" t="n">
        <v>12598</v>
      </c>
      <c r="H1759" s="0" t="s">
        <v>43</v>
      </c>
      <c r="I1759" s="7" t="n">
        <f aca="false">IF(AND(LEFT(A1759,1)&lt;&gt;"C",D1759&gt;0,F1759&gt;0),1,0)</f>
        <v>1</v>
      </c>
      <c r="J1759" s="7" t="n">
        <f aca="false">IF(I1759=1,D1759*F1759,0)</f>
        <v>16.6</v>
      </c>
      <c r="K1759" s="7" t="n">
        <f aca="false">YEAR(E1759)*100+MONTH(E1759)</f>
        <v>201109</v>
      </c>
      <c r="L1759" s="7" t="n">
        <f aca="false">IF(AND(A1759&lt;&gt;A1758,LEFT(A1759,1)&lt;&gt;"C"),1,0)</f>
        <v>0</v>
      </c>
    </row>
    <row r="1760" customFormat="false" ht="15" hidden="false" customHeight="false" outlineLevel="0" collapsed="false">
      <c r="A1760" s="0" t="s">
        <v>1567</v>
      </c>
      <c r="B1760" s="0" t="s">
        <v>1065</v>
      </c>
      <c r="C1760" s="0" t="s">
        <v>1066</v>
      </c>
      <c r="D1760" s="0" t="n">
        <v>6</v>
      </c>
      <c r="E1760" s="6" t="n">
        <v>40815.7027777778</v>
      </c>
      <c r="F1760" s="0" t="n">
        <v>2.08</v>
      </c>
      <c r="G1760" s="0" t="n">
        <v>12598</v>
      </c>
      <c r="H1760" s="0" t="s">
        <v>43</v>
      </c>
      <c r="I1760" s="7" t="n">
        <f aca="false">IF(AND(LEFT(A1760,1)&lt;&gt;"C",D1760&gt;0,F1760&gt;0),1,0)</f>
        <v>1</v>
      </c>
      <c r="J1760" s="7" t="n">
        <f aca="false">IF(I1760=1,D1760*F1760,0)</f>
        <v>12.48</v>
      </c>
      <c r="K1760" s="7" t="n">
        <f aca="false">YEAR(E1760)*100+MONTH(E1760)</f>
        <v>201109</v>
      </c>
      <c r="L1760" s="7" t="n">
        <f aca="false">IF(AND(A1760&lt;&gt;A1759,LEFT(A1760,1)&lt;&gt;"C"),1,0)</f>
        <v>0</v>
      </c>
    </row>
    <row r="1761" customFormat="false" ht="15" hidden="false" customHeight="false" outlineLevel="0" collapsed="false">
      <c r="A1761" s="0" t="s">
        <v>1567</v>
      </c>
      <c r="B1761" s="0" t="s">
        <v>1453</v>
      </c>
      <c r="C1761" s="0" t="s">
        <v>1454</v>
      </c>
      <c r="D1761" s="0" t="n">
        <v>16</v>
      </c>
      <c r="E1761" s="6" t="n">
        <v>40815.7027777778</v>
      </c>
      <c r="F1761" s="0" t="n">
        <v>1.25</v>
      </c>
      <c r="G1761" s="0" t="n">
        <v>12598</v>
      </c>
      <c r="H1761" s="0" t="s">
        <v>43</v>
      </c>
      <c r="I1761" s="7" t="n">
        <f aca="false">IF(AND(LEFT(A1761,1)&lt;&gt;"C",D1761&gt;0,F1761&gt;0),1,0)</f>
        <v>1</v>
      </c>
      <c r="J1761" s="7" t="n">
        <f aca="false">IF(I1761=1,D1761*F1761,0)</f>
        <v>20</v>
      </c>
      <c r="K1761" s="7" t="n">
        <f aca="false">YEAR(E1761)*100+MONTH(E1761)</f>
        <v>201109</v>
      </c>
      <c r="L1761" s="7" t="n">
        <f aca="false">IF(AND(A1761&lt;&gt;A1760,LEFT(A1761,1)&lt;&gt;"C"),1,0)</f>
        <v>0</v>
      </c>
    </row>
    <row r="1762" customFormat="false" ht="15" hidden="false" customHeight="false" outlineLevel="0" collapsed="false">
      <c r="A1762" s="0" t="s">
        <v>1567</v>
      </c>
      <c r="B1762" s="0" t="s">
        <v>1568</v>
      </c>
      <c r="C1762" s="0" t="s">
        <v>1569</v>
      </c>
      <c r="D1762" s="0" t="n">
        <v>16</v>
      </c>
      <c r="E1762" s="6" t="n">
        <v>40815.7027777778</v>
      </c>
      <c r="F1762" s="0" t="n">
        <v>1.25</v>
      </c>
      <c r="G1762" s="0" t="n">
        <v>12598</v>
      </c>
      <c r="H1762" s="0" t="s">
        <v>43</v>
      </c>
      <c r="I1762" s="7" t="n">
        <f aca="false">IF(AND(LEFT(A1762,1)&lt;&gt;"C",D1762&gt;0,F1762&gt;0),1,0)</f>
        <v>1</v>
      </c>
      <c r="J1762" s="7" t="n">
        <f aca="false">IF(I1762=1,D1762*F1762,0)</f>
        <v>20</v>
      </c>
      <c r="K1762" s="7" t="n">
        <f aca="false">YEAR(E1762)*100+MONTH(E1762)</f>
        <v>201109</v>
      </c>
      <c r="L1762" s="7" t="n">
        <f aca="false">IF(AND(A1762&lt;&gt;A1761,LEFT(A1762,1)&lt;&gt;"C"),1,0)</f>
        <v>0</v>
      </c>
    </row>
    <row r="1763" customFormat="false" ht="15" hidden="false" customHeight="false" outlineLevel="0" collapsed="false">
      <c r="A1763" s="0" t="s">
        <v>1567</v>
      </c>
      <c r="B1763" s="0" t="s">
        <v>1570</v>
      </c>
      <c r="C1763" s="0" t="s">
        <v>1571</v>
      </c>
      <c r="D1763" s="0" t="n">
        <v>36</v>
      </c>
      <c r="E1763" s="6" t="n">
        <v>40815.7027777778</v>
      </c>
      <c r="F1763" s="0" t="n">
        <v>0.19</v>
      </c>
      <c r="G1763" s="0" t="n">
        <v>12598</v>
      </c>
      <c r="H1763" s="0" t="s">
        <v>43</v>
      </c>
      <c r="I1763" s="7" t="n">
        <f aca="false">IF(AND(LEFT(A1763,1)&lt;&gt;"C",D1763&gt;0,F1763&gt;0),1,0)</f>
        <v>1</v>
      </c>
      <c r="J1763" s="7" t="n">
        <f aca="false">IF(I1763=1,D1763*F1763,0)</f>
        <v>6.84</v>
      </c>
      <c r="K1763" s="7" t="n">
        <f aca="false">YEAR(E1763)*100+MONTH(E1763)</f>
        <v>201109</v>
      </c>
      <c r="L1763" s="7" t="n">
        <f aca="false">IF(AND(A1763&lt;&gt;A1762,LEFT(A1763,1)&lt;&gt;"C"),1,0)</f>
        <v>0</v>
      </c>
    </row>
    <row r="1764" customFormat="false" ht="15" hidden="false" customHeight="false" outlineLevel="0" collapsed="false">
      <c r="A1764" s="0" t="s">
        <v>1567</v>
      </c>
      <c r="B1764" s="0" t="s">
        <v>1572</v>
      </c>
      <c r="C1764" s="0" t="s">
        <v>1573</v>
      </c>
      <c r="D1764" s="0" t="n">
        <v>36</v>
      </c>
      <c r="E1764" s="6" t="n">
        <v>40815.7027777778</v>
      </c>
      <c r="F1764" s="0" t="n">
        <v>0.19</v>
      </c>
      <c r="G1764" s="0" t="n">
        <v>12598</v>
      </c>
      <c r="H1764" s="0" t="s">
        <v>43</v>
      </c>
      <c r="I1764" s="7" t="n">
        <f aca="false">IF(AND(LEFT(A1764,1)&lt;&gt;"C",D1764&gt;0,F1764&gt;0),1,0)</f>
        <v>1</v>
      </c>
      <c r="J1764" s="7" t="n">
        <f aca="false">IF(I1764=1,D1764*F1764,0)</f>
        <v>6.84</v>
      </c>
      <c r="K1764" s="7" t="n">
        <f aca="false">YEAR(E1764)*100+MONTH(E1764)</f>
        <v>201109</v>
      </c>
      <c r="L1764" s="7" t="n">
        <f aca="false">IF(AND(A1764&lt;&gt;A1763,LEFT(A1764,1)&lt;&gt;"C"),1,0)</f>
        <v>0</v>
      </c>
    </row>
    <row r="1765" customFormat="false" ht="15" hidden="false" customHeight="false" outlineLevel="0" collapsed="false">
      <c r="A1765" s="0" t="s">
        <v>1567</v>
      </c>
      <c r="B1765" s="0" t="s">
        <v>1048</v>
      </c>
      <c r="C1765" s="0" t="s">
        <v>1049</v>
      </c>
      <c r="D1765" s="0" t="n">
        <v>4</v>
      </c>
      <c r="E1765" s="6" t="n">
        <v>40815.7027777778</v>
      </c>
      <c r="F1765" s="0" t="n">
        <v>4.15</v>
      </c>
      <c r="G1765" s="0" t="n">
        <v>12598</v>
      </c>
      <c r="H1765" s="0" t="s">
        <v>43</v>
      </c>
      <c r="I1765" s="7" t="n">
        <f aca="false">IF(AND(LEFT(A1765,1)&lt;&gt;"C",D1765&gt;0,F1765&gt;0),1,0)</f>
        <v>1</v>
      </c>
      <c r="J1765" s="7" t="n">
        <f aca="false">IF(I1765=1,D1765*F1765,0)</f>
        <v>16.6</v>
      </c>
      <c r="K1765" s="7" t="n">
        <f aca="false">YEAR(E1765)*100+MONTH(E1765)</f>
        <v>201109</v>
      </c>
      <c r="L1765" s="7" t="n">
        <f aca="false">IF(AND(A1765&lt;&gt;A1764,LEFT(A1765,1)&lt;&gt;"C"),1,0)</f>
        <v>0</v>
      </c>
    </row>
    <row r="1766" customFormat="false" ht="15" hidden="false" customHeight="false" outlineLevel="0" collapsed="false">
      <c r="A1766" s="0" t="s">
        <v>1567</v>
      </c>
      <c r="B1766" s="0" t="s">
        <v>1042</v>
      </c>
      <c r="C1766" s="0" t="s">
        <v>1043</v>
      </c>
      <c r="D1766" s="0" t="n">
        <v>4</v>
      </c>
      <c r="E1766" s="6" t="n">
        <v>40815.7027777778</v>
      </c>
      <c r="F1766" s="0" t="n">
        <v>4.15</v>
      </c>
      <c r="G1766" s="0" t="n">
        <v>12598</v>
      </c>
      <c r="H1766" s="0" t="s">
        <v>43</v>
      </c>
      <c r="I1766" s="7" t="n">
        <f aca="false">IF(AND(LEFT(A1766,1)&lt;&gt;"C",D1766&gt;0,F1766&gt;0),1,0)</f>
        <v>1</v>
      </c>
      <c r="J1766" s="7" t="n">
        <f aca="false">IF(I1766=1,D1766*F1766,0)</f>
        <v>16.6</v>
      </c>
      <c r="K1766" s="7" t="n">
        <f aca="false">YEAR(E1766)*100+MONTH(E1766)</f>
        <v>201109</v>
      </c>
      <c r="L1766" s="7" t="n">
        <f aca="false">IF(AND(A1766&lt;&gt;A1765,LEFT(A1766,1)&lt;&gt;"C"),1,0)</f>
        <v>0</v>
      </c>
    </row>
    <row r="1767" customFormat="false" ht="15" hidden="false" customHeight="false" outlineLevel="0" collapsed="false">
      <c r="A1767" s="0" t="s">
        <v>1567</v>
      </c>
      <c r="B1767" s="0" t="s">
        <v>1044</v>
      </c>
      <c r="C1767" s="0" t="s">
        <v>1045</v>
      </c>
      <c r="D1767" s="0" t="n">
        <v>4</v>
      </c>
      <c r="E1767" s="6" t="n">
        <v>40815.7027777778</v>
      </c>
      <c r="F1767" s="0" t="n">
        <v>4.15</v>
      </c>
      <c r="G1767" s="0" t="n">
        <v>12598</v>
      </c>
      <c r="H1767" s="0" t="s">
        <v>43</v>
      </c>
      <c r="I1767" s="7" t="n">
        <f aca="false">IF(AND(LEFT(A1767,1)&lt;&gt;"C",D1767&gt;0,F1767&gt;0),1,0)</f>
        <v>1</v>
      </c>
      <c r="J1767" s="7" t="n">
        <f aca="false">IF(I1767=1,D1767*F1767,0)</f>
        <v>16.6</v>
      </c>
      <c r="K1767" s="7" t="n">
        <f aca="false">YEAR(E1767)*100+MONTH(E1767)</f>
        <v>201109</v>
      </c>
      <c r="L1767" s="7" t="n">
        <f aca="false">IF(AND(A1767&lt;&gt;A1766,LEFT(A1767,1)&lt;&gt;"C"),1,0)</f>
        <v>0</v>
      </c>
    </row>
    <row r="1768" customFormat="false" ht="15" hidden="false" customHeight="false" outlineLevel="0" collapsed="false">
      <c r="A1768" s="0" t="s">
        <v>1567</v>
      </c>
      <c r="B1768" s="0" t="s">
        <v>84</v>
      </c>
      <c r="C1768" s="0" t="s">
        <v>85</v>
      </c>
      <c r="D1768" s="0" t="n">
        <v>2</v>
      </c>
      <c r="E1768" s="6" t="n">
        <v>40815.7027777778</v>
      </c>
      <c r="F1768" s="0" t="n">
        <v>18</v>
      </c>
      <c r="G1768" s="0" t="n">
        <v>12598</v>
      </c>
      <c r="H1768" s="0" t="s">
        <v>43</v>
      </c>
      <c r="I1768" s="7" t="n">
        <f aca="false">IF(AND(LEFT(A1768,1)&lt;&gt;"C",D1768&gt;0,F1768&gt;0),1,0)</f>
        <v>1</v>
      </c>
      <c r="J1768" s="7" t="n">
        <f aca="false">IF(I1768=1,D1768*F1768,0)</f>
        <v>36</v>
      </c>
      <c r="K1768" s="7" t="n">
        <f aca="false">YEAR(E1768)*100+MONTH(E1768)</f>
        <v>201109</v>
      </c>
      <c r="L1768" s="7" t="n">
        <f aca="false">IF(AND(A1768&lt;&gt;A1767,LEFT(A1768,1)&lt;&gt;"C"),1,0)</f>
        <v>0</v>
      </c>
    </row>
    <row r="1769" customFormat="false" ht="15" hidden="false" customHeight="false" outlineLevel="0" collapsed="false">
      <c r="A1769" s="0" t="s">
        <v>1574</v>
      </c>
      <c r="B1769" s="0" t="s">
        <v>1360</v>
      </c>
      <c r="C1769" s="0" t="s">
        <v>1361</v>
      </c>
      <c r="D1769" s="0" t="n">
        <v>8</v>
      </c>
      <c r="E1769" s="6" t="n">
        <v>40815.7444444444</v>
      </c>
      <c r="F1769" s="0" t="n">
        <v>0.85</v>
      </c>
      <c r="G1769" s="0" t="n">
        <v>12703</v>
      </c>
      <c r="H1769" s="0" t="s">
        <v>33</v>
      </c>
      <c r="I1769" s="7" t="n">
        <f aca="false">IF(AND(LEFT(A1769,1)&lt;&gt;"C",D1769&gt;0,F1769&gt;0),1,0)</f>
        <v>1</v>
      </c>
      <c r="J1769" s="7" t="n">
        <f aca="false">IF(I1769=1,D1769*F1769,0)</f>
        <v>6.8</v>
      </c>
      <c r="K1769" s="7" t="n">
        <f aca="false">YEAR(E1769)*100+MONTH(E1769)</f>
        <v>201109</v>
      </c>
      <c r="L1769" s="7" t="n">
        <f aca="false">IF(AND(A1769&lt;&gt;A1768,LEFT(A1769,1)&lt;&gt;"C"),1,0)</f>
        <v>1</v>
      </c>
    </row>
    <row r="1770" customFormat="false" ht="15" hidden="false" customHeight="false" outlineLevel="0" collapsed="false">
      <c r="A1770" s="0" t="s">
        <v>1574</v>
      </c>
      <c r="B1770" s="0" t="s">
        <v>493</v>
      </c>
      <c r="C1770" s="0" t="s">
        <v>494</v>
      </c>
      <c r="D1770" s="0" t="n">
        <v>8</v>
      </c>
      <c r="E1770" s="6" t="n">
        <v>40815.7444444444</v>
      </c>
      <c r="F1770" s="0" t="n">
        <v>0.85</v>
      </c>
      <c r="G1770" s="0" t="n">
        <v>12703</v>
      </c>
      <c r="H1770" s="0" t="s">
        <v>33</v>
      </c>
      <c r="I1770" s="7" t="n">
        <f aca="false">IF(AND(LEFT(A1770,1)&lt;&gt;"C",D1770&gt;0,F1770&gt;0),1,0)</f>
        <v>1</v>
      </c>
      <c r="J1770" s="7" t="n">
        <f aca="false">IF(I1770=1,D1770*F1770,0)</f>
        <v>6.8</v>
      </c>
      <c r="K1770" s="7" t="n">
        <f aca="false">YEAR(E1770)*100+MONTH(E1770)</f>
        <v>201109</v>
      </c>
      <c r="L1770" s="7" t="n">
        <f aca="false">IF(AND(A1770&lt;&gt;A1769,LEFT(A1770,1)&lt;&gt;"C"),1,0)</f>
        <v>0</v>
      </c>
    </row>
    <row r="1771" customFormat="false" ht="15" hidden="false" customHeight="false" outlineLevel="0" collapsed="false">
      <c r="A1771" s="0" t="s">
        <v>1574</v>
      </c>
      <c r="B1771" s="0" t="s">
        <v>1212</v>
      </c>
      <c r="C1771" s="0" t="s">
        <v>1213</v>
      </c>
      <c r="D1771" s="0" t="n">
        <v>8</v>
      </c>
      <c r="E1771" s="6" t="n">
        <v>40815.7444444444</v>
      </c>
      <c r="F1771" s="0" t="n">
        <v>1.25</v>
      </c>
      <c r="G1771" s="0" t="n">
        <v>12703</v>
      </c>
      <c r="H1771" s="0" t="s">
        <v>33</v>
      </c>
      <c r="I1771" s="7" t="n">
        <f aca="false">IF(AND(LEFT(A1771,1)&lt;&gt;"C",D1771&gt;0,F1771&gt;0),1,0)</f>
        <v>1</v>
      </c>
      <c r="J1771" s="7" t="n">
        <f aca="false">IF(I1771=1,D1771*F1771,0)</f>
        <v>10</v>
      </c>
      <c r="K1771" s="7" t="n">
        <f aca="false">YEAR(E1771)*100+MONTH(E1771)</f>
        <v>201109</v>
      </c>
      <c r="L1771" s="7" t="n">
        <f aca="false">IF(AND(A1771&lt;&gt;A1770,LEFT(A1771,1)&lt;&gt;"C"),1,0)</f>
        <v>0</v>
      </c>
    </row>
    <row r="1772" customFormat="false" ht="15" hidden="false" customHeight="false" outlineLevel="0" collapsed="false">
      <c r="A1772" s="0" t="s">
        <v>1574</v>
      </c>
      <c r="B1772" s="0" t="s">
        <v>166</v>
      </c>
      <c r="C1772" s="0" t="s">
        <v>167</v>
      </c>
      <c r="D1772" s="0" t="n">
        <v>8</v>
      </c>
      <c r="E1772" s="6" t="n">
        <v>40815.7444444444</v>
      </c>
      <c r="F1772" s="0" t="n">
        <v>1.25</v>
      </c>
      <c r="G1772" s="0" t="n">
        <v>12703</v>
      </c>
      <c r="H1772" s="0" t="s">
        <v>33</v>
      </c>
      <c r="I1772" s="7" t="n">
        <f aca="false">IF(AND(LEFT(A1772,1)&lt;&gt;"C",D1772&gt;0,F1772&gt;0),1,0)</f>
        <v>1</v>
      </c>
      <c r="J1772" s="7" t="n">
        <f aca="false">IF(I1772=1,D1772*F1772,0)</f>
        <v>10</v>
      </c>
      <c r="K1772" s="7" t="n">
        <f aca="false">YEAR(E1772)*100+MONTH(E1772)</f>
        <v>201109</v>
      </c>
      <c r="L1772" s="7" t="n">
        <f aca="false">IF(AND(A1772&lt;&gt;A1771,LEFT(A1772,1)&lt;&gt;"C"),1,0)</f>
        <v>0</v>
      </c>
    </row>
    <row r="1773" customFormat="false" ht="15" hidden="false" customHeight="false" outlineLevel="0" collapsed="false">
      <c r="A1773" s="0" t="s">
        <v>1574</v>
      </c>
      <c r="B1773" s="0" t="s">
        <v>1214</v>
      </c>
      <c r="C1773" s="0" t="s">
        <v>1215</v>
      </c>
      <c r="D1773" s="0" t="n">
        <v>8</v>
      </c>
      <c r="E1773" s="6" t="n">
        <v>40815.7444444444</v>
      </c>
      <c r="F1773" s="0" t="n">
        <v>1.25</v>
      </c>
      <c r="G1773" s="0" t="n">
        <v>12703</v>
      </c>
      <c r="H1773" s="0" t="s">
        <v>33</v>
      </c>
      <c r="I1773" s="7" t="n">
        <f aca="false">IF(AND(LEFT(A1773,1)&lt;&gt;"C",D1773&gt;0,F1773&gt;0),1,0)</f>
        <v>1</v>
      </c>
      <c r="J1773" s="7" t="n">
        <f aca="false">IF(I1773=1,D1773*F1773,0)</f>
        <v>10</v>
      </c>
      <c r="K1773" s="7" t="n">
        <f aca="false">YEAR(E1773)*100+MONTH(E1773)</f>
        <v>201109</v>
      </c>
      <c r="L1773" s="7" t="n">
        <f aca="false">IF(AND(A1773&lt;&gt;A1772,LEFT(A1773,1)&lt;&gt;"C"),1,0)</f>
        <v>0</v>
      </c>
    </row>
    <row r="1774" customFormat="false" ht="15" hidden="false" customHeight="false" outlineLevel="0" collapsed="false">
      <c r="A1774" s="0" t="s">
        <v>1574</v>
      </c>
      <c r="B1774" s="0" t="s">
        <v>316</v>
      </c>
      <c r="C1774" s="0" t="s">
        <v>317</v>
      </c>
      <c r="D1774" s="0" t="n">
        <v>3</v>
      </c>
      <c r="E1774" s="6" t="n">
        <v>40815.7444444444</v>
      </c>
      <c r="F1774" s="0" t="n">
        <v>4.95</v>
      </c>
      <c r="G1774" s="0" t="n">
        <v>12703</v>
      </c>
      <c r="H1774" s="0" t="s">
        <v>33</v>
      </c>
      <c r="I1774" s="7" t="n">
        <f aca="false">IF(AND(LEFT(A1774,1)&lt;&gt;"C",D1774&gt;0,F1774&gt;0),1,0)</f>
        <v>1</v>
      </c>
      <c r="J1774" s="7" t="n">
        <f aca="false">IF(I1774=1,D1774*F1774,0)</f>
        <v>14.85</v>
      </c>
      <c r="K1774" s="7" t="n">
        <f aca="false">YEAR(E1774)*100+MONTH(E1774)</f>
        <v>201109</v>
      </c>
      <c r="L1774" s="7" t="n">
        <f aca="false">IF(AND(A1774&lt;&gt;A1773,LEFT(A1774,1)&lt;&gt;"C"),1,0)</f>
        <v>0</v>
      </c>
    </row>
    <row r="1775" customFormat="false" ht="15" hidden="false" customHeight="false" outlineLevel="0" collapsed="false">
      <c r="A1775" s="0" t="s">
        <v>1574</v>
      </c>
      <c r="B1775" s="0" t="s">
        <v>627</v>
      </c>
      <c r="C1775" s="0" t="s">
        <v>628</v>
      </c>
      <c r="D1775" s="0" t="n">
        <v>10</v>
      </c>
      <c r="E1775" s="6" t="n">
        <v>40815.7444444444</v>
      </c>
      <c r="F1775" s="0" t="n">
        <v>0.85</v>
      </c>
      <c r="G1775" s="0" t="n">
        <v>12703</v>
      </c>
      <c r="H1775" s="0" t="s">
        <v>33</v>
      </c>
      <c r="I1775" s="7" t="n">
        <f aca="false">IF(AND(LEFT(A1775,1)&lt;&gt;"C",D1775&gt;0,F1775&gt;0),1,0)</f>
        <v>1</v>
      </c>
      <c r="J1775" s="7" t="n">
        <f aca="false">IF(I1775=1,D1775*F1775,0)</f>
        <v>8.5</v>
      </c>
      <c r="K1775" s="7" t="n">
        <f aca="false">YEAR(E1775)*100+MONTH(E1775)</f>
        <v>201109</v>
      </c>
      <c r="L1775" s="7" t="n">
        <f aca="false">IF(AND(A1775&lt;&gt;A1774,LEFT(A1775,1)&lt;&gt;"C"),1,0)</f>
        <v>0</v>
      </c>
    </row>
    <row r="1776" customFormat="false" ht="15" hidden="false" customHeight="false" outlineLevel="0" collapsed="false">
      <c r="A1776" s="0" t="s">
        <v>1574</v>
      </c>
      <c r="B1776" s="0" t="s">
        <v>418</v>
      </c>
      <c r="C1776" s="0" t="s">
        <v>419</v>
      </c>
      <c r="D1776" s="0" t="n">
        <v>6</v>
      </c>
      <c r="E1776" s="6" t="n">
        <v>40815.7444444444</v>
      </c>
      <c r="F1776" s="0" t="n">
        <v>3.25</v>
      </c>
      <c r="G1776" s="0" t="n">
        <v>12703</v>
      </c>
      <c r="H1776" s="0" t="s">
        <v>33</v>
      </c>
      <c r="I1776" s="7" t="n">
        <f aca="false">IF(AND(LEFT(A1776,1)&lt;&gt;"C",D1776&gt;0,F1776&gt;0),1,0)</f>
        <v>1</v>
      </c>
      <c r="J1776" s="7" t="n">
        <f aca="false">IF(I1776=1,D1776*F1776,0)</f>
        <v>19.5</v>
      </c>
      <c r="K1776" s="7" t="n">
        <f aca="false">YEAR(E1776)*100+MONTH(E1776)</f>
        <v>201109</v>
      </c>
      <c r="L1776" s="7" t="n">
        <f aca="false">IF(AND(A1776&lt;&gt;A1775,LEFT(A1776,1)&lt;&gt;"C"),1,0)</f>
        <v>0</v>
      </c>
    </row>
    <row r="1777" customFormat="false" ht="15" hidden="false" customHeight="false" outlineLevel="0" collapsed="false">
      <c r="A1777" s="0" t="s">
        <v>1574</v>
      </c>
      <c r="B1777" s="0" t="s">
        <v>1320</v>
      </c>
      <c r="C1777" s="0" t="s">
        <v>1321</v>
      </c>
      <c r="D1777" s="0" t="n">
        <v>10</v>
      </c>
      <c r="E1777" s="6" t="n">
        <v>40815.7444444444</v>
      </c>
      <c r="F1777" s="0" t="n">
        <v>1.45</v>
      </c>
      <c r="G1777" s="0" t="n">
        <v>12703</v>
      </c>
      <c r="H1777" s="0" t="s">
        <v>33</v>
      </c>
      <c r="I1777" s="7" t="n">
        <f aca="false">IF(AND(LEFT(A1777,1)&lt;&gt;"C",D1777&gt;0,F1777&gt;0),1,0)</f>
        <v>1</v>
      </c>
      <c r="J1777" s="7" t="n">
        <f aca="false">IF(I1777=1,D1777*F1777,0)</f>
        <v>14.5</v>
      </c>
      <c r="K1777" s="7" t="n">
        <f aca="false">YEAR(E1777)*100+MONTH(E1777)</f>
        <v>201109</v>
      </c>
      <c r="L1777" s="7" t="n">
        <f aca="false">IF(AND(A1777&lt;&gt;A1776,LEFT(A1777,1)&lt;&gt;"C"),1,0)</f>
        <v>0</v>
      </c>
    </row>
    <row r="1778" customFormat="false" ht="15" hidden="false" customHeight="false" outlineLevel="0" collapsed="false">
      <c r="A1778" s="0" t="s">
        <v>1574</v>
      </c>
      <c r="B1778" s="0" t="s">
        <v>301</v>
      </c>
      <c r="C1778" s="0" t="s">
        <v>302</v>
      </c>
      <c r="D1778" s="0" t="n">
        <v>6</v>
      </c>
      <c r="E1778" s="6" t="n">
        <v>40815.7444444444</v>
      </c>
      <c r="F1778" s="0" t="n">
        <v>2.55</v>
      </c>
      <c r="G1778" s="0" t="n">
        <v>12703</v>
      </c>
      <c r="H1778" s="0" t="s">
        <v>33</v>
      </c>
      <c r="I1778" s="7" t="n">
        <f aca="false">IF(AND(LEFT(A1778,1)&lt;&gt;"C",D1778&gt;0,F1778&gt;0),1,0)</f>
        <v>1</v>
      </c>
      <c r="J1778" s="7" t="n">
        <f aca="false">IF(I1778=1,D1778*F1778,0)</f>
        <v>15.3</v>
      </c>
      <c r="K1778" s="7" t="n">
        <f aca="false">YEAR(E1778)*100+MONTH(E1778)</f>
        <v>201109</v>
      </c>
      <c r="L1778" s="7" t="n">
        <f aca="false">IF(AND(A1778&lt;&gt;A1777,LEFT(A1778,1)&lt;&gt;"C"),1,0)</f>
        <v>0</v>
      </c>
    </row>
    <row r="1779" customFormat="false" ht="15" hidden="false" customHeight="false" outlineLevel="0" collapsed="false">
      <c r="A1779" s="0" t="s">
        <v>1574</v>
      </c>
      <c r="B1779" s="0" t="s">
        <v>111</v>
      </c>
      <c r="C1779" s="0" t="s">
        <v>112</v>
      </c>
      <c r="D1779" s="0" t="n">
        <v>6</v>
      </c>
      <c r="E1779" s="6" t="n">
        <v>40815.7444444444</v>
      </c>
      <c r="F1779" s="0" t="n">
        <v>2.55</v>
      </c>
      <c r="G1779" s="0" t="n">
        <v>12703</v>
      </c>
      <c r="H1779" s="0" t="s">
        <v>33</v>
      </c>
      <c r="I1779" s="7" t="n">
        <f aca="false">IF(AND(LEFT(A1779,1)&lt;&gt;"C",D1779&gt;0,F1779&gt;0),1,0)</f>
        <v>1</v>
      </c>
      <c r="J1779" s="7" t="n">
        <f aca="false">IF(I1779=1,D1779*F1779,0)</f>
        <v>15.3</v>
      </c>
      <c r="K1779" s="7" t="n">
        <f aca="false">YEAR(E1779)*100+MONTH(E1779)</f>
        <v>201109</v>
      </c>
      <c r="L1779" s="7" t="n">
        <f aca="false">IF(AND(A1779&lt;&gt;A1778,LEFT(A1779,1)&lt;&gt;"C"),1,0)</f>
        <v>0</v>
      </c>
    </row>
    <row r="1780" customFormat="false" ht="15" hidden="false" customHeight="false" outlineLevel="0" collapsed="false">
      <c r="A1780" s="0" t="s">
        <v>1574</v>
      </c>
      <c r="B1780" s="0" t="s">
        <v>115</v>
      </c>
      <c r="C1780" s="0" t="s">
        <v>116</v>
      </c>
      <c r="D1780" s="0" t="n">
        <v>12</v>
      </c>
      <c r="E1780" s="6" t="n">
        <v>40815.7444444444</v>
      </c>
      <c r="F1780" s="0" t="n">
        <v>0.85</v>
      </c>
      <c r="G1780" s="0" t="n">
        <v>12703</v>
      </c>
      <c r="H1780" s="0" t="s">
        <v>33</v>
      </c>
      <c r="I1780" s="7" t="n">
        <f aca="false">IF(AND(LEFT(A1780,1)&lt;&gt;"C",D1780&gt;0,F1780&gt;0),1,0)</f>
        <v>1</v>
      </c>
      <c r="J1780" s="7" t="n">
        <f aca="false">IF(I1780=1,D1780*F1780,0)</f>
        <v>10.2</v>
      </c>
      <c r="K1780" s="7" t="n">
        <f aca="false">YEAR(E1780)*100+MONTH(E1780)</f>
        <v>201109</v>
      </c>
      <c r="L1780" s="7" t="n">
        <f aca="false">IF(AND(A1780&lt;&gt;A1779,LEFT(A1780,1)&lt;&gt;"C"),1,0)</f>
        <v>0</v>
      </c>
    </row>
    <row r="1781" customFormat="false" ht="15" hidden="false" customHeight="false" outlineLevel="0" collapsed="false">
      <c r="A1781" s="0" t="s">
        <v>1574</v>
      </c>
      <c r="B1781" s="0" t="s">
        <v>1575</v>
      </c>
      <c r="C1781" s="0" t="s">
        <v>1576</v>
      </c>
      <c r="D1781" s="0" t="n">
        <v>2</v>
      </c>
      <c r="E1781" s="6" t="n">
        <v>40815.7444444444</v>
      </c>
      <c r="F1781" s="0" t="n">
        <v>2.1</v>
      </c>
      <c r="G1781" s="0" t="n">
        <v>12703</v>
      </c>
      <c r="H1781" s="0" t="s">
        <v>33</v>
      </c>
      <c r="I1781" s="7" t="n">
        <f aca="false">IF(AND(LEFT(A1781,1)&lt;&gt;"C",D1781&gt;0,F1781&gt;0),1,0)</f>
        <v>1</v>
      </c>
      <c r="J1781" s="7" t="n">
        <f aca="false">IF(I1781=1,D1781*F1781,0)</f>
        <v>4.2</v>
      </c>
      <c r="K1781" s="7" t="n">
        <f aca="false">YEAR(E1781)*100+MONTH(E1781)</f>
        <v>201109</v>
      </c>
      <c r="L1781" s="7" t="n">
        <f aca="false">IF(AND(A1781&lt;&gt;A1780,LEFT(A1781,1)&lt;&gt;"C"),1,0)</f>
        <v>0</v>
      </c>
    </row>
    <row r="1782" customFormat="false" ht="15" hidden="false" customHeight="false" outlineLevel="0" collapsed="false">
      <c r="A1782" s="0" t="s">
        <v>1574</v>
      </c>
      <c r="B1782" s="0" t="s">
        <v>1577</v>
      </c>
      <c r="C1782" s="0" t="s">
        <v>1578</v>
      </c>
      <c r="D1782" s="0" t="n">
        <v>12</v>
      </c>
      <c r="E1782" s="6" t="n">
        <v>40815.7444444444</v>
      </c>
      <c r="F1782" s="0" t="n">
        <v>0.85</v>
      </c>
      <c r="G1782" s="0" t="n">
        <v>12703</v>
      </c>
      <c r="H1782" s="0" t="s">
        <v>33</v>
      </c>
      <c r="I1782" s="7" t="n">
        <f aca="false">IF(AND(LEFT(A1782,1)&lt;&gt;"C",D1782&gt;0,F1782&gt;0),1,0)</f>
        <v>1</v>
      </c>
      <c r="J1782" s="7" t="n">
        <f aca="false">IF(I1782=1,D1782*F1782,0)</f>
        <v>10.2</v>
      </c>
      <c r="K1782" s="7" t="n">
        <f aca="false">YEAR(E1782)*100+MONTH(E1782)</f>
        <v>201109</v>
      </c>
      <c r="L1782" s="7" t="n">
        <f aca="false">IF(AND(A1782&lt;&gt;A1781,LEFT(A1782,1)&lt;&gt;"C"),1,0)</f>
        <v>0</v>
      </c>
    </row>
    <row r="1783" customFormat="false" ht="15" hidden="false" customHeight="false" outlineLevel="0" collapsed="false">
      <c r="A1783" s="0" t="s">
        <v>1574</v>
      </c>
      <c r="B1783" s="0" t="s">
        <v>84</v>
      </c>
      <c r="C1783" s="0" t="s">
        <v>85</v>
      </c>
      <c r="D1783" s="0" t="n">
        <v>1</v>
      </c>
      <c r="E1783" s="6" t="n">
        <v>40815.7444444444</v>
      </c>
      <c r="F1783" s="0" t="n">
        <v>18</v>
      </c>
      <c r="G1783" s="0" t="n">
        <v>12703</v>
      </c>
      <c r="H1783" s="0" t="s">
        <v>33</v>
      </c>
      <c r="I1783" s="7" t="n">
        <f aca="false">IF(AND(LEFT(A1783,1)&lt;&gt;"C",D1783&gt;0,F1783&gt;0),1,0)</f>
        <v>1</v>
      </c>
      <c r="J1783" s="7" t="n">
        <f aca="false">IF(I1783=1,D1783*F1783,0)</f>
        <v>18</v>
      </c>
      <c r="K1783" s="7" t="n">
        <f aca="false">YEAR(E1783)*100+MONTH(E1783)</f>
        <v>201109</v>
      </c>
      <c r="L1783" s="7" t="n">
        <f aca="false">IF(AND(A1783&lt;&gt;A1782,LEFT(A1783,1)&lt;&gt;"C"),1,0)</f>
        <v>0</v>
      </c>
    </row>
    <row r="1784" customFormat="false" ht="15" hidden="false" customHeight="false" outlineLevel="0" collapsed="false">
      <c r="A1784" s="0" t="s">
        <v>1574</v>
      </c>
      <c r="B1784" s="0" t="s">
        <v>1579</v>
      </c>
      <c r="C1784" s="0" t="s">
        <v>1580</v>
      </c>
      <c r="D1784" s="0" t="n">
        <v>6</v>
      </c>
      <c r="E1784" s="6" t="n">
        <v>40815.7444444444</v>
      </c>
      <c r="F1784" s="0" t="n">
        <v>2.95</v>
      </c>
      <c r="G1784" s="0" t="n">
        <v>12703</v>
      </c>
      <c r="H1784" s="0" t="s">
        <v>33</v>
      </c>
      <c r="I1784" s="7" t="n">
        <f aca="false">IF(AND(LEFT(A1784,1)&lt;&gt;"C",D1784&gt;0,F1784&gt;0),1,0)</f>
        <v>1</v>
      </c>
      <c r="J1784" s="7" t="n">
        <f aca="false">IF(I1784=1,D1784*F1784,0)</f>
        <v>17.7</v>
      </c>
      <c r="K1784" s="7" t="n">
        <f aca="false">YEAR(E1784)*100+MONTH(E1784)</f>
        <v>201109</v>
      </c>
      <c r="L1784" s="7" t="n">
        <f aca="false">IF(AND(A1784&lt;&gt;A1783,LEFT(A1784,1)&lt;&gt;"C"),1,0)</f>
        <v>0</v>
      </c>
    </row>
    <row r="1785" customFormat="false" ht="15" hidden="false" customHeight="false" outlineLevel="0" collapsed="false">
      <c r="A1785" s="0" t="s">
        <v>1574</v>
      </c>
      <c r="B1785" s="0" t="s">
        <v>1581</v>
      </c>
      <c r="C1785" s="0" t="s">
        <v>1582</v>
      </c>
      <c r="D1785" s="0" t="n">
        <v>12</v>
      </c>
      <c r="E1785" s="6" t="n">
        <v>40815.7444444444</v>
      </c>
      <c r="F1785" s="0" t="n">
        <v>1.65</v>
      </c>
      <c r="G1785" s="0" t="n">
        <v>12703</v>
      </c>
      <c r="H1785" s="0" t="s">
        <v>33</v>
      </c>
      <c r="I1785" s="7" t="n">
        <f aca="false">IF(AND(LEFT(A1785,1)&lt;&gt;"C",D1785&gt;0,F1785&gt;0),1,0)</f>
        <v>1</v>
      </c>
      <c r="J1785" s="7" t="n">
        <f aca="false">IF(I1785=1,D1785*F1785,0)</f>
        <v>19.8</v>
      </c>
      <c r="K1785" s="7" t="n">
        <f aca="false">YEAR(E1785)*100+MONTH(E1785)</f>
        <v>201109</v>
      </c>
      <c r="L1785" s="7" t="n">
        <f aca="false">IF(AND(A1785&lt;&gt;A1784,LEFT(A1785,1)&lt;&gt;"C"),1,0)</f>
        <v>0</v>
      </c>
    </row>
    <row r="1786" customFormat="false" ht="15" hidden="false" customHeight="false" outlineLevel="0" collapsed="false">
      <c r="A1786" s="0" t="s">
        <v>1574</v>
      </c>
      <c r="B1786" s="0" t="s">
        <v>953</v>
      </c>
      <c r="C1786" s="0" t="s">
        <v>954</v>
      </c>
      <c r="D1786" s="0" t="n">
        <v>10</v>
      </c>
      <c r="E1786" s="6" t="n">
        <v>40815.7444444444</v>
      </c>
      <c r="F1786" s="0" t="n">
        <v>1.25</v>
      </c>
      <c r="G1786" s="0" t="n">
        <v>12703</v>
      </c>
      <c r="H1786" s="0" t="s">
        <v>33</v>
      </c>
      <c r="I1786" s="7" t="n">
        <f aca="false">IF(AND(LEFT(A1786,1)&lt;&gt;"C",D1786&gt;0,F1786&gt;0),1,0)</f>
        <v>1</v>
      </c>
      <c r="J1786" s="7" t="n">
        <f aca="false">IF(I1786=1,D1786*F1786,0)</f>
        <v>12.5</v>
      </c>
      <c r="K1786" s="7" t="n">
        <f aca="false">YEAR(E1786)*100+MONTH(E1786)</f>
        <v>201109</v>
      </c>
      <c r="L1786" s="7" t="n">
        <f aca="false">IF(AND(A1786&lt;&gt;A1785,LEFT(A1786,1)&lt;&gt;"C"),1,0)</f>
        <v>0</v>
      </c>
    </row>
    <row r="1787" customFormat="false" ht="15" hidden="false" customHeight="false" outlineLevel="0" collapsed="false">
      <c r="A1787" s="0" t="s">
        <v>1574</v>
      </c>
      <c r="B1787" s="0" t="s">
        <v>610</v>
      </c>
      <c r="C1787" s="0" t="s">
        <v>611</v>
      </c>
      <c r="D1787" s="0" t="n">
        <v>6</v>
      </c>
      <c r="E1787" s="6" t="n">
        <v>40815.7444444444</v>
      </c>
      <c r="F1787" s="0" t="n">
        <v>2.95</v>
      </c>
      <c r="G1787" s="0" t="n">
        <v>12703</v>
      </c>
      <c r="H1787" s="0" t="s">
        <v>33</v>
      </c>
      <c r="I1787" s="7" t="n">
        <f aca="false">IF(AND(LEFT(A1787,1)&lt;&gt;"C",D1787&gt;0,F1787&gt;0),1,0)</f>
        <v>1</v>
      </c>
      <c r="J1787" s="7" t="n">
        <f aca="false">IF(I1787=1,D1787*F1787,0)</f>
        <v>17.7</v>
      </c>
      <c r="K1787" s="7" t="n">
        <f aca="false">YEAR(E1787)*100+MONTH(E1787)</f>
        <v>201109</v>
      </c>
      <c r="L1787" s="7" t="n">
        <f aca="false">IF(AND(A1787&lt;&gt;A1786,LEFT(A1787,1)&lt;&gt;"C"),1,0)</f>
        <v>0</v>
      </c>
    </row>
    <row r="1788" customFormat="false" ht="15" hidden="false" customHeight="false" outlineLevel="0" collapsed="false">
      <c r="A1788" s="0" t="s">
        <v>1574</v>
      </c>
      <c r="B1788" s="0" t="s">
        <v>1583</v>
      </c>
      <c r="C1788" s="0" t="s">
        <v>1584</v>
      </c>
      <c r="D1788" s="0" t="n">
        <v>12</v>
      </c>
      <c r="E1788" s="6" t="n">
        <v>40815.7444444444</v>
      </c>
      <c r="F1788" s="0" t="n">
        <v>2.1</v>
      </c>
      <c r="G1788" s="0" t="n">
        <v>12703</v>
      </c>
      <c r="H1788" s="0" t="s">
        <v>33</v>
      </c>
      <c r="I1788" s="7" t="n">
        <f aca="false">IF(AND(LEFT(A1788,1)&lt;&gt;"C",D1788&gt;0,F1788&gt;0),1,0)</f>
        <v>1</v>
      </c>
      <c r="J1788" s="7" t="n">
        <f aca="false">IF(I1788=1,D1788*F1788,0)</f>
        <v>25.2</v>
      </c>
      <c r="K1788" s="7" t="n">
        <f aca="false">YEAR(E1788)*100+MONTH(E1788)</f>
        <v>201109</v>
      </c>
      <c r="L1788" s="7" t="n">
        <f aca="false">IF(AND(A1788&lt;&gt;A1787,LEFT(A1788,1)&lt;&gt;"C"),1,0)</f>
        <v>0</v>
      </c>
    </row>
    <row r="1789" customFormat="false" ht="15" hidden="false" customHeight="false" outlineLevel="0" collapsed="false">
      <c r="A1789" s="0" t="s">
        <v>1574</v>
      </c>
      <c r="B1789" s="0" t="s">
        <v>1401</v>
      </c>
      <c r="C1789" s="0" t="s">
        <v>1402</v>
      </c>
      <c r="D1789" s="0" t="n">
        <v>10</v>
      </c>
      <c r="E1789" s="6" t="n">
        <v>40815.7444444444</v>
      </c>
      <c r="F1789" s="0" t="n">
        <v>1.65</v>
      </c>
      <c r="G1789" s="0" t="n">
        <v>12703</v>
      </c>
      <c r="H1789" s="0" t="s">
        <v>33</v>
      </c>
      <c r="I1789" s="7" t="n">
        <f aca="false">IF(AND(LEFT(A1789,1)&lt;&gt;"C",D1789&gt;0,F1789&gt;0),1,0)</f>
        <v>1</v>
      </c>
      <c r="J1789" s="7" t="n">
        <f aca="false">IF(I1789=1,D1789*F1789,0)</f>
        <v>16.5</v>
      </c>
      <c r="K1789" s="7" t="n">
        <f aca="false">YEAR(E1789)*100+MONTH(E1789)</f>
        <v>201109</v>
      </c>
      <c r="L1789" s="7" t="n">
        <f aca="false">IF(AND(A1789&lt;&gt;A1788,LEFT(A1789,1)&lt;&gt;"C"),1,0)</f>
        <v>0</v>
      </c>
    </row>
    <row r="1790" customFormat="false" ht="15" hidden="false" customHeight="false" outlineLevel="0" collapsed="false">
      <c r="A1790" s="0" t="s">
        <v>1585</v>
      </c>
      <c r="B1790" s="0" t="s">
        <v>41</v>
      </c>
      <c r="C1790" s="0" t="s">
        <v>42</v>
      </c>
      <c r="D1790" s="0" t="n">
        <v>3</v>
      </c>
      <c r="E1790" s="6" t="n">
        <v>40816.3902777778</v>
      </c>
      <c r="F1790" s="0" t="n">
        <v>5.95</v>
      </c>
      <c r="G1790" s="0" t="n">
        <v>13813</v>
      </c>
      <c r="H1790" s="0" t="s">
        <v>33</v>
      </c>
      <c r="I1790" s="7" t="n">
        <f aca="false">IF(AND(LEFT(A1790,1)&lt;&gt;"C",D1790&gt;0,F1790&gt;0),1,0)</f>
        <v>1</v>
      </c>
      <c r="J1790" s="7" t="n">
        <f aca="false">IF(I1790=1,D1790*F1790,0)</f>
        <v>17.85</v>
      </c>
      <c r="K1790" s="7" t="n">
        <f aca="false">YEAR(E1790)*100+MONTH(E1790)</f>
        <v>201109</v>
      </c>
      <c r="L1790" s="7" t="n">
        <f aca="false">IF(AND(A1790&lt;&gt;A1789,LEFT(A1790,1)&lt;&gt;"C"),1,0)</f>
        <v>1</v>
      </c>
    </row>
    <row r="1791" customFormat="false" ht="15" hidden="false" customHeight="false" outlineLevel="0" collapsed="false">
      <c r="A1791" s="0" t="s">
        <v>1585</v>
      </c>
      <c r="B1791" s="0" t="s">
        <v>1149</v>
      </c>
      <c r="C1791" s="0" t="s">
        <v>1150</v>
      </c>
      <c r="D1791" s="0" t="n">
        <v>3</v>
      </c>
      <c r="E1791" s="6" t="n">
        <v>40816.3902777778</v>
      </c>
      <c r="F1791" s="0" t="n">
        <v>5.95</v>
      </c>
      <c r="G1791" s="0" t="n">
        <v>13813</v>
      </c>
      <c r="H1791" s="0" t="s">
        <v>33</v>
      </c>
      <c r="I1791" s="7" t="n">
        <f aca="false">IF(AND(LEFT(A1791,1)&lt;&gt;"C",D1791&gt;0,F1791&gt;0),1,0)</f>
        <v>1</v>
      </c>
      <c r="J1791" s="7" t="n">
        <f aca="false">IF(I1791=1,D1791*F1791,0)</f>
        <v>17.85</v>
      </c>
      <c r="K1791" s="7" t="n">
        <f aca="false">YEAR(E1791)*100+MONTH(E1791)</f>
        <v>201109</v>
      </c>
      <c r="L1791" s="7" t="n">
        <f aca="false">IF(AND(A1791&lt;&gt;A1790,LEFT(A1791,1)&lt;&gt;"C"),1,0)</f>
        <v>0</v>
      </c>
    </row>
    <row r="1792" customFormat="false" ht="15" hidden="false" customHeight="false" outlineLevel="0" collapsed="false">
      <c r="A1792" s="0" t="s">
        <v>1585</v>
      </c>
      <c r="B1792" s="0" t="s">
        <v>1586</v>
      </c>
      <c r="C1792" s="0" t="s">
        <v>1587</v>
      </c>
      <c r="D1792" s="0" t="n">
        <v>6</v>
      </c>
      <c r="E1792" s="6" t="n">
        <v>40816.3902777778</v>
      </c>
      <c r="F1792" s="0" t="n">
        <v>2.08</v>
      </c>
      <c r="G1792" s="0" t="n">
        <v>13813</v>
      </c>
      <c r="H1792" s="0" t="s">
        <v>33</v>
      </c>
      <c r="I1792" s="7" t="n">
        <f aca="false">IF(AND(LEFT(A1792,1)&lt;&gt;"C",D1792&gt;0,F1792&gt;0),1,0)</f>
        <v>1</v>
      </c>
      <c r="J1792" s="7" t="n">
        <f aca="false">IF(I1792=1,D1792*F1792,0)</f>
        <v>12.48</v>
      </c>
      <c r="K1792" s="7" t="n">
        <f aca="false">YEAR(E1792)*100+MONTH(E1792)</f>
        <v>201109</v>
      </c>
      <c r="L1792" s="7" t="n">
        <f aca="false">IF(AND(A1792&lt;&gt;A1791,LEFT(A1792,1)&lt;&gt;"C"),1,0)</f>
        <v>0</v>
      </c>
    </row>
    <row r="1793" customFormat="false" ht="15" hidden="false" customHeight="false" outlineLevel="0" collapsed="false">
      <c r="A1793" s="0" t="s">
        <v>1585</v>
      </c>
      <c r="B1793" s="0" t="s">
        <v>1588</v>
      </c>
      <c r="C1793" s="0" t="s">
        <v>1589</v>
      </c>
      <c r="D1793" s="0" t="n">
        <v>6</v>
      </c>
      <c r="E1793" s="6" t="n">
        <v>40816.3902777778</v>
      </c>
      <c r="F1793" s="0" t="n">
        <v>2.89</v>
      </c>
      <c r="G1793" s="0" t="n">
        <v>13813</v>
      </c>
      <c r="H1793" s="0" t="s">
        <v>33</v>
      </c>
      <c r="I1793" s="7" t="n">
        <f aca="false">IF(AND(LEFT(A1793,1)&lt;&gt;"C",D1793&gt;0,F1793&gt;0),1,0)</f>
        <v>1</v>
      </c>
      <c r="J1793" s="7" t="n">
        <f aca="false">IF(I1793=1,D1793*F1793,0)</f>
        <v>17.34</v>
      </c>
      <c r="K1793" s="7" t="n">
        <f aca="false">YEAR(E1793)*100+MONTH(E1793)</f>
        <v>201109</v>
      </c>
      <c r="L1793" s="7" t="n">
        <f aca="false">IF(AND(A1793&lt;&gt;A1792,LEFT(A1793,1)&lt;&gt;"C"),1,0)</f>
        <v>0</v>
      </c>
    </row>
    <row r="1794" customFormat="false" ht="15" hidden="false" customHeight="false" outlineLevel="0" collapsed="false">
      <c r="A1794" s="0" t="s">
        <v>1585</v>
      </c>
      <c r="B1794" s="0" t="s">
        <v>1590</v>
      </c>
      <c r="C1794" s="0" t="s">
        <v>1591</v>
      </c>
      <c r="D1794" s="0" t="n">
        <v>6</v>
      </c>
      <c r="E1794" s="6" t="n">
        <v>40816.3902777778</v>
      </c>
      <c r="F1794" s="0" t="n">
        <v>2.08</v>
      </c>
      <c r="G1794" s="0" t="n">
        <v>13813</v>
      </c>
      <c r="H1794" s="0" t="s">
        <v>33</v>
      </c>
      <c r="I1794" s="7" t="n">
        <f aca="false">IF(AND(LEFT(A1794,1)&lt;&gt;"C",D1794&gt;0,F1794&gt;0),1,0)</f>
        <v>1</v>
      </c>
      <c r="J1794" s="7" t="n">
        <f aca="false">IF(I1794=1,D1794*F1794,0)</f>
        <v>12.48</v>
      </c>
      <c r="K1794" s="7" t="n">
        <f aca="false">YEAR(E1794)*100+MONTH(E1794)</f>
        <v>201109</v>
      </c>
      <c r="L1794" s="7" t="n">
        <f aca="false">IF(AND(A1794&lt;&gt;A1793,LEFT(A1794,1)&lt;&gt;"C"),1,0)</f>
        <v>0</v>
      </c>
    </row>
    <row r="1795" customFormat="false" ht="15" hidden="false" customHeight="false" outlineLevel="0" collapsed="false">
      <c r="A1795" s="0" t="s">
        <v>1585</v>
      </c>
      <c r="B1795" s="0" t="s">
        <v>1592</v>
      </c>
      <c r="C1795" s="0" t="s">
        <v>1593</v>
      </c>
      <c r="D1795" s="0" t="n">
        <v>6</v>
      </c>
      <c r="E1795" s="6" t="n">
        <v>40816.3902777778</v>
      </c>
      <c r="F1795" s="0" t="n">
        <v>2.89</v>
      </c>
      <c r="G1795" s="0" t="n">
        <v>13813</v>
      </c>
      <c r="H1795" s="0" t="s">
        <v>33</v>
      </c>
      <c r="I1795" s="7" t="n">
        <f aca="false">IF(AND(LEFT(A1795,1)&lt;&gt;"C",D1795&gt;0,F1795&gt;0),1,0)</f>
        <v>1</v>
      </c>
      <c r="J1795" s="7" t="n">
        <f aca="false">IF(I1795=1,D1795*F1795,0)</f>
        <v>17.34</v>
      </c>
      <c r="K1795" s="7" t="n">
        <f aca="false">YEAR(E1795)*100+MONTH(E1795)</f>
        <v>201109</v>
      </c>
      <c r="L1795" s="7" t="n">
        <f aca="false">IF(AND(A1795&lt;&gt;A1794,LEFT(A1795,1)&lt;&gt;"C"),1,0)</f>
        <v>0</v>
      </c>
    </row>
    <row r="1796" customFormat="false" ht="15" hidden="false" customHeight="false" outlineLevel="0" collapsed="false">
      <c r="A1796" s="0" t="s">
        <v>1585</v>
      </c>
      <c r="B1796" s="0" t="s">
        <v>1594</v>
      </c>
      <c r="C1796" s="0" t="s">
        <v>1595</v>
      </c>
      <c r="D1796" s="0" t="n">
        <v>6</v>
      </c>
      <c r="E1796" s="6" t="n">
        <v>40816.3902777778</v>
      </c>
      <c r="F1796" s="0" t="n">
        <v>3.75</v>
      </c>
      <c r="G1796" s="0" t="n">
        <v>13813</v>
      </c>
      <c r="H1796" s="0" t="s">
        <v>33</v>
      </c>
      <c r="I1796" s="7" t="n">
        <f aca="false">IF(AND(LEFT(A1796,1)&lt;&gt;"C",D1796&gt;0,F1796&gt;0),1,0)</f>
        <v>1</v>
      </c>
      <c r="J1796" s="7" t="n">
        <f aca="false">IF(I1796=1,D1796*F1796,0)</f>
        <v>22.5</v>
      </c>
      <c r="K1796" s="7" t="n">
        <f aca="false">YEAR(E1796)*100+MONTH(E1796)</f>
        <v>201109</v>
      </c>
      <c r="L1796" s="7" t="n">
        <f aca="false">IF(AND(A1796&lt;&gt;A1795,LEFT(A1796,1)&lt;&gt;"C"),1,0)</f>
        <v>0</v>
      </c>
    </row>
    <row r="1797" customFormat="false" ht="15" hidden="false" customHeight="false" outlineLevel="0" collapsed="false">
      <c r="A1797" s="0" t="s">
        <v>1585</v>
      </c>
      <c r="B1797" s="0" t="s">
        <v>1596</v>
      </c>
      <c r="C1797" s="0" t="s">
        <v>1597</v>
      </c>
      <c r="D1797" s="0" t="n">
        <v>20</v>
      </c>
      <c r="E1797" s="6" t="n">
        <v>40816.3902777778</v>
      </c>
      <c r="F1797" s="0" t="n">
        <v>0.42</v>
      </c>
      <c r="G1797" s="0" t="n">
        <v>13813</v>
      </c>
      <c r="H1797" s="0" t="s">
        <v>33</v>
      </c>
      <c r="I1797" s="7" t="n">
        <f aca="false">IF(AND(LEFT(A1797,1)&lt;&gt;"C",D1797&gt;0,F1797&gt;0),1,0)</f>
        <v>1</v>
      </c>
      <c r="J1797" s="7" t="n">
        <f aca="false">IF(I1797=1,D1797*F1797,0)</f>
        <v>8.4</v>
      </c>
      <c r="K1797" s="7" t="n">
        <f aca="false">YEAR(E1797)*100+MONTH(E1797)</f>
        <v>201109</v>
      </c>
      <c r="L1797" s="7" t="n">
        <f aca="false">IF(AND(A1797&lt;&gt;A1796,LEFT(A1797,1)&lt;&gt;"C"),1,0)</f>
        <v>0</v>
      </c>
    </row>
    <row r="1798" customFormat="false" ht="15" hidden="false" customHeight="false" outlineLevel="0" collapsed="false">
      <c r="A1798" s="0" t="s">
        <v>1585</v>
      </c>
      <c r="B1798" s="0" t="s">
        <v>1598</v>
      </c>
      <c r="C1798" s="0" t="s">
        <v>1599</v>
      </c>
      <c r="D1798" s="0" t="n">
        <v>12</v>
      </c>
      <c r="E1798" s="6" t="n">
        <v>40816.3902777778</v>
      </c>
      <c r="F1798" s="0" t="n">
        <v>1.25</v>
      </c>
      <c r="G1798" s="0" t="n">
        <v>13813</v>
      </c>
      <c r="H1798" s="0" t="s">
        <v>33</v>
      </c>
      <c r="I1798" s="7" t="n">
        <f aca="false">IF(AND(LEFT(A1798,1)&lt;&gt;"C",D1798&gt;0,F1798&gt;0),1,0)</f>
        <v>1</v>
      </c>
      <c r="J1798" s="7" t="n">
        <f aca="false">IF(I1798=1,D1798*F1798,0)</f>
        <v>15</v>
      </c>
      <c r="K1798" s="7" t="n">
        <f aca="false">YEAR(E1798)*100+MONTH(E1798)</f>
        <v>201109</v>
      </c>
      <c r="L1798" s="7" t="n">
        <f aca="false">IF(AND(A1798&lt;&gt;A1797,LEFT(A1798,1)&lt;&gt;"C"),1,0)</f>
        <v>0</v>
      </c>
    </row>
    <row r="1799" customFormat="false" ht="15" hidden="false" customHeight="false" outlineLevel="0" collapsed="false">
      <c r="A1799" s="0" t="s">
        <v>1585</v>
      </c>
      <c r="B1799" s="0" t="s">
        <v>1600</v>
      </c>
      <c r="C1799" s="0" t="s">
        <v>1601</v>
      </c>
      <c r="D1799" s="0" t="n">
        <v>10</v>
      </c>
      <c r="E1799" s="6" t="n">
        <v>40816.3902777778</v>
      </c>
      <c r="F1799" s="0" t="n">
        <v>1.95</v>
      </c>
      <c r="G1799" s="0" t="n">
        <v>13813</v>
      </c>
      <c r="H1799" s="0" t="s">
        <v>33</v>
      </c>
      <c r="I1799" s="7" t="n">
        <f aca="false">IF(AND(LEFT(A1799,1)&lt;&gt;"C",D1799&gt;0,F1799&gt;0),1,0)</f>
        <v>1</v>
      </c>
      <c r="J1799" s="7" t="n">
        <f aca="false">IF(I1799=1,D1799*F1799,0)</f>
        <v>19.5</v>
      </c>
      <c r="K1799" s="7" t="n">
        <f aca="false">YEAR(E1799)*100+MONTH(E1799)</f>
        <v>201109</v>
      </c>
      <c r="L1799" s="7" t="n">
        <f aca="false">IF(AND(A1799&lt;&gt;A1798,LEFT(A1799,1)&lt;&gt;"C"),1,0)</f>
        <v>0</v>
      </c>
    </row>
    <row r="1800" customFormat="false" ht="15" hidden="false" customHeight="false" outlineLevel="0" collapsed="false">
      <c r="A1800" s="0" t="s">
        <v>1585</v>
      </c>
      <c r="B1800" s="0" t="s">
        <v>808</v>
      </c>
      <c r="C1800" s="0" t="s">
        <v>809</v>
      </c>
      <c r="D1800" s="0" t="n">
        <v>4</v>
      </c>
      <c r="E1800" s="6" t="n">
        <v>40816.3902777778</v>
      </c>
      <c r="F1800" s="0" t="n">
        <v>3.75</v>
      </c>
      <c r="G1800" s="0" t="n">
        <v>13813</v>
      </c>
      <c r="H1800" s="0" t="s">
        <v>33</v>
      </c>
      <c r="I1800" s="7" t="n">
        <f aca="false">IF(AND(LEFT(A1800,1)&lt;&gt;"C",D1800&gt;0,F1800&gt;0),1,0)</f>
        <v>1</v>
      </c>
      <c r="J1800" s="7" t="n">
        <f aca="false">IF(I1800=1,D1800*F1800,0)</f>
        <v>15</v>
      </c>
      <c r="K1800" s="7" t="n">
        <f aca="false">YEAR(E1800)*100+MONTH(E1800)</f>
        <v>201109</v>
      </c>
      <c r="L1800" s="7" t="n">
        <f aca="false">IF(AND(A1800&lt;&gt;A1799,LEFT(A1800,1)&lt;&gt;"C"),1,0)</f>
        <v>0</v>
      </c>
    </row>
    <row r="1801" customFormat="false" ht="15" hidden="false" customHeight="false" outlineLevel="0" collapsed="false">
      <c r="A1801" s="0" t="s">
        <v>1585</v>
      </c>
      <c r="B1801" s="0" t="s">
        <v>1602</v>
      </c>
      <c r="C1801" s="0" t="s">
        <v>1603</v>
      </c>
      <c r="D1801" s="0" t="n">
        <v>12</v>
      </c>
      <c r="E1801" s="6" t="n">
        <v>40816.3902777778</v>
      </c>
      <c r="F1801" s="0" t="n">
        <v>1.95</v>
      </c>
      <c r="G1801" s="0" t="n">
        <v>13813</v>
      </c>
      <c r="H1801" s="0" t="s">
        <v>33</v>
      </c>
      <c r="I1801" s="7" t="n">
        <f aca="false">IF(AND(LEFT(A1801,1)&lt;&gt;"C",D1801&gt;0,F1801&gt;0),1,0)</f>
        <v>1</v>
      </c>
      <c r="J1801" s="7" t="n">
        <f aca="false">IF(I1801=1,D1801*F1801,0)</f>
        <v>23.4</v>
      </c>
      <c r="K1801" s="7" t="n">
        <f aca="false">YEAR(E1801)*100+MONTH(E1801)</f>
        <v>201109</v>
      </c>
      <c r="L1801" s="7" t="n">
        <f aca="false">IF(AND(A1801&lt;&gt;A1800,LEFT(A1801,1)&lt;&gt;"C"),1,0)</f>
        <v>0</v>
      </c>
    </row>
    <row r="1802" customFormat="false" ht="15" hidden="false" customHeight="false" outlineLevel="0" collapsed="false">
      <c r="A1802" s="0" t="s">
        <v>1585</v>
      </c>
      <c r="B1802" s="0" t="s">
        <v>973</v>
      </c>
      <c r="C1802" s="0" t="s">
        <v>974</v>
      </c>
      <c r="D1802" s="0" t="n">
        <v>25</v>
      </c>
      <c r="E1802" s="6" t="n">
        <v>40816.3902777778</v>
      </c>
      <c r="F1802" s="0" t="n">
        <v>0.42</v>
      </c>
      <c r="G1802" s="0" t="n">
        <v>13813</v>
      </c>
      <c r="H1802" s="0" t="s">
        <v>33</v>
      </c>
      <c r="I1802" s="7" t="n">
        <f aca="false">IF(AND(LEFT(A1802,1)&lt;&gt;"C",D1802&gt;0,F1802&gt;0),1,0)</f>
        <v>1</v>
      </c>
      <c r="J1802" s="7" t="n">
        <f aca="false">IF(I1802=1,D1802*F1802,0)</f>
        <v>10.5</v>
      </c>
      <c r="K1802" s="7" t="n">
        <f aca="false">YEAR(E1802)*100+MONTH(E1802)</f>
        <v>201109</v>
      </c>
      <c r="L1802" s="7" t="n">
        <f aca="false">IF(AND(A1802&lt;&gt;A1801,LEFT(A1802,1)&lt;&gt;"C"),1,0)</f>
        <v>0</v>
      </c>
    </row>
    <row r="1803" customFormat="false" ht="15" hidden="false" customHeight="false" outlineLevel="0" collapsed="false">
      <c r="A1803" s="0" t="s">
        <v>1585</v>
      </c>
      <c r="B1803" s="0" t="s">
        <v>503</v>
      </c>
      <c r="C1803" s="0" t="s">
        <v>504</v>
      </c>
      <c r="D1803" s="0" t="n">
        <v>25</v>
      </c>
      <c r="E1803" s="6" t="n">
        <v>40816.3902777778</v>
      </c>
      <c r="F1803" s="0" t="n">
        <v>0.42</v>
      </c>
      <c r="G1803" s="0" t="n">
        <v>13813</v>
      </c>
      <c r="H1803" s="0" t="s">
        <v>33</v>
      </c>
      <c r="I1803" s="7" t="n">
        <f aca="false">IF(AND(LEFT(A1803,1)&lt;&gt;"C",D1803&gt;0,F1803&gt;0),1,0)</f>
        <v>1</v>
      </c>
      <c r="J1803" s="7" t="n">
        <f aca="false">IF(I1803=1,D1803*F1803,0)</f>
        <v>10.5</v>
      </c>
      <c r="K1803" s="7" t="n">
        <f aca="false">YEAR(E1803)*100+MONTH(E1803)</f>
        <v>201109</v>
      </c>
      <c r="L1803" s="7" t="n">
        <f aca="false">IF(AND(A1803&lt;&gt;A1802,LEFT(A1803,1)&lt;&gt;"C"),1,0)</f>
        <v>0</v>
      </c>
    </row>
    <row r="1804" customFormat="false" ht="15" hidden="false" customHeight="false" outlineLevel="0" collapsed="false">
      <c r="A1804" s="0" t="s">
        <v>1585</v>
      </c>
      <c r="B1804" s="0" t="s">
        <v>1525</v>
      </c>
      <c r="C1804" s="0" t="s">
        <v>1526</v>
      </c>
      <c r="D1804" s="0" t="n">
        <v>25</v>
      </c>
      <c r="E1804" s="6" t="n">
        <v>40816.3902777778</v>
      </c>
      <c r="F1804" s="0" t="n">
        <v>0.42</v>
      </c>
      <c r="G1804" s="0" t="n">
        <v>13813</v>
      </c>
      <c r="H1804" s="0" t="s">
        <v>33</v>
      </c>
      <c r="I1804" s="7" t="n">
        <f aca="false">IF(AND(LEFT(A1804,1)&lt;&gt;"C",D1804&gt;0,F1804&gt;0),1,0)</f>
        <v>1</v>
      </c>
      <c r="J1804" s="7" t="n">
        <f aca="false">IF(I1804=1,D1804*F1804,0)</f>
        <v>10.5</v>
      </c>
      <c r="K1804" s="7" t="n">
        <f aca="false">YEAR(E1804)*100+MONTH(E1804)</f>
        <v>201109</v>
      </c>
      <c r="L1804" s="7" t="n">
        <f aca="false">IF(AND(A1804&lt;&gt;A1803,LEFT(A1804,1)&lt;&gt;"C"),1,0)</f>
        <v>0</v>
      </c>
    </row>
    <row r="1805" customFormat="false" ht="15" hidden="false" customHeight="false" outlineLevel="0" collapsed="false">
      <c r="A1805" s="0" t="s">
        <v>1585</v>
      </c>
      <c r="B1805" s="0" t="s">
        <v>1604</v>
      </c>
      <c r="C1805" s="0" t="s">
        <v>1605</v>
      </c>
      <c r="D1805" s="0" t="n">
        <v>6</v>
      </c>
      <c r="E1805" s="6" t="n">
        <v>40816.3902777778</v>
      </c>
      <c r="F1805" s="0" t="n">
        <v>2.55</v>
      </c>
      <c r="G1805" s="0" t="n">
        <v>13813</v>
      </c>
      <c r="H1805" s="0" t="s">
        <v>33</v>
      </c>
      <c r="I1805" s="7" t="n">
        <f aca="false">IF(AND(LEFT(A1805,1)&lt;&gt;"C",D1805&gt;0,F1805&gt;0),1,0)</f>
        <v>1</v>
      </c>
      <c r="J1805" s="7" t="n">
        <f aca="false">IF(I1805=1,D1805*F1805,0)</f>
        <v>15.3</v>
      </c>
      <c r="K1805" s="7" t="n">
        <f aca="false">YEAR(E1805)*100+MONTH(E1805)</f>
        <v>201109</v>
      </c>
      <c r="L1805" s="7" t="n">
        <f aca="false">IF(AND(A1805&lt;&gt;A1804,LEFT(A1805,1)&lt;&gt;"C"),1,0)</f>
        <v>0</v>
      </c>
    </row>
    <row r="1806" customFormat="false" ht="15" hidden="false" customHeight="false" outlineLevel="0" collapsed="false">
      <c r="A1806" s="0" t="s">
        <v>1585</v>
      </c>
      <c r="B1806" s="0" t="s">
        <v>84</v>
      </c>
      <c r="C1806" s="0" t="s">
        <v>85</v>
      </c>
      <c r="D1806" s="0" t="n">
        <v>2</v>
      </c>
      <c r="E1806" s="6" t="n">
        <v>40816.3902777778</v>
      </c>
      <c r="F1806" s="0" t="n">
        <v>18</v>
      </c>
      <c r="G1806" s="0" t="n">
        <v>13813</v>
      </c>
      <c r="H1806" s="0" t="s">
        <v>33</v>
      </c>
      <c r="I1806" s="7" t="n">
        <f aca="false">IF(AND(LEFT(A1806,1)&lt;&gt;"C",D1806&gt;0,F1806&gt;0),1,0)</f>
        <v>1</v>
      </c>
      <c r="J1806" s="7" t="n">
        <f aca="false">IF(I1806=1,D1806*F1806,0)</f>
        <v>36</v>
      </c>
      <c r="K1806" s="7" t="n">
        <f aca="false">YEAR(E1806)*100+MONTH(E1806)</f>
        <v>201109</v>
      </c>
      <c r="L1806" s="7" t="n">
        <f aca="false">IF(AND(A1806&lt;&gt;A1805,LEFT(A1806,1)&lt;&gt;"C"),1,0)</f>
        <v>0</v>
      </c>
    </row>
    <row r="1807" customFormat="false" ht="15" hidden="false" customHeight="false" outlineLevel="0" collapsed="false">
      <c r="A1807" s="0" t="s">
        <v>1606</v>
      </c>
      <c r="B1807" s="0" t="s">
        <v>1596</v>
      </c>
      <c r="C1807" s="0" t="s">
        <v>1597</v>
      </c>
      <c r="D1807" s="0" t="n">
        <v>20</v>
      </c>
      <c r="E1807" s="6" t="n">
        <v>40816.5041666667</v>
      </c>
      <c r="F1807" s="0" t="n">
        <v>0.42</v>
      </c>
      <c r="G1807" s="0" t="n">
        <v>12731</v>
      </c>
      <c r="H1807" s="0" t="s">
        <v>43</v>
      </c>
      <c r="I1807" s="7" t="n">
        <f aca="false">IF(AND(LEFT(A1807,1)&lt;&gt;"C",D1807&gt;0,F1807&gt;0),1,0)</f>
        <v>1</v>
      </c>
      <c r="J1807" s="7" t="n">
        <f aca="false">IF(I1807=1,D1807*F1807,0)</f>
        <v>8.4</v>
      </c>
      <c r="K1807" s="7" t="n">
        <f aca="false">YEAR(E1807)*100+MONTH(E1807)</f>
        <v>201109</v>
      </c>
      <c r="L1807" s="7" t="n">
        <f aca="false">IF(AND(A1807&lt;&gt;A1806,LEFT(A1807,1)&lt;&gt;"C"),1,0)</f>
        <v>1</v>
      </c>
    </row>
    <row r="1808" customFormat="false" ht="15" hidden="false" customHeight="false" outlineLevel="0" collapsed="false">
      <c r="A1808" s="0" t="s">
        <v>1606</v>
      </c>
      <c r="B1808" s="0" t="s">
        <v>1607</v>
      </c>
      <c r="C1808" s="0" t="s">
        <v>1608</v>
      </c>
      <c r="D1808" s="0" t="n">
        <v>20</v>
      </c>
      <c r="E1808" s="6" t="n">
        <v>40816.5041666667</v>
      </c>
      <c r="F1808" s="0" t="n">
        <v>0.42</v>
      </c>
      <c r="G1808" s="0" t="n">
        <v>12731</v>
      </c>
      <c r="H1808" s="0" t="s">
        <v>43</v>
      </c>
      <c r="I1808" s="7" t="n">
        <f aca="false">IF(AND(LEFT(A1808,1)&lt;&gt;"C",D1808&gt;0,F1808&gt;0),1,0)</f>
        <v>1</v>
      </c>
      <c r="J1808" s="7" t="n">
        <f aca="false">IF(I1808=1,D1808*F1808,0)</f>
        <v>8.4</v>
      </c>
      <c r="K1808" s="7" t="n">
        <f aca="false">YEAR(E1808)*100+MONTH(E1808)</f>
        <v>201109</v>
      </c>
      <c r="L1808" s="7" t="n">
        <f aca="false">IF(AND(A1808&lt;&gt;A1807,LEFT(A1808,1)&lt;&gt;"C"),1,0)</f>
        <v>0</v>
      </c>
    </row>
    <row r="1809" customFormat="false" ht="15" hidden="false" customHeight="false" outlineLevel="0" collapsed="false">
      <c r="A1809" s="0" t="s">
        <v>1606</v>
      </c>
      <c r="B1809" s="0" t="s">
        <v>1609</v>
      </c>
      <c r="C1809" s="0" t="s">
        <v>1610</v>
      </c>
      <c r="D1809" s="0" t="n">
        <v>20</v>
      </c>
      <c r="E1809" s="6" t="n">
        <v>40816.5041666667</v>
      </c>
      <c r="F1809" s="0" t="n">
        <v>0.42</v>
      </c>
      <c r="G1809" s="0" t="n">
        <v>12731</v>
      </c>
      <c r="H1809" s="0" t="s">
        <v>43</v>
      </c>
      <c r="I1809" s="7" t="n">
        <f aca="false">IF(AND(LEFT(A1809,1)&lt;&gt;"C",D1809&gt;0,F1809&gt;0),1,0)</f>
        <v>1</v>
      </c>
      <c r="J1809" s="7" t="n">
        <f aca="false">IF(I1809=1,D1809*F1809,0)</f>
        <v>8.4</v>
      </c>
      <c r="K1809" s="7" t="n">
        <f aca="false">YEAR(E1809)*100+MONTH(E1809)</f>
        <v>201109</v>
      </c>
      <c r="L1809" s="7" t="n">
        <f aca="false">IF(AND(A1809&lt;&gt;A1808,LEFT(A1809,1)&lt;&gt;"C"),1,0)</f>
        <v>0</v>
      </c>
    </row>
    <row r="1810" customFormat="false" ht="15" hidden="false" customHeight="false" outlineLevel="0" collapsed="false">
      <c r="A1810" s="0" t="s">
        <v>1606</v>
      </c>
      <c r="B1810" s="0" t="s">
        <v>1611</v>
      </c>
      <c r="C1810" s="0" t="s">
        <v>1612</v>
      </c>
      <c r="D1810" s="0" t="n">
        <v>20</v>
      </c>
      <c r="E1810" s="6" t="n">
        <v>40816.5041666667</v>
      </c>
      <c r="F1810" s="0" t="n">
        <v>0.42</v>
      </c>
      <c r="G1810" s="0" t="n">
        <v>12731</v>
      </c>
      <c r="H1810" s="0" t="s">
        <v>43</v>
      </c>
      <c r="I1810" s="7" t="n">
        <f aca="false">IF(AND(LEFT(A1810,1)&lt;&gt;"C",D1810&gt;0,F1810&gt;0),1,0)</f>
        <v>1</v>
      </c>
      <c r="J1810" s="7" t="n">
        <f aca="false">IF(I1810=1,D1810*F1810,0)</f>
        <v>8.4</v>
      </c>
      <c r="K1810" s="7" t="n">
        <f aca="false">YEAR(E1810)*100+MONTH(E1810)</f>
        <v>201109</v>
      </c>
      <c r="L1810" s="7" t="n">
        <f aca="false">IF(AND(A1810&lt;&gt;A1809,LEFT(A1810,1)&lt;&gt;"C"),1,0)</f>
        <v>0</v>
      </c>
    </row>
    <row r="1811" customFormat="false" ht="15" hidden="false" customHeight="false" outlineLevel="0" collapsed="false">
      <c r="A1811" s="0" t="s">
        <v>1606</v>
      </c>
      <c r="B1811" s="0" t="s">
        <v>1613</v>
      </c>
      <c r="C1811" s="0" t="s">
        <v>1614</v>
      </c>
      <c r="D1811" s="0" t="n">
        <v>20</v>
      </c>
      <c r="E1811" s="6" t="n">
        <v>40816.5041666667</v>
      </c>
      <c r="F1811" s="0" t="n">
        <v>0.42</v>
      </c>
      <c r="G1811" s="0" t="n">
        <v>12731</v>
      </c>
      <c r="H1811" s="0" t="s">
        <v>43</v>
      </c>
      <c r="I1811" s="7" t="n">
        <f aca="false">IF(AND(LEFT(A1811,1)&lt;&gt;"C",D1811&gt;0,F1811&gt;0),1,0)</f>
        <v>1</v>
      </c>
      <c r="J1811" s="7" t="n">
        <f aca="false">IF(I1811=1,D1811*F1811,0)</f>
        <v>8.4</v>
      </c>
      <c r="K1811" s="7" t="n">
        <f aca="false">YEAR(E1811)*100+MONTH(E1811)</f>
        <v>201109</v>
      </c>
      <c r="L1811" s="7" t="n">
        <f aca="false">IF(AND(A1811&lt;&gt;A1810,LEFT(A1811,1)&lt;&gt;"C"),1,0)</f>
        <v>0</v>
      </c>
    </row>
    <row r="1812" customFormat="false" ht="15" hidden="false" customHeight="false" outlineLevel="0" collapsed="false">
      <c r="A1812" s="0" t="s">
        <v>1606</v>
      </c>
      <c r="B1812" s="0" t="s">
        <v>1615</v>
      </c>
      <c r="C1812" s="0" t="s">
        <v>1616</v>
      </c>
      <c r="D1812" s="0" t="n">
        <v>12</v>
      </c>
      <c r="E1812" s="6" t="n">
        <v>40816.5041666667</v>
      </c>
      <c r="F1812" s="0" t="n">
        <v>14.95</v>
      </c>
      <c r="G1812" s="0" t="n">
        <v>12731</v>
      </c>
      <c r="H1812" s="0" t="s">
        <v>43</v>
      </c>
      <c r="I1812" s="7" t="n">
        <f aca="false">IF(AND(LEFT(A1812,1)&lt;&gt;"C",D1812&gt;0,F1812&gt;0),1,0)</f>
        <v>1</v>
      </c>
      <c r="J1812" s="7" t="n">
        <f aca="false">IF(I1812=1,D1812*F1812,0)</f>
        <v>179.4</v>
      </c>
      <c r="K1812" s="7" t="n">
        <f aca="false">YEAR(E1812)*100+MONTH(E1812)</f>
        <v>201109</v>
      </c>
      <c r="L1812" s="7" t="n">
        <f aca="false">IF(AND(A1812&lt;&gt;A1811,LEFT(A1812,1)&lt;&gt;"C"),1,0)</f>
        <v>0</v>
      </c>
    </row>
    <row r="1813" customFormat="false" ht="15" hidden="false" customHeight="false" outlineLevel="0" collapsed="false">
      <c r="A1813" s="0" t="s">
        <v>1606</v>
      </c>
      <c r="B1813" s="0" t="s">
        <v>588</v>
      </c>
      <c r="C1813" s="0" t="s">
        <v>589</v>
      </c>
      <c r="D1813" s="0" t="n">
        <v>30</v>
      </c>
      <c r="E1813" s="6" t="n">
        <v>40816.5041666667</v>
      </c>
      <c r="F1813" s="0" t="n">
        <v>1.65</v>
      </c>
      <c r="G1813" s="0" t="n">
        <v>12731</v>
      </c>
      <c r="H1813" s="0" t="s">
        <v>43</v>
      </c>
      <c r="I1813" s="7" t="n">
        <f aca="false">IF(AND(LEFT(A1813,1)&lt;&gt;"C",D1813&gt;0,F1813&gt;0),1,0)</f>
        <v>1</v>
      </c>
      <c r="J1813" s="7" t="n">
        <f aca="false">IF(I1813=1,D1813*F1813,0)</f>
        <v>49.5</v>
      </c>
      <c r="K1813" s="7" t="n">
        <f aca="false">YEAR(E1813)*100+MONTH(E1813)</f>
        <v>201109</v>
      </c>
      <c r="L1813" s="7" t="n">
        <f aca="false">IF(AND(A1813&lt;&gt;A1812,LEFT(A1813,1)&lt;&gt;"C"),1,0)</f>
        <v>0</v>
      </c>
    </row>
    <row r="1814" customFormat="false" ht="15" hidden="false" customHeight="false" outlineLevel="0" collapsed="false">
      <c r="A1814" s="0" t="s">
        <v>1606</v>
      </c>
      <c r="B1814" s="0" t="s">
        <v>68</v>
      </c>
      <c r="C1814" s="0" t="s">
        <v>69</v>
      </c>
      <c r="D1814" s="0" t="n">
        <v>30</v>
      </c>
      <c r="E1814" s="6" t="n">
        <v>40816.5041666667</v>
      </c>
      <c r="F1814" s="0" t="n">
        <v>1.65</v>
      </c>
      <c r="G1814" s="0" t="n">
        <v>12731</v>
      </c>
      <c r="H1814" s="0" t="s">
        <v>43</v>
      </c>
      <c r="I1814" s="7" t="n">
        <f aca="false">IF(AND(LEFT(A1814,1)&lt;&gt;"C",D1814&gt;0,F1814&gt;0),1,0)</f>
        <v>1</v>
      </c>
      <c r="J1814" s="7" t="n">
        <f aca="false">IF(I1814=1,D1814*F1814,0)</f>
        <v>49.5</v>
      </c>
      <c r="K1814" s="7" t="n">
        <f aca="false">YEAR(E1814)*100+MONTH(E1814)</f>
        <v>201109</v>
      </c>
      <c r="L1814" s="7" t="n">
        <f aca="false">IF(AND(A1814&lt;&gt;A1813,LEFT(A1814,1)&lt;&gt;"C"),1,0)</f>
        <v>0</v>
      </c>
    </row>
    <row r="1815" customFormat="false" ht="15" hidden="false" customHeight="false" outlineLevel="0" collapsed="false">
      <c r="A1815" s="0" t="s">
        <v>1606</v>
      </c>
      <c r="B1815" s="0" t="s">
        <v>333</v>
      </c>
      <c r="C1815" s="0" t="s">
        <v>334</v>
      </c>
      <c r="D1815" s="0" t="n">
        <v>36</v>
      </c>
      <c r="E1815" s="6" t="n">
        <v>40816.5041666667</v>
      </c>
      <c r="F1815" s="0" t="n">
        <v>1.65</v>
      </c>
      <c r="G1815" s="0" t="n">
        <v>12731</v>
      </c>
      <c r="H1815" s="0" t="s">
        <v>43</v>
      </c>
      <c r="I1815" s="7" t="n">
        <f aca="false">IF(AND(LEFT(A1815,1)&lt;&gt;"C",D1815&gt;0,F1815&gt;0),1,0)</f>
        <v>1</v>
      </c>
      <c r="J1815" s="7" t="n">
        <f aca="false">IF(I1815=1,D1815*F1815,0)</f>
        <v>59.4</v>
      </c>
      <c r="K1815" s="7" t="n">
        <f aca="false">YEAR(E1815)*100+MONTH(E1815)</f>
        <v>201109</v>
      </c>
      <c r="L1815" s="7" t="n">
        <f aca="false">IF(AND(A1815&lt;&gt;A1814,LEFT(A1815,1)&lt;&gt;"C"),1,0)</f>
        <v>0</v>
      </c>
    </row>
    <row r="1816" customFormat="false" ht="15" hidden="false" customHeight="false" outlineLevel="0" collapsed="false">
      <c r="A1816" s="0" t="s">
        <v>1606</v>
      </c>
      <c r="B1816" s="0" t="s">
        <v>335</v>
      </c>
      <c r="C1816" s="0" t="s">
        <v>336</v>
      </c>
      <c r="D1816" s="0" t="n">
        <v>24</v>
      </c>
      <c r="E1816" s="6" t="n">
        <v>40816.5041666667</v>
      </c>
      <c r="F1816" s="0" t="n">
        <v>1.65</v>
      </c>
      <c r="G1816" s="0" t="n">
        <v>12731</v>
      </c>
      <c r="H1816" s="0" t="s">
        <v>43</v>
      </c>
      <c r="I1816" s="7" t="n">
        <f aca="false">IF(AND(LEFT(A1816,1)&lt;&gt;"C",D1816&gt;0,F1816&gt;0),1,0)</f>
        <v>1</v>
      </c>
      <c r="J1816" s="7" t="n">
        <f aca="false">IF(I1816=1,D1816*F1816,0)</f>
        <v>39.6</v>
      </c>
      <c r="K1816" s="7" t="n">
        <f aca="false">YEAR(E1816)*100+MONTH(E1816)</f>
        <v>201109</v>
      </c>
      <c r="L1816" s="7" t="n">
        <f aca="false">IF(AND(A1816&lt;&gt;A1815,LEFT(A1816,1)&lt;&gt;"C"),1,0)</f>
        <v>0</v>
      </c>
    </row>
    <row r="1817" customFormat="false" ht="15" hidden="false" customHeight="false" outlineLevel="0" collapsed="false">
      <c r="A1817" s="0" t="s">
        <v>1606</v>
      </c>
      <c r="B1817" s="0" t="s">
        <v>97</v>
      </c>
      <c r="C1817" s="0" t="s">
        <v>98</v>
      </c>
      <c r="D1817" s="0" t="n">
        <v>24</v>
      </c>
      <c r="E1817" s="6" t="n">
        <v>40816.5041666667</v>
      </c>
      <c r="F1817" s="0" t="n">
        <v>1.65</v>
      </c>
      <c r="G1817" s="0" t="n">
        <v>12731</v>
      </c>
      <c r="H1817" s="0" t="s">
        <v>43</v>
      </c>
      <c r="I1817" s="7" t="n">
        <f aca="false">IF(AND(LEFT(A1817,1)&lt;&gt;"C",D1817&gt;0,F1817&gt;0),1,0)</f>
        <v>1</v>
      </c>
      <c r="J1817" s="7" t="n">
        <f aca="false">IF(I1817=1,D1817*F1817,0)</f>
        <v>39.6</v>
      </c>
      <c r="K1817" s="7" t="n">
        <f aca="false">YEAR(E1817)*100+MONTH(E1817)</f>
        <v>201109</v>
      </c>
      <c r="L1817" s="7" t="n">
        <f aca="false">IF(AND(A1817&lt;&gt;A1816,LEFT(A1817,1)&lt;&gt;"C"),1,0)</f>
        <v>0</v>
      </c>
    </row>
    <row r="1818" customFormat="false" ht="15" hidden="false" customHeight="false" outlineLevel="0" collapsed="false">
      <c r="A1818" s="0" t="s">
        <v>1606</v>
      </c>
      <c r="B1818" s="0" t="s">
        <v>35</v>
      </c>
      <c r="C1818" s="0" t="s">
        <v>36</v>
      </c>
      <c r="D1818" s="0" t="n">
        <v>48</v>
      </c>
      <c r="E1818" s="6" t="n">
        <v>40816.5041666667</v>
      </c>
      <c r="F1818" s="0" t="n">
        <v>1.65</v>
      </c>
      <c r="G1818" s="0" t="n">
        <v>12731</v>
      </c>
      <c r="H1818" s="0" t="s">
        <v>43</v>
      </c>
      <c r="I1818" s="7" t="n">
        <f aca="false">IF(AND(LEFT(A1818,1)&lt;&gt;"C",D1818&gt;0,F1818&gt;0),1,0)</f>
        <v>1</v>
      </c>
      <c r="J1818" s="7" t="n">
        <f aca="false">IF(I1818=1,D1818*F1818,0)</f>
        <v>79.2</v>
      </c>
      <c r="K1818" s="7" t="n">
        <f aca="false">YEAR(E1818)*100+MONTH(E1818)</f>
        <v>201109</v>
      </c>
      <c r="L1818" s="7" t="n">
        <f aca="false">IF(AND(A1818&lt;&gt;A1817,LEFT(A1818,1)&lt;&gt;"C"),1,0)</f>
        <v>0</v>
      </c>
    </row>
    <row r="1819" customFormat="false" ht="15" hidden="false" customHeight="false" outlineLevel="0" collapsed="false">
      <c r="A1819" s="0" t="s">
        <v>1606</v>
      </c>
      <c r="B1819" s="0" t="s">
        <v>592</v>
      </c>
      <c r="C1819" s="0" t="s">
        <v>593</v>
      </c>
      <c r="D1819" s="0" t="n">
        <v>12</v>
      </c>
      <c r="E1819" s="6" t="n">
        <v>40816.5041666667</v>
      </c>
      <c r="F1819" s="0" t="n">
        <v>2.95</v>
      </c>
      <c r="G1819" s="0" t="n">
        <v>12731</v>
      </c>
      <c r="H1819" s="0" t="s">
        <v>43</v>
      </c>
      <c r="I1819" s="7" t="n">
        <f aca="false">IF(AND(LEFT(A1819,1)&lt;&gt;"C",D1819&gt;0,F1819&gt;0),1,0)</f>
        <v>1</v>
      </c>
      <c r="J1819" s="7" t="n">
        <f aca="false">IF(I1819=1,D1819*F1819,0)</f>
        <v>35.4</v>
      </c>
      <c r="K1819" s="7" t="n">
        <f aca="false">YEAR(E1819)*100+MONTH(E1819)</f>
        <v>201109</v>
      </c>
      <c r="L1819" s="7" t="n">
        <f aca="false">IF(AND(A1819&lt;&gt;A1818,LEFT(A1819,1)&lt;&gt;"C"),1,0)</f>
        <v>0</v>
      </c>
    </row>
    <row r="1820" customFormat="false" ht="15" hidden="false" customHeight="false" outlineLevel="0" collapsed="false">
      <c r="A1820" s="0" t="s">
        <v>1606</v>
      </c>
      <c r="B1820" s="0" t="s">
        <v>133</v>
      </c>
      <c r="C1820" s="0" t="s">
        <v>134</v>
      </c>
      <c r="D1820" s="0" t="n">
        <v>12</v>
      </c>
      <c r="E1820" s="6" t="n">
        <v>40816.5041666667</v>
      </c>
      <c r="F1820" s="0" t="n">
        <v>3.25</v>
      </c>
      <c r="G1820" s="0" t="n">
        <v>12731</v>
      </c>
      <c r="H1820" s="0" t="s">
        <v>43</v>
      </c>
      <c r="I1820" s="7" t="n">
        <f aca="false">IF(AND(LEFT(A1820,1)&lt;&gt;"C",D1820&gt;0,F1820&gt;0),1,0)</f>
        <v>1</v>
      </c>
      <c r="J1820" s="7" t="n">
        <f aca="false">IF(I1820=1,D1820*F1820,0)</f>
        <v>39</v>
      </c>
      <c r="K1820" s="7" t="n">
        <f aca="false">YEAR(E1820)*100+MONTH(E1820)</f>
        <v>201109</v>
      </c>
      <c r="L1820" s="7" t="n">
        <f aca="false">IF(AND(A1820&lt;&gt;A1819,LEFT(A1820,1)&lt;&gt;"C"),1,0)</f>
        <v>0</v>
      </c>
    </row>
    <row r="1821" customFormat="false" ht="15" hidden="false" customHeight="false" outlineLevel="0" collapsed="false">
      <c r="A1821" s="0" t="s">
        <v>1606</v>
      </c>
      <c r="B1821" s="0" t="s">
        <v>752</v>
      </c>
      <c r="C1821" s="0" t="s">
        <v>753</v>
      </c>
      <c r="D1821" s="0" t="n">
        <v>48</v>
      </c>
      <c r="E1821" s="6" t="n">
        <v>40816.5041666667</v>
      </c>
      <c r="F1821" s="0" t="n">
        <v>1.45</v>
      </c>
      <c r="G1821" s="0" t="n">
        <v>12731</v>
      </c>
      <c r="H1821" s="0" t="s">
        <v>43</v>
      </c>
      <c r="I1821" s="7" t="n">
        <f aca="false">IF(AND(LEFT(A1821,1)&lt;&gt;"C",D1821&gt;0,F1821&gt;0),1,0)</f>
        <v>1</v>
      </c>
      <c r="J1821" s="7" t="n">
        <f aca="false">IF(I1821=1,D1821*F1821,0)</f>
        <v>69.6</v>
      </c>
      <c r="K1821" s="7" t="n">
        <f aca="false">YEAR(E1821)*100+MONTH(E1821)</f>
        <v>201109</v>
      </c>
      <c r="L1821" s="7" t="n">
        <f aca="false">IF(AND(A1821&lt;&gt;A1820,LEFT(A1821,1)&lt;&gt;"C"),1,0)</f>
        <v>0</v>
      </c>
    </row>
    <row r="1822" customFormat="false" ht="15" hidden="false" customHeight="false" outlineLevel="0" collapsed="false">
      <c r="A1822" s="0" t="s">
        <v>1606</v>
      </c>
      <c r="B1822" s="0" t="s">
        <v>677</v>
      </c>
      <c r="C1822" s="0" t="s">
        <v>678</v>
      </c>
      <c r="D1822" s="0" t="n">
        <v>12</v>
      </c>
      <c r="E1822" s="6" t="n">
        <v>40816.5041666667</v>
      </c>
      <c r="F1822" s="0" t="n">
        <v>2.1</v>
      </c>
      <c r="G1822" s="0" t="n">
        <v>12731</v>
      </c>
      <c r="H1822" s="0" t="s">
        <v>43</v>
      </c>
      <c r="I1822" s="7" t="n">
        <f aca="false">IF(AND(LEFT(A1822,1)&lt;&gt;"C",D1822&gt;0,F1822&gt;0),1,0)</f>
        <v>1</v>
      </c>
      <c r="J1822" s="7" t="n">
        <f aca="false">IF(I1822=1,D1822*F1822,0)</f>
        <v>25.2</v>
      </c>
      <c r="K1822" s="7" t="n">
        <f aca="false">YEAR(E1822)*100+MONTH(E1822)</f>
        <v>201109</v>
      </c>
      <c r="L1822" s="7" t="n">
        <f aca="false">IF(AND(A1822&lt;&gt;A1821,LEFT(A1822,1)&lt;&gt;"C"),1,0)</f>
        <v>0</v>
      </c>
    </row>
    <row r="1823" customFormat="false" ht="15" hidden="false" customHeight="false" outlineLevel="0" collapsed="false">
      <c r="A1823" s="0" t="s">
        <v>1606</v>
      </c>
      <c r="B1823" s="0" t="s">
        <v>1438</v>
      </c>
      <c r="C1823" s="0" t="s">
        <v>1439</v>
      </c>
      <c r="D1823" s="0" t="n">
        <v>12</v>
      </c>
      <c r="E1823" s="6" t="n">
        <v>40816.5041666667</v>
      </c>
      <c r="F1823" s="0" t="n">
        <v>2.1</v>
      </c>
      <c r="G1823" s="0" t="n">
        <v>12731</v>
      </c>
      <c r="H1823" s="0" t="s">
        <v>43</v>
      </c>
      <c r="I1823" s="7" t="n">
        <f aca="false">IF(AND(LEFT(A1823,1)&lt;&gt;"C",D1823&gt;0,F1823&gt;0),1,0)</f>
        <v>1</v>
      </c>
      <c r="J1823" s="7" t="n">
        <f aca="false">IF(I1823=1,D1823*F1823,0)</f>
        <v>25.2</v>
      </c>
      <c r="K1823" s="7" t="n">
        <f aca="false">YEAR(E1823)*100+MONTH(E1823)</f>
        <v>201109</v>
      </c>
      <c r="L1823" s="7" t="n">
        <f aca="false">IF(AND(A1823&lt;&gt;A1822,LEFT(A1823,1)&lt;&gt;"C"),1,0)</f>
        <v>0</v>
      </c>
    </row>
    <row r="1824" customFormat="false" ht="15" hidden="false" customHeight="false" outlineLevel="0" collapsed="false">
      <c r="A1824" s="0" t="s">
        <v>1606</v>
      </c>
      <c r="B1824" s="0" t="s">
        <v>1440</v>
      </c>
      <c r="C1824" s="0" t="s">
        <v>1441</v>
      </c>
      <c r="D1824" s="0" t="n">
        <v>12</v>
      </c>
      <c r="E1824" s="6" t="n">
        <v>40816.5041666667</v>
      </c>
      <c r="F1824" s="0" t="n">
        <v>2.1</v>
      </c>
      <c r="G1824" s="0" t="n">
        <v>12731</v>
      </c>
      <c r="H1824" s="0" t="s">
        <v>43</v>
      </c>
      <c r="I1824" s="7" t="n">
        <f aca="false">IF(AND(LEFT(A1824,1)&lt;&gt;"C",D1824&gt;0,F1824&gt;0),1,0)</f>
        <v>1</v>
      </c>
      <c r="J1824" s="7" t="n">
        <f aca="false">IF(I1824=1,D1824*F1824,0)</f>
        <v>25.2</v>
      </c>
      <c r="K1824" s="7" t="n">
        <f aca="false">YEAR(E1824)*100+MONTH(E1824)</f>
        <v>201109</v>
      </c>
      <c r="L1824" s="7" t="n">
        <f aca="false">IF(AND(A1824&lt;&gt;A1823,LEFT(A1824,1)&lt;&gt;"C"),1,0)</f>
        <v>0</v>
      </c>
    </row>
    <row r="1825" customFormat="false" ht="15" hidden="false" customHeight="false" outlineLevel="0" collapsed="false">
      <c r="A1825" s="0" t="s">
        <v>1606</v>
      </c>
      <c r="B1825" s="0" t="s">
        <v>679</v>
      </c>
      <c r="C1825" s="0" t="s">
        <v>680</v>
      </c>
      <c r="D1825" s="0" t="n">
        <v>12</v>
      </c>
      <c r="E1825" s="6" t="n">
        <v>40816.5041666667</v>
      </c>
      <c r="F1825" s="0" t="n">
        <v>2.1</v>
      </c>
      <c r="G1825" s="0" t="n">
        <v>12731</v>
      </c>
      <c r="H1825" s="0" t="s">
        <v>43</v>
      </c>
      <c r="I1825" s="7" t="n">
        <f aca="false">IF(AND(LEFT(A1825,1)&lt;&gt;"C",D1825&gt;0,F1825&gt;0),1,0)</f>
        <v>1</v>
      </c>
      <c r="J1825" s="7" t="n">
        <f aca="false">IF(I1825=1,D1825*F1825,0)</f>
        <v>25.2</v>
      </c>
      <c r="K1825" s="7" t="n">
        <f aca="false">YEAR(E1825)*100+MONTH(E1825)</f>
        <v>201109</v>
      </c>
      <c r="L1825" s="7" t="n">
        <f aca="false">IF(AND(A1825&lt;&gt;A1824,LEFT(A1825,1)&lt;&gt;"C"),1,0)</f>
        <v>0</v>
      </c>
    </row>
    <row r="1826" customFormat="false" ht="15" hidden="false" customHeight="false" outlineLevel="0" collapsed="false">
      <c r="A1826" s="0" t="s">
        <v>1606</v>
      </c>
      <c r="B1826" s="0" t="s">
        <v>159</v>
      </c>
      <c r="C1826" s="0" t="s">
        <v>160</v>
      </c>
      <c r="D1826" s="0" t="n">
        <v>24</v>
      </c>
      <c r="E1826" s="6" t="n">
        <v>40816.5041666667</v>
      </c>
      <c r="F1826" s="0" t="n">
        <v>2.55</v>
      </c>
      <c r="G1826" s="0" t="n">
        <v>12731</v>
      </c>
      <c r="H1826" s="0" t="s">
        <v>43</v>
      </c>
      <c r="I1826" s="7" t="n">
        <f aca="false">IF(AND(LEFT(A1826,1)&lt;&gt;"C",D1826&gt;0,F1826&gt;0),1,0)</f>
        <v>1</v>
      </c>
      <c r="J1826" s="7" t="n">
        <f aca="false">IF(I1826=1,D1826*F1826,0)</f>
        <v>61.2</v>
      </c>
      <c r="K1826" s="7" t="n">
        <f aca="false">YEAR(E1826)*100+MONTH(E1826)</f>
        <v>201109</v>
      </c>
      <c r="L1826" s="7" t="n">
        <f aca="false">IF(AND(A1826&lt;&gt;A1825,LEFT(A1826,1)&lt;&gt;"C"),1,0)</f>
        <v>0</v>
      </c>
    </row>
    <row r="1827" customFormat="false" ht="15" hidden="false" customHeight="false" outlineLevel="0" collapsed="false">
      <c r="A1827" s="0" t="s">
        <v>1606</v>
      </c>
      <c r="B1827" s="0" t="s">
        <v>58</v>
      </c>
      <c r="C1827" s="0" t="s">
        <v>59</v>
      </c>
      <c r="D1827" s="0" t="n">
        <v>24</v>
      </c>
      <c r="E1827" s="6" t="n">
        <v>40816.5041666667</v>
      </c>
      <c r="F1827" s="0" t="n">
        <v>2.55</v>
      </c>
      <c r="G1827" s="0" t="n">
        <v>12731</v>
      </c>
      <c r="H1827" s="0" t="s">
        <v>43</v>
      </c>
      <c r="I1827" s="7" t="n">
        <f aca="false">IF(AND(LEFT(A1827,1)&lt;&gt;"C",D1827&gt;0,F1827&gt;0),1,0)</f>
        <v>1</v>
      </c>
      <c r="J1827" s="7" t="n">
        <f aca="false">IF(I1827=1,D1827*F1827,0)</f>
        <v>61.2</v>
      </c>
      <c r="K1827" s="7" t="n">
        <f aca="false">YEAR(E1827)*100+MONTH(E1827)</f>
        <v>201109</v>
      </c>
      <c r="L1827" s="7" t="n">
        <f aca="false">IF(AND(A1827&lt;&gt;A1826,LEFT(A1827,1)&lt;&gt;"C"),1,0)</f>
        <v>0</v>
      </c>
    </row>
    <row r="1828" customFormat="false" ht="15" hidden="false" customHeight="false" outlineLevel="0" collapsed="false">
      <c r="A1828" s="0" t="s">
        <v>1606</v>
      </c>
      <c r="B1828" s="0" t="s">
        <v>339</v>
      </c>
      <c r="C1828" s="0" t="s">
        <v>340</v>
      </c>
      <c r="D1828" s="0" t="n">
        <v>24</v>
      </c>
      <c r="E1828" s="6" t="n">
        <v>40816.5041666667</v>
      </c>
      <c r="F1828" s="0" t="n">
        <v>1.95</v>
      </c>
      <c r="G1828" s="0" t="n">
        <v>12731</v>
      </c>
      <c r="H1828" s="0" t="s">
        <v>43</v>
      </c>
      <c r="I1828" s="7" t="n">
        <f aca="false">IF(AND(LEFT(A1828,1)&lt;&gt;"C",D1828&gt;0,F1828&gt;0),1,0)</f>
        <v>1</v>
      </c>
      <c r="J1828" s="7" t="n">
        <f aca="false">IF(I1828=1,D1828*F1828,0)</f>
        <v>46.8</v>
      </c>
      <c r="K1828" s="7" t="n">
        <f aca="false">YEAR(E1828)*100+MONTH(E1828)</f>
        <v>201109</v>
      </c>
      <c r="L1828" s="7" t="n">
        <f aca="false">IF(AND(A1828&lt;&gt;A1827,LEFT(A1828,1)&lt;&gt;"C"),1,0)</f>
        <v>0</v>
      </c>
    </row>
    <row r="1829" customFormat="false" ht="15" hidden="false" customHeight="false" outlineLevel="0" collapsed="false">
      <c r="A1829" s="0" t="s">
        <v>1606</v>
      </c>
      <c r="B1829" s="0" t="s">
        <v>557</v>
      </c>
      <c r="C1829" s="0" t="s">
        <v>558</v>
      </c>
      <c r="D1829" s="0" t="n">
        <v>24</v>
      </c>
      <c r="E1829" s="6" t="n">
        <v>40816.5041666667</v>
      </c>
      <c r="F1829" s="0" t="n">
        <v>1.95</v>
      </c>
      <c r="G1829" s="0" t="n">
        <v>12731</v>
      </c>
      <c r="H1829" s="0" t="s">
        <v>43</v>
      </c>
      <c r="I1829" s="7" t="n">
        <f aca="false">IF(AND(LEFT(A1829,1)&lt;&gt;"C",D1829&gt;0,F1829&gt;0),1,0)</f>
        <v>1</v>
      </c>
      <c r="J1829" s="7" t="n">
        <f aca="false">IF(I1829=1,D1829*F1829,0)</f>
        <v>46.8</v>
      </c>
      <c r="K1829" s="7" t="n">
        <f aca="false">YEAR(E1829)*100+MONTH(E1829)</f>
        <v>201109</v>
      </c>
      <c r="L1829" s="7" t="n">
        <f aca="false">IF(AND(A1829&lt;&gt;A1828,LEFT(A1829,1)&lt;&gt;"C"),1,0)</f>
        <v>0</v>
      </c>
    </row>
    <row r="1830" customFormat="false" ht="15" hidden="false" customHeight="false" outlineLevel="0" collapsed="false">
      <c r="A1830" s="0" t="s">
        <v>1606</v>
      </c>
      <c r="B1830" s="0" t="s">
        <v>56</v>
      </c>
      <c r="C1830" s="0" t="s">
        <v>57</v>
      </c>
      <c r="D1830" s="0" t="n">
        <v>20</v>
      </c>
      <c r="E1830" s="6" t="n">
        <v>40816.5041666667</v>
      </c>
      <c r="F1830" s="0" t="n">
        <v>1.65</v>
      </c>
      <c r="G1830" s="0" t="n">
        <v>12731</v>
      </c>
      <c r="H1830" s="0" t="s">
        <v>43</v>
      </c>
      <c r="I1830" s="7" t="n">
        <f aca="false">IF(AND(LEFT(A1830,1)&lt;&gt;"C",D1830&gt;0,F1830&gt;0),1,0)</f>
        <v>1</v>
      </c>
      <c r="J1830" s="7" t="n">
        <f aca="false">IF(I1830=1,D1830*F1830,0)</f>
        <v>33</v>
      </c>
      <c r="K1830" s="7" t="n">
        <f aca="false">YEAR(E1830)*100+MONTH(E1830)</f>
        <v>201109</v>
      </c>
      <c r="L1830" s="7" t="n">
        <f aca="false">IF(AND(A1830&lt;&gt;A1829,LEFT(A1830,1)&lt;&gt;"C"),1,0)</f>
        <v>0</v>
      </c>
    </row>
    <row r="1831" customFormat="false" ht="15" hidden="false" customHeight="false" outlineLevel="0" collapsed="false">
      <c r="A1831" s="0" t="s">
        <v>1606</v>
      </c>
      <c r="B1831" s="0" t="s">
        <v>651</v>
      </c>
      <c r="C1831" s="0" t="s">
        <v>652</v>
      </c>
      <c r="D1831" s="0" t="n">
        <v>20</v>
      </c>
      <c r="E1831" s="6" t="n">
        <v>40816.5041666667</v>
      </c>
      <c r="F1831" s="0" t="n">
        <v>1.65</v>
      </c>
      <c r="G1831" s="0" t="n">
        <v>12731</v>
      </c>
      <c r="H1831" s="0" t="s">
        <v>43</v>
      </c>
      <c r="I1831" s="7" t="n">
        <f aca="false">IF(AND(LEFT(A1831,1)&lt;&gt;"C",D1831&gt;0,F1831&gt;0),1,0)</f>
        <v>1</v>
      </c>
      <c r="J1831" s="7" t="n">
        <f aca="false">IF(I1831=1,D1831*F1831,0)</f>
        <v>33</v>
      </c>
      <c r="K1831" s="7" t="n">
        <f aca="false">YEAR(E1831)*100+MONTH(E1831)</f>
        <v>201109</v>
      </c>
      <c r="L1831" s="7" t="n">
        <f aca="false">IF(AND(A1831&lt;&gt;A1830,LEFT(A1831,1)&lt;&gt;"C"),1,0)</f>
        <v>0</v>
      </c>
    </row>
    <row r="1832" customFormat="false" ht="15" hidden="false" customHeight="false" outlineLevel="0" collapsed="false">
      <c r="A1832" s="0" t="s">
        <v>1606</v>
      </c>
      <c r="B1832" s="0" t="s">
        <v>1617</v>
      </c>
      <c r="C1832" s="0" t="s">
        <v>1618</v>
      </c>
      <c r="D1832" s="0" t="n">
        <v>150</v>
      </c>
      <c r="E1832" s="6" t="n">
        <v>40816.5041666667</v>
      </c>
      <c r="F1832" s="0" t="n">
        <v>0.85</v>
      </c>
      <c r="G1832" s="0" t="n">
        <v>12731</v>
      </c>
      <c r="H1832" s="0" t="s">
        <v>43</v>
      </c>
      <c r="I1832" s="7" t="n">
        <f aca="false">IF(AND(LEFT(A1832,1)&lt;&gt;"C",D1832&gt;0,F1832&gt;0),1,0)</f>
        <v>1</v>
      </c>
      <c r="J1832" s="7" t="n">
        <f aca="false">IF(I1832=1,D1832*F1832,0)</f>
        <v>127.5</v>
      </c>
      <c r="K1832" s="7" t="n">
        <f aca="false">YEAR(E1832)*100+MONTH(E1832)</f>
        <v>201109</v>
      </c>
      <c r="L1832" s="7" t="n">
        <f aca="false">IF(AND(A1832&lt;&gt;A1831,LEFT(A1832,1)&lt;&gt;"C"),1,0)</f>
        <v>0</v>
      </c>
    </row>
    <row r="1833" customFormat="false" ht="15" hidden="false" customHeight="false" outlineLevel="0" collapsed="false">
      <c r="A1833" s="0" t="s">
        <v>1619</v>
      </c>
      <c r="B1833" s="0" t="s">
        <v>1620</v>
      </c>
      <c r="C1833" s="0" t="s">
        <v>1621</v>
      </c>
      <c r="D1833" s="0" t="n">
        <v>16</v>
      </c>
      <c r="E1833" s="6" t="n">
        <v>40816.5402777778</v>
      </c>
      <c r="F1833" s="0" t="n">
        <v>0.65</v>
      </c>
      <c r="G1833" s="0" t="n">
        <v>12583</v>
      </c>
      <c r="H1833" s="0" t="s">
        <v>43</v>
      </c>
      <c r="I1833" s="7" t="n">
        <f aca="false">IF(AND(LEFT(A1833,1)&lt;&gt;"C",D1833&gt;0,F1833&gt;0),1,0)</f>
        <v>1</v>
      </c>
      <c r="J1833" s="7" t="n">
        <f aca="false">IF(I1833=1,D1833*F1833,0)</f>
        <v>10.4</v>
      </c>
      <c r="K1833" s="7" t="n">
        <f aca="false">YEAR(E1833)*100+MONTH(E1833)</f>
        <v>201109</v>
      </c>
      <c r="L1833" s="7" t="n">
        <f aca="false">IF(AND(A1833&lt;&gt;A1832,LEFT(A1833,1)&lt;&gt;"C"),1,0)</f>
        <v>1</v>
      </c>
    </row>
    <row r="1834" customFormat="false" ht="15" hidden="false" customHeight="false" outlineLevel="0" collapsed="false">
      <c r="A1834" s="0" t="s">
        <v>1619</v>
      </c>
      <c r="B1834" s="0" t="s">
        <v>1501</v>
      </c>
      <c r="C1834" s="0" t="s">
        <v>1502</v>
      </c>
      <c r="D1834" s="0" t="n">
        <v>16</v>
      </c>
      <c r="E1834" s="6" t="n">
        <v>40816.5402777778</v>
      </c>
      <c r="F1834" s="0" t="n">
        <v>0.65</v>
      </c>
      <c r="G1834" s="0" t="n">
        <v>12583</v>
      </c>
      <c r="H1834" s="0" t="s">
        <v>43</v>
      </c>
      <c r="I1834" s="7" t="n">
        <f aca="false">IF(AND(LEFT(A1834,1)&lt;&gt;"C",D1834&gt;0,F1834&gt;0),1,0)</f>
        <v>1</v>
      </c>
      <c r="J1834" s="7" t="n">
        <f aca="false">IF(I1834=1,D1834*F1834,0)</f>
        <v>10.4</v>
      </c>
      <c r="K1834" s="7" t="n">
        <f aca="false">YEAR(E1834)*100+MONTH(E1834)</f>
        <v>201109</v>
      </c>
      <c r="L1834" s="7" t="n">
        <f aca="false">IF(AND(A1834&lt;&gt;A1833,LEFT(A1834,1)&lt;&gt;"C"),1,0)</f>
        <v>0</v>
      </c>
    </row>
    <row r="1835" customFormat="false" ht="15" hidden="false" customHeight="false" outlineLevel="0" collapsed="false">
      <c r="A1835" s="0" t="s">
        <v>1619</v>
      </c>
      <c r="B1835" s="0" t="s">
        <v>1607</v>
      </c>
      <c r="C1835" s="0" t="s">
        <v>1608</v>
      </c>
      <c r="D1835" s="0" t="n">
        <v>20</v>
      </c>
      <c r="E1835" s="6" t="n">
        <v>40816.5402777778</v>
      </c>
      <c r="F1835" s="0" t="n">
        <v>0.42</v>
      </c>
      <c r="G1835" s="0" t="n">
        <v>12583</v>
      </c>
      <c r="H1835" s="0" t="s">
        <v>43</v>
      </c>
      <c r="I1835" s="7" t="n">
        <f aca="false">IF(AND(LEFT(A1835,1)&lt;&gt;"C",D1835&gt;0,F1835&gt;0),1,0)</f>
        <v>1</v>
      </c>
      <c r="J1835" s="7" t="n">
        <f aca="false">IF(I1835=1,D1835*F1835,0)</f>
        <v>8.4</v>
      </c>
      <c r="K1835" s="7" t="n">
        <f aca="false">YEAR(E1835)*100+MONTH(E1835)</f>
        <v>201109</v>
      </c>
      <c r="L1835" s="7" t="n">
        <f aca="false">IF(AND(A1835&lt;&gt;A1834,LEFT(A1835,1)&lt;&gt;"C"),1,0)</f>
        <v>0</v>
      </c>
    </row>
    <row r="1836" customFormat="false" ht="15" hidden="false" customHeight="false" outlineLevel="0" collapsed="false">
      <c r="A1836" s="0" t="s">
        <v>1619</v>
      </c>
      <c r="B1836" s="0" t="s">
        <v>1609</v>
      </c>
      <c r="C1836" s="0" t="s">
        <v>1610</v>
      </c>
      <c r="D1836" s="0" t="n">
        <v>20</v>
      </c>
      <c r="E1836" s="6" t="n">
        <v>40816.5402777778</v>
      </c>
      <c r="F1836" s="0" t="n">
        <v>0.42</v>
      </c>
      <c r="G1836" s="0" t="n">
        <v>12583</v>
      </c>
      <c r="H1836" s="0" t="s">
        <v>43</v>
      </c>
      <c r="I1836" s="7" t="n">
        <f aca="false">IF(AND(LEFT(A1836,1)&lt;&gt;"C",D1836&gt;0,F1836&gt;0),1,0)</f>
        <v>1</v>
      </c>
      <c r="J1836" s="7" t="n">
        <f aca="false">IF(I1836=1,D1836*F1836,0)</f>
        <v>8.4</v>
      </c>
      <c r="K1836" s="7" t="n">
        <f aca="false">YEAR(E1836)*100+MONTH(E1836)</f>
        <v>201109</v>
      </c>
      <c r="L1836" s="7" t="n">
        <f aca="false">IF(AND(A1836&lt;&gt;A1835,LEFT(A1836,1)&lt;&gt;"C"),1,0)</f>
        <v>0</v>
      </c>
    </row>
    <row r="1837" customFormat="false" ht="15" hidden="false" customHeight="false" outlineLevel="0" collapsed="false">
      <c r="A1837" s="0" t="s">
        <v>1619</v>
      </c>
      <c r="B1837" s="0" t="s">
        <v>74</v>
      </c>
      <c r="C1837" s="0" t="s">
        <v>75</v>
      </c>
      <c r="D1837" s="0" t="n">
        <v>12</v>
      </c>
      <c r="E1837" s="6" t="n">
        <v>40816.5402777778</v>
      </c>
      <c r="F1837" s="0" t="n">
        <v>1.95</v>
      </c>
      <c r="G1837" s="0" t="n">
        <v>12583</v>
      </c>
      <c r="H1837" s="0" t="s">
        <v>43</v>
      </c>
      <c r="I1837" s="7" t="n">
        <f aca="false">IF(AND(LEFT(A1837,1)&lt;&gt;"C",D1837&gt;0,F1837&gt;0),1,0)</f>
        <v>1</v>
      </c>
      <c r="J1837" s="7" t="n">
        <f aca="false">IF(I1837=1,D1837*F1837,0)</f>
        <v>23.4</v>
      </c>
      <c r="K1837" s="7" t="n">
        <f aca="false">YEAR(E1837)*100+MONTH(E1837)</f>
        <v>201109</v>
      </c>
      <c r="L1837" s="7" t="n">
        <f aca="false">IF(AND(A1837&lt;&gt;A1836,LEFT(A1837,1)&lt;&gt;"C"),1,0)</f>
        <v>0</v>
      </c>
    </row>
    <row r="1838" customFormat="false" ht="15" hidden="false" customHeight="false" outlineLevel="0" collapsed="false">
      <c r="A1838" s="0" t="s">
        <v>1619</v>
      </c>
      <c r="B1838" s="0" t="s">
        <v>60</v>
      </c>
      <c r="C1838" s="0" t="s">
        <v>61</v>
      </c>
      <c r="D1838" s="0" t="n">
        <v>6</v>
      </c>
      <c r="E1838" s="6" t="n">
        <v>40816.5402777778</v>
      </c>
      <c r="F1838" s="0" t="n">
        <v>2.55</v>
      </c>
      <c r="G1838" s="0" t="n">
        <v>12583</v>
      </c>
      <c r="H1838" s="0" t="s">
        <v>43</v>
      </c>
      <c r="I1838" s="7" t="n">
        <f aca="false">IF(AND(LEFT(A1838,1)&lt;&gt;"C",D1838&gt;0,F1838&gt;0),1,0)</f>
        <v>1</v>
      </c>
      <c r="J1838" s="7" t="n">
        <f aca="false">IF(I1838=1,D1838*F1838,0)</f>
        <v>15.3</v>
      </c>
      <c r="K1838" s="7" t="n">
        <f aca="false">YEAR(E1838)*100+MONTH(E1838)</f>
        <v>201109</v>
      </c>
      <c r="L1838" s="7" t="n">
        <f aca="false">IF(AND(A1838&lt;&gt;A1837,LEFT(A1838,1)&lt;&gt;"C"),1,0)</f>
        <v>0</v>
      </c>
    </row>
    <row r="1839" customFormat="false" ht="15" hidden="false" customHeight="false" outlineLevel="0" collapsed="false">
      <c r="A1839" s="0" t="s">
        <v>1619</v>
      </c>
      <c r="B1839" s="0" t="s">
        <v>339</v>
      </c>
      <c r="C1839" s="0" t="s">
        <v>340</v>
      </c>
      <c r="D1839" s="0" t="n">
        <v>16</v>
      </c>
      <c r="E1839" s="6" t="n">
        <v>40816.5402777778</v>
      </c>
      <c r="F1839" s="0" t="n">
        <v>1.95</v>
      </c>
      <c r="G1839" s="0" t="n">
        <v>12583</v>
      </c>
      <c r="H1839" s="0" t="s">
        <v>43</v>
      </c>
      <c r="I1839" s="7" t="n">
        <f aca="false">IF(AND(LEFT(A1839,1)&lt;&gt;"C",D1839&gt;0,F1839&gt;0),1,0)</f>
        <v>1</v>
      </c>
      <c r="J1839" s="7" t="n">
        <f aca="false">IF(I1839=1,D1839*F1839,0)</f>
        <v>31.2</v>
      </c>
      <c r="K1839" s="7" t="n">
        <f aca="false">YEAR(E1839)*100+MONTH(E1839)</f>
        <v>201109</v>
      </c>
      <c r="L1839" s="7" t="n">
        <f aca="false">IF(AND(A1839&lt;&gt;A1838,LEFT(A1839,1)&lt;&gt;"C"),1,0)</f>
        <v>0</v>
      </c>
    </row>
    <row r="1840" customFormat="false" ht="15" hidden="false" customHeight="false" outlineLevel="0" collapsed="false">
      <c r="A1840" s="0" t="s">
        <v>1619</v>
      </c>
      <c r="B1840" s="0" t="s">
        <v>463</v>
      </c>
      <c r="C1840" s="0" t="s">
        <v>464</v>
      </c>
      <c r="D1840" s="0" t="n">
        <v>12</v>
      </c>
      <c r="E1840" s="6" t="n">
        <v>40816.5402777778</v>
      </c>
      <c r="F1840" s="0" t="n">
        <v>6.35</v>
      </c>
      <c r="G1840" s="0" t="n">
        <v>12583</v>
      </c>
      <c r="H1840" s="0" t="s">
        <v>43</v>
      </c>
      <c r="I1840" s="7" t="n">
        <f aca="false">IF(AND(LEFT(A1840,1)&lt;&gt;"C",D1840&gt;0,F1840&gt;0),1,0)</f>
        <v>1</v>
      </c>
      <c r="J1840" s="7" t="n">
        <f aca="false">IF(I1840=1,D1840*F1840,0)</f>
        <v>76.2</v>
      </c>
      <c r="K1840" s="7" t="n">
        <f aca="false">YEAR(E1840)*100+MONTH(E1840)</f>
        <v>201109</v>
      </c>
      <c r="L1840" s="7" t="n">
        <f aca="false">IF(AND(A1840&lt;&gt;A1839,LEFT(A1840,1)&lt;&gt;"C"),1,0)</f>
        <v>0</v>
      </c>
    </row>
    <row r="1841" customFormat="false" ht="15" hidden="false" customHeight="false" outlineLevel="0" collapsed="false">
      <c r="A1841" s="0" t="s">
        <v>1619</v>
      </c>
      <c r="B1841" s="0" t="s">
        <v>1338</v>
      </c>
      <c r="C1841" s="0" t="s">
        <v>1339</v>
      </c>
      <c r="D1841" s="0" t="n">
        <v>12</v>
      </c>
      <c r="E1841" s="6" t="n">
        <v>40816.5402777778</v>
      </c>
      <c r="F1841" s="0" t="n">
        <v>2.95</v>
      </c>
      <c r="G1841" s="0" t="n">
        <v>12583</v>
      </c>
      <c r="H1841" s="0" t="s">
        <v>43</v>
      </c>
      <c r="I1841" s="7" t="n">
        <f aca="false">IF(AND(LEFT(A1841,1)&lt;&gt;"C",D1841&gt;0,F1841&gt;0),1,0)</f>
        <v>1</v>
      </c>
      <c r="J1841" s="7" t="n">
        <f aca="false">IF(I1841=1,D1841*F1841,0)</f>
        <v>35.4</v>
      </c>
      <c r="K1841" s="7" t="n">
        <f aca="false">YEAR(E1841)*100+MONTH(E1841)</f>
        <v>201109</v>
      </c>
      <c r="L1841" s="7" t="n">
        <f aca="false">IF(AND(A1841&lt;&gt;A1840,LEFT(A1841,1)&lt;&gt;"C"),1,0)</f>
        <v>0</v>
      </c>
    </row>
    <row r="1842" customFormat="false" ht="15" hidden="false" customHeight="false" outlineLevel="0" collapsed="false">
      <c r="A1842" s="0" t="s">
        <v>1619</v>
      </c>
      <c r="B1842" s="0" t="s">
        <v>316</v>
      </c>
      <c r="C1842" s="0" t="s">
        <v>317</v>
      </c>
      <c r="D1842" s="0" t="n">
        <v>3</v>
      </c>
      <c r="E1842" s="6" t="n">
        <v>40816.5402777778</v>
      </c>
      <c r="F1842" s="0" t="n">
        <v>4.95</v>
      </c>
      <c r="G1842" s="0" t="n">
        <v>12583</v>
      </c>
      <c r="H1842" s="0" t="s">
        <v>43</v>
      </c>
      <c r="I1842" s="7" t="n">
        <f aca="false">IF(AND(LEFT(A1842,1)&lt;&gt;"C",D1842&gt;0,F1842&gt;0),1,0)</f>
        <v>1</v>
      </c>
      <c r="J1842" s="7" t="n">
        <f aca="false">IF(I1842=1,D1842*F1842,0)</f>
        <v>14.85</v>
      </c>
      <c r="K1842" s="7" t="n">
        <f aca="false">YEAR(E1842)*100+MONTH(E1842)</f>
        <v>201109</v>
      </c>
      <c r="L1842" s="7" t="n">
        <f aca="false">IF(AND(A1842&lt;&gt;A1841,LEFT(A1842,1)&lt;&gt;"C"),1,0)</f>
        <v>0</v>
      </c>
    </row>
    <row r="1843" customFormat="false" ht="15" hidden="false" customHeight="false" outlineLevel="0" collapsed="false">
      <c r="A1843" s="0" t="s">
        <v>1619</v>
      </c>
      <c r="B1843" s="0" t="s">
        <v>1622</v>
      </c>
      <c r="C1843" s="0" t="s">
        <v>1623</v>
      </c>
      <c r="D1843" s="0" t="n">
        <v>24</v>
      </c>
      <c r="E1843" s="6" t="n">
        <v>40816.5402777778</v>
      </c>
      <c r="F1843" s="0" t="n">
        <v>0.42</v>
      </c>
      <c r="G1843" s="0" t="n">
        <v>12583</v>
      </c>
      <c r="H1843" s="0" t="s">
        <v>43</v>
      </c>
      <c r="I1843" s="7" t="n">
        <f aca="false">IF(AND(LEFT(A1843,1)&lt;&gt;"C",D1843&gt;0,F1843&gt;0),1,0)</f>
        <v>1</v>
      </c>
      <c r="J1843" s="7" t="n">
        <f aca="false">IF(I1843=1,D1843*F1843,0)</f>
        <v>10.08</v>
      </c>
      <c r="K1843" s="7" t="n">
        <f aca="false">YEAR(E1843)*100+MONTH(E1843)</f>
        <v>201109</v>
      </c>
      <c r="L1843" s="7" t="n">
        <f aca="false">IF(AND(A1843&lt;&gt;A1842,LEFT(A1843,1)&lt;&gt;"C"),1,0)</f>
        <v>0</v>
      </c>
    </row>
    <row r="1844" customFormat="false" ht="15" hidden="false" customHeight="false" outlineLevel="0" collapsed="false">
      <c r="A1844" s="0" t="s">
        <v>1619</v>
      </c>
      <c r="B1844" s="0" t="s">
        <v>84</v>
      </c>
      <c r="C1844" s="0" t="s">
        <v>85</v>
      </c>
      <c r="D1844" s="0" t="n">
        <v>2</v>
      </c>
      <c r="E1844" s="6" t="n">
        <v>40816.5402777778</v>
      </c>
      <c r="F1844" s="0" t="n">
        <v>18</v>
      </c>
      <c r="G1844" s="0" t="n">
        <v>12583</v>
      </c>
      <c r="H1844" s="0" t="s">
        <v>43</v>
      </c>
      <c r="I1844" s="7" t="n">
        <f aca="false">IF(AND(LEFT(A1844,1)&lt;&gt;"C",D1844&gt;0,F1844&gt;0),1,0)</f>
        <v>1</v>
      </c>
      <c r="J1844" s="7" t="n">
        <f aca="false">IF(I1844=1,D1844*F1844,0)</f>
        <v>36</v>
      </c>
      <c r="K1844" s="7" t="n">
        <f aca="false">YEAR(E1844)*100+MONTH(E1844)</f>
        <v>201109</v>
      </c>
      <c r="L1844" s="7" t="n">
        <f aca="false">IF(AND(A1844&lt;&gt;A1843,LEFT(A1844,1)&lt;&gt;"C"),1,0)</f>
        <v>0</v>
      </c>
    </row>
    <row r="1845" customFormat="false" ht="15" hidden="false" customHeight="false" outlineLevel="0" collapsed="false">
      <c r="A1845" s="0" t="s">
        <v>1619</v>
      </c>
      <c r="B1845" s="0" t="s">
        <v>1042</v>
      </c>
      <c r="C1845" s="0" t="s">
        <v>1043</v>
      </c>
      <c r="D1845" s="0" t="n">
        <v>4</v>
      </c>
      <c r="E1845" s="6" t="n">
        <v>40816.5402777778</v>
      </c>
      <c r="F1845" s="0" t="n">
        <v>4.15</v>
      </c>
      <c r="G1845" s="0" t="n">
        <v>12583</v>
      </c>
      <c r="H1845" s="0" t="s">
        <v>43</v>
      </c>
      <c r="I1845" s="7" t="n">
        <f aca="false">IF(AND(LEFT(A1845,1)&lt;&gt;"C",D1845&gt;0,F1845&gt;0),1,0)</f>
        <v>1</v>
      </c>
      <c r="J1845" s="7" t="n">
        <f aca="false">IF(I1845=1,D1845*F1845,0)</f>
        <v>16.6</v>
      </c>
      <c r="K1845" s="7" t="n">
        <f aca="false">YEAR(E1845)*100+MONTH(E1845)</f>
        <v>201109</v>
      </c>
      <c r="L1845" s="7" t="n">
        <f aca="false">IF(AND(A1845&lt;&gt;A1844,LEFT(A1845,1)&lt;&gt;"C"),1,0)</f>
        <v>0</v>
      </c>
    </row>
    <row r="1846" customFormat="false" ht="15" hidden="false" customHeight="false" outlineLevel="0" collapsed="false">
      <c r="A1846" s="0" t="s">
        <v>1619</v>
      </c>
      <c r="B1846" s="0" t="s">
        <v>58</v>
      </c>
      <c r="C1846" s="0" t="s">
        <v>59</v>
      </c>
      <c r="D1846" s="0" t="n">
        <v>12</v>
      </c>
      <c r="E1846" s="6" t="n">
        <v>40816.5402777778</v>
      </c>
      <c r="F1846" s="0" t="n">
        <v>2.55</v>
      </c>
      <c r="G1846" s="0" t="n">
        <v>12583</v>
      </c>
      <c r="H1846" s="0" t="s">
        <v>43</v>
      </c>
      <c r="I1846" s="7" t="n">
        <f aca="false">IF(AND(LEFT(A1846,1)&lt;&gt;"C",D1846&gt;0,F1846&gt;0),1,0)</f>
        <v>1</v>
      </c>
      <c r="J1846" s="7" t="n">
        <f aca="false">IF(I1846=1,D1846*F1846,0)</f>
        <v>30.6</v>
      </c>
      <c r="K1846" s="7" t="n">
        <f aca="false">YEAR(E1846)*100+MONTH(E1846)</f>
        <v>201109</v>
      </c>
      <c r="L1846" s="7" t="n">
        <f aca="false">IF(AND(A1846&lt;&gt;A1845,LEFT(A1846,1)&lt;&gt;"C"),1,0)</f>
        <v>0</v>
      </c>
    </row>
    <row r="1847" customFormat="false" ht="15" hidden="false" customHeight="false" outlineLevel="0" collapsed="false">
      <c r="A1847" s="0" t="s">
        <v>1624</v>
      </c>
      <c r="B1847" s="0" t="s">
        <v>151</v>
      </c>
      <c r="C1847" s="0" t="s">
        <v>152</v>
      </c>
      <c r="D1847" s="0" t="n">
        <v>12</v>
      </c>
      <c r="E1847" s="6" t="n">
        <v>40816.5458333333</v>
      </c>
      <c r="F1847" s="0" t="n">
        <v>0.85</v>
      </c>
      <c r="G1847" s="0" t="n">
        <v>12694</v>
      </c>
      <c r="H1847" s="0" t="s">
        <v>43</v>
      </c>
      <c r="I1847" s="7" t="n">
        <f aca="false">IF(AND(LEFT(A1847,1)&lt;&gt;"C",D1847&gt;0,F1847&gt;0),1,0)</f>
        <v>1</v>
      </c>
      <c r="J1847" s="7" t="n">
        <f aca="false">IF(I1847=1,D1847*F1847,0)</f>
        <v>10.2</v>
      </c>
      <c r="K1847" s="7" t="n">
        <f aca="false">YEAR(E1847)*100+MONTH(E1847)</f>
        <v>201109</v>
      </c>
      <c r="L1847" s="7" t="n">
        <f aca="false">IF(AND(A1847&lt;&gt;A1846,LEFT(A1847,1)&lt;&gt;"C"),1,0)</f>
        <v>1</v>
      </c>
    </row>
    <row r="1848" customFormat="false" ht="15" hidden="false" customHeight="false" outlineLevel="0" collapsed="false">
      <c r="A1848" s="0" t="s">
        <v>1624</v>
      </c>
      <c r="B1848" s="0" t="s">
        <v>1625</v>
      </c>
      <c r="C1848" s="0" t="s">
        <v>1626</v>
      </c>
      <c r="D1848" s="0" t="n">
        <v>2</v>
      </c>
      <c r="E1848" s="6" t="n">
        <v>40816.5458333333</v>
      </c>
      <c r="F1848" s="0" t="n">
        <v>6.35</v>
      </c>
      <c r="G1848" s="0" t="n">
        <v>12694</v>
      </c>
      <c r="H1848" s="0" t="s">
        <v>43</v>
      </c>
      <c r="I1848" s="7" t="n">
        <f aca="false">IF(AND(LEFT(A1848,1)&lt;&gt;"C",D1848&gt;0,F1848&gt;0),1,0)</f>
        <v>1</v>
      </c>
      <c r="J1848" s="7" t="n">
        <f aca="false">IF(I1848=1,D1848*F1848,0)</f>
        <v>12.7</v>
      </c>
      <c r="K1848" s="7" t="n">
        <f aca="false">YEAR(E1848)*100+MONTH(E1848)</f>
        <v>201109</v>
      </c>
      <c r="L1848" s="7" t="n">
        <f aca="false">IF(AND(A1848&lt;&gt;A1847,LEFT(A1848,1)&lt;&gt;"C"),1,0)</f>
        <v>0</v>
      </c>
    </row>
    <row r="1849" customFormat="false" ht="15" hidden="false" customHeight="false" outlineLevel="0" collapsed="false">
      <c r="A1849" s="0" t="s">
        <v>1624</v>
      </c>
      <c r="B1849" s="0" t="s">
        <v>977</v>
      </c>
      <c r="C1849" s="0" t="s">
        <v>978</v>
      </c>
      <c r="D1849" s="0" t="n">
        <v>10</v>
      </c>
      <c r="E1849" s="6" t="n">
        <v>40816.5458333333</v>
      </c>
      <c r="F1849" s="0" t="n">
        <v>1.65</v>
      </c>
      <c r="G1849" s="0" t="n">
        <v>12694</v>
      </c>
      <c r="H1849" s="0" t="s">
        <v>43</v>
      </c>
      <c r="I1849" s="7" t="n">
        <f aca="false">IF(AND(LEFT(A1849,1)&lt;&gt;"C",D1849&gt;0,F1849&gt;0),1,0)</f>
        <v>1</v>
      </c>
      <c r="J1849" s="7" t="n">
        <f aca="false">IF(I1849=1,D1849*F1849,0)</f>
        <v>16.5</v>
      </c>
      <c r="K1849" s="7" t="n">
        <f aca="false">YEAR(E1849)*100+MONTH(E1849)</f>
        <v>201109</v>
      </c>
      <c r="L1849" s="7" t="n">
        <f aca="false">IF(AND(A1849&lt;&gt;A1848,LEFT(A1849,1)&lt;&gt;"C"),1,0)</f>
        <v>0</v>
      </c>
    </row>
    <row r="1850" customFormat="false" ht="15" hidden="false" customHeight="false" outlineLevel="0" collapsed="false">
      <c r="A1850" s="0" t="s">
        <v>1624</v>
      </c>
      <c r="B1850" s="0" t="s">
        <v>416</v>
      </c>
      <c r="C1850" s="0" t="s">
        <v>417</v>
      </c>
      <c r="D1850" s="0" t="n">
        <v>36</v>
      </c>
      <c r="E1850" s="6" t="n">
        <v>40816.5458333333</v>
      </c>
      <c r="F1850" s="0" t="n">
        <v>0.65</v>
      </c>
      <c r="G1850" s="0" t="n">
        <v>12694</v>
      </c>
      <c r="H1850" s="0" t="s">
        <v>43</v>
      </c>
      <c r="I1850" s="7" t="n">
        <f aca="false">IF(AND(LEFT(A1850,1)&lt;&gt;"C",D1850&gt;0,F1850&gt;0),1,0)</f>
        <v>1</v>
      </c>
      <c r="J1850" s="7" t="n">
        <f aca="false">IF(I1850=1,D1850*F1850,0)</f>
        <v>23.4</v>
      </c>
      <c r="K1850" s="7" t="n">
        <f aca="false">YEAR(E1850)*100+MONTH(E1850)</f>
        <v>201109</v>
      </c>
      <c r="L1850" s="7" t="n">
        <f aca="false">IF(AND(A1850&lt;&gt;A1849,LEFT(A1850,1)&lt;&gt;"C"),1,0)</f>
        <v>0</v>
      </c>
    </row>
    <row r="1851" customFormat="false" ht="15" hidden="false" customHeight="false" outlineLevel="0" collapsed="false">
      <c r="A1851" s="0" t="s">
        <v>1624</v>
      </c>
      <c r="B1851" s="0" t="s">
        <v>1627</v>
      </c>
      <c r="C1851" s="0" t="s">
        <v>1628</v>
      </c>
      <c r="D1851" s="0" t="n">
        <v>12</v>
      </c>
      <c r="E1851" s="6" t="n">
        <v>40816.5458333333</v>
      </c>
      <c r="F1851" s="0" t="n">
        <v>1.65</v>
      </c>
      <c r="G1851" s="0" t="n">
        <v>12694</v>
      </c>
      <c r="H1851" s="0" t="s">
        <v>43</v>
      </c>
      <c r="I1851" s="7" t="n">
        <f aca="false">IF(AND(LEFT(A1851,1)&lt;&gt;"C",D1851&gt;0,F1851&gt;0),1,0)</f>
        <v>1</v>
      </c>
      <c r="J1851" s="7" t="n">
        <f aca="false">IF(I1851=1,D1851*F1851,0)</f>
        <v>19.8</v>
      </c>
      <c r="K1851" s="7" t="n">
        <f aca="false">YEAR(E1851)*100+MONTH(E1851)</f>
        <v>201109</v>
      </c>
      <c r="L1851" s="7" t="n">
        <f aca="false">IF(AND(A1851&lt;&gt;A1850,LEFT(A1851,1)&lt;&gt;"C"),1,0)</f>
        <v>0</v>
      </c>
    </row>
    <row r="1852" customFormat="false" ht="15" hidden="false" customHeight="false" outlineLevel="0" collapsed="false">
      <c r="A1852" s="0" t="s">
        <v>1624</v>
      </c>
      <c r="B1852" s="0" t="s">
        <v>241</v>
      </c>
      <c r="C1852" s="0" t="s">
        <v>242</v>
      </c>
      <c r="D1852" s="0" t="n">
        <v>12</v>
      </c>
      <c r="E1852" s="6" t="n">
        <v>40816.5458333333</v>
      </c>
      <c r="F1852" s="0" t="n">
        <v>1.45</v>
      </c>
      <c r="G1852" s="0" t="n">
        <v>12694</v>
      </c>
      <c r="H1852" s="0" t="s">
        <v>43</v>
      </c>
      <c r="I1852" s="7" t="n">
        <f aca="false">IF(AND(LEFT(A1852,1)&lt;&gt;"C",D1852&gt;0,F1852&gt;0),1,0)</f>
        <v>1</v>
      </c>
      <c r="J1852" s="7" t="n">
        <f aca="false">IF(I1852=1,D1852*F1852,0)</f>
        <v>17.4</v>
      </c>
      <c r="K1852" s="7" t="n">
        <f aca="false">YEAR(E1852)*100+MONTH(E1852)</f>
        <v>201109</v>
      </c>
      <c r="L1852" s="7" t="n">
        <f aca="false">IF(AND(A1852&lt;&gt;A1851,LEFT(A1852,1)&lt;&gt;"C"),1,0)</f>
        <v>0</v>
      </c>
    </row>
    <row r="1853" customFormat="false" ht="15" hidden="false" customHeight="false" outlineLevel="0" collapsed="false">
      <c r="A1853" s="0" t="s">
        <v>1624</v>
      </c>
      <c r="B1853" s="0" t="s">
        <v>155</v>
      </c>
      <c r="C1853" s="0" t="s">
        <v>156</v>
      </c>
      <c r="D1853" s="0" t="n">
        <v>5</v>
      </c>
      <c r="E1853" s="6" t="n">
        <v>40816.5458333333</v>
      </c>
      <c r="F1853" s="0" t="n">
        <v>10.95</v>
      </c>
      <c r="G1853" s="0" t="n">
        <v>12694</v>
      </c>
      <c r="H1853" s="0" t="s">
        <v>43</v>
      </c>
      <c r="I1853" s="7" t="n">
        <f aca="false">IF(AND(LEFT(A1853,1)&lt;&gt;"C",D1853&gt;0,F1853&gt;0),1,0)</f>
        <v>1</v>
      </c>
      <c r="J1853" s="7" t="n">
        <f aca="false">IF(I1853=1,D1853*F1853,0)</f>
        <v>54.75</v>
      </c>
      <c r="K1853" s="7" t="n">
        <f aca="false">YEAR(E1853)*100+MONTH(E1853)</f>
        <v>201109</v>
      </c>
      <c r="L1853" s="7" t="n">
        <f aca="false">IF(AND(A1853&lt;&gt;A1852,LEFT(A1853,1)&lt;&gt;"C"),1,0)</f>
        <v>0</v>
      </c>
    </row>
    <row r="1854" customFormat="false" ht="15" hidden="false" customHeight="false" outlineLevel="0" collapsed="false">
      <c r="A1854" s="0" t="s">
        <v>1624</v>
      </c>
      <c r="B1854" s="0" t="s">
        <v>441</v>
      </c>
      <c r="C1854" s="0" t="s">
        <v>442</v>
      </c>
      <c r="D1854" s="0" t="n">
        <v>4</v>
      </c>
      <c r="E1854" s="6" t="n">
        <v>40816.5458333333</v>
      </c>
      <c r="F1854" s="0" t="n">
        <v>8.5</v>
      </c>
      <c r="G1854" s="0" t="n">
        <v>12694</v>
      </c>
      <c r="H1854" s="0" t="s">
        <v>43</v>
      </c>
      <c r="I1854" s="7" t="n">
        <f aca="false">IF(AND(LEFT(A1854,1)&lt;&gt;"C",D1854&gt;0,F1854&gt;0),1,0)</f>
        <v>1</v>
      </c>
      <c r="J1854" s="7" t="n">
        <f aca="false">IF(I1854=1,D1854*F1854,0)</f>
        <v>34</v>
      </c>
      <c r="K1854" s="7" t="n">
        <f aca="false">YEAR(E1854)*100+MONTH(E1854)</f>
        <v>201109</v>
      </c>
      <c r="L1854" s="7" t="n">
        <f aca="false">IF(AND(A1854&lt;&gt;A1853,LEFT(A1854,1)&lt;&gt;"C"),1,0)</f>
        <v>0</v>
      </c>
    </row>
    <row r="1855" customFormat="false" ht="15" hidden="false" customHeight="false" outlineLevel="0" collapsed="false">
      <c r="A1855" s="0" t="s">
        <v>1624</v>
      </c>
      <c r="B1855" s="0" t="s">
        <v>1629</v>
      </c>
      <c r="C1855" s="0" t="s">
        <v>1630</v>
      </c>
      <c r="D1855" s="0" t="n">
        <v>4</v>
      </c>
      <c r="E1855" s="6" t="n">
        <v>40816.5458333333</v>
      </c>
      <c r="F1855" s="0" t="n">
        <v>12.75</v>
      </c>
      <c r="G1855" s="0" t="n">
        <v>12694</v>
      </c>
      <c r="H1855" s="0" t="s">
        <v>43</v>
      </c>
      <c r="I1855" s="7" t="n">
        <f aca="false">IF(AND(LEFT(A1855,1)&lt;&gt;"C",D1855&gt;0,F1855&gt;0),1,0)</f>
        <v>1</v>
      </c>
      <c r="J1855" s="7" t="n">
        <f aca="false">IF(I1855=1,D1855*F1855,0)</f>
        <v>51</v>
      </c>
      <c r="K1855" s="7" t="n">
        <f aca="false">YEAR(E1855)*100+MONTH(E1855)</f>
        <v>201109</v>
      </c>
      <c r="L1855" s="7" t="n">
        <f aca="false">IF(AND(A1855&lt;&gt;A1854,LEFT(A1855,1)&lt;&gt;"C"),1,0)</f>
        <v>0</v>
      </c>
    </row>
    <row r="1856" customFormat="false" ht="15" hidden="false" customHeight="false" outlineLevel="0" collapsed="false">
      <c r="A1856" s="0" t="s">
        <v>1624</v>
      </c>
      <c r="B1856" s="0" t="s">
        <v>148</v>
      </c>
      <c r="C1856" s="0" t="s">
        <v>149</v>
      </c>
      <c r="D1856" s="0" t="n">
        <v>4</v>
      </c>
      <c r="E1856" s="6" t="n">
        <v>40816.5458333333</v>
      </c>
      <c r="F1856" s="0" t="n">
        <v>12.75</v>
      </c>
      <c r="G1856" s="0" t="n">
        <v>12694</v>
      </c>
      <c r="H1856" s="0" t="s">
        <v>43</v>
      </c>
      <c r="I1856" s="7" t="n">
        <f aca="false">IF(AND(LEFT(A1856,1)&lt;&gt;"C",D1856&gt;0,F1856&gt;0),1,0)</f>
        <v>1</v>
      </c>
      <c r="J1856" s="7" t="n">
        <f aca="false">IF(I1856=1,D1856*F1856,0)</f>
        <v>51</v>
      </c>
      <c r="K1856" s="7" t="n">
        <f aca="false">YEAR(E1856)*100+MONTH(E1856)</f>
        <v>201109</v>
      </c>
      <c r="L1856" s="7" t="n">
        <f aca="false">IF(AND(A1856&lt;&gt;A1855,LEFT(A1856,1)&lt;&gt;"C"),1,0)</f>
        <v>0</v>
      </c>
    </row>
    <row r="1857" customFormat="false" ht="15" hidden="false" customHeight="false" outlineLevel="0" collapsed="false">
      <c r="A1857" s="0" t="s">
        <v>1624</v>
      </c>
      <c r="B1857" s="0" t="s">
        <v>1631</v>
      </c>
      <c r="C1857" s="0" t="s">
        <v>1632</v>
      </c>
      <c r="D1857" s="0" t="n">
        <v>10</v>
      </c>
      <c r="E1857" s="6" t="n">
        <v>40816.5458333333</v>
      </c>
      <c r="F1857" s="0" t="n">
        <v>2.95</v>
      </c>
      <c r="G1857" s="0" t="n">
        <v>12694</v>
      </c>
      <c r="H1857" s="0" t="s">
        <v>43</v>
      </c>
      <c r="I1857" s="7" t="n">
        <f aca="false">IF(AND(LEFT(A1857,1)&lt;&gt;"C",D1857&gt;0,F1857&gt;0),1,0)</f>
        <v>1</v>
      </c>
      <c r="J1857" s="7" t="n">
        <f aca="false">IF(I1857=1,D1857*F1857,0)</f>
        <v>29.5</v>
      </c>
      <c r="K1857" s="7" t="n">
        <f aca="false">YEAR(E1857)*100+MONTH(E1857)</f>
        <v>201109</v>
      </c>
      <c r="L1857" s="7" t="n">
        <f aca="false">IF(AND(A1857&lt;&gt;A1856,LEFT(A1857,1)&lt;&gt;"C"),1,0)</f>
        <v>0</v>
      </c>
    </row>
    <row r="1858" customFormat="false" ht="15" hidden="false" customHeight="false" outlineLevel="0" collapsed="false">
      <c r="A1858" s="0" t="s">
        <v>1624</v>
      </c>
      <c r="B1858" s="0" t="s">
        <v>857</v>
      </c>
      <c r="C1858" s="0" t="s">
        <v>858</v>
      </c>
      <c r="D1858" s="0" t="n">
        <v>8</v>
      </c>
      <c r="E1858" s="6" t="n">
        <v>40816.5458333333</v>
      </c>
      <c r="F1858" s="0" t="n">
        <v>0.83</v>
      </c>
      <c r="G1858" s="0" t="n">
        <v>12694</v>
      </c>
      <c r="H1858" s="0" t="s">
        <v>43</v>
      </c>
      <c r="I1858" s="7" t="n">
        <f aca="false">IF(AND(LEFT(A1858,1)&lt;&gt;"C",D1858&gt;0,F1858&gt;0),1,0)</f>
        <v>1</v>
      </c>
      <c r="J1858" s="7" t="n">
        <f aca="false">IF(I1858=1,D1858*F1858,0)</f>
        <v>6.64</v>
      </c>
      <c r="K1858" s="7" t="n">
        <f aca="false">YEAR(E1858)*100+MONTH(E1858)</f>
        <v>201109</v>
      </c>
      <c r="L1858" s="7" t="n">
        <f aca="false">IF(AND(A1858&lt;&gt;A1857,LEFT(A1858,1)&lt;&gt;"C"),1,0)</f>
        <v>0</v>
      </c>
    </row>
    <row r="1859" customFormat="false" ht="15" hidden="false" customHeight="false" outlineLevel="0" collapsed="false">
      <c r="A1859" s="0" t="s">
        <v>1624</v>
      </c>
      <c r="B1859" s="0" t="s">
        <v>717</v>
      </c>
      <c r="C1859" s="0" t="s">
        <v>718</v>
      </c>
      <c r="D1859" s="0" t="n">
        <v>8</v>
      </c>
      <c r="E1859" s="6" t="n">
        <v>40816.5458333333</v>
      </c>
      <c r="F1859" s="0" t="n">
        <v>0.83</v>
      </c>
      <c r="G1859" s="0" t="n">
        <v>12694</v>
      </c>
      <c r="H1859" s="0" t="s">
        <v>43</v>
      </c>
      <c r="I1859" s="7" t="n">
        <f aca="false">IF(AND(LEFT(A1859,1)&lt;&gt;"C",D1859&gt;0,F1859&gt;0),1,0)</f>
        <v>1</v>
      </c>
      <c r="J1859" s="7" t="n">
        <f aca="false">IF(I1859=1,D1859*F1859,0)</f>
        <v>6.64</v>
      </c>
      <c r="K1859" s="7" t="n">
        <f aca="false">YEAR(E1859)*100+MONTH(E1859)</f>
        <v>201109</v>
      </c>
      <c r="L1859" s="7" t="n">
        <f aca="false">IF(AND(A1859&lt;&gt;A1858,LEFT(A1859,1)&lt;&gt;"C"),1,0)</f>
        <v>0</v>
      </c>
    </row>
    <row r="1860" customFormat="false" ht="15" hidden="false" customHeight="false" outlineLevel="0" collapsed="false">
      <c r="A1860" s="0" t="s">
        <v>1624</v>
      </c>
      <c r="B1860" s="0" t="s">
        <v>109</v>
      </c>
      <c r="C1860" s="0" t="s">
        <v>110</v>
      </c>
      <c r="D1860" s="0" t="n">
        <v>8</v>
      </c>
      <c r="E1860" s="6" t="n">
        <v>40816.5458333333</v>
      </c>
      <c r="F1860" s="0" t="n">
        <v>0.83</v>
      </c>
      <c r="G1860" s="0" t="n">
        <v>12694</v>
      </c>
      <c r="H1860" s="0" t="s">
        <v>43</v>
      </c>
      <c r="I1860" s="7" t="n">
        <f aca="false">IF(AND(LEFT(A1860,1)&lt;&gt;"C",D1860&gt;0,F1860&gt;0),1,0)</f>
        <v>1</v>
      </c>
      <c r="J1860" s="7" t="n">
        <f aca="false">IF(I1860=1,D1860*F1860,0)</f>
        <v>6.64</v>
      </c>
      <c r="K1860" s="7" t="n">
        <f aca="false">YEAR(E1860)*100+MONTH(E1860)</f>
        <v>201109</v>
      </c>
      <c r="L1860" s="7" t="n">
        <f aca="false">IF(AND(A1860&lt;&gt;A1859,LEFT(A1860,1)&lt;&gt;"C"),1,0)</f>
        <v>0</v>
      </c>
    </row>
    <row r="1861" customFormat="false" ht="15" hidden="false" customHeight="false" outlineLevel="0" collapsed="false">
      <c r="A1861" s="0" t="s">
        <v>1624</v>
      </c>
      <c r="B1861" s="0" t="s">
        <v>197</v>
      </c>
      <c r="C1861" s="0" t="s">
        <v>198</v>
      </c>
      <c r="D1861" s="0" t="n">
        <v>24</v>
      </c>
      <c r="E1861" s="6" t="n">
        <v>40816.5458333333</v>
      </c>
      <c r="F1861" s="0" t="n">
        <v>0.85</v>
      </c>
      <c r="G1861" s="0" t="n">
        <v>12694</v>
      </c>
      <c r="H1861" s="0" t="s">
        <v>43</v>
      </c>
      <c r="I1861" s="7" t="n">
        <f aca="false">IF(AND(LEFT(A1861,1)&lt;&gt;"C",D1861&gt;0,F1861&gt;0),1,0)</f>
        <v>1</v>
      </c>
      <c r="J1861" s="7" t="n">
        <f aca="false">IF(I1861=1,D1861*F1861,0)</f>
        <v>20.4</v>
      </c>
      <c r="K1861" s="7" t="n">
        <f aca="false">YEAR(E1861)*100+MONTH(E1861)</f>
        <v>201109</v>
      </c>
      <c r="L1861" s="7" t="n">
        <f aca="false">IF(AND(A1861&lt;&gt;A1860,LEFT(A1861,1)&lt;&gt;"C"),1,0)</f>
        <v>0</v>
      </c>
    </row>
    <row r="1862" customFormat="false" ht="15" hidden="false" customHeight="false" outlineLevel="0" collapsed="false">
      <c r="A1862" s="0" t="s">
        <v>1624</v>
      </c>
      <c r="B1862" s="0" t="s">
        <v>193</v>
      </c>
      <c r="C1862" s="0" t="s">
        <v>194</v>
      </c>
      <c r="D1862" s="0" t="n">
        <v>24</v>
      </c>
      <c r="E1862" s="6" t="n">
        <v>40816.5458333333</v>
      </c>
      <c r="F1862" s="0" t="n">
        <v>0.65</v>
      </c>
      <c r="G1862" s="0" t="n">
        <v>12694</v>
      </c>
      <c r="H1862" s="0" t="s">
        <v>43</v>
      </c>
      <c r="I1862" s="7" t="n">
        <f aca="false">IF(AND(LEFT(A1862,1)&lt;&gt;"C",D1862&gt;0,F1862&gt;0),1,0)</f>
        <v>1</v>
      </c>
      <c r="J1862" s="7" t="n">
        <f aca="false">IF(I1862=1,D1862*F1862,0)</f>
        <v>15.6</v>
      </c>
      <c r="K1862" s="7" t="n">
        <f aca="false">YEAR(E1862)*100+MONTH(E1862)</f>
        <v>201109</v>
      </c>
      <c r="L1862" s="7" t="n">
        <f aca="false">IF(AND(A1862&lt;&gt;A1861,LEFT(A1862,1)&lt;&gt;"C"),1,0)</f>
        <v>0</v>
      </c>
    </row>
    <row r="1863" customFormat="false" ht="15" hidden="false" customHeight="false" outlineLevel="0" collapsed="false">
      <c r="A1863" s="0" t="s">
        <v>1624</v>
      </c>
      <c r="B1863" s="0" t="s">
        <v>84</v>
      </c>
      <c r="C1863" s="0" t="s">
        <v>85</v>
      </c>
      <c r="D1863" s="0" t="n">
        <v>3</v>
      </c>
      <c r="E1863" s="6" t="n">
        <v>40816.5458333333</v>
      </c>
      <c r="F1863" s="0" t="n">
        <v>18</v>
      </c>
      <c r="G1863" s="0" t="n">
        <v>12694</v>
      </c>
      <c r="H1863" s="0" t="s">
        <v>43</v>
      </c>
      <c r="I1863" s="7" t="n">
        <f aca="false">IF(AND(LEFT(A1863,1)&lt;&gt;"C",D1863&gt;0,F1863&gt;0),1,0)</f>
        <v>1</v>
      </c>
      <c r="J1863" s="7" t="n">
        <f aca="false">IF(I1863=1,D1863*F1863,0)</f>
        <v>54</v>
      </c>
      <c r="K1863" s="7" t="n">
        <f aca="false">YEAR(E1863)*100+MONTH(E1863)</f>
        <v>201109</v>
      </c>
      <c r="L1863" s="7" t="n">
        <f aca="false">IF(AND(A1863&lt;&gt;A1862,LEFT(A1863,1)&lt;&gt;"C"),1,0)</f>
        <v>0</v>
      </c>
    </row>
    <row r="1864" customFormat="false" ht="15" hidden="false" customHeight="false" outlineLevel="0" collapsed="false">
      <c r="A1864" s="0" t="s">
        <v>1633</v>
      </c>
      <c r="B1864" s="0" t="s">
        <v>84</v>
      </c>
      <c r="C1864" s="0" t="s">
        <v>85</v>
      </c>
      <c r="D1864" s="0" t="n">
        <v>2</v>
      </c>
      <c r="E1864" s="6" t="n">
        <v>40819.5736111111</v>
      </c>
      <c r="F1864" s="0" t="n">
        <v>18</v>
      </c>
      <c r="G1864" s="0" t="n">
        <v>12637</v>
      </c>
      <c r="H1864" s="0" t="s">
        <v>43</v>
      </c>
      <c r="I1864" s="7" t="n">
        <f aca="false">IF(AND(LEFT(A1864,1)&lt;&gt;"C",D1864&gt;0,F1864&gt;0),1,0)</f>
        <v>1</v>
      </c>
      <c r="J1864" s="7" t="n">
        <f aca="false">IF(I1864=1,D1864*F1864,0)</f>
        <v>36</v>
      </c>
      <c r="K1864" s="7" t="n">
        <f aca="false">YEAR(E1864)*100+MONTH(E1864)</f>
        <v>201110</v>
      </c>
      <c r="L1864" s="7" t="n">
        <f aca="false">IF(AND(A1864&lt;&gt;A1863,LEFT(A1864,1)&lt;&gt;"C"),1,0)</f>
        <v>1</v>
      </c>
    </row>
    <row r="1865" customFormat="false" ht="15" hidden="false" customHeight="false" outlineLevel="0" collapsed="false">
      <c r="A1865" s="0" t="s">
        <v>1633</v>
      </c>
      <c r="B1865" s="0" t="s">
        <v>1046</v>
      </c>
      <c r="C1865" s="0" t="s">
        <v>1047</v>
      </c>
      <c r="D1865" s="0" t="n">
        <v>3</v>
      </c>
      <c r="E1865" s="6" t="n">
        <v>40819.5736111111</v>
      </c>
      <c r="F1865" s="0" t="n">
        <v>4.15</v>
      </c>
      <c r="G1865" s="0" t="n">
        <v>12637</v>
      </c>
      <c r="H1865" s="0" t="s">
        <v>43</v>
      </c>
      <c r="I1865" s="7" t="n">
        <f aca="false">IF(AND(LEFT(A1865,1)&lt;&gt;"C",D1865&gt;0,F1865&gt;0),1,0)</f>
        <v>1</v>
      </c>
      <c r="J1865" s="7" t="n">
        <f aca="false">IF(I1865=1,D1865*F1865,0)</f>
        <v>12.45</v>
      </c>
      <c r="K1865" s="7" t="n">
        <f aca="false">YEAR(E1865)*100+MONTH(E1865)</f>
        <v>201110</v>
      </c>
      <c r="L1865" s="7" t="n">
        <f aca="false">IF(AND(A1865&lt;&gt;A1864,LEFT(A1865,1)&lt;&gt;"C"),1,0)</f>
        <v>0</v>
      </c>
    </row>
    <row r="1866" customFormat="false" ht="15" hidden="false" customHeight="false" outlineLevel="0" collapsed="false">
      <c r="A1866" s="0" t="s">
        <v>1633</v>
      </c>
      <c r="B1866" s="0" t="s">
        <v>1044</v>
      </c>
      <c r="C1866" s="0" t="s">
        <v>1045</v>
      </c>
      <c r="D1866" s="0" t="n">
        <v>1</v>
      </c>
      <c r="E1866" s="6" t="n">
        <v>40819.5736111111</v>
      </c>
      <c r="F1866" s="0" t="n">
        <v>4.15</v>
      </c>
      <c r="G1866" s="0" t="n">
        <v>12637</v>
      </c>
      <c r="H1866" s="0" t="s">
        <v>43</v>
      </c>
      <c r="I1866" s="7" t="n">
        <f aca="false">IF(AND(LEFT(A1866,1)&lt;&gt;"C",D1866&gt;0,F1866&gt;0),1,0)</f>
        <v>1</v>
      </c>
      <c r="J1866" s="7" t="n">
        <f aca="false">IF(I1866=1,D1866*F1866,0)</f>
        <v>4.15</v>
      </c>
      <c r="K1866" s="7" t="n">
        <f aca="false">YEAR(E1866)*100+MONTH(E1866)</f>
        <v>201110</v>
      </c>
      <c r="L1866" s="7" t="n">
        <f aca="false">IF(AND(A1866&lt;&gt;A1865,LEFT(A1866,1)&lt;&gt;"C"),1,0)</f>
        <v>0</v>
      </c>
    </row>
    <row r="1867" customFormat="false" ht="15" hidden="false" customHeight="false" outlineLevel="0" collapsed="false">
      <c r="A1867" s="0" t="s">
        <v>1633</v>
      </c>
      <c r="B1867" s="0" t="s">
        <v>1048</v>
      </c>
      <c r="C1867" s="0" t="s">
        <v>1049</v>
      </c>
      <c r="D1867" s="0" t="n">
        <v>1</v>
      </c>
      <c r="E1867" s="6" t="n">
        <v>40819.5736111111</v>
      </c>
      <c r="F1867" s="0" t="n">
        <v>4.15</v>
      </c>
      <c r="G1867" s="0" t="n">
        <v>12637</v>
      </c>
      <c r="H1867" s="0" t="s">
        <v>43</v>
      </c>
      <c r="I1867" s="7" t="n">
        <f aca="false">IF(AND(LEFT(A1867,1)&lt;&gt;"C",D1867&gt;0,F1867&gt;0),1,0)</f>
        <v>1</v>
      </c>
      <c r="J1867" s="7" t="n">
        <f aca="false">IF(I1867=1,D1867*F1867,0)</f>
        <v>4.15</v>
      </c>
      <c r="K1867" s="7" t="n">
        <f aca="false">YEAR(E1867)*100+MONTH(E1867)</f>
        <v>201110</v>
      </c>
      <c r="L1867" s="7" t="n">
        <f aca="false">IF(AND(A1867&lt;&gt;A1866,LEFT(A1867,1)&lt;&gt;"C"),1,0)</f>
        <v>0</v>
      </c>
    </row>
    <row r="1868" customFormat="false" ht="15" hidden="false" customHeight="false" outlineLevel="0" collapsed="false">
      <c r="A1868" s="0" t="s">
        <v>1633</v>
      </c>
      <c r="B1868" s="0" t="s">
        <v>1634</v>
      </c>
      <c r="C1868" s="0" t="s">
        <v>1635</v>
      </c>
      <c r="D1868" s="0" t="n">
        <v>1</v>
      </c>
      <c r="E1868" s="6" t="n">
        <v>40819.5736111111</v>
      </c>
      <c r="F1868" s="0" t="n">
        <v>4.95</v>
      </c>
      <c r="G1868" s="0" t="n">
        <v>12637</v>
      </c>
      <c r="H1868" s="0" t="s">
        <v>43</v>
      </c>
      <c r="I1868" s="7" t="n">
        <f aca="false">IF(AND(LEFT(A1868,1)&lt;&gt;"C",D1868&gt;0,F1868&gt;0),1,0)</f>
        <v>1</v>
      </c>
      <c r="J1868" s="7" t="n">
        <f aca="false">IF(I1868=1,D1868*F1868,0)</f>
        <v>4.95</v>
      </c>
      <c r="K1868" s="7" t="n">
        <f aca="false">YEAR(E1868)*100+MONTH(E1868)</f>
        <v>201110</v>
      </c>
      <c r="L1868" s="7" t="n">
        <f aca="false">IF(AND(A1868&lt;&gt;A1867,LEFT(A1868,1)&lt;&gt;"C"),1,0)</f>
        <v>0</v>
      </c>
    </row>
    <row r="1869" customFormat="false" ht="15" hidden="false" customHeight="false" outlineLevel="0" collapsed="false">
      <c r="A1869" s="0" t="s">
        <v>1633</v>
      </c>
      <c r="B1869" s="0" t="s">
        <v>337</v>
      </c>
      <c r="C1869" s="0" t="s">
        <v>338</v>
      </c>
      <c r="D1869" s="0" t="n">
        <v>2</v>
      </c>
      <c r="E1869" s="6" t="n">
        <v>40819.5736111111</v>
      </c>
      <c r="F1869" s="0" t="n">
        <v>2.95</v>
      </c>
      <c r="G1869" s="0" t="n">
        <v>12637</v>
      </c>
      <c r="H1869" s="0" t="s">
        <v>43</v>
      </c>
      <c r="I1869" s="7" t="n">
        <f aca="false">IF(AND(LEFT(A1869,1)&lt;&gt;"C",D1869&gt;0,F1869&gt;0),1,0)</f>
        <v>1</v>
      </c>
      <c r="J1869" s="7" t="n">
        <f aca="false">IF(I1869=1,D1869*F1869,0)</f>
        <v>5.9</v>
      </c>
      <c r="K1869" s="7" t="n">
        <f aca="false">YEAR(E1869)*100+MONTH(E1869)</f>
        <v>201110</v>
      </c>
      <c r="L1869" s="7" t="n">
        <f aca="false">IF(AND(A1869&lt;&gt;A1868,LEFT(A1869,1)&lt;&gt;"C"),1,0)</f>
        <v>0</v>
      </c>
    </row>
    <row r="1870" customFormat="false" ht="15" hidden="false" customHeight="false" outlineLevel="0" collapsed="false">
      <c r="A1870" s="0" t="s">
        <v>1633</v>
      </c>
      <c r="B1870" s="0" t="s">
        <v>687</v>
      </c>
      <c r="C1870" s="0" t="s">
        <v>688</v>
      </c>
      <c r="D1870" s="0" t="n">
        <v>2</v>
      </c>
      <c r="E1870" s="6" t="n">
        <v>40819.5736111111</v>
      </c>
      <c r="F1870" s="0" t="n">
        <v>2.08</v>
      </c>
      <c r="G1870" s="0" t="n">
        <v>12637</v>
      </c>
      <c r="H1870" s="0" t="s">
        <v>43</v>
      </c>
      <c r="I1870" s="7" t="n">
        <f aca="false">IF(AND(LEFT(A1870,1)&lt;&gt;"C",D1870&gt;0,F1870&gt;0),1,0)</f>
        <v>1</v>
      </c>
      <c r="J1870" s="7" t="n">
        <f aca="false">IF(I1870=1,D1870*F1870,0)</f>
        <v>4.16</v>
      </c>
      <c r="K1870" s="7" t="n">
        <f aca="false">YEAR(E1870)*100+MONTH(E1870)</f>
        <v>201110</v>
      </c>
      <c r="L1870" s="7" t="n">
        <f aca="false">IF(AND(A1870&lt;&gt;A1869,LEFT(A1870,1)&lt;&gt;"C"),1,0)</f>
        <v>0</v>
      </c>
    </row>
    <row r="1871" customFormat="false" ht="15" hidden="false" customHeight="false" outlineLevel="0" collapsed="false">
      <c r="A1871" s="0" t="s">
        <v>1633</v>
      </c>
      <c r="B1871" s="0" t="s">
        <v>404</v>
      </c>
      <c r="C1871" s="0" t="s">
        <v>405</v>
      </c>
      <c r="D1871" s="0" t="n">
        <v>2</v>
      </c>
      <c r="E1871" s="6" t="n">
        <v>40819.5736111111</v>
      </c>
      <c r="F1871" s="0" t="n">
        <v>1.65</v>
      </c>
      <c r="G1871" s="0" t="n">
        <v>12637</v>
      </c>
      <c r="H1871" s="0" t="s">
        <v>43</v>
      </c>
      <c r="I1871" s="7" t="n">
        <f aca="false">IF(AND(LEFT(A1871,1)&lt;&gt;"C",D1871&gt;0,F1871&gt;0),1,0)</f>
        <v>1</v>
      </c>
      <c r="J1871" s="7" t="n">
        <f aca="false">IF(I1871=1,D1871*F1871,0)</f>
        <v>3.3</v>
      </c>
      <c r="K1871" s="7" t="n">
        <f aca="false">YEAR(E1871)*100+MONTH(E1871)</f>
        <v>201110</v>
      </c>
      <c r="L1871" s="7" t="n">
        <f aca="false">IF(AND(A1871&lt;&gt;A1870,LEFT(A1871,1)&lt;&gt;"C"),1,0)</f>
        <v>0</v>
      </c>
    </row>
    <row r="1872" customFormat="false" ht="15" hidden="false" customHeight="false" outlineLevel="0" collapsed="false">
      <c r="A1872" s="0" t="s">
        <v>1633</v>
      </c>
      <c r="B1872" s="0" t="s">
        <v>641</v>
      </c>
      <c r="C1872" s="0" t="s">
        <v>642</v>
      </c>
      <c r="D1872" s="0" t="n">
        <v>2</v>
      </c>
      <c r="E1872" s="6" t="n">
        <v>40819.5736111111</v>
      </c>
      <c r="F1872" s="0" t="n">
        <v>1.65</v>
      </c>
      <c r="G1872" s="0" t="n">
        <v>12637</v>
      </c>
      <c r="H1872" s="0" t="s">
        <v>43</v>
      </c>
      <c r="I1872" s="7" t="n">
        <f aca="false">IF(AND(LEFT(A1872,1)&lt;&gt;"C",D1872&gt;0,F1872&gt;0),1,0)</f>
        <v>1</v>
      </c>
      <c r="J1872" s="7" t="n">
        <f aca="false">IF(I1872=1,D1872*F1872,0)</f>
        <v>3.3</v>
      </c>
      <c r="K1872" s="7" t="n">
        <f aca="false">YEAR(E1872)*100+MONTH(E1872)</f>
        <v>201110</v>
      </c>
      <c r="L1872" s="7" t="n">
        <f aca="false">IF(AND(A1872&lt;&gt;A1871,LEFT(A1872,1)&lt;&gt;"C"),1,0)</f>
        <v>0</v>
      </c>
    </row>
    <row r="1873" customFormat="false" ht="15" hidden="false" customHeight="false" outlineLevel="0" collapsed="false">
      <c r="A1873" s="0" t="s">
        <v>1633</v>
      </c>
      <c r="B1873" s="0" t="s">
        <v>639</v>
      </c>
      <c r="C1873" s="0" t="s">
        <v>640</v>
      </c>
      <c r="D1873" s="0" t="n">
        <v>3</v>
      </c>
      <c r="E1873" s="6" t="n">
        <v>40819.5736111111</v>
      </c>
      <c r="F1873" s="0" t="n">
        <v>1.65</v>
      </c>
      <c r="G1873" s="0" t="n">
        <v>12637</v>
      </c>
      <c r="H1873" s="0" t="s">
        <v>43</v>
      </c>
      <c r="I1873" s="7" t="n">
        <f aca="false">IF(AND(LEFT(A1873,1)&lt;&gt;"C",D1873&gt;0,F1873&gt;0),1,0)</f>
        <v>1</v>
      </c>
      <c r="J1873" s="7" t="n">
        <f aca="false">IF(I1873=1,D1873*F1873,0)</f>
        <v>4.95</v>
      </c>
      <c r="K1873" s="7" t="n">
        <f aca="false">YEAR(E1873)*100+MONTH(E1873)</f>
        <v>201110</v>
      </c>
      <c r="L1873" s="7" t="n">
        <f aca="false">IF(AND(A1873&lt;&gt;A1872,LEFT(A1873,1)&lt;&gt;"C"),1,0)</f>
        <v>0</v>
      </c>
    </row>
    <row r="1874" customFormat="false" ht="15" hidden="false" customHeight="false" outlineLevel="0" collapsed="false">
      <c r="A1874" s="0" t="s">
        <v>1633</v>
      </c>
      <c r="B1874" s="0" t="s">
        <v>1204</v>
      </c>
      <c r="C1874" s="0" t="s">
        <v>1205</v>
      </c>
      <c r="D1874" s="0" t="n">
        <v>2</v>
      </c>
      <c r="E1874" s="6" t="n">
        <v>40819.5736111111</v>
      </c>
      <c r="F1874" s="0" t="n">
        <v>9.95</v>
      </c>
      <c r="G1874" s="0" t="n">
        <v>12637</v>
      </c>
      <c r="H1874" s="0" t="s">
        <v>43</v>
      </c>
      <c r="I1874" s="7" t="n">
        <f aca="false">IF(AND(LEFT(A1874,1)&lt;&gt;"C",D1874&gt;0,F1874&gt;0),1,0)</f>
        <v>1</v>
      </c>
      <c r="J1874" s="7" t="n">
        <f aca="false">IF(I1874=1,D1874*F1874,0)</f>
        <v>19.9</v>
      </c>
      <c r="K1874" s="7" t="n">
        <f aca="false">YEAR(E1874)*100+MONTH(E1874)</f>
        <v>201110</v>
      </c>
      <c r="L1874" s="7" t="n">
        <f aca="false">IF(AND(A1874&lt;&gt;A1873,LEFT(A1874,1)&lt;&gt;"C"),1,0)</f>
        <v>0</v>
      </c>
    </row>
    <row r="1875" customFormat="false" ht="15" hidden="false" customHeight="false" outlineLevel="0" collapsed="false">
      <c r="A1875" s="0" t="s">
        <v>1633</v>
      </c>
      <c r="B1875" s="0" t="s">
        <v>1290</v>
      </c>
      <c r="C1875" s="0" t="s">
        <v>1291</v>
      </c>
      <c r="D1875" s="0" t="n">
        <v>3</v>
      </c>
      <c r="E1875" s="6" t="n">
        <v>40819.5736111111</v>
      </c>
      <c r="F1875" s="0" t="n">
        <v>3.25</v>
      </c>
      <c r="G1875" s="0" t="n">
        <v>12637</v>
      </c>
      <c r="H1875" s="0" t="s">
        <v>43</v>
      </c>
      <c r="I1875" s="7" t="n">
        <f aca="false">IF(AND(LEFT(A1875,1)&lt;&gt;"C",D1875&gt;0,F1875&gt;0),1,0)</f>
        <v>1</v>
      </c>
      <c r="J1875" s="7" t="n">
        <f aca="false">IF(I1875=1,D1875*F1875,0)</f>
        <v>9.75</v>
      </c>
      <c r="K1875" s="7" t="n">
        <f aca="false">YEAR(E1875)*100+MONTH(E1875)</f>
        <v>201110</v>
      </c>
      <c r="L1875" s="7" t="n">
        <f aca="false">IF(AND(A1875&lt;&gt;A1874,LEFT(A1875,1)&lt;&gt;"C"),1,0)</f>
        <v>0</v>
      </c>
    </row>
    <row r="1876" customFormat="false" ht="15" hidden="false" customHeight="false" outlineLevel="0" collapsed="false">
      <c r="A1876" s="0" t="s">
        <v>1633</v>
      </c>
      <c r="B1876" s="0" t="s">
        <v>897</v>
      </c>
      <c r="C1876" s="0" t="s">
        <v>898</v>
      </c>
      <c r="D1876" s="0" t="n">
        <v>1</v>
      </c>
      <c r="E1876" s="6" t="n">
        <v>40819.5736111111</v>
      </c>
      <c r="F1876" s="0" t="n">
        <v>4.95</v>
      </c>
      <c r="G1876" s="0" t="n">
        <v>12637</v>
      </c>
      <c r="H1876" s="0" t="s">
        <v>43</v>
      </c>
      <c r="I1876" s="7" t="n">
        <f aca="false">IF(AND(LEFT(A1876,1)&lt;&gt;"C",D1876&gt;0,F1876&gt;0),1,0)</f>
        <v>1</v>
      </c>
      <c r="J1876" s="7" t="n">
        <f aca="false">IF(I1876=1,D1876*F1876,0)</f>
        <v>4.95</v>
      </c>
      <c r="K1876" s="7" t="n">
        <f aca="false">YEAR(E1876)*100+MONTH(E1876)</f>
        <v>201110</v>
      </c>
      <c r="L1876" s="7" t="n">
        <f aca="false">IF(AND(A1876&lt;&gt;A1875,LEFT(A1876,1)&lt;&gt;"C"),1,0)</f>
        <v>0</v>
      </c>
    </row>
    <row r="1877" customFormat="false" ht="15" hidden="false" customHeight="false" outlineLevel="0" collapsed="false">
      <c r="A1877" s="0" t="s">
        <v>1633</v>
      </c>
      <c r="B1877" s="0" t="s">
        <v>871</v>
      </c>
      <c r="C1877" s="0" t="s">
        <v>872</v>
      </c>
      <c r="D1877" s="0" t="n">
        <v>1</v>
      </c>
      <c r="E1877" s="6" t="n">
        <v>40819.5736111111</v>
      </c>
      <c r="F1877" s="0" t="n">
        <v>0.83</v>
      </c>
      <c r="G1877" s="0" t="n">
        <v>12637</v>
      </c>
      <c r="H1877" s="0" t="s">
        <v>43</v>
      </c>
      <c r="I1877" s="7" t="n">
        <f aca="false">IF(AND(LEFT(A1877,1)&lt;&gt;"C",D1877&gt;0,F1877&gt;0),1,0)</f>
        <v>1</v>
      </c>
      <c r="J1877" s="7" t="n">
        <f aca="false">IF(I1877=1,D1877*F1877,0)</f>
        <v>0.83</v>
      </c>
      <c r="K1877" s="7" t="n">
        <f aca="false">YEAR(E1877)*100+MONTH(E1877)</f>
        <v>201110</v>
      </c>
      <c r="L1877" s="7" t="n">
        <f aca="false">IF(AND(A1877&lt;&gt;A1876,LEFT(A1877,1)&lt;&gt;"C"),1,0)</f>
        <v>0</v>
      </c>
    </row>
    <row r="1878" customFormat="false" ht="15" hidden="false" customHeight="false" outlineLevel="0" collapsed="false">
      <c r="A1878" s="0" t="s">
        <v>1633</v>
      </c>
      <c r="B1878" s="0" t="s">
        <v>873</v>
      </c>
      <c r="C1878" s="0" t="s">
        <v>874</v>
      </c>
      <c r="D1878" s="0" t="n">
        <v>1</v>
      </c>
      <c r="E1878" s="6" t="n">
        <v>40819.5736111111</v>
      </c>
      <c r="F1878" s="0" t="n">
        <v>0.83</v>
      </c>
      <c r="G1878" s="0" t="n">
        <v>12637</v>
      </c>
      <c r="H1878" s="0" t="s">
        <v>43</v>
      </c>
      <c r="I1878" s="7" t="n">
        <f aca="false">IF(AND(LEFT(A1878,1)&lt;&gt;"C",D1878&gt;0,F1878&gt;0),1,0)</f>
        <v>1</v>
      </c>
      <c r="J1878" s="7" t="n">
        <f aca="false">IF(I1878=1,D1878*F1878,0)</f>
        <v>0.83</v>
      </c>
      <c r="K1878" s="7" t="n">
        <f aca="false">YEAR(E1878)*100+MONTH(E1878)</f>
        <v>201110</v>
      </c>
      <c r="L1878" s="7" t="n">
        <f aca="false">IF(AND(A1878&lt;&gt;A1877,LEFT(A1878,1)&lt;&gt;"C"),1,0)</f>
        <v>0</v>
      </c>
    </row>
    <row r="1879" customFormat="false" ht="15" hidden="false" customHeight="false" outlineLevel="0" collapsed="false">
      <c r="A1879" s="0" t="s">
        <v>1633</v>
      </c>
      <c r="B1879" s="0" t="s">
        <v>1636</v>
      </c>
      <c r="C1879" s="0" t="s">
        <v>1637</v>
      </c>
      <c r="D1879" s="0" t="n">
        <v>2</v>
      </c>
      <c r="E1879" s="6" t="n">
        <v>40819.5736111111</v>
      </c>
      <c r="F1879" s="0" t="n">
        <v>1.25</v>
      </c>
      <c r="G1879" s="0" t="n">
        <v>12637</v>
      </c>
      <c r="H1879" s="0" t="s">
        <v>43</v>
      </c>
      <c r="I1879" s="7" t="n">
        <f aca="false">IF(AND(LEFT(A1879,1)&lt;&gt;"C",D1879&gt;0,F1879&gt;0),1,0)</f>
        <v>1</v>
      </c>
      <c r="J1879" s="7" t="n">
        <f aca="false">IF(I1879=1,D1879*F1879,0)</f>
        <v>2.5</v>
      </c>
      <c r="K1879" s="7" t="n">
        <f aca="false">YEAR(E1879)*100+MONTH(E1879)</f>
        <v>201110</v>
      </c>
      <c r="L1879" s="7" t="n">
        <f aca="false">IF(AND(A1879&lt;&gt;A1878,LEFT(A1879,1)&lt;&gt;"C"),1,0)</f>
        <v>0</v>
      </c>
    </row>
    <row r="1880" customFormat="false" ht="15" hidden="false" customHeight="false" outlineLevel="0" collapsed="false">
      <c r="A1880" s="0" t="s">
        <v>1633</v>
      </c>
      <c r="B1880" s="0" t="s">
        <v>649</v>
      </c>
      <c r="C1880" s="0" t="s">
        <v>650</v>
      </c>
      <c r="D1880" s="0" t="n">
        <v>2</v>
      </c>
      <c r="E1880" s="6" t="n">
        <v>40819.5736111111</v>
      </c>
      <c r="F1880" s="0" t="n">
        <v>0.39</v>
      </c>
      <c r="G1880" s="0" t="n">
        <v>12637</v>
      </c>
      <c r="H1880" s="0" t="s">
        <v>43</v>
      </c>
      <c r="I1880" s="7" t="n">
        <f aca="false">IF(AND(LEFT(A1880,1)&lt;&gt;"C",D1880&gt;0,F1880&gt;0),1,0)</f>
        <v>1</v>
      </c>
      <c r="J1880" s="7" t="n">
        <f aca="false">IF(I1880=1,D1880*F1880,0)</f>
        <v>0.78</v>
      </c>
      <c r="K1880" s="7" t="n">
        <f aca="false">YEAR(E1880)*100+MONTH(E1880)</f>
        <v>201110</v>
      </c>
      <c r="L1880" s="7" t="n">
        <f aca="false">IF(AND(A1880&lt;&gt;A1879,LEFT(A1880,1)&lt;&gt;"C"),1,0)</f>
        <v>0</v>
      </c>
    </row>
    <row r="1881" customFormat="false" ht="15" hidden="false" customHeight="false" outlineLevel="0" collapsed="false">
      <c r="A1881" s="0" t="s">
        <v>1633</v>
      </c>
      <c r="B1881" s="0" t="s">
        <v>1638</v>
      </c>
      <c r="C1881" s="0" t="s">
        <v>1639</v>
      </c>
      <c r="D1881" s="0" t="n">
        <v>7</v>
      </c>
      <c r="E1881" s="6" t="n">
        <v>40819.5736111111</v>
      </c>
      <c r="F1881" s="0" t="n">
        <v>1.25</v>
      </c>
      <c r="G1881" s="0" t="n">
        <v>12637</v>
      </c>
      <c r="H1881" s="0" t="s">
        <v>43</v>
      </c>
      <c r="I1881" s="7" t="n">
        <f aca="false">IF(AND(LEFT(A1881,1)&lt;&gt;"C",D1881&gt;0,F1881&gt;0),1,0)</f>
        <v>1</v>
      </c>
      <c r="J1881" s="7" t="n">
        <f aca="false">IF(I1881=1,D1881*F1881,0)</f>
        <v>8.75</v>
      </c>
      <c r="K1881" s="7" t="n">
        <f aca="false">YEAR(E1881)*100+MONTH(E1881)</f>
        <v>201110</v>
      </c>
      <c r="L1881" s="7" t="n">
        <f aca="false">IF(AND(A1881&lt;&gt;A1880,LEFT(A1881,1)&lt;&gt;"C"),1,0)</f>
        <v>0</v>
      </c>
    </row>
    <row r="1882" customFormat="false" ht="15" hidden="false" customHeight="false" outlineLevel="0" collapsed="false">
      <c r="A1882" s="0" t="s">
        <v>1633</v>
      </c>
      <c r="B1882" s="0" t="s">
        <v>1640</v>
      </c>
      <c r="C1882" s="0" t="s">
        <v>1641</v>
      </c>
      <c r="D1882" s="0" t="n">
        <v>7</v>
      </c>
      <c r="E1882" s="6" t="n">
        <v>40819.5736111111</v>
      </c>
      <c r="F1882" s="0" t="n">
        <v>0.39</v>
      </c>
      <c r="G1882" s="0" t="n">
        <v>12637</v>
      </c>
      <c r="H1882" s="0" t="s">
        <v>43</v>
      </c>
      <c r="I1882" s="7" t="n">
        <f aca="false">IF(AND(LEFT(A1882,1)&lt;&gt;"C",D1882&gt;0,F1882&gt;0),1,0)</f>
        <v>1</v>
      </c>
      <c r="J1882" s="7" t="n">
        <f aca="false">IF(I1882=1,D1882*F1882,0)</f>
        <v>2.73</v>
      </c>
      <c r="K1882" s="7" t="n">
        <f aca="false">YEAR(E1882)*100+MONTH(E1882)</f>
        <v>201110</v>
      </c>
      <c r="L1882" s="7" t="n">
        <f aca="false">IF(AND(A1882&lt;&gt;A1881,LEFT(A1882,1)&lt;&gt;"C"),1,0)</f>
        <v>0</v>
      </c>
    </row>
    <row r="1883" customFormat="false" ht="15" hidden="false" customHeight="false" outlineLevel="0" collapsed="false">
      <c r="A1883" s="0" t="s">
        <v>1633</v>
      </c>
      <c r="B1883" s="0" t="s">
        <v>773</v>
      </c>
      <c r="C1883" s="0" t="s">
        <v>774</v>
      </c>
      <c r="D1883" s="0" t="n">
        <v>1</v>
      </c>
      <c r="E1883" s="6" t="n">
        <v>40819.5736111111</v>
      </c>
      <c r="F1883" s="0" t="n">
        <v>0.55</v>
      </c>
      <c r="G1883" s="0" t="n">
        <v>12637</v>
      </c>
      <c r="H1883" s="0" t="s">
        <v>43</v>
      </c>
      <c r="I1883" s="7" t="n">
        <f aca="false">IF(AND(LEFT(A1883,1)&lt;&gt;"C",D1883&gt;0,F1883&gt;0),1,0)</f>
        <v>1</v>
      </c>
      <c r="J1883" s="7" t="n">
        <f aca="false">IF(I1883=1,D1883*F1883,0)</f>
        <v>0.55</v>
      </c>
      <c r="K1883" s="7" t="n">
        <f aca="false">YEAR(E1883)*100+MONTH(E1883)</f>
        <v>201110</v>
      </c>
      <c r="L1883" s="7" t="n">
        <f aca="false">IF(AND(A1883&lt;&gt;A1882,LEFT(A1883,1)&lt;&gt;"C"),1,0)</f>
        <v>0</v>
      </c>
    </row>
    <row r="1884" customFormat="false" ht="15" hidden="false" customHeight="false" outlineLevel="0" collapsed="false">
      <c r="A1884" s="0" t="s">
        <v>1633</v>
      </c>
      <c r="B1884" s="0" t="s">
        <v>1300</v>
      </c>
      <c r="C1884" s="0" t="s">
        <v>1301</v>
      </c>
      <c r="D1884" s="0" t="n">
        <v>3</v>
      </c>
      <c r="E1884" s="6" t="n">
        <v>40819.5736111111</v>
      </c>
      <c r="F1884" s="0" t="n">
        <v>0.55</v>
      </c>
      <c r="G1884" s="0" t="n">
        <v>12637</v>
      </c>
      <c r="H1884" s="0" t="s">
        <v>43</v>
      </c>
      <c r="I1884" s="7" t="n">
        <f aca="false">IF(AND(LEFT(A1884,1)&lt;&gt;"C",D1884&gt;0,F1884&gt;0),1,0)</f>
        <v>1</v>
      </c>
      <c r="J1884" s="7" t="n">
        <f aca="false">IF(I1884=1,D1884*F1884,0)</f>
        <v>1.65</v>
      </c>
      <c r="K1884" s="7" t="n">
        <f aca="false">YEAR(E1884)*100+MONTH(E1884)</f>
        <v>201110</v>
      </c>
      <c r="L1884" s="7" t="n">
        <f aca="false">IF(AND(A1884&lt;&gt;A1883,LEFT(A1884,1)&lt;&gt;"C"),1,0)</f>
        <v>0</v>
      </c>
    </row>
    <row r="1885" customFormat="false" ht="15" hidden="false" customHeight="false" outlineLevel="0" collapsed="false">
      <c r="A1885" s="0" t="s">
        <v>1633</v>
      </c>
      <c r="B1885" s="0" t="s">
        <v>1000</v>
      </c>
      <c r="C1885" s="0" t="s">
        <v>1001</v>
      </c>
      <c r="D1885" s="0" t="n">
        <v>1</v>
      </c>
      <c r="E1885" s="6" t="n">
        <v>40819.5736111111</v>
      </c>
      <c r="F1885" s="0" t="n">
        <v>4.95</v>
      </c>
      <c r="G1885" s="0" t="n">
        <v>12637</v>
      </c>
      <c r="H1885" s="0" t="s">
        <v>43</v>
      </c>
      <c r="I1885" s="7" t="n">
        <f aca="false">IF(AND(LEFT(A1885,1)&lt;&gt;"C",D1885&gt;0,F1885&gt;0),1,0)</f>
        <v>1</v>
      </c>
      <c r="J1885" s="7" t="n">
        <f aca="false">IF(I1885=1,D1885*F1885,0)</f>
        <v>4.95</v>
      </c>
      <c r="K1885" s="7" t="n">
        <f aca="false">YEAR(E1885)*100+MONTH(E1885)</f>
        <v>201110</v>
      </c>
      <c r="L1885" s="7" t="n">
        <f aca="false">IF(AND(A1885&lt;&gt;A1884,LEFT(A1885,1)&lt;&gt;"C"),1,0)</f>
        <v>0</v>
      </c>
    </row>
    <row r="1886" customFormat="false" ht="15" hidden="false" customHeight="false" outlineLevel="0" collapsed="false">
      <c r="A1886" s="0" t="s">
        <v>1633</v>
      </c>
      <c r="B1886" s="0" t="s">
        <v>703</v>
      </c>
      <c r="C1886" s="0" t="s">
        <v>704</v>
      </c>
      <c r="D1886" s="0" t="n">
        <v>6</v>
      </c>
      <c r="E1886" s="6" t="n">
        <v>40819.5736111111</v>
      </c>
      <c r="F1886" s="0" t="n">
        <v>1.45</v>
      </c>
      <c r="G1886" s="0" t="n">
        <v>12637</v>
      </c>
      <c r="H1886" s="0" t="s">
        <v>43</v>
      </c>
      <c r="I1886" s="7" t="n">
        <f aca="false">IF(AND(LEFT(A1886,1)&lt;&gt;"C",D1886&gt;0,F1886&gt;0),1,0)</f>
        <v>1</v>
      </c>
      <c r="J1886" s="7" t="n">
        <f aca="false">IF(I1886=1,D1886*F1886,0)</f>
        <v>8.7</v>
      </c>
      <c r="K1886" s="7" t="n">
        <f aca="false">YEAR(E1886)*100+MONTH(E1886)</f>
        <v>201110</v>
      </c>
      <c r="L1886" s="7" t="n">
        <f aca="false">IF(AND(A1886&lt;&gt;A1885,LEFT(A1886,1)&lt;&gt;"C"),1,0)</f>
        <v>0</v>
      </c>
    </row>
    <row r="1887" customFormat="false" ht="15" hidden="false" customHeight="false" outlineLevel="0" collapsed="false">
      <c r="A1887" s="0" t="s">
        <v>1633</v>
      </c>
      <c r="B1887" s="0" t="s">
        <v>1642</v>
      </c>
      <c r="C1887" s="0" t="s">
        <v>1643</v>
      </c>
      <c r="D1887" s="0" t="n">
        <v>4</v>
      </c>
      <c r="E1887" s="6" t="n">
        <v>40819.5736111111</v>
      </c>
      <c r="F1887" s="0" t="n">
        <v>0.42</v>
      </c>
      <c r="G1887" s="0" t="n">
        <v>12637</v>
      </c>
      <c r="H1887" s="0" t="s">
        <v>43</v>
      </c>
      <c r="I1887" s="7" t="n">
        <f aca="false">IF(AND(LEFT(A1887,1)&lt;&gt;"C",D1887&gt;0,F1887&gt;0),1,0)</f>
        <v>1</v>
      </c>
      <c r="J1887" s="7" t="n">
        <f aca="false">IF(I1887=1,D1887*F1887,0)</f>
        <v>1.68</v>
      </c>
      <c r="K1887" s="7" t="n">
        <f aca="false">YEAR(E1887)*100+MONTH(E1887)</f>
        <v>201110</v>
      </c>
      <c r="L1887" s="7" t="n">
        <f aca="false">IF(AND(A1887&lt;&gt;A1886,LEFT(A1887,1)&lt;&gt;"C"),1,0)</f>
        <v>0</v>
      </c>
    </row>
    <row r="1888" customFormat="false" ht="15" hidden="false" customHeight="false" outlineLevel="0" collapsed="false">
      <c r="A1888" s="0" t="s">
        <v>1633</v>
      </c>
      <c r="B1888" s="0" t="s">
        <v>1644</v>
      </c>
      <c r="C1888" s="0" t="s">
        <v>1645</v>
      </c>
      <c r="D1888" s="0" t="n">
        <v>4</v>
      </c>
      <c r="E1888" s="6" t="n">
        <v>40819.5736111111</v>
      </c>
      <c r="F1888" s="0" t="n">
        <v>0.42</v>
      </c>
      <c r="G1888" s="0" t="n">
        <v>12637</v>
      </c>
      <c r="H1888" s="0" t="s">
        <v>43</v>
      </c>
      <c r="I1888" s="7" t="n">
        <f aca="false">IF(AND(LEFT(A1888,1)&lt;&gt;"C",D1888&gt;0,F1888&gt;0),1,0)</f>
        <v>1</v>
      </c>
      <c r="J1888" s="7" t="n">
        <f aca="false">IF(I1888=1,D1888*F1888,0)</f>
        <v>1.68</v>
      </c>
      <c r="K1888" s="7" t="n">
        <f aca="false">YEAR(E1888)*100+MONTH(E1888)</f>
        <v>201110</v>
      </c>
      <c r="L1888" s="7" t="n">
        <f aca="false">IF(AND(A1888&lt;&gt;A1887,LEFT(A1888,1)&lt;&gt;"C"),1,0)</f>
        <v>0</v>
      </c>
    </row>
    <row r="1889" customFormat="false" ht="15" hidden="false" customHeight="false" outlineLevel="0" collapsed="false">
      <c r="A1889" s="0" t="s">
        <v>1633</v>
      </c>
      <c r="B1889" s="0" t="s">
        <v>97</v>
      </c>
      <c r="C1889" s="0" t="s">
        <v>98</v>
      </c>
      <c r="D1889" s="0" t="n">
        <v>2</v>
      </c>
      <c r="E1889" s="6" t="n">
        <v>40819.5736111111</v>
      </c>
      <c r="F1889" s="0" t="n">
        <v>1.65</v>
      </c>
      <c r="G1889" s="0" t="n">
        <v>12637</v>
      </c>
      <c r="H1889" s="0" t="s">
        <v>43</v>
      </c>
      <c r="I1889" s="7" t="n">
        <f aca="false">IF(AND(LEFT(A1889,1)&lt;&gt;"C",D1889&gt;0,F1889&gt;0),1,0)</f>
        <v>1</v>
      </c>
      <c r="J1889" s="7" t="n">
        <f aca="false">IF(I1889=1,D1889*F1889,0)</f>
        <v>3.3</v>
      </c>
      <c r="K1889" s="7" t="n">
        <f aca="false">YEAR(E1889)*100+MONTH(E1889)</f>
        <v>201110</v>
      </c>
      <c r="L1889" s="7" t="n">
        <f aca="false">IF(AND(A1889&lt;&gt;A1888,LEFT(A1889,1)&lt;&gt;"C"),1,0)</f>
        <v>0</v>
      </c>
    </row>
    <row r="1890" customFormat="false" ht="15" hidden="false" customHeight="false" outlineLevel="0" collapsed="false">
      <c r="A1890" s="0" t="s">
        <v>1633</v>
      </c>
      <c r="B1890" s="0" t="s">
        <v>610</v>
      </c>
      <c r="C1890" s="0" t="s">
        <v>611</v>
      </c>
      <c r="D1890" s="0" t="n">
        <v>1</v>
      </c>
      <c r="E1890" s="6" t="n">
        <v>40819.5736111111</v>
      </c>
      <c r="F1890" s="0" t="n">
        <v>2.95</v>
      </c>
      <c r="G1890" s="0" t="n">
        <v>12637</v>
      </c>
      <c r="H1890" s="0" t="s">
        <v>43</v>
      </c>
      <c r="I1890" s="7" t="n">
        <f aca="false">IF(AND(LEFT(A1890,1)&lt;&gt;"C",D1890&gt;0,F1890&gt;0),1,0)</f>
        <v>1</v>
      </c>
      <c r="J1890" s="7" t="n">
        <f aca="false">IF(I1890=1,D1890*F1890,0)</f>
        <v>2.95</v>
      </c>
      <c r="K1890" s="7" t="n">
        <f aca="false">YEAR(E1890)*100+MONTH(E1890)</f>
        <v>201110</v>
      </c>
      <c r="L1890" s="7" t="n">
        <f aca="false">IF(AND(A1890&lt;&gt;A1889,LEFT(A1890,1)&lt;&gt;"C"),1,0)</f>
        <v>0</v>
      </c>
    </row>
    <row r="1891" customFormat="false" ht="15" hidden="false" customHeight="false" outlineLevel="0" collapsed="false">
      <c r="A1891" s="0" t="s">
        <v>1633</v>
      </c>
      <c r="B1891" s="0" t="s">
        <v>1401</v>
      </c>
      <c r="C1891" s="0" t="s">
        <v>1402</v>
      </c>
      <c r="D1891" s="0" t="n">
        <v>2</v>
      </c>
      <c r="E1891" s="6" t="n">
        <v>40819.5736111111</v>
      </c>
      <c r="F1891" s="0" t="n">
        <v>1.65</v>
      </c>
      <c r="G1891" s="0" t="n">
        <v>12637</v>
      </c>
      <c r="H1891" s="0" t="s">
        <v>43</v>
      </c>
      <c r="I1891" s="7" t="n">
        <f aca="false">IF(AND(LEFT(A1891,1)&lt;&gt;"C",D1891&gt;0,F1891&gt;0),1,0)</f>
        <v>1</v>
      </c>
      <c r="J1891" s="7" t="n">
        <f aca="false">IF(I1891=1,D1891*F1891,0)</f>
        <v>3.3</v>
      </c>
      <c r="K1891" s="7" t="n">
        <f aca="false">YEAR(E1891)*100+MONTH(E1891)</f>
        <v>201110</v>
      </c>
      <c r="L1891" s="7" t="n">
        <f aca="false">IF(AND(A1891&lt;&gt;A1890,LEFT(A1891,1)&lt;&gt;"C"),1,0)</f>
        <v>0</v>
      </c>
    </row>
    <row r="1892" customFormat="false" ht="15" hidden="false" customHeight="false" outlineLevel="0" collapsed="false">
      <c r="A1892" s="0" t="s">
        <v>1633</v>
      </c>
      <c r="B1892" s="0" t="s">
        <v>1600</v>
      </c>
      <c r="C1892" s="0" t="s">
        <v>1601</v>
      </c>
      <c r="D1892" s="0" t="n">
        <v>4</v>
      </c>
      <c r="E1892" s="6" t="n">
        <v>40819.5736111111</v>
      </c>
      <c r="F1892" s="0" t="n">
        <v>1.95</v>
      </c>
      <c r="G1892" s="0" t="n">
        <v>12637</v>
      </c>
      <c r="H1892" s="0" t="s">
        <v>43</v>
      </c>
      <c r="I1892" s="7" t="n">
        <f aca="false">IF(AND(LEFT(A1892,1)&lt;&gt;"C",D1892&gt;0,F1892&gt;0),1,0)</f>
        <v>1</v>
      </c>
      <c r="J1892" s="7" t="n">
        <f aca="false">IF(I1892=1,D1892*F1892,0)</f>
        <v>7.8</v>
      </c>
      <c r="K1892" s="7" t="n">
        <f aca="false">YEAR(E1892)*100+MONTH(E1892)</f>
        <v>201110</v>
      </c>
      <c r="L1892" s="7" t="n">
        <f aca="false">IF(AND(A1892&lt;&gt;A1891,LEFT(A1892,1)&lt;&gt;"C"),1,0)</f>
        <v>0</v>
      </c>
    </row>
    <row r="1893" customFormat="false" ht="15" hidden="false" customHeight="false" outlineLevel="0" collapsed="false">
      <c r="A1893" s="0" t="s">
        <v>1633</v>
      </c>
      <c r="B1893" s="0" t="s">
        <v>335</v>
      </c>
      <c r="C1893" s="0" t="s">
        <v>336</v>
      </c>
      <c r="D1893" s="0" t="n">
        <v>2</v>
      </c>
      <c r="E1893" s="6" t="n">
        <v>40819.5736111111</v>
      </c>
      <c r="F1893" s="0" t="n">
        <v>1.65</v>
      </c>
      <c r="G1893" s="0" t="n">
        <v>12637</v>
      </c>
      <c r="H1893" s="0" t="s">
        <v>43</v>
      </c>
      <c r="I1893" s="7" t="n">
        <f aca="false">IF(AND(LEFT(A1893,1)&lt;&gt;"C",D1893&gt;0,F1893&gt;0),1,0)</f>
        <v>1</v>
      </c>
      <c r="J1893" s="7" t="n">
        <f aca="false">IF(I1893=1,D1893*F1893,0)</f>
        <v>3.3</v>
      </c>
      <c r="K1893" s="7" t="n">
        <f aca="false">YEAR(E1893)*100+MONTH(E1893)</f>
        <v>201110</v>
      </c>
      <c r="L1893" s="7" t="n">
        <f aca="false">IF(AND(A1893&lt;&gt;A1892,LEFT(A1893,1)&lt;&gt;"C"),1,0)</f>
        <v>0</v>
      </c>
    </row>
    <row r="1894" customFormat="false" ht="15" hidden="false" customHeight="false" outlineLevel="0" collapsed="false">
      <c r="A1894" s="0" t="s">
        <v>1633</v>
      </c>
      <c r="B1894" s="0" t="s">
        <v>471</v>
      </c>
      <c r="C1894" s="0" t="s">
        <v>472</v>
      </c>
      <c r="D1894" s="0" t="n">
        <v>2</v>
      </c>
      <c r="E1894" s="6" t="n">
        <v>40819.5736111111</v>
      </c>
      <c r="F1894" s="0" t="n">
        <v>1.65</v>
      </c>
      <c r="G1894" s="0" t="n">
        <v>12637</v>
      </c>
      <c r="H1894" s="0" t="s">
        <v>43</v>
      </c>
      <c r="I1894" s="7" t="n">
        <f aca="false">IF(AND(LEFT(A1894,1)&lt;&gt;"C",D1894&gt;0,F1894&gt;0),1,0)</f>
        <v>1</v>
      </c>
      <c r="J1894" s="7" t="n">
        <f aca="false">IF(I1894=1,D1894*F1894,0)</f>
        <v>3.3</v>
      </c>
      <c r="K1894" s="7" t="n">
        <f aca="false">YEAR(E1894)*100+MONTH(E1894)</f>
        <v>201110</v>
      </c>
      <c r="L1894" s="7" t="n">
        <f aca="false">IF(AND(A1894&lt;&gt;A1893,LEFT(A1894,1)&lt;&gt;"C"),1,0)</f>
        <v>0</v>
      </c>
    </row>
    <row r="1895" customFormat="false" ht="15" hidden="false" customHeight="false" outlineLevel="0" collapsed="false">
      <c r="A1895" s="0" t="s">
        <v>1633</v>
      </c>
      <c r="B1895" s="0" t="s">
        <v>333</v>
      </c>
      <c r="C1895" s="0" t="s">
        <v>334</v>
      </c>
      <c r="D1895" s="0" t="n">
        <v>2</v>
      </c>
      <c r="E1895" s="6" t="n">
        <v>40819.5736111111</v>
      </c>
      <c r="F1895" s="0" t="n">
        <v>1.65</v>
      </c>
      <c r="G1895" s="0" t="n">
        <v>12637</v>
      </c>
      <c r="H1895" s="0" t="s">
        <v>43</v>
      </c>
      <c r="I1895" s="7" t="n">
        <f aca="false">IF(AND(LEFT(A1895,1)&lt;&gt;"C",D1895&gt;0,F1895&gt;0),1,0)</f>
        <v>1</v>
      </c>
      <c r="J1895" s="7" t="n">
        <f aca="false">IF(I1895=1,D1895*F1895,0)</f>
        <v>3.3</v>
      </c>
      <c r="K1895" s="7" t="n">
        <f aca="false">YEAR(E1895)*100+MONTH(E1895)</f>
        <v>201110</v>
      </c>
      <c r="L1895" s="7" t="n">
        <f aca="false">IF(AND(A1895&lt;&gt;A1894,LEFT(A1895,1)&lt;&gt;"C"),1,0)</f>
        <v>0</v>
      </c>
    </row>
    <row r="1896" customFormat="false" ht="15" hidden="false" customHeight="false" outlineLevel="0" collapsed="false">
      <c r="A1896" s="0" t="s">
        <v>1633</v>
      </c>
      <c r="B1896" s="0" t="s">
        <v>35</v>
      </c>
      <c r="C1896" s="0" t="s">
        <v>36</v>
      </c>
      <c r="D1896" s="0" t="n">
        <v>1</v>
      </c>
      <c r="E1896" s="6" t="n">
        <v>40819.5736111111</v>
      </c>
      <c r="F1896" s="0" t="n">
        <v>1.65</v>
      </c>
      <c r="G1896" s="0" t="n">
        <v>12637</v>
      </c>
      <c r="H1896" s="0" t="s">
        <v>43</v>
      </c>
      <c r="I1896" s="7" t="n">
        <f aca="false">IF(AND(LEFT(A1896,1)&lt;&gt;"C",D1896&gt;0,F1896&gt;0),1,0)</f>
        <v>1</v>
      </c>
      <c r="J1896" s="7" t="n">
        <f aca="false">IF(I1896=1,D1896*F1896,0)</f>
        <v>1.65</v>
      </c>
      <c r="K1896" s="7" t="n">
        <f aca="false">YEAR(E1896)*100+MONTH(E1896)</f>
        <v>201110</v>
      </c>
      <c r="L1896" s="7" t="n">
        <f aca="false">IF(AND(A1896&lt;&gt;A1895,LEFT(A1896,1)&lt;&gt;"C"),1,0)</f>
        <v>0</v>
      </c>
    </row>
    <row r="1897" customFormat="false" ht="15" hidden="false" customHeight="false" outlineLevel="0" collapsed="false">
      <c r="A1897" s="0" t="s">
        <v>1633</v>
      </c>
      <c r="B1897" s="0" t="s">
        <v>651</v>
      </c>
      <c r="C1897" s="0" t="s">
        <v>652</v>
      </c>
      <c r="D1897" s="0" t="n">
        <v>1</v>
      </c>
      <c r="E1897" s="6" t="n">
        <v>40819.5736111111</v>
      </c>
      <c r="F1897" s="0" t="n">
        <v>1.65</v>
      </c>
      <c r="G1897" s="0" t="n">
        <v>12637</v>
      </c>
      <c r="H1897" s="0" t="s">
        <v>43</v>
      </c>
      <c r="I1897" s="7" t="n">
        <f aca="false">IF(AND(LEFT(A1897,1)&lt;&gt;"C",D1897&gt;0,F1897&gt;0),1,0)</f>
        <v>1</v>
      </c>
      <c r="J1897" s="7" t="n">
        <f aca="false">IF(I1897=1,D1897*F1897,0)</f>
        <v>1.65</v>
      </c>
      <c r="K1897" s="7" t="n">
        <f aca="false">YEAR(E1897)*100+MONTH(E1897)</f>
        <v>201110</v>
      </c>
      <c r="L1897" s="7" t="n">
        <f aca="false">IF(AND(A1897&lt;&gt;A1896,LEFT(A1897,1)&lt;&gt;"C"),1,0)</f>
        <v>0</v>
      </c>
    </row>
    <row r="1898" customFormat="false" ht="15" hidden="false" customHeight="false" outlineLevel="0" collapsed="false">
      <c r="A1898" s="0" t="s">
        <v>1633</v>
      </c>
      <c r="B1898" s="0" t="s">
        <v>121</v>
      </c>
      <c r="C1898" s="0" t="s">
        <v>122</v>
      </c>
      <c r="D1898" s="0" t="n">
        <v>3</v>
      </c>
      <c r="E1898" s="6" t="n">
        <v>40819.5736111111</v>
      </c>
      <c r="F1898" s="0" t="n">
        <v>1.65</v>
      </c>
      <c r="G1898" s="0" t="n">
        <v>12637</v>
      </c>
      <c r="H1898" s="0" t="s">
        <v>43</v>
      </c>
      <c r="I1898" s="7" t="n">
        <f aca="false">IF(AND(LEFT(A1898,1)&lt;&gt;"C",D1898&gt;0,F1898&gt;0),1,0)</f>
        <v>1</v>
      </c>
      <c r="J1898" s="7" t="n">
        <f aca="false">IF(I1898=1,D1898*F1898,0)</f>
        <v>4.95</v>
      </c>
      <c r="K1898" s="7" t="n">
        <f aca="false">YEAR(E1898)*100+MONTH(E1898)</f>
        <v>201110</v>
      </c>
      <c r="L1898" s="7" t="n">
        <f aca="false">IF(AND(A1898&lt;&gt;A1897,LEFT(A1898,1)&lt;&gt;"C"),1,0)</f>
        <v>0</v>
      </c>
    </row>
    <row r="1899" customFormat="false" ht="15" hidden="false" customHeight="false" outlineLevel="0" collapsed="false">
      <c r="A1899" s="0" t="s">
        <v>1633</v>
      </c>
      <c r="B1899" s="0" t="s">
        <v>1085</v>
      </c>
      <c r="C1899" s="0" t="s">
        <v>1086</v>
      </c>
      <c r="D1899" s="0" t="n">
        <v>2</v>
      </c>
      <c r="E1899" s="6" t="n">
        <v>40819.5736111111</v>
      </c>
      <c r="F1899" s="0" t="n">
        <v>1.65</v>
      </c>
      <c r="G1899" s="0" t="n">
        <v>12637</v>
      </c>
      <c r="H1899" s="0" t="s">
        <v>43</v>
      </c>
      <c r="I1899" s="7" t="n">
        <f aca="false">IF(AND(LEFT(A1899,1)&lt;&gt;"C",D1899&gt;0,F1899&gt;0),1,0)</f>
        <v>1</v>
      </c>
      <c r="J1899" s="7" t="n">
        <f aca="false">IF(I1899=1,D1899*F1899,0)</f>
        <v>3.3</v>
      </c>
      <c r="K1899" s="7" t="n">
        <f aca="false">YEAR(E1899)*100+MONTH(E1899)</f>
        <v>201110</v>
      </c>
      <c r="L1899" s="7" t="n">
        <f aca="false">IF(AND(A1899&lt;&gt;A1898,LEFT(A1899,1)&lt;&gt;"C"),1,0)</f>
        <v>0</v>
      </c>
    </row>
    <row r="1900" customFormat="false" ht="15" hidden="false" customHeight="false" outlineLevel="0" collapsed="false">
      <c r="A1900" s="0" t="s">
        <v>1633</v>
      </c>
      <c r="B1900" s="0" t="s">
        <v>1077</v>
      </c>
      <c r="C1900" s="0" t="s">
        <v>1078</v>
      </c>
      <c r="D1900" s="0" t="n">
        <v>3</v>
      </c>
      <c r="E1900" s="6" t="n">
        <v>40819.5736111111</v>
      </c>
      <c r="F1900" s="0" t="n">
        <v>2.08</v>
      </c>
      <c r="G1900" s="0" t="n">
        <v>12637</v>
      </c>
      <c r="H1900" s="0" t="s">
        <v>43</v>
      </c>
      <c r="I1900" s="7" t="n">
        <f aca="false">IF(AND(LEFT(A1900,1)&lt;&gt;"C",D1900&gt;0,F1900&gt;0),1,0)</f>
        <v>1</v>
      </c>
      <c r="J1900" s="7" t="n">
        <f aca="false">IF(I1900=1,D1900*F1900,0)</f>
        <v>6.24</v>
      </c>
      <c r="K1900" s="7" t="n">
        <f aca="false">YEAR(E1900)*100+MONTH(E1900)</f>
        <v>201110</v>
      </c>
      <c r="L1900" s="7" t="n">
        <f aca="false">IF(AND(A1900&lt;&gt;A1899,LEFT(A1900,1)&lt;&gt;"C"),1,0)</f>
        <v>0</v>
      </c>
    </row>
    <row r="1901" customFormat="false" ht="15" hidden="false" customHeight="false" outlineLevel="0" collapsed="false">
      <c r="A1901" s="0" t="s">
        <v>1633</v>
      </c>
      <c r="B1901" s="0" t="s">
        <v>631</v>
      </c>
      <c r="C1901" s="0" t="s">
        <v>632</v>
      </c>
      <c r="D1901" s="0" t="n">
        <v>2</v>
      </c>
      <c r="E1901" s="6" t="n">
        <v>40819.5736111111</v>
      </c>
      <c r="F1901" s="0" t="n">
        <v>2.08</v>
      </c>
      <c r="G1901" s="0" t="n">
        <v>12637</v>
      </c>
      <c r="H1901" s="0" t="s">
        <v>43</v>
      </c>
      <c r="I1901" s="7" t="n">
        <f aca="false">IF(AND(LEFT(A1901,1)&lt;&gt;"C",D1901&gt;0,F1901&gt;0),1,0)</f>
        <v>1</v>
      </c>
      <c r="J1901" s="7" t="n">
        <f aca="false">IF(I1901=1,D1901*F1901,0)</f>
        <v>4.16</v>
      </c>
      <c r="K1901" s="7" t="n">
        <f aca="false">YEAR(E1901)*100+MONTH(E1901)</f>
        <v>201110</v>
      </c>
      <c r="L1901" s="7" t="n">
        <f aca="false">IF(AND(A1901&lt;&gt;A1900,LEFT(A1901,1)&lt;&gt;"C"),1,0)</f>
        <v>0</v>
      </c>
    </row>
    <row r="1902" customFormat="false" ht="15" hidden="false" customHeight="false" outlineLevel="0" collapsed="false">
      <c r="A1902" s="0" t="s">
        <v>1633</v>
      </c>
      <c r="B1902" s="0" t="s">
        <v>1210</v>
      </c>
      <c r="C1902" s="0" t="s">
        <v>1211</v>
      </c>
      <c r="D1902" s="0" t="n">
        <v>2</v>
      </c>
      <c r="E1902" s="6" t="n">
        <v>40819.5736111111</v>
      </c>
      <c r="F1902" s="0" t="n">
        <v>1.65</v>
      </c>
      <c r="G1902" s="0" t="n">
        <v>12637</v>
      </c>
      <c r="H1902" s="0" t="s">
        <v>43</v>
      </c>
      <c r="I1902" s="7" t="n">
        <f aca="false">IF(AND(LEFT(A1902,1)&lt;&gt;"C",D1902&gt;0,F1902&gt;0),1,0)</f>
        <v>1</v>
      </c>
      <c r="J1902" s="7" t="n">
        <f aca="false">IF(I1902=1,D1902*F1902,0)</f>
        <v>3.3</v>
      </c>
      <c r="K1902" s="7" t="n">
        <f aca="false">YEAR(E1902)*100+MONTH(E1902)</f>
        <v>201110</v>
      </c>
      <c r="L1902" s="7" t="n">
        <f aca="false">IF(AND(A1902&lt;&gt;A1901,LEFT(A1902,1)&lt;&gt;"C"),1,0)</f>
        <v>0</v>
      </c>
    </row>
    <row r="1903" customFormat="false" ht="15" hidden="false" customHeight="false" outlineLevel="0" collapsed="false">
      <c r="A1903" s="0" t="s">
        <v>1633</v>
      </c>
      <c r="B1903" s="0" t="s">
        <v>1646</v>
      </c>
      <c r="C1903" s="0" t="s">
        <v>1647</v>
      </c>
      <c r="D1903" s="0" t="n">
        <v>2</v>
      </c>
      <c r="E1903" s="6" t="n">
        <v>40819.5736111111</v>
      </c>
      <c r="F1903" s="0" t="n">
        <v>1.65</v>
      </c>
      <c r="G1903" s="0" t="n">
        <v>12637</v>
      </c>
      <c r="H1903" s="0" t="s">
        <v>43</v>
      </c>
      <c r="I1903" s="7" t="n">
        <f aca="false">IF(AND(LEFT(A1903,1)&lt;&gt;"C",D1903&gt;0,F1903&gt;0),1,0)</f>
        <v>1</v>
      </c>
      <c r="J1903" s="7" t="n">
        <f aca="false">IF(I1903=1,D1903*F1903,0)</f>
        <v>3.3</v>
      </c>
      <c r="K1903" s="7" t="n">
        <f aca="false">YEAR(E1903)*100+MONTH(E1903)</f>
        <v>201110</v>
      </c>
      <c r="L1903" s="7" t="n">
        <f aca="false">IF(AND(A1903&lt;&gt;A1902,LEFT(A1903,1)&lt;&gt;"C"),1,0)</f>
        <v>0</v>
      </c>
    </row>
    <row r="1904" customFormat="false" ht="15" hidden="false" customHeight="false" outlineLevel="0" collapsed="false">
      <c r="A1904" s="0" t="s">
        <v>1633</v>
      </c>
      <c r="B1904" s="0" t="s">
        <v>68</v>
      </c>
      <c r="C1904" s="0" t="s">
        <v>69</v>
      </c>
      <c r="D1904" s="0" t="n">
        <v>4</v>
      </c>
      <c r="E1904" s="6" t="n">
        <v>40819.5736111111</v>
      </c>
      <c r="F1904" s="0" t="n">
        <v>1.65</v>
      </c>
      <c r="G1904" s="0" t="n">
        <v>12637</v>
      </c>
      <c r="H1904" s="0" t="s">
        <v>43</v>
      </c>
      <c r="I1904" s="7" t="n">
        <f aca="false">IF(AND(LEFT(A1904,1)&lt;&gt;"C",D1904&gt;0,F1904&gt;0),1,0)</f>
        <v>1</v>
      </c>
      <c r="J1904" s="7" t="n">
        <f aca="false">IF(I1904=1,D1904*F1904,0)</f>
        <v>6.6</v>
      </c>
      <c r="K1904" s="7" t="n">
        <f aca="false">YEAR(E1904)*100+MONTH(E1904)</f>
        <v>201110</v>
      </c>
      <c r="L1904" s="7" t="n">
        <f aca="false">IF(AND(A1904&lt;&gt;A1903,LEFT(A1904,1)&lt;&gt;"C"),1,0)</f>
        <v>0</v>
      </c>
    </row>
    <row r="1905" customFormat="false" ht="15" hidden="false" customHeight="false" outlineLevel="0" collapsed="false">
      <c r="A1905" s="0" t="s">
        <v>1633</v>
      </c>
      <c r="B1905" s="0" t="s">
        <v>70</v>
      </c>
      <c r="C1905" s="0" t="s">
        <v>71</v>
      </c>
      <c r="D1905" s="0" t="n">
        <v>2</v>
      </c>
      <c r="E1905" s="6" t="n">
        <v>40819.5736111111</v>
      </c>
      <c r="F1905" s="0" t="n">
        <v>1.65</v>
      </c>
      <c r="G1905" s="0" t="n">
        <v>12637</v>
      </c>
      <c r="H1905" s="0" t="s">
        <v>43</v>
      </c>
      <c r="I1905" s="7" t="n">
        <f aca="false">IF(AND(LEFT(A1905,1)&lt;&gt;"C",D1905&gt;0,F1905&gt;0),1,0)</f>
        <v>1</v>
      </c>
      <c r="J1905" s="7" t="n">
        <f aca="false">IF(I1905=1,D1905*F1905,0)</f>
        <v>3.3</v>
      </c>
      <c r="K1905" s="7" t="n">
        <f aca="false">YEAR(E1905)*100+MONTH(E1905)</f>
        <v>201110</v>
      </c>
      <c r="L1905" s="7" t="n">
        <f aca="false">IF(AND(A1905&lt;&gt;A1904,LEFT(A1905,1)&lt;&gt;"C"),1,0)</f>
        <v>0</v>
      </c>
    </row>
    <row r="1906" customFormat="false" ht="15" hidden="false" customHeight="false" outlineLevel="0" collapsed="false">
      <c r="A1906" s="0" t="s">
        <v>1633</v>
      </c>
      <c r="B1906" s="0" t="s">
        <v>56</v>
      </c>
      <c r="C1906" s="0" t="s">
        <v>57</v>
      </c>
      <c r="D1906" s="0" t="n">
        <v>2</v>
      </c>
      <c r="E1906" s="6" t="n">
        <v>40819.5736111111</v>
      </c>
      <c r="F1906" s="0" t="n">
        <v>1.65</v>
      </c>
      <c r="G1906" s="0" t="n">
        <v>12637</v>
      </c>
      <c r="H1906" s="0" t="s">
        <v>43</v>
      </c>
      <c r="I1906" s="7" t="n">
        <f aca="false">IF(AND(LEFT(A1906,1)&lt;&gt;"C",D1906&gt;0,F1906&gt;0),1,0)</f>
        <v>1</v>
      </c>
      <c r="J1906" s="7" t="n">
        <f aca="false">IF(I1906=1,D1906*F1906,0)</f>
        <v>3.3</v>
      </c>
      <c r="K1906" s="7" t="n">
        <f aca="false">YEAR(E1906)*100+MONTH(E1906)</f>
        <v>201110</v>
      </c>
      <c r="L1906" s="7" t="n">
        <f aca="false">IF(AND(A1906&lt;&gt;A1905,LEFT(A1906,1)&lt;&gt;"C"),1,0)</f>
        <v>0</v>
      </c>
    </row>
    <row r="1907" customFormat="false" ht="15" hidden="false" customHeight="false" outlineLevel="0" collapsed="false">
      <c r="A1907" s="0" t="s">
        <v>1633</v>
      </c>
      <c r="B1907" s="0" t="s">
        <v>588</v>
      </c>
      <c r="C1907" s="0" t="s">
        <v>589</v>
      </c>
      <c r="D1907" s="0" t="n">
        <v>3</v>
      </c>
      <c r="E1907" s="6" t="n">
        <v>40819.5736111111</v>
      </c>
      <c r="F1907" s="0" t="n">
        <v>1.65</v>
      </c>
      <c r="G1907" s="0" t="n">
        <v>12637</v>
      </c>
      <c r="H1907" s="0" t="s">
        <v>43</v>
      </c>
      <c r="I1907" s="7" t="n">
        <f aca="false">IF(AND(LEFT(A1907,1)&lt;&gt;"C",D1907&gt;0,F1907&gt;0),1,0)</f>
        <v>1</v>
      </c>
      <c r="J1907" s="7" t="n">
        <f aca="false">IF(I1907=1,D1907*F1907,0)</f>
        <v>4.95</v>
      </c>
      <c r="K1907" s="7" t="n">
        <f aca="false">YEAR(E1907)*100+MONTH(E1907)</f>
        <v>201110</v>
      </c>
      <c r="L1907" s="7" t="n">
        <f aca="false">IF(AND(A1907&lt;&gt;A1906,LEFT(A1907,1)&lt;&gt;"C"),1,0)</f>
        <v>0</v>
      </c>
    </row>
    <row r="1908" customFormat="false" ht="15" hidden="false" customHeight="false" outlineLevel="0" collapsed="false">
      <c r="A1908" s="0" t="s">
        <v>1633</v>
      </c>
      <c r="B1908" s="0" t="s">
        <v>1648</v>
      </c>
      <c r="C1908" s="0" t="s">
        <v>1649</v>
      </c>
      <c r="D1908" s="0" t="n">
        <v>3</v>
      </c>
      <c r="E1908" s="6" t="n">
        <v>40819.5736111111</v>
      </c>
      <c r="F1908" s="0" t="n">
        <v>4.95</v>
      </c>
      <c r="G1908" s="0" t="n">
        <v>12637</v>
      </c>
      <c r="H1908" s="0" t="s">
        <v>43</v>
      </c>
      <c r="I1908" s="7" t="n">
        <f aca="false">IF(AND(LEFT(A1908,1)&lt;&gt;"C",D1908&gt;0,F1908&gt;0),1,0)</f>
        <v>1</v>
      </c>
      <c r="J1908" s="7" t="n">
        <f aca="false">IF(I1908=1,D1908*F1908,0)</f>
        <v>14.85</v>
      </c>
      <c r="K1908" s="7" t="n">
        <f aca="false">YEAR(E1908)*100+MONTH(E1908)</f>
        <v>201110</v>
      </c>
      <c r="L1908" s="7" t="n">
        <f aca="false">IF(AND(A1908&lt;&gt;A1907,LEFT(A1908,1)&lt;&gt;"C"),1,0)</f>
        <v>0</v>
      </c>
    </row>
    <row r="1909" customFormat="false" ht="15" hidden="false" customHeight="false" outlineLevel="0" collapsed="false">
      <c r="A1909" s="0" t="s">
        <v>1633</v>
      </c>
      <c r="B1909" s="0" t="s">
        <v>1650</v>
      </c>
      <c r="C1909" s="0" t="s">
        <v>1651</v>
      </c>
      <c r="D1909" s="0" t="n">
        <v>1</v>
      </c>
      <c r="E1909" s="6" t="n">
        <v>40819.5736111111</v>
      </c>
      <c r="F1909" s="0" t="n">
        <v>4.95</v>
      </c>
      <c r="G1909" s="0" t="n">
        <v>12637</v>
      </c>
      <c r="H1909" s="0" t="s">
        <v>43</v>
      </c>
      <c r="I1909" s="7" t="n">
        <f aca="false">IF(AND(LEFT(A1909,1)&lt;&gt;"C",D1909&gt;0,F1909&gt;0),1,0)</f>
        <v>1</v>
      </c>
      <c r="J1909" s="7" t="n">
        <f aca="false">IF(I1909=1,D1909*F1909,0)</f>
        <v>4.95</v>
      </c>
      <c r="K1909" s="7" t="n">
        <f aca="false">YEAR(E1909)*100+MONTH(E1909)</f>
        <v>201110</v>
      </c>
      <c r="L1909" s="7" t="n">
        <f aca="false">IF(AND(A1909&lt;&gt;A1908,LEFT(A1909,1)&lt;&gt;"C"),1,0)</f>
        <v>0</v>
      </c>
    </row>
    <row r="1910" customFormat="false" ht="15" hidden="false" customHeight="false" outlineLevel="0" collapsed="false">
      <c r="A1910" s="0" t="s">
        <v>1633</v>
      </c>
      <c r="B1910" s="0" t="s">
        <v>1652</v>
      </c>
      <c r="C1910" s="0" t="s">
        <v>1653</v>
      </c>
      <c r="D1910" s="0" t="n">
        <v>1</v>
      </c>
      <c r="E1910" s="6" t="n">
        <v>40819.5736111111</v>
      </c>
      <c r="F1910" s="0" t="n">
        <v>4.95</v>
      </c>
      <c r="G1910" s="0" t="n">
        <v>12637</v>
      </c>
      <c r="H1910" s="0" t="s">
        <v>43</v>
      </c>
      <c r="I1910" s="7" t="n">
        <f aca="false">IF(AND(LEFT(A1910,1)&lt;&gt;"C",D1910&gt;0,F1910&gt;0),1,0)</f>
        <v>1</v>
      </c>
      <c r="J1910" s="7" t="n">
        <f aca="false">IF(I1910=1,D1910*F1910,0)</f>
        <v>4.95</v>
      </c>
      <c r="K1910" s="7" t="n">
        <f aca="false">YEAR(E1910)*100+MONTH(E1910)</f>
        <v>201110</v>
      </c>
      <c r="L1910" s="7" t="n">
        <f aca="false">IF(AND(A1910&lt;&gt;A1909,LEFT(A1910,1)&lt;&gt;"C"),1,0)</f>
        <v>0</v>
      </c>
    </row>
    <row r="1911" customFormat="false" ht="15" hidden="false" customHeight="false" outlineLevel="0" collapsed="false">
      <c r="A1911" s="0" t="s">
        <v>1633</v>
      </c>
      <c r="B1911" s="0" t="s">
        <v>517</v>
      </c>
      <c r="C1911" s="0" t="s">
        <v>518</v>
      </c>
      <c r="D1911" s="0" t="n">
        <v>2</v>
      </c>
      <c r="E1911" s="6" t="n">
        <v>40819.5736111111</v>
      </c>
      <c r="F1911" s="0" t="n">
        <v>2.08</v>
      </c>
      <c r="G1911" s="0" t="n">
        <v>12637</v>
      </c>
      <c r="H1911" s="0" t="s">
        <v>43</v>
      </c>
      <c r="I1911" s="7" t="n">
        <f aca="false">IF(AND(LEFT(A1911,1)&lt;&gt;"C",D1911&gt;0,F1911&gt;0),1,0)</f>
        <v>1</v>
      </c>
      <c r="J1911" s="7" t="n">
        <f aca="false">IF(I1911=1,D1911*F1911,0)</f>
        <v>4.16</v>
      </c>
      <c r="K1911" s="7" t="n">
        <f aca="false">YEAR(E1911)*100+MONTH(E1911)</f>
        <v>201110</v>
      </c>
      <c r="L1911" s="7" t="n">
        <f aca="false">IF(AND(A1911&lt;&gt;A1910,LEFT(A1911,1)&lt;&gt;"C"),1,0)</f>
        <v>0</v>
      </c>
    </row>
    <row r="1912" customFormat="false" ht="15" hidden="false" customHeight="false" outlineLevel="0" collapsed="false">
      <c r="A1912" s="0" t="s">
        <v>1633</v>
      </c>
      <c r="B1912" s="0" t="s">
        <v>78</v>
      </c>
      <c r="C1912" s="0" t="s">
        <v>79</v>
      </c>
      <c r="D1912" s="0" t="n">
        <v>1</v>
      </c>
      <c r="E1912" s="6" t="n">
        <v>40819.5736111111</v>
      </c>
      <c r="F1912" s="0" t="n">
        <v>1.65</v>
      </c>
      <c r="G1912" s="0" t="n">
        <v>12637</v>
      </c>
      <c r="H1912" s="0" t="s">
        <v>43</v>
      </c>
      <c r="I1912" s="7" t="n">
        <f aca="false">IF(AND(LEFT(A1912,1)&lt;&gt;"C",D1912&gt;0,F1912&gt;0),1,0)</f>
        <v>1</v>
      </c>
      <c r="J1912" s="7" t="n">
        <f aca="false">IF(I1912=1,D1912*F1912,0)</f>
        <v>1.65</v>
      </c>
      <c r="K1912" s="7" t="n">
        <f aca="false">YEAR(E1912)*100+MONTH(E1912)</f>
        <v>201110</v>
      </c>
      <c r="L1912" s="7" t="n">
        <f aca="false">IF(AND(A1912&lt;&gt;A1911,LEFT(A1912,1)&lt;&gt;"C"),1,0)</f>
        <v>0</v>
      </c>
    </row>
    <row r="1913" customFormat="false" ht="15" hidden="false" customHeight="false" outlineLevel="0" collapsed="false">
      <c r="A1913" s="0" t="s">
        <v>1633</v>
      </c>
      <c r="B1913" s="0" t="s">
        <v>773</v>
      </c>
      <c r="C1913" s="0" t="s">
        <v>774</v>
      </c>
      <c r="D1913" s="0" t="n">
        <v>2</v>
      </c>
      <c r="E1913" s="6" t="n">
        <v>40819.5736111111</v>
      </c>
      <c r="F1913" s="0" t="n">
        <v>0.55</v>
      </c>
      <c r="G1913" s="0" t="n">
        <v>12637</v>
      </c>
      <c r="H1913" s="0" t="s">
        <v>43</v>
      </c>
      <c r="I1913" s="7" t="n">
        <f aca="false">IF(AND(LEFT(A1913,1)&lt;&gt;"C",D1913&gt;0,F1913&gt;0),1,0)</f>
        <v>1</v>
      </c>
      <c r="J1913" s="7" t="n">
        <f aca="false">IF(I1913=1,D1913*F1913,0)</f>
        <v>1.1</v>
      </c>
      <c r="K1913" s="7" t="n">
        <f aca="false">YEAR(E1913)*100+MONTH(E1913)</f>
        <v>201110</v>
      </c>
      <c r="L1913" s="7" t="n">
        <f aca="false">IF(AND(A1913&lt;&gt;A1912,LEFT(A1913,1)&lt;&gt;"C"),1,0)</f>
        <v>0</v>
      </c>
    </row>
    <row r="1914" customFormat="false" ht="15" hidden="false" customHeight="false" outlineLevel="0" collapsed="false">
      <c r="A1914" s="0" t="s">
        <v>1633</v>
      </c>
      <c r="B1914" s="0" t="s">
        <v>35</v>
      </c>
      <c r="C1914" s="0" t="s">
        <v>36</v>
      </c>
      <c r="D1914" s="0" t="n">
        <v>1</v>
      </c>
      <c r="E1914" s="6" t="n">
        <v>40819.5736111111</v>
      </c>
      <c r="F1914" s="0" t="n">
        <v>1.65</v>
      </c>
      <c r="G1914" s="0" t="n">
        <v>12637</v>
      </c>
      <c r="H1914" s="0" t="s">
        <v>43</v>
      </c>
      <c r="I1914" s="7" t="n">
        <f aca="false">IF(AND(LEFT(A1914,1)&lt;&gt;"C",D1914&gt;0,F1914&gt;0),1,0)</f>
        <v>1</v>
      </c>
      <c r="J1914" s="7" t="n">
        <f aca="false">IF(I1914=1,D1914*F1914,0)</f>
        <v>1.65</v>
      </c>
      <c r="K1914" s="7" t="n">
        <f aca="false">YEAR(E1914)*100+MONTH(E1914)</f>
        <v>201110</v>
      </c>
      <c r="L1914" s="7" t="n">
        <f aca="false">IF(AND(A1914&lt;&gt;A1913,LEFT(A1914,1)&lt;&gt;"C"),1,0)</f>
        <v>0</v>
      </c>
    </row>
    <row r="1915" customFormat="false" ht="15" hidden="false" customHeight="false" outlineLevel="0" collapsed="false">
      <c r="A1915" s="0" t="s">
        <v>1633</v>
      </c>
      <c r="B1915" s="0" t="s">
        <v>1654</v>
      </c>
      <c r="C1915" s="0" t="s">
        <v>1655</v>
      </c>
      <c r="D1915" s="0" t="n">
        <v>1</v>
      </c>
      <c r="E1915" s="6" t="n">
        <v>40819.5736111111</v>
      </c>
      <c r="F1915" s="0" t="n">
        <v>2.95</v>
      </c>
      <c r="G1915" s="0" t="n">
        <v>12637</v>
      </c>
      <c r="H1915" s="0" t="s">
        <v>43</v>
      </c>
      <c r="I1915" s="7" t="n">
        <f aca="false">IF(AND(LEFT(A1915,1)&lt;&gt;"C",D1915&gt;0,F1915&gt;0),1,0)</f>
        <v>1</v>
      </c>
      <c r="J1915" s="7" t="n">
        <f aca="false">IF(I1915=1,D1915*F1915,0)</f>
        <v>2.95</v>
      </c>
      <c r="K1915" s="7" t="n">
        <f aca="false">YEAR(E1915)*100+MONTH(E1915)</f>
        <v>201110</v>
      </c>
      <c r="L1915" s="7" t="n">
        <f aca="false">IF(AND(A1915&lt;&gt;A1914,LEFT(A1915,1)&lt;&gt;"C"),1,0)</f>
        <v>0</v>
      </c>
    </row>
    <row r="1916" customFormat="false" ht="15" hidden="false" customHeight="false" outlineLevel="0" collapsed="false">
      <c r="A1916" s="0" t="s">
        <v>1633</v>
      </c>
      <c r="B1916" s="0" t="s">
        <v>228</v>
      </c>
      <c r="C1916" s="0" t="s">
        <v>229</v>
      </c>
      <c r="D1916" s="0" t="n">
        <v>1</v>
      </c>
      <c r="E1916" s="6" t="n">
        <v>40819.5736111111</v>
      </c>
      <c r="F1916" s="0" t="n">
        <v>3.25</v>
      </c>
      <c r="G1916" s="0" t="n">
        <v>12637</v>
      </c>
      <c r="H1916" s="0" t="s">
        <v>43</v>
      </c>
      <c r="I1916" s="7" t="n">
        <f aca="false">IF(AND(LEFT(A1916,1)&lt;&gt;"C",D1916&gt;0,F1916&gt;0),1,0)</f>
        <v>1</v>
      </c>
      <c r="J1916" s="7" t="n">
        <f aca="false">IF(I1916=1,D1916*F1916,0)</f>
        <v>3.25</v>
      </c>
      <c r="K1916" s="7" t="n">
        <f aca="false">YEAR(E1916)*100+MONTH(E1916)</f>
        <v>201110</v>
      </c>
      <c r="L1916" s="7" t="n">
        <f aca="false">IF(AND(A1916&lt;&gt;A1915,LEFT(A1916,1)&lt;&gt;"C"),1,0)</f>
        <v>0</v>
      </c>
    </row>
    <row r="1917" customFormat="false" ht="15" hidden="false" customHeight="false" outlineLevel="0" collapsed="false">
      <c r="A1917" s="0" t="s">
        <v>1633</v>
      </c>
      <c r="B1917" s="0" t="s">
        <v>515</v>
      </c>
      <c r="C1917" s="0" t="s">
        <v>516</v>
      </c>
      <c r="D1917" s="0" t="n">
        <v>3</v>
      </c>
      <c r="E1917" s="6" t="n">
        <v>40819.5736111111</v>
      </c>
      <c r="F1917" s="0" t="n">
        <v>2.08</v>
      </c>
      <c r="G1917" s="0" t="n">
        <v>12637</v>
      </c>
      <c r="H1917" s="0" t="s">
        <v>43</v>
      </c>
      <c r="I1917" s="7" t="n">
        <f aca="false">IF(AND(LEFT(A1917,1)&lt;&gt;"C",D1917&gt;0,F1917&gt;0),1,0)</f>
        <v>1</v>
      </c>
      <c r="J1917" s="7" t="n">
        <f aca="false">IF(I1917=1,D1917*F1917,0)</f>
        <v>6.24</v>
      </c>
      <c r="K1917" s="7" t="n">
        <f aca="false">YEAR(E1917)*100+MONTH(E1917)</f>
        <v>201110</v>
      </c>
      <c r="L1917" s="7" t="n">
        <f aca="false">IF(AND(A1917&lt;&gt;A1916,LEFT(A1917,1)&lt;&gt;"C"),1,0)</f>
        <v>0</v>
      </c>
    </row>
    <row r="1918" customFormat="false" ht="15" hidden="false" customHeight="false" outlineLevel="0" collapsed="false">
      <c r="A1918" s="0" t="s">
        <v>1633</v>
      </c>
      <c r="B1918" s="0" t="s">
        <v>1654</v>
      </c>
      <c r="C1918" s="0" t="s">
        <v>1655</v>
      </c>
      <c r="D1918" s="0" t="n">
        <v>1</v>
      </c>
      <c r="E1918" s="6" t="n">
        <v>40819.5736111111</v>
      </c>
      <c r="F1918" s="0" t="n">
        <v>2.95</v>
      </c>
      <c r="G1918" s="0" t="n">
        <v>12637</v>
      </c>
      <c r="H1918" s="0" t="s">
        <v>43</v>
      </c>
      <c r="I1918" s="7" t="n">
        <f aca="false">IF(AND(LEFT(A1918,1)&lt;&gt;"C",D1918&gt;0,F1918&gt;0),1,0)</f>
        <v>1</v>
      </c>
      <c r="J1918" s="7" t="n">
        <f aca="false">IF(I1918=1,D1918*F1918,0)</f>
        <v>2.95</v>
      </c>
      <c r="K1918" s="7" t="n">
        <f aca="false">YEAR(E1918)*100+MONTH(E1918)</f>
        <v>201110</v>
      </c>
      <c r="L1918" s="7" t="n">
        <f aca="false">IF(AND(A1918&lt;&gt;A1917,LEFT(A1918,1)&lt;&gt;"C"),1,0)</f>
        <v>0</v>
      </c>
    </row>
    <row r="1919" customFormat="false" ht="15" hidden="false" customHeight="false" outlineLevel="0" collapsed="false">
      <c r="A1919" s="0" t="s">
        <v>1633</v>
      </c>
      <c r="B1919" s="0" t="s">
        <v>1386</v>
      </c>
      <c r="C1919" s="0" t="s">
        <v>1387</v>
      </c>
      <c r="D1919" s="0" t="n">
        <v>2</v>
      </c>
      <c r="E1919" s="6" t="n">
        <v>40819.5736111111</v>
      </c>
      <c r="F1919" s="0" t="n">
        <v>2.08</v>
      </c>
      <c r="G1919" s="0" t="n">
        <v>12637</v>
      </c>
      <c r="H1919" s="0" t="s">
        <v>43</v>
      </c>
      <c r="I1919" s="7" t="n">
        <f aca="false">IF(AND(LEFT(A1919,1)&lt;&gt;"C",D1919&gt;0,F1919&gt;0),1,0)</f>
        <v>1</v>
      </c>
      <c r="J1919" s="7" t="n">
        <f aca="false">IF(I1919=1,D1919*F1919,0)</f>
        <v>4.16</v>
      </c>
      <c r="K1919" s="7" t="n">
        <f aca="false">YEAR(E1919)*100+MONTH(E1919)</f>
        <v>201110</v>
      </c>
      <c r="L1919" s="7" t="n">
        <f aca="false">IF(AND(A1919&lt;&gt;A1918,LEFT(A1919,1)&lt;&gt;"C"),1,0)</f>
        <v>0</v>
      </c>
    </row>
    <row r="1920" customFormat="false" ht="15" hidden="false" customHeight="false" outlineLevel="0" collapsed="false">
      <c r="A1920" s="0" t="s">
        <v>1633</v>
      </c>
      <c r="B1920" s="0" t="s">
        <v>1656</v>
      </c>
      <c r="C1920" s="0" t="s">
        <v>1657</v>
      </c>
      <c r="D1920" s="0" t="n">
        <v>3</v>
      </c>
      <c r="E1920" s="6" t="n">
        <v>40819.5736111111</v>
      </c>
      <c r="F1920" s="0" t="n">
        <v>2.08</v>
      </c>
      <c r="G1920" s="0" t="n">
        <v>12637</v>
      </c>
      <c r="H1920" s="0" t="s">
        <v>43</v>
      </c>
      <c r="I1920" s="7" t="n">
        <f aca="false">IF(AND(LEFT(A1920,1)&lt;&gt;"C",D1920&gt;0,F1920&gt;0),1,0)</f>
        <v>1</v>
      </c>
      <c r="J1920" s="7" t="n">
        <f aca="false">IF(I1920=1,D1920*F1920,0)</f>
        <v>6.24</v>
      </c>
      <c r="K1920" s="7" t="n">
        <f aca="false">YEAR(E1920)*100+MONTH(E1920)</f>
        <v>201110</v>
      </c>
      <c r="L1920" s="7" t="n">
        <f aca="false">IF(AND(A1920&lt;&gt;A1919,LEFT(A1920,1)&lt;&gt;"C"),1,0)</f>
        <v>0</v>
      </c>
    </row>
    <row r="1921" customFormat="false" ht="15" hidden="false" customHeight="false" outlineLevel="0" collapsed="false">
      <c r="A1921" s="0" t="s">
        <v>1633</v>
      </c>
      <c r="B1921" s="0" t="s">
        <v>567</v>
      </c>
      <c r="C1921" s="0" t="s">
        <v>568</v>
      </c>
      <c r="D1921" s="0" t="n">
        <v>2</v>
      </c>
      <c r="E1921" s="6" t="n">
        <v>40819.5736111111</v>
      </c>
      <c r="F1921" s="0" t="n">
        <v>1.65</v>
      </c>
      <c r="G1921" s="0" t="n">
        <v>12637</v>
      </c>
      <c r="H1921" s="0" t="s">
        <v>43</v>
      </c>
      <c r="I1921" s="7" t="n">
        <f aca="false">IF(AND(LEFT(A1921,1)&lt;&gt;"C",D1921&gt;0,F1921&gt;0),1,0)</f>
        <v>1</v>
      </c>
      <c r="J1921" s="7" t="n">
        <f aca="false">IF(I1921=1,D1921*F1921,0)</f>
        <v>3.3</v>
      </c>
      <c r="K1921" s="7" t="n">
        <f aca="false">YEAR(E1921)*100+MONTH(E1921)</f>
        <v>201110</v>
      </c>
      <c r="L1921" s="7" t="n">
        <f aca="false">IF(AND(A1921&lt;&gt;A1920,LEFT(A1921,1)&lt;&gt;"C"),1,0)</f>
        <v>0</v>
      </c>
    </row>
    <row r="1922" customFormat="false" ht="15" hidden="false" customHeight="false" outlineLevel="0" collapsed="false">
      <c r="A1922" s="0" t="s">
        <v>1633</v>
      </c>
      <c r="B1922" s="0" t="s">
        <v>74</v>
      </c>
      <c r="C1922" s="0" t="s">
        <v>75</v>
      </c>
      <c r="D1922" s="0" t="n">
        <v>1</v>
      </c>
      <c r="E1922" s="6" t="n">
        <v>40819.5736111111</v>
      </c>
      <c r="F1922" s="0" t="n">
        <v>1.95</v>
      </c>
      <c r="G1922" s="0" t="n">
        <v>12637</v>
      </c>
      <c r="H1922" s="0" t="s">
        <v>43</v>
      </c>
      <c r="I1922" s="7" t="n">
        <f aca="false">IF(AND(LEFT(A1922,1)&lt;&gt;"C",D1922&gt;0,F1922&gt;0),1,0)</f>
        <v>1</v>
      </c>
      <c r="J1922" s="7" t="n">
        <f aca="false">IF(I1922=1,D1922*F1922,0)</f>
        <v>1.95</v>
      </c>
      <c r="K1922" s="7" t="n">
        <f aca="false">YEAR(E1922)*100+MONTH(E1922)</f>
        <v>201110</v>
      </c>
      <c r="L1922" s="7" t="n">
        <f aca="false">IF(AND(A1922&lt;&gt;A1921,LEFT(A1922,1)&lt;&gt;"C"),1,0)</f>
        <v>0</v>
      </c>
    </row>
    <row r="1923" customFormat="false" ht="15" hidden="false" customHeight="false" outlineLevel="0" collapsed="false">
      <c r="A1923" s="0" t="s">
        <v>1633</v>
      </c>
      <c r="B1923" s="0" t="s">
        <v>138</v>
      </c>
      <c r="C1923" s="0" t="s">
        <v>139</v>
      </c>
      <c r="D1923" s="0" t="n">
        <v>1</v>
      </c>
      <c r="E1923" s="6" t="n">
        <v>40819.5736111111</v>
      </c>
      <c r="F1923" s="0" t="n">
        <v>2.08</v>
      </c>
      <c r="G1923" s="0" t="n">
        <v>12637</v>
      </c>
      <c r="H1923" s="0" t="s">
        <v>43</v>
      </c>
      <c r="I1923" s="7" t="n">
        <f aca="false">IF(AND(LEFT(A1923,1)&lt;&gt;"C",D1923&gt;0,F1923&gt;0),1,0)</f>
        <v>1</v>
      </c>
      <c r="J1923" s="7" t="n">
        <f aca="false">IF(I1923=1,D1923*F1923,0)</f>
        <v>2.08</v>
      </c>
      <c r="K1923" s="7" t="n">
        <f aca="false">YEAR(E1923)*100+MONTH(E1923)</f>
        <v>201110</v>
      </c>
      <c r="L1923" s="7" t="n">
        <f aca="false">IF(AND(A1923&lt;&gt;A1922,LEFT(A1923,1)&lt;&gt;"C"),1,0)</f>
        <v>0</v>
      </c>
    </row>
    <row r="1924" customFormat="false" ht="15" hidden="false" customHeight="false" outlineLevel="0" collapsed="false">
      <c r="A1924" s="0" t="s">
        <v>1633</v>
      </c>
      <c r="B1924" s="0" t="s">
        <v>789</v>
      </c>
      <c r="C1924" s="0" t="s">
        <v>790</v>
      </c>
      <c r="D1924" s="0" t="n">
        <v>6</v>
      </c>
      <c r="E1924" s="6" t="n">
        <v>40819.5736111111</v>
      </c>
      <c r="F1924" s="0" t="n">
        <v>1.95</v>
      </c>
      <c r="G1924" s="0" t="n">
        <v>12637</v>
      </c>
      <c r="H1924" s="0" t="s">
        <v>43</v>
      </c>
      <c r="I1924" s="7" t="n">
        <f aca="false">IF(AND(LEFT(A1924,1)&lt;&gt;"C",D1924&gt;0,F1924&gt;0),1,0)</f>
        <v>1</v>
      </c>
      <c r="J1924" s="7" t="n">
        <f aca="false">IF(I1924=1,D1924*F1924,0)</f>
        <v>11.7</v>
      </c>
      <c r="K1924" s="7" t="n">
        <f aca="false">YEAR(E1924)*100+MONTH(E1924)</f>
        <v>201110</v>
      </c>
      <c r="L1924" s="7" t="n">
        <f aca="false">IF(AND(A1924&lt;&gt;A1923,LEFT(A1924,1)&lt;&gt;"C"),1,0)</f>
        <v>0</v>
      </c>
    </row>
    <row r="1925" customFormat="false" ht="15" hidden="false" customHeight="false" outlineLevel="0" collapsed="false">
      <c r="A1925" s="0" t="s">
        <v>1633</v>
      </c>
      <c r="B1925" s="0" t="s">
        <v>123</v>
      </c>
      <c r="C1925" s="0" t="s">
        <v>124</v>
      </c>
      <c r="D1925" s="0" t="n">
        <v>2</v>
      </c>
      <c r="E1925" s="6" t="n">
        <v>40819.5736111111</v>
      </c>
      <c r="F1925" s="0" t="n">
        <v>2.95</v>
      </c>
      <c r="G1925" s="0" t="n">
        <v>12637</v>
      </c>
      <c r="H1925" s="0" t="s">
        <v>43</v>
      </c>
      <c r="I1925" s="7" t="n">
        <f aca="false">IF(AND(LEFT(A1925,1)&lt;&gt;"C",D1925&gt;0,F1925&gt;0),1,0)</f>
        <v>1</v>
      </c>
      <c r="J1925" s="7" t="n">
        <f aca="false">IF(I1925=1,D1925*F1925,0)</f>
        <v>5.9</v>
      </c>
      <c r="K1925" s="7" t="n">
        <f aca="false">YEAR(E1925)*100+MONTH(E1925)</f>
        <v>201110</v>
      </c>
      <c r="L1925" s="7" t="n">
        <f aca="false">IF(AND(A1925&lt;&gt;A1924,LEFT(A1925,1)&lt;&gt;"C"),1,0)</f>
        <v>0</v>
      </c>
    </row>
    <row r="1926" customFormat="false" ht="15" hidden="false" customHeight="false" outlineLevel="0" collapsed="false">
      <c r="A1926" s="0" t="s">
        <v>1633</v>
      </c>
      <c r="B1926" s="0" t="s">
        <v>610</v>
      </c>
      <c r="C1926" s="0" t="s">
        <v>611</v>
      </c>
      <c r="D1926" s="0" t="n">
        <v>1</v>
      </c>
      <c r="E1926" s="6" t="n">
        <v>40819.5736111111</v>
      </c>
      <c r="F1926" s="0" t="n">
        <v>2.95</v>
      </c>
      <c r="G1926" s="0" t="n">
        <v>12637</v>
      </c>
      <c r="H1926" s="0" t="s">
        <v>43</v>
      </c>
      <c r="I1926" s="7" t="n">
        <f aca="false">IF(AND(LEFT(A1926,1)&lt;&gt;"C",D1926&gt;0,F1926&gt;0),1,0)</f>
        <v>1</v>
      </c>
      <c r="J1926" s="7" t="n">
        <f aca="false">IF(I1926=1,D1926*F1926,0)</f>
        <v>2.95</v>
      </c>
      <c r="K1926" s="7" t="n">
        <f aca="false">YEAR(E1926)*100+MONTH(E1926)</f>
        <v>201110</v>
      </c>
      <c r="L1926" s="7" t="n">
        <f aca="false">IF(AND(A1926&lt;&gt;A1925,LEFT(A1926,1)&lt;&gt;"C"),1,0)</f>
        <v>0</v>
      </c>
    </row>
    <row r="1927" customFormat="false" ht="15" hidden="false" customHeight="false" outlineLevel="0" collapsed="false">
      <c r="A1927" s="0" t="s">
        <v>1633</v>
      </c>
      <c r="B1927" s="0" t="s">
        <v>625</v>
      </c>
      <c r="C1927" s="0" t="s">
        <v>626</v>
      </c>
      <c r="D1927" s="0" t="n">
        <v>2</v>
      </c>
      <c r="E1927" s="6" t="n">
        <v>40819.5736111111</v>
      </c>
      <c r="F1927" s="0" t="n">
        <v>2.08</v>
      </c>
      <c r="G1927" s="0" t="n">
        <v>12637</v>
      </c>
      <c r="H1927" s="0" t="s">
        <v>43</v>
      </c>
      <c r="I1927" s="7" t="n">
        <f aca="false">IF(AND(LEFT(A1927,1)&lt;&gt;"C",D1927&gt;0,F1927&gt;0),1,0)</f>
        <v>1</v>
      </c>
      <c r="J1927" s="7" t="n">
        <f aca="false">IF(I1927=1,D1927*F1927,0)</f>
        <v>4.16</v>
      </c>
      <c r="K1927" s="7" t="n">
        <f aca="false">YEAR(E1927)*100+MONTH(E1927)</f>
        <v>201110</v>
      </c>
      <c r="L1927" s="7" t="n">
        <f aca="false">IF(AND(A1927&lt;&gt;A1926,LEFT(A1927,1)&lt;&gt;"C"),1,0)</f>
        <v>0</v>
      </c>
    </row>
    <row r="1928" customFormat="false" ht="15" hidden="false" customHeight="false" outlineLevel="0" collapsed="false">
      <c r="A1928" s="0" t="s">
        <v>1633</v>
      </c>
      <c r="B1928" s="0" t="s">
        <v>78</v>
      </c>
      <c r="C1928" s="0" t="s">
        <v>79</v>
      </c>
      <c r="D1928" s="0" t="n">
        <v>1</v>
      </c>
      <c r="E1928" s="6" t="n">
        <v>40819.5736111111</v>
      </c>
      <c r="F1928" s="0" t="n">
        <v>1.65</v>
      </c>
      <c r="G1928" s="0" t="n">
        <v>12637</v>
      </c>
      <c r="H1928" s="0" t="s">
        <v>43</v>
      </c>
      <c r="I1928" s="7" t="n">
        <f aca="false">IF(AND(LEFT(A1928,1)&lt;&gt;"C",D1928&gt;0,F1928&gt;0),1,0)</f>
        <v>1</v>
      </c>
      <c r="J1928" s="7" t="n">
        <f aca="false">IF(I1928=1,D1928*F1928,0)</f>
        <v>1.65</v>
      </c>
      <c r="K1928" s="7" t="n">
        <f aca="false">YEAR(E1928)*100+MONTH(E1928)</f>
        <v>201110</v>
      </c>
      <c r="L1928" s="7" t="n">
        <f aca="false">IF(AND(A1928&lt;&gt;A1927,LEFT(A1928,1)&lt;&gt;"C"),1,0)</f>
        <v>0</v>
      </c>
    </row>
    <row r="1929" customFormat="false" ht="15" hidden="false" customHeight="false" outlineLevel="0" collapsed="false">
      <c r="A1929" s="0" t="s">
        <v>1633</v>
      </c>
      <c r="B1929" s="0" t="s">
        <v>228</v>
      </c>
      <c r="C1929" s="0" t="s">
        <v>229</v>
      </c>
      <c r="D1929" s="0" t="n">
        <v>1</v>
      </c>
      <c r="E1929" s="6" t="n">
        <v>40819.5736111111</v>
      </c>
      <c r="F1929" s="0" t="n">
        <v>3.25</v>
      </c>
      <c r="G1929" s="0" t="n">
        <v>12637</v>
      </c>
      <c r="H1929" s="0" t="s">
        <v>43</v>
      </c>
      <c r="I1929" s="7" t="n">
        <f aca="false">IF(AND(LEFT(A1929,1)&lt;&gt;"C",D1929&gt;0,F1929&gt;0),1,0)</f>
        <v>1</v>
      </c>
      <c r="J1929" s="7" t="n">
        <f aca="false">IF(I1929=1,D1929*F1929,0)</f>
        <v>3.25</v>
      </c>
      <c r="K1929" s="7" t="n">
        <f aca="false">YEAR(E1929)*100+MONTH(E1929)</f>
        <v>201110</v>
      </c>
      <c r="L1929" s="7" t="n">
        <f aca="false">IF(AND(A1929&lt;&gt;A1928,LEFT(A1929,1)&lt;&gt;"C"),1,0)</f>
        <v>0</v>
      </c>
    </row>
    <row r="1930" customFormat="false" ht="15" hidden="false" customHeight="false" outlineLevel="0" collapsed="false">
      <c r="A1930" s="0" t="s">
        <v>1633</v>
      </c>
      <c r="B1930" s="0" t="s">
        <v>76</v>
      </c>
      <c r="C1930" s="0" t="s">
        <v>77</v>
      </c>
      <c r="D1930" s="0" t="n">
        <v>1</v>
      </c>
      <c r="E1930" s="6" t="n">
        <v>40819.5736111111</v>
      </c>
      <c r="F1930" s="0" t="n">
        <v>1.95</v>
      </c>
      <c r="G1930" s="0" t="n">
        <v>12637</v>
      </c>
      <c r="H1930" s="0" t="s">
        <v>43</v>
      </c>
      <c r="I1930" s="7" t="n">
        <f aca="false">IF(AND(LEFT(A1930,1)&lt;&gt;"C",D1930&gt;0,F1930&gt;0),1,0)</f>
        <v>1</v>
      </c>
      <c r="J1930" s="7" t="n">
        <f aca="false">IF(I1930=1,D1930*F1930,0)</f>
        <v>1.95</v>
      </c>
      <c r="K1930" s="7" t="n">
        <f aca="false">YEAR(E1930)*100+MONTH(E1930)</f>
        <v>201110</v>
      </c>
      <c r="L1930" s="7" t="n">
        <f aca="false">IF(AND(A1930&lt;&gt;A1929,LEFT(A1930,1)&lt;&gt;"C"),1,0)</f>
        <v>0</v>
      </c>
    </row>
    <row r="1931" customFormat="false" ht="15" hidden="false" customHeight="false" outlineLevel="0" collapsed="false">
      <c r="A1931" s="0" t="s">
        <v>1633</v>
      </c>
      <c r="B1931" s="0" t="s">
        <v>74</v>
      </c>
      <c r="C1931" s="0" t="s">
        <v>75</v>
      </c>
      <c r="D1931" s="0" t="n">
        <v>1</v>
      </c>
      <c r="E1931" s="6" t="n">
        <v>40819.5736111111</v>
      </c>
      <c r="F1931" s="0" t="n">
        <v>1.95</v>
      </c>
      <c r="G1931" s="0" t="n">
        <v>12637</v>
      </c>
      <c r="H1931" s="0" t="s">
        <v>43</v>
      </c>
      <c r="I1931" s="7" t="n">
        <f aca="false">IF(AND(LEFT(A1931,1)&lt;&gt;"C",D1931&gt;0,F1931&gt;0),1,0)</f>
        <v>1</v>
      </c>
      <c r="J1931" s="7" t="n">
        <f aca="false">IF(I1931=1,D1931*F1931,0)</f>
        <v>1.95</v>
      </c>
      <c r="K1931" s="7" t="n">
        <f aca="false">YEAR(E1931)*100+MONTH(E1931)</f>
        <v>201110</v>
      </c>
      <c r="L1931" s="7" t="n">
        <f aca="false">IF(AND(A1931&lt;&gt;A1930,LEFT(A1931,1)&lt;&gt;"C"),1,0)</f>
        <v>0</v>
      </c>
    </row>
    <row r="1932" customFormat="false" ht="15" hidden="false" customHeight="false" outlineLevel="0" collapsed="false">
      <c r="A1932" s="0" t="s">
        <v>1633</v>
      </c>
      <c r="B1932" s="0" t="s">
        <v>545</v>
      </c>
      <c r="C1932" s="0" t="s">
        <v>546</v>
      </c>
      <c r="D1932" s="0" t="n">
        <v>3</v>
      </c>
      <c r="E1932" s="6" t="n">
        <v>40819.5736111111</v>
      </c>
      <c r="F1932" s="0" t="n">
        <v>4.95</v>
      </c>
      <c r="G1932" s="0" t="n">
        <v>12637</v>
      </c>
      <c r="H1932" s="0" t="s">
        <v>43</v>
      </c>
      <c r="I1932" s="7" t="n">
        <f aca="false">IF(AND(LEFT(A1932,1)&lt;&gt;"C",D1932&gt;0,F1932&gt;0),1,0)</f>
        <v>1</v>
      </c>
      <c r="J1932" s="7" t="n">
        <f aca="false">IF(I1932=1,D1932*F1932,0)</f>
        <v>14.85</v>
      </c>
      <c r="K1932" s="7" t="n">
        <f aca="false">YEAR(E1932)*100+MONTH(E1932)</f>
        <v>201110</v>
      </c>
      <c r="L1932" s="7" t="n">
        <f aca="false">IF(AND(A1932&lt;&gt;A1931,LEFT(A1932,1)&lt;&gt;"C"),1,0)</f>
        <v>0</v>
      </c>
    </row>
    <row r="1933" customFormat="false" ht="15" hidden="false" customHeight="false" outlineLevel="0" collapsed="false">
      <c r="A1933" s="0" t="s">
        <v>1633</v>
      </c>
      <c r="B1933" s="0" t="s">
        <v>72</v>
      </c>
      <c r="C1933" s="0" t="s">
        <v>73</v>
      </c>
      <c r="D1933" s="0" t="n">
        <v>1</v>
      </c>
      <c r="E1933" s="6" t="n">
        <v>40819.5736111111</v>
      </c>
      <c r="F1933" s="0" t="n">
        <v>1.95</v>
      </c>
      <c r="G1933" s="0" t="n">
        <v>12637</v>
      </c>
      <c r="H1933" s="0" t="s">
        <v>43</v>
      </c>
      <c r="I1933" s="7" t="n">
        <f aca="false">IF(AND(LEFT(A1933,1)&lt;&gt;"C",D1933&gt;0,F1933&gt;0),1,0)</f>
        <v>1</v>
      </c>
      <c r="J1933" s="7" t="n">
        <f aca="false">IF(I1933=1,D1933*F1933,0)</f>
        <v>1.95</v>
      </c>
      <c r="K1933" s="7" t="n">
        <f aca="false">YEAR(E1933)*100+MONTH(E1933)</f>
        <v>201110</v>
      </c>
      <c r="L1933" s="7" t="n">
        <f aca="false">IF(AND(A1933&lt;&gt;A1932,LEFT(A1933,1)&lt;&gt;"C"),1,0)</f>
        <v>0</v>
      </c>
    </row>
    <row r="1934" customFormat="false" ht="15" hidden="false" customHeight="false" outlineLevel="0" collapsed="false">
      <c r="A1934" s="0" t="s">
        <v>1633</v>
      </c>
      <c r="B1934" s="0" t="s">
        <v>687</v>
      </c>
      <c r="C1934" s="0" t="s">
        <v>688</v>
      </c>
      <c r="D1934" s="0" t="n">
        <v>1</v>
      </c>
      <c r="E1934" s="6" t="n">
        <v>40819.5736111111</v>
      </c>
      <c r="F1934" s="0" t="n">
        <v>2.08</v>
      </c>
      <c r="G1934" s="0" t="n">
        <v>12637</v>
      </c>
      <c r="H1934" s="0" t="s">
        <v>43</v>
      </c>
      <c r="I1934" s="7" t="n">
        <f aca="false">IF(AND(LEFT(A1934,1)&lt;&gt;"C",D1934&gt;0,F1934&gt;0),1,0)</f>
        <v>1</v>
      </c>
      <c r="J1934" s="7" t="n">
        <f aca="false">IF(I1934=1,D1934*F1934,0)</f>
        <v>2.08</v>
      </c>
      <c r="K1934" s="7" t="n">
        <f aca="false">YEAR(E1934)*100+MONTH(E1934)</f>
        <v>201110</v>
      </c>
      <c r="L1934" s="7" t="n">
        <f aca="false">IF(AND(A1934&lt;&gt;A1933,LEFT(A1934,1)&lt;&gt;"C"),1,0)</f>
        <v>0</v>
      </c>
    </row>
    <row r="1935" customFormat="false" ht="15" hidden="false" customHeight="false" outlineLevel="0" collapsed="false">
      <c r="A1935" s="0" t="s">
        <v>1633</v>
      </c>
      <c r="B1935" s="0" t="s">
        <v>1208</v>
      </c>
      <c r="C1935" s="0" t="s">
        <v>1209</v>
      </c>
      <c r="D1935" s="0" t="n">
        <v>1</v>
      </c>
      <c r="E1935" s="6" t="n">
        <v>40819.5736111111</v>
      </c>
      <c r="F1935" s="0" t="n">
        <v>2.55</v>
      </c>
      <c r="G1935" s="0" t="n">
        <v>12637</v>
      </c>
      <c r="H1935" s="0" t="s">
        <v>43</v>
      </c>
      <c r="I1935" s="7" t="n">
        <f aca="false">IF(AND(LEFT(A1935,1)&lt;&gt;"C",D1935&gt;0,F1935&gt;0),1,0)</f>
        <v>1</v>
      </c>
      <c r="J1935" s="7" t="n">
        <f aca="false">IF(I1935=1,D1935*F1935,0)</f>
        <v>2.55</v>
      </c>
      <c r="K1935" s="7" t="n">
        <f aca="false">YEAR(E1935)*100+MONTH(E1935)</f>
        <v>201110</v>
      </c>
      <c r="L1935" s="7" t="n">
        <f aca="false">IF(AND(A1935&lt;&gt;A1934,LEFT(A1935,1)&lt;&gt;"C"),1,0)</f>
        <v>0</v>
      </c>
    </row>
    <row r="1936" customFormat="false" ht="15" hidden="false" customHeight="false" outlineLevel="0" collapsed="false">
      <c r="A1936" s="0" t="s">
        <v>1633</v>
      </c>
      <c r="B1936" s="0" t="s">
        <v>1077</v>
      </c>
      <c r="C1936" s="0" t="s">
        <v>1078</v>
      </c>
      <c r="D1936" s="0" t="n">
        <v>1</v>
      </c>
      <c r="E1936" s="6" t="n">
        <v>40819.5736111111</v>
      </c>
      <c r="F1936" s="0" t="n">
        <v>2.08</v>
      </c>
      <c r="G1936" s="0" t="n">
        <v>12637</v>
      </c>
      <c r="H1936" s="0" t="s">
        <v>43</v>
      </c>
      <c r="I1936" s="7" t="n">
        <f aca="false">IF(AND(LEFT(A1936,1)&lt;&gt;"C",D1936&gt;0,F1936&gt;0),1,0)</f>
        <v>1</v>
      </c>
      <c r="J1936" s="7" t="n">
        <f aca="false">IF(I1936=1,D1936*F1936,0)</f>
        <v>2.08</v>
      </c>
      <c r="K1936" s="7" t="n">
        <f aca="false">YEAR(E1936)*100+MONTH(E1936)</f>
        <v>201110</v>
      </c>
      <c r="L1936" s="7" t="n">
        <f aca="false">IF(AND(A1936&lt;&gt;A1935,LEFT(A1936,1)&lt;&gt;"C"),1,0)</f>
        <v>0</v>
      </c>
    </row>
    <row r="1937" customFormat="false" ht="15" hidden="false" customHeight="false" outlineLevel="0" collapsed="false">
      <c r="A1937" s="0" t="s">
        <v>1633</v>
      </c>
      <c r="B1937" s="0" t="s">
        <v>1085</v>
      </c>
      <c r="C1937" s="0" t="s">
        <v>1086</v>
      </c>
      <c r="D1937" s="0" t="n">
        <v>1</v>
      </c>
      <c r="E1937" s="6" t="n">
        <v>40819.5736111111</v>
      </c>
      <c r="F1937" s="0" t="n">
        <v>1.65</v>
      </c>
      <c r="G1937" s="0" t="n">
        <v>12637</v>
      </c>
      <c r="H1937" s="0" t="s">
        <v>43</v>
      </c>
      <c r="I1937" s="7" t="n">
        <f aca="false">IF(AND(LEFT(A1937,1)&lt;&gt;"C",D1937&gt;0,F1937&gt;0),1,0)</f>
        <v>1</v>
      </c>
      <c r="J1937" s="7" t="n">
        <f aca="false">IF(I1937=1,D1937*F1937,0)</f>
        <v>1.65</v>
      </c>
      <c r="K1937" s="7" t="n">
        <f aca="false">YEAR(E1937)*100+MONTH(E1937)</f>
        <v>201110</v>
      </c>
      <c r="L1937" s="7" t="n">
        <f aca="false">IF(AND(A1937&lt;&gt;A1936,LEFT(A1937,1)&lt;&gt;"C"),1,0)</f>
        <v>0</v>
      </c>
    </row>
    <row r="1938" customFormat="false" ht="15" hidden="false" customHeight="false" outlineLevel="0" collapsed="false">
      <c r="A1938" s="0" t="s">
        <v>1633</v>
      </c>
      <c r="B1938" s="0" t="s">
        <v>1658</v>
      </c>
      <c r="C1938" s="0" t="s">
        <v>1659</v>
      </c>
      <c r="D1938" s="0" t="n">
        <v>1</v>
      </c>
      <c r="E1938" s="6" t="n">
        <v>40819.5736111111</v>
      </c>
      <c r="F1938" s="0" t="n">
        <v>1.65</v>
      </c>
      <c r="G1938" s="0" t="n">
        <v>12637</v>
      </c>
      <c r="H1938" s="0" t="s">
        <v>43</v>
      </c>
      <c r="I1938" s="7" t="n">
        <f aca="false">IF(AND(LEFT(A1938,1)&lt;&gt;"C",D1938&gt;0,F1938&gt;0),1,0)</f>
        <v>1</v>
      </c>
      <c r="J1938" s="7" t="n">
        <f aca="false">IF(I1938=1,D1938*F1938,0)</f>
        <v>1.65</v>
      </c>
      <c r="K1938" s="7" t="n">
        <f aca="false">YEAR(E1938)*100+MONTH(E1938)</f>
        <v>201110</v>
      </c>
      <c r="L1938" s="7" t="n">
        <f aca="false">IF(AND(A1938&lt;&gt;A1937,LEFT(A1938,1)&lt;&gt;"C"),1,0)</f>
        <v>0</v>
      </c>
    </row>
    <row r="1939" customFormat="false" ht="15" hidden="false" customHeight="false" outlineLevel="0" collapsed="false">
      <c r="A1939" s="0" t="s">
        <v>1633</v>
      </c>
      <c r="B1939" s="0" t="s">
        <v>645</v>
      </c>
      <c r="C1939" s="0" t="s">
        <v>646</v>
      </c>
      <c r="D1939" s="0" t="n">
        <v>1</v>
      </c>
      <c r="E1939" s="6" t="n">
        <v>40819.5736111111</v>
      </c>
      <c r="F1939" s="0" t="n">
        <v>2.08</v>
      </c>
      <c r="G1939" s="0" t="n">
        <v>12637</v>
      </c>
      <c r="H1939" s="0" t="s">
        <v>43</v>
      </c>
      <c r="I1939" s="7" t="n">
        <f aca="false">IF(AND(LEFT(A1939,1)&lt;&gt;"C",D1939&gt;0,F1939&gt;0),1,0)</f>
        <v>1</v>
      </c>
      <c r="J1939" s="7" t="n">
        <f aca="false">IF(I1939=1,D1939*F1939,0)</f>
        <v>2.08</v>
      </c>
      <c r="K1939" s="7" t="n">
        <f aca="false">YEAR(E1939)*100+MONTH(E1939)</f>
        <v>201110</v>
      </c>
      <c r="L1939" s="7" t="n">
        <f aca="false">IF(AND(A1939&lt;&gt;A1938,LEFT(A1939,1)&lt;&gt;"C"),1,0)</f>
        <v>0</v>
      </c>
    </row>
    <row r="1940" customFormat="false" ht="15" hidden="false" customHeight="false" outlineLevel="0" collapsed="false">
      <c r="A1940" s="0" t="s">
        <v>1633</v>
      </c>
      <c r="B1940" s="0" t="s">
        <v>1386</v>
      </c>
      <c r="C1940" s="0" t="s">
        <v>1387</v>
      </c>
      <c r="D1940" s="0" t="n">
        <v>1</v>
      </c>
      <c r="E1940" s="6" t="n">
        <v>40819.5736111111</v>
      </c>
      <c r="F1940" s="0" t="n">
        <v>2.08</v>
      </c>
      <c r="G1940" s="0" t="n">
        <v>12637</v>
      </c>
      <c r="H1940" s="0" t="s">
        <v>43</v>
      </c>
      <c r="I1940" s="7" t="n">
        <f aca="false">IF(AND(LEFT(A1940,1)&lt;&gt;"C",D1940&gt;0,F1940&gt;0),1,0)</f>
        <v>1</v>
      </c>
      <c r="J1940" s="7" t="n">
        <f aca="false">IF(I1940=1,D1940*F1940,0)</f>
        <v>2.08</v>
      </c>
      <c r="K1940" s="7" t="n">
        <f aca="false">YEAR(E1940)*100+MONTH(E1940)</f>
        <v>201110</v>
      </c>
      <c r="L1940" s="7" t="n">
        <f aca="false">IF(AND(A1940&lt;&gt;A1939,LEFT(A1940,1)&lt;&gt;"C"),1,0)</f>
        <v>0</v>
      </c>
    </row>
    <row r="1941" customFormat="false" ht="15" hidden="false" customHeight="false" outlineLevel="0" collapsed="false">
      <c r="A1941" s="0" t="s">
        <v>1660</v>
      </c>
      <c r="B1941" s="0" t="s">
        <v>812</v>
      </c>
      <c r="C1941" s="0" t="s">
        <v>813</v>
      </c>
      <c r="D1941" s="0" t="n">
        <v>4</v>
      </c>
      <c r="E1941" s="6" t="n">
        <v>40820.375</v>
      </c>
      <c r="F1941" s="0" t="n">
        <v>3.75</v>
      </c>
      <c r="G1941" s="0" t="n">
        <v>12413</v>
      </c>
      <c r="H1941" s="0" t="s">
        <v>43</v>
      </c>
      <c r="I1941" s="7" t="n">
        <f aca="false">IF(AND(LEFT(A1941,1)&lt;&gt;"C",D1941&gt;0,F1941&gt;0),1,0)</f>
        <v>1</v>
      </c>
      <c r="J1941" s="7" t="n">
        <f aca="false">IF(I1941=1,D1941*F1941,0)</f>
        <v>15</v>
      </c>
      <c r="K1941" s="7" t="n">
        <f aca="false">YEAR(E1941)*100+MONTH(E1941)</f>
        <v>201110</v>
      </c>
      <c r="L1941" s="7" t="n">
        <f aca="false">IF(AND(A1941&lt;&gt;A1940,LEFT(A1941,1)&lt;&gt;"C"),1,0)</f>
        <v>1</v>
      </c>
    </row>
    <row r="1942" customFormat="false" ht="15" hidden="false" customHeight="false" outlineLevel="0" collapsed="false">
      <c r="A1942" s="0" t="s">
        <v>1660</v>
      </c>
      <c r="B1942" s="0" t="s">
        <v>631</v>
      </c>
      <c r="C1942" s="0" t="s">
        <v>632</v>
      </c>
      <c r="D1942" s="0" t="n">
        <v>10</v>
      </c>
      <c r="E1942" s="6" t="n">
        <v>40820.375</v>
      </c>
      <c r="F1942" s="0" t="n">
        <v>2.08</v>
      </c>
      <c r="G1942" s="0" t="n">
        <v>12413</v>
      </c>
      <c r="H1942" s="0" t="s">
        <v>43</v>
      </c>
      <c r="I1942" s="7" t="n">
        <f aca="false">IF(AND(LEFT(A1942,1)&lt;&gt;"C",D1942&gt;0,F1942&gt;0),1,0)</f>
        <v>1</v>
      </c>
      <c r="J1942" s="7" t="n">
        <f aca="false">IF(I1942=1,D1942*F1942,0)</f>
        <v>20.8</v>
      </c>
      <c r="K1942" s="7" t="n">
        <f aca="false">YEAR(E1942)*100+MONTH(E1942)</f>
        <v>201110</v>
      </c>
      <c r="L1942" s="7" t="n">
        <f aca="false">IF(AND(A1942&lt;&gt;A1941,LEFT(A1942,1)&lt;&gt;"C"),1,0)</f>
        <v>0</v>
      </c>
    </row>
    <row r="1943" customFormat="false" ht="15" hidden="false" customHeight="false" outlineLevel="0" collapsed="false">
      <c r="A1943" s="0" t="s">
        <v>1660</v>
      </c>
      <c r="B1943" s="0" t="s">
        <v>1386</v>
      </c>
      <c r="C1943" s="0" t="s">
        <v>1387</v>
      </c>
      <c r="D1943" s="0" t="n">
        <v>10</v>
      </c>
      <c r="E1943" s="6" t="n">
        <v>40820.375</v>
      </c>
      <c r="F1943" s="0" t="n">
        <v>2.08</v>
      </c>
      <c r="G1943" s="0" t="n">
        <v>12413</v>
      </c>
      <c r="H1943" s="0" t="s">
        <v>43</v>
      </c>
      <c r="I1943" s="7" t="n">
        <f aca="false">IF(AND(LEFT(A1943,1)&lt;&gt;"C",D1943&gt;0,F1943&gt;0),1,0)</f>
        <v>1</v>
      </c>
      <c r="J1943" s="7" t="n">
        <f aca="false">IF(I1943=1,D1943*F1943,0)</f>
        <v>20.8</v>
      </c>
      <c r="K1943" s="7" t="n">
        <f aca="false">YEAR(E1943)*100+MONTH(E1943)</f>
        <v>201110</v>
      </c>
      <c r="L1943" s="7" t="n">
        <f aca="false">IF(AND(A1943&lt;&gt;A1942,LEFT(A1943,1)&lt;&gt;"C"),1,0)</f>
        <v>0</v>
      </c>
    </row>
    <row r="1944" customFormat="false" ht="15" hidden="false" customHeight="false" outlineLevel="0" collapsed="false">
      <c r="A1944" s="0" t="s">
        <v>1660</v>
      </c>
      <c r="B1944" s="0" t="s">
        <v>667</v>
      </c>
      <c r="C1944" s="0" t="s">
        <v>668</v>
      </c>
      <c r="D1944" s="0" t="n">
        <v>10</v>
      </c>
      <c r="E1944" s="6" t="n">
        <v>40820.375</v>
      </c>
      <c r="F1944" s="0" t="n">
        <v>0.85</v>
      </c>
      <c r="G1944" s="0" t="n">
        <v>12413</v>
      </c>
      <c r="H1944" s="0" t="s">
        <v>43</v>
      </c>
      <c r="I1944" s="7" t="n">
        <f aca="false">IF(AND(LEFT(A1944,1)&lt;&gt;"C",D1944&gt;0,F1944&gt;0),1,0)</f>
        <v>1</v>
      </c>
      <c r="J1944" s="7" t="n">
        <f aca="false">IF(I1944=1,D1944*F1944,0)</f>
        <v>8.5</v>
      </c>
      <c r="K1944" s="7" t="n">
        <f aca="false">YEAR(E1944)*100+MONTH(E1944)</f>
        <v>201110</v>
      </c>
      <c r="L1944" s="7" t="n">
        <f aca="false">IF(AND(A1944&lt;&gt;A1943,LEFT(A1944,1)&lt;&gt;"C"),1,0)</f>
        <v>0</v>
      </c>
    </row>
    <row r="1945" customFormat="false" ht="15" hidden="false" customHeight="false" outlineLevel="0" collapsed="false">
      <c r="A1945" s="0" t="s">
        <v>1660</v>
      </c>
      <c r="B1945" s="0" t="s">
        <v>168</v>
      </c>
      <c r="C1945" s="0" t="s">
        <v>169</v>
      </c>
      <c r="D1945" s="0" t="n">
        <v>10</v>
      </c>
      <c r="E1945" s="6" t="n">
        <v>40820.375</v>
      </c>
      <c r="F1945" s="0" t="n">
        <v>0.85</v>
      </c>
      <c r="G1945" s="0" t="n">
        <v>12413</v>
      </c>
      <c r="H1945" s="0" t="s">
        <v>43</v>
      </c>
      <c r="I1945" s="7" t="n">
        <f aca="false">IF(AND(LEFT(A1945,1)&lt;&gt;"C",D1945&gt;0,F1945&gt;0),1,0)</f>
        <v>1</v>
      </c>
      <c r="J1945" s="7" t="n">
        <f aca="false">IF(I1945=1,D1945*F1945,0)</f>
        <v>8.5</v>
      </c>
      <c r="K1945" s="7" t="n">
        <f aca="false">YEAR(E1945)*100+MONTH(E1945)</f>
        <v>201110</v>
      </c>
      <c r="L1945" s="7" t="n">
        <f aca="false">IF(AND(A1945&lt;&gt;A1944,LEFT(A1945,1)&lt;&gt;"C"),1,0)</f>
        <v>0</v>
      </c>
    </row>
    <row r="1946" customFormat="false" ht="15" hidden="false" customHeight="false" outlineLevel="0" collapsed="false">
      <c r="A1946" s="0" t="s">
        <v>1660</v>
      </c>
      <c r="B1946" s="0" t="s">
        <v>1661</v>
      </c>
      <c r="C1946" s="0" t="s">
        <v>1662</v>
      </c>
      <c r="D1946" s="0" t="n">
        <v>6</v>
      </c>
      <c r="E1946" s="6" t="n">
        <v>40820.375</v>
      </c>
      <c r="F1946" s="0" t="n">
        <v>2.95</v>
      </c>
      <c r="G1946" s="0" t="n">
        <v>12413</v>
      </c>
      <c r="H1946" s="0" t="s">
        <v>43</v>
      </c>
      <c r="I1946" s="7" t="n">
        <f aca="false">IF(AND(LEFT(A1946,1)&lt;&gt;"C",D1946&gt;0,F1946&gt;0),1,0)</f>
        <v>1</v>
      </c>
      <c r="J1946" s="7" t="n">
        <f aca="false">IF(I1946=1,D1946*F1946,0)</f>
        <v>17.7</v>
      </c>
      <c r="K1946" s="7" t="n">
        <f aca="false">YEAR(E1946)*100+MONTH(E1946)</f>
        <v>201110</v>
      </c>
      <c r="L1946" s="7" t="n">
        <f aca="false">IF(AND(A1946&lt;&gt;A1945,LEFT(A1946,1)&lt;&gt;"C"),1,0)</f>
        <v>0</v>
      </c>
    </row>
    <row r="1947" customFormat="false" ht="15" hidden="false" customHeight="false" outlineLevel="0" collapsed="false">
      <c r="A1947" s="0" t="s">
        <v>1660</v>
      </c>
      <c r="B1947" s="0" t="s">
        <v>123</v>
      </c>
      <c r="C1947" s="0" t="s">
        <v>124</v>
      </c>
      <c r="D1947" s="0" t="n">
        <v>12</v>
      </c>
      <c r="E1947" s="6" t="n">
        <v>40820.375</v>
      </c>
      <c r="F1947" s="0" t="n">
        <v>2.95</v>
      </c>
      <c r="G1947" s="0" t="n">
        <v>12413</v>
      </c>
      <c r="H1947" s="0" t="s">
        <v>43</v>
      </c>
      <c r="I1947" s="7" t="n">
        <f aca="false">IF(AND(LEFT(A1947,1)&lt;&gt;"C",D1947&gt;0,F1947&gt;0),1,0)</f>
        <v>1</v>
      </c>
      <c r="J1947" s="7" t="n">
        <f aca="false">IF(I1947=1,D1947*F1947,0)</f>
        <v>35.4</v>
      </c>
      <c r="K1947" s="7" t="n">
        <f aca="false">YEAR(E1947)*100+MONTH(E1947)</f>
        <v>201110</v>
      </c>
      <c r="L1947" s="7" t="n">
        <f aca="false">IF(AND(A1947&lt;&gt;A1946,LEFT(A1947,1)&lt;&gt;"C"),1,0)</f>
        <v>0</v>
      </c>
    </row>
    <row r="1948" customFormat="false" ht="15" hidden="false" customHeight="false" outlineLevel="0" collapsed="false">
      <c r="A1948" s="0" t="s">
        <v>1660</v>
      </c>
      <c r="B1948" s="0" t="s">
        <v>97</v>
      </c>
      <c r="C1948" s="0" t="s">
        <v>98</v>
      </c>
      <c r="D1948" s="0" t="n">
        <v>12</v>
      </c>
      <c r="E1948" s="6" t="n">
        <v>40820.375</v>
      </c>
      <c r="F1948" s="0" t="n">
        <v>1.65</v>
      </c>
      <c r="G1948" s="0" t="n">
        <v>12413</v>
      </c>
      <c r="H1948" s="0" t="s">
        <v>43</v>
      </c>
      <c r="I1948" s="7" t="n">
        <f aca="false">IF(AND(LEFT(A1948,1)&lt;&gt;"C",D1948&gt;0,F1948&gt;0),1,0)</f>
        <v>1</v>
      </c>
      <c r="J1948" s="7" t="n">
        <f aca="false">IF(I1948=1,D1948*F1948,0)</f>
        <v>19.8</v>
      </c>
      <c r="K1948" s="7" t="n">
        <f aca="false">YEAR(E1948)*100+MONTH(E1948)</f>
        <v>201110</v>
      </c>
      <c r="L1948" s="7" t="n">
        <f aca="false">IF(AND(A1948&lt;&gt;A1947,LEFT(A1948,1)&lt;&gt;"C"),1,0)</f>
        <v>0</v>
      </c>
    </row>
    <row r="1949" customFormat="false" ht="15" hidden="false" customHeight="false" outlineLevel="0" collapsed="false">
      <c r="A1949" s="0" t="s">
        <v>1660</v>
      </c>
      <c r="B1949" s="0" t="s">
        <v>545</v>
      </c>
      <c r="C1949" s="0" t="s">
        <v>546</v>
      </c>
      <c r="D1949" s="0" t="n">
        <v>6</v>
      </c>
      <c r="E1949" s="6" t="n">
        <v>40820.375</v>
      </c>
      <c r="F1949" s="0" t="n">
        <v>4.95</v>
      </c>
      <c r="G1949" s="0" t="n">
        <v>12413</v>
      </c>
      <c r="H1949" s="0" t="s">
        <v>43</v>
      </c>
      <c r="I1949" s="7" t="n">
        <f aca="false">IF(AND(LEFT(A1949,1)&lt;&gt;"C",D1949&gt;0,F1949&gt;0),1,0)</f>
        <v>1</v>
      </c>
      <c r="J1949" s="7" t="n">
        <f aca="false">IF(I1949=1,D1949*F1949,0)</f>
        <v>29.7</v>
      </c>
      <c r="K1949" s="7" t="n">
        <f aca="false">YEAR(E1949)*100+MONTH(E1949)</f>
        <v>201110</v>
      </c>
      <c r="L1949" s="7" t="n">
        <f aca="false">IF(AND(A1949&lt;&gt;A1948,LEFT(A1949,1)&lt;&gt;"C"),1,0)</f>
        <v>0</v>
      </c>
    </row>
    <row r="1950" customFormat="false" ht="15" hidden="false" customHeight="false" outlineLevel="0" collapsed="false">
      <c r="A1950" s="0" t="s">
        <v>1660</v>
      </c>
      <c r="B1950" s="0" t="s">
        <v>84</v>
      </c>
      <c r="C1950" s="0" t="s">
        <v>85</v>
      </c>
      <c r="D1950" s="0" t="n">
        <v>1</v>
      </c>
      <c r="E1950" s="6" t="n">
        <v>40820.375</v>
      </c>
      <c r="F1950" s="0" t="n">
        <v>18</v>
      </c>
      <c r="G1950" s="0" t="n">
        <v>12413</v>
      </c>
      <c r="H1950" s="0" t="s">
        <v>43</v>
      </c>
      <c r="I1950" s="7" t="n">
        <f aca="false">IF(AND(LEFT(A1950,1)&lt;&gt;"C",D1950&gt;0,F1950&gt;0),1,0)</f>
        <v>1</v>
      </c>
      <c r="J1950" s="7" t="n">
        <f aca="false">IF(I1950=1,D1950*F1950,0)</f>
        <v>18</v>
      </c>
      <c r="K1950" s="7" t="n">
        <f aca="false">YEAR(E1950)*100+MONTH(E1950)</f>
        <v>201110</v>
      </c>
      <c r="L1950" s="7" t="n">
        <f aca="false">IF(AND(A1950&lt;&gt;A1949,LEFT(A1950,1)&lt;&gt;"C"),1,0)</f>
        <v>0</v>
      </c>
    </row>
    <row r="1951" customFormat="false" ht="15" hidden="false" customHeight="false" outlineLevel="0" collapsed="false">
      <c r="A1951" s="0" t="s">
        <v>1663</v>
      </c>
      <c r="B1951" s="0" t="s">
        <v>146</v>
      </c>
      <c r="C1951" s="0" t="s">
        <v>147</v>
      </c>
      <c r="D1951" s="0" t="n">
        <v>-1</v>
      </c>
      <c r="E1951" s="6" t="n">
        <v>40820.5326388889</v>
      </c>
      <c r="F1951" s="0" t="n">
        <v>2.89</v>
      </c>
      <c r="G1951" s="0" t="n">
        <v>12705</v>
      </c>
      <c r="H1951" s="0" t="s">
        <v>33</v>
      </c>
      <c r="I1951" s="7" t="n">
        <f aca="false">IF(AND(LEFT(A1951,1)&lt;&gt;"C",D1951&gt;0,F1951&gt;0),1,0)</f>
        <v>0</v>
      </c>
      <c r="J1951" s="7" t="n">
        <f aca="false">IF(I1951=1,D1951*F1951,0)</f>
        <v>0</v>
      </c>
      <c r="K1951" s="7" t="n">
        <f aca="false">YEAR(E1951)*100+MONTH(E1951)</f>
        <v>201110</v>
      </c>
      <c r="L1951" s="7" t="n">
        <f aca="false">IF(AND(A1951&lt;&gt;A1950,LEFT(A1951,1)&lt;&gt;"C"),1,0)</f>
        <v>0</v>
      </c>
    </row>
    <row r="1952" customFormat="false" ht="15" hidden="false" customHeight="false" outlineLevel="0" collapsed="false">
      <c r="A1952" s="0" t="s">
        <v>1663</v>
      </c>
      <c r="B1952" s="0" t="s">
        <v>138</v>
      </c>
      <c r="C1952" s="0" t="s">
        <v>139</v>
      </c>
      <c r="D1952" s="0" t="n">
        <v>-2</v>
      </c>
      <c r="E1952" s="6" t="n">
        <v>40820.5326388889</v>
      </c>
      <c r="F1952" s="0" t="n">
        <v>2.08</v>
      </c>
      <c r="G1952" s="0" t="n">
        <v>12705</v>
      </c>
      <c r="H1952" s="0" t="s">
        <v>33</v>
      </c>
      <c r="I1952" s="7" t="n">
        <f aca="false">IF(AND(LEFT(A1952,1)&lt;&gt;"C",D1952&gt;0,F1952&gt;0),1,0)</f>
        <v>0</v>
      </c>
      <c r="J1952" s="7" t="n">
        <f aca="false">IF(I1952=1,D1952*F1952,0)</f>
        <v>0</v>
      </c>
      <c r="K1952" s="7" t="n">
        <f aca="false">YEAR(E1952)*100+MONTH(E1952)</f>
        <v>201110</v>
      </c>
      <c r="L1952" s="7" t="n">
        <f aca="false">IF(AND(A1952&lt;&gt;A1951,LEFT(A1952,1)&lt;&gt;"C"),1,0)</f>
        <v>0</v>
      </c>
    </row>
    <row r="1953" customFormat="false" ht="15" hidden="false" customHeight="false" outlineLevel="0" collapsed="false">
      <c r="A1953" s="0" t="s">
        <v>1664</v>
      </c>
      <c r="B1953" s="0" t="s">
        <v>1665</v>
      </c>
      <c r="C1953" s="0" t="s">
        <v>1666</v>
      </c>
      <c r="D1953" s="0" t="n">
        <v>2</v>
      </c>
      <c r="E1953" s="6" t="n">
        <v>40820.6263888889</v>
      </c>
      <c r="F1953" s="0" t="n">
        <v>8.5</v>
      </c>
      <c r="G1953" s="0" t="n">
        <v>12695</v>
      </c>
      <c r="H1953" s="0" t="s">
        <v>43</v>
      </c>
      <c r="I1953" s="7" t="n">
        <f aca="false">IF(AND(LEFT(A1953,1)&lt;&gt;"C",D1953&gt;0,F1953&gt;0),1,0)</f>
        <v>1</v>
      </c>
      <c r="J1953" s="7" t="n">
        <f aca="false">IF(I1953=1,D1953*F1953,0)</f>
        <v>17</v>
      </c>
      <c r="K1953" s="7" t="n">
        <f aca="false">YEAR(E1953)*100+MONTH(E1953)</f>
        <v>201110</v>
      </c>
      <c r="L1953" s="7" t="n">
        <f aca="false">IF(AND(A1953&lt;&gt;A1952,LEFT(A1953,1)&lt;&gt;"C"),1,0)</f>
        <v>1</v>
      </c>
    </row>
    <row r="1954" customFormat="false" ht="15" hidden="false" customHeight="false" outlineLevel="0" collapsed="false">
      <c r="A1954" s="0" t="s">
        <v>1664</v>
      </c>
      <c r="B1954" s="0" t="s">
        <v>1667</v>
      </c>
      <c r="C1954" s="0" t="s">
        <v>1668</v>
      </c>
      <c r="D1954" s="0" t="n">
        <v>2</v>
      </c>
      <c r="E1954" s="6" t="n">
        <v>40820.6263888889</v>
      </c>
      <c r="F1954" s="0" t="n">
        <v>7.95</v>
      </c>
      <c r="G1954" s="0" t="n">
        <v>12695</v>
      </c>
      <c r="H1954" s="0" t="s">
        <v>43</v>
      </c>
      <c r="I1954" s="7" t="n">
        <f aca="false">IF(AND(LEFT(A1954,1)&lt;&gt;"C",D1954&gt;0,F1954&gt;0),1,0)</f>
        <v>1</v>
      </c>
      <c r="J1954" s="7" t="n">
        <f aca="false">IF(I1954=1,D1954*F1954,0)</f>
        <v>15.9</v>
      </c>
      <c r="K1954" s="7" t="n">
        <f aca="false">YEAR(E1954)*100+MONTH(E1954)</f>
        <v>201110</v>
      </c>
      <c r="L1954" s="7" t="n">
        <f aca="false">IF(AND(A1954&lt;&gt;A1953,LEFT(A1954,1)&lt;&gt;"C"),1,0)</f>
        <v>0</v>
      </c>
    </row>
    <row r="1955" customFormat="false" ht="15" hidden="false" customHeight="false" outlineLevel="0" collapsed="false">
      <c r="A1955" s="0" t="s">
        <v>1664</v>
      </c>
      <c r="B1955" s="0" t="s">
        <v>1420</v>
      </c>
      <c r="C1955" s="0" t="s">
        <v>1421</v>
      </c>
      <c r="D1955" s="0" t="n">
        <v>8</v>
      </c>
      <c r="E1955" s="6" t="n">
        <v>40820.6263888889</v>
      </c>
      <c r="F1955" s="0" t="n">
        <v>4.95</v>
      </c>
      <c r="G1955" s="0" t="n">
        <v>12695</v>
      </c>
      <c r="H1955" s="0" t="s">
        <v>43</v>
      </c>
      <c r="I1955" s="7" t="n">
        <f aca="false">IF(AND(LEFT(A1955,1)&lt;&gt;"C",D1955&gt;0,F1955&gt;0),1,0)</f>
        <v>1</v>
      </c>
      <c r="J1955" s="7" t="n">
        <f aca="false">IF(I1955=1,D1955*F1955,0)</f>
        <v>39.6</v>
      </c>
      <c r="K1955" s="7" t="n">
        <f aca="false">YEAR(E1955)*100+MONTH(E1955)</f>
        <v>201110</v>
      </c>
      <c r="L1955" s="7" t="n">
        <f aca="false">IF(AND(A1955&lt;&gt;A1954,LEFT(A1955,1)&lt;&gt;"C"),1,0)</f>
        <v>0</v>
      </c>
    </row>
    <row r="1956" customFormat="false" ht="15" hidden="false" customHeight="false" outlineLevel="0" collapsed="false">
      <c r="A1956" s="0" t="s">
        <v>1664</v>
      </c>
      <c r="B1956" s="0" t="s">
        <v>1669</v>
      </c>
      <c r="C1956" s="0" t="s">
        <v>1670</v>
      </c>
      <c r="D1956" s="0" t="n">
        <v>12</v>
      </c>
      <c r="E1956" s="6" t="n">
        <v>40820.6263888889</v>
      </c>
      <c r="F1956" s="0" t="n">
        <v>1.65</v>
      </c>
      <c r="G1956" s="0" t="n">
        <v>12695</v>
      </c>
      <c r="H1956" s="0" t="s">
        <v>43</v>
      </c>
      <c r="I1956" s="7" t="n">
        <f aca="false">IF(AND(LEFT(A1956,1)&lt;&gt;"C",D1956&gt;0,F1956&gt;0),1,0)</f>
        <v>1</v>
      </c>
      <c r="J1956" s="7" t="n">
        <f aca="false">IF(I1956=1,D1956*F1956,0)</f>
        <v>19.8</v>
      </c>
      <c r="K1956" s="7" t="n">
        <f aca="false">YEAR(E1956)*100+MONTH(E1956)</f>
        <v>201110</v>
      </c>
      <c r="L1956" s="7" t="n">
        <f aca="false">IF(AND(A1956&lt;&gt;A1955,LEFT(A1956,1)&lt;&gt;"C"),1,0)</f>
        <v>0</v>
      </c>
    </row>
    <row r="1957" customFormat="false" ht="15" hidden="false" customHeight="false" outlineLevel="0" collapsed="false">
      <c r="A1957" s="0" t="s">
        <v>1664</v>
      </c>
      <c r="B1957" s="0" t="s">
        <v>1671</v>
      </c>
      <c r="C1957" s="0" t="s">
        <v>1672</v>
      </c>
      <c r="D1957" s="0" t="n">
        <v>10</v>
      </c>
      <c r="E1957" s="6" t="n">
        <v>40820.6263888889</v>
      </c>
      <c r="F1957" s="0" t="n">
        <v>7.08</v>
      </c>
      <c r="G1957" s="0" t="n">
        <v>12695</v>
      </c>
      <c r="H1957" s="0" t="s">
        <v>43</v>
      </c>
      <c r="I1957" s="7" t="n">
        <f aca="false">IF(AND(LEFT(A1957,1)&lt;&gt;"C",D1957&gt;0,F1957&gt;0),1,0)</f>
        <v>1</v>
      </c>
      <c r="J1957" s="7" t="n">
        <f aca="false">IF(I1957=1,D1957*F1957,0)</f>
        <v>70.8</v>
      </c>
      <c r="K1957" s="7" t="n">
        <f aca="false">YEAR(E1957)*100+MONTH(E1957)</f>
        <v>201110</v>
      </c>
      <c r="L1957" s="7" t="n">
        <f aca="false">IF(AND(A1957&lt;&gt;A1956,LEFT(A1957,1)&lt;&gt;"C"),1,0)</f>
        <v>0</v>
      </c>
    </row>
    <row r="1958" customFormat="false" ht="15" hidden="false" customHeight="false" outlineLevel="0" collapsed="false">
      <c r="A1958" s="0" t="s">
        <v>1673</v>
      </c>
      <c r="B1958" s="0" t="s">
        <v>1674</v>
      </c>
      <c r="C1958" s="0" t="s">
        <v>1675</v>
      </c>
      <c r="D1958" s="0" t="n">
        <v>12</v>
      </c>
      <c r="E1958" s="6" t="n">
        <v>40821.4048611111</v>
      </c>
      <c r="F1958" s="0" t="n">
        <v>1.25</v>
      </c>
      <c r="G1958" s="0" t="n">
        <v>12720</v>
      </c>
      <c r="H1958" s="0" t="s">
        <v>33</v>
      </c>
      <c r="I1958" s="7" t="n">
        <f aca="false">IF(AND(LEFT(A1958,1)&lt;&gt;"C",D1958&gt;0,F1958&gt;0),1,0)</f>
        <v>1</v>
      </c>
      <c r="J1958" s="7" t="n">
        <f aca="false">IF(I1958=1,D1958*F1958,0)</f>
        <v>15</v>
      </c>
      <c r="K1958" s="7" t="n">
        <f aca="false">YEAR(E1958)*100+MONTH(E1958)</f>
        <v>201110</v>
      </c>
      <c r="L1958" s="7" t="n">
        <f aca="false">IF(AND(A1958&lt;&gt;A1957,LEFT(A1958,1)&lt;&gt;"C"),1,0)</f>
        <v>1</v>
      </c>
    </row>
    <row r="1959" customFormat="false" ht="15" hidden="false" customHeight="false" outlineLevel="0" collapsed="false">
      <c r="A1959" s="0" t="s">
        <v>1673</v>
      </c>
      <c r="B1959" s="0" t="s">
        <v>1401</v>
      </c>
      <c r="C1959" s="0" t="s">
        <v>1402</v>
      </c>
      <c r="D1959" s="0" t="n">
        <v>10</v>
      </c>
      <c r="E1959" s="6" t="n">
        <v>40821.4048611111</v>
      </c>
      <c r="F1959" s="0" t="n">
        <v>1.65</v>
      </c>
      <c r="G1959" s="0" t="n">
        <v>12720</v>
      </c>
      <c r="H1959" s="0" t="s">
        <v>33</v>
      </c>
      <c r="I1959" s="7" t="n">
        <f aca="false">IF(AND(LEFT(A1959,1)&lt;&gt;"C",D1959&gt;0,F1959&gt;0),1,0)</f>
        <v>1</v>
      </c>
      <c r="J1959" s="7" t="n">
        <f aca="false">IF(I1959=1,D1959*F1959,0)</f>
        <v>16.5</v>
      </c>
      <c r="K1959" s="7" t="n">
        <f aca="false">YEAR(E1959)*100+MONTH(E1959)</f>
        <v>201110</v>
      </c>
      <c r="L1959" s="7" t="n">
        <f aca="false">IF(AND(A1959&lt;&gt;A1958,LEFT(A1959,1)&lt;&gt;"C"),1,0)</f>
        <v>0</v>
      </c>
    </row>
    <row r="1960" customFormat="false" ht="15" hidden="false" customHeight="false" outlineLevel="0" collapsed="false">
      <c r="A1960" s="0" t="s">
        <v>1673</v>
      </c>
      <c r="B1960" s="0" t="s">
        <v>123</v>
      </c>
      <c r="C1960" s="0" t="s">
        <v>124</v>
      </c>
      <c r="D1960" s="0" t="n">
        <v>6</v>
      </c>
      <c r="E1960" s="6" t="n">
        <v>40821.4048611111</v>
      </c>
      <c r="F1960" s="0" t="n">
        <v>2.95</v>
      </c>
      <c r="G1960" s="0" t="n">
        <v>12720</v>
      </c>
      <c r="H1960" s="0" t="s">
        <v>33</v>
      </c>
      <c r="I1960" s="7" t="n">
        <f aca="false">IF(AND(LEFT(A1960,1)&lt;&gt;"C",D1960&gt;0,F1960&gt;0),1,0)</f>
        <v>1</v>
      </c>
      <c r="J1960" s="7" t="n">
        <f aca="false">IF(I1960=1,D1960*F1960,0)</f>
        <v>17.7</v>
      </c>
      <c r="K1960" s="7" t="n">
        <f aca="false">YEAR(E1960)*100+MONTH(E1960)</f>
        <v>201110</v>
      </c>
      <c r="L1960" s="7" t="n">
        <f aca="false">IF(AND(A1960&lt;&gt;A1959,LEFT(A1960,1)&lt;&gt;"C"),1,0)</f>
        <v>0</v>
      </c>
    </row>
    <row r="1961" customFormat="false" ht="15" hidden="false" customHeight="false" outlineLevel="0" collapsed="false">
      <c r="A1961" s="0" t="s">
        <v>1673</v>
      </c>
      <c r="B1961" s="0" t="s">
        <v>1407</v>
      </c>
      <c r="C1961" s="0" t="s">
        <v>1408</v>
      </c>
      <c r="D1961" s="0" t="n">
        <v>24</v>
      </c>
      <c r="E1961" s="6" t="n">
        <v>40821.4048611111</v>
      </c>
      <c r="F1961" s="0" t="n">
        <v>0.39</v>
      </c>
      <c r="G1961" s="0" t="n">
        <v>12720</v>
      </c>
      <c r="H1961" s="0" t="s">
        <v>33</v>
      </c>
      <c r="I1961" s="7" t="n">
        <f aca="false">IF(AND(LEFT(A1961,1)&lt;&gt;"C",D1961&gt;0,F1961&gt;0),1,0)</f>
        <v>1</v>
      </c>
      <c r="J1961" s="7" t="n">
        <f aca="false">IF(I1961=1,D1961*F1961,0)</f>
        <v>9.36</v>
      </c>
      <c r="K1961" s="7" t="n">
        <f aca="false">YEAR(E1961)*100+MONTH(E1961)</f>
        <v>201110</v>
      </c>
      <c r="L1961" s="7" t="n">
        <f aca="false">IF(AND(A1961&lt;&gt;A1960,LEFT(A1961,1)&lt;&gt;"C"),1,0)</f>
        <v>0</v>
      </c>
    </row>
    <row r="1962" customFormat="false" ht="15" hidden="false" customHeight="false" outlineLevel="0" collapsed="false">
      <c r="A1962" s="0" t="s">
        <v>1673</v>
      </c>
      <c r="B1962" s="0" t="s">
        <v>1600</v>
      </c>
      <c r="C1962" s="0" t="s">
        <v>1601</v>
      </c>
      <c r="D1962" s="0" t="n">
        <v>10</v>
      </c>
      <c r="E1962" s="6" t="n">
        <v>40821.4048611111</v>
      </c>
      <c r="F1962" s="0" t="n">
        <v>1.95</v>
      </c>
      <c r="G1962" s="0" t="n">
        <v>12720</v>
      </c>
      <c r="H1962" s="0" t="s">
        <v>33</v>
      </c>
      <c r="I1962" s="7" t="n">
        <f aca="false">IF(AND(LEFT(A1962,1)&lt;&gt;"C",D1962&gt;0,F1962&gt;0),1,0)</f>
        <v>1</v>
      </c>
      <c r="J1962" s="7" t="n">
        <f aca="false">IF(I1962=1,D1962*F1962,0)</f>
        <v>19.5</v>
      </c>
      <c r="K1962" s="7" t="n">
        <f aca="false">YEAR(E1962)*100+MONTH(E1962)</f>
        <v>201110</v>
      </c>
      <c r="L1962" s="7" t="n">
        <f aca="false">IF(AND(A1962&lt;&gt;A1961,LEFT(A1962,1)&lt;&gt;"C"),1,0)</f>
        <v>0</v>
      </c>
    </row>
    <row r="1963" customFormat="false" ht="15" hidden="false" customHeight="false" outlineLevel="0" collapsed="false">
      <c r="A1963" s="0" t="s">
        <v>1673</v>
      </c>
      <c r="B1963" s="0" t="s">
        <v>1676</v>
      </c>
      <c r="C1963" s="0" t="s">
        <v>1677</v>
      </c>
      <c r="D1963" s="0" t="n">
        <v>6</v>
      </c>
      <c r="E1963" s="6" t="n">
        <v>40821.4048611111</v>
      </c>
      <c r="F1963" s="0" t="n">
        <v>5.95</v>
      </c>
      <c r="G1963" s="0" t="n">
        <v>12720</v>
      </c>
      <c r="H1963" s="0" t="s">
        <v>33</v>
      </c>
      <c r="I1963" s="7" t="n">
        <f aca="false">IF(AND(LEFT(A1963,1)&lt;&gt;"C",D1963&gt;0,F1963&gt;0),1,0)</f>
        <v>1</v>
      </c>
      <c r="J1963" s="7" t="n">
        <f aca="false">IF(I1963=1,D1963*F1963,0)</f>
        <v>35.7</v>
      </c>
      <c r="K1963" s="7" t="n">
        <f aca="false">YEAR(E1963)*100+MONTH(E1963)</f>
        <v>201110</v>
      </c>
      <c r="L1963" s="7" t="n">
        <f aca="false">IF(AND(A1963&lt;&gt;A1962,LEFT(A1963,1)&lt;&gt;"C"),1,0)</f>
        <v>0</v>
      </c>
    </row>
    <row r="1964" customFormat="false" ht="15" hidden="false" customHeight="false" outlineLevel="0" collapsed="false">
      <c r="A1964" s="0" t="s">
        <v>1673</v>
      </c>
      <c r="B1964" s="0" t="s">
        <v>1678</v>
      </c>
      <c r="C1964" s="0" t="s">
        <v>1679</v>
      </c>
      <c r="D1964" s="0" t="n">
        <v>16</v>
      </c>
      <c r="E1964" s="6" t="n">
        <v>40821.4048611111</v>
      </c>
      <c r="F1964" s="0" t="n">
        <v>0.65</v>
      </c>
      <c r="G1964" s="0" t="n">
        <v>12720</v>
      </c>
      <c r="H1964" s="0" t="s">
        <v>33</v>
      </c>
      <c r="I1964" s="7" t="n">
        <f aca="false">IF(AND(LEFT(A1964,1)&lt;&gt;"C",D1964&gt;0,F1964&gt;0),1,0)</f>
        <v>1</v>
      </c>
      <c r="J1964" s="7" t="n">
        <f aca="false">IF(I1964=1,D1964*F1964,0)</f>
        <v>10.4</v>
      </c>
      <c r="K1964" s="7" t="n">
        <f aca="false">YEAR(E1964)*100+MONTH(E1964)</f>
        <v>201110</v>
      </c>
      <c r="L1964" s="7" t="n">
        <f aca="false">IF(AND(A1964&lt;&gt;A1963,LEFT(A1964,1)&lt;&gt;"C"),1,0)</f>
        <v>0</v>
      </c>
    </row>
    <row r="1965" customFormat="false" ht="15" hidden="false" customHeight="false" outlineLevel="0" collapsed="false">
      <c r="A1965" s="0" t="s">
        <v>1673</v>
      </c>
      <c r="B1965" s="0" t="s">
        <v>1680</v>
      </c>
      <c r="C1965" s="0" t="s">
        <v>1681</v>
      </c>
      <c r="D1965" s="0" t="n">
        <v>16</v>
      </c>
      <c r="E1965" s="6" t="n">
        <v>40821.4048611111</v>
      </c>
      <c r="F1965" s="0" t="n">
        <v>0.65</v>
      </c>
      <c r="G1965" s="0" t="n">
        <v>12720</v>
      </c>
      <c r="H1965" s="0" t="s">
        <v>33</v>
      </c>
      <c r="I1965" s="7" t="n">
        <f aca="false">IF(AND(LEFT(A1965,1)&lt;&gt;"C",D1965&gt;0,F1965&gt;0),1,0)</f>
        <v>1</v>
      </c>
      <c r="J1965" s="7" t="n">
        <f aca="false">IF(I1965=1,D1965*F1965,0)</f>
        <v>10.4</v>
      </c>
      <c r="K1965" s="7" t="n">
        <f aca="false">YEAR(E1965)*100+MONTH(E1965)</f>
        <v>201110</v>
      </c>
      <c r="L1965" s="7" t="n">
        <f aca="false">IF(AND(A1965&lt;&gt;A1964,LEFT(A1965,1)&lt;&gt;"C"),1,0)</f>
        <v>0</v>
      </c>
    </row>
    <row r="1966" customFormat="false" ht="15" hidden="false" customHeight="false" outlineLevel="0" collapsed="false">
      <c r="A1966" s="0" t="s">
        <v>1673</v>
      </c>
      <c r="B1966" s="0" t="s">
        <v>1501</v>
      </c>
      <c r="C1966" s="0" t="s">
        <v>1502</v>
      </c>
      <c r="D1966" s="0" t="n">
        <v>16</v>
      </c>
      <c r="E1966" s="6" t="n">
        <v>40821.4048611111</v>
      </c>
      <c r="F1966" s="0" t="n">
        <v>0.65</v>
      </c>
      <c r="G1966" s="0" t="n">
        <v>12720</v>
      </c>
      <c r="H1966" s="0" t="s">
        <v>33</v>
      </c>
      <c r="I1966" s="7" t="n">
        <f aca="false">IF(AND(LEFT(A1966,1)&lt;&gt;"C",D1966&gt;0,F1966&gt;0),1,0)</f>
        <v>1</v>
      </c>
      <c r="J1966" s="7" t="n">
        <f aca="false">IF(I1966=1,D1966*F1966,0)</f>
        <v>10.4</v>
      </c>
      <c r="K1966" s="7" t="n">
        <f aca="false">YEAR(E1966)*100+MONTH(E1966)</f>
        <v>201110</v>
      </c>
      <c r="L1966" s="7" t="n">
        <f aca="false">IF(AND(A1966&lt;&gt;A1965,LEFT(A1966,1)&lt;&gt;"C"),1,0)</f>
        <v>0</v>
      </c>
    </row>
    <row r="1967" customFormat="false" ht="15" hidden="false" customHeight="false" outlineLevel="0" collapsed="false">
      <c r="A1967" s="0" t="s">
        <v>1673</v>
      </c>
      <c r="B1967" s="0" t="s">
        <v>48</v>
      </c>
      <c r="C1967" s="0" t="s">
        <v>49</v>
      </c>
      <c r="D1967" s="0" t="n">
        <v>24</v>
      </c>
      <c r="E1967" s="6" t="n">
        <v>40821.4048611111</v>
      </c>
      <c r="F1967" s="0" t="n">
        <v>0.65</v>
      </c>
      <c r="G1967" s="0" t="n">
        <v>12720</v>
      </c>
      <c r="H1967" s="0" t="s">
        <v>33</v>
      </c>
      <c r="I1967" s="7" t="n">
        <f aca="false">IF(AND(LEFT(A1967,1)&lt;&gt;"C",D1967&gt;0,F1967&gt;0),1,0)</f>
        <v>1</v>
      </c>
      <c r="J1967" s="7" t="n">
        <f aca="false">IF(I1967=1,D1967*F1967,0)</f>
        <v>15.6</v>
      </c>
      <c r="K1967" s="7" t="n">
        <f aca="false">YEAR(E1967)*100+MONTH(E1967)</f>
        <v>201110</v>
      </c>
      <c r="L1967" s="7" t="n">
        <f aca="false">IF(AND(A1967&lt;&gt;A1966,LEFT(A1967,1)&lt;&gt;"C"),1,0)</f>
        <v>0</v>
      </c>
    </row>
    <row r="1968" customFormat="false" ht="15" hidden="false" customHeight="false" outlineLevel="0" collapsed="false">
      <c r="A1968" s="0" t="s">
        <v>1673</v>
      </c>
      <c r="B1968" s="0" t="s">
        <v>1682</v>
      </c>
      <c r="C1968" s="0" t="s">
        <v>1683</v>
      </c>
      <c r="D1968" s="0" t="n">
        <v>10</v>
      </c>
      <c r="E1968" s="6" t="n">
        <v>40821.4048611111</v>
      </c>
      <c r="F1968" s="0" t="n">
        <v>0.79</v>
      </c>
      <c r="G1968" s="0" t="n">
        <v>12720</v>
      </c>
      <c r="H1968" s="0" t="s">
        <v>33</v>
      </c>
      <c r="I1968" s="7" t="n">
        <f aca="false">IF(AND(LEFT(A1968,1)&lt;&gt;"C",D1968&gt;0,F1968&gt;0),1,0)</f>
        <v>1</v>
      </c>
      <c r="J1968" s="7" t="n">
        <f aca="false">IF(I1968=1,D1968*F1968,0)</f>
        <v>7.9</v>
      </c>
      <c r="K1968" s="7" t="n">
        <f aca="false">YEAR(E1968)*100+MONTH(E1968)</f>
        <v>201110</v>
      </c>
      <c r="L1968" s="7" t="n">
        <f aca="false">IF(AND(A1968&lt;&gt;A1967,LEFT(A1968,1)&lt;&gt;"C"),1,0)</f>
        <v>0</v>
      </c>
    </row>
    <row r="1969" customFormat="false" ht="15" hidden="false" customHeight="false" outlineLevel="0" collapsed="false">
      <c r="A1969" s="0" t="s">
        <v>1673</v>
      </c>
      <c r="B1969" s="0" t="s">
        <v>245</v>
      </c>
      <c r="C1969" s="0" t="s">
        <v>246</v>
      </c>
      <c r="D1969" s="0" t="n">
        <v>25</v>
      </c>
      <c r="E1969" s="6" t="n">
        <v>40821.4048611111</v>
      </c>
      <c r="F1969" s="0" t="n">
        <v>0.42</v>
      </c>
      <c r="G1969" s="0" t="n">
        <v>12720</v>
      </c>
      <c r="H1969" s="0" t="s">
        <v>33</v>
      </c>
      <c r="I1969" s="7" t="n">
        <f aca="false">IF(AND(LEFT(A1969,1)&lt;&gt;"C",D1969&gt;0,F1969&gt;0),1,0)</f>
        <v>1</v>
      </c>
      <c r="J1969" s="7" t="n">
        <f aca="false">IF(I1969=1,D1969*F1969,0)</f>
        <v>10.5</v>
      </c>
      <c r="K1969" s="7" t="n">
        <f aca="false">YEAR(E1969)*100+MONTH(E1969)</f>
        <v>201110</v>
      </c>
      <c r="L1969" s="7" t="n">
        <f aca="false">IF(AND(A1969&lt;&gt;A1968,LEFT(A1969,1)&lt;&gt;"C"),1,0)</f>
        <v>0</v>
      </c>
    </row>
    <row r="1970" customFormat="false" ht="15" hidden="false" customHeight="false" outlineLevel="0" collapsed="false">
      <c r="A1970" s="0" t="s">
        <v>1673</v>
      </c>
      <c r="B1970" s="0" t="s">
        <v>1559</v>
      </c>
      <c r="C1970" s="0" t="s">
        <v>1560</v>
      </c>
      <c r="D1970" s="0" t="n">
        <v>6</v>
      </c>
      <c r="E1970" s="6" t="n">
        <v>40821.4048611111</v>
      </c>
      <c r="F1970" s="0" t="n">
        <v>2.1</v>
      </c>
      <c r="G1970" s="0" t="n">
        <v>12720</v>
      </c>
      <c r="H1970" s="0" t="s">
        <v>33</v>
      </c>
      <c r="I1970" s="7" t="n">
        <f aca="false">IF(AND(LEFT(A1970,1)&lt;&gt;"C",D1970&gt;0,F1970&gt;0),1,0)</f>
        <v>1</v>
      </c>
      <c r="J1970" s="7" t="n">
        <f aca="false">IF(I1970=1,D1970*F1970,0)</f>
        <v>12.6</v>
      </c>
      <c r="K1970" s="7" t="n">
        <f aca="false">YEAR(E1970)*100+MONTH(E1970)</f>
        <v>201110</v>
      </c>
      <c r="L1970" s="7" t="n">
        <f aca="false">IF(AND(A1970&lt;&gt;A1969,LEFT(A1970,1)&lt;&gt;"C"),1,0)</f>
        <v>0</v>
      </c>
    </row>
    <row r="1971" customFormat="false" ht="15" hidden="false" customHeight="false" outlineLevel="0" collapsed="false">
      <c r="A1971" s="0" t="s">
        <v>1673</v>
      </c>
      <c r="B1971" s="0" t="s">
        <v>792</v>
      </c>
      <c r="C1971" s="0" t="s">
        <v>793</v>
      </c>
      <c r="D1971" s="0" t="n">
        <v>12</v>
      </c>
      <c r="E1971" s="6" t="n">
        <v>40821.4048611111</v>
      </c>
      <c r="F1971" s="0" t="n">
        <v>1.95</v>
      </c>
      <c r="G1971" s="0" t="n">
        <v>12720</v>
      </c>
      <c r="H1971" s="0" t="s">
        <v>33</v>
      </c>
      <c r="I1971" s="7" t="n">
        <f aca="false">IF(AND(LEFT(A1971,1)&lt;&gt;"C",D1971&gt;0,F1971&gt;0),1,0)</f>
        <v>1</v>
      </c>
      <c r="J1971" s="7" t="n">
        <f aca="false">IF(I1971=1,D1971*F1971,0)</f>
        <v>23.4</v>
      </c>
      <c r="K1971" s="7" t="n">
        <f aca="false">YEAR(E1971)*100+MONTH(E1971)</f>
        <v>201110</v>
      </c>
      <c r="L1971" s="7" t="n">
        <f aca="false">IF(AND(A1971&lt;&gt;A1970,LEFT(A1971,1)&lt;&gt;"C"),1,0)</f>
        <v>0</v>
      </c>
    </row>
    <row r="1972" customFormat="false" ht="15" hidden="false" customHeight="false" outlineLevel="0" collapsed="false">
      <c r="A1972" s="0" t="s">
        <v>1673</v>
      </c>
      <c r="B1972" s="0" t="s">
        <v>895</v>
      </c>
      <c r="C1972" s="0" t="s">
        <v>896</v>
      </c>
      <c r="D1972" s="0" t="n">
        <v>6</v>
      </c>
      <c r="E1972" s="6" t="n">
        <v>40821.4048611111</v>
      </c>
      <c r="F1972" s="0" t="n">
        <v>2.89</v>
      </c>
      <c r="G1972" s="0" t="n">
        <v>12720</v>
      </c>
      <c r="H1972" s="0" t="s">
        <v>33</v>
      </c>
      <c r="I1972" s="7" t="n">
        <f aca="false">IF(AND(LEFT(A1972,1)&lt;&gt;"C",D1972&gt;0,F1972&gt;0),1,0)</f>
        <v>1</v>
      </c>
      <c r="J1972" s="7" t="n">
        <f aca="false">IF(I1972=1,D1972*F1972,0)</f>
        <v>17.34</v>
      </c>
      <c r="K1972" s="7" t="n">
        <f aca="false">YEAR(E1972)*100+MONTH(E1972)</f>
        <v>201110</v>
      </c>
      <c r="L1972" s="7" t="n">
        <f aca="false">IF(AND(A1972&lt;&gt;A1971,LEFT(A1972,1)&lt;&gt;"C"),1,0)</f>
        <v>0</v>
      </c>
    </row>
    <row r="1973" customFormat="false" ht="15" hidden="false" customHeight="false" outlineLevel="0" collapsed="false">
      <c r="A1973" s="0" t="s">
        <v>1673</v>
      </c>
      <c r="B1973" s="0" t="s">
        <v>739</v>
      </c>
      <c r="C1973" s="0" t="s">
        <v>740</v>
      </c>
      <c r="D1973" s="0" t="n">
        <v>12</v>
      </c>
      <c r="E1973" s="6" t="n">
        <v>40821.4048611111</v>
      </c>
      <c r="F1973" s="0" t="n">
        <v>2.89</v>
      </c>
      <c r="G1973" s="0" t="n">
        <v>12720</v>
      </c>
      <c r="H1973" s="0" t="s">
        <v>33</v>
      </c>
      <c r="I1973" s="7" t="n">
        <f aca="false">IF(AND(LEFT(A1973,1)&lt;&gt;"C",D1973&gt;0,F1973&gt;0),1,0)</f>
        <v>1</v>
      </c>
      <c r="J1973" s="7" t="n">
        <f aca="false">IF(I1973=1,D1973*F1973,0)</f>
        <v>34.68</v>
      </c>
      <c r="K1973" s="7" t="n">
        <f aca="false">YEAR(E1973)*100+MONTH(E1973)</f>
        <v>201110</v>
      </c>
      <c r="L1973" s="7" t="n">
        <f aca="false">IF(AND(A1973&lt;&gt;A1972,LEFT(A1973,1)&lt;&gt;"C"),1,0)</f>
        <v>0</v>
      </c>
    </row>
    <row r="1974" customFormat="false" ht="15" hidden="false" customHeight="false" outlineLevel="0" collapsed="false">
      <c r="A1974" s="0" t="s">
        <v>1673</v>
      </c>
      <c r="B1974" s="0" t="s">
        <v>1099</v>
      </c>
      <c r="C1974" s="0" t="s">
        <v>1100</v>
      </c>
      <c r="D1974" s="0" t="n">
        <v>6</v>
      </c>
      <c r="E1974" s="6" t="n">
        <v>40821.4048611111</v>
      </c>
      <c r="F1974" s="0" t="n">
        <v>2.49</v>
      </c>
      <c r="G1974" s="0" t="n">
        <v>12720</v>
      </c>
      <c r="H1974" s="0" t="s">
        <v>33</v>
      </c>
      <c r="I1974" s="7" t="n">
        <f aca="false">IF(AND(LEFT(A1974,1)&lt;&gt;"C",D1974&gt;0,F1974&gt;0),1,0)</f>
        <v>1</v>
      </c>
      <c r="J1974" s="7" t="n">
        <f aca="false">IF(I1974=1,D1974*F1974,0)</f>
        <v>14.94</v>
      </c>
      <c r="K1974" s="7" t="n">
        <f aca="false">YEAR(E1974)*100+MONTH(E1974)</f>
        <v>201110</v>
      </c>
      <c r="L1974" s="7" t="n">
        <f aca="false">IF(AND(A1974&lt;&gt;A1973,LEFT(A1974,1)&lt;&gt;"C"),1,0)</f>
        <v>0</v>
      </c>
    </row>
    <row r="1975" customFormat="false" ht="15" hidden="false" customHeight="false" outlineLevel="0" collapsed="false">
      <c r="A1975" s="0" t="s">
        <v>1673</v>
      </c>
      <c r="B1975" s="0" t="s">
        <v>1684</v>
      </c>
      <c r="C1975" s="0" t="s">
        <v>1685</v>
      </c>
      <c r="D1975" s="0" t="n">
        <v>24</v>
      </c>
      <c r="E1975" s="6" t="n">
        <v>40821.4048611111</v>
      </c>
      <c r="F1975" s="0" t="n">
        <v>0.39</v>
      </c>
      <c r="G1975" s="0" t="n">
        <v>12720</v>
      </c>
      <c r="H1975" s="0" t="s">
        <v>33</v>
      </c>
      <c r="I1975" s="7" t="n">
        <f aca="false">IF(AND(LEFT(A1975,1)&lt;&gt;"C",D1975&gt;0,F1975&gt;0),1,0)</f>
        <v>1</v>
      </c>
      <c r="J1975" s="7" t="n">
        <f aca="false">IF(I1975=1,D1975*F1975,0)</f>
        <v>9.36</v>
      </c>
      <c r="K1975" s="7" t="n">
        <f aca="false">YEAR(E1975)*100+MONTH(E1975)</f>
        <v>201110</v>
      </c>
      <c r="L1975" s="7" t="n">
        <f aca="false">IF(AND(A1975&lt;&gt;A1974,LEFT(A1975,1)&lt;&gt;"C"),1,0)</f>
        <v>0</v>
      </c>
    </row>
    <row r="1976" customFormat="false" ht="15" hidden="false" customHeight="false" outlineLevel="0" collapsed="false">
      <c r="A1976" s="0" t="s">
        <v>1673</v>
      </c>
      <c r="B1976" s="0" t="s">
        <v>213</v>
      </c>
      <c r="C1976" s="0" t="s">
        <v>214</v>
      </c>
      <c r="D1976" s="0" t="n">
        <v>12</v>
      </c>
      <c r="E1976" s="6" t="n">
        <v>40821.4048611111</v>
      </c>
      <c r="F1976" s="0" t="n">
        <v>0.85</v>
      </c>
      <c r="G1976" s="0" t="n">
        <v>12720</v>
      </c>
      <c r="H1976" s="0" t="s">
        <v>33</v>
      </c>
      <c r="I1976" s="7" t="n">
        <f aca="false">IF(AND(LEFT(A1976,1)&lt;&gt;"C",D1976&gt;0,F1976&gt;0),1,0)</f>
        <v>1</v>
      </c>
      <c r="J1976" s="7" t="n">
        <f aca="false">IF(I1976=1,D1976*F1976,0)</f>
        <v>10.2</v>
      </c>
      <c r="K1976" s="7" t="n">
        <f aca="false">YEAR(E1976)*100+MONTH(E1976)</f>
        <v>201110</v>
      </c>
      <c r="L1976" s="7" t="n">
        <f aca="false">IF(AND(A1976&lt;&gt;A1975,LEFT(A1976,1)&lt;&gt;"C"),1,0)</f>
        <v>0</v>
      </c>
    </row>
    <row r="1977" customFormat="false" ht="15" hidden="false" customHeight="false" outlineLevel="0" collapsed="false">
      <c r="A1977" s="0" t="s">
        <v>1673</v>
      </c>
      <c r="B1977" s="0" t="s">
        <v>1686</v>
      </c>
      <c r="C1977" s="0" t="s">
        <v>1687</v>
      </c>
      <c r="D1977" s="0" t="n">
        <v>12</v>
      </c>
      <c r="E1977" s="6" t="n">
        <v>40821.4048611111</v>
      </c>
      <c r="F1977" s="0" t="n">
        <v>0.85</v>
      </c>
      <c r="G1977" s="0" t="n">
        <v>12720</v>
      </c>
      <c r="H1977" s="0" t="s">
        <v>33</v>
      </c>
      <c r="I1977" s="7" t="n">
        <f aca="false">IF(AND(LEFT(A1977,1)&lt;&gt;"C",D1977&gt;0,F1977&gt;0),1,0)</f>
        <v>1</v>
      </c>
      <c r="J1977" s="7" t="n">
        <f aca="false">IF(I1977=1,D1977*F1977,0)</f>
        <v>10.2</v>
      </c>
      <c r="K1977" s="7" t="n">
        <f aca="false">YEAR(E1977)*100+MONTH(E1977)</f>
        <v>201110</v>
      </c>
      <c r="L1977" s="7" t="n">
        <f aca="false">IF(AND(A1977&lt;&gt;A1976,LEFT(A1977,1)&lt;&gt;"C"),1,0)</f>
        <v>0</v>
      </c>
    </row>
    <row r="1978" customFormat="false" ht="15" hidden="false" customHeight="false" outlineLevel="0" collapsed="false">
      <c r="A1978" s="0" t="s">
        <v>1673</v>
      </c>
      <c r="B1978" s="0" t="s">
        <v>1048</v>
      </c>
      <c r="C1978" s="0" t="s">
        <v>1049</v>
      </c>
      <c r="D1978" s="0" t="n">
        <v>4</v>
      </c>
      <c r="E1978" s="6" t="n">
        <v>40821.4048611111</v>
      </c>
      <c r="F1978" s="0" t="n">
        <v>4.15</v>
      </c>
      <c r="G1978" s="0" t="n">
        <v>12720</v>
      </c>
      <c r="H1978" s="0" t="s">
        <v>33</v>
      </c>
      <c r="I1978" s="7" t="n">
        <f aca="false">IF(AND(LEFT(A1978,1)&lt;&gt;"C",D1978&gt;0,F1978&gt;0),1,0)</f>
        <v>1</v>
      </c>
      <c r="J1978" s="7" t="n">
        <f aca="false">IF(I1978=1,D1978*F1978,0)</f>
        <v>16.6</v>
      </c>
      <c r="K1978" s="7" t="n">
        <f aca="false">YEAR(E1978)*100+MONTH(E1978)</f>
        <v>201110</v>
      </c>
      <c r="L1978" s="7" t="n">
        <f aca="false">IF(AND(A1978&lt;&gt;A1977,LEFT(A1978,1)&lt;&gt;"C"),1,0)</f>
        <v>0</v>
      </c>
    </row>
    <row r="1979" customFormat="false" ht="15" hidden="false" customHeight="false" outlineLevel="0" collapsed="false">
      <c r="A1979" s="0" t="s">
        <v>1673</v>
      </c>
      <c r="B1979" s="0" t="s">
        <v>588</v>
      </c>
      <c r="C1979" s="0" t="s">
        <v>589</v>
      </c>
      <c r="D1979" s="0" t="n">
        <v>10</v>
      </c>
      <c r="E1979" s="6" t="n">
        <v>40821.4048611111</v>
      </c>
      <c r="F1979" s="0" t="n">
        <v>1.65</v>
      </c>
      <c r="G1979" s="0" t="n">
        <v>12720</v>
      </c>
      <c r="H1979" s="0" t="s">
        <v>33</v>
      </c>
      <c r="I1979" s="7" t="n">
        <f aca="false">IF(AND(LEFT(A1979,1)&lt;&gt;"C",D1979&gt;0,F1979&gt;0),1,0)</f>
        <v>1</v>
      </c>
      <c r="J1979" s="7" t="n">
        <f aca="false">IF(I1979=1,D1979*F1979,0)</f>
        <v>16.5</v>
      </c>
      <c r="K1979" s="7" t="n">
        <f aca="false">YEAR(E1979)*100+MONTH(E1979)</f>
        <v>201110</v>
      </c>
      <c r="L1979" s="7" t="n">
        <f aca="false">IF(AND(A1979&lt;&gt;A1978,LEFT(A1979,1)&lt;&gt;"C"),1,0)</f>
        <v>0</v>
      </c>
    </row>
    <row r="1980" customFormat="false" ht="15" hidden="false" customHeight="false" outlineLevel="0" collapsed="false">
      <c r="A1980" s="0" t="s">
        <v>1673</v>
      </c>
      <c r="B1980" s="0" t="s">
        <v>567</v>
      </c>
      <c r="C1980" s="0" t="s">
        <v>568</v>
      </c>
      <c r="D1980" s="0" t="n">
        <v>10</v>
      </c>
      <c r="E1980" s="6" t="n">
        <v>40821.4048611111</v>
      </c>
      <c r="F1980" s="0" t="n">
        <v>1.65</v>
      </c>
      <c r="G1980" s="0" t="n">
        <v>12720</v>
      </c>
      <c r="H1980" s="0" t="s">
        <v>33</v>
      </c>
      <c r="I1980" s="7" t="n">
        <f aca="false">IF(AND(LEFT(A1980,1)&lt;&gt;"C",D1980&gt;0,F1980&gt;0),1,0)</f>
        <v>1</v>
      </c>
      <c r="J1980" s="7" t="n">
        <f aca="false">IF(I1980=1,D1980*F1980,0)</f>
        <v>16.5</v>
      </c>
      <c r="K1980" s="7" t="n">
        <f aca="false">YEAR(E1980)*100+MONTH(E1980)</f>
        <v>201110</v>
      </c>
      <c r="L1980" s="7" t="n">
        <f aca="false">IF(AND(A1980&lt;&gt;A1979,LEFT(A1980,1)&lt;&gt;"C"),1,0)</f>
        <v>0</v>
      </c>
    </row>
    <row r="1981" customFormat="false" ht="15" hidden="false" customHeight="false" outlineLevel="0" collapsed="false">
      <c r="A1981" s="0" t="s">
        <v>1673</v>
      </c>
      <c r="B1981" s="0" t="s">
        <v>70</v>
      </c>
      <c r="C1981" s="0" t="s">
        <v>71</v>
      </c>
      <c r="D1981" s="0" t="n">
        <v>10</v>
      </c>
      <c r="E1981" s="6" t="n">
        <v>40821.4048611111</v>
      </c>
      <c r="F1981" s="0" t="n">
        <v>1.65</v>
      </c>
      <c r="G1981" s="0" t="n">
        <v>12720</v>
      </c>
      <c r="H1981" s="0" t="s">
        <v>33</v>
      </c>
      <c r="I1981" s="7" t="n">
        <f aca="false">IF(AND(LEFT(A1981,1)&lt;&gt;"C",D1981&gt;0,F1981&gt;0),1,0)</f>
        <v>1</v>
      </c>
      <c r="J1981" s="7" t="n">
        <f aca="false">IF(I1981=1,D1981*F1981,0)</f>
        <v>16.5</v>
      </c>
      <c r="K1981" s="7" t="n">
        <f aca="false">YEAR(E1981)*100+MONTH(E1981)</f>
        <v>201110</v>
      </c>
      <c r="L1981" s="7" t="n">
        <f aca="false">IF(AND(A1981&lt;&gt;A1980,LEFT(A1981,1)&lt;&gt;"C"),1,0)</f>
        <v>0</v>
      </c>
    </row>
    <row r="1982" customFormat="false" ht="15" hidden="false" customHeight="false" outlineLevel="0" collapsed="false">
      <c r="A1982" s="0" t="s">
        <v>1673</v>
      </c>
      <c r="B1982" s="0" t="s">
        <v>1250</v>
      </c>
      <c r="C1982" s="0" t="s">
        <v>1251</v>
      </c>
      <c r="D1982" s="0" t="n">
        <v>24</v>
      </c>
      <c r="E1982" s="6" t="n">
        <v>40821.4048611111</v>
      </c>
      <c r="F1982" s="0" t="n">
        <v>0.39</v>
      </c>
      <c r="G1982" s="0" t="n">
        <v>12720</v>
      </c>
      <c r="H1982" s="0" t="s">
        <v>33</v>
      </c>
      <c r="I1982" s="7" t="n">
        <f aca="false">IF(AND(LEFT(A1982,1)&lt;&gt;"C",D1982&gt;0,F1982&gt;0),1,0)</f>
        <v>1</v>
      </c>
      <c r="J1982" s="7" t="n">
        <f aca="false">IF(I1982=1,D1982*F1982,0)</f>
        <v>9.36</v>
      </c>
      <c r="K1982" s="7" t="n">
        <f aca="false">YEAR(E1982)*100+MONTH(E1982)</f>
        <v>201110</v>
      </c>
      <c r="L1982" s="7" t="n">
        <f aca="false">IF(AND(A1982&lt;&gt;A1981,LEFT(A1982,1)&lt;&gt;"C"),1,0)</f>
        <v>0</v>
      </c>
    </row>
    <row r="1983" customFormat="false" ht="15" hidden="false" customHeight="false" outlineLevel="0" collapsed="false">
      <c r="A1983" s="0" t="s">
        <v>1673</v>
      </c>
      <c r="B1983" s="0" t="s">
        <v>151</v>
      </c>
      <c r="C1983" s="0" t="s">
        <v>152</v>
      </c>
      <c r="D1983" s="0" t="n">
        <v>12</v>
      </c>
      <c r="E1983" s="6" t="n">
        <v>40821.4048611111</v>
      </c>
      <c r="F1983" s="0" t="n">
        <v>0.85</v>
      </c>
      <c r="G1983" s="0" t="n">
        <v>12720</v>
      </c>
      <c r="H1983" s="0" t="s">
        <v>33</v>
      </c>
      <c r="I1983" s="7" t="n">
        <f aca="false">IF(AND(LEFT(A1983,1)&lt;&gt;"C",D1983&gt;0,F1983&gt;0),1,0)</f>
        <v>1</v>
      </c>
      <c r="J1983" s="7" t="n">
        <f aca="false">IF(I1983=1,D1983*F1983,0)</f>
        <v>10.2</v>
      </c>
      <c r="K1983" s="7" t="n">
        <f aca="false">YEAR(E1983)*100+MONTH(E1983)</f>
        <v>201110</v>
      </c>
      <c r="L1983" s="7" t="n">
        <f aca="false">IF(AND(A1983&lt;&gt;A1982,LEFT(A1983,1)&lt;&gt;"C"),1,0)</f>
        <v>0</v>
      </c>
    </row>
    <row r="1984" customFormat="false" ht="15" hidden="false" customHeight="false" outlineLevel="0" collapsed="false">
      <c r="A1984" s="0" t="s">
        <v>1673</v>
      </c>
      <c r="B1984" s="0" t="s">
        <v>579</v>
      </c>
      <c r="C1984" s="0" t="s">
        <v>580</v>
      </c>
      <c r="D1984" s="0" t="n">
        <v>12</v>
      </c>
      <c r="E1984" s="6" t="n">
        <v>40821.4048611111</v>
      </c>
      <c r="F1984" s="0" t="n">
        <v>0.85</v>
      </c>
      <c r="G1984" s="0" t="n">
        <v>12720</v>
      </c>
      <c r="H1984" s="0" t="s">
        <v>33</v>
      </c>
      <c r="I1984" s="7" t="n">
        <f aca="false">IF(AND(LEFT(A1984,1)&lt;&gt;"C",D1984&gt;0,F1984&gt;0),1,0)</f>
        <v>1</v>
      </c>
      <c r="J1984" s="7" t="n">
        <f aca="false">IF(I1984=1,D1984*F1984,0)</f>
        <v>10.2</v>
      </c>
      <c r="K1984" s="7" t="n">
        <f aca="false">YEAR(E1984)*100+MONTH(E1984)</f>
        <v>201110</v>
      </c>
      <c r="L1984" s="7" t="n">
        <f aca="false">IF(AND(A1984&lt;&gt;A1983,LEFT(A1984,1)&lt;&gt;"C"),1,0)</f>
        <v>0</v>
      </c>
    </row>
    <row r="1985" customFormat="false" ht="15" hidden="false" customHeight="false" outlineLevel="0" collapsed="false">
      <c r="A1985" s="0" t="s">
        <v>1673</v>
      </c>
      <c r="B1985" s="0" t="s">
        <v>581</v>
      </c>
      <c r="C1985" s="0" t="s">
        <v>582</v>
      </c>
      <c r="D1985" s="0" t="n">
        <v>12</v>
      </c>
      <c r="E1985" s="6" t="n">
        <v>40821.4048611111</v>
      </c>
      <c r="F1985" s="0" t="n">
        <v>0.85</v>
      </c>
      <c r="G1985" s="0" t="n">
        <v>12720</v>
      </c>
      <c r="H1985" s="0" t="s">
        <v>33</v>
      </c>
      <c r="I1985" s="7" t="n">
        <f aca="false">IF(AND(LEFT(A1985,1)&lt;&gt;"C",D1985&gt;0,F1985&gt;0),1,0)</f>
        <v>1</v>
      </c>
      <c r="J1985" s="7" t="n">
        <f aca="false">IF(I1985=1,D1985*F1985,0)</f>
        <v>10.2</v>
      </c>
      <c r="K1985" s="7" t="n">
        <f aca="false">YEAR(E1985)*100+MONTH(E1985)</f>
        <v>201110</v>
      </c>
      <c r="L1985" s="7" t="n">
        <f aca="false">IF(AND(A1985&lt;&gt;A1984,LEFT(A1985,1)&lt;&gt;"C"),1,0)</f>
        <v>0</v>
      </c>
    </row>
    <row r="1986" customFormat="false" ht="15" hidden="false" customHeight="false" outlineLevel="0" collapsed="false">
      <c r="A1986" s="0" t="s">
        <v>1673</v>
      </c>
      <c r="B1986" s="0" t="s">
        <v>1688</v>
      </c>
      <c r="C1986" s="0" t="s">
        <v>1689</v>
      </c>
      <c r="D1986" s="0" t="n">
        <v>36</v>
      </c>
      <c r="E1986" s="6" t="n">
        <v>40821.4048611111</v>
      </c>
      <c r="F1986" s="0" t="n">
        <v>0.39</v>
      </c>
      <c r="G1986" s="0" t="n">
        <v>12720</v>
      </c>
      <c r="H1986" s="0" t="s">
        <v>33</v>
      </c>
      <c r="I1986" s="7" t="n">
        <f aca="false">IF(AND(LEFT(A1986,1)&lt;&gt;"C",D1986&gt;0,F1986&gt;0),1,0)</f>
        <v>1</v>
      </c>
      <c r="J1986" s="7" t="n">
        <f aca="false">IF(I1986=1,D1986*F1986,0)</f>
        <v>14.04</v>
      </c>
      <c r="K1986" s="7" t="n">
        <f aca="false">YEAR(E1986)*100+MONTH(E1986)</f>
        <v>201110</v>
      </c>
      <c r="L1986" s="7" t="n">
        <f aca="false">IF(AND(A1986&lt;&gt;A1985,LEFT(A1986,1)&lt;&gt;"C"),1,0)</f>
        <v>0</v>
      </c>
    </row>
    <row r="1987" customFormat="false" ht="15" hidden="false" customHeight="false" outlineLevel="0" collapsed="false">
      <c r="A1987" s="0" t="s">
        <v>1673</v>
      </c>
      <c r="B1987" s="0" t="s">
        <v>84</v>
      </c>
      <c r="C1987" s="0" t="s">
        <v>85</v>
      </c>
      <c r="D1987" s="0" t="n">
        <v>3</v>
      </c>
      <c r="E1987" s="6" t="n">
        <v>40821.4048611111</v>
      </c>
      <c r="F1987" s="0" t="n">
        <v>18</v>
      </c>
      <c r="G1987" s="0" t="n">
        <v>12720</v>
      </c>
      <c r="H1987" s="0" t="s">
        <v>33</v>
      </c>
      <c r="I1987" s="7" t="n">
        <f aca="false">IF(AND(LEFT(A1987,1)&lt;&gt;"C",D1987&gt;0,F1987&gt;0),1,0)</f>
        <v>1</v>
      </c>
      <c r="J1987" s="7" t="n">
        <f aca="false">IF(I1987=1,D1987*F1987,0)</f>
        <v>54</v>
      </c>
      <c r="K1987" s="7" t="n">
        <f aca="false">YEAR(E1987)*100+MONTH(E1987)</f>
        <v>201110</v>
      </c>
      <c r="L1987" s="7" t="n">
        <f aca="false">IF(AND(A1987&lt;&gt;A1986,LEFT(A1987,1)&lt;&gt;"C"),1,0)</f>
        <v>0</v>
      </c>
    </row>
    <row r="1988" customFormat="false" ht="15" hidden="false" customHeight="false" outlineLevel="0" collapsed="false">
      <c r="A1988" s="0" t="s">
        <v>1690</v>
      </c>
      <c r="B1988" s="0" t="s">
        <v>857</v>
      </c>
      <c r="C1988" s="0" t="s">
        <v>858</v>
      </c>
      <c r="D1988" s="0" t="n">
        <v>16</v>
      </c>
      <c r="E1988" s="6" t="n">
        <v>40821.4069444445</v>
      </c>
      <c r="F1988" s="0" t="n">
        <v>0.83</v>
      </c>
      <c r="G1988" s="0" t="n">
        <v>12481</v>
      </c>
      <c r="H1988" s="0" t="s">
        <v>33</v>
      </c>
      <c r="I1988" s="7" t="n">
        <f aca="false">IF(AND(LEFT(A1988,1)&lt;&gt;"C",D1988&gt;0,F1988&gt;0),1,0)</f>
        <v>1</v>
      </c>
      <c r="J1988" s="7" t="n">
        <f aca="false">IF(I1988=1,D1988*F1988,0)</f>
        <v>13.28</v>
      </c>
      <c r="K1988" s="7" t="n">
        <f aca="false">YEAR(E1988)*100+MONTH(E1988)</f>
        <v>201110</v>
      </c>
      <c r="L1988" s="7" t="n">
        <f aca="false">IF(AND(A1988&lt;&gt;A1987,LEFT(A1988,1)&lt;&gt;"C"),1,0)</f>
        <v>1</v>
      </c>
    </row>
    <row r="1989" customFormat="false" ht="15" hidden="false" customHeight="false" outlineLevel="0" collapsed="false">
      <c r="A1989" s="0" t="s">
        <v>1690</v>
      </c>
      <c r="B1989" s="0" t="s">
        <v>1238</v>
      </c>
      <c r="C1989" s="0" t="s">
        <v>1239</v>
      </c>
      <c r="D1989" s="0" t="n">
        <v>75</v>
      </c>
      <c r="E1989" s="6" t="n">
        <v>40821.4069444445</v>
      </c>
      <c r="F1989" s="0" t="n">
        <v>0.42</v>
      </c>
      <c r="G1989" s="0" t="n">
        <v>12481</v>
      </c>
      <c r="H1989" s="0" t="s">
        <v>33</v>
      </c>
      <c r="I1989" s="7" t="n">
        <f aca="false">IF(AND(LEFT(A1989,1)&lt;&gt;"C",D1989&gt;0,F1989&gt;0),1,0)</f>
        <v>1</v>
      </c>
      <c r="J1989" s="7" t="n">
        <f aca="false">IF(I1989=1,D1989*F1989,0)</f>
        <v>31.5</v>
      </c>
      <c r="K1989" s="7" t="n">
        <f aca="false">YEAR(E1989)*100+MONTH(E1989)</f>
        <v>201110</v>
      </c>
      <c r="L1989" s="7" t="n">
        <f aca="false">IF(AND(A1989&lt;&gt;A1988,LEFT(A1989,1)&lt;&gt;"C"),1,0)</f>
        <v>0</v>
      </c>
    </row>
    <row r="1990" customFormat="false" ht="15" hidden="false" customHeight="false" outlineLevel="0" collapsed="false">
      <c r="A1990" s="0" t="s">
        <v>1690</v>
      </c>
      <c r="B1990" s="0" t="s">
        <v>1525</v>
      </c>
      <c r="C1990" s="0" t="s">
        <v>1526</v>
      </c>
      <c r="D1990" s="0" t="n">
        <v>25</v>
      </c>
      <c r="E1990" s="6" t="n">
        <v>40821.4069444445</v>
      </c>
      <c r="F1990" s="0" t="n">
        <v>0.42</v>
      </c>
      <c r="G1990" s="0" t="n">
        <v>12481</v>
      </c>
      <c r="H1990" s="0" t="s">
        <v>33</v>
      </c>
      <c r="I1990" s="7" t="n">
        <f aca="false">IF(AND(LEFT(A1990,1)&lt;&gt;"C",D1990&gt;0,F1990&gt;0),1,0)</f>
        <v>1</v>
      </c>
      <c r="J1990" s="7" t="n">
        <f aca="false">IF(I1990=1,D1990*F1990,0)</f>
        <v>10.5</v>
      </c>
      <c r="K1990" s="7" t="n">
        <f aca="false">YEAR(E1990)*100+MONTH(E1990)</f>
        <v>201110</v>
      </c>
      <c r="L1990" s="7" t="n">
        <f aca="false">IF(AND(A1990&lt;&gt;A1989,LEFT(A1990,1)&lt;&gt;"C"),1,0)</f>
        <v>0</v>
      </c>
    </row>
    <row r="1991" customFormat="false" ht="15" hidden="false" customHeight="false" outlineLevel="0" collapsed="false">
      <c r="A1991" s="0" t="s">
        <v>1690</v>
      </c>
      <c r="B1991" s="0" t="s">
        <v>1545</v>
      </c>
      <c r="C1991" s="0" t="s">
        <v>1546</v>
      </c>
      <c r="D1991" s="0" t="n">
        <v>24</v>
      </c>
      <c r="E1991" s="6" t="n">
        <v>40821.4069444445</v>
      </c>
      <c r="F1991" s="0" t="n">
        <v>0.65</v>
      </c>
      <c r="G1991" s="0" t="n">
        <v>12481</v>
      </c>
      <c r="H1991" s="0" t="s">
        <v>33</v>
      </c>
      <c r="I1991" s="7" t="n">
        <f aca="false">IF(AND(LEFT(A1991,1)&lt;&gt;"C",D1991&gt;0,F1991&gt;0),1,0)</f>
        <v>1</v>
      </c>
      <c r="J1991" s="7" t="n">
        <f aca="false">IF(I1991=1,D1991*F1991,0)</f>
        <v>15.6</v>
      </c>
      <c r="K1991" s="7" t="n">
        <f aca="false">YEAR(E1991)*100+MONTH(E1991)</f>
        <v>201110</v>
      </c>
      <c r="L1991" s="7" t="n">
        <f aca="false">IF(AND(A1991&lt;&gt;A1990,LEFT(A1991,1)&lt;&gt;"C"),1,0)</f>
        <v>0</v>
      </c>
    </row>
    <row r="1992" customFormat="false" ht="15" hidden="false" customHeight="false" outlineLevel="0" collapsed="false">
      <c r="A1992" s="0" t="s">
        <v>1690</v>
      </c>
      <c r="B1992" s="0" t="s">
        <v>1691</v>
      </c>
      <c r="C1992" s="0" t="s">
        <v>1692</v>
      </c>
      <c r="D1992" s="0" t="n">
        <v>1</v>
      </c>
      <c r="E1992" s="6" t="n">
        <v>40821.4069444445</v>
      </c>
      <c r="F1992" s="0" t="n">
        <v>12.5</v>
      </c>
      <c r="G1992" s="0" t="n">
        <v>12481</v>
      </c>
      <c r="H1992" s="0" t="s">
        <v>33</v>
      </c>
      <c r="I1992" s="7" t="n">
        <f aca="false">IF(AND(LEFT(A1992,1)&lt;&gt;"C",D1992&gt;0,F1992&gt;0),1,0)</f>
        <v>1</v>
      </c>
      <c r="J1992" s="7" t="n">
        <f aca="false">IF(I1992=1,D1992*F1992,0)</f>
        <v>12.5</v>
      </c>
      <c r="K1992" s="7" t="n">
        <f aca="false">YEAR(E1992)*100+MONTH(E1992)</f>
        <v>201110</v>
      </c>
      <c r="L1992" s="7" t="n">
        <f aca="false">IF(AND(A1992&lt;&gt;A1991,LEFT(A1992,1)&lt;&gt;"C"),1,0)</f>
        <v>0</v>
      </c>
    </row>
    <row r="1993" customFormat="false" ht="15" hidden="false" customHeight="false" outlineLevel="0" collapsed="false">
      <c r="A1993" s="0" t="s">
        <v>1690</v>
      </c>
      <c r="B1993" s="0" t="s">
        <v>1693</v>
      </c>
      <c r="C1993" s="0" t="s">
        <v>1694</v>
      </c>
      <c r="D1993" s="0" t="n">
        <v>6</v>
      </c>
      <c r="E1993" s="6" t="n">
        <v>40821.4069444445</v>
      </c>
      <c r="F1993" s="0" t="n">
        <v>7.5</v>
      </c>
      <c r="G1993" s="0" t="n">
        <v>12481</v>
      </c>
      <c r="H1993" s="0" t="s">
        <v>33</v>
      </c>
      <c r="I1993" s="7" t="n">
        <f aca="false">IF(AND(LEFT(A1993,1)&lt;&gt;"C",D1993&gt;0,F1993&gt;0),1,0)</f>
        <v>1</v>
      </c>
      <c r="J1993" s="7" t="n">
        <f aca="false">IF(I1993=1,D1993*F1993,0)</f>
        <v>45</v>
      </c>
      <c r="K1993" s="7" t="n">
        <f aca="false">YEAR(E1993)*100+MONTH(E1993)</f>
        <v>201110</v>
      </c>
      <c r="L1993" s="7" t="n">
        <f aca="false">IF(AND(A1993&lt;&gt;A1992,LEFT(A1993,1)&lt;&gt;"C"),1,0)</f>
        <v>0</v>
      </c>
    </row>
    <row r="1994" customFormat="false" ht="15" hidden="false" customHeight="false" outlineLevel="0" collapsed="false">
      <c r="A1994" s="0" t="s">
        <v>1690</v>
      </c>
      <c r="B1994" s="0" t="s">
        <v>101</v>
      </c>
      <c r="C1994" s="0" t="s">
        <v>102</v>
      </c>
      <c r="D1994" s="0" t="n">
        <v>12</v>
      </c>
      <c r="E1994" s="6" t="n">
        <v>40821.4069444445</v>
      </c>
      <c r="F1994" s="0" t="n">
        <v>0.85</v>
      </c>
      <c r="G1994" s="0" t="n">
        <v>12481</v>
      </c>
      <c r="H1994" s="0" t="s">
        <v>33</v>
      </c>
      <c r="I1994" s="7" t="n">
        <f aca="false">IF(AND(LEFT(A1994,1)&lt;&gt;"C",D1994&gt;0,F1994&gt;0),1,0)</f>
        <v>1</v>
      </c>
      <c r="J1994" s="7" t="n">
        <f aca="false">IF(I1994=1,D1994*F1994,0)</f>
        <v>10.2</v>
      </c>
      <c r="K1994" s="7" t="n">
        <f aca="false">YEAR(E1994)*100+MONTH(E1994)</f>
        <v>201110</v>
      </c>
      <c r="L1994" s="7" t="n">
        <f aca="false">IF(AND(A1994&lt;&gt;A1993,LEFT(A1994,1)&lt;&gt;"C"),1,0)</f>
        <v>0</v>
      </c>
    </row>
    <row r="1995" customFormat="false" ht="15" hidden="false" customHeight="false" outlineLevel="0" collapsed="false">
      <c r="A1995" s="0" t="s">
        <v>1690</v>
      </c>
      <c r="B1995" s="0" t="s">
        <v>1695</v>
      </c>
      <c r="C1995" s="0" t="s">
        <v>1696</v>
      </c>
      <c r="D1995" s="0" t="n">
        <v>12</v>
      </c>
      <c r="E1995" s="6" t="n">
        <v>40821.4069444445</v>
      </c>
      <c r="F1995" s="0" t="n">
        <v>1.25</v>
      </c>
      <c r="G1995" s="0" t="n">
        <v>12481</v>
      </c>
      <c r="H1995" s="0" t="s">
        <v>33</v>
      </c>
      <c r="I1995" s="7" t="n">
        <f aca="false">IF(AND(LEFT(A1995,1)&lt;&gt;"C",D1995&gt;0,F1995&gt;0),1,0)</f>
        <v>1</v>
      </c>
      <c r="J1995" s="7" t="n">
        <f aca="false">IF(I1995=1,D1995*F1995,0)</f>
        <v>15</v>
      </c>
      <c r="K1995" s="7" t="n">
        <f aca="false">YEAR(E1995)*100+MONTH(E1995)</f>
        <v>201110</v>
      </c>
      <c r="L1995" s="7" t="n">
        <f aca="false">IF(AND(A1995&lt;&gt;A1994,LEFT(A1995,1)&lt;&gt;"C"),1,0)</f>
        <v>0</v>
      </c>
    </row>
    <row r="1996" customFormat="false" ht="15" hidden="false" customHeight="false" outlineLevel="0" collapsed="false">
      <c r="A1996" s="0" t="s">
        <v>1690</v>
      </c>
      <c r="B1996" s="0" t="s">
        <v>1697</v>
      </c>
      <c r="C1996" s="0" t="s">
        <v>1698</v>
      </c>
      <c r="D1996" s="0" t="n">
        <v>12</v>
      </c>
      <c r="E1996" s="6" t="n">
        <v>40821.4069444445</v>
      </c>
      <c r="F1996" s="0" t="n">
        <v>1.25</v>
      </c>
      <c r="G1996" s="0" t="n">
        <v>12481</v>
      </c>
      <c r="H1996" s="0" t="s">
        <v>33</v>
      </c>
      <c r="I1996" s="7" t="n">
        <f aca="false">IF(AND(LEFT(A1996,1)&lt;&gt;"C",D1996&gt;0,F1996&gt;0),1,0)</f>
        <v>1</v>
      </c>
      <c r="J1996" s="7" t="n">
        <f aca="false">IF(I1996=1,D1996*F1996,0)</f>
        <v>15</v>
      </c>
      <c r="K1996" s="7" t="n">
        <f aca="false">YEAR(E1996)*100+MONTH(E1996)</f>
        <v>201110</v>
      </c>
      <c r="L1996" s="7" t="n">
        <f aca="false">IF(AND(A1996&lt;&gt;A1995,LEFT(A1996,1)&lt;&gt;"C"),1,0)</f>
        <v>0</v>
      </c>
    </row>
    <row r="1997" customFormat="false" ht="15" hidden="false" customHeight="false" outlineLevel="0" collapsed="false">
      <c r="A1997" s="0" t="s">
        <v>1690</v>
      </c>
      <c r="B1997" s="0" t="s">
        <v>949</v>
      </c>
      <c r="C1997" s="0" t="s">
        <v>950</v>
      </c>
      <c r="D1997" s="0" t="n">
        <v>6</v>
      </c>
      <c r="E1997" s="6" t="n">
        <v>40821.4069444445</v>
      </c>
      <c r="F1997" s="0" t="n">
        <v>5.95</v>
      </c>
      <c r="G1997" s="0" t="n">
        <v>12481</v>
      </c>
      <c r="H1997" s="0" t="s">
        <v>33</v>
      </c>
      <c r="I1997" s="7" t="n">
        <f aca="false">IF(AND(LEFT(A1997,1)&lt;&gt;"C",D1997&gt;0,F1997&gt;0),1,0)</f>
        <v>1</v>
      </c>
      <c r="J1997" s="7" t="n">
        <f aca="false">IF(I1997=1,D1997*F1997,0)</f>
        <v>35.7</v>
      </c>
      <c r="K1997" s="7" t="n">
        <f aca="false">YEAR(E1997)*100+MONTH(E1997)</f>
        <v>201110</v>
      </c>
      <c r="L1997" s="7" t="n">
        <f aca="false">IF(AND(A1997&lt;&gt;A1996,LEFT(A1997,1)&lt;&gt;"C"),1,0)</f>
        <v>0</v>
      </c>
    </row>
    <row r="1998" customFormat="false" ht="15" hidden="false" customHeight="false" outlineLevel="0" collapsed="false">
      <c r="A1998" s="0" t="s">
        <v>1690</v>
      </c>
      <c r="B1998" s="0" t="s">
        <v>899</v>
      </c>
      <c r="C1998" s="0" t="s">
        <v>900</v>
      </c>
      <c r="D1998" s="0" t="n">
        <v>12</v>
      </c>
      <c r="E1998" s="6" t="n">
        <v>40821.4069444445</v>
      </c>
      <c r="F1998" s="0" t="n">
        <v>1.45</v>
      </c>
      <c r="G1998" s="0" t="n">
        <v>12481</v>
      </c>
      <c r="H1998" s="0" t="s">
        <v>33</v>
      </c>
      <c r="I1998" s="7" t="n">
        <f aca="false">IF(AND(LEFT(A1998,1)&lt;&gt;"C",D1998&gt;0,F1998&gt;0),1,0)</f>
        <v>1</v>
      </c>
      <c r="J1998" s="7" t="n">
        <f aca="false">IF(I1998=1,D1998*F1998,0)</f>
        <v>17.4</v>
      </c>
      <c r="K1998" s="7" t="n">
        <f aca="false">YEAR(E1998)*100+MONTH(E1998)</f>
        <v>201110</v>
      </c>
      <c r="L1998" s="7" t="n">
        <f aca="false">IF(AND(A1998&lt;&gt;A1997,LEFT(A1998,1)&lt;&gt;"C"),1,0)</f>
        <v>0</v>
      </c>
    </row>
    <row r="1999" customFormat="false" ht="15" hidden="false" customHeight="false" outlineLevel="0" collapsed="false">
      <c r="A1999" s="0" t="s">
        <v>1690</v>
      </c>
      <c r="B1999" s="0" t="s">
        <v>1699</v>
      </c>
      <c r="C1999" s="0" t="s">
        <v>1700</v>
      </c>
      <c r="D1999" s="0" t="n">
        <v>4</v>
      </c>
      <c r="E1999" s="6" t="n">
        <v>40821.4069444445</v>
      </c>
      <c r="F1999" s="0" t="n">
        <v>4.95</v>
      </c>
      <c r="G1999" s="0" t="n">
        <v>12481</v>
      </c>
      <c r="H1999" s="0" t="s">
        <v>33</v>
      </c>
      <c r="I1999" s="7" t="n">
        <f aca="false">IF(AND(LEFT(A1999,1)&lt;&gt;"C",D1999&gt;0,F1999&gt;0),1,0)</f>
        <v>1</v>
      </c>
      <c r="J1999" s="7" t="n">
        <f aca="false">IF(I1999=1,D1999*F1999,0)</f>
        <v>19.8</v>
      </c>
      <c r="K1999" s="7" t="n">
        <f aca="false">YEAR(E1999)*100+MONTH(E1999)</f>
        <v>201110</v>
      </c>
      <c r="L1999" s="7" t="n">
        <f aca="false">IF(AND(A1999&lt;&gt;A1998,LEFT(A1999,1)&lt;&gt;"C"),1,0)</f>
        <v>0</v>
      </c>
    </row>
    <row r="2000" customFormat="false" ht="15" hidden="false" customHeight="false" outlineLevel="0" collapsed="false">
      <c r="A2000" s="0" t="s">
        <v>1690</v>
      </c>
      <c r="B2000" s="0" t="s">
        <v>583</v>
      </c>
      <c r="C2000" s="0" t="s">
        <v>584</v>
      </c>
      <c r="D2000" s="0" t="n">
        <v>24</v>
      </c>
      <c r="E2000" s="6" t="n">
        <v>40821.4069444445</v>
      </c>
      <c r="F2000" s="0" t="n">
        <v>1.45</v>
      </c>
      <c r="G2000" s="0" t="n">
        <v>12481</v>
      </c>
      <c r="H2000" s="0" t="s">
        <v>33</v>
      </c>
      <c r="I2000" s="7" t="n">
        <f aca="false">IF(AND(LEFT(A2000,1)&lt;&gt;"C",D2000&gt;0,F2000&gt;0),1,0)</f>
        <v>1</v>
      </c>
      <c r="J2000" s="7" t="n">
        <f aca="false">IF(I2000=1,D2000*F2000,0)</f>
        <v>34.8</v>
      </c>
      <c r="K2000" s="7" t="n">
        <f aca="false">YEAR(E2000)*100+MONTH(E2000)</f>
        <v>201110</v>
      </c>
      <c r="L2000" s="7" t="n">
        <f aca="false">IF(AND(A2000&lt;&gt;A1999,LEFT(A2000,1)&lt;&gt;"C"),1,0)</f>
        <v>0</v>
      </c>
    </row>
    <row r="2001" customFormat="false" ht="15" hidden="false" customHeight="false" outlineLevel="0" collapsed="false">
      <c r="A2001" s="0" t="s">
        <v>1690</v>
      </c>
      <c r="B2001" s="0" t="s">
        <v>943</v>
      </c>
      <c r="C2001" s="0" t="s">
        <v>944</v>
      </c>
      <c r="D2001" s="0" t="n">
        <v>12</v>
      </c>
      <c r="E2001" s="6" t="n">
        <v>40821.4069444445</v>
      </c>
      <c r="F2001" s="0" t="n">
        <v>1.95</v>
      </c>
      <c r="G2001" s="0" t="n">
        <v>12481</v>
      </c>
      <c r="H2001" s="0" t="s">
        <v>33</v>
      </c>
      <c r="I2001" s="7" t="n">
        <f aca="false">IF(AND(LEFT(A2001,1)&lt;&gt;"C",D2001&gt;0,F2001&gt;0),1,0)</f>
        <v>1</v>
      </c>
      <c r="J2001" s="7" t="n">
        <f aca="false">IF(I2001=1,D2001*F2001,0)</f>
        <v>23.4</v>
      </c>
      <c r="K2001" s="7" t="n">
        <f aca="false">YEAR(E2001)*100+MONTH(E2001)</f>
        <v>201110</v>
      </c>
      <c r="L2001" s="7" t="n">
        <f aca="false">IF(AND(A2001&lt;&gt;A2000,LEFT(A2001,1)&lt;&gt;"C"),1,0)</f>
        <v>0</v>
      </c>
    </row>
    <row r="2002" customFormat="false" ht="15" hidden="false" customHeight="false" outlineLevel="0" collapsed="false">
      <c r="A2002" s="0" t="s">
        <v>1690</v>
      </c>
      <c r="B2002" s="0" t="s">
        <v>977</v>
      </c>
      <c r="C2002" s="0" t="s">
        <v>978</v>
      </c>
      <c r="D2002" s="0" t="n">
        <v>10</v>
      </c>
      <c r="E2002" s="6" t="n">
        <v>40821.4069444445</v>
      </c>
      <c r="F2002" s="0" t="n">
        <v>1.65</v>
      </c>
      <c r="G2002" s="0" t="n">
        <v>12481</v>
      </c>
      <c r="H2002" s="0" t="s">
        <v>33</v>
      </c>
      <c r="I2002" s="7" t="n">
        <f aca="false">IF(AND(LEFT(A2002,1)&lt;&gt;"C",D2002&gt;0,F2002&gt;0),1,0)</f>
        <v>1</v>
      </c>
      <c r="J2002" s="7" t="n">
        <f aca="false">IF(I2002=1,D2002*F2002,0)</f>
        <v>16.5</v>
      </c>
      <c r="K2002" s="7" t="n">
        <f aca="false">YEAR(E2002)*100+MONTH(E2002)</f>
        <v>201110</v>
      </c>
      <c r="L2002" s="7" t="n">
        <f aca="false">IF(AND(A2002&lt;&gt;A2001,LEFT(A2002,1)&lt;&gt;"C"),1,0)</f>
        <v>0</v>
      </c>
    </row>
    <row r="2003" customFormat="false" ht="15" hidden="false" customHeight="false" outlineLevel="0" collapsed="false">
      <c r="A2003" s="0" t="s">
        <v>1690</v>
      </c>
      <c r="B2003" s="0" t="s">
        <v>1401</v>
      </c>
      <c r="C2003" s="0" t="s">
        <v>1402</v>
      </c>
      <c r="D2003" s="0" t="n">
        <v>10</v>
      </c>
      <c r="E2003" s="6" t="n">
        <v>40821.4069444445</v>
      </c>
      <c r="F2003" s="0" t="n">
        <v>1.65</v>
      </c>
      <c r="G2003" s="0" t="n">
        <v>12481</v>
      </c>
      <c r="H2003" s="0" t="s">
        <v>33</v>
      </c>
      <c r="I2003" s="7" t="n">
        <f aca="false">IF(AND(LEFT(A2003,1)&lt;&gt;"C",D2003&gt;0,F2003&gt;0),1,0)</f>
        <v>1</v>
      </c>
      <c r="J2003" s="7" t="n">
        <f aca="false">IF(I2003=1,D2003*F2003,0)</f>
        <v>16.5</v>
      </c>
      <c r="K2003" s="7" t="n">
        <f aca="false">YEAR(E2003)*100+MONTH(E2003)</f>
        <v>201110</v>
      </c>
      <c r="L2003" s="7" t="n">
        <f aca="false">IF(AND(A2003&lt;&gt;A2002,LEFT(A2003,1)&lt;&gt;"C"),1,0)</f>
        <v>0</v>
      </c>
    </row>
    <row r="2004" customFormat="false" ht="15" hidden="false" customHeight="false" outlineLevel="0" collapsed="false">
      <c r="A2004" s="0" t="s">
        <v>1690</v>
      </c>
      <c r="B2004" s="0" t="s">
        <v>909</v>
      </c>
      <c r="C2004" s="0" t="s">
        <v>910</v>
      </c>
      <c r="D2004" s="0" t="n">
        <v>24</v>
      </c>
      <c r="E2004" s="6" t="n">
        <v>40821.4069444445</v>
      </c>
      <c r="F2004" s="0" t="n">
        <v>1.25</v>
      </c>
      <c r="G2004" s="0" t="n">
        <v>12481</v>
      </c>
      <c r="H2004" s="0" t="s">
        <v>33</v>
      </c>
      <c r="I2004" s="7" t="n">
        <f aca="false">IF(AND(LEFT(A2004,1)&lt;&gt;"C",D2004&gt;0,F2004&gt;0),1,0)</f>
        <v>1</v>
      </c>
      <c r="J2004" s="7" t="n">
        <f aca="false">IF(I2004=1,D2004*F2004,0)</f>
        <v>30</v>
      </c>
      <c r="K2004" s="7" t="n">
        <f aca="false">YEAR(E2004)*100+MONTH(E2004)</f>
        <v>201110</v>
      </c>
      <c r="L2004" s="7" t="n">
        <f aca="false">IF(AND(A2004&lt;&gt;A2003,LEFT(A2004,1)&lt;&gt;"C"),1,0)</f>
        <v>0</v>
      </c>
    </row>
    <row r="2005" customFormat="false" ht="15" hidden="false" customHeight="false" outlineLevel="0" collapsed="false">
      <c r="A2005" s="0" t="s">
        <v>1690</v>
      </c>
      <c r="B2005" s="0" t="s">
        <v>503</v>
      </c>
      <c r="C2005" s="0" t="s">
        <v>504</v>
      </c>
      <c r="D2005" s="0" t="n">
        <v>25</v>
      </c>
      <c r="E2005" s="6" t="n">
        <v>40821.4069444445</v>
      </c>
      <c r="F2005" s="0" t="n">
        <v>0.42</v>
      </c>
      <c r="G2005" s="0" t="n">
        <v>12481</v>
      </c>
      <c r="H2005" s="0" t="s">
        <v>33</v>
      </c>
      <c r="I2005" s="7" t="n">
        <f aca="false">IF(AND(LEFT(A2005,1)&lt;&gt;"C",D2005&gt;0,F2005&gt;0),1,0)</f>
        <v>1</v>
      </c>
      <c r="J2005" s="7" t="n">
        <f aca="false">IF(I2005=1,D2005*F2005,0)</f>
        <v>10.5</v>
      </c>
      <c r="K2005" s="7" t="n">
        <f aca="false">YEAR(E2005)*100+MONTH(E2005)</f>
        <v>201110</v>
      </c>
      <c r="L2005" s="7" t="n">
        <f aca="false">IF(AND(A2005&lt;&gt;A2004,LEFT(A2005,1)&lt;&gt;"C"),1,0)</f>
        <v>0</v>
      </c>
    </row>
    <row r="2006" customFormat="false" ht="15" hidden="false" customHeight="false" outlineLevel="0" collapsed="false">
      <c r="A2006" s="0" t="s">
        <v>1690</v>
      </c>
      <c r="B2006" s="0" t="s">
        <v>1701</v>
      </c>
      <c r="C2006" s="0" t="s">
        <v>1702</v>
      </c>
      <c r="D2006" s="0" t="n">
        <v>24</v>
      </c>
      <c r="E2006" s="6" t="n">
        <v>40821.4069444445</v>
      </c>
      <c r="F2006" s="0" t="n">
        <v>0.39</v>
      </c>
      <c r="G2006" s="0" t="n">
        <v>12481</v>
      </c>
      <c r="H2006" s="0" t="s">
        <v>33</v>
      </c>
      <c r="I2006" s="7" t="n">
        <f aca="false">IF(AND(LEFT(A2006,1)&lt;&gt;"C",D2006&gt;0,F2006&gt;0),1,0)</f>
        <v>1</v>
      </c>
      <c r="J2006" s="7" t="n">
        <f aca="false">IF(I2006=1,D2006*F2006,0)</f>
        <v>9.36</v>
      </c>
      <c r="K2006" s="7" t="n">
        <f aca="false">YEAR(E2006)*100+MONTH(E2006)</f>
        <v>201110</v>
      </c>
      <c r="L2006" s="7" t="n">
        <f aca="false">IF(AND(A2006&lt;&gt;A2005,LEFT(A2006,1)&lt;&gt;"C"),1,0)</f>
        <v>0</v>
      </c>
    </row>
    <row r="2007" customFormat="false" ht="15" hidden="false" customHeight="false" outlineLevel="0" collapsed="false">
      <c r="A2007" s="0" t="s">
        <v>1690</v>
      </c>
      <c r="B2007" s="0" t="s">
        <v>877</v>
      </c>
      <c r="C2007" s="0" t="s">
        <v>878</v>
      </c>
      <c r="D2007" s="0" t="n">
        <v>24</v>
      </c>
      <c r="E2007" s="6" t="n">
        <v>40821.4069444445</v>
      </c>
      <c r="F2007" s="0" t="n">
        <v>0.83</v>
      </c>
      <c r="G2007" s="0" t="n">
        <v>12481</v>
      </c>
      <c r="H2007" s="0" t="s">
        <v>33</v>
      </c>
      <c r="I2007" s="7" t="n">
        <f aca="false">IF(AND(LEFT(A2007,1)&lt;&gt;"C",D2007&gt;0,F2007&gt;0),1,0)</f>
        <v>1</v>
      </c>
      <c r="J2007" s="7" t="n">
        <f aca="false">IF(I2007=1,D2007*F2007,0)</f>
        <v>19.92</v>
      </c>
      <c r="K2007" s="7" t="n">
        <f aca="false">YEAR(E2007)*100+MONTH(E2007)</f>
        <v>201110</v>
      </c>
      <c r="L2007" s="7" t="n">
        <f aca="false">IF(AND(A2007&lt;&gt;A2006,LEFT(A2007,1)&lt;&gt;"C"),1,0)</f>
        <v>0</v>
      </c>
    </row>
    <row r="2008" customFormat="false" ht="15" hidden="false" customHeight="false" outlineLevel="0" collapsed="false">
      <c r="A2008" s="0" t="s">
        <v>1690</v>
      </c>
      <c r="B2008" s="0" t="s">
        <v>1521</v>
      </c>
      <c r="C2008" s="0" t="s">
        <v>1522</v>
      </c>
      <c r="D2008" s="0" t="n">
        <v>8</v>
      </c>
      <c r="E2008" s="6" t="n">
        <v>40821.4069444445</v>
      </c>
      <c r="F2008" s="0" t="n">
        <v>4.25</v>
      </c>
      <c r="G2008" s="0" t="n">
        <v>12481</v>
      </c>
      <c r="H2008" s="0" t="s">
        <v>33</v>
      </c>
      <c r="I2008" s="7" t="n">
        <f aca="false">IF(AND(LEFT(A2008,1)&lt;&gt;"C",D2008&gt;0,F2008&gt;0),1,0)</f>
        <v>1</v>
      </c>
      <c r="J2008" s="7" t="n">
        <f aca="false">IF(I2008=1,D2008*F2008,0)</f>
        <v>34</v>
      </c>
      <c r="K2008" s="7" t="n">
        <f aca="false">YEAR(E2008)*100+MONTH(E2008)</f>
        <v>201110</v>
      </c>
      <c r="L2008" s="7" t="n">
        <f aca="false">IF(AND(A2008&lt;&gt;A2007,LEFT(A2008,1)&lt;&gt;"C"),1,0)</f>
        <v>0</v>
      </c>
    </row>
    <row r="2009" customFormat="false" ht="15" hidden="false" customHeight="false" outlineLevel="0" collapsed="false">
      <c r="A2009" s="0" t="s">
        <v>1690</v>
      </c>
      <c r="B2009" s="0" t="s">
        <v>1703</v>
      </c>
      <c r="C2009" s="0" t="s">
        <v>1704</v>
      </c>
      <c r="D2009" s="0" t="n">
        <v>48</v>
      </c>
      <c r="E2009" s="6" t="n">
        <v>40821.4069444445</v>
      </c>
      <c r="F2009" s="0" t="n">
        <v>0.42</v>
      </c>
      <c r="G2009" s="0" t="n">
        <v>12481</v>
      </c>
      <c r="H2009" s="0" t="s">
        <v>33</v>
      </c>
      <c r="I2009" s="7" t="n">
        <f aca="false">IF(AND(LEFT(A2009,1)&lt;&gt;"C",D2009&gt;0,F2009&gt;0),1,0)</f>
        <v>1</v>
      </c>
      <c r="J2009" s="7" t="n">
        <f aca="false">IF(I2009=1,D2009*F2009,0)</f>
        <v>20.16</v>
      </c>
      <c r="K2009" s="7" t="n">
        <f aca="false">YEAR(E2009)*100+MONTH(E2009)</f>
        <v>201110</v>
      </c>
      <c r="L2009" s="7" t="n">
        <f aca="false">IF(AND(A2009&lt;&gt;A2008,LEFT(A2009,1)&lt;&gt;"C"),1,0)</f>
        <v>0</v>
      </c>
    </row>
    <row r="2010" customFormat="false" ht="15" hidden="false" customHeight="false" outlineLevel="0" collapsed="false">
      <c r="A2010" s="0" t="s">
        <v>1690</v>
      </c>
      <c r="B2010" s="0" t="s">
        <v>146</v>
      </c>
      <c r="C2010" s="0" t="s">
        <v>147</v>
      </c>
      <c r="D2010" s="0" t="n">
        <v>12</v>
      </c>
      <c r="E2010" s="6" t="n">
        <v>40821.4069444445</v>
      </c>
      <c r="F2010" s="0" t="n">
        <v>2.89</v>
      </c>
      <c r="G2010" s="0" t="n">
        <v>12481</v>
      </c>
      <c r="H2010" s="0" t="s">
        <v>33</v>
      </c>
      <c r="I2010" s="7" t="n">
        <f aca="false">IF(AND(LEFT(A2010,1)&lt;&gt;"C",D2010&gt;0,F2010&gt;0),1,0)</f>
        <v>1</v>
      </c>
      <c r="J2010" s="7" t="n">
        <f aca="false">IF(I2010=1,D2010*F2010,0)</f>
        <v>34.68</v>
      </c>
      <c r="K2010" s="7" t="n">
        <f aca="false">YEAR(E2010)*100+MONTH(E2010)</f>
        <v>201110</v>
      </c>
      <c r="L2010" s="7" t="n">
        <f aca="false">IF(AND(A2010&lt;&gt;A2009,LEFT(A2010,1)&lt;&gt;"C"),1,0)</f>
        <v>0</v>
      </c>
    </row>
    <row r="2011" customFormat="false" ht="15" hidden="false" customHeight="false" outlineLevel="0" collapsed="false">
      <c r="A2011" s="0" t="s">
        <v>1690</v>
      </c>
      <c r="B2011" s="0" t="s">
        <v>537</v>
      </c>
      <c r="C2011" s="0" t="s">
        <v>538</v>
      </c>
      <c r="D2011" s="0" t="n">
        <v>6</v>
      </c>
      <c r="E2011" s="6" t="n">
        <v>40821.4069444445</v>
      </c>
      <c r="F2011" s="0" t="n">
        <v>4.15</v>
      </c>
      <c r="G2011" s="0" t="n">
        <v>12481</v>
      </c>
      <c r="H2011" s="0" t="s">
        <v>33</v>
      </c>
      <c r="I2011" s="7" t="n">
        <f aca="false">IF(AND(LEFT(A2011,1)&lt;&gt;"C",D2011&gt;0,F2011&gt;0),1,0)</f>
        <v>1</v>
      </c>
      <c r="J2011" s="7" t="n">
        <f aca="false">IF(I2011=1,D2011*F2011,0)</f>
        <v>24.9</v>
      </c>
      <c r="K2011" s="7" t="n">
        <f aca="false">YEAR(E2011)*100+MONTH(E2011)</f>
        <v>201110</v>
      </c>
      <c r="L2011" s="7" t="n">
        <f aca="false">IF(AND(A2011&lt;&gt;A2010,LEFT(A2011,1)&lt;&gt;"C"),1,0)</f>
        <v>0</v>
      </c>
    </row>
    <row r="2012" customFormat="false" ht="15" hidden="false" customHeight="false" outlineLevel="0" collapsed="false">
      <c r="A2012" s="0" t="s">
        <v>1690</v>
      </c>
      <c r="B2012" s="0" t="s">
        <v>113</v>
      </c>
      <c r="C2012" s="0" t="s">
        <v>114</v>
      </c>
      <c r="D2012" s="0" t="n">
        <v>12</v>
      </c>
      <c r="E2012" s="6" t="n">
        <v>40821.4069444445</v>
      </c>
      <c r="F2012" s="0" t="n">
        <v>1.25</v>
      </c>
      <c r="G2012" s="0" t="n">
        <v>12481</v>
      </c>
      <c r="H2012" s="0" t="s">
        <v>33</v>
      </c>
      <c r="I2012" s="7" t="n">
        <f aca="false">IF(AND(LEFT(A2012,1)&lt;&gt;"C",D2012&gt;0,F2012&gt;0),1,0)</f>
        <v>1</v>
      </c>
      <c r="J2012" s="7" t="n">
        <f aca="false">IF(I2012=1,D2012*F2012,0)</f>
        <v>15</v>
      </c>
      <c r="K2012" s="7" t="n">
        <f aca="false">YEAR(E2012)*100+MONTH(E2012)</f>
        <v>201110</v>
      </c>
      <c r="L2012" s="7" t="n">
        <f aca="false">IF(AND(A2012&lt;&gt;A2011,LEFT(A2012,1)&lt;&gt;"C"),1,0)</f>
        <v>0</v>
      </c>
    </row>
    <row r="2013" customFormat="false" ht="15" hidden="false" customHeight="false" outlineLevel="0" collapsed="false">
      <c r="A2013" s="0" t="s">
        <v>1690</v>
      </c>
      <c r="B2013" s="0" t="s">
        <v>412</v>
      </c>
      <c r="C2013" s="0" t="s">
        <v>413</v>
      </c>
      <c r="D2013" s="0" t="n">
        <v>12</v>
      </c>
      <c r="E2013" s="6" t="n">
        <v>40821.4069444445</v>
      </c>
      <c r="F2013" s="0" t="n">
        <v>1.25</v>
      </c>
      <c r="G2013" s="0" t="n">
        <v>12481</v>
      </c>
      <c r="H2013" s="0" t="s">
        <v>33</v>
      </c>
      <c r="I2013" s="7" t="n">
        <f aca="false">IF(AND(LEFT(A2013,1)&lt;&gt;"C",D2013&gt;0,F2013&gt;0),1,0)</f>
        <v>1</v>
      </c>
      <c r="J2013" s="7" t="n">
        <f aca="false">IF(I2013=1,D2013*F2013,0)</f>
        <v>15</v>
      </c>
      <c r="K2013" s="7" t="n">
        <f aca="false">YEAR(E2013)*100+MONTH(E2013)</f>
        <v>201110</v>
      </c>
      <c r="L2013" s="7" t="n">
        <f aca="false">IF(AND(A2013&lt;&gt;A2012,LEFT(A2013,1)&lt;&gt;"C"),1,0)</f>
        <v>0</v>
      </c>
    </row>
    <row r="2014" customFormat="false" ht="15" hidden="false" customHeight="false" outlineLevel="0" collapsed="false">
      <c r="A2014" s="0" t="s">
        <v>1690</v>
      </c>
      <c r="B2014" s="0" t="s">
        <v>1126</v>
      </c>
      <c r="C2014" s="0" t="s">
        <v>1127</v>
      </c>
      <c r="D2014" s="0" t="n">
        <v>2</v>
      </c>
      <c r="E2014" s="6" t="n">
        <v>40821.4069444445</v>
      </c>
      <c r="F2014" s="0" t="n">
        <v>8.5</v>
      </c>
      <c r="G2014" s="0" t="n">
        <v>12481</v>
      </c>
      <c r="H2014" s="0" t="s">
        <v>33</v>
      </c>
      <c r="I2014" s="7" t="n">
        <f aca="false">IF(AND(LEFT(A2014,1)&lt;&gt;"C",D2014&gt;0,F2014&gt;0),1,0)</f>
        <v>1</v>
      </c>
      <c r="J2014" s="7" t="n">
        <f aca="false">IF(I2014=1,D2014*F2014,0)</f>
        <v>17</v>
      </c>
      <c r="K2014" s="7" t="n">
        <f aca="false">YEAR(E2014)*100+MONTH(E2014)</f>
        <v>201110</v>
      </c>
      <c r="L2014" s="7" t="n">
        <f aca="false">IF(AND(A2014&lt;&gt;A2013,LEFT(A2014,1)&lt;&gt;"C"),1,0)</f>
        <v>0</v>
      </c>
    </row>
    <row r="2015" customFormat="false" ht="15" hidden="false" customHeight="false" outlineLevel="0" collapsed="false">
      <c r="A2015" s="0" t="s">
        <v>1690</v>
      </c>
      <c r="B2015" s="0" t="s">
        <v>1124</v>
      </c>
      <c r="C2015" s="0" t="s">
        <v>1125</v>
      </c>
      <c r="D2015" s="0" t="n">
        <v>2</v>
      </c>
      <c r="E2015" s="6" t="n">
        <v>40821.4069444445</v>
      </c>
      <c r="F2015" s="0" t="n">
        <v>8.5</v>
      </c>
      <c r="G2015" s="0" t="n">
        <v>12481</v>
      </c>
      <c r="H2015" s="0" t="s">
        <v>33</v>
      </c>
      <c r="I2015" s="7" t="n">
        <f aca="false">IF(AND(LEFT(A2015,1)&lt;&gt;"C",D2015&gt;0,F2015&gt;0),1,0)</f>
        <v>1</v>
      </c>
      <c r="J2015" s="7" t="n">
        <f aca="false">IF(I2015=1,D2015*F2015,0)</f>
        <v>17</v>
      </c>
      <c r="K2015" s="7" t="n">
        <f aca="false">YEAR(E2015)*100+MONTH(E2015)</f>
        <v>201110</v>
      </c>
      <c r="L2015" s="7" t="n">
        <f aca="false">IF(AND(A2015&lt;&gt;A2014,LEFT(A2015,1)&lt;&gt;"C"),1,0)</f>
        <v>0</v>
      </c>
    </row>
    <row r="2016" customFormat="false" ht="15" hidden="false" customHeight="false" outlineLevel="0" collapsed="false">
      <c r="A2016" s="0" t="s">
        <v>1690</v>
      </c>
      <c r="B2016" s="0" t="s">
        <v>1705</v>
      </c>
      <c r="C2016" s="0" t="s">
        <v>1706</v>
      </c>
      <c r="D2016" s="0" t="n">
        <v>2</v>
      </c>
      <c r="E2016" s="6" t="n">
        <v>40821.4069444445</v>
      </c>
      <c r="F2016" s="0" t="n">
        <v>8.5</v>
      </c>
      <c r="G2016" s="0" t="n">
        <v>12481</v>
      </c>
      <c r="H2016" s="0" t="s">
        <v>33</v>
      </c>
      <c r="I2016" s="7" t="n">
        <f aca="false">IF(AND(LEFT(A2016,1)&lt;&gt;"C",D2016&gt;0,F2016&gt;0),1,0)</f>
        <v>1</v>
      </c>
      <c r="J2016" s="7" t="n">
        <f aca="false">IF(I2016=1,D2016*F2016,0)</f>
        <v>17</v>
      </c>
      <c r="K2016" s="7" t="n">
        <f aca="false">YEAR(E2016)*100+MONTH(E2016)</f>
        <v>201110</v>
      </c>
      <c r="L2016" s="7" t="n">
        <f aca="false">IF(AND(A2016&lt;&gt;A2015,LEFT(A2016,1)&lt;&gt;"C"),1,0)</f>
        <v>0</v>
      </c>
    </row>
    <row r="2017" customFormat="false" ht="15" hidden="false" customHeight="false" outlineLevel="0" collapsed="false">
      <c r="A2017" s="0" t="s">
        <v>1690</v>
      </c>
      <c r="B2017" s="0" t="s">
        <v>1112</v>
      </c>
      <c r="C2017" s="0" t="s">
        <v>1113</v>
      </c>
      <c r="D2017" s="0" t="n">
        <v>4</v>
      </c>
      <c r="E2017" s="6" t="n">
        <v>40821.4069444445</v>
      </c>
      <c r="F2017" s="0" t="n">
        <v>14.95</v>
      </c>
      <c r="G2017" s="0" t="n">
        <v>12481</v>
      </c>
      <c r="H2017" s="0" t="s">
        <v>33</v>
      </c>
      <c r="I2017" s="7" t="n">
        <f aca="false">IF(AND(LEFT(A2017,1)&lt;&gt;"C",D2017&gt;0,F2017&gt;0),1,0)</f>
        <v>1</v>
      </c>
      <c r="J2017" s="7" t="n">
        <f aca="false">IF(I2017=1,D2017*F2017,0)</f>
        <v>59.8</v>
      </c>
      <c r="K2017" s="7" t="n">
        <f aca="false">YEAR(E2017)*100+MONTH(E2017)</f>
        <v>201110</v>
      </c>
      <c r="L2017" s="7" t="n">
        <f aca="false">IF(AND(A2017&lt;&gt;A2016,LEFT(A2017,1)&lt;&gt;"C"),1,0)</f>
        <v>0</v>
      </c>
    </row>
    <row r="2018" customFormat="false" ht="15" hidden="false" customHeight="false" outlineLevel="0" collapsed="false">
      <c r="A2018" s="0" t="s">
        <v>1690</v>
      </c>
      <c r="B2018" s="0" t="s">
        <v>1707</v>
      </c>
      <c r="C2018" s="0" t="s">
        <v>1708</v>
      </c>
      <c r="D2018" s="0" t="n">
        <v>4</v>
      </c>
      <c r="E2018" s="6" t="n">
        <v>40821.4069444445</v>
      </c>
      <c r="F2018" s="0" t="n">
        <v>14.95</v>
      </c>
      <c r="G2018" s="0" t="n">
        <v>12481</v>
      </c>
      <c r="H2018" s="0" t="s">
        <v>33</v>
      </c>
      <c r="I2018" s="7" t="n">
        <f aca="false">IF(AND(LEFT(A2018,1)&lt;&gt;"C",D2018&gt;0,F2018&gt;0),1,0)</f>
        <v>1</v>
      </c>
      <c r="J2018" s="7" t="n">
        <f aca="false">IF(I2018=1,D2018*F2018,0)</f>
        <v>59.8</v>
      </c>
      <c r="K2018" s="7" t="n">
        <f aca="false">YEAR(E2018)*100+MONTH(E2018)</f>
        <v>201110</v>
      </c>
      <c r="L2018" s="7" t="n">
        <f aca="false">IF(AND(A2018&lt;&gt;A2017,LEFT(A2018,1)&lt;&gt;"C"),1,0)</f>
        <v>0</v>
      </c>
    </row>
    <row r="2019" customFormat="false" ht="15" hidden="false" customHeight="false" outlineLevel="0" collapsed="false">
      <c r="A2019" s="0" t="s">
        <v>1690</v>
      </c>
      <c r="B2019" s="0" t="s">
        <v>293</v>
      </c>
      <c r="C2019" s="0" t="s">
        <v>294</v>
      </c>
      <c r="D2019" s="0" t="n">
        <v>4</v>
      </c>
      <c r="E2019" s="6" t="n">
        <v>40821.4069444445</v>
      </c>
      <c r="F2019" s="0" t="n">
        <v>8.5</v>
      </c>
      <c r="G2019" s="0" t="n">
        <v>12481</v>
      </c>
      <c r="H2019" s="0" t="s">
        <v>33</v>
      </c>
      <c r="I2019" s="7" t="n">
        <f aca="false">IF(AND(LEFT(A2019,1)&lt;&gt;"C",D2019&gt;0,F2019&gt;0),1,0)</f>
        <v>1</v>
      </c>
      <c r="J2019" s="7" t="n">
        <f aca="false">IF(I2019=1,D2019*F2019,0)</f>
        <v>34</v>
      </c>
      <c r="K2019" s="7" t="n">
        <f aca="false">YEAR(E2019)*100+MONTH(E2019)</f>
        <v>201110</v>
      </c>
      <c r="L2019" s="7" t="n">
        <f aca="false">IF(AND(A2019&lt;&gt;A2018,LEFT(A2019,1)&lt;&gt;"C"),1,0)</f>
        <v>0</v>
      </c>
    </row>
    <row r="2020" customFormat="false" ht="15" hidden="false" customHeight="false" outlineLevel="0" collapsed="false">
      <c r="A2020" s="0" t="s">
        <v>1690</v>
      </c>
      <c r="B2020" s="0" t="s">
        <v>326</v>
      </c>
      <c r="C2020" s="0" t="s">
        <v>327</v>
      </c>
      <c r="D2020" s="0" t="n">
        <v>4</v>
      </c>
      <c r="E2020" s="6" t="n">
        <v>40821.4069444445</v>
      </c>
      <c r="F2020" s="0" t="n">
        <v>8.5</v>
      </c>
      <c r="G2020" s="0" t="n">
        <v>12481</v>
      </c>
      <c r="H2020" s="0" t="s">
        <v>33</v>
      </c>
      <c r="I2020" s="7" t="n">
        <f aca="false">IF(AND(LEFT(A2020,1)&lt;&gt;"C",D2020&gt;0,F2020&gt;0),1,0)</f>
        <v>1</v>
      </c>
      <c r="J2020" s="7" t="n">
        <f aca="false">IF(I2020=1,D2020*F2020,0)</f>
        <v>34</v>
      </c>
      <c r="K2020" s="7" t="n">
        <f aca="false">YEAR(E2020)*100+MONTH(E2020)</f>
        <v>201110</v>
      </c>
      <c r="L2020" s="7" t="n">
        <f aca="false">IF(AND(A2020&lt;&gt;A2019,LEFT(A2020,1)&lt;&gt;"C"),1,0)</f>
        <v>0</v>
      </c>
    </row>
    <row r="2021" customFormat="false" ht="15" hidden="false" customHeight="false" outlineLevel="0" collapsed="false">
      <c r="A2021" s="0" t="s">
        <v>1690</v>
      </c>
      <c r="B2021" s="0" t="s">
        <v>1130</v>
      </c>
      <c r="C2021" s="0" t="s">
        <v>1131</v>
      </c>
      <c r="D2021" s="0" t="n">
        <v>24</v>
      </c>
      <c r="E2021" s="6" t="n">
        <v>40821.4069444445</v>
      </c>
      <c r="F2021" s="0" t="n">
        <v>1.25</v>
      </c>
      <c r="G2021" s="0" t="n">
        <v>12481</v>
      </c>
      <c r="H2021" s="0" t="s">
        <v>33</v>
      </c>
      <c r="I2021" s="7" t="n">
        <f aca="false">IF(AND(LEFT(A2021,1)&lt;&gt;"C",D2021&gt;0,F2021&gt;0),1,0)</f>
        <v>1</v>
      </c>
      <c r="J2021" s="7" t="n">
        <f aca="false">IF(I2021=1,D2021*F2021,0)</f>
        <v>30</v>
      </c>
      <c r="K2021" s="7" t="n">
        <f aca="false">YEAR(E2021)*100+MONTH(E2021)</f>
        <v>201110</v>
      </c>
      <c r="L2021" s="7" t="n">
        <f aca="false">IF(AND(A2021&lt;&gt;A2020,LEFT(A2021,1)&lt;&gt;"C"),1,0)</f>
        <v>0</v>
      </c>
    </row>
    <row r="2022" customFormat="false" ht="15" hidden="false" customHeight="false" outlineLevel="0" collapsed="false">
      <c r="A2022" s="0" t="s">
        <v>1690</v>
      </c>
      <c r="B2022" s="0" t="s">
        <v>142</v>
      </c>
      <c r="C2022" s="0" t="s">
        <v>143</v>
      </c>
      <c r="D2022" s="0" t="n">
        <v>24</v>
      </c>
      <c r="E2022" s="6" t="n">
        <v>40821.4069444445</v>
      </c>
      <c r="F2022" s="0" t="n">
        <v>1.45</v>
      </c>
      <c r="G2022" s="0" t="n">
        <v>12481</v>
      </c>
      <c r="H2022" s="0" t="s">
        <v>33</v>
      </c>
      <c r="I2022" s="7" t="n">
        <f aca="false">IF(AND(LEFT(A2022,1)&lt;&gt;"C",D2022&gt;0,F2022&gt;0),1,0)</f>
        <v>1</v>
      </c>
      <c r="J2022" s="7" t="n">
        <f aca="false">IF(I2022=1,D2022*F2022,0)</f>
        <v>34.8</v>
      </c>
      <c r="K2022" s="7" t="n">
        <f aca="false">YEAR(E2022)*100+MONTH(E2022)</f>
        <v>201110</v>
      </c>
      <c r="L2022" s="7" t="n">
        <f aca="false">IF(AND(A2022&lt;&gt;A2021,LEFT(A2022,1)&lt;&gt;"C"),1,0)</f>
        <v>0</v>
      </c>
    </row>
    <row r="2023" customFormat="false" ht="15" hidden="false" customHeight="false" outlineLevel="0" collapsed="false">
      <c r="A2023" s="0" t="s">
        <v>1690</v>
      </c>
      <c r="B2023" s="0" t="s">
        <v>140</v>
      </c>
      <c r="C2023" s="0" t="s">
        <v>141</v>
      </c>
      <c r="D2023" s="0" t="n">
        <v>48</v>
      </c>
      <c r="E2023" s="6" t="n">
        <v>40821.4069444445</v>
      </c>
      <c r="F2023" s="0" t="n">
        <v>1.25</v>
      </c>
      <c r="G2023" s="0" t="n">
        <v>12481</v>
      </c>
      <c r="H2023" s="0" t="s">
        <v>33</v>
      </c>
      <c r="I2023" s="7" t="n">
        <f aca="false">IF(AND(LEFT(A2023,1)&lt;&gt;"C",D2023&gt;0,F2023&gt;0),1,0)</f>
        <v>1</v>
      </c>
      <c r="J2023" s="7" t="n">
        <f aca="false">IF(I2023=1,D2023*F2023,0)</f>
        <v>60</v>
      </c>
      <c r="K2023" s="7" t="n">
        <f aca="false">YEAR(E2023)*100+MONTH(E2023)</f>
        <v>201110</v>
      </c>
      <c r="L2023" s="7" t="n">
        <f aca="false">IF(AND(A2023&lt;&gt;A2022,LEFT(A2023,1)&lt;&gt;"C"),1,0)</f>
        <v>0</v>
      </c>
    </row>
    <row r="2024" customFormat="false" ht="15" hidden="false" customHeight="false" outlineLevel="0" collapsed="false">
      <c r="A2024" s="0" t="s">
        <v>1690</v>
      </c>
      <c r="B2024" s="0" t="s">
        <v>847</v>
      </c>
      <c r="C2024" s="0" t="s">
        <v>848</v>
      </c>
      <c r="D2024" s="0" t="n">
        <v>48</v>
      </c>
      <c r="E2024" s="6" t="n">
        <v>40821.4069444445</v>
      </c>
      <c r="F2024" s="0" t="n">
        <v>1.25</v>
      </c>
      <c r="G2024" s="0" t="n">
        <v>12481</v>
      </c>
      <c r="H2024" s="0" t="s">
        <v>33</v>
      </c>
      <c r="I2024" s="7" t="n">
        <f aca="false">IF(AND(LEFT(A2024,1)&lt;&gt;"C",D2024&gt;0,F2024&gt;0),1,0)</f>
        <v>1</v>
      </c>
      <c r="J2024" s="7" t="n">
        <f aca="false">IF(I2024=1,D2024*F2024,0)</f>
        <v>60</v>
      </c>
      <c r="K2024" s="7" t="n">
        <f aca="false">YEAR(E2024)*100+MONTH(E2024)</f>
        <v>201110</v>
      </c>
      <c r="L2024" s="7" t="n">
        <f aca="false">IF(AND(A2024&lt;&gt;A2023,LEFT(A2024,1)&lt;&gt;"C"),1,0)</f>
        <v>0</v>
      </c>
    </row>
    <row r="2025" customFormat="false" ht="15" hidden="false" customHeight="false" outlineLevel="0" collapsed="false">
      <c r="A2025" s="0" t="s">
        <v>1690</v>
      </c>
      <c r="B2025" s="0" t="s">
        <v>136</v>
      </c>
      <c r="C2025" s="0" t="s">
        <v>137</v>
      </c>
      <c r="D2025" s="0" t="n">
        <v>4</v>
      </c>
      <c r="E2025" s="6" t="n">
        <v>40821.4069444445</v>
      </c>
      <c r="F2025" s="0" t="n">
        <v>4.95</v>
      </c>
      <c r="G2025" s="0" t="n">
        <v>12481</v>
      </c>
      <c r="H2025" s="0" t="s">
        <v>33</v>
      </c>
      <c r="I2025" s="7" t="n">
        <f aca="false">IF(AND(LEFT(A2025,1)&lt;&gt;"C",D2025&gt;0,F2025&gt;0),1,0)</f>
        <v>1</v>
      </c>
      <c r="J2025" s="7" t="n">
        <f aca="false">IF(I2025=1,D2025*F2025,0)</f>
        <v>19.8</v>
      </c>
      <c r="K2025" s="7" t="n">
        <f aca="false">YEAR(E2025)*100+MONTH(E2025)</f>
        <v>201110</v>
      </c>
      <c r="L2025" s="7" t="n">
        <f aca="false">IF(AND(A2025&lt;&gt;A2024,LEFT(A2025,1)&lt;&gt;"C"),1,0)</f>
        <v>0</v>
      </c>
    </row>
    <row r="2026" customFormat="false" ht="15" hidden="false" customHeight="false" outlineLevel="0" collapsed="false">
      <c r="A2026" s="0" t="s">
        <v>1690</v>
      </c>
      <c r="B2026" s="0" t="s">
        <v>703</v>
      </c>
      <c r="C2026" s="0" t="s">
        <v>704</v>
      </c>
      <c r="D2026" s="0" t="n">
        <v>48</v>
      </c>
      <c r="E2026" s="6" t="n">
        <v>40821.4069444445</v>
      </c>
      <c r="F2026" s="0" t="n">
        <v>1.45</v>
      </c>
      <c r="G2026" s="0" t="n">
        <v>12481</v>
      </c>
      <c r="H2026" s="0" t="s">
        <v>33</v>
      </c>
      <c r="I2026" s="7" t="n">
        <f aca="false">IF(AND(LEFT(A2026,1)&lt;&gt;"C",D2026&gt;0,F2026&gt;0),1,0)</f>
        <v>1</v>
      </c>
      <c r="J2026" s="7" t="n">
        <f aca="false">IF(I2026=1,D2026*F2026,0)</f>
        <v>69.6</v>
      </c>
      <c r="K2026" s="7" t="n">
        <f aca="false">YEAR(E2026)*100+MONTH(E2026)</f>
        <v>201110</v>
      </c>
      <c r="L2026" s="7" t="n">
        <f aca="false">IF(AND(A2026&lt;&gt;A2025,LEFT(A2026,1)&lt;&gt;"C"),1,0)</f>
        <v>0</v>
      </c>
    </row>
    <row r="2027" customFormat="false" ht="15" hidden="false" customHeight="false" outlineLevel="0" collapsed="false">
      <c r="A2027" s="0" t="s">
        <v>1690</v>
      </c>
      <c r="B2027" s="0" t="s">
        <v>1092</v>
      </c>
      <c r="C2027" s="0" t="s">
        <v>1093</v>
      </c>
      <c r="D2027" s="0" t="n">
        <v>16</v>
      </c>
      <c r="E2027" s="6" t="n">
        <v>40821.4069444445</v>
      </c>
      <c r="F2027" s="0" t="n">
        <v>0.85</v>
      </c>
      <c r="G2027" s="0" t="n">
        <v>12481</v>
      </c>
      <c r="H2027" s="0" t="s">
        <v>33</v>
      </c>
      <c r="I2027" s="7" t="n">
        <f aca="false">IF(AND(LEFT(A2027,1)&lt;&gt;"C",D2027&gt;0,F2027&gt;0),1,0)</f>
        <v>1</v>
      </c>
      <c r="J2027" s="7" t="n">
        <f aca="false">IF(I2027=1,D2027*F2027,0)</f>
        <v>13.6</v>
      </c>
      <c r="K2027" s="7" t="n">
        <f aca="false">YEAR(E2027)*100+MONTH(E2027)</f>
        <v>201110</v>
      </c>
      <c r="L2027" s="7" t="n">
        <f aca="false">IF(AND(A2027&lt;&gt;A2026,LEFT(A2027,1)&lt;&gt;"C"),1,0)</f>
        <v>0</v>
      </c>
    </row>
    <row r="2028" customFormat="false" ht="15" hidden="false" customHeight="false" outlineLevel="0" collapsed="false">
      <c r="A2028" s="0" t="s">
        <v>1690</v>
      </c>
      <c r="B2028" s="0" t="s">
        <v>1216</v>
      </c>
      <c r="C2028" s="0" t="s">
        <v>1217</v>
      </c>
      <c r="D2028" s="0" t="n">
        <v>16</v>
      </c>
      <c r="E2028" s="6" t="n">
        <v>40821.4069444445</v>
      </c>
      <c r="F2028" s="0" t="n">
        <v>0.85</v>
      </c>
      <c r="G2028" s="0" t="n">
        <v>12481</v>
      </c>
      <c r="H2028" s="0" t="s">
        <v>33</v>
      </c>
      <c r="I2028" s="7" t="n">
        <f aca="false">IF(AND(LEFT(A2028,1)&lt;&gt;"C",D2028&gt;0,F2028&gt;0),1,0)</f>
        <v>1</v>
      </c>
      <c r="J2028" s="7" t="n">
        <f aca="false">IF(I2028=1,D2028*F2028,0)</f>
        <v>13.6</v>
      </c>
      <c r="K2028" s="7" t="n">
        <f aca="false">YEAR(E2028)*100+MONTH(E2028)</f>
        <v>201110</v>
      </c>
      <c r="L2028" s="7" t="n">
        <f aca="false">IF(AND(A2028&lt;&gt;A2027,LEFT(A2028,1)&lt;&gt;"C"),1,0)</f>
        <v>0</v>
      </c>
    </row>
    <row r="2029" customFormat="false" ht="15" hidden="false" customHeight="false" outlineLevel="0" collapsed="false">
      <c r="A2029" s="0" t="s">
        <v>1690</v>
      </c>
      <c r="B2029" s="0" t="s">
        <v>962</v>
      </c>
      <c r="C2029" s="0" t="s">
        <v>963</v>
      </c>
      <c r="D2029" s="0" t="n">
        <v>8</v>
      </c>
      <c r="E2029" s="6" t="n">
        <v>40821.4069444445</v>
      </c>
      <c r="F2029" s="0" t="n">
        <v>0.85</v>
      </c>
      <c r="G2029" s="0" t="n">
        <v>12481</v>
      </c>
      <c r="H2029" s="0" t="s">
        <v>33</v>
      </c>
      <c r="I2029" s="7" t="n">
        <f aca="false">IF(AND(LEFT(A2029,1)&lt;&gt;"C",D2029&gt;0,F2029&gt;0),1,0)</f>
        <v>1</v>
      </c>
      <c r="J2029" s="7" t="n">
        <f aca="false">IF(I2029=1,D2029*F2029,0)</f>
        <v>6.8</v>
      </c>
      <c r="K2029" s="7" t="n">
        <f aca="false">YEAR(E2029)*100+MONTH(E2029)</f>
        <v>201110</v>
      </c>
      <c r="L2029" s="7" t="n">
        <f aca="false">IF(AND(A2029&lt;&gt;A2028,LEFT(A2029,1)&lt;&gt;"C"),1,0)</f>
        <v>0</v>
      </c>
    </row>
    <row r="2030" customFormat="false" ht="15" hidden="false" customHeight="false" outlineLevel="0" collapsed="false">
      <c r="A2030" s="0" t="s">
        <v>1690</v>
      </c>
      <c r="B2030" s="0" t="s">
        <v>719</v>
      </c>
      <c r="C2030" s="0" t="s">
        <v>720</v>
      </c>
      <c r="D2030" s="0" t="n">
        <v>8</v>
      </c>
      <c r="E2030" s="6" t="n">
        <v>40821.4069444445</v>
      </c>
      <c r="F2030" s="0" t="n">
        <v>0.85</v>
      </c>
      <c r="G2030" s="0" t="n">
        <v>12481</v>
      </c>
      <c r="H2030" s="0" t="s">
        <v>33</v>
      </c>
      <c r="I2030" s="7" t="n">
        <f aca="false">IF(AND(LEFT(A2030,1)&lt;&gt;"C",D2030&gt;0,F2030&gt;0),1,0)</f>
        <v>1</v>
      </c>
      <c r="J2030" s="7" t="n">
        <f aca="false">IF(I2030=1,D2030*F2030,0)</f>
        <v>6.8</v>
      </c>
      <c r="K2030" s="7" t="n">
        <f aca="false">YEAR(E2030)*100+MONTH(E2030)</f>
        <v>201110</v>
      </c>
      <c r="L2030" s="7" t="n">
        <f aca="false">IF(AND(A2030&lt;&gt;A2029,LEFT(A2030,1)&lt;&gt;"C"),1,0)</f>
        <v>0</v>
      </c>
    </row>
    <row r="2031" customFormat="false" ht="15" hidden="false" customHeight="false" outlineLevel="0" collapsed="false">
      <c r="A2031" s="0" t="s">
        <v>1690</v>
      </c>
      <c r="B2031" s="0" t="s">
        <v>717</v>
      </c>
      <c r="C2031" s="0" t="s">
        <v>718</v>
      </c>
      <c r="D2031" s="0" t="n">
        <v>16</v>
      </c>
      <c r="E2031" s="6" t="n">
        <v>40821.4069444445</v>
      </c>
      <c r="F2031" s="0" t="n">
        <v>0.83</v>
      </c>
      <c r="G2031" s="0" t="n">
        <v>12481</v>
      </c>
      <c r="H2031" s="0" t="s">
        <v>33</v>
      </c>
      <c r="I2031" s="7" t="n">
        <f aca="false">IF(AND(LEFT(A2031,1)&lt;&gt;"C",D2031&gt;0,F2031&gt;0),1,0)</f>
        <v>1</v>
      </c>
      <c r="J2031" s="7" t="n">
        <f aca="false">IF(I2031=1,D2031*F2031,0)</f>
        <v>13.28</v>
      </c>
      <c r="K2031" s="7" t="n">
        <f aca="false">YEAR(E2031)*100+MONTH(E2031)</f>
        <v>201110</v>
      </c>
      <c r="L2031" s="7" t="n">
        <f aca="false">IF(AND(A2031&lt;&gt;A2030,LEFT(A2031,1)&lt;&gt;"C"),1,0)</f>
        <v>0</v>
      </c>
    </row>
    <row r="2032" customFormat="false" ht="15" hidden="false" customHeight="false" outlineLevel="0" collapsed="false">
      <c r="A2032" s="0" t="s">
        <v>1690</v>
      </c>
      <c r="B2032" s="0" t="s">
        <v>314</v>
      </c>
      <c r="C2032" s="0" t="s">
        <v>315</v>
      </c>
      <c r="D2032" s="0" t="n">
        <v>12</v>
      </c>
      <c r="E2032" s="6" t="n">
        <v>40821.4069444445</v>
      </c>
      <c r="F2032" s="0" t="n">
        <v>1.45</v>
      </c>
      <c r="G2032" s="0" t="n">
        <v>12481</v>
      </c>
      <c r="H2032" s="0" t="s">
        <v>33</v>
      </c>
      <c r="I2032" s="7" t="n">
        <f aca="false">IF(AND(LEFT(A2032,1)&lt;&gt;"C",D2032&gt;0,F2032&gt;0),1,0)</f>
        <v>1</v>
      </c>
      <c r="J2032" s="7" t="n">
        <f aca="false">IF(I2032=1,D2032*F2032,0)</f>
        <v>17.4</v>
      </c>
      <c r="K2032" s="7" t="n">
        <f aca="false">YEAR(E2032)*100+MONTH(E2032)</f>
        <v>201110</v>
      </c>
      <c r="L2032" s="7" t="n">
        <f aca="false">IF(AND(A2032&lt;&gt;A2031,LEFT(A2032,1)&lt;&gt;"C"),1,0)</f>
        <v>0</v>
      </c>
    </row>
    <row r="2033" customFormat="false" ht="15" hidden="false" customHeight="false" outlineLevel="0" collapsed="false">
      <c r="A2033" s="0" t="s">
        <v>1690</v>
      </c>
      <c r="B2033" s="0" t="s">
        <v>109</v>
      </c>
      <c r="C2033" s="0" t="s">
        <v>110</v>
      </c>
      <c r="D2033" s="0" t="n">
        <v>16</v>
      </c>
      <c r="E2033" s="6" t="n">
        <v>40821.4069444445</v>
      </c>
      <c r="F2033" s="0" t="n">
        <v>0.83</v>
      </c>
      <c r="G2033" s="0" t="n">
        <v>12481</v>
      </c>
      <c r="H2033" s="0" t="s">
        <v>33</v>
      </c>
      <c r="I2033" s="7" t="n">
        <f aca="false">IF(AND(LEFT(A2033,1)&lt;&gt;"C",D2033&gt;0,F2033&gt;0),1,0)</f>
        <v>1</v>
      </c>
      <c r="J2033" s="7" t="n">
        <f aca="false">IF(I2033=1,D2033*F2033,0)</f>
        <v>13.28</v>
      </c>
      <c r="K2033" s="7" t="n">
        <f aca="false">YEAR(E2033)*100+MONTH(E2033)</f>
        <v>201110</v>
      </c>
      <c r="L2033" s="7" t="n">
        <f aca="false">IF(AND(A2033&lt;&gt;A2032,LEFT(A2033,1)&lt;&gt;"C"),1,0)</f>
        <v>0</v>
      </c>
    </row>
    <row r="2034" customFormat="false" ht="15" hidden="false" customHeight="false" outlineLevel="0" collapsed="false">
      <c r="A2034" s="0" t="s">
        <v>1690</v>
      </c>
      <c r="B2034" s="0" t="s">
        <v>689</v>
      </c>
      <c r="C2034" s="0" t="s">
        <v>690</v>
      </c>
      <c r="D2034" s="0" t="n">
        <v>16</v>
      </c>
      <c r="E2034" s="6" t="n">
        <v>40821.4069444445</v>
      </c>
      <c r="F2034" s="0" t="n">
        <v>1.25</v>
      </c>
      <c r="G2034" s="0" t="n">
        <v>12481</v>
      </c>
      <c r="H2034" s="0" t="s">
        <v>33</v>
      </c>
      <c r="I2034" s="7" t="n">
        <f aca="false">IF(AND(LEFT(A2034,1)&lt;&gt;"C",D2034&gt;0,F2034&gt;0),1,0)</f>
        <v>1</v>
      </c>
      <c r="J2034" s="7" t="n">
        <f aca="false">IF(I2034=1,D2034*F2034,0)</f>
        <v>20</v>
      </c>
      <c r="K2034" s="7" t="n">
        <f aca="false">YEAR(E2034)*100+MONTH(E2034)</f>
        <v>201110</v>
      </c>
      <c r="L2034" s="7" t="n">
        <f aca="false">IF(AND(A2034&lt;&gt;A2033,LEFT(A2034,1)&lt;&gt;"C"),1,0)</f>
        <v>0</v>
      </c>
    </row>
    <row r="2035" customFormat="false" ht="15" hidden="false" customHeight="false" outlineLevel="0" collapsed="false">
      <c r="A2035" s="0" t="s">
        <v>1690</v>
      </c>
      <c r="B2035" s="0" t="s">
        <v>84</v>
      </c>
      <c r="C2035" s="0" t="s">
        <v>85</v>
      </c>
      <c r="D2035" s="0" t="n">
        <v>8</v>
      </c>
      <c r="E2035" s="6" t="n">
        <v>40821.4069444445</v>
      </c>
      <c r="F2035" s="0" t="n">
        <v>18</v>
      </c>
      <c r="G2035" s="0" t="n">
        <v>12481</v>
      </c>
      <c r="H2035" s="0" t="s">
        <v>33</v>
      </c>
      <c r="I2035" s="7" t="n">
        <f aca="false">IF(AND(LEFT(A2035,1)&lt;&gt;"C",D2035&gt;0,F2035&gt;0),1,0)</f>
        <v>1</v>
      </c>
      <c r="J2035" s="7" t="n">
        <f aca="false">IF(I2035=1,D2035*F2035,0)</f>
        <v>144</v>
      </c>
      <c r="K2035" s="7" t="n">
        <f aca="false">YEAR(E2035)*100+MONTH(E2035)</f>
        <v>201110</v>
      </c>
      <c r="L2035" s="7" t="n">
        <f aca="false">IF(AND(A2035&lt;&gt;A2034,LEFT(A2035,1)&lt;&gt;"C"),1,0)</f>
        <v>0</v>
      </c>
    </row>
    <row r="2036" customFormat="false" ht="15" hidden="false" customHeight="false" outlineLevel="0" collapsed="false">
      <c r="A2036" s="0" t="s">
        <v>1709</v>
      </c>
      <c r="B2036" s="0" t="s">
        <v>1710</v>
      </c>
      <c r="C2036" s="0" t="s">
        <v>1711</v>
      </c>
      <c r="D2036" s="0" t="n">
        <v>16</v>
      </c>
      <c r="E2036" s="6" t="n">
        <v>40821.4145833333</v>
      </c>
      <c r="F2036" s="0" t="n">
        <v>0.65</v>
      </c>
      <c r="G2036" s="0" t="n">
        <v>12700</v>
      </c>
      <c r="H2036" s="0" t="s">
        <v>43</v>
      </c>
      <c r="I2036" s="7" t="n">
        <f aca="false">IF(AND(LEFT(A2036,1)&lt;&gt;"C",D2036&gt;0,F2036&gt;0),1,0)</f>
        <v>1</v>
      </c>
      <c r="J2036" s="7" t="n">
        <f aca="false">IF(I2036=1,D2036*F2036,0)</f>
        <v>10.4</v>
      </c>
      <c r="K2036" s="7" t="n">
        <f aca="false">YEAR(E2036)*100+MONTH(E2036)</f>
        <v>201110</v>
      </c>
      <c r="L2036" s="7" t="n">
        <f aca="false">IF(AND(A2036&lt;&gt;A2035,LEFT(A2036,1)&lt;&gt;"C"),1,0)</f>
        <v>1</v>
      </c>
    </row>
    <row r="2037" customFormat="false" ht="15" hidden="false" customHeight="false" outlineLevel="0" collapsed="false">
      <c r="A2037" s="0" t="s">
        <v>1709</v>
      </c>
      <c r="B2037" s="0" t="s">
        <v>80</v>
      </c>
      <c r="C2037" s="0" t="s">
        <v>81</v>
      </c>
      <c r="D2037" s="0" t="n">
        <v>40</v>
      </c>
      <c r="E2037" s="6" t="n">
        <v>40821.4145833333</v>
      </c>
      <c r="F2037" s="0" t="n">
        <v>0.83</v>
      </c>
      <c r="G2037" s="0" t="n">
        <v>12700</v>
      </c>
      <c r="H2037" s="0" t="s">
        <v>43</v>
      </c>
      <c r="I2037" s="7" t="n">
        <f aca="false">IF(AND(LEFT(A2037,1)&lt;&gt;"C",D2037&gt;0,F2037&gt;0),1,0)</f>
        <v>1</v>
      </c>
      <c r="J2037" s="7" t="n">
        <f aca="false">IF(I2037=1,D2037*F2037,0)</f>
        <v>33.2</v>
      </c>
      <c r="K2037" s="7" t="n">
        <f aca="false">YEAR(E2037)*100+MONTH(E2037)</f>
        <v>201110</v>
      </c>
      <c r="L2037" s="7" t="n">
        <f aca="false">IF(AND(A2037&lt;&gt;A2036,LEFT(A2037,1)&lt;&gt;"C"),1,0)</f>
        <v>0</v>
      </c>
    </row>
    <row r="2038" customFormat="false" ht="15" hidden="false" customHeight="false" outlineLevel="0" collapsed="false">
      <c r="A2038" s="0" t="s">
        <v>1709</v>
      </c>
      <c r="B2038" s="0" t="s">
        <v>1448</v>
      </c>
      <c r="C2038" s="0" t="s">
        <v>1449</v>
      </c>
      <c r="D2038" s="0" t="n">
        <v>2</v>
      </c>
      <c r="E2038" s="6" t="n">
        <v>40821.4145833333</v>
      </c>
      <c r="F2038" s="0" t="n">
        <v>6.75</v>
      </c>
      <c r="G2038" s="0" t="n">
        <v>12700</v>
      </c>
      <c r="H2038" s="0" t="s">
        <v>43</v>
      </c>
      <c r="I2038" s="7" t="n">
        <f aca="false">IF(AND(LEFT(A2038,1)&lt;&gt;"C",D2038&gt;0,F2038&gt;0),1,0)</f>
        <v>1</v>
      </c>
      <c r="J2038" s="7" t="n">
        <f aca="false">IF(I2038=1,D2038*F2038,0)</f>
        <v>13.5</v>
      </c>
      <c r="K2038" s="7" t="n">
        <f aca="false">YEAR(E2038)*100+MONTH(E2038)</f>
        <v>201110</v>
      </c>
      <c r="L2038" s="7" t="n">
        <f aca="false">IF(AND(A2038&lt;&gt;A2037,LEFT(A2038,1)&lt;&gt;"C"),1,0)</f>
        <v>0</v>
      </c>
    </row>
    <row r="2039" customFormat="false" ht="15" hidden="false" customHeight="false" outlineLevel="0" collapsed="false">
      <c r="A2039" s="0" t="s">
        <v>1709</v>
      </c>
      <c r="B2039" s="0" t="s">
        <v>1446</v>
      </c>
      <c r="C2039" s="0" t="s">
        <v>1447</v>
      </c>
      <c r="D2039" s="0" t="n">
        <v>2</v>
      </c>
      <c r="E2039" s="6" t="n">
        <v>40821.4145833333</v>
      </c>
      <c r="F2039" s="0" t="n">
        <v>6.75</v>
      </c>
      <c r="G2039" s="0" t="n">
        <v>12700</v>
      </c>
      <c r="H2039" s="0" t="s">
        <v>43</v>
      </c>
      <c r="I2039" s="7" t="n">
        <f aca="false">IF(AND(LEFT(A2039,1)&lt;&gt;"C",D2039&gt;0,F2039&gt;0),1,0)</f>
        <v>1</v>
      </c>
      <c r="J2039" s="7" t="n">
        <f aca="false">IF(I2039=1,D2039*F2039,0)</f>
        <v>13.5</v>
      </c>
      <c r="K2039" s="7" t="n">
        <f aca="false">YEAR(E2039)*100+MONTH(E2039)</f>
        <v>201110</v>
      </c>
      <c r="L2039" s="7" t="n">
        <f aca="false">IF(AND(A2039&lt;&gt;A2038,LEFT(A2039,1)&lt;&gt;"C"),1,0)</f>
        <v>0</v>
      </c>
    </row>
    <row r="2040" customFormat="false" ht="15" hidden="false" customHeight="false" outlineLevel="0" collapsed="false">
      <c r="A2040" s="0" t="s">
        <v>1709</v>
      </c>
      <c r="B2040" s="0" t="s">
        <v>764</v>
      </c>
      <c r="C2040" s="0" t="s">
        <v>765</v>
      </c>
      <c r="D2040" s="0" t="n">
        <v>24</v>
      </c>
      <c r="E2040" s="6" t="n">
        <v>40821.4145833333</v>
      </c>
      <c r="F2040" s="0" t="n">
        <v>0.39</v>
      </c>
      <c r="G2040" s="0" t="n">
        <v>12700</v>
      </c>
      <c r="H2040" s="0" t="s">
        <v>43</v>
      </c>
      <c r="I2040" s="7" t="n">
        <f aca="false">IF(AND(LEFT(A2040,1)&lt;&gt;"C",D2040&gt;0,F2040&gt;0),1,0)</f>
        <v>1</v>
      </c>
      <c r="J2040" s="7" t="n">
        <f aca="false">IF(I2040=1,D2040*F2040,0)</f>
        <v>9.36</v>
      </c>
      <c r="K2040" s="7" t="n">
        <f aca="false">YEAR(E2040)*100+MONTH(E2040)</f>
        <v>201110</v>
      </c>
      <c r="L2040" s="7" t="n">
        <f aca="false">IF(AND(A2040&lt;&gt;A2039,LEFT(A2040,1)&lt;&gt;"C"),1,0)</f>
        <v>0</v>
      </c>
    </row>
    <row r="2041" customFormat="false" ht="15" hidden="false" customHeight="false" outlineLevel="0" collapsed="false">
      <c r="A2041" s="0" t="s">
        <v>1709</v>
      </c>
      <c r="B2041" s="0" t="s">
        <v>1701</v>
      </c>
      <c r="C2041" s="0" t="s">
        <v>1702</v>
      </c>
      <c r="D2041" s="0" t="n">
        <v>24</v>
      </c>
      <c r="E2041" s="6" t="n">
        <v>40821.4145833333</v>
      </c>
      <c r="F2041" s="0" t="n">
        <v>0.39</v>
      </c>
      <c r="G2041" s="0" t="n">
        <v>12700</v>
      </c>
      <c r="H2041" s="0" t="s">
        <v>43</v>
      </c>
      <c r="I2041" s="7" t="n">
        <f aca="false">IF(AND(LEFT(A2041,1)&lt;&gt;"C",D2041&gt;0,F2041&gt;0),1,0)</f>
        <v>1</v>
      </c>
      <c r="J2041" s="7" t="n">
        <f aca="false">IF(I2041=1,D2041*F2041,0)</f>
        <v>9.36</v>
      </c>
      <c r="K2041" s="7" t="n">
        <f aca="false">YEAR(E2041)*100+MONTH(E2041)</f>
        <v>201110</v>
      </c>
      <c r="L2041" s="7" t="n">
        <f aca="false">IF(AND(A2041&lt;&gt;A2040,LEFT(A2041,1)&lt;&gt;"C"),1,0)</f>
        <v>0</v>
      </c>
    </row>
    <row r="2042" customFormat="false" ht="15" hidden="false" customHeight="false" outlineLevel="0" collapsed="false">
      <c r="A2042" s="0" t="s">
        <v>1709</v>
      </c>
      <c r="B2042" s="0" t="s">
        <v>835</v>
      </c>
      <c r="C2042" s="0" t="s">
        <v>836</v>
      </c>
      <c r="D2042" s="0" t="n">
        <v>24</v>
      </c>
      <c r="E2042" s="6" t="n">
        <v>40821.4145833333</v>
      </c>
      <c r="F2042" s="0" t="n">
        <v>0.39</v>
      </c>
      <c r="G2042" s="0" t="n">
        <v>12700</v>
      </c>
      <c r="H2042" s="0" t="s">
        <v>43</v>
      </c>
      <c r="I2042" s="7" t="n">
        <f aca="false">IF(AND(LEFT(A2042,1)&lt;&gt;"C",D2042&gt;0,F2042&gt;0),1,0)</f>
        <v>1</v>
      </c>
      <c r="J2042" s="7" t="n">
        <f aca="false">IF(I2042=1,D2042*F2042,0)</f>
        <v>9.36</v>
      </c>
      <c r="K2042" s="7" t="n">
        <f aca="false">YEAR(E2042)*100+MONTH(E2042)</f>
        <v>201110</v>
      </c>
      <c r="L2042" s="7" t="n">
        <f aca="false">IF(AND(A2042&lt;&gt;A2041,LEFT(A2042,1)&lt;&gt;"C"),1,0)</f>
        <v>0</v>
      </c>
    </row>
    <row r="2043" customFormat="false" ht="15" hidden="false" customHeight="false" outlineLevel="0" collapsed="false">
      <c r="A2043" s="0" t="s">
        <v>1709</v>
      </c>
      <c r="B2043" s="0" t="s">
        <v>1175</v>
      </c>
      <c r="C2043" s="0" t="s">
        <v>1176</v>
      </c>
      <c r="D2043" s="0" t="n">
        <v>6</v>
      </c>
      <c r="E2043" s="6" t="n">
        <v>40821.4145833333</v>
      </c>
      <c r="F2043" s="0" t="n">
        <v>2.08</v>
      </c>
      <c r="G2043" s="0" t="n">
        <v>12700</v>
      </c>
      <c r="H2043" s="0" t="s">
        <v>43</v>
      </c>
      <c r="I2043" s="7" t="n">
        <f aca="false">IF(AND(LEFT(A2043,1)&lt;&gt;"C",D2043&gt;0,F2043&gt;0),1,0)</f>
        <v>1</v>
      </c>
      <c r="J2043" s="7" t="n">
        <f aca="false">IF(I2043=1,D2043*F2043,0)</f>
        <v>12.48</v>
      </c>
      <c r="K2043" s="7" t="n">
        <f aca="false">YEAR(E2043)*100+MONTH(E2043)</f>
        <v>201110</v>
      </c>
      <c r="L2043" s="7" t="n">
        <f aca="false">IF(AND(A2043&lt;&gt;A2042,LEFT(A2043,1)&lt;&gt;"C"),1,0)</f>
        <v>0</v>
      </c>
    </row>
    <row r="2044" customFormat="false" ht="15" hidden="false" customHeight="false" outlineLevel="0" collapsed="false">
      <c r="A2044" s="0" t="s">
        <v>1709</v>
      </c>
      <c r="B2044" s="0" t="s">
        <v>1065</v>
      </c>
      <c r="C2044" s="0" t="s">
        <v>1066</v>
      </c>
      <c r="D2044" s="0" t="n">
        <v>6</v>
      </c>
      <c r="E2044" s="6" t="n">
        <v>40821.4145833333</v>
      </c>
      <c r="F2044" s="0" t="n">
        <v>2.08</v>
      </c>
      <c r="G2044" s="0" t="n">
        <v>12700</v>
      </c>
      <c r="H2044" s="0" t="s">
        <v>43</v>
      </c>
      <c r="I2044" s="7" t="n">
        <f aca="false">IF(AND(LEFT(A2044,1)&lt;&gt;"C",D2044&gt;0,F2044&gt;0),1,0)</f>
        <v>1</v>
      </c>
      <c r="J2044" s="7" t="n">
        <f aca="false">IF(I2044=1,D2044*F2044,0)</f>
        <v>12.48</v>
      </c>
      <c r="K2044" s="7" t="n">
        <f aca="false">YEAR(E2044)*100+MONTH(E2044)</f>
        <v>201110</v>
      </c>
      <c r="L2044" s="7" t="n">
        <f aca="false">IF(AND(A2044&lt;&gt;A2043,LEFT(A2044,1)&lt;&gt;"C"),1,0)</f>
        <v>0</v>
      </c>
    </row>
    <row r="2045" customFormat="false" ht="15" hidden="false" customHeight="false" outlineLevel="0" collapsed="false">
      <c r="A2045" s="0" t="s">
        <v>1709</v>
      </c>
      <c r="B2045" s="0" t="s">
        <v>1250</v>
      </c>
      <c r="C2045" s="0" t="s">
        <v>1251</v>
      </c>
      <c r="D2045" s="0" t="n">
        <v>24</v>
      </c>
      <c r="E2045" s="6" t="n">
        <v>40821.4145833333</v>
      </c>
      <c r="F2045" s="0" t="n">
        <v>0.39</v>
      </c>
      <c r="G2045" s="0" t="n">
        <v>12700</v>
      </c>
      <c r="H2045" s="0" t="s">
        <v>43</v>
      </c>
      <c r="I2045" s="7" t="n">
        <f aca="false">IF(AND(LEFT(A2045,1)&lt;&gt;"C",D2045&gt;0,F2045&gt;0),1,0)</f>
        <v>1</v>
      </c>
      <c r="J2045" s="7" t="n">
        <f aca="false">IF(I2045=1,D2045*F2045,0)</f>
        <v>9.36</v>
      </c>
      <c r="K2045" s="7" t="n">
        <f aca="false">YEAR(E2045)*100+MONTH(E2045)</f>
        <v>201110</v>
      </c>
      <c r="L2045" s="7" t="n">
        <f aca="false">IF(AND(A2045&lt;&gt;A2044,LEFT(A2045,1)&lt;&gt;"C"),1,0)</f>
        <v>0</v>
      </c>
    </row>
    <row r="2046" customFormat="false" ht="15" hidden="false" customHeight="false" outlineLevel="0" collapsed="false">
      <c r="A2046" s="0" t="s">
        <v>1709</v>
      </c>
      <c r="B2046" s="0" t="s">
        <v>320</v>
      </c>
      <c r="C2046" s="0" t="s">
        <v>321</v>
      </c>
      <c r="D2046" s="0" t="n">
        <v>4</v>
      </c>
      <c r="E2046" s="6" t="n">
        <v>40821.4145833333</v>
      </c>
      <c r="F2046" s="0" t="n">
        <v>3.75</v>
      </c>
      <c r="G2046" s="0" t="n">
        <v>12700</v>
      </c>
      <c r="H2046" s="0" t="s">
        <v>43</v>
      </c>
      <c r="I2046" s="7" t="n">
        <f aca="false">IF(AND(LEFT(A2046,1)&lt;&gt;"C",D2046&gt;0,F2046&gt;0),1,0)</f>
        <v>1</v>
      </c>
      <c r="J2046" s="7" t="n">
        <f aca="false">IF(I2046=1,D2046*F2046,0)</f>
        <v>15</v>
      </c>
      <c r="K2046" s="7" t="n">
        <f aca="false">YEAR(E2046)*100+MONTH(E2046)</f>
        <v>201110</v>
      </c>
      <c r="L2046" s="7" t="n">
        <f aca="false">IF(AND(A2046&lt;&gt;A2045,LEFT(A2046,1)&lt;&gt;"C"),1,0)</f>
        <v>0</v>
      </c>
    </row>
    <row r="2047" customFormat="false" ht="15" hidden="false" customHeight="false" outlineLevel="0" collapsed="false">
      <c r="A2047" s="0" t="s">
        <v>1709</v>
      </c>
      <c r="B2047" s="0" t="s">
        <v>68</v>
      </c>
      <c r="C2047" s="0" t="s">
        <v>69</v>
      </c>
      <c r="D2047" s="0" t="n">
        <v>10</v>
      </c>
      <c r="E2047" s="6" t="n">
        <v>40821.4145833333</v>
      </c>
      <c r="F2047" s="0" t="n">
        <v>1.65</v>
      </c>
      <c r="G2047" s="0" t="n">
        <v>12700</v>
      </c>
      <c r="H2047" s="0" t="s">
        <v>43</v>
      </c>
      <c r="I2047" s="7" t="n">
        <f aca="false">IF(AND(LEFT(A2047,1)&lt;&gt;"C",D2047&gt;0,F2047&gt;0),1,0)</f>
        <v>1</v>
      </c>
      <c r="J2047" s="7" t="n">
        <f aca="false">IF(I2047=1,D2047*F2047,0)</f>
        <v>16.5</v>
      </c>
      <c r="K2047" s="7" t="n">
        <f aca="false">YEAR(E2047)*100+MONTH(E2047)</f>
        <v>201110</v>
      </c>
      <c r="L2047" s="7" t="n">
        <f aca="false">IF(AND(A2047&lt;&gt;A2046,LEFT(A2047,1)&lt;&gt;"C"),1,0)</f>
        <v>0</v>
      </c>
    </row>
    <row r="2048" customFormat="false" ht="15" hidden="false" customHeight="false" outlineLevel="0" collapsed="false">
      <c r="A2048" s="0" t="s">
        <v>1709</v>
      </c>
      <c r="B2048" s="0" t="s">
        <v>559</v>
      </c>
      <c r="C2048" s="0" t="s">
        <v>560</v>
      </c>
      <c r="D2048" s="0" t="n">
        <v>10</v>
      </c>
      <c r="E2048" s="6" t="n">
        <v>40821.4145833333</v>
      </c>
      <c r="F2048" s="0" t="n">
        <v>0.85</v>
      </c>
      <c r="G2048" s="0" t="n">
        <v>12700</v>
      </c>
      <c r="H2048" s="0" t="s">
        <v>43</v>
      </c>
      <c r="I2048" s="7" t="n">
        <f aca="false">IF(AND(LEFT(A2048,1)&lt;&gt;"C",D2048&gt;0,F2048&gt;0),1,0)</f>
        <v>1</v>
      </c>
      <c r="J2048" s="7" t="n">
        <f aca="false">IF(I2048=1,D2048*F2048,0)</f>
        <v>8.5</v>
      </c>
      <c r="K2048" s="7" t="n">
        <f aca="false">YEAR(E2048)*100+MONTH(E2048)</f>
        <v>201110</v>
      </c>
      <c r="L2048" s="7" t="n">
        <f aca="false">IF(AND(A2048&lt;&gt;A2047,LEFT(A2048,1)&lt;&gt;"C"),1,0)</f>
        <v>0</v>
      </c>
    </row>
    <row r="2049" customFormat="false" ht="15" hidden="false" customHeight="false" outlineLevel="0" collapsed="false">
      <c r="A2049" s="0" t="s">
        <v>1709</v>
      </c>
      <c r="B2049" s="0" t="s">
        <v>261</v>
      </c>
      <c r="C2049" s="0" t="s">
        <v>262</v>
      </c>
      <c r="D2049" s="0" t="n">
        <v>36</v>
      </c>
      <c r="E2049" s="6" t="n">
        <v>40821.4145833333</v>
      </c>
      <c r="F2049" s="0" t="n">
        <v>0.42</v>
      </c>
      <c r="G2049" s="0" t="n">
        <v>12700</v>
      </c>
      <c r="H2049" s="0" t="s">
        <v>43</v>
      </c>
      <c r="I2049" s="7" t="n">
        <f aca="false">IF(AND(LEFT(A2049,1)&lt;&gt;"C",D2049&gt;0,F2049&gt;0),1,0)</f>
        <v>1</v>
      </c>
      <c r="J2049" s="7" t="n">
        <f aca="false">IF(I2049=1,D2049*F2049,0)</f>
        <v>15.12</v>
      </c>
      <c r="K2049" s="7" t="n">
        <f aca="false">YEAR(E2049)*100+MONTH(E2049)</f>
        <v>201110</v>
      </c>
      <c r="L2049" s="7" t="n">
        <f aca="false">IF(AND(A2049&lt;&gt;A2048,LEFT(A2049,1)&lt;&gt;"C"),1,0)</f>
        <v>0</v>
      </c>
    </row>
    <row r="2050" customFormat="false" ht="15" hidden="false" customHeight="false" outlineLevel="0" collapsed="false">
      <c r="A2050" s="0" t="s">
        <v>1709</v>
      </c>
      <c r="B2050" s="0" t="s">
        <v>1712</v>
      </c>
      <c r="C2050" s="0" t="s">
        <v>1713</v>
      </c>
      <c r="D2050" s="0" t="n">
        <v>24</v>
      </c>
      <c r="E2050" s="6" t="n">
        <v>40821.4145833333</v>
      </c>
      <c r="F2050" s="0" t="n">
        <v>0.12</v>
      </c>
      <c r="G2050" s="0" t="n">
        <v>12700</v>
      </c>
      <c r="H2050" s="0" t="s">
        <v>43</v>
      </c>
      <c r="I2050" s="7" t="n">
        <f aca="false">IF(AND(LEFT(A2050,1)&lt;&gt;"C",D2050&gt;0,F2050&gt;0),1,0)</f>
        <v>1</v>
      </c>
      <c r="J2050" s="7" t="n">
        <f aca="false">IF(I2050=1,D2050*F2050,0)</f>
        <v>2.88</v>
      </c>
      <c r="K2050" s="7" t="n">
        <f aca="false">YEAR(E2050)*100+MONTH(E2050)</f>
        <v>201110</v>
      </c>
      <c r="L2050" s="7" t="n">
        <f aca="false">IF(AND(A2050&lt;&gt;A2049,LEFT(A2050,1)&lt;&gt;"C"),1,0)</f>
        <v>0</v>
      </c>
    </row>
    <row r="2051" customFormat="false" ht="15" hidden="false" customHeight="false" outlineLevel="0" collapsed="false">
      <c r="A2051" s="0" t="s">
        <v>1709</v>
      </c>
      <c r="B2051" s="0" t="s">
        <v>54</v>
      </c>
      <c r="C2051" s="0" t="s">
        <v>55</v>
      </c>
      <c r="D2051" s="0" t="n">
        <v>12</v>
      </c>
      <c r="E2051" s="6" t="n">
        <v>40821.4145833333</v>
      </c>
      <c r="F2051" s="0" t="n">
        <v>1.65</v>
      </c>
      <c r="G2051" s="0" t="n">
        <v>12700</v>
      </c>
      <c r="H2051" s="0" t="s">
        <v>43</v>
      </c>
      <c r="I2051" s="7" t="n">
        <f aca="false">IF(AND(LEFT(A2051,1)&lt;&gt;"C",D2051&gt;0,F2051&gt;0),1,0)</f>
        <v>1</v>
      </c>
      <c r="J2051" s="7" t="n">
        <f aca="false">IF(I2051=1,D2051*F2051,0)</f>
        <v>19.8</v>
      </c>
      <c r="K2051" s="7" t="n">
        <f aca="false">YEAR(E2051)*100+MONTH(E2051)</f>
        <v>201110</v>
      </c>
      <c r="L2051" s="7" t="n">
        <f aca="false">IF(AND(A2051&lt;&gt;A2050,LEFT(A2051,1)&lt;&gt;"C"),1,0)</f>
        <v>0</v>
      </c>
    </row>
    <row r="2052" customFormat="false" ht="15" hidden="false" customHeight="false" outlineLevel="0" collapsed="false">
      <c r="A2052" s="0" t="s">
        <v>1709</v>
      </c>
      <c r="B2052" s="0" t="s">
        <v>847</v>
      </c>
      <c r="C2052" s="0" t="s">
        <v>848</v>
      </c>
      <c r="D2052" s="0" t="n">
        <v>12</v>
      </c>
      <c r="E2052" s="6" t="n">
        <v>40821.4145833333</v>
      </c>
      <c r="F2052" s="0" t="n">
        <v>1.45</v>
      </c>
      <c r="G2052" s="0" t="n">
        <v>12700</v>
      </c>
      <c r="H2052" s="0" t="s">
        <v>43</v>
      </c>
      <c r="I2052" s="7" t="n">
        <f aca="false">IF(AND(LEFT(A2052,1)&lt;&gt;"C",D2052&gt;0,F2052&gt;0),1,0)</f>
        <v>1</v>
      </c>
      <c r="J2052" s="7" t="n">
        <f aca="false">IF(I2052=1,D2052*F2052,0)</f>
        <v>17.4</v>
      </c>
      <c r="K2052" s="7" t="n">
        <f aca="false">YEAR(E2052)*100+MONTH(E2052)</f>
        <v>201110</v>
      </c>
      <c r="L2052" s="7" t="n">
        <f aca="false">IF(AND(A2052&lt;&gt;A2051,LEFT(A2052,1)&lt;&gt;"C"),1,0)</f>
        <v>0</v>
      </c>
    </row>
    <row r="2053" customFormat="false" ht="15" hidden="false" customHeight="false" outlineLevel="0" collapsed="false">
      <c r="A2053" s="0" t="s">
        <v>1709</v>
      </c>
      <c r="B2053" s="0" t="s">
        <v>1604</v>
      </c>
      <c r="C2053" s="0" t="s">
        <v>1605</v>
      </c>
      <c r="D2053" s="0" t="n">
        <v>6</v>
      </c>
      <c r="E2053" s="6" t="n">
        <v>40821.4145833333</v>
      </c>
      <c r="F2053" s="0" t="n">
        <v>2.55</v>
      </c>
      <c r="G2053" s="0" t="n">
        <v>12700</v>
      </c>
      <c r="H2053" s="0" t="s">
        <v>43</v>
      </c>
      <c r="I2053" s="7" t="n">
        <f aca="false">IF(AND(LEFT(A2053,1)&lt;&gt;"C",D2053&gt;0,F2053&gt;0),1,0)</f>
        <v>1</v>
      </c>
      <c r="J2053" s="7" t="n">
        <f aca="false">IF(I2053=1,D2053*F2053,0)</f>
        <v>15.3</v>
      </c>
      <c r="K2053" s="7" t="n">
        <f aca="false">YEAR(E2053)*100+MONTH(E2053)</f>
        <v>201110</v>
      </c>
      <c r="L2053" s="7" t="n">
        <f aca="false">IF(AND(A2053&lt;&gt;A2052,LEFT(A2053,1)&lt;&gt;"C"),1,0)</f>
        <v>0</v>
      </c>
    </row>
    <row r="2054" customFormat="false" ht="15" hidden="false" customHeight="false" outlineLevel="0" collapsed="false">
      <c r="A2054" s="0" t="s">
        <v>1709</v>
      </c>
      <c r="B2054" s="0" t="s">
        <v>1714</v>
      </c>
      <c r="C2054" s="0" t="s">
        <v>1715</v>
      </c>
      <c r="D2054" s="0" t="n">
        <v>24</v>
      </c>
      <c r="E2054" s="6" t="n">
        <v>40821.4145833333</v>
      </c>
      <c r="F2054" s="0" t="n">
        <v>1.25</v>
      </c>
      <c r="G2054" s="0" t="n">
        <v>12700</v>
      </c>
      <c r="H2054" s="0" t="s">
        <v>43</v>
      </c>
      <c r="I2054" s="7" t="n">
        <f aca="false">IF(AND(LEFT(A2054,1)&lt;&gt;"C",D2054&gt;0,F2054&gt;0),1,0)</f>
        <v>1</v>
      </c>
      <c r="J2054" s="7" t="n">
        <f aca="false">IF(I2054=1,D2054*F2054,0)</f>
        <v>30</v>
      </c>
      <c r="K2054" s="7" t="n">
        <f aca="false">YEAR(E2054)*100+MONTH(E2054)</f>
        <v>201110</v>
      </c>
      <c r="L2054" s="7" t="n">
        <f aca="false">IF(AND(A2054&lt;&gt;A2053,LEFT(A2054,1)&lt;&gt;"C"),1,0)</f>
        <v>0</v>
      </c>
    </row>
    <row r="2055" customFormat="false" ht="15" hidden="false" customHeight="false" outlineLevel="0" collapsed="false">
      <c r="A2055" s="0" t="s">
        <v>1709</v>
      </c>
      <c r="B2055" s="0" t="s">
        <v>1527</v>
      </c>
      <c r="C2055" s="0" t="s">
        <v>1528</v>
      </c>
      <c r="D2055" s="0" t="n">
        <v>6</v>
      </c>
      <c r="E2055" s="6" t="n">
        <v>40821.4145833333</v>
      </c>
      <c r="F2055" s="0" t="n">
        <v>3.25</v>
      </c>
      <c r="G2055" s="0" t="n">
        <v>12700</v>
      </c>
      <c r="H2055" s="0" t="s">
        <v>43</v>
      </c>
      <c r="I2055" s="7" t="n">
        <f aca="false">IF(AND(LEFT(A2055,1)&lt;&gt;"C",D2055&gt;0,F2055&gt;0),1,0)</f>
        <v>1</v>
      </c>
      <c r="J2055" s="7" t="n">
        <f aca="false">IF(I2055=1,D2055*F2055,0)</f>
        <v>19.5</v>
      </c>
      <c r="K2055" s="7" t="n">
        <f aca="false">YEAR(E2055)*100+MONTH(E2055)</f>
        <v>201110</v>
      </c>
      <c r="L2055" s="7" t="n">
        <f aca="false">IF(AND(A2055&lt;&gt;A2054,LEFT(A2055,1)&lt;&gt;"C"),1,0)</f>
        <v>0</v>
      </c>
    </row>
    <row r="2056" customFormat="false" ht="15" hidden="false" customHeight="false" outlineLevel="0" collapsed="false">
      <c r="A2056" s="0" t="s">
        <v>1709</v>
      </c>
      <c r="B2056" s="0" t="s">
        <v>418</v>
      </c>
      <c r="C2056" s="0" t="s">
        <v>419</v>
      </c>
      <c r="D2056" s="0" t="n">
        <v>6</v>
      </c>
      <c r="E2056" s="6" t="n">
        <v>40821.4145833333</v>
      </c>
      <c r="F2056" s="0" t="n">
        <v>3.25</v>
      </c>
      <c r="G2056" s="0" t="n">
        <v>12700</v>
      </c>
      <c r="H2056" s="0" t="s">
        <v>43</v>
      </c>
      <c r="I2056" s="7" t="n">
        <f aca="false">IF(AND(LEFT(A2056,1)&lt;&gt;"C",D2056&gt;0,F2056&gt;0),1,0)</f>
        <v>1</v>
      </c>
      <c r="J2056" s="7" t="n">
        <f aca="false">IF(I2056=1,D2056*F2056,0)</f>
        <v>19.5</v>
      </c>
      <c r="K2056" s="7" t="n">
        <f aca="false">YEAR(E2056)*100+MONTH(E2056)</f>
        <v>201110</v>
      </c>
      <c r="L2056" s="7" t="n">
        <f aca="false">IF(AND(A2056&lt;&gt;A2055,LEFT(A2056,1)&lt;&gt;"C"),1,0)</f>
        <v>0</v>
      </c>
    </row>
    <row r="2057" customFormat="false" ht="15" hidden="false" customHeight="false" outlineLevel="0" collapsed="false">
      <c r="A2057" s="0" t="s">
        <v>1709</v>
      </c>
      <c r="B2057" s="0" t="s">
        <v>1716</v>
      </c>
      <c r="C2057" s="0" t="s">
        <v>1717</v>
      </c>
      <c r="D2057" s="0" t="n">
        <v>2</v>
      </c>
      <c r="E2057" s="6" t="n">
        <v>40821.4145833333</v>
      </c>
      <c r="F2057" s="0" t="n">
        <v>4.95</v>
      </c>
      <c r="G2057" s="0" t="n">
        <v>12700</v>
      </c>
      <c r="H2057" s="0" t="s">
        <v>43</v>
      </c>
      <c r="I2057" s="7" t="n">
        <f aca="false">IF(AND(LEFT(A2057,1)&lt;&gt;"C",D2057&gt;0,F2057&gt;0),1,0)</f>
        <v>1</v>
      </c>
      <c r="J2057" s="7" t="n">
        <f aca="false">IF(I2057=1,D2057*F2057,0)</f>
        <v>9.9</v>
      </c>
      <c r="K2057" s="7" t="n">
        <f aca="false">YEAR(E2057)*100+MONTH(E2057)</f>
        <v>201110</v>
      </c>
      <c r="L2057" s="7" t="n">
        <f aca="false">IF(AND(A2057&lt;&gt;A2056,LEFT(A2057,1)&lt;&gt;"C"),1,0)</f>
        <v>0</v>
      </c>
    </row>
    <row r="2058" customFormat="false" ht="15" hidden="false" customHeight="false" outlineLevel="0" collapsed="false">
      <c r="A2058" s="0" t="s">
        <v>1709</v>
      </c>
      <c r="B2058" s="0" t="s">
        <v>1718</v>
      </c>
      <c r="C2058" s="0" t="s">
        <v>1719</v>
      </c>
      <c r="D2058" s="0" t="n">
        <v>2</v>
      </c>
      <c r="E2058" s="6" t="n">
        <v>40821.4145833333</v>
      </c>
      <c r="F2058" s="0" t="n">
        <v>12.5</v>
      </c>
      <c r="G2058" s="0" t="n">
        <v>12700</v>
      </c>
      <c r="H2058" s="0" t="s">
        <v>43</v>
      </c>
      <c r="I2058" s="7" t="n">
        <f aca="false">IF(AND(LEFT(A2058,1)&lt;&gt;"C",D2058&gt;0,F2058&gt;0),1,0)</f>
        <v>1</v>
      </c>
      <c r="J2058" s="7" t="n">
        <f aca="false">IF(I2058=1,D2058*F2058,0)</f>
        <v>25</v>
      </c>
      <c r="K2058" s="7" t="n">
        <f aca="false">YEAR(E2058)*100+MONTH(E2058)</f>
        <v>201110</v>
      </c>
      <c r="L2058" s="7" t="n">
        <f aca="false">IF(AND(A2058&lt;&gt;A2057,LEFT(A2058,1)&lt;&gt;"C"),1,0)</f>
        <v>0</v>
      </c>
    </row>
    <row r="2059" customFormat="false" ht="15" hidden="false" customHeight="false" outlineLevel="0" collapsed="false">
      <c r="A2059" s="0" t="s">
        <v>1709</v>
      </c>
      <c r="B2059" s="0" t="s">
        <v>1720</v>
      </c>
      <c r="C2059" s="0" t="s">
        <v>1721</v>
      </c>
      <c r="D2059" s="0" t="n">
        <v>2</v>
      </c>
      <c r="E2059" s="6" t="n">
        <v>40821.4145833333</v>
      </c>
      <c r="F2059" s="0" t="n">
        <v>8.25</v>
      </c>
      <c r="G2059" s="0" t="n">
        <v>12700</v>
      </c>
      <c r="H2059" s="0" t="s">
        <v>43</v>
      </c>
      <c r="I2059" s="7" t="n">
        <f aca="false">IF(AND(LEFT(A2059,1)&lt;&gt;"C",D2059&gt;0,F2059&gt;0),1,0)</f>
        <v>1</v>
      </c>
      <c r="J2059" s="7" t="n">
        <f aca="false">IF(I2059=1,D2059*F2059,0)</f>
        <v>16.5</v>
      </c>
      <c r="K2059" s="7" t="n">
        <f aca="false">YEAR(E2059)*100+MONTH(E2059)</f>
        <v>201110</v>
      </c>
      <c r="L2059" s="7" t="n">
        <f aca="false">IF(AND(A2059&lt;&gt;A2058,LEFT(A2059,1)&lt;&gt;"C"),1,0)</f>
        <v>0</v>
      </c>
    </row>
    <row r="2060" customFormat="false" ht="15" hidden="false" customHeight="false" outlineLevel="0" collapsed="false">
      <c r="A2060" s="0" t="s">
        <v>1709</v>
      </c>
      <c r="B2060" s="0" t="s">
        <v>1722</v>
      </c>
      <c r="C2060" s="0" t="s">
        <v>1723</v>
      </c>
      <c r="D2060" s="0" t="n">
        <v>12</v>
      </c>
      <c r="E2060" s="6" t="n">
        <v>40821.4145833333</v>
      </c>
      <c r="F2060" s="0" t="n">
        <v>0.42</v>
      </c>
      <c r="G2060" s="0" t="n">
        <v>12700</v>
      </c>
      <c r="H2060" s="0" t="s">
        <v>43</v>
      </c>
      <c r="I2060" s="7" t="n">
        <f aca="false">IF(AND(LEFT(A2060,1)&lt;&gt;"C",D2060&gt;0,F2060&gt;0),1,0)</f>
        <v>1</v>
      </c>
      <c r="J2060" s="7" t="n">
        <f aca="false">IF(I2060=1,D2060*F2060,0)</f>
        <v>5.04</v>
      </c>
      <c r="K2060" s="7" t="n">
        <f aca="false">YEAR(E2060)*100+MONTH(E2060)</f>
        <v>201110</v>
      </c>
      <c r="L2060" s="7" t="n">
        <f aca="false">IF(AND(A2060&lt;&gt;A2059,LEFT(A2060,1)&lt;&gt;"C"),1,0)</f>
        <v>0</v>
      </c>
    </row>
    <row r="2061" customFormat="false" ht="15" hidden="false" customHeight="false" outlineLevel="0" collapsed="false">
      <c r="A2061" s="0" t="s">
        <v>1709</v>
      </c>
      <c r="B2061" s="0" t="s">
        <v>1724</v>
      </c>
      <c r="C2061" s="0" t="s">
        <v>1725</v>
      </c>
      <c r="D2061" s="0" t="n">
        <v>28</v>
      </c>
      <c r="E2061" s="6" t="n">
        <v>40821.4145833333</v>
      </c>
      <c r="F2061" s="0" t="n">
        <v>0.21</v>
      </c>
      <c r="G2061" s="0" t="n">
        <v>12700</v>
      </c>
      <c r="H2061" s="0" t="s">
        <v>43</v>
      </c>
      <c r="I2061" s="7" t="n">
        <f aca="false">IF(AND(LEFT(A2061,1)&lt;&gt;"C",D2061&gt;0,F2061&gt;0),1,0)</f>
        <v>1</v>
      </c>
      <c r="J2061" s="7" t="n">
        <f aca="false">IF(I2061=1,D2061*F2061,0)</f>
        <v>5.88</v>
      </c>
      <c r="K2061" s="7" t="n">
        <f aca="false">YEAR(E2061)*100+MONTH(E2061)</f>
        <v>201110</v>
      </c>
      <c r="L2061" s="7" t="n">
        <f aca="false">IF(AND(A2061&lt;&gt;A2060,LEFT(A2061,1)&lt;&gt;"C"),1,0)</f>
        <v>0</v>
      </c>
    </row>
    <row r="2062" customFormat="false" ht="15" hidden="false" customHeight="false" outlineLevel="0" collapsed="false">
      <c r="A2062" s="0" t="s">
        <v>1709</v>
      </c>
      <c r="B2062" s="0" t="s">
        <v>1726</v>
      </c>
      <c r="C2062" s="0" t="s">
        <v>1727</v>
      </c>
      <c r="D2062" s="0" t="n">
        <v>28</v>
      </c>
      <c r="E2062" s="6" t="n">
        <v>40821.4145833333</v>
      </c>
      <c r="F2062" s="0" t="n">
        <v>0.21</v>
      </c>
      <c r="G2062" s="0" t="n">
        <v>12700</v>
      </c>
      <c r="H2062" s="0" t="s">
        <v>43</v>
      </c>
      <c r="I2062" s="7" t="n">
        <f aca="false">IF(AND(LEFT(A2062,1)&lt;&gt;"C",D2062&gt;0,F2062&gt;0),1,0)</f>
        <v>1</v>
      </c>
      <c r="J2062" s="7" t="n">
        <f aca="false">IF(I2062=1,D2062*F2062,0)</f>
        <v>5.88</v>
      </c>
      <c r="K2062" s="7" t="n">
        <f aca="false">YEAR(E2062)*100+MONTH(E2062)</f>
        <v>201110</v>
      </c>
      <c r="L2062" s="7" t="n">
        <f aca="false">IF(AND(A2062&lt;&gt;A2061,LEFT(A2062,1)&lt;&gt;"C"),1,0)</f>
        <v>0</v>
      </c>
    </row>
    <row r="2063" customFormat="false" ht="15" hidden="false" customHeight="false" outlineLevel="0" collapsed="false">
      <c r="A2063" s="0" t="s">
        <v>1709</v>
      </c>
      <c r="B2063" s="0" t="s">
        <v>388</v>
      </c>
      <c r="C2063" s="0" t="s">
        <v>389</v>
      </c>
      <c r="D2063" s="0" t="n">
        <v>8</v>
      </c>
      <c r="E2063" s="6" t="n">
        <v>40821.4145833333</v>
      </c>
      <c r="F2063" s="0" t="n">
        <v>1.69</v>
      </c>
      <c r="G2063" s="0" t="n">
        <v>12700</v>
      </c>
      <c r="H2063" s="0" t="s">
        <v>43</v>
      </c>
      <c r="I2063" s="7" t="n">
        <f aca="false">IF(AND(LEFT(A2063,1)&lt;&gt;"C",D2063&gt;0,F2063&gt;0),1,0)</f>
        <v>1</v>
      </c>
      <c r="J2063" s="7" t="n">
        <f aca="false">IF(I2063=1,D2063*F2063,0)</f>
        <v>13.52</v>
      </c>
      <c r="K2063" s="7" t="n">
        <f aca="false">YEAR(E2063)*100+MONTH(E2063)</f>
        <v>201110</v>
      </c>
      <c r="L2063" s="7" t="n">
        <f aca="false">IF(AND(A2063&lt;&gt;A2062,LEFT(A2063,1)&lt;&gt;"C"),1,0)</f>
        <v>0</v>
      </c>
    </row>
    <row r="2064" customFormat="false" ht="15" hidden="false" customHeight="false" outlineLevel="0" collapsed="false">
      <c r="A2064" s="0" t="s">
        <v>1709</v>
      </c>
      <c r="B2064" s="0" t="s">
        <v>404</v>
      </c>
      <c r="C2064" s="0" t="s">
        <v>405</v>
      </c>
      <c r="D2064" s="0" t="n">
        <v>12</v>
      </c>
      <c r="E2064" s="6" t="n">
        <v>40821.4145833333</v>
      </c>
      <c r="F2064" s="0" t="n">
        <v>1.65</v>
      </c>
      <c r="G2064" s="0" t="n">
        <v>12700</v>
      </c>
      <c r="H2064" s="0" t="s">
        <v>43</v>
      </c>
      <c r="I2064" s="7" t="n">
        <f aca="false">IF(AND(LEFT(A2064,1)&lt;&gt;"C",D2064&gt;0,F2064&gt;0),1,0)</f>
        <v>1</v>
      </c>
      <c r="J2064" s="7" t="n">
        <f aca="false">IF(I2064=1,D2064*F2064,0)</f>
        <v>19.8</v>
      </c>
      <c r="K2064" s="7" t="n">
        <f aca="false">YEAR(E2064)*100+MONTH(E2064)</f>
        <v>201110</v>
      </c>
      <c r="L2064" s="7" t="n">
        <f aca="false">IF(AND(A2064&lt;&gt;A2063,LEFT(A2064,1)&lt;&gt;"C"),1,0)</f>
        <v>0</v>
      </c>
    </row>
    <row r="2065" customFormat="false" ht="15" hidden="false" customHeight="false" outlineLevel="0" collapsed="false">
      <c r="A2065" s="0" t="s">
        <v>1709</v>
      </c>
      <c r="B2065" s="0" t="s">
        <v>641</v>
      </c>
      <c r="C2065" s="0" t="s">
        <v>642</v>
      </c>
      <c r="D2065" s="0" t="n">
        <v>12</v>
      </c>
      <c r="E2065" s="6" t="n">
        <v>40821.4145833333</v>
      </c>
      <c r="F2065" s="0" t="n">
        <v>1.65</v>
      </c>
      <c r="G2065" s="0" t="n">
        <v>12700</v>
      </c>
      <c r="H2065" s="0" t="s">
        <v>43</v>
      </c>
      <c r="I2065" s="7" t="n">
        <f aca="false">IF(AND(LEFT(A2065,1)&lt;&gt;"C",D2065&gt;0,F2065&gt;0),1,0)</f>
        <v>1</v>
      </c>
      <c r="J2065" s="7" t="n">
        <f aca="false">IF(I2065=1,D2065*F2065,0)</f>
        <v>19.8</v>
      </c>
      <c r="K2065" s="7" t="n">
        <f aca="false">YEAR(E2065)*100+MONTH(E2065)</f>
        <v>201110</v>
      </c>
      <c r="L2065" s="7" t="n">
        <f aca="false">IF(AND(A2065&lt;&gt;A2064,LEFT(A2065,1)&lt;&gt;"C"),1,0)</f>
        <v>0</v>
      </c>
    </row>
    <row r="2066" customFormat="false" ht="15" hidden="false" customHeight="false" outlineLevel="0" collapsed="false">
      <c r="A2066" s="0" t="s">
        <v>1709</v>
      </c>
      <c r="B2066" s="0" t="s">
        <v>299</v>
      </c>
      <c r="C2066" s="0" t="s">
        <v>300</v>
      </c>
      <c r="D2066" s="0" t="n">
        <v>4</v>
      </c>
      <c r="E2066" s="6" t="n">
        <v>40821.4145833333</v>
      </c>
      <c r="F2066" s="0" t="n">
        <v>3.75</v>
      </c>
      <c r="G2066" s="0" t="n">
        <v>12700</v>
      </c>
      <c r="H2066" s="0" t="s">
        <v>43</v>
      </c>
      <c r="I2066" s="7" t="n">
        <f aca="false">IF(AND(LEFT(A2066,1)&lt;&gt;"C",D2066&gt;0,F2066&gt;0),1,0)</f>
        <v>1</v>
      </c>
      <c r="J2066" s="7" t="n">
        <f aca="false">IF(I2066=1,D2066*F2066,0)</f>
        <v>15</v>
      </c>
      <c r="K2066" s="7" t="n">
        <f aca="false">YEAR(E2066)*100+MONTH(E2066)</f>
        <v>201110</v>
      </c>
      <c r="L2066" s="7" t="n">
        <f aca="false">IF(AND(A2066&lt;&gt;A2065,LEFT(A2066,1)&lt;&gt;"C"),1,0)</f>
        <v>0</v>
      </c>
    </row>
    <row r="2067" customFormat="false" ht="15" hidden="false" customHeight="false" outlineLevel="0" collapsed="false">
      <c r="A2067" s="0" t="s">
        <v>1709</v>
      </c>
      <c r="B2067" s="0" t="s">
        <v>627</v>
      </c>
      <c r="C2067" s="0" t="s">
        <v>628</v>
      </c>
      <c r="D2067" s="0" t="n">
        <v>20</v>
      </c>
      <c r="E2067" s="6" t="n">
        <v>40821.4145833333</v>
      </c>
      <c r="F2067" s="0" t="n">
        <v>0.85</v>
      </c>
      <c r="G2067" s="0" t="n">
        <v>12700</v>
      </c>
      <c r="H2067" s="0" t="s">
        <v>43</v>
      </c>
      <c r="I2067" s="7" t="n">
        <f aca="false">IF(AND(LEFT(A2067,1)&lt;&gt;"C",D2067&gt;0,F2067&gt;0),1,0)</f>
        <v>1</v>
      </c>
      <c r="J2067" s="7" t="n">
        <f aca="false">IF(I2067=1,D2067*F2067,0)</f>
        <v>17</v>
      </c>
      <c r="K2067" s="7" t="n">
        <f aca="false">YEAR(E2067)*100+MONTH(E2067)</f>
        <v>201110</v>
      </c>
      <c r="L2067" s="7" t="n">
        <f aca="false">IF(AND(A2067&lt;&gt;A2066,LEFT(A2067,1)&lt;&gt;"C"),1,0)</f>
        <v>0</v>
      </c>
    </row>
    <row r="2068" customFormat="false" ht="15" hidden="false" customHeight="false" outlineLevel="0" collapsed="false">
      <c r="A2068" s="0" t="s">
        <v>1709</v>
      </c>
      <c r="B2068" s="0" t="s">
        <v>56</v>
      </c>
      <c r="C2068" s="0" t="s">
        <v>57</v>
      </c>
      <c r="D2068" s="0" t="n">
        <v>10</v>
      </c>
      <c r="E2068" s="6" t="n">
        <v>40821.4145833333</v>
      </c>
      <c r="F2068" s="0" t="n">
        <v>1.65</v>
      </c>
      <c r="G2068" s="0" t="n">
        <v>12700</v>
      </c>
      <c r="H2068" s="0" t="s">
        <v>43</v>
      </c>
      <c r="I2068" s="7" t="n">
        <f aca="false">IF(AND(LEFT(A2068,1)&lt;&gt;"C",D2068&gt;0,F2068&gt;0),1,0)</f>
        <v>1</v>
      </c>
      <c r="J2068" s="7" t="n">
        <f aca="false">IF(I2068=1,D2068*F2068,0)</f>
        <v>16.5</v>
      </c>
      <c r="K2068" s="7" t="n">
        <f aca="false">YEAR(E2068)*100+MONTH(E2068)</f>
        <v>201110</v>
      </c>
      <c r="L2068" s="7" t="n">
        <f aca="false">IF(AND(A2068&lt;&gt;A2067,LEFT(A2068,1)&lt;&gt;"C"),1,0)</f>
        <v>0</v>
      </c>
    </row>
    <row r="2069" customFormat="false" ht="15" hidden="false" customHeight="false" outlineLevel="0" collapsed="false">
      <c r="A2069" s="0" t="s">
        <v>1709</v>
      </c>
      <c r="B2069" s="0" t="s">
        <v>637</v>
      </c>
      <c r="C2069" s="0" t="s">
        <v>638</v>
      </c>
      <c r="D2069" s="0" t="n">
        <v>10</v>
      </c>
      <c r="E2069" s="6" t="n">
        <v>40821.4145833333</v>
      </c>
      <c r="F2069" s="0" t="n">
        <v>0.85</v>
      </c>
      <c r="G2069" s="0" t="n">
        <v>12700</v>
      </c>
      <c r="H2069" s="0" t="s">
        <v>43</v>
      </c>
      <c r="I2069" s="7" t="n">
        <f aca="false">IF(AND(LEFT(A2069,1)&lt;&gt;"C",D2069&gt;0,F2069&gt;0),1,0)</f>
        <v>1</v>
      </c>
      <c r="J2069" s="7" t="n">
        <f aca="false">IF(I2069=1,D2069*F2069,0)</f>
        <v>8.5</v>
      </c>
      <c r="K2069" s="7" t="n">
        <f aca="false">YEAR(E2069)*100+MONTH(E2069)</f>
        <v>201110</v>
      </c>
      <c r="L2069" s="7" t="n">
        <f aca="false">IF(AND(A2069&lt;&gt;A2068,LEFT(A2069,1)&lt;&gt;"C"),1,0)</f>
        <v>0</v>
      </c>
    </row>
    <row r="2070" customFormat="false" ht="15" hidden="false" customHeight="false" outlineLevel="0" collapsed="false">
      <c r="A2070" s="0" t="s">
        <v>1709</v>
      </c>
      <c r="B2070" s="0" t="s">
        <v>1077</v>
      </c>
      <c r="C2070" s="0" t="s">
        <v>1078</v>
      </c>
      <c r="D2070" s="0" t="n">
        <v>10</v>
      </c>
      <c r="E2070" s="6" t="n">
        <v>40821.4145833333</v>
      </c>
      <c r="F2070" s="0" t="n">
        <v>2.08</v>
      </c>
      <c r="G2070" s="0" t="n">
        <v>12700</v>
      </c>
      <c r="H2070" s="0" t="s">
        <v>43</v>
      </c>
      <c r="I2070" s="7" t="n">
        <f aca="false">IF(AND(LEFT(A2070,1)&lt;&gt;"C",D2070&gt;0,F2070&gt;0),1,0)</f>
        <v>1</v>
      </c>
      <c r="J2070" s="7" t="n">
        <f aca="false">IF(I2070=1,D2070*F2070,0)</f>
        <v>20.8</v>
      </c>
      <c r="K2070" s="7" t="n">
        <f aca="false">YEAR(E2070)*100+MONTH(E2070)</f>
        <v>201110</v>
      </c>
      <c r="L2070" s="7" t="n">
        <f aca="false">IF(AND(A2070&lt;&gt;A2069,LEFT(A2070,1)&lt;&gt;"C"),1,0)</f>
        <v>0</v>
      </c>
    </row>
    <row r="2071" customFormat="false" ht="15" hidden="false" customHeight="false" outlineLevel="0" collapsed="false">
      <c r="A2071" s="0" t="s">
        <v>1709</v>
      </c>
      <c r="B2071" s="0" t="s">
        <v>610</v>
      </c>
      <c r="C2071" s="0" t="s">
        <v>611</v>
      </c>
      <c r="D2071" s="0" t="n">
        <v>6</v>
      </c>
      <c r="E2071" s="6" t="n">
        <v>40821.4145833333</v>
      </c>
      <c r="F2071" s="0" t="n">
        <v>2.95</v>
      </c>
      <c r="G2071" s="0" t="n">
        <v>12700</v>
      </c>
      <c r="H2071" s="0" t="s">
        <v>43</v>
      </c>
      <c r="I2071" s="7" t="n">
        <f aca="false">IF(AND(LEFT(A2071,1)&lt;&gt;"C",D2071&gt;0,F2071&gt;0),1,0)</f>
        <v>1</v>
      </c>
      <c r="J2071" s="7" t="n">
        <f aca="false">IF(I2071=1,D2071*F2071,0)</f>
        <v>17.7</v>
      </c>
      <c r="K2071" s="7" t="n">
        <f aca="false">YEAR(E2071)*100+MONTH(E2071)</f>
        <v>201110</v>
      </c>
      <c r="L2071" s="7" t="n">
        <f aca="false">IF(AND(A2071&lt;&gt;A2070,LEFT(A2071,1)&lt;&gt;"C"),1,0)</f>
        <v>0</v>
      </c>
    </row>
    <row r="2072" customFormat="false" ht="15" hidden="false" customHeight="false" outlineLevel="0" collapsed="false">
      <c r="A2072" s="0" t="s">
        <v>1709</v>
      </c>
      <c r="B2072" s="0" t="s">
        <v>123</v>
      </c>
      <c r="C2072" s="0" t="s">
        <v>124</v>
      </c>
      <c r="D2072" s="0" t="n">
        <v>6</v>
      </c>
      <c r="E2072" s="6" t="n">
        <v>40821.4145833333</v>
      </c>
      <c r="F2072" s="0" t="n">
        <v>2.95</v>
      </c>
      <c r="G2072" s="0" t="n">
        <v>12700</v>
      </c>
      <c r="H2072" s="0" t="s">
        <v>43</v>
      </c>
      <c r="I2072" s="7" t="n">
        <f aca="false">IF(AND(LEFT(A2072,1)&lt;&gt;"C",D2072&gt;0,F2072&gt;0),1,0)</f>
        <v>1</v>
      </c>
      <c r="J2072" s="7" t="n">
        <f aca="false">IF(I2072=1,D2072*F2072,0)</f>
        <v>17.7</v>
      </c>
      <c r="K2072" s="7" t="n">
        <f aca="false">YEAR(E2072)*100+MONTH(E2072)</f>
        <v>201110</v>
      </c>
      <c r="L2072" s="7" t="n">
        <f aca="false">IF(AND(A2072&lt;&gt;A2071,LEFT(A2072,1)&lt;&gt;"C"),1,0)</f>
        <v>0</v>
      </c>
    </row>
    <row r="2073" customFormat="false" ht="15" hidden="false" customHeight="false" outlineLevel="0" collapsed="false">
      <c r="A2073" s="0" t="s">
        <v>1709</v>
      </c>
      <c r="B2073" s="0" t="s">
        <v>148</v>
      </c>
      <c r="C2073" s="0" t="s">
        <v>149</v>
      </c>
      <c r="D2073" s="0" t="n">
        <v>2</v>
      </c>
      <c r="E2073" s="6" t="n">
        <v>40821.4145833333</v>
      </c>
      <c r="F2073" s="0" t="n">
        <v>12.75</v>
      </c>
      <c r="G2073" s="0" t="n">
        <v>12700</v>
      </c>
      <c r="H2073" s="0" t="s">
        <v>43</v>
      </c>
      <c r="I2073" s="7" t="n">
        <f aca="false">IF(AND(LEFT(A2073,1)&lt;&gt;"C",D2073&gt;0,F2073&gt;0),1,0)</f>
        <v>1</v>
      </c>
      <c r="J2073" s="7" t="n">
        <f aca="false">IF(I2073=1,D2073*F2073,0)</f>
        <v>25.5</v>
      </c>
      <c r="K2073" s="7" t="n">
        <f aca="false">YEAR(E2073)*100+MONTH(E2073)</f>
        <v>201110</v>
      </c>
      <c r="L2073" s="7" t="n">
        <f aca="false">IF(AND(A2073&lt;&gt;A2072,LEFT(A2073,1)&lt;&gt;"C"),1,0)</f>
        <v>0</v>
      </c>
    </row>
    <row r="2074" customFormat="false" ht="15" hidden="false" customHeight="false" outlineLevel="0" collapsed="false">
      <c r="A2074" s="0" t="s">
        <v>1709</v>
      </c>
      <c r="B2074" s="0" t="s">
        <v>1728</v>
      </c>
      <c r="C2074" s="0" t="s">
        <v>1729</v>
      </c>
      <c r="D2074" s="0" t="n">
        <v>12</v>
      </c>
      <c r="E2074" s="6" t="n">
        <v>40821.4145833333</v>
      </c>
      <c r="F2074" s="0" t="n">
        <v>1.65</v>
      </c>
      <c r="G2074" s="0" t="n">
        <v>12700</v>
      </c>
      <c r="H2074" s="0" t="s">
        <v>43</v>
      </c>
      <c r="I2074" s="7" t="n">
        <f aca="false">IF(AND(LEFT(A2074,1)&lt;&gt;"C",D2074&gt;0,F2074&gt;0),1,0)</f>
        <v>1</v>
      </c>
      <c r="J2074" s="7" t="n">
        <f aca="false">IF(I2074=1,D2074*F2074,0)</f>
        <v>19.8</v>
      </c>
      <c r="K2074" s="7" t="n">
        <f aca="false">YEAR(E2074)*100+MONTH(E2074)</f>
        <v>201110</v>
      </c>
      <c r="L2074" s="7" t="n">
        <f aca="false">IF(AND(A2074&lt;&gt;A2073,LEFT(A2074,1)&lt;&gt;"C"),1,0)</f>
        <v>0</v>
      </c>
    </row>
    <row r="2075" customFormat="false" ht="15" hidden="false" customHeight="false" outlineLevel="0" collapsed="false">
      <c r="A2075" s="0" t="s">
        <v>1709</v>
      </c>
      <c r="B2075" s="0" t="s">
        <v>1730</v>
      </c>
      <c r="C2075" s="0" t="s">
        <v>1731</v>
      </c>
      <c r="D2075" s="0" t="n">
        <v>12</v>
      </c>
      <c r="E2075" s="6" t="n">
        <v>40821.4145833333</v>
      </c>
      <c r="F2075" s="0" t="n">
        <v>1.65</v>
      </c>
      <c r="G2075" s="0" t="n">
        <v>12700</v>
      </c>
      <c r="H2075" s="0" t="s">
        <v>43</v>
      </c>
      <c r="I2075" s="7" t="n">
        <f aca="false">IF(AND(LEFT(A2075,1)&lt;&gt;"C",D2075&gt;0,F2075&gt;0),1,0)</f>
        <v>1</v>
      </c>
      <c r="J2075" s="7" t="n">
        <f aca="false">IF(I2075=1,D2075*F2075,0)</f>
        <v>19.8</v>
      </c>
      <c r="K2075" s="7" t="n">
        <f aca="false">YEAR(E2075)*100+MONTH(E2075)</f>
        <v>201110</v>
      </c>
      <c r="L2075" s="7" t="n">
        <f aca="false">IF(AND(A2075&lt;&gt;A2074,LEFT(A2075,1)&lt;&gt;"C"),1,0)</f>
        <v>0</v>
      </c>
    </row>
    <row r="2076" customFormat="false" ht="15" hidden="false" customHeight="false" outlineLevel="0" collapsed="false">
      <c r="A2076" s="0" t="s">
        <v>1709</v>
      </c>
      <c r="B2076" s="0" t="s">
        <v>484</v>
      </c>
      <c r="C2076" s="0" t="s">
        <v>485</v>
      </c>
      <c r="D2076" s="0" t="n">
        <v>12</v>
      </c>
      <c r="E2076" s="6" t="n">
        <v>40821.4145833333</v>
      </c>
      <c r="F2076" s="0" t="n">
        <v>1.65</v>
      </c>
      <c r="G2076" s="0" t="n">
        <v>12700</v>
      </c>
      <c r="H2076" s="0" t="s">
        <v>43</v>
      </c>
      <c r="I2076" s="7" t="n">
        <f aca="false">IF(AND(LEFT(A2076,1)&lt;&gt;"C",D2076&gt;0,F2076&gt;0),1,0)</f>
        <v>1</v>
      </c>
      <c r="J2076" s="7" t="n">
        <f aca="false">IF(I2076=1,D2076*F2076,0)</f>
        <v>19.8</v>
      </c>
      <c r="K2076" s="7" t="n">
        <f aca="false">YEAR(E2076)*100+MONTH(E2076)</f>
        <v>201110</v>
      </c>
      <c r="L2076" s="7" t="n">
        <f aca="false">IF(AND(A2076&lt;&gt;A2075,LEFT(A2076,1)&lt;&gt;"C"),1,0)</f>
        <v>0</v>
      </c>
    </row>
    <row r="2077" customFormat="false" ht="15" hidden="false" customHeight="false" outlineLevel="0" collapsed="false">
      <c r="A2077" s="0" t="s">
        <v>1709</v>
      </c>
      <c r="B2077" s="0" t="s">
        <v>825</v>
      </c>
      <c r="C2077" s="0" t="s">
        <v>826</v>
      </c>
      <c r="D2077" s="0" t="n">
        <v>6</v>
      </c>
      <c r="E2077" s="6" t="n">
        <v>40821.4145833333</v>
      </c>
      <c r="F2077" s="0" t="n">
        <v>2.95</v>
      </c>
      <c r="G2077" s="0" t="n">
        <v>12700</v>
      </c>
      <c r="H2077" s="0" t="s">
        <v>43</v>
      </c>
      <c r="I2077" s="7" t="n">
        <f aca="false">IF(AND(LEFT(A2077,1)&lt;&gt;"C",D2077&gt;0,F2077&gt;0),1,0)</f>
        <v>1</v>
      </c>
      <c r="J2077" s="7" t="n">
        <f aca="false">IF(I2077=1,D2077*F2077,0)</f>
        <v>17.7</v>
      </c>
      <c r="K2077" s="7" t="n">
        <f aca="false">YEAR(E2077)*100+MONTH(E2077)</f>
        <v>201110</v>
      </c>
      <c r="L2077" s="7" t="n">
        <f aca="false">IF(AND(A2077&lt;&gt;A2076,LEFT(A2077,1)&lt;&gt;"C"),1,0)</f>
        <v>0</v>
      </c>
    </row>
    <row r="2078" customFormat="false" ht="15" hidden="false" customHeight="false" outlineLevel="0" collapsed="false">
      <c r="A2078" s="0" t="s">
        <v>1709</v>
      </c>
      <c r="B2078" s="0" t="s">
        <v>827</v>
      </c>
      <c r="C2078" s="0" t="s">
        <v>828</v>
      </c>
      <c r="D2078" s="0" t="n">
        <v>6</v>
      </c>
      <c r="E2078" s="6" t="n">
        <v>40821.4145833333</v>
      </c>
      <c r="F2078" s="0" t="n">
        <v>2.95</v>
      </c>
      <c r="G2078" s="0" t="n">
        <v>12700</v>
      </c>
      <c r="H2078" s="0" t="s">
        <v>43</v>
      </c>
      <c r="I2078" s="7" t="n">
        <f aca="false">IF(AND(LEFT(A2078,1)&lt;&gt;"C",D2078&gt;0,F2078&gt;0),1,0)</f>
        <v>1</v>
      </c>
      <c r="J2078" s="7" t="n">
        <f aca="false">IF(I2078=1,D2078*F2078,0)</f>
        <v>17.7</v>
      </c>
      <c r="K2078" s="7" t="n">
        <f aca="false">YEAR(E2078)*100+MONTH(E2078)</f>
        <v>201110</v>
      </c>
      <c r="L2078" s="7" t="n">
        <f aca="false">IF(AND(A2078&lt;&gt;A2077,LEFT(A2078,1)&lt;&gt;"C"),1,0)</f>
        <v>0</v>
      </c>
    </row>
    <row r="2079" customFormat="false" ht="15" hidden="false" customHeight="false" outlineLevel="0" collapsed="false">
      <c r="A2079" s="0" t="s">
        <v>1709</v>
      </c>
      <c r="B2079" s="0" t="s">
        <v>1732</v>
      </c>
      <c r="C2079" s="0" t="s">
        <v>1733</v>
      </c>
      <c r="D2079" s="0" t="n">
        <v>12</v>
      </c>
      <c r="E2079" s="6" t="n">
        <v>40821.4145833333</v>
      </c>
      <c r="F2079" s="0" t="n">
        <v>1.25</v>
      </c>
      <c r="G2079" s="0" t="n">
        <v>12700</v>
      </c>
      <c r="H2079" s="0" t="s">
        <v>43</v>
      </c>
      <c r="I2079" s="7" t="n">
        <f aca="false">IF(AND(LEFT(A2079,1)&lt;&gt;"C",D2079&gt;0,F2079&gt;0),1,0)</f>
        <v>1</v>
      </c>
      <c r="J2079" s="7" t="n">
        <f aca="false">IF(I2079=1,D2079*F2079,0)</f>
        <v>15</v>
      </c>
      <c r="K2079" s="7" t="n">
        <f aca="false">YEAR(E2079)*100+MONTH(E2079)</f>
        <v>201110</v>
      </c>
      <c r="L2079" s="7" t="n">
        <f aca="false">IF(AND(A2079&lt;&gt;A2078,LEFT(A2079,1)&lt;&gt;"C"),1,0)</f>
        <v>0</v>
      </c>
    </row>
    <row r="2080" customFormat="false" ht="15" hidden="false" customHeight="false" outlineLevel="0" collapsed="false">
      <c r="A2080" s="0" t="s">
        <v>1709</v>
      </c>
      <c r="B2080" s="0" t="s">
        <v>482</v>
      </c>
      <c r="C2080" s="0" t="s">
        <v>483</v>
      </c>
      <c r="D2080" s="0" t="n">
        <v>12</v>
      </c>
      <c r="E2080" s="6" t="n">
        <v>40821.4145833333</v>
      </c>
      <c r="F2080" s="0" t="n">
        <v>1.25</v>
      </c>
      <c r="G2080" s="0" t="n">
        <v>12700</v>
      </c>
      <c r="H2080" s="0" t="s">
        <v>43</v>
      </c>
      <c r="I2080" s="7" t="n">
        <f aca="false">IF(AND(LEFT(A2080,1)&lt;&gt;"C",D2080&gt;0,F2080&gt;0),1,0)</f>
        <v>1</v>
      </c>
      <c r="J2080" s="7" t="n">
        <f aca="false">IF(I2080=1,D2080*F2080,0)</f>
        <v>15</v>
      </c>
      <c r="K2080" s="7" t="n">
        <f aca="false">YEAR(E2080)*100+MONTH(E2080)</f>
        <v>201110</v>
      </c>
      <c r="L2080" s="7" t="n">
        <f aca="false">IF(AND(A2080&lt;&gt;A2079,LEFT(A2080,1)&lt;&gt;"C"),1,0)</f>
        <v>0</v>
      </c>
    </row>
    <row r="2081" customFormat="false" ht="15" hidden="false" customHeight="false" outlineLevel="0" collapsed="false">
      <c r="A2081" s="0" t="s">
        <v>1709</v>
      </c>
      <c r="B2081" s="0" t="s">
        <v>91</v>
      </c>
      <c r="C2081" s="0" t="s">
        <v>92</v>
      </c>
      <c r="D2081" s="0" t="n">
        <v>4</v>
      </c>
      <c r="E2081" s="6" t="n">
        <v>40821.4145833333</v>
      </c>
      <c r="F2081" s="0" t="n">
        <v>4.15</v>
      </c>
      <c r="G2081" s="0" t="n">
        <v>12700</v>
      </c>
      <c r="H2081" s="0" t="s">
        <v>43</v>
      </c>
      <c r="I2081" s="7" t="n">
        <f aca="false">IF(AND(LEFT(A2081,1)&lt;&gt;"C",D2081&gt;0,F2081&gt;0),1,0)</f>
        <v>1</v>
      </c>
      <c r="J2081" s="7" t="n">
        <f aca="false">IF(I2081=1,D2081*F2081,0)</f>
        <v>16.6</v>
      </c>
      <c r="K2081" s="7" t="n">
        <f aca="false">YEAR(E2081)*100+MONTH(E2081)</f>
        <v>201110</v>
      </c>
      <c r="L2081" s="7" t="n">
        <f aca="false">IF(AND(A2081&lt;&gt;A2080,LEFT(A2081,1)&lt;&gt;"C"),1,0)</f>
        <v>0</v>
      </c>
    </row>
    <row r="2082" customFormat="false" ht="15" hidden="false" customHeight="false" outlineLevel="0" collapsed="false">
      <c r="A2082" s="0" t="s">
        <v>1709</v>
      </c>
      <c r="B2082" s="0" t="s">
        <v>89</v>
      </c>
      <c r="C2082" s="0" t="s">
        <v>90</v>
      </c>
      <c r="D2082" s="0" t="n">
        <v>4</v>
      </c>
      <c r="E2082" s="6" t="n">
        <v>40821.4145833333</v>
      </c>
      <c r="F2082" s="0" t="n">
        <v>4.15</v>
      </c>
      <c r="G2082" s="0" t="n">
        <v>12700</v>
      </c>
      <c r="H2082" s="0" t="s">
        <v>43</v>
      </c>
      <c r="I2082" s="7" t="n">
        <f aca="false">IF(AND(LEFT(A2082,1)&lt;&gt;"C",D2082&gt;0,F2082&gt;0),1,0)</f>
        <v>1</v>
      </c>
      <c r="J2082" s="7" t="n">
        <f aca="false">IF(I2082=1,D2082*F2082,0)</f>
        <v>16.6</v>
      </c>
      <c r="K2082" s="7" t="n">
        <f aca="false">YEAR(E2082)*100+MONTH(E2082)</f>
        <v>201110</v>
      </c>
      <c r="L2082" s="7" t="n">
        <f aca="false">IF(AND(A2082&lt;&gt;A2081,LEFT(A2082,1)&lt;&gt;"C"),1,0)</f>
        <v>0</v>
      </c>
    </row>
    <row r="2083" customFormat="false" ht="15" hidden="false" customHeight="false" outlineLevel="0" collapsed="false">
      <c r="A2083" s="0" t="s">
        <v>1709</v>
      </c>
      <c r="B2083" s="0" t="s">
        <v>87</v>
      </c>
      <c r="C2083" s="0" t="s">
        <v>88</v>
      </c>
      <c r="D2083" s="0" t="n">
        <v>4</v>
      </c>
      <c r="E2083" s="6" t="n">
        <v>40821.4145833333</v>
      </c>
      <c r="F2083" s="0" t="n">
        <v>4.15</v>
      </c>
      <c r="G2083" s="0" t="n">
        <v>12700</v>
      </c>
      <c r="H2083" s="0" t="s">
        <v>43</v>
      </c>
      <c r="I2083" s="7" t="n">
        <f aca="false">IF(AND(LEFT(A2083,1)&lt;&gt;"C",D2083&gt;0,F2083&gt;0),1,0)</f>
        <v>1</v>
      </c>
      <c r="J2083" s="7" t="n">
        <f aca="false">IF(I2083=1,D2083*F2083,0)</f>
        <v>16.6</v>
      </c>
      <c r="K2083" s="7" t="n">
        <f aca="false">YEAR(E2083)*100+MONTH(E2083)</f>
        <v>201110</v>
      </c>
      <c r="L2083" s="7" t="n">
        <f aca="false">IF(AND(A2083&lt;&gt;A2082,LEFT(A2083,1)&lt;&gt;"C"),1,0)</f>
        <v>0</v>
      </c>
    </row>
    <row r="2084" customFormat="false" ht="15" hidden="false" customHeight="false" outlineLevel="0" collapsed="false">
      <c r="A2084" s="0" t="s">
        <v>1709</v>
      </c>
      <c r="B2084" s="0" t="s">
        <v>903</v>
      </c>
      <c r="C2084" s="0" t="s">
        <v>904</v>
      </c>
      <c r="D2084" s="0" t="n">
        <v>2</v>
      </c>
      <c r="E2084" s="6" t="n">
        <v>40821.4145833333</v>
      </c>
      <c r="F2084" s="0" t="n">
        <v>9.95</v>
      </c>
      <c r="G2084" s="0" t="n">
        <v>12700</v>
      </c>
      <c r="H2084" s="0" t="s">
        <v>43</v>
      </c>
      <c r="I2084" s="7" t="n">
        <f aca="false">IF(AND(LEFT(A2084,1)&lt;&gt;"C",D2084&gt;0,F2084&gt;0),1,0)</f>
        <v>1</v>
      </c>
      <c r="J2084" s="7" t="n">
        <f aca="false">IF(I2084=1,D2084*F2084,0)</f>
        <v>19.9</v>
      </c>
      <c r="K2084" s="7" t="n">
        <f aca="false">YEAR(E2084)*100+MONTH(E2084)</f>
        <v>201110</v>
      </c>
      <c r="L2084" s="7" t="n">
        <f aca="false">IF(AND(A2084&lt;&gt;A2083,LEFT(A2084,1)&lt;&gt;"C"),1,0)</f>
        <v>0</v>
      </c>
    </row>
    <row r="2085" customFormat="false" ht="15" hidden="false" customHeight="false" outlineLevel="0" collapsed="false">
      <c r="A2085" s="0" t="s">
        <v>1709</v>
      </c>
      <c r="B2085" s="0" t="s">
        <v>1734</v>
      </c>
      <c r="C2085" s="0" t="s">
        <v>1735</v>
      </c>
      <c r="D2085" s="0" t="n">
        <v>2</v>
      </c>
      <c r="E2085" s="6" t="n">
        <v>40821.4145833333</v>
      </c>
      <c r="F2085" s="0" t="n">
        <v>8.25</v>
      </c>
      <c r="G2085" s="0" t="n">
        <v>12700</v>
      </c>
      <c r="H2085" s="0" t="s">
        <v>43</v>
      </c>
      <c r="I2085" s="7" t="n">
        <f aca="false">IF(AND(LEFT(A2085,1)&lt;&gt;"C",D2085&gt;0,F2085&gt;0),1,0)</f>
        <v>1</v>
      </c>
      <c r="J2085" s="7" t="n">
        <f aca="false">IF(I2085=1,D2085*F2085,0)</f>
        <v>16.5</v>
      </c>
      <c r="K2085" s="7" t="n">
        <f aca="false">YEAR(E2085)*100+MONTH(E2085)</f>
        <v>201110</v>
      </c>
      <c r="L2085" s="7" t="n">
        <f aca="false">IF(AND(A2085&lt;&gt;A2084,LEFT(A2085,1)&lt;&gt;"C"),1,0)</f>
        <v>0</v>
      </c>
    </row>
    <row r="2086" customFormat="false" ht="15" hidden="false" customHeight="false" outlineLevel="0" collapsed="false">
      <c r="A2086" s="0" t="s">
        <v>1709</v>
      </c>
      <c r="B2086" s="0" t="s">
        <v>422</v>
      </c>
      <c r="C2086" s="0" t="s">
        <v>423</v>
      </c>
      <c r="D2086" s="0" t="n">
        <v>2</v>
      </c>
      <c r="E2086" s="6" t="n">
        <v>40821.4145833333</v>
      </c>
      <c r="F2086" s="0" t="n">
        <v>8.25</v>
      </c>
      <c r="G2086" s="0" t="n">
        <v>12700</v>
      </c>
      <c r="H2086" s="0" t="s">
        <v>43</v>
      </c>
      <c r="I2086" s="7" t="n">
        <f aca="false">IF(AND(LEFT(A2086,1)&lt;&gt;"C",D2086&gt;0,F2086&gt;0),1,0)</f>
        <v>1</v>
      </c>
      <c r="J2086" s="7" t="n">
        <f aca="false">IF(I2086=1,D2086*F2086,0)</f>
        <v>16.5</v>
      </c>
      <c r="K2086" s="7" t="n">
        <f aca="false">YEAR(E2086)*100+MONTH(E2086)</f>
        <v>201110</v>
      </c>
      <c r="L2086" s="7" t="n">
        <f aca="false">IF(AND(A2086&lt;&gt;A2085,LEFT(A2086,1)&lt;&gt;"C"),1,0)</f>
        <v>0</v>
      </c>
    </row>
    <row r="2087" customFormat="false" ht="15" hidden="false" customHeight="false" outlineLevel="0" collapsed="false">
      <c r="A2087" s="0" t="s">
        <v>1709</v>
      </c>
      <c r="B2087" s="0" t="s">
        <v>426</v>
      </c>
      <c r="C2087" s="0" t="s">
        <v>427</v>
      </c>
      <c r="D2087" s="0" t="n">
        <v>2</v>
      </c>
      <c r="E2087" s="6" t="n">
        <v>40821.4145833333</v>
      </c>
      <c r="F2087" s="0" t="n">
        <v>8.25</v>
      </c>
      <c r="G2087" s="0" t="n">
        <v>12700</v>
      </c>
      <c r="H2087" s="0" t="s">
        <v>43</v>
      </c>
      <c r="I2087" s="7" t="n">
        <f aca="false">IF(AND(LEFT(A2087,1)&lt;&gt;"C",D2087&gt;0,F2087&gt;0),1,0)</f>
        <v>1</v>
      </c>
      <c r="J2087" s="7" t="n">
        <f aca="false">IF(I2087=1,D2087*F2087,0)</f>
        <v>16.5</v>
      </c>
      <c r="K2087" s="7" t="n">
        <f aca="false">YEAR(E2087)*100+MONTH(E2087)</f>
        <v>201110</v>
      </c>
      <c r="L2087" s="7" t="n">
        <f aca="false">IF(AND(A2087&lt;&gt;A2086,LEFT(A2087,1)&lt;&gt;"C"),1,0)</f>
        <v>0</v>
      </c>
    </row>
    <row r="2088" customFormat="false" ht="15" hidden="false" customHeight="false" outlineLevel="0" collapsed="false">
      <c r="A2088" s="0" t="s">
        <v>1709</v>
      </c>
      <c r="B2088" s="0" t="s">
        <v>424</v>
      </c>
      <c r="C2088" s="0" t="s">
        <v>425</v>
      </c>
      <c r="D2088" s="0" t="n">
        <v>2</v>
      </c>
      <c r="E2088" s="6" t="n">
        <v>40821.4145833333</v>
      </c>
      <c r="F2088" s="0" t="n">
        <v>8.25</v>
      </c>
      <c r="G2088" s="0" t="n">
        <v>12700</v>
      </c>
      <c r="H2088" s="0" t="s">
        <v>43</v>
      </c>
      <c r="I2088" s="7" t="n">
        <f aca="false">IF(AND(LEFT(A2088,1)&lt;&gt;"C",D2088&gt;0,F2088&gt;0),1,0)</f>
        <v>1</v>
      </c>
      <c r="J2088" s="7" t="n">
        <f aca="false">IF(I2088=1,D2088*F2088,0)</f>
        <v>16.5</v>
      </c>
      <c r="K2088" s="7" t="n">
        <f aca="false">YEAR(E2088)*100+MONTH(E2088)</f>
        <v>201110</v>
      </c>
      <c r="L2088" s="7" t="n">
        <f aca="false">IF(AND(A2088&lt;&gt;A2087,LEFT(A2088,1)&lt;&gt;"C"),1,0)</f>
        <v>0</v>
      </c>
    </row>
    <row r="2089" customFormat="false" ht="15" hidden="false" customHeight="false" outlineLevel="0" collapsed="false">
      <c r="A2089" s="0" t="s">
        <v>1709</v>
      </c>
      <c r="B2089" s="0" t="s">
        <v>469</v>
      </c>
      <c r="C2089" s="0" t="s">
        <v>470</v>
      </c>
      <c r="D2089" s="0" t="n">
        <v>6</v>
      </c>
      <c r="E2089" s="6" t="n">
        <v>40821.4145833333</v>
      </c>
      <c r="F2089" s="0" t="n">
        <v>2.1</v>
      </c>
      <c r="G2089" s="0" t="n">
        <v>12700</v>
      </c>
      <c r="H2089" s="0" t="s">
        <v>43</v>
      </c>
      <c r="I2089" s="7" t="n">
        <f aca="false">IF(AND(LEFT(A2089,1)&lt;&gt;"C",D2089&gt;0,F2089&gt;0),1,0)</f>
        <v>1</v>
      </c>
      <c r="J2089" s="7" t="n">
        <f aca="false">IF(I2089=1,D2089*F2089,0)</f>
        <v>12.6</v>
      </c>
      <c r="K2089" s="7" t="n">
        <f aca="false">YEAR(E2089)*100+MONTH(E2089)</f>
        <v>201110</v>
      </c>
      <c r="L2089" s="7" t="n">
        <f aca="false">IF(AND(A2089&lt;&gt;A2088,LEFT(A2089,1)&lt;&gt;"C"),1,0)</f>
        <v>0</v>
      </c>
    </row>
    <row r="2090" customFormat="false" ht="15" hidden="false" customHeight="false" outlineLevel="0" collapsed="false">
      <c r="A2090" s="0" t="s">
        <v>1709</v>
      </c>
      <c r="B2090" s="0" t="s">
        <v>1266</v>
      </c>
      <c r="C2090" s="0" t="s">
        <v>1267</v>
      </c>
      <c r="D2090" s="0" t="n">
        <v>8</v>
      </c>
      <c r="E2090" s="6" t="n">
        <v>40821.4145833333</v>
      </c>
      <c r="F2090" s="0" t="n">
        <v>1.95</v>
      </c>
      <c r="G2090" s="0" t="n">
        <v>12700</v>
      </c>
      <c r="H2090" s="0" t="s">
        <v>43</v>
      </c>
      <c r="I2090" s="7" t="n">
        <f aca="false">IF(AND(LEFT(A2090,1)&lt;&gt;"C",D2090&gt;0,F2090&gt;0),1,0)</f>
        <v>1</v>
      </c>
      <c r="J2090" s="7" t="n">
        <f aca="false">IF(I2090=1,D2090*F2090,0)</f>
        <v>15.6</v>
      </c>
      <c r="K2090" s="7" t="n">
        <f aca="false">YEAR(E2090)*100+MONTH(E2090)</f>
        <v>201110</v>
      </c>
      <c r="L2090" s="7" t="n">
        <f aca="false">IF(AND(A2090&lt;&gt;A2089,LEFT(A2090,1)&lt;&gt;"C"),1,0)</f>
        <v>0</v>
      </c>
    </row>
    <row r="2091" customFormat="false" ht="15" hidden="false" customHeight="false" outlineLevel="0" collapsed="false">
      <c r="A2091" s="0" t="s">
        <v>1709</v>
      </c>
      <c r="B2091" s="0" t="s">
        <v>322</v>
      </c>
      <c r="C2091" s="0" t="s">
        <v>323</v>
      </c>
      <c r="D2091" s="0" t="n">
        <v>4</v>
      </c>
      <c r="E2091" s="6" t="n">
        <v>40821.4145833333</v>
      </c>
      <c r="F2091" s="0" t="n">
        <v>3.75</v>
      </c>
      <c r="G2091" s="0" t="n">
        <v>12700</v>
      </c>
      <c r="H2091" s="0" t="s">
        <v>43</v>
      </c>
      <c r="I2091" s="7" t="n">
        <f aca="false">IF(AND(LEFT(A2091,1)&lt;&gt;"C",D2091&gt;0,F2091&gt;0),1,0)</f>
        <v>1</v>
      </c>
      <c r="J2091" s="7" t="n">
        <f aca="false">IF(I2091=1,D2091*F2091,0)</f>
        <v>15</v>
      </c>
      <c r="K2091" s="7" t="n">
        <f aca="false">YEAR(E2091)*100+MONTH(E2091)</f>
        <v>201110</v>
      </c>
      <c r="L2091" s="7" t="n">
        <f aca="false">IF(AND(A2091&lt;&gt;A2090,LEFT(A2091,1)&lt;&gt;"C"),1,0)</f>
        <v>0</v>
      </c>
    </row>
    <row r="2092" customFormat="false" ht="15" hidden="false" customHeight="false" outlineLevel="0" collapsed="false">
      <c r="A2092" s="0" t="s">
        <v>1709</v>
      </c>
      <c r="B2092" s="0" t="s">
        <v>78</v>
      </c>
      <c r="C2092" s="0" t="s">
        <v>79</v>
      </c>
      <c r="D2092" s="0" t="n">
        <v>10</v>
      </c>
      <c r="E2092" s="6" t="n">
        <v>40821.4145833333</v>
      </c>
      <c r="F2092" s="0" t="n">
        <v>1.65</v>
      </c>
      <c r="G2092" s="0" t="n">
        <v>12700</v>
      </c>
      <c r="H2092" s="0" t="s">
        <v>43</v>
      </c>
      <c r="I2092" s="7" t="n">
        <f aca="false">IF(AND(LEFT(A2092,1)&lt;&gt;"C",D2092&gt;0,F2092&gt;0),1,0)</f>
        <v>1</v>
      </c>
      <c r="J2092" s="7" t="n">
        <f aca="false">IF(I2092=1,D2092*F2092,0)</f>
        <v>16.5</v>
      </c>
      <c r="K2092" s="7" t="n">
        <f aca="false">YEAR(E2092)*100+MONTH(E2092)</f>
        <v>201110</v>
      </c>
      <c r="L2092" s="7" t="n">
        <f aca="false">IF(AND(A2092&lt;&gt;A2091,LEFT(A2092,1)&lt;&gt;"C"),1,0)</f>
        <v>0</v>
      </c>
    </row>
    <row r="2093" customFormat="false" ht="15" hidden="false" customHeight="false" outlineLevel="0" collapsed="false">
      <c r="A2093" s="0" t="s">
        <v>1709</v>
      </c>
      <c r="B2093" s="0" t="s">
        <v>625</v>
      </c>
      <c r="C2093" s="0" t="s">
        <v>626</v>
      </c>
      <c r="D2093" s="0" t="n">
        <v>10</v>
      </c>
      <c r="E2093" s="6" t="n">
        <v>40821.4145833333</v>
      </c>
      <c r="F2093" s="0" t="n">
        <v>2.08</v>
      </c>
      <c r="G2093" s="0" t="n">
        <v>12700</v>
      </c>
      <c r="H2093" s="0" t="s">
        <v>43</v>
      </c>
      <c r="I2093" s="7" t="n">
        <f aca="false">IF(AND(LEFT(A2093,1)&lt;&gt;"C",D2093&gt;0,F2093&gt;0),1,0)</f>
        <v>1</v>
      </c>
      <c r="J2093" s="7" t="n">
        <f aca="false">IF(I2093=1,D2093*F2093,0)</f>
        <v>20.8</v>
      </c>
      <c r="K2093" s="7" t="n">
        <f aca="false">YEAR(E2093)*100+MONTH(E2093)</f>
        <v>201110</v>
      </c>
      <c r="L2093" s="7" t="n">
        <f aca="false">IF(AND(A2093&lt;&gt;A2092,LEFT(A2093,1)&lt;&gt;"C"),1,0)</f>
        <v>0</v>
      </c>
    </row>
    <row r="2094" customFormat="false" ht="15" hidden="false" customHeight="false" outlineLevel="0" collapsed="false">
      <c r="A2094" s="0" t="s">
        <v>1709</v>
      </c>
      <c r="B2094" s="0" t="s">
        <v>837</v>
      </c>
      <c r="C2094" s="0" t="s">
        <v>838</v>
      </c>
      <c r="D2094" s="0" t="n">
        <v>6</v>
      </c>
      <c r="E2094" s="6" t="n">
        <v>40821.4145833333</v>
      </c>
      <c r="F2094" s="0" t="n">
        <v>4.15</v>
      </c>
      <c r="G2094" s="0" t="n">
        <v>12700</v>
      </c>
      <c r="H2094" s="0" t="s">
        <v>43</v>
      </c>
      <c r="I2094" s="7" t="n">
        <f aca="false">IF(AND(LEFT(A2094,1)&lt;&gt;"C",D2094&gt;0,F2094&gt;0),1,0)</f>
        <v>1</v>
      </c>
      <c r="J2094" s="7" t="n">
        <f aca="false">IF(I2094=1,D2094*F2094,0)</f>
        <v>24.9</v>
      </c>
      <c r="K2094" s="7" t="n">
        <f aca="false">YEAR(E2094)*100+MONTH(E2094)</f>
        <v>201110</v>
      </c>
      <c r="L2094" s="7" t="n">
        <f aca="false">IF(AND(A2094&lt;&gt;A2093,LEFT(A2094,1)&lt;&gt;"C"),1,0)</f>
        <v>0</v>
      </c>
    </row>
    <row r="2095" customFormat="false" ht="15" hidden="false" customHeight="false" outlineLevel="0" collapsed="false">
      <c r="A2095" s="0" t="s">
        <v>1709</v>
      </c>
      <c r="B2095" s="0" t="s">
        <v>1386</v>
      </c>
      <c r="C2095" s="0" t="s">
        <v>1387</v>
      </c>
      <c r="D2095" s="0" t="n">
        <v>10</v>
      </c>
      <c r="E2095" s="6" t="n">
        <v>40821.4145833333</v>
      </c>
      <c r="F2095" s="0" t="n">
        <v>2.08</v>
      </c>
      <c r="G2095" s="0" t="n">
        <v>12700</v>
      </c>
      <c r="H2095" s="0" t="s">
        <v>43</v>
      </c>
      <c r="I2095" s="7" t="n">
        <f aca="false">IF(AND(LEFT(A2095,1)&lt;&gt;"C",D2095&gt;0,F2095&gt;0),1,0)</f>
        <v>1</v>
      </c>
      <c r="J2095" s="7" t="n">
        <f aca="false">IF(I2095=1,D2095*F2095,0)</f>
        <v>20.8</v>
      </c>
      <c r="K2095" s="7" t="n">
        <f aca="false">YEAR(E2095)*100+MONTH(E2095)</f>
        <v>201110</v>
      </c>
      <c r="L2095" s="7" t="n">
        <f aca="false">IF(AND(A2095&lt;&gt;A2094,LEFT(A2095,1)&lt;&gt;"C"),1,0)</f>
        <v>0</v>
      </c>
    </row>
    <row r="2096" customFormat="false" ht="15" hidden="false" customHeight="false" outlineLevel="0" collapsed="false">
      <c r="A2096" s="0" t="s">
        <v>1709</v>
      </c>
      <c r="B2096" s="0" t="s">
        <v>743</v>
      </c>
      <c r="C2096" s="0" t="s">
        <v>744</v>
      </c>
      <c r="D2096" s="0" t="n">
        <v>12</v>
      </c>
      <c r="E2096" s="6" t="n">
        <v>40821.4145833333</v>
      </c>
      <c r="F2096" s="0" t="n">
        <v>0.42</v>
      </c>
      <c r="G2096" s="0" t="n">
        <v>12700</v>
      </c>
      <c r="H2096" s="0" t="s">
        <v>43</v>
      </c>
      <c r="I2096" s="7" t="n">
        <f aca="false">IF(AND(LEFT(A2096,1)&lt;&gt;"C",D2096&gt;0,F2096&gt;0),1,0)</f>
        <v>1</v>
      </c>
      <c r="J2096" s="7" t="n">
        <f aca="false">IF(I2096=1,D2096*F2096,0)</f>
        <v>5.04</v>
      </c>
      <c r="K2096" s="7" t="n">
        <f aca="false">YEAR(E2096)*100+MONTH(E2096)</f>
        <v>201110</v>
      </c>
      <c r="L2096" s="7" t="n">
        <f aca="false">IF(AND(A2096&lt;&gt;A2095,LEFT(A2096,1)&lt;&gt;"C"),1,0)</f>
        <v>0</v>
      </c>
    </row>
    <row r="2097" customFormat="false" ht="15" hidden="false" customHeight="false" outlineLevel="0" collapsed="false">
      <c r="A2097" s="0" t="s">
        <v>1709</v>
      </c>
      <c r="B2097" s="0" t="s">
        <v>1736</v>
      </c>
      <c r="C2097" s="0" t="s">
        <v>1737</v>
      </c>
      <c r="D2097" s="0" t="n">
        <v>12</v>
      </c>
      <c r="E2097" s="6" t="n">
        <v>40821.4145833333</v>
      </c>
      <c r="F2097" s="0" t="n">
        <v>0.42</v>
      </c>
      <c r="G2097" s="0" t="n">
        <v>12700</v>
      </c>
      <c r="H2097" s="0" t="s">
        <v>43</v>
      </c>
      <c r="I2097" s="7" t="n">
        <f aca="false">IF(AND(LEFT(A2097,1)&lt;&gt;"C",D2097&gt;0,F2097&gt;0),1,0)</f>
        <v>1</v>
      </c>
      <c r="J2097" s="7" t="n">
        <f aca="false">IF(I2097=1,D2097*F2097,0)</f>
        <v>5.04</v>
      </c>
      <c r="K2097" s="7" t="n">
        <f aca="false">YEAR(E2097)*100+MONTH(E2097)</f>
        <v>201110</v>
      </c>
      <c r="L2097" s="7" t="n">
        <f aca="false">IF(AND(A2097&lt;&gt;A2096,LEFT(A2097,1)&lt;&gt;"C"),1,0)</f>
        <v>0</v>
      </c>
    </row>
    <row r="2098" customFormat="false" ht="15" hidden="false" customHeight="false" outlineLevel="0" collapsed="false">
      <c r="A2098" s="0" t="s">
        <v>1709</v>
      </c>
      <c r="B2098" s="0" t="s">
        <v>463</v>
      </c>
      <c r="C2098" s="0" t="s">
        <v>464</v>
      </c>
      <c r="D2098" s="0" t="n">
        <v>2</v>
      </c>
      <c r="E2098" s="6" t="n">
        <v>40821.4145833333</v>
      </c>
      <c r="F2098" s="0" t="n">
        <v>7.95</v>
      </c>
      <c r="G2098" s="0" t="n">
        <v>12700</v>
      </c>
      <c r="H2098" s="0" t="s">
        <v>43</v>
      </c>
      <c r="I2098" s="7" t="n">
        <f aca="false">IF(AND(LEFT(A2098,1)&lt;&gt;"C",D2098&gt;0,F2098&gt;0),1,0)</f>
        <v>1</v>
      </c>
      <c r="J2098" s="7" t="n">
        <f aca="false">IF(I2098=1,D2098*F2098,0)</f>
        <v>15.9</v>
      </c>
      <c r="K2098" s="7" t="n">
        <f aca="false">YEAR(E2098)*100+MONTH(E2098)</f>
        <v>201110</v>
      </c>
      <c r="L2098" s="7" t="n">
        <f aca="false">IF(AND(A2098&lt;&gt;A2097,LEFT(A2098,1)&lt;&gt;"C"),1,0)</f>
        <v>0</v>
      </c>
    </row>
    <row r="2099" customFormat="false" ht="15" hidden="false" customHeight="false" outlineLevel="0" collapsed="false">
      <c r="A2099" s="0" t="s">
        <v>1709</v>
      </c>
      <c r="B2099" s="0" t="s">
        <v>316</v>
      </c>
      <c r="C2099" s="0" t="s">
        <v>317</v>
      </c>
      <c r="D2099" s="0" t="n">
        <v>3</v>
      </c>
      <c r="E2099" s="6" t="n">
        <v>40821.4145833333</v>
      </c>
      <c r="F2099" s="0" t="n">
        <v>4.95</v>
      </c>
      <c r="G2099" s="0" t="n">
        <v>12700</v>
      </c>
      <c r="H2099" s="0" t="s">
        <v>43</v>
      </c>
      <c r="I2099" s="7" t="n">
        <f aca="false">IF(AND(LEFT(A2099,1)&lt;&gt;"C",D2099&gt;0,F2099&gt;0),1,0)</f>
        <v>1</v>
      </c>
      <c r="J2099" s="7" t="n">
        <f aca="false">IF(I2099=1,D2099*F2099,0)</f>
        <v>14.85</v>
      </c>
      <c r="K2099" s="7" t="n">
        <f aca="false">YEAR(E2099)*100+MONTH(E2099)</f>
        <v>201110</v>
      </c>
      <c r="L2099" s="7" t="n">
        <f aca="false">IF(AND(A2099&lt;&gt;A2098,LEFT(A2099,1)&lt;&gt;"C"),1,0)</f>
        <v>0</v>
      </c>
    </row>
    <row r="2100" customFormat="false" ht="15" hidden="false" customHeight="false" outlineLevel="0" collapsed="false">
      <c r="A2100" s="0" t="s">
        <v>1709</v>
      </c>
      <c r="B2100" s="0" t="s">
        <v>324</v>
      </c>
      <c r="C2100" s="0" t="s">
        <v>325</v>
      </c>
      <c r="D2100" s="0" t="n">
        <v>4</v>
      </c>
      <c r="E2100" s="6" t="n">
        <v>40821.4145833333</v>
      </c>
      <c r="F2100" s="0" t="n">
        <v>4.95</v>
      </c>
      <c r="G2100" s="0" t="n">
        <v>12700</v>
      </c>
      <c r="H2100" s="0" t="s">
        <v>43</v>
      </c>
      <c r="I2100" s="7" t="n">
        <f aca="false">IF(AND(LEFT(A2100,1)&lt;&gt;"C",D2100&gt;0,F2100&gt;0),1,0)</f>
        <v>1</v>
      </c>
      <c r="J2100" s="7" t="n">
        <f aca="false">IF(I2100=1,D2100*F2100,0)</f>
        <v>19.8</v>
      </c>
      <c r="K2100" s="7" t="n">
        <f aca="false">YEAR(E2100)*100+MONTH(E2100)</f>
        <v>201110</v>
      </c>
      <c r="L2100" s="7" t="n">
        <f aca="false">IF(AND(A2100&lt;&gt;A2099,LEFT(A2100,1)&lt;&gt;"C"),1,0)</f>
        <v>0</v>
      </c>
    </row>
    <row r="2101" customFormat="false" ht="15" hidden="false" customHeight="false" outlineLevel="0" collapsed="false">
      <c r="A2101" s="0" t="s">
        <v>1709</v>
      </c>
      <c r="B2101" s="0" t="s">
        <v>521</v>
      </c>
      <c r="C2101" s="0" t="s">
        <v>522</v>
      </c>
      <c r="D2101" s="0" t="n">
        <v>8</v>
      </c>
      <c r="E2101" s="6" t="n">
        <v>40821.4145833333</v>
      </c>
      <c r="F2101" s="0" t="n">
        <v>1.95</v>
      </c>
      <c r="G2101" s="0" t="n">
        <v>12700</v>
      </c>
      <c r="H2101" s="0" t="s">
        <v>43</v>
      </c>
      <c r="I2101" s="7" t="n">
        <f aca="false">IF(AND(LEFT(A2101,1)&lt;&gt;"C",D2101&gt;0,F2101&gt;0),1,0)</f>
        <v>1</v>
      </c>
      <c r="J2101" s="7" t="n">
        <f aca="false">IF(I2101=1,D2101*F2101,0)</f>
        <v>15.6</v>
      </c>
      <c r="K2101" s="7" t="n">
        <f aca="false">YEAR(E2101)*100+MONTH(E2101)</f>
        <v>201110</v>
      </c>
      <c r="L2101" s="7" t="n">
        <f aca="false">IF(AND(A2101&lt;&gt;A2100,LEFT(A2101,1)&lt;&gt;"C"),1,0)</f>
        <v>0</v>
      </c>
    </row>
    <row r="2102" customFormat="false" ht="15" hidden="false" customHeight="false" outlineLevel="0" collapsed="false">
      <c r="A2102" s="0" t="s">
        <v>1709</v>
      </c>
      <c r="B2102" s="0" t="s">
        <v>1738</v>
      </c>
      <c r="C2102" s="0" t="s">
        <v>1739</v>
      </c>
      <c r="D2102" s="0" t="n">
        <v>20</v>
      </c>
      <c r="E2102" s="6" t="n">
        <v>40821.4145833333</v>
      </c>
      <c r="F2102" s="0" t="n">
        <v>1.25</v>
      </c>
      <c r="G2102" s="0" t="n">
        <v>12700</v>
      </c>
      <c r="H2102" s="0" t="s">
        <v>43</v>
      </c>
      <c r="I2102" s="7" t="n">
        <f aca="false">IF(AND(LEFT(A2102,1)&lt;&gt;"C",D2102&gt;0,F2102&gt;0),1,0)</f>
        <v>1</v>
      </c>
      <c r="J2102" s="7" t="n">
        <f aca="false">IF(I2102=1,D2102*F2102,0)</f>
        <v>25</v>
      </c>
      <c r="K2102" s="7" t="n">
        <f aca="false">YEAR(E2102)*100+MONTH(E2102)</f>
        <v>201110</v>
      </c>
      <c r="L2102" s="7" t="n">
        <f aca="false">IF(AND(A2102&lt;&gt;A2101,LEFT(A2102,1)&lt;&gt;"C"),1,0)</f>
        <v>0</v>
      </c>
    </row>
    <row r="2103" customFormat="false" ht="15" hidden="false" customHeight="false" outlineLevel="0" collapsed="false">
      <c r="A2103" s="0" t="s">
        <v>1709</v>
      </c>
      <c r="B2103" s="0" t="s">
        <v>333</v>
      </c>
      <c r="C2103" s="0" t="s">
        <v>334</v>
      </c>
      <c r="D2103" s="0" t="n">
        <v>12</v>
      </c>
      <c r="E2103" s="6" t="n">
        <v>40821.4145833333</v>
      </c>
      <c r="F2103" s="0" t="n">
        <v>1.65</v>
      </c>
      <c r="G2103" s="0" t="n">
        <v>12700</v>
      </c>
      <c r="H2103" s="0" t="s">
        <v>43</v>
      </c>
      <c r="I2103" s="7" t="n">
        <f aca="false">IF(AND(LEFT(A2103,1)&lt;&gt;"C",D2103&gt;0,F2103&gt;0),1,0)</f>
        <v>1</v>
      </c>
      <c r="J2103" s="7" t="n">
        <f aca="false">IF(I2103=1,D2103*F2103,0)</f>
        <v>19.8</v>
      </c>
      <c r="K2103" s="7" t="n">
        <f aca="false">YEAR(E2103)*100+MONTH(E2103)</f>
        <v>201110</v>
      </c>
      <c r="L2103" s="7" t="n">
        <f aca="false">IF(AND(A2103&lt;&gt;A2102,LEFT(A2103,1)&lt;&gt;"C"),1,0)</f>
        <v>0</v>
      </c>
    </row>
    <row r="2104" customFormat="false" ht="15" hidden="false" customHeight="false" outlineLevel="0" collapsed="false">
      <c r="A2104" s="0" t="s">
        <v>1709</v>
      </c>
      <c r="B2104" s="0" t="s">
        <v>471</v>
      </c>
      <c r="C2104" s="0" t="s">
        <v>472</v>
      </c>
      <c r="D2104" s="0" t="n">
        <v>12</v>
      </c>
      <c r="E2104" s="6" t="n">
        <v>40821.4145833333</v>
      </c>
      <c r="F2104" s="0" t="n">
        <v>1.65</v>
      </c>
      <c r="G2104" s="0" t="n">
        <v>12700</v>
      </c>
      <c r="H2104" s="0" t="s">
        <v>43</v>
      </c>
      <c r="I2104" s="7" t="n">
        <f aca="false">IF(AND(LEFT(A2104,1)&lt;&gt;"C",D2104&gt;0,F2104&gt;0),1,0)</f>
        <v>1</v>
      </c>
      <c r="J2104" s="7" t="n">
        <f aca="false">IF(I2104=1,D2104*F2104,0)</f>
        <v>19.8</v>
      </c>
      <c r="K2104" s="7" t="n">
        <f aca="false">YEAR(E2104)*100+MONTH(E2104)</f>
        <v>201110</v>
      </c>
      <c r="L2104" s="7" t="n">
        <f aca="false">IF(AND(A2104&lt;&gt;A2103,LEFT(A2104,1)&lt;&gt;"C"),1,0)</f>
        <v>0</v>
      </c>
    </row>
    <row r="2105" customFormat="false" ht="15" hidden="false" customHeight="false" outlineLevel="0" collapsed="false">
      <c r="A2105" s="0" t="s">
        <v>1709</v>
      </c>
      <c r="B2105" s="0" t="s">
        <v>173</v>
      </c>
      <c r="C2105" s="0" t="s">
        <v>174</v>
      </c>
      <c r="D2105" s="0" t="n">
        <v>8</v>
      </c>
      <c r="E2105" s="6" t="n">
        <v>40821.4145833333</v>
      </c>
      <c r="F2105" s="0" t="n">
        <v>1.25</v>
      </c>
      <c r="G2105" s="0" t="n">
        <v>12700</v>
      </c>
      <c r="H2105" s="0" t="s">
        <v>43</v>
      </c>
      <c r="I2105" s="7" t="n">
        <f aca="false">IF(AND(LEFT(A2105,1)&lt;&gt;"C",D2105&gt;0,F2105&gt;0),1,0)</f>
        <v>1</v>
      </c>
      <c r="J2105" s="7" t="n">
        <f aca="false">IF(I2105=1,D2105*F2105,0)</f>
        <v>10</v>
      </c>
      <c r="K2105" s="7" t="n">
        <f aca="false">YEAR(E2105)*100+MONTH(E2105)</f>
        <v>201110</v>
      </c>
      <c r="L2105" s="7" t="n">
        <f aca="false">IF(AND(A2105&lt;&gt;A2104,LEFT(A2105,1)&lt;&gt;"C"),1,0)</f>
        <v>0</v>
      </c>
    </row>
    <row r="2106" customFormat="false" ht="15" hidden="false" customHeight="false" outlineLevel="0" collapsed="false">
      <c r="A2106" s="0" t="s">
        <v>1709</v>
      </c>
      <c r="B2106" s="0" t="s">
        <v>175</v>
      </c>
      <c r="C2106" s="0" t="s">
        <v>176</v>
      </c>
      <c r="D2106" s="0" t="n">
        <v>8</v>
      </c>
      <c r="E2106" s="6" t="n">
        <v>40821.4145833333</v>
      </c>
      <c r="F2106" s="0" t="n">
        <v>1.25</v>
      </c>
      <c r="G2106" s="0" t="n">
        <v>12700</v>
      </c>
      <c r="H2106" s="0" t="s">
        <v>43</v>
      </c>
      <c r="I2106" s="7" t="n">
        <f aca="false">IF(AND(LEFT(A2106,1)&lt;&gt;"C",D2106&gt;0,F2106&gt;0),1,0)</f>
        <v>1</v>
      </c>
      <c r="J2106" s="7" t="n">
        <f aca="false">IF(I2106=1,D2106*F2106,0)</f>
        <v>10</v>
      </c>
      <c r="K2106" s="7" t="n">
        <f aca="false">YEAR(E2106)*100+MONTH(E2106)</f>
        <v>201110</v>
      </c>
      <c r="L2106" s="7" t="n">
        <f aca="false">IF(AND(A2106&lt;&gt;A2105,LEFT(A2106,1)&lt;&gt;"C"),1,0)</f>
        <v>0</v>
      </c>
    </row>
    <row r="2107" customFormat="false" ht="15" hidden="false" customHeight="false" outlineLevel="0" collapsed="false">
      <c r="A2107" s="0" t="s">
        <v>1709</v>
      </c>
      <c r="B2107" s="0" t="s">
        <v>412</v>
      </c>
      <c r="C2107" s="0" t="s">
        <v>413</v>
      </c>
      <c r="D2107" s="0" t="n">
        <v>12</v>
      </c>
      <c r="E2107" s="6" t="n">
        <v>40821.4145833333</v>
      </c>
      <c r="F2107" s="0" t="n">
        <v>1.25</v>
      </c>
      <c r="G2107" s="0" t="n">
        <v>12700</v>
      </c>
      <c r="H2107" s="0" t="s">
        <v>43</v>
      </c>
      <c r="I2107" s="7" t="n">
        <f aca="false">IF(AND(LEFT(A2107,1)&lt;&gt;"C",D2107&gt;0,F2107&gt;0),1,0)</f>
        <v>1</v>
      </c>
      <c r="J2107" s="7" t="n">
        <f aca="false">IF(I2107=1,D2107*F2107,0)</f>
        <v>15</v>
      </c>
      <c r="K2107" s="7" t="n">
        <f aca="false">YEAR(E2107)*100+MONTH(E2107)</f>
        <v>201110</v>
      </c>
      <c r="L2107" s="7" t="n">
        <f aca="false">IF(AND(A2107&lt;&gt;A2106,LEFT(A2107,1)&lt;&gt;"C"),1,0)</f>
        <v>0</v>
      </c>
    </row>
    <row r="2108" customFormat="false" ht="15" hidden="false" customHeight="false" outlineLevel="0" collapsed="false">
      <c r="A2108" s="0" t="s">
        <v>1709</v>
      </c>
      <c r="B2108" s="0" t="s">
        <v>1120</v>
      </c>
      <c r="C2108" s="0" t="s">
        <v>1121</v>
      </c>
      <c r="D2108" s="0" t="n">
        <v>4</v>
      </c>
      <c r="E2108" s="6" t="n">
        <v>40821.4145833333</v>
      </c>
      <c r="F2108" s="0" t="n">
        <v>3.75</v>
      </c>
      <c r="G2108" s="0" t="n">
        <v>12700</v>
      </c>
      <c r="H2108" s="0" t="s">
        <v>43</v>
      </c>
      <c r="I2108" s="7" t="n">
        <f aca="false">IF(AND(LEFT(A2108,1)&lt;&gt;"C",D2108&gt;0,F2108&gt;0),1,0)</f>
        <v>1</v>
      </c>
      <c r="J2108" s="7" t="n">
        <f aca="false">IF(I2108=1,D2108*F2108,0)</f>
        <v>15</v>
      </c>
      <c r="K2108" s="7" t="n">
        <f aca="false">YEAR(E2108)*100+MONTH(E2108)</f>
        <v>201110</v>
      </c>
      <c r="L2108" s="7" t="n">
        <f aca="false">IF(AND(A2108&lt;&gt;A2107,LEFT(A2108,1)&lt;&gt;"C"),1,0)</f>
        <v>0</v>
      </c>
    </row>
    <row r="2109" customFormat="false" ht="15" hidden="false" customHeight="false" outlineLevel="0" collapsed="false">
      <c r="A2109" s="0" t="s">
        <v>1709</v>
      </c>
      <c r="B2109" s="0" t="s">
        <v>237</v>
      </c>
      <c r="C2109" s="0" t="s">
        <v>238</v>
      </c>
      <c r="D2109" s="0" t="n">
        <v>4</v>
      </c>
      <c r="E2109" s="6" t="n">
        <v>40821.4145833333</v>
      </c>
      <c r="F2109" s="0" t="n">
        <v>2.55</v>
      </c>
      <c r="G2109" s="0" t="n">
        <v>12700</v>
      </c>
      <c r="H2109" s="0" t="s">
        <v>43</v>
      </c>
      <c r="I2109" s="7" t="n">
        <f aca="false">IF(AND(LEFT(A2109,1)&lt;&gt;"C",D2109&gt;0,F2109&gt;0),1,0)</f>
        <v>1</v>
      </c>
      <c r="J2109" s="7" t="n">
        <f aca="false">IF(I2109=1,D2109*F2109,0)</f>
        <v>10.2</v>
      </c>
      <c r="K2109" s="7" t="n">
        <f aca="false">YEAR(E2109)*100+MONTH(E2109)</f>
        <v>201110</v>
      </c>
      <c r="L2109" s="7" t="n">
        <f aca="false">IF(AND(A2109&lt;&gt;A2108,LEFT(A2109,1)&lt;&gt;"C"),1,0)</f>
        <v>0</v>
      </c>
    </row>
    <row r="2110" customFormat="false" ht="15" hidden="false" customHeight="false" outlineLevel="0" collapsed="false">
      <c r="A2110" s="0" t="s">
        <v>1709</v>
      </c>
      <c r="B2110" s="0" t="s">
        <v>1740</v>
      </c>
      <c r="C2110" s="0" t="s">
        <v>1741</v>
      </c>
      <c r="D2110" s="0" t="n">
        <v>16</v>
      </c>
      <c r="E2110" s="6" t="n">
        <v>40821.4145833333</v>
      </c>
      <c r="F2110" s="0" t="n">
        <v>0.42</v>
      </c>
      <c r="G2110" s="0" t="n">
        <v>12700</v>
      </c>
      <c r="H2110" s="0" t="s">
        <v>43</v>
      </c>
      <c r="I2110" s="7" t="n">
        <f aca="false">IF(AND(LEFT(A2110,1)&lt;&gt;"C",D2110&gt;0,F2110&gt;0),1,0)</f>
        <v>1</v>
      </c>
      <c r="J2110" s="7" t="n">
        <f aca="false">IF(I2110=1,D2110*F2110,0)</f>
        <v>6.72</v>
      </c>
      <c r="K2110" s="7" t="n">
        <f aca="false">YEAR(E2110)*100+MONTH(E2110)</f>
        <v>201110</v>
      </c>
      <c r="L2110" s="7" t="n">
        <f aca="false">IF(AND(A2110&lt;&gt;A2109,LEFT(A2110,1)&lt;&gt;"C"),1,0)</f>
        <v>0</v>
      </c>
    </row>
    <row r="2111" customFormat="false" ht="15" hidden="false" customHeight="false" outlineLevel="0" collapsed="false">
      <c r="A2111" s="0" t="s">
        <v>1709</v>
      </c>
      <c r="B2111" s="0" t="s">
        <v>318</v>
      </c>
      <c r="C2111" s="0" t="s">
        <v>319</v>
      </c>
      <c r="D2111" s="0" t="n">
        <v>4</v>
      </c>
      <c r="E2111" s="6" t="n">
        <v>40821.4145833333</v>
      </c>
      <c r="F2111" s="0" t="n">
        <v>3.75</v>
      </c>
      <c r="G2111" s="0" t="n">
        <v>12700</v>
      </c>
      <c r="H2111" s="0" t="s">
        <v>43</v>
      </c>
      <c r="I2111" s="7" t="n">
        <f aca="false">IF(AND(LEFT(A2111,1)&lt;&gt;"C",D2111&gt;0,F2111&gt;0),1,0)</f>
        <v>1</v>
      </c>
      <c r="J2111" s="7" t="n">
        <f aca="false">IF(I2111=1,D2111*F2111,0)</f>
        <v>15</v>
      </c>
      <c r="K2111" s="7" t="n">
        <f aca="false">YEAR(E2111)*100+MONTH(E2111)</f>
        <v>201110</v>
      </c>
      <c r="L2111" s="7" t="n">
        <f aca="false">IF(AND(A2111&lt;&gt;A2110,LEFT(A2111,1)&lt;&gt;"C"),1,0)</f>
        <v>0</v>
      </c>
    </row>
    <row r="2112" customFormat="false" ht="15" hidden="false" customHeight="false" outlineLevel="0" collapsed="false">
      <c r="A2112" s="0" t="s">
        <v>1709</v>
      </c>
      <c r="B2112" s="0" t="s">
        <v>74</v>
      </c>
      <c r="C2112" s="0" t="s">
        <v>75</v>
      </c>
      <c r="D2112" s="0" t="n">
        <v>12</v>
      </c>
      <c r="E2112" s="6" t="n">
        <v>40821.4145833333</v>
      </c>
      <c r="F2112" s="0" t="n">
        <v>1.95</v>
      </c>
      <c r="G2112" s="0" t="n">
        <v>12700</v>
      </c>
      <c r="H2112" s="0" t="s">
        <v>43</v>
      </c>
      <c r="I2112" s="7" t="n">
        <f aca="false">IF(AND(LEFT(A2112,1)&lt;&gt;"C",D2112&gt;0,F2112&gt;0),1,0)</f>
        <v>1</v>
      </c>
      <c r="J2112" s="7" t="n">
        <f aca="false">IF(I2112=1,D2112*F2112,0)</f>
        <v>23.4</v>
      </c>
      <c r="K2112" s="7" t="n">
        <f aca="false">YEAR(E2112)*100+MONTH(E2112)</f>
        <v>201110</v>
      </c>
      <c r="L2112" s="7" t="n">
        <f aca="false">IF(AND(A2112&lt;&gt;A2111,LEFT(A2112,1)&lt;&gt;"C"),1,0)</f>
        <v>0</v>
      </c>
    </row>
    <row r="2113" customFormat="false" ht="15" hidden="false" customHeight="false" outlineLevel="0" collapsed="false">
      <c r="A2113" s="0" t="s">
        <v>1709</v>
      </c>
      <c r="B2113" s="0" t="s">
        <v>72</v>
      </c>
      <c r="C2113" s="0" t="s">
        <v>73</v>
      </c>
      <c r="D2113" s="0" t="n">
        <v>12</v>
      </c>
      <c r="E2113" s="6" t="n">
        <v>40821.4145833333</v>
      </c>
      <c r="F2113" s="0" t="n">
        <v>1.95</v>
      </c>
      <c r="G2113" s="0" t="n">
        <v>12700</v>
      </c>
      <c r="H2113" s="0" t="s">
        <v>43</v>
      </c>
      <c r="I2113" s="7" t="n">
        <f aca="false">IF(AND(LEFT(A2113,1)&lt;&gt;"C",D2113&gt;0,F2113&gt;0),1,0)</f>
        <v>1</v>
      </c>
      <c r="J2113" s="7" t="n">
        <f aca="false">IF(I2113=1,D2113*F2113,0)</f>
        <v>23.4</v>
      </c>
      <c r="K2113" s="7" t="n">
        <f aca="false">YEAR(E2113)*100+MONTH(E2113)</f>
        <v>201110</v>
      </c>
      <c r="L2113" s="7" t="n">
        <f aca="false">IF(AND(A2113&lt;&gt;A2112,LEFT(A2113,1)&lt;&gt;"C"),1,0)</f>
        <v>0</v>
      </c>
    </row>
    <row r="2114" customFormat="false" ht="15" hidden="false" customHeight="false" outlineLevel="0" collapsed="false">
      <c r="A2114" s="0" t="s">
        <v>1709</v>
      </c>
      <c r="B2114" s="0" t="s">
        <v>557</v>
      </c>
      <c r="C2114" s="0" t="s">
        <v>558</v>
      </c>
      <c r="D2114" s="0" t="n">
        <v>12</v>
      </c>
      <c r="E2114" s="6" t="n">
        <v>40821.4145833333</v>
      </c>
      <c r="F2114" s="0" t="n">
        <v>1.95</v>
      </c>
      <c r="G2114" s="0" t="n">
        <v>12700</v>
      </c>
      <c r="H2114" s="0" t="s">
        <v>43</v>
      </c>
      <c r="I2114" s="7" t="n">
        <f aca="false">IF(AND(LEFT(A2114,1)&lt;&gt;"C",D2114&gt;0,F2114&gt;0),1,0)</f>
        <v>1</v>
      </c>
      <c r="J2114" s="7" t="n">
        <f aca="false">IF(I2114=1,D2114*F2114,0)</f>
        <v>23.4</v>
      </c>
      <c r="K2114" s="7" t="n">
        <f aca="false">YEAR(E2114)*100+MONTH(E2114)</f>
        <v>201110</v>
      </c>
      <c r="L2114" s="7" t="n">
        <f aca="false">IF(AND(A2114&lt;&gt;A2113,LEFT(A2114,1)&lt;&gt;"C"),1,0)</f>
        <v>0</v>
      </c>
    </row>
    <row r="2115" customFormat="false" ht="15" hidden="false" customHeight="false" outlineLevel="0" collapsed="false">
      <c r="A2115" s="0" t="s">
        <v>1709</v>
      </c>
      <c r="B2115" s="0" t="s">
        <v>159</v>
      </c>
      <c r="C2115" s="0" t="s">
        <v>160</v>
      </c>
      <c r="D2115" s="0" t="n">
        <v>6</v>
      </c>
      <c r="E2115" s="6" t="n">
        <v>40821.4145833333</v>
      </c>
      <c r="F2115" s="0" t="n">
        <v>2.55</v>
      </c>
      <c r="G2115" s="0" t="n">
        <v>12700</v>
      </c>
      <c r="H2115" s="0" t="s">
        <v>43</v>
      </c>
      <c r="I2115" s="7" t="n">
        <f aca="false">IF(AND(LEFT(A2115,1)&lt;&gt;"C",D2115&gt;0,F2115&gt;0),1,0)</f>
        <v>1</v>
      </c>
      <c r="J2115" s="7" t="n">
        <f aca="false">IF(I2115=1,D2115*F2115,0)</f>
        <v>15.3</v>
      </c>
      <c r="K2115" s="7" t="n">
        <f aca="false">YEAR(E2115)*100+MONTH(E2115)</f>
        <v>201110</v>
      </c>
      <c r="L2115" s="7" t="n">
        <f aca="false">IF(AND(A2115&lt;&gt;A2114,LEFT(A2115,1)&lt;&gt;"C"),1,0)</f>
        <v>0</v>
      </c>
    </row>
    <row r="2116" customFormat="false" ht="15" hidden="false" customHeight="false" outlineLevel="0" collapsed="false">
      <c r="A2116" s="0" t="s">
        <v>1709</v>
      </c>
      <c r="B2116" s="0" t="s">
        <v>60</v>
      </c>
      <c r="C2116" s="0" t="s">
        <v>61</v>
      </c>
      <c r="D2116" s="0" t="n">
        <v>6</v>
      </c>
      <c r="E2116" s="6" t="n">
        <v>40821.4145833333</v>
      </c>
      <c r="F2116" s="0" t="n">
        <v>2.55</v>
      </c>
      <c r="G2116" s="0" t="n">
        <v>12700</v>
      </c>
      <c r="H2116" s="0" t="s">
        <v>43</v>
      </c>
      <c r="I2116" s="7" t="n">
        <f aca="false">IF(AND(LEFT(A2116,1)&lt;&gt;"C",D2116&gt;0,F2116&gt;0),1,0)</f>
        <v>1</v>
      </c>
      <c r="J2116" s="7" t="n">
        <f aca="false">IF(I2116=1,D2116*F2116,0)</f>
        <v>15.3</v>
      </c>
      <c r="K2116" s="7" t="n">
        <f aca="false">YEAR(E2116)*100+MONTH(E2116)</f>
        <v>201110</v>
      </c>
      <c r="L2116" s="7" t="n">
        <f aca="false">IF(AND(A2116&lt;&gt;A2115,LEFT(A2116,1)&lt;&gt;"C"),1,0)</f>
        <v>0</v>
      </c>
    </row>
    <row r="2117" customFormat="false" ht="15" hidden="false" customHeight="false" outlineLevel="0" collapsed="false">
      <c r="A2117" s="0" t="s">
        <v>1709</v>
      </c>
      <c r="B2117" s="0" t="s">
        <v>1177</v>
      </c>
      <c r="C2117" s="0" t="s">
        <v>1178</v>
      </c>
      <c r="D2117" s="0" t="n">
        <v>6</v>
      </c>
      <c r="E2117" s="6" t="n">
        <v>40821.4145833333</v>
      </c>
      <c r="F2117" s="0" t="n">
        <v>2.55</v>
      </c>
      <c r="G2117" s="0" t="n">
        <v>12700</v>
      </c>
      <c r="H2117" s="0" t="s">
        <v>43</v>
      </c>
      <c r="I2117" s="7" t="n">
        <f aca="false">IF(AND(LEFT(A2117,1)&lt;&gt;"C",D2117&gt;0,F2117&gt;0),1,0)</f>
        <v>1</v>
      </c>
      <c r="J2117" s="7" t="n">
        <f aca="false">IF(I2117=1,D2117*F2117,0)</f>
        <v>15.3</v>
      </c>
      <c r="K2117" s="7" t="n">
        <f aca="false">YEAR(E2117)*100+MONTH(E2117)</f>
        <v>201110</v>
      </c>
      <c r="L2117" s="7" t="n">
        <f aca="false">IF(AND(A2117&lt;&gt;A2116,LEFT(A2117,1)&lt;&gt;"C"),1,0)</f>
        <v>0</v>
      </c>
    </row>
    <row r="2118" customFormat="false" ht="15" hidden="false" customHeight="false" outlineLevel="0" collapsed="false">
      <c r="A2118" s="0" t="s">
        <v>1709</v>
      </c>
      <c r="B2118" s="0" t="s">
        <v>1742</v>
      </c>
      <c r="C2118" s="0" t="s">
        <v>1743</v>
      </c>
      <c r="D2118" s="0" t="n">
        <v>16</v>
      </c>
      <c r="E2118" s="6" t="n">
        <v>40821.4145833333</v>
      </c>
      <c r="F2118" s="0" t="n">
        <v>0.42</v>
      </c>
      <c r="G2118" s="0" t="n">
        <v>12700</v>
      </c>
      <c r="H2118" s="0" t="s">
        <v>43</v>
      </c>
      <c r="I2118" s="7" t="n">
        <f aca="false">IF(AND(LEFT(A2118,1)&lt;&gt;"C",D2118&gt;0,F2118&gt;0),1,0)</f>
        <v>1</v>
      </c>
      <c r="J2118" s="7" t="n">
        <f aca="false">IF(I2118=1,D2118*F2118,0)</f>
        <v>6.72</v>
      </c>
      <c r="K2118" s="7" t="n">
        <f aca="false">YEAR(E2118)*100+MONTH(E2118)</f>
        <v>201110</v>
      </c>
      <c r="L2118" s="7" t="n">
        <f aca="false">IF(AND(A2118&lt;&gt;A2117,LEFT(A2118,1)&lt;&gt;"C"),1,0)</f>
        <v>0</v>
      </c>
    </row>
    <row r="2119" customFormat="false" ht="15" hidden="false" customHeight="false" outlineLevel="0" collapsed="false">
      <c r="A2119" s="0" t="s">
        <v>1709</v>
      </c>
      <c r="B2119" s="0" t="s">
        <v>297</v>
      </c>
      <c r="C2119" s="0" t="s">
        <v>298</v>
      </c>
      <c r="D2119" s="0" t="n">
        <v>8</v>
      </c>
      <c r="E2119" s="6" t="n">
        <v>40821.4145833333</v>
      </c>
      <c r="F2119" s="0" t="n">
        <v>3.75</v>
      </c>
      <c r="G2119" s="0" t="n">
        <v>12700</v>
      </c>
      <c r="H2119" s="0" t="s">
        <v>43</v>
      </c>
      <c r="I2119" s="7" t="n">
        <f aca="false">IF(AND(LEFT(A2119,1)&lt;&gt;"C",D2119&gt;0,F2119&gt;0),1,0)</f>
        <v>1</v>
      </c>
      <c r="J2119" s="7" t="n">
        <f aca="false">IF(I2119=1,D2119*F2119,0)</f>
        <v>30</v>
      </c>
      <c r="K2119" s="7" t="n">
        <f aca="false">YEAR(E2119)*100+MONTH(E2119)</f>
        <v>201110</v>
      </c>
      <c r="L2119" s="7" t="n">
        <f aca="false">IF(AND(A2119&lt;&gt;A2118,LEFT(A2119,1)&lt;&gt;"C"),1,0)</f>
        <v>0</v>
      </c>
    </row>
    <row r="2120" customFormat="false" ht="15" hidden="false" customHeight="false" outlineLevel="0" collapsed="false">
      <c r="A2120" s="0" t="s">
        <v>1709</v>
      </c>
      <c r="B2120" s="0" t="s">
        <v>58</v>
      </c>
      <c r="C2120" s="0" t="s">
        <v>59</v>
      </c>
      <c r="D2120" s="0" t="n">
        <v>6</v>
      </c>
      <c r="E2120" s="6" t="n">
        <v>40821.4145833333</v>
      </c>
      <c r="F2120" s="0" t="n">
        <v>2.55</v>
      </c>
      <c r="G2120" s="0" t="n">
        <v>12700</v>
      </c>
      <c r="H2120" s="0" t="s">
        <v>43</v>
      </c>
      <c r="I2120" s="7" t="n">
        <f aca="false">IF(AND(LEFT(A2120,1)&lt;&gt;"C",D2120&gt;0,F2120&gt;0),1,0)</f>
        <v>1</v>
      </c>
      <c r="J2120" s="7" t="n">
        <f aca="false">IF(I2120=1,D2120*F2120,0)</f>
        <v>15.3</v>
      </c>
      <c r="K2120" s="7" t="n">
        <f aca="false">YEAR(E2120)*100+MONTH(E2120)</f>
        <v>201110</v>
      </c>
      <c r="L2120" s="7" t="n">
        <f aca="false">IF(AND(A2120&lt;&gt;A2119,LEFT(A2120,1)&lt;&gt;"C"),1,0)</f>
        <v>0</v>
      </c>
    </row>
    <row r="2121" customFormat="false" ht="15" hidden="false" customHeight="false" outlineLevel="0" collapsed="false">
      <c r="A2121" s="0" t="s">
        <v>1709</v>
      </c>
      <c r="B2121" s="0" t="s">
        <v>1744</v>
      </c>
      <c r="C2121" s="0" t="s">
        <v>1745</v>
      </c>
      <c r="D2121" s="0" t="n">
        <v>10</v>
      </c>
      <c r="E2121" s="6" t="n">
        <v>40821.4145833333</v>
      </c>
      <c r="F2121" s="0" t="n">
        <v>0.85</v>
      </c>
      <c r="G2121" s="0" t="n">
        <v>12700</v>
      </c>
      <c r="H2121" s="0" t="s">
        <v>43</v>
      </c>
      <c r="I2121" s="7" t="n">
        <f aca="false">IF(AND(LEFT(A2121,1)&lt;&gt;"C",D2121&gt;0,F2121&gt;0),1,0)</f>
        <v>1</v>
      </c>
      <c r="J2121" s="7" t="n">
        <f aca="false">IF(I2121=1,D2121*F2121,0)</f>
        <v>8.5</v>
      </c>
      <c r="K2121" s="7" t="n">
        <f aca="false">YEAR(E2121)*100+MONTH(E2121)</f>
        <v>201110</v>
      </c>
      <c r="L2121" s="7" t="n">
        <f aca="false">IF(AND(A2121&lt;&gt;A2120,LEFT(A2121,1)&lt;&gt;"C"),1,0)</f>
        <v>0</v>
      </c>
    </row>
    <row r="2122" customFormat="false" ht="15" hidden="false" customHeight="false" outlineLevel="0" collapsed="false">
      <c r="A2122" s="0" t="s">
        <v>1709</v>
      </c>
      <c r="B2122" s="0" t="s">
        <v>295</v>
      </c>
      <c r="C2122" s="0" t="s">
        <v>296</v>
      </c>
      <c r="D2122" s="0" t="n">
        <v>4</v>
      </c>
      <c r="E2122" s="6" t="n">
        <v>40821.4145833333</v>
      </c>
      <c r="F2122" s="0" t="n">
        <v>3.75</v>
      </c>
      <c r="G2122" s="0" t="n">
        <v>12700</v>
      </c>
      <c r="H2122" s="0" t="s">
        <v>43</v>
      </c>
      <c r="I2122" s="7" t="n">
        <f aca="false">IF(AND(LEFT(A2122,1)&lt;&gt;"C",D2122&gt;0,F2122&gt;0),1,0)</f>
        <v>1</v>
      </c>
      <c r="J2122" s="7" t="n">
        <f aca="false">IF(I2122=1,D2122*F2122,0)</f>
        <v>15</v>
      </c>
      <c r="K2122" s="7" t="n">
        <f aca="false">YEAR(E2122)*100+MONTH(E2122)</f>
        <v>201110</v>
      </c>
      <c r="L2122" s="7" t="n">
        <f aca="false">IF(AND(A2122&lt;&gt;A2121,LEFT(A2122,1)&lt;&gt;"C"),1,0)</f>
        <v>0</v>
      </c>
    </row>
    <row r="2123" customFormat="false" ht="15" hidden="false" customHeight="false" outlineLevel="0" collapsed="false">
      <c r="A2123" s="0" t="s">
        <v>1709</v>
      </c>
      <c r="B2123" s="0" t="s">
        <v>783</v>
      </c>
      <c r="C2123" s="0" t="s">
        <v>784</v>
      </c>
      <c r="D2123" s="0" t="n">
        <v>6</v>
      </c>
      <c r="E2123" s="6" t="n">
        <v>40821.4145833333</v>
      </c>
      <c r="F2123" s="0" t="n">
        <v>2.1</v>
      </c>
      <c r="G2123" s="0" t="n">
        <v>12700</v>
      </c>
      <c r="H2123" s="0" t="s">
        <v>43</v>
      </c>
      <c r="I2123" s="7" t="n">
        <f aca="false">IF(AND(LEFT(A2123,1)&lt;&gt;"C",D2123&gt;0,F2123&gt;0),1,0)</f>
        <v>1</v>
      </c>
      <c r="J2123" s="7" t="n">
        <f aca="false">IF(I2123=1,D2123*F2123,0)</f>
        <v>12.6</v>
      </c>
      <c r="K2123" s="7" t="n">
        <f aca="false">YEAR(E2123)*100+MONTH(E2123)</f>
        <v>201110</v>
      </c>
      <c r="L2123" s="7" t="n">
        <f aca="false">IF(AND(A2123&lt;&gt;A2122,LEFT(A2123,1)&lt;&gt;"C"),1,0)</f>
        <v>0</v>
      </c>
    </row>
    <row r="2124" customFormat="false" ht="15" hidden="false" customHeight="false" outlineLevel="0" collapsed="false">
      <c r="A2124" s="0" t="s">
        <v>1709</v>
      </c>
      <c r="B2124" s="0" t="s">
        <v>84</v>
      </c>
      <c r="C2124" s="0" t="s">
        <v>85</v>
      </c>
      <c r="D2124" s="0" t="n">
        <v>5</v>
      </c>
      <c r="E2124" s="6" t="n">
        <v>40821.4145833333</v>
      </c>
      <c r="F2124" s="0" t="n">
        <v>18</v>
      </c>
      <c r="G2124" s="0" t="n">
        <v>12700</v>
      </c>
      <c r="H2124" s="0" t="s">
        <v>43</v>
      </c>
      <c r="I2124" s="7" t="n">
        <f aca="false">IF(AND(LEFT(A2124,1)&lt;&gt;"C",D2124&gt;0,F2124&gt;0),1,0)</f>
        <v>1</v>
      </c>
      <c r="J2124" s="7" t="n">
        <f aca="false">IF(I2124=1,D2124*F2124,0)</f>
        <v>90</v>
      </c>
      <c r="K2124" s="7" t="n">
        <f aca="false">YEAR(E2124)*100+MONTH(E2124)</f>
        <v>201110</v>
      </c>
      <c r="L2124" s="7" t="n">
        <f aca="false">IF(AND(A2124&lt;&gt;A2123,LEFT(A2124,1)&lt;&gt;"C"),1,0)</f>
        <v>0</v>
      </c>
    </row>
    <row r="2125" customFormat="false" ht="15" hidden="false" customHeight="false" outlineLevel="0" collapsed="false">
      <c r="A2125" s="0" t="s">
        <v>1746</v>
      </c>
      <c r="B2125" s="0" t="s">
        <v>84</v>
      </c>
      <c r="C2125" s="0" t="s">
        <v>85</v>
      </c>
      <c r="D2125" s="0" t="n">
        <v>1</v>
      </c>
      <c r="E2125" s="6" t="n">
        <v>40821.5166666667</v>
      </c>
      <c r="F2125" s="0" t="n">
        <v>240</v>
      </c>
      <c r="G2125" s="0" t="n">
        <v>12471</v>
      </c>
      <c r="H2125" s="0" t="s">
        <v>33</v>
      </c>
      <c r="I2125" s="7" t="n">
        <f aca="false">IF(AND(LEFT(A2125,1)&lt;&gt;"C",D2125&gt;0,F2125&gt;0),1,0)</f>
        <v>1</v>
      </c>
      <c r="J2125" s="7" t="n">
        <f aca="false">IF(I2125=1,D2125*F2125,0)</f>
        <v>240</v>
      </c>
      <c r="K2125" s="7" t="n">
        <f aca="false">YEAR(E2125)*100+MONTH(E2125)</f>
        <v>201110</v>
      </c>
      <c r="L2125" s="7" t="n">
        <f aca="false">IF(AND(A2125&lt;&gt;A2124,LEFT(A2125,1)&lt;&gt;"C"),1,0)</f>
        <v>1</v>
      </c>
    </row>
    <row r="2126" customFormat="false" ht="15" hidden="false" customHeight="false" outlineLevel="0" collapsed="false">
      <c r="A2126" s="0" t="s">
        <v>1747</v>
      </c>
      <c r="B2126" s="0" t="s">
        <v>144</v>
      </c>
      <c r="C2126" s="0" t="s">
        <v>145</v>
      </c>
      <c r="D2126" s="0" t="n">
        <v>60</v>
      </c>
      <c r="E2126" s="6" t="n">
        <v>40821.5173611111</v>
      </c>
      <c r="F2126" s="0" t="n">
        <v>1.25</v>
      </c>
      <c r="G2126" s="0" t="n">
        <v>12471</v>
      </c>
      <c r="H2126" s="0" t="s">
        <v>33</v>
      </c>
      <c r="I2126" s="7" t="n">
        <f aca="false">IF(AND(LEFT(A2126,1)&lt;&gt;"C",D2126&gt;0,F2126&gt;0),1,0)</f>
        <v>1</v>
      </c>
      <c r="J2126" s="7" t="n">
        <f aca="false">IF(I2126=1,D2126*F2126,0)</f>
        <v>75</v>
      </c>
      <c r="K2126" s="7" t="n">
        <f aca="false">YEAR(E2126)*100+MONTH(E2126)</f>
        <v>201110</v>
      </c>
      <c r="L2126" s="7" t="n">
        <f aca="false">IF(AND(A2126&lt;&gt;A2125,LEFT(A2126,1)&lt;&gt;"C"),1,0)</f>
        <v>1</v>
      </c>
    </row>
    <row r="2127" customFormat="false" ht="15" hidden="false" customHeight="false" outlineLevel="0" collapsed="false">
      <c r="A2127" s="0" t="s">
        <v>1747</v>
      </c>
      <c r="B2127" s="0" t="s">
        <v>64</v>
      </c>
      <c r="C2127" s="0" t="s">
        <v>65</v>
      </c>
      <c r="D2127" s="0" t="n">
        <v>12</v>
      </c>
      <c r="E2127" s="6" t="n">
        <v>40821.5173611111</v>
      </c>
      <c r="F2127" s="0" t="n">
        <v>1.65</v>
      </c>
      <c r="G2127" s="0" t="n">
        <v>12471</v>
      </c>
      <c r="H2127" s="0" t="s">
        <v>33</v>
      </c>
      <c r="I2127" s="7" t="n">
        <f aca="false">IF(AND(LEFT(A2127,1)&lt;&gt;"C",D2127&gt;0,F2127&gt;0),1,0)</f>
        <v>1</v>
      </c>
      <c r="J2127" s="7" t="n">
        <f aca="false">IF(I2127=1,D2127*F2127,0)</f>
        <v>19.8</v>
      </c>
      <c r="K2127" s="7" t="n">
        <f aca="false">YEAR(E2127)*100+MONTH(E2127)</f>
        <v>201110</v>
      </c>
      <c r="L2127" s="7" t="n">
        <f aca="false">IF(AND(A2127&lt;&gt;A2126,LEFT(A2127,1)&lt;&gt;"C"),1,0)</f>
        <v>0</v>
      </c>
    </row>
    <row r="2128" customFormat="false" ht="15" hidden="false" customHeight="false" outlineLevel="0" collapsed="false">
      <c r="A2128" s="0" t="s">
        <v>1747</v>
      </c>
      <c r="B2128" s="0" t="s">
        <v>943</v>
      </c>
      <c r="C2128" s="0" t="s">
        <v>944</v>
      </c>
      <c r="D2128" s="0" t="n">
        <v>48</v>
      </c>
      <c r="E2128" s="6" t="n">
        <v>40821.5173611111</v>
      </c>
      <c r="F2128" s="0" t="n">
        <v>1.95</v>
      </c>
      <c r="G2128" s="0" t="n">
        <v>12471</v>
      </c>
      <c r="H2128" s="0" t="s">
        <v>33</v>
      </c>
      <c r="I2128" s="7" t="n">
        <f aca="false">IF(AND(LEFT(A2128,1)&lt;&gt;"C",D2128&gt;0,F2128&gt;0),1,0)</f>
        <v>1</v>
      </c>
      <c r="J2128" s="7" t="n">
        <f aca="false">IF(I2128=1,D2128*F2128,0)</f>
        <v>93.6</v>
      </c>
      <c r="K2128" s="7" t="n">
        <f aca="false">YEAR(E2128)*100+MONTH(E2128)</f>
        <v>201110</v>
      </c>
      <c r="L2128" s="7" t="n">
        <f aca="false">IF(AND(A2128&lt;&gt;A2127,LEFT(A2128,1)&lt;&gt;"C"),1,0)</f>
        <v>0</v>
      </c>
    </row>
    <row r="2129" customFormat="false" ht="15" hidden="false" customHeight="false" outlineLevel="0" collapsed="false">
      <c r="A2129" s="0" t="s">
        <v>1747</v>
      </c>
      <c r="B2129" s="0" t="s">
        <v>148</v>
      </c>
      <c r="C2129" s="0" t="s">
        <v>149</v>
      </c>
      <c r="D2129" s="0" t="n">
        <v>80</v>
      </c>
      <c r="E2129" s="6" t="n">
        <v>40821.5173611111</v>
      </c>
      <c r="F2129" s="0" t="n">
        <v>10.95</v>
      </c>
      <c r="G2129" s="0" t="n">
        <v>12471</v>
      </c>
      <c r="H2129" s="0" t="s">
        <v>33</v>
      </c>
      <c r="I2129" s="7" t="n">
        <f aca="false">IF(AND(LEFT(A2129,1)&lt;&gt;"C",D2129&gt;0,F2129&gt;0),1,0)</f>
        <v>1</v>
      </c>
      <c r="J2129" s="7" t="n">
        <f aca="false">IF(I2129=1,D2129*F2129,0)</f>
        <v>876</v>
      </c>
      <c r="K2129" s="7" t="n">
        <f aca="false">YEAR(E2129)*100+MONTH(E2129)</f>
        <v>201110</v>
      </c>
      <c r="L2129" s="7" t="n">
        <f aca="false">IF(AND(A2129&lt;&gt;A2128,LEFT(A2129,1)&lt;&gt;"C"),1,0)</f>
        <v>0</v>
      </c>
    </row>
    <row r="2130" customFormat="false" ht="15" hidden="false" customHeight="false" outlineLevel="0" collapsed="false">
      <c r="A2130" s="0" t="s">
        <v>1747</v>
      </c>
      <c r="B2130" s="0" t="s">
        <v>335</v>
      </c>
      <c r="C2130" s="0" t="s">
        <v>336</v>
      </c>
      <c r="D2130" s="0" t="n">
        <v>24</v>
      </c>
      <c r="E2130" s="6" t="n">
        <v>40821.5173611111</v>
      </c>
      <c r="F2130" s="0" t="n">
        <v>1.65</v>
      </c>
      <c r="G2130" s="0" t="n">
        <v>12471</v>
      </c>
      <c r="H2130" s="0" t="s">
        <v>33</v>
      </c>
      <c r="I2130" s="7" t="n">
        <f aca="false">IF(AND(LEFT(A2130,1)&lt;&gt;"C",D2130&gt;0,F2130&gt;0),1,0)</f>
        <v>1</v>
      </c>
      <c r="J2130" s="7" t="n">
        <f aca="false">IF(I2130=1,D2130*F2130,0)</f>
        <v>39.6</v>
      </c>
      <c r="K2130" s="7" t="n">
        <f aca="false">YEAR(E2130)*100+MONTH(E2130)</f>
        <v>201110</v>
      </c>
      <c r="L2130" s="7" t="n">
        <f aca="false">IF(AND(A2130&lt;&gt;A2129,LEFT(A2130,1)&lt;&gt;"C"),1,0)</f>
        <v>0</v>
      </c>
    </row>
    <row r="2131" customFormat="false" ht="15" hidden="false" customHeight="false" outlineLevel="0" collapsed="false">
      <c r="A2131" s="0" t="s">
        <v>1747</v>
      </c>
      <c r="B2131" s="0" t="s">
        <v>1364</v>
      </c>
      <c r="C2131" s="0" t="s">
        <v>1365</v>
      </c>
      <c r="D2131" s="0" t="n">
        <v>36</v>
      </c>
      <c r="E2131" s="6" t="n">
        <v>40821.5173611111</v>
      </c>
      <c r="F2131" s="0" t="n">
        <v>1.95</v>
      </c>
      <c r="G2131" s="0" t="n">
        <v>12471</v>
      </c>
      <c r="H2131" s="0" t="s">
        <v>33</v>
      </c>
      <c r="I2131" s="7" t="n">
        <f aca="false">IF(AND(LEFT(A2131,1)&lt;&gt;"C",D2131&gt;0,F2131&gt;0),1,0)</f>
        <v>1</v>
      </c>
      <c r="J2131" s="7" t="n">
        <f aca="false">IF(I2131=1,D2131*F2131,0)</f>
        <v>70.2</v>
      </c>
      <c r="K2131" s="7" t="n">
        <f aca="false">YEAR(E2131)*100+MONTH(E2131)</f>
        <v>201110</v>
      </c>
      <c r="L2131" s="7" t="n">
        <f aca="false">IF(AND(A2131&lt;&gt;A2130,LEFT(A2131,1)&lt;&gt;"C"),1,0)</f>
        <v>0</v>
      </c>
    </row>
    <row r="2132" customFormat="false" ht="15" hidden="false" customHeight="false" outlineLevel="0" collapsed="false">
      <c r="A2132" s="0" t="s">
        <v>1747</v>
      </c>
      <c r="B2132" s="0" t="s">
        <v>320</v>
      </c>
      <c r="C2132" s="0" t="s">
        <v>321</v>
      </c>
      <c r="D2132" s="0" t="n">
        <v>24</v>
      </c>
      <c r="E2132" s="6" t="n">
        <v>40821.5173611111</v>
      </c>
      <c r="F2132" s="0" t="n">
        <v>3.75</v>
      </c>
      <c r="G2132" s="0" t="n">
        <v>12471</v>
      </c>
      <c r="H2132" s="0" t="s">
        <v>33</v>
      </c>
      <c r="I2132" s="7" t="n">
        <f aca="false">IF(AND(LEFT(A2132,1)&lt;&gt;"C",D2132&gt;0,F2132&gt;0),1,0)</f>
        <v>1</v>
      </c>
      <c r="J2132" s="7" t="n">
        <f aca="false">IF(I2132=1,D2132*F2132,0)</f>
        <v>90</v>
      </c>
      <c r="K2132" s="7" t="n">
        <f aca="false">YEAR(E2132)*100+MONTH(E2132)</f>
        <v>201110</v>
      </c>
      <c r="L2132" s="7" t="n">
        <f aca="false">IF(AND(A2132&lt;&gt;A2131,LEFT(A2132,1)&lt;&gt;"C"),1,0)</f>
        <v>0</v>
      </c>
    </row>
    <row r="2133" customFormat="false" ht="15" hidden="false" customHeight="false" outlineLevel="0" collapsed="false">
      <c r="A2133" s="0" t="s">
        <v>1747</v>
      </c>
      <c r="B2133" s="0" t="s">
        <v>1366</v>
      </c>
      <c r="C2133" s="0" t="s">
        <v>1367</v>
      </c>
      <c r="D2133" s="0" t="n">
        <v>96</v>
      </c>
      <c r="E2133" s="6" t="n">
        <v>40821.5173611111</v>
      </c>
      <c r="F2133" s="0" t="n">
        <v>0.85</v>
      </c>
      <c r="G2133" s="0" t="n">
        <v>12471</v>
      </c>
      <c r="H2133" s="0" t="s">
        <v>33</v>
      </c>
      <c r="I2133" s="7" t="n">
        <f aca="false">IF(AND(LEFT(A2133,1)&lt;&gt;"C",D2133&gt;0,F2133&gt;0),1,0)</f>
        <v>1</v>
      </c>
      <c r="J2133" s="7" t="n">
        <f aca="false">IF(I2133=1,D2133*F2133,0)</f>
        <v>81.6</v>
      </c>
      <c r="K2133" s="7" t="n">
        <f aca="false">YEAR(E2133)*100+MONTH(E2133)</f>
        <v>201110</v>
      </c>
      <c r="L2133" s="7" t="n">
        <f aca="false">IF(AND(A2133&lt;&gt;A2132,LEFT(A2133,1)&lt;&gt;"C"),1,0)</f>
        <v>0</v>
      </c>
    </row>
    <row r="2134" customFormat="false" ht="15" hidden="false" customHeight="false" outlineLevel="0" collapsed="false">
      <c r="A2134" s="0" t="s">
        <v>1747</v>
      </c>
      <c r="B2134" s="0" t="s">
        <v>594</v>
      </c>
      <c r="C2134" s="0" t="s">
        <v>595</v>
      </c>
      <c r="D2134" s="0" t="n">
        <v>24</v>
      </c>
      <c r="E2134" s="6" t="n">
        <v>40821.5173611111</v>
      </c>
      <c r="F2134" s="0" t="n">
        <v>2.08</v>
      </c>
      <c r="G2134" s="0" t="n">
        <v>12471</v>
      </c>
      <c r="H2134" s="0" t="s">
        <v>33</v>
      </c>
      <c r="I2134" s="7" t="n">
        <f aca="false">IF(AND(LEFT(A2134,1)&lt;&gt;"C",D2134&gt;0,F2134&gt;0),1,0)</f>
        <v>1</v>
      </c>
      <c r="J2134" s="7" t="n">
        <f aca="false">IF(I2134=1,D2134*F2134,0)</f>
        <v>49.92</v>
      </c>
      <c r="K2134" s="7" t="n">
        <f aca="false">YEAR(E2134)*100+MONTH(E2134)</f>
        <v>201110</v>
      </c>
      <c r="L2134" s="7" t="n">
        <f aca="false">IF(AND(A2134&lt;&gt;A2133,LEFT(A2134,1)&lt;&gt;"C"),1,0)</f>
        <v>0</v>
      </c>
    </row>
    <row r="2135" customFormat="false" ht="15" hidden="false" customHeight="false" outlineLevel="0" collapsed="false">
      <c r="A2135" s="0" t="s">
        <v>1747</v>
      </c>
      <c r="B2135" s="0" t="s">
        <v>1300</v>
      </c>
      <c r="C2135" s="0" t="s">
        <v>1301</v>
      </c>
      <c r="D2135" s="0" t="n">
        <v>24</v>
      </c>
      <c r="E2135" s="6" t="n">
        <v>40821.5173611111</v>
      </c>
      <c r="F2135" s="0" t="n">
        <v>0.55</v>
      </c>
      <c r="G2135" s="0" t="n">
        <v>12471</v>
      </c>
      <c r="H2135" s="0" t="s">
        <v>33</v>
      </c>
      <c r="I2135" s="7" t="n">
        <f aca="false">IF(AND(LEFT(A2135,1)&lt;&gt;"C",D2135&gt;0,F2135&gt;0),1,0)</f>
        <v>1</v>
      </c>
      <c r="J2135" s="7" t="n">
        <f aca="false">IF(I2135=1,D2135*F2135,0)</f>
        <v>13.2</v>
      </c>
      <c r="K2135" s="7" t="n">
        <f aca="false">YEAR(E2135)*100+MONTH(E2135)</f>
        <v>201110</v>
      </c>
      <c r="L2135" s="7" t="n">
        <f aca="false">IF(AND(A2135&lt;&gt;A2134,LEFT(A2135,1)&lt;&gt;"C"),1,0)</f>
        <v>0</v>
      </c>
    </row>
    <row r="2136" customFormat="false" ht="15" hidden="false" customHeight="false" outlineLevel="0" collapsed="false">
      <c r="A2136" s="0" t="s">
        <v>1747</v>
      </c>
      <c r="B2136" s="0" t="s">
        <v>717</v>
      </c>
      <c r="C2136" s="0" t="s">
        <v>718</v>
      </c>
      <c r="D2136" s="0" t="n">
        <v>72</v>
      </c>
      <c r="E2136" s="6" t="n">
        <v>40821.5173611111</v>
      </c>
      <c r="F2136" s="0" t="n">
        <v>0.83</v>
      </c>
      <c r="G2136" s="0" t="n">
        <v>12471</v>
      </c>
      <c r="H2136" s="0" t="s">
        <v>33</v>
      </c>
      <c r="I2136" s="7" t="n">
        <f aca="false">IF(AND(LEFT(A2136,1)&lt;&gt;"C",D2136&gt;0,F2136&gt;0),1,0)</f>
        <v>1</v>
      </c>
      <c r="J2136" s="7" t="n">
        <f aca="false">IF(I2136=1,D2136*F2136,0)</f>
        <v>59.76</v>
      </c>
      <c r="K2136" s="7" t="n">
        <f aca="false">YEAR(E2136)*100+MONTH(E2136)</f>
        <v>201110</v>
      </c>
      <c r="L2136" s="7" t="n">
        <f aca="false">IF(AND(A2136&lt;&gt;A2135,LEFT(A2136,1)&lt;&gt;"C"),1,0)</f>
        <v>0</v>
      </c>
    </row>
    <row r="2137" customFormat="false" ht="15" hidden="false" customHeight="false" outlineLevel="0" collapsed="false">
      <c r="A2137" s="0" t="s">
        <v>1747</v>
      </c>
      <c r="B2137" s="0" t="s">
        <v>857</v>
      </c>
      <c r="C2137" s="0" t="s">
        <v>858</v>
      </c>
      <c r="D2137" s="0" t="n">
        <v>80</v>
      </c>
      <c r="E2137" s="6" t="n">
        <v>40821.5173611111</v>
      </c>
      <c r="F2137" s="0" t="n">
        <v>0.83</v>
      </c>
      <c r="G2137" s="0" t="n">
        <v>12471</v>
      </c>
      <c r="H2137" s="0" t="s">
        <v>33</v>
      </c>
      <c r="I2137" s="7" t="n">
        <f aca="false">IF(AND(LEFT(A2137,1)&lt;&gt;"C",D2137&gt;0,F2137&gt;0),1,0)</f>
        <v>1</v>
      </c>
      <c r="J2137" s="7" t="n">
        <f aca="false">IF(I2137=1,D2137*F2137,0)</f>
        <v>66.4</v>
      </c>
      <c r="K2137" s="7" t="n">
        <f aca="false">YEAR(E2137)*100+MONTH(E2137)</f>
        <v>201110</v>
      </c>
      <c r="L2137" s="7" t="n">
        <f aca="false">IF(AND(A2137&lt;&gt;A2136,LEFT(A2137,1)&lt;&gt;"C"),1,0)</f>
        <v>0</v>
      </c>
    </row>
    <row r="2138" customFormat="false" ht="15" hidden="false" customHeight="false" outlineLevel="0" collapsed="false">
      <c r="A2138" s="0" t="s">
        <v>1747</v>
      </c>
      <c r="B2138" s="0" t="s">
        <v>109</v>
      </c>
      <c r="C2138" s="0" t="s">
        <v>110</v>
      </c>
      <c r="D2138" s="0" t="n">
        <v>80</v>
      </c>
      <c r="E2138" s="6" t="n">
        <v>40821.5173611111</v>
      </c>
      <c r="F2138" s="0" t="n">
        <v>0.83</v>
      </c>
      <c r="G2138" s="0" t="n">
        <v>12471</v>
      </c>
      <c r="H2138" s="0" t="s">
        <v>33</v>
      </c>
      <c r="I2138" s="7" t="n">
        <f aca="false">IF(AND(LEFT(A2138,1)&lt;&gt;"C",D2138&gt;0,F2138&gt;0),1,0)</f>
        <v>1</v>
      </c>
      <c r="J2138" s="7" t="n">
        <f aca="false">IF(I2138=1,D2138*F2138,0)</f>
        <v>66.4</v>
      </c>
      <c r="K2138" s="7" t="n">
        <f aca="false">YEAR(E2138)*100+MONTH(E2138)</f>
        <v>201110</v>
      </c>
      <c r="L2138" s="7" t="n">
        <f aca="false">IF(AND(A2138&lt;&gt;A2137,LEFT(A2138,1)&lt;&gt;"C"),1,0)</f>
        <v>0</v>
      </c>
    </row>
    <row r="2139" customFormat="false" ht="15" hidden="false" customHeight="false" outlineLevel="0" collapsed="false">
      <c r="A2139" s="0" t="s">
        <v>1747</v>
      </c>
      <c r="B2139" s="0" t="s">
        <v>136</v>
      </c>
      <c r="C2139" s="0" t="s">
        <v>137</v>
      </c>
      <c r="D2139" s="0" t="n">
        <v>16</v>
      </c>
      <c r="E2139" s="6" t="n">
        <v>40821.5173611111</v>
      </c>
      <c r="F2139" s="0" t="n">
        <v>4.15</v>
      </c>
      <c r="G2139" s="0" t="n">
        <v>12471</v>
      </c>
      <c r="H2139" s="0" t="s">
        <v>33</v>
      </c>
      <c r="I2139" s="7" t="n">
        <f aca="false">IF(AND(LEFT(A2139,1)&lt;&gt;"C",D2139&gt;0,F2139&gt;0),1,0)</f>
        <v>1</v>
      </c>
      <c r="J2139" s="7" t="n">
        <f aca="false">IF(I2139=1,D2139*F2139,0)</f>
        <v>66.4</v>
      </c>
      <c r="K2139" s="7" t="n">
        <f aca="false">YEAR(E2139)*100+MONTH(E2139)</f>
        <v>201110</v>
      </c>
      <c r="L2139" s="7" t="n">
        <f aca="false">IF(AND(A2139&lt;&gt;A2138,LEFT(A2139,1)&lt;&gt;"C"),1,0)</f>
        <v>0</v>
      </c>
    </row>
    <row r="2140" customFormat="false" ht="15" hidden="false" customHeight="false" outlineLevel="0" collapsed="false">
      <c r="A2140" s="0" t="s">
        <v>1747</v>
      </c>
      <c r="B2140" s="0" t="s">
        <v>140</v>
      </c>
      <c r="C2140" s="0" t="s">
        <v>141</v>
      </c>
      <c r="D2140" s="0" t="n">
        <v>36</v>
      </c>
      <c r="E2140" s="6" t="n">
        <v>40821.5173611111</v>
      </c>
      <c r="F2140" s="0" t="n">
        <v>1.45</v>
      </c>
      <c r="G2140" s="0" t="n">
        <v>12471</v>
      </c>
      <c r="H2140" s="0" t="s">
        <v>33</v>
      </c>
      <c r="I2140" s="7" t="n">
        <f aca="false">IF(AND(LEFT(A2140,1)&lt;&gt;"C",D2140&gt;0,F2140&gt;0),1,0)</f>
        <v>1</v>
      </c>
      <c r="J2140" s="7" t="n">
        <f aca="false">IF(I2140=1,D2140*F2140,0)</f>
        <v>52.2</v>
      </c>
      <c r="K2140" s="7" t="n">
        <f aca="false">YEAR(E2140)*100+MONTH(E2140)</f>
        <v>201110</v>
      </c>
      <c r="L2140" s="7" t="n">
        <f aca="false">IF(AND(A2140&lt;&gt;A2139,LEFT(A2140,1)&lt;&gt;"C"),1,0)</f>
        <v>0</v>
      </c>
    </row>
    <row r="2141" customFormat="false" ht="15" hidden="false" customHeight="false" outlineLevel="0" collapsed="false">
      <c r="A2141" s="0" t="s">
        <v>1747</v>
      </c>
      <c r="B2141" s="0" t="s">
        <v>142</v>
      </c>
      <c r="C2141" s="0" t="s">
        <v>143</v>
      </c>
      <c r="D2141" s="0" t="n">
        <v>36</v>
      </c>
      <c r="E2141" s="6" t="n">
        <v>40821.5173611111</v>
      </c>
      <c r="F2141" s="0" t="n">
        <v>1.45</v>
      </c>
      <c r="G2141" s="0" t="n">
        <v>12471</v>
      </c>
      <c r="H2141" s="0" t="s">
        <v>33</v>
      </c>
      <c r="I2141" s="7" t="n">
        <f aca="false">IF(AND(LEFT(A2141,1)&lt;&gt;"C",D2141&gt;0,F2141&gt;0),1,0)</f>
        <v>1</v>
      </c>
      <c r="J2141" s="7" t="n">
        <f aca="false">IF(I2141=1,D2141*F2141,0)</f>
        <v>52.2</v>
      </c>
      <c r="K2141" s="7" t="n">
        <f aca="false">YEAR(E2141)*100+MONTH(E2141)</f>
        <v>201110</v>
      </c>
      <c r="L2141" s="7" t="n">
        <f aca="false">IF(AND(A2141&lt;&gt;A2140,LEFT(A2141,1)&lt;&gt;"C"),1,0)</f>
        <v>0</v>
      </c>
    </row>
    <row r="2142" customFormat="false" ht="15" hidden="false" customHeight="false" outlineLevel="0" collapsed="false">
      <c r="A2142" s="0" t="s">
        <v>1747</v>
      </c>
      <c r="B2142" s="0" t="s">
        <v>537</v>
      </c>
      <c r="C2142" s="0" t="s">
        <v>538</v>
      </c>
      <c r="D2142" s="0" t="n">
        <v>6</v>
      </c>
      <c r="E2142" s="6" t="n">
        <v>40821.5173611111</v>
      </c>
      <c r="F2142" s="0" t="n">
        <v>4.15</v>
      </c>
      <c r="G2142" s="0" t="n">
        <v>12471</v>
      </c>
      <c r="H2142" s="0" t="s">
        <v>33</v>
      </c>
      <c r="I2142" s="7" t="n">
        <f aca="false">IF(AND(LEFT(A2142,1)&lt;&gt;"C",D2142&gt;0,F2142&gt;0),1,0)</f>
        <v>1</v>
      </c>
      <c r="J2142" s="7" t="n">
        <f aca="false">IF(I2142=1,D2142*F2142,0)</f>
        <v>24.9</v>
      </c>
      <c r="K2142" s="7" t="n">
        <f aca="false">YEAR(E2142)*100+MONTH(E2142)</f>
        <v>201110</v>
      </c>
      <c r="L2142" s="7" t="n">
        <f aca="false">IF(AND(A2142&lt;&gt;A2141,LEFT(A2142,1)&lt;&gt;"C"),1,0)</f>
        <v>0</v>
      </c>
    </row>
    <row r="2143" customFormat="false" ht="15" hidden="false" customHeight="false" outlineLevel="0" collapsed="false">
      <c r="A2143" s="0" t="s">
        <v>1747</v>
      </c>
      <c r="B2143" s="0" t="s">
        <v>659</v>
      </c>
      <c r="C2143" s="0" t="s">
        <v>660</v>
      </c>
      <c r="D2143" s="0" t="n">
        <v>12</v>
      </c>
      <c r="E2143" s="6" t="n">
        <v>40821.5173611111</v>
      </c>
      <c r="F2143" s="0" t="n">
        <v>4.15</v>
      </c>
      <c r="G2143" s="0" t="n">
        <v>12471</v>
      </c>
      <c r="H2143" s="0" t="s">
        <v>33</v>
      </c>
      <c r="I2143" s="7" t="n">
        <f aca="false">IF(AND(LEFT(A2143,1)&lt;&gt;"C",D2143&gt;0,F2143&gt;0),1,0)</f>
        <v>1</v>
      </c>
      <c r="J2143" s="7" t="n">
        <f aca="false">IF(I2143=1,D2143*F2143,0)</f>
        <v>49.8</v>
      </c>
      <c r="K2143" s="7" t="n">
        <f aca="false">YEAR(E2143)*100+MONTH(E2143)</f>
        <v>201110</v>
      </c>
      <c r="L2143" s="7" t="n">
        <f aca="false">IF(AND(A2143&lt;&gt;A2142,LEFT(A2143,1)&lt;&gt;"C"),1,0)</f>
        <v>0</v>
      </c>
    </row>
    <row r="2144" customFormat="false" ht="15" hidden="false" customHeight="false" outlineLevel="0" collapsed="false">
      <c r="A2144" s="0" t="s">
        <v>1747</v>
      </c>
      <c r="B2144" s="0" t="s">
        <v>877</v>
      </c>
      <c r="C2144" s="0" t="s">
        <v>878</v>
      </c>
      <c r="D2144" s="0" t="n">
        <v>24</v>
      </c>
      <c r="E2144" s="6" t="n">
        <v>40821.5173611111</v>
      </c>
      <c r="F2144" s="0" t="n">
        <v>0.83</v>
      </c>
      <c r="G2144" s="0" t="n">
        <v>12471</v>
      </c>
      <c r="H2144" s="0" t="s">
        <v>33</v>
      </c>
      <c r="I2144" s="7" t="n">
        <f aca="false">IF(AND(LEFT(A2144,1)&lt;&gt;"C",D2144&gt;0,F2144&gt;0),1,0)</f>
        <v>1</v>
      </c>
      <c r="J2144" s="7" t="n">
        <f aca="false">IF(I2144=1,D2144*F2144,0)</f>
        <v>19.92</v>
      </c>
      <c r="K2144" s="7" t="n">
        <f aca="false">YEAR(E2144)*100+MONTH(E2144)</f>
        <v>201110</v>
      </c>
      <c r="L2144" s="7" t="n">
        <f aca="false">IF(AND(A2144&lt;&gt;A2143,LEFT(A2144,1)&lt;&gt;"C"),1,0)</f>
        <v>0</v>
      </c>
    </row>
    <row r="2145" customFormat="false" ht="15" hidden="false" customHeight="false" outlineLevel="0" collapsed="false">
      <c r="A2145" s="0" t="s">
        <v>1747</v>
      </c>
      <c r="B2145" s="0" t="s">
        <v>80</v>
      </c>
      <c r="C2145" s="0" t="s">
        <v>81</v>
      </c>
      <c r="D2145" s="0" t="n">
        <v>60</v>
      </c>
      <c r="E2145" s="6" t="n">
        <v>40821.5173611111</v>
      </c>
      <c r="F2145" s="0" t="n">
        <v>0.83</v>
      </c>
      <c r="G2145" s="0" t="n">
        <v>12471</v>
      </c>
      <c r="H2145" s="0" t="s">
        <v>33</v>
      </c>
      <c r="I2145" s="7" t="n">
        <f aca="false">IF(AND(LEFT(A2145,1)&lt;&gt;"C",D2145&gt;0,F2145&gt;0),1,0)</f>
        <v>1</v>
      </c>
      <c r="J2145" s="7" t="n">
        <f aca="false">IF(I2145=1,D2145*F2145,0)</f>
        <v>49.8</v>
      </c>
      <c r="K2145" s="7" t="n">
        <f aca="false">YEAR(E2145)*100+MONTH(E2145)</f>
        <v>201110</v>
      </c>
      <c r="L2145" s="7" t="n">
        <f aca="false">IF(AND(A2145&lt;&gt;A2144,LEFT(A2145,1)&lt;&gt;"C"),1,0)</f>
        <v>0</v>
      </c>
    </row>
    <row r="2146" customFormat="false" ht="15" hidden="false" customHeight="false" outlineLevel="0" collapsed="false">
      <c r="A2146" s="0" t="s">
        <v>1747</v>
      </c>
      <c r="B2146" s="0" t="s">
        <v>1065</v>
      </c>
      <c r="C2146" s="0" t="s">
        <v>1066</v>
      </c>
      <c r="D2146" s="0" t="n">
        <v>24</v>
      </c>
      <c r="E2146" s="6" t="n">
        <v>40821.5173611111</v>
      </c>
      <c r="F2146" s="0" t="n">
        <v>2.08</v>
      </c>
      <c r="G2146" s="0" t="n">
        <v>12471</v>
      </c>
      <c r="H2146" s="0" t="s">
        <v>33</v>
      </c>
      <c r="I2146" s="7" t="n">
        <f aca="false">IF(AND(LEFT(A2146,1)&lt;&gt;"C",D2146&gt;0,F2146&gt;0),1,0)</f>
        <v>1</v>
      </c>
      <c r="J2146" s="7" t="n">
        <f aca="false">IF(I2146=1,D2146*F2146,0)</f>
        <v>49.92</v>
      </c>
      <c r="K2146" s="7" t="n">
        <f aca="false">YEAR(E2146)*100+MONTH(E2146)</f>
        <v>201110</v>
      </c>
      <c r="L2146" s="7" t="n">
        <f aca="false">IF(AND(A2146&lt;&gt;A2145,LEFT(A2146,1)&lt;&gt;"C"),1,0)</f>
        <v>0</v>
      </c>
    </row>
    <row r="2147" customFormat="false" ht="15" hidden="false" customHeight="false" outlineLevel="0" collapsed="false">
      <c r="A2147" s="0" t="s">
        <v>1747</v>
      </c>
      <c r="B2147" s="0" t="s">
        <v>792</v>
      </c>
      <c r="C2147" s="0" t="s">
        <v>793</v>
      </c>
      <c r="D2147" s="0" t="n">
        <v>24</v>
      </c>
      <c r="E2147" s="6" t="n">
        <v>40821.5173611111</v>
      </c>
      <c r="F2147" s="0" t="n">
        <v>1.95</v>
      </c>
      <c r="G2147" s="0" t="n">
        <v>12471</v>
      </c>
      <c r="H2147" s="0" t="s">
        <v>33</v>
      </c>
      <c r="I2147" s="7" t="n">
        <f aca="false">IF(AND(LEFT(A2147,1)&lt;&gt;"C",D2147&gt;0,F2147&gt;0),1,0)</f>
        <v>1</v>
      </c>
      <c r="J2147" s="7" t="n">
        <f aca="false">IF(I2147=1,D2147*F2147,0)</f>
        <v>46.8</v>
      </c>
      <c r="K2147" s="7" t="n">
        <f aca="false">YEAR(E2147)*100+MONTH(E2147)</f>
        <v>201110</v>
      </c>
      <c r="L2147" s="7" t="n">
        <f aca="false">IF(AND(A2147&lt;&gt;A2146,LEFT(A2147,1)&lt;&gt;"C"),1,0)</f>
        <v>0</v>
      </c>
    </row>
    <row r="2148" customFormat="false" ht="15" hidden="false" customHeight="false" outlineLevel="0" collapsed="false">
      <c r="A2148" s="0" t="s">
        <v>1747</v>
      </c>
      <c r="B2148" s="0" t="s">
        <v>1652</v>
      </c>
      <c r="C2148" s="0" t="s">
        <v>1653</v>
      </c>
      <c r="D2148" s="0" t="n">
        <v>12</v>
      </c>
      <c r="E2148" s="6" t="n">
        <v>40821.5173611111</v>
      </c>
      <c r="F2148" s="0" t="n">
        <v>4.95</v>
      </c>
      <c r="G2148" s="0" t="n">
        <v>12471</v>
      </c>
      <c r="H2148" s="0" t="s">
        <v>33</v>
      </c>
      <c r="I2148" s="7" t="n">
        <f aca="false">IF(AND(LEFT(A2148,1)&lt;&gt;"C",D2148&gt;0,F2148&gt;0),1,0)</f>
        <v>1</v>
      </c>
      <c r="J2148" s="7" t="n">
        <f aca="false">IF(I2148=1,D2148*F2148,0)</f>
        <v>59.4</v>
      </c>
      <c r="K2148" s="7" t="n">
        <f aca="false">YEAR(E2148)*100+MONTH(E2148)</f>
        <v>201110</v>
      </c>
      <c r="L2148" s="7" t="n">
        <f aca="false">IF(AND(A2148&lt;&gt;A2147,LEFT(A2148,1)&lt;&gt;"C"),1,0)</f>
        <v>0</v>
      </c>
    </row>
    <row r="2149" customFormat="false" ht="15" hidden="false" customHeight="false" outlineLevel="0" collapsed="false">
      <c r="A2149" s="0" t="s">
        <v>1747</v>
      </c>
      <c r="B2149" s="0" t="s">
        <v>1620</v>
      </c>
      <c r="C2149" s="0" t="s">
        <v>1621</v>
      </c>
      <c r="D2149" s="0" t="n">
        <v>16</v>
      </c>
      <c r="E2149" s="6" t="n">
        <v>40821.5173611111</v>
      </c>
      <c r="F2149" s="0" t="n">
        <v>0.65</v>
      </c>
      <c r="G2149" s="0" t="n">
        <v>12471</v>
      </c>
      <c r="H2149" s="0" t="s">
        <v>33</v>
      </c>
      <c r="I2149" s="7" t="n">
        <f aca="false">IF(AND(LEFT(A2149,1)&lt;&gt;"C",D2149&gt;0,F2149&gt;0),1,0)</f>
        <v>1</v>
      </c>
      <c r="J2149" s="7" t="n">
        <f aca="false">IF(I2149=1,D2149*F2149,0)</f>
        <v>10.4</v>
      </c>
      <c r="K2149" s="7" t="n">
        <f aca="false">YEAR(E2149)*100+MONTH(E2149)</f>
        <v>201110</v>
      </c>
      <c r="L2149" s="7" t="n">
        <f aca="false">IF(AND(A2149&lt;&gt;A2148,LEFT(A2149,1)&lt;&gt;"C"),1,0)</f>
        <v>0</v>
      </c>
    </row>
    <row r="2150" customFormat="false" ht="15" hidden="false" customHeight="false" outlineLevel="0" collapsed="false">
      <c r="A2150" s="0" t="s">
        <v>1747</v>
      </c>
      <c r="B2150" s="0" t="s">
        <v>471</v>
      </c>
      <c r="C2150" s="0" t="s">
        <v>472</v>
      </c>
      <c r="D2150" s="0" t="n">
        <v>12</v>
      </c>
      <c r="E2150" s="6" t="n">
        <v>40821.5173611111</v>
      </c>
      <c r="F2150" s="0" t="n">
        <v>1.65</v>
      </c>
      <c r="G2150" s="0" t="n">
        <v>12471</v>
      </c>
      <c r="H2150" s="0" t="s">
        <v>33</v>
      </c>
      <c r="I2150" s="7" t="n">
        <f aca="false">IF(AND(LEFT(A2150,1)&lt;&gt;"C",D2150&gt;0,F2150&gt;0),1,0)</f>
        <v>1</v>
      </c>
      <c r="J2150" s="7" t="n">
        <f aca="false">IF(I2150=1,D2150*F2150,0)</f>
        <v>19.8</v>
      </c>
      <c r="K2150" s="7" t="n">
        <f aca="false">YEAR(E2150)*100+MONTH(E2150)</f>
        <v>201110</v>
      </c>
      <c r="L2150" s="7" t="n">
        <f aca="false">IF(AND(A2150&lt;&gt;A2149,LEFT(A2150,1)&lt;&gt;"C"),1,0)</f>
        <v>0</v>
      </c>
    </row>
    <row r="2151" customFormat="false" ht="15" hidden="false" customHeight="false" outlineLevel="0" collapsed="false">
      <c r="A2151" s="0" t="s">
        <v>1747</v>
      </c>
      <c r="B2151" s="0" t="s">
        <v>583</v>
      </c>
      <c r="C2151" s="0" t="s">
        <v>584</v>
      </c>
      <c r="D2151" s="0" t="n">
        <v>12</v>
      </c>
      <c r="E2151" s="6" t="n">
        <v>40821.5173611111</v>
      </c>
      <c r="F2151" s="0" t="n">
        <v>1.45</v>
      </c>
      <c r="G2151" s="0" t="n">
        <v>12471</v>
      </c>
      <c r="H2151" s="0" t="s">
        <v>33</v>
      </c>
      <c r="I2151" s="7" t="n">
        <f aca="false">IF(AND(LEFT(A2151,1)&lt;&gt;"C",D2151&gt;0,F2151&gt;0),1,0)</f>
        <v>1</v>
      </c>
      <c r="J2151" s="7" t="n">
        <f aca="false">IF(I2151=1,D2151*F2151,0)</f>
        <v>17.4</v>
      </c>
      <c r="K2151" s="7" t="n">
        <f aca="false">YEAR(E2151)*100+MONTH(E2151)</f>
        <v>201110</v>
      </c>
      <c r="L2151" s="7" t="n">
        <f aca="false">IF(AND(A2151&lt;&gt;A2150,LEFT(A2151,1)&lt;&gt;"C"),1,0)</f>
        <v>0</v>
      </c>
    </row>
    <row r="2152" customFormat="false" ht="15" hidden="false" customHeight="false" outlineLevel="0" collapsed="false">
      <c r="A2152" s="0" t="s">
        <v>1747</v>
      </c>
      <c r="B2152" s="0" t="s">
        <v>1059</v>
      </c>
      <c r="C2152" s="0" t="s">
        <v>1060</v>
      </c>
      <c r="D2152" s="0" t="n">
        <v>12</v>
      </c>
      <c r="E2152" s="6" t="n">
        <v>40821.5173611111</v>
      </c>
      <c r="F2152" s="0" t="n">
        <v>2.08</v>
      </c>
      <c r="G2152" s="0" t="n">
        <v>12471</v>
      </c>
      <c r="H2152" s="0" t="s">
        <v>33</v>
      </c>
      <c r="I2152" s="7" t="n">
        <f aca="false">IF(AND(LEFT(A2152,1)&lt;&gt;"C",D2152&gt;0,F2152&gt;0),1,0)</f>
        <v>1</v>
      </c>
      <c r="J2152" s="7" t="n">
        <f aca="false">IF(I2152=1,D2152*F2152,0)</f>
        <v>24.96</v>
      </c>
      <c r="K2152" s="7" t="n">
        <f aca="false">YEAR(E2152)*100+MONTH(E2152)</f>
        <v>201110</v>
      </c>
      <c r="L2152" s="7" t="n">
        <f aca="false">IF(AND(A2152&lt;&gt;A2151,LEFT(A2152,1)&lt;&gt;"C"),1,0)</f>
        <v>0</v>
      </c>
    </row>
    <row r="2153" customFormat="false" ht="15" hidden="false" customHeight="false" outlineLevel="0" collapsed="false">
      <c r="A2153" s="0" t="s">
        <v>1748</v>
      </c>
      <c r="B2153" s="0" t="s">
        <v>1300</v>
      </c>
      <c r="C2153" s="0" t="s">
        <v>1301</v>
      </c>
      <c r="D2153" s="0" t="n">
        <v>24</v>
      </c>
      <c r="E2153" s="6" t="n">
        <v>40821.6180555556</v>
      </c>
      <c r="F2153" s="0" t="n">
        <v>0.55</v>
      </c>
      <c r="G2153" s="0" t="n">
        <v>12719</v>
      </c>
      <c r="H2153" s="0" t="s">
        <v>43</v>
      </c>
      <c r="I2153" s="7" t="n">
        <f aca="false">IF(AND(LEFT(A2153,1)&lt;&gt;"C",D2153&gt;0,F2153&gt;0),1,0)</f>
        <v>1</v>
      </c>
      <c r="J2153" s="7" t="n">
        <f aca="false">IF(I2153=1,D2153*F2153,0)</f>
        <v>13.2</v>
      </c>
      <c r="K2153" s="7" t="n">
        <f aca="false">YEAR(E2153)*100+MONTH(E2153)</f>
        <v>201110</v>
      </c>
      <c r="L2153" s="7" t="n">
        <f aca="false">IF(AND(A2153&lt;&gt;A2152,LEFT(A2153,1)&lt;&gt;"C"),1,0)</f>
        <v>1</v>
      </c>
    </row>
    <row r="2154" customFormat="false" ht="15" hidden="false" customHeight="false" outlineLevel="0" collapsed="false">
      <c r="A2154" s="0" t="s">
        <v>1748</v>
      </c>
      <c r="B2154" s="0" t="s">
        <v>1749</v>
      </c>
      <c r="C2154" s="0" t="s">
        <v>1750</v>
      </c>
      <c r="D2154" s="0" t="n">
        <v>6</v>
      </c>
      <c r="E2154" s="6" t="n">
        <v>40821.6180555556</v>
      </c>
      <c r="F2154" s="0" t="n">
        <v>2.95</v>
      </c>
      <c r="G2154" s="0" t="n">
        <v>12719</v>
      </c>
      <c r="H2154" s="0" t="s">
        <v>43</v>
      </c>
      <c r="I2154" s="7" t="n">
        <f aca="false">IF(AND(LEFT(A2154,1)&lt;&gt;"C",D2154&gt;0,F2154&gt;0),1,0)</f>
        <v>1</v>
      </c>
      <c r="J2154" s="7" t="n">
        <f aca="false">IF(I2154=1,D2154*F2154,0)</f>
        <v>17.7</v>
      </c>
      <c r="K2154" s="7" t="n">
        <f aca="false">YEAR(E2154)*100+MONTH(E2154)</f>
        <v>201110</v>
      </c>
      <c r="L2154" s="7" t="n">
        <f aca="false">IF(AND(A2154&lt;&gt;A2153,LEFT(A2154,1)&lt;&gt;"C"),1,0)</f>
        <v>0</v>
      </c>
    </row>
    <row r="2155" customFormat="false" ht="15" hidden="false" customHeight="false" outlineLevel="0" collapsed="false">
      <c r="A2155" s="0" t="s">
        <v>1748</v>
      </c>
      <c r="B2155" s="0" t="s">
        <v>1751</v>
      </c>
      <c r="C2155" s="0" t="s">
        <v>1752</v>
      </c>
      <c r="D2155" s="0" t="n">
        <v>12</v>
      </c>
      <c r="E2155" s="6" t="n">
        <v>40821.6180555556</v>
      </c>
      <c r="F2155" s="0" t="n">
        <v>1.25</v>
      </c>
      <c r="G2155" s="0" t="n">
        <v>12719</v>
      </c>
      <c r="H2155" s="0" t="s">
        <v>43</v>
      </c>
      <c r="I2155" s="7" t="n">
        <f aca="false">IF(AND(LEFT(A2155,1)&lt;&gt;"C",D2155&gt;0,F2155&gt;0),1,0)</f>
        <v>1</v>
      </c>
      <c r="J2155" s="7" t="n">
        <f aca="false">IF(I2155=1,D2155*F2155,0)</f>
        <v>15</v>
      </c>
      <c r="K2155" s="7" t="n">
        <f aca="false">YEAR(E2155)*100+MONTH(E2155)</f>
        <v>201110</v>
      </c>
      <c r="L2155" s="7" t="n">
        <f aca="false">IF(AND(A2155&lt;&gt;A2154,LEFT(A2155,1)&lt;&gt;"C"),1,0)</f>
        <v>0</v>
      </c>
    </row>
    <row r="2156" customFormat="false" ht="15" hidden="false" customHeight="false" outlineLevel="0" collapsed="false">
      <c r="A2156" s="0" t="s">
        <v>1748</v>
      </c>
      <c r="B2156" s="0" t="s">
        <v>1753</v>
      </c>
      <c r="C2156" s="0" t="s">
        <v>1754</v>
      </c>
      <c r="D2156" s="0" t="n">
        <v>4</v>
      </c>
      <c r="E2156" s="6" t="n">
        <v>40821.6180555556</v>
      </c>
      <c r="F2156" s="0" t="n">
        <v>3.75</v>
      </c>
      <c r="G2156" s="0" t="n">
        <v>12719</v>
      </c>
      <c r="H2156" s="0" t="s">
        <v>43</v>
      </c>
      <c r="I2156" s="7" t="n">
        <f aca="false">IF(AND(LEFT(A2156,1)&lt;&gt;"C",D2156&gt;0,F2156&gt;0),1,0)</f>
        <v>1</v>
      </c>
      <c r="J2156" s="7" t="n">
        <f aca="false">IF(I2156=1,D2156*F2156,0)</f>
        <v>15</v>
      </c>
      <c r="K2156" s="7" t="n">
        <f aca="false">YEAR(E2156)*100+MONTH(E2156)</f>
        <v>201110</v>
      </c>
      <c r="L2156" s="7" t="n">
        <f aca="false">IF(AND(A2156&lt;&gt;A2155,LEFT(A2156,1)&lt;&gt;"C"),1,0)</f>
        <v>0</v>
      </c>
    </row>
    <row r="2157" customFormat="false" ht="15" hidden="false" customHeight="false" outlineLevel="0" collapsed="false">
      <c r="A2157" s="0" t="s">
        <v>1748</v>
      </c>
      <c r="B2157" s="0" t="s">
        <v>1755</v>
      </c>
      <c r="C2157" s="0" t="s">
        <v>1756</v>
      </c>
      <c r="D2157" s="0" t="n">
        <v>6</v>
      </c>
      <c r="E2157" s="6" t="n">
        <v>40821.6180555556</v>
      </c>
      <c r="F2157" s="0" t="n">
        <v>2.55</v>
      </c>
      <c r="G2157" s="0" t="n">
        <v>12719</v>
      </c>
      <c r="H2157" s="0" t="s">
        <v>43</v>
      </c>
      <c r="I2157" s="7" t="n">
        <f aca="false">IF(AND(LEFT(A2157,1)&lt;&gt;"C",D2157&gt;0,F2157&gt;0),1,0)</f>
        <v>1</v>
      </c>
      <c r="J2157" s="7" t="n">
        <f aca="false">IF(I2157=1,D2157*F2157,0)</f>
        <v>15.3</v>
      </c>
      <c r="K2157" s="7" t="n">
        <f aca="false">YEAR(E2157)*100+MONTH(E2157)</f>
        <v>201110</v>
      </c>
      <c r="L2157" s="7" t="n">
        <f aca="false">IF(AND(A2157&lt;&gt;A2156,LEFT(A2157,1)&lt;&gt;"C"),1,0)</f>
        <v>0</v>
      </c>
    </row>
    <row r="2158" customFormat="false" ht="15" hidden="false" customHeight="false" outlineLevel="0" collapsed="false">
      <c r="A2158" s="0" t="s">
        <v>1748</v>
      </c>
      <c r="B2158" s="0" t="s">
        <v>1017</v>
      </c>
      <c r="C2158" s="0" t="s">
        <v>1018</v>
      </c>
      <c r="D2158" s="0" t="n">
        <v>6</v>
      </c>
      <c r="E2158" s="6" t="n">
        <v>40821.6180555556</v>
      </c>
      <c r="F2158" s="0" t="n">
        <v>2.55</v>
      </c>
      <c r="G2158" s="0" t="n">
        <v>12719</v>
      </c>
      <c r="H2158" s="0" t="s">
        <v>43</v>
      </c>
      <c r="I2158" s="7" t="n">
        <f aca="false">IF(AND(LEFT(A2158,1)&lt;&gt;"C",D2158&gt;0,F2158&gt;0),1,0)</f>
        <v>1</v>
      </c>
      <c r="J2158" s="7" t="n">
        <f aca="false">IF(I2158=1,D2158*F2158,0)</f>
        <v>15.3</v>
      </c>
      <c r="K2158" s="7" t="n">
        <f aca="false">YEAR(E2158)*100+MONTH(E2158)</f>
        <v>201110</v>
      </c>
      <c r="L2158" s="7" t="n">
        <f aca="false">IF(AND(A2158&lt;&gt;A2157,LEFT(A2158,1)&lt;&gt;"C"),1,0)</f>
        <v>0</v>
      </c>
    </row>
    <row r="2159" customFormat="false" ht="15" hidden="false" customHeight="false" outlineLevel="0" collapsed="false">
      <c r="A2159" s="0" t="s">
        <v>1748</v>
      </c>
      <c r="B2159" s="0" t="s">
        <v>1757</v>
      </c>
      <c r="C2159" s="0" t="s">
        <v>1758</v>
      </c>
      <c r="D2159" s="0" t="n">
        <v>12</v>
      </c>
      <c r="E2159" s="6" t="n">
        <v>40821.6180555556</v>
      </c>
      <c r="F2159" s="0" t="n">
        <v>0.85</v>
      </c>
      <c r="G2159" s="0" t="n">
        <v>12719</v>
      </c>
      <c r="H2159" s="0" t="s">
        <v>43</v>
      </c>
      <c r="I2159" s="7" t="n">
        <f aca="false">IF(AND(LEFT(A2159,1)&lt;&gt;"C",D2159&gt;0,F2159&gt;0),1,0)</f>
        <v>1</v>
      </c>
      <c r="J2159" s="7" t="n">
        <f aca="false">IF(I2159=1,D2159*F2159,0)</f>
        <v>10.2</v>
      </c>
      <c r="K2159" s="7" t="n">
        <f aca="false">YEAR(E2159)*100+MONTH(E2159)</f>
        <v>201110</v>
      </c>
      <c r="L2159" s="7" t="n">
        <f aca="false">IF(AND(A2159&lt;&gt;A2158,LEFT(A2159,1)&lt;&gt;"C"),1,0)</f>
        <v>0</v>
      </c>
    </row>
    <row r="2160" customFormat="false" ht="15" hidden="false" customHeight="false" outlineLevel="0" collapsed="false">
      <c r="A2160" s="0" t="s">
        <v>1748</v>
      </c>
      <c r="B2160" s="0" t="s">
        <v>1759</v>
      </c>
      <c r="C2160" s="0" t="s">
        <v>1760</v>
      </c>
      <c r="D2160" s="0" t="n">
        <v>9</v>
      </c>
      <c r="E2160" s="6" t="n">
        <v>40821.6180555556</v>
      </c>
      <c r="F2160" s="0" t="n">
        <v>1.45</v>
      </c>
      <c r="G2160" s="0" t="n">
        <v>12719</v>
      </c>
      <c r="H2160" s="0" t="s">
        <v>43</v>
      </c>
      <c r="I2160" s="7" t="n">
        <f aca="false">IF(AND(LEFT(A2160,1)&lt;&gt;"C",D2160&gt;0,F2160&gt;0),1,0)</f>
        <v>1</v>
      </c>
      <c r="J2160" s="7" t="n">
        <f aca="false">IF(I2160=1,D2160*F2160,0)</f>
        <v>13.05</v>
      </c>
      <c r="K2160" s="7" t="n">
        <f aca="false">YEAR(E2160)*100+MONTH(E2160)</f>
        <v>201110</v>
      </c>
      <c r="L2160" s="7" t="n">
        <f aca="false">IF(AND(A2160&lt;&gt;A2159,LEFT(A2160,1)&lt;&gt;"C"),1,0)</f>
        <v>0</v>
      </c>
    </row>
    <row r="2161" customFormat="false" ht="15" hidden="false" customHeight="false" outlineLevel="0" collapsed="false">
      <c r="A2161" s="0" t="s">
        <v>1748</v>
      </c>
      <c r="B2161" s="0" t="s">
        <v>1483</v>
      </c>
      <c r="C2161" s="0" t="s">
        <v>1484</v>
      </c>
      <c r="D2161" s="0" t="n">
        <v>6</v>
      </c>
      <c r="E2161" s="6" t="n">
        <v>40821.6180555556</v>
      </c>
      <c r="F2161" s="0" t="n">
        <v>2.95</v>
      </c>
      <c r="G2161" s="0" t="n">
        <v>12719</v>
      </c>
      <c r="H2161" s="0" t="s">
        <v>43</v>
      </c>
      <c r="I2161" s="7" t="n">
        <f aca="false">IF(AND(LEFT(A2161,1)&lt;&gt;"C",D2161&gt;0,F2161&gt;0),1,0)</f>
        <v>1</v>
      </c>
      <c r="J2161" s="7" t="n">
        <f aca="false">IF(I2161=1,D2161*F2161,0)</f>
        <v>17.7</v>
      </c>
      <c r="K2161" s="7" t="n">
        <f aca="false">YEAR(E2161)*100+MONTH(E2161)</f>
        <v>201110</v>
      </c>
      <c r="L2161" s="7" t="n">
        <f aca="false">IF(AND(A2161&lt;&gt;A2160,LEFT(A2161,1)&lt;&gt;"C"),1,0)</f>
        <v>0</v>
      </c>
    </row>
    <row r="2162" customFormat="false" ht="15" hidden="false" customHeight="false" outlineLevel="0" collapsed="false">
      <c r="A2162" s="0" t="s">
        <v>1748</v>
      </c>
      <c r="B2162" s="0" t="s">
        <v>1477</v>
      </c>
      <c r="C2162" s="0" t="s">
        <v>1478</v>
      </c>
      <c r="D2162" s="0" t="n">
        <v>6</v>
      </c>
      <c r="E2162" s="6" t="n">
        <v>40821.6180555556</v>
      </c>
      <c r="F2162" s="0" t="n">
        <v>2.95</v>
      </c>
      <c r="G2162" s="0" t="n">
        <v>12719</v>
      </c>
      <c r="H2162" s="0" t="s">
        <v>43</v>
      </c>
      <c r="I2162" s="7" t="n">
        <f aca="false">IF(AND(LEFT(A2162,1)&lt;&gt;"C",D2162&gt;0,F2162&gt;0),1,0)</f>
        <v>1</v>
      </c>
      <c r="J2162" s="7" t="n">
        <f aca="false">IF(I2162=1,D2162*F2162,0)</f>
        <v>17.7</v>
      </c>
      <c r="K2162" s="7" t="n">
        <f aca="false">YEAR(E2162)*100+MONTH(E2162)</f>
        <v>201110</v>
      </c>
      <c r="L2162" s="7" t="n">
        <f aca="false">IF(AND(A2162&lt;&gt;A2161,LEFT(A2162,1)&lt;&gt;"C"),1,0)</f>
        <v>0</v>
      </c>
    </row>
    <row r="2163" customFormat="false" ht="15" hidden="false" customHeight="false" outlineLevel="0" collapsed="false">
      <c r="A2163" s="0" t="s">
        <v>1748</v>
      </c>
      <c r="B2163" s="0" t="s">
        <v>1680</v>
      </c>
      <c r="C2163" s="0" t="s">
        <v>1681</v>
      </c>
      <c r="D2163" s="0" t="n">
        <v>16</v>
      </c>
      <c r="E2163" s="6" t="n">
        <v>40821.6180555556</v>
      </c>
      <c r="F2163" s="0" t="n">
        <v>0.65</v>
      </c>
      <c r="G2163" s="0" t="n">
        <v>12719</v>
      </c>
      <c r="H2163" s="0" t="s">
        <v>43</v>
      </c>
      <c r="I2163" s="7" t="n">
        <f aca="false">IF(AND(LEFT(A2163,1)&lt;&gt;"C",D2163&gt;0,F2163&gt;0),1,0)</f>
        <v>1</v>
      </c>
      <c r="J2163" s="7" t="n">
        <f aca="false">IF(I2163=1,D2163*F2163,0)</f>
        <v>10.4</v>
      </c>
      <c r="K2163" s="7" t="n">
        <f aca="false">YEAR(E2163)*100+MONTH(E2163)</f>
        <v>201110</v>
      </c>
      <c r="L2163" s="7" t="n">
        <f aca="false">IF(AND(A2163&lt;&gt;A2162,LEFT(A2163,1)&lt;&gt;"C"),1,0)</f>
        <v>0</v>
      </c>
    </row>
    <row r="2164" customFormat="false" ht="15" hidden="false" customHeight="false" outlineLevel="0" collapsed="false">
      <c r="A2164" s="0" t="s">
        <v>1748</v>
      </c>
      <c r="B2164" s="0" t="s">
        <v>1620</v>
      </c>
      <c r="C2164" s="0" t="s">
        <v>1621</v>
      </c>
      <c r="D2164" s="0" t="n">
        <v>16</v>
      </c>
      <c r="E2164" s="6" t="n">
        <v>40821.6180555556</v>
      </c>
      <c r="F2164" s="0" t="n">
        <v>0.65</v>
      </c>
      <c r="G2164" s="0" t="n">
        <v>12719</v>
      </c>
      <c r="H2164" s="0" t="s">
        <v>43</v>
      </c>
      <c r="I2164" s="7" t="n">
        <f aca="false">IF(AND(LEFT(A2164,1)&lt;&gt;"C",D2164&gt;0,F2164&gt;0),1,0)</f>
        <v>1</v>
      </c>
      <c r="J2164" s="7" t="n">
        <f aca="false">IF(I2164=1,D2164*F2164,0)</f>
        <v>10.4</v>
      </c>
      <c r="K2164" s="7" t="n">
        <f aca="false">YEAR(E2164)*100+MONTH(E2164)</f>
        <v>201110</v>
      </c>
      <c r="L2164" s="7" t="n">
        <f aca="false">IF(AND(A2164&lt;&gt;A2163,LEFT(A2164,1)&lt;&gt;"C"),1,0)</f>
        <v>0</v>
      </c>
    </row>
    <row r="2165" customFormat="false" ht="15" hidden="false" customHeight="false" outlineLevel="0" collapsed="false">
      <c r="A2165" s="0" t="s">
        <v>1748</v>
      </c>
      <c r="B2165" s="0" t="s">
        <v>1046</v>
      </c>
      <c r="C2165" s="0" t="s">
        <v>1047</v>
      </c>
      <c r="D2165" s="0" t="n">
        <v>4</v>
      </c>
      <c r="E2165" s="6" t="n">
        <v>40821.6180555556</v>
      </c>
      <c r="F2165" s="0" t="n">
        <v>4.15</v>
      </c>
      <c r="G2165" s="0" t="n">
        <v>12719</v>
      </c>
      <c r="H2165" s="0" t="s">
        <v>43</v>
      </c>
      <c r="I2165" s="7" t="n">
        <f aca="false">IF(AND(LEFT(A2165,1)&lt;&gt;"C",D2165&gt;0,F2165&gt;0),1,0)</f>
        <v>1</v>
      </c>
      <c r="J2165" s="7" t="n">
        <f aca="false">IF(I2165=1,D2165*F2165,0)</f>
        <v>16.6</v>
      </c>
      <c r="K2165" s="7" t="n">
        <f aca="false">YEAR(E2165)*100+MONTH(E2165)</f>
        <v>201110</v>
      </c>
      <c r="L2165" s="7" t="n">
        <f aca="false">IF(AND(A2165&lt;&gt;A2164,LEFT(A2165,1)&lt;&gt;"C"),1,0)</f>
        <v>0</v>
      </c>
    </row>
    <row r="2166" customFormat="false" ht="15" hidden="false" customHeight="false" outlineLevel="0" collapsed="false">
      <c r="A2166" s="0" t="s">
        <v>1748</v>
      </c>
      <c r="B2166" s="0" t="s">
        <v>804</v>
      </c>
      <c r="C2166" s="0" t="s">
        <v>805</v>
      </c>
      <c r="D2166" s="0" t="n">
        <v>3</v>
      </c>
      <c r="E2166" s="6" t="n">
        <v>40821.6180555556</v>
      </c>
      <c r="F2166" s="0" t="n">
        <v>4.95</v>
      </c>
      <c r="G2166" s="0" t="n">
        <v>12719</v>
      </c>
      <c r="H2166" s="0" t="s">
        <v>43</v>
      </c>
      <c r="I2166" s="7" t="n">
        <f aca="false">IF(AND(LEFT(A2166,1)&lt;&gt;"C",D2166&gt;0,F2166&gt;0),1,0)</f>
        <v>1</v>
      </c>
      <c r="J2166" s="7" t="n">
        <f aca="false">IF(I2166=1,D2166*F2166,0)</f>
        <v>14.85</v>
      </c>
      <c r="K2166" s="7" t="n">
        <f aca="false">YEAR(E2166)*100+MONTH(E2166)</f>
        <v>201110</v>
      </c>
      <c r="L2166" s="7" t="n">
        <f aca="false">IF(AND(A2166&lt;&gt;A2165,LEFT(A2166,1)&lt;&gt;"C"),1,0)</f>
        <v>0</v>
      </c>
    </row>
    <row r="2167" customFormat="false" ht="15" hidden="false" customHeight="false" outlineLevel="0" collapsed="false">
      <c r="A2167" s="0" t="s">
        <v>1748</v>
      </c>
      <c r="B2167" s="0" t="s">
        <v>1761</v>
      </c>
      <c r="C2167" s="0" t="s">
        <v>1762</v>
      </c>
      <c r="D2167" s="0" t="n">
        <v>2</v>
      </c>
      <c r="E2167" s="6" t="n">
        <v>40821.6180555556</v>
      </c>
      <c r="F2167" s="0" t="n">
        <v>8.5</v>
      </c>
      <c r="G2167" s="0" t="n">
        <v>12719</v>
      </c>
      <c r="H2167" s="0" t="s">
        <v>43</v>
      </c>
      <c r="I2167" s="7" t="n">
        <f aca="false">IF(AND(LEFT(A2167,1)&lt;&gt;"C",D2167&gt;0,F2167&gt;0),1,0)</f>
        <v>1</v>
      </c>
      <c r="J2167" s="7" t="n">
        <f aca="false">IF(I2167=1,D2167*F2167,0)</f>
        <v>17</v>
      </c>
      <c r="K2167" s="7" t="n">
        <f aca="false">YEAR(E2167)*100+MONTH(E2167)</f>
        <v>201110</v>
      </c>
      <c r="L2167" s="7" t="n">
        <f aca="false">IF(AND(A2167&lt;&gt;A2166,LEFT(A2167,1)&lt;&gt;"C"),1,0)</f>
        <v>0</v>
      </c>
    </row>
    <row r="2168" customFormat="false" ht="15" hidden="false" customHeight="false" outlineLevel="0" collapsed="false">
      <c r="A2168" s="0" t="s">
        <v>1748</v>
      </c>
      <c r="B2168" s="0" t="s">
        <v>966</v>
      </c>
      <c r="C2168" s="0" t="s">
        <v>967</v>
      </c>
      <c r="D2168" s="0" t="n">
        <v>24</v>
      </c>
      <c r="E2168" s="6" t="n">
        <v>40821.6180555556</v>
      </c>
      <c r="F2168" s="0" t="n">
        <v>0.55</v>
      </c>
      <c r="G2168" s="0" t="n">
        <v>12719</v>
      </c>
      <c r="H2168" s="0" t="s">
        <v>43</v>
      </c>
      <c r="I2168" s="7" t="n">
        <f aca="false">IF(AND(LEFT(A2168,1)&lt;&gt;"C",D2168&gt;0,F2168&gt;0),1,0)</f>
        <v>1</v>
      </c>
      <c r="J2168" s="7" t="n">
        <f aca="false">IF(I2168=1,D2168*F2168,0)</f>
        <v>13.2</v>
      </c>
      <c r="K2168" s="7" t="n">
        <f aca="false">YEAR(E2168)*100+MONTH(E2168)</f>
        <v>201110</v>
      </c>
      <c r="L2168" s="7" t="n">
        <f aca="false">IF(AND(A2168&lt;&gt;A2167,LEFT(A2168,1)&lt;&gt;"C"),1,0)</f>
        <v>0</v>
      </c>
    </row>
    <row r="2169" customFormat="false" ht="15" hidden="false" customHeight="false" outlineLevel="0" collapsed="false">
      <c r="A2169" s="0" t="s">
        <v>1748</v>
      </c>
      <c r="B2169" s="0" t="s">
        <v>1120</v>
      </c>
      <c r="C2169" s="0" t="s">
        <v>1121</v>
      </c>
      <c r="D2169" s="0" t="n">
        <v>4</v>
      </c>
      <c r="E2169" s="6" t="n">
        <v>40821.6180555556</v>
      </c>
      <c r="F2169" s="0" t="n">
        <v>3.75</v>
      </c>
      <c r="G2169" s="0" t="n">
        <v>12719</v>
      </c>
      <c r="H2169" s="0" t="s">
        <v>43</v>
      </c>
      <c r="I2169" s="7" t="n">
        <f aca="false">IF(AND(LEFT(A2169,1)&lt;&gt;"C",D2169&gt;0,F2169&gt;0),1,0)</f>
        <v>1</v>
      </c>
      <c r="J2169" s="7" t="n">
        <f aca="false">IF(I2169=1,D2169*F2169,0)</f>
        <v>15</v>
      </c>
      <c r="K2169" s="7" t="n">
        <f aca="false">YEAR(E2169)*100+MONTH(E2169)</f>
        <v>201110</v>
      </c>
      <c r="L2169" s="7" t="n">
        <f aca="false">IF(AND(A2169&lt;&gt;A2168,LEFT(A2169,1)&lt;&gt;"C"),1,0)</f>
        <v>0</v>
      </c>
    </row>
    <row r="2170" customFormat="false" ht="15" hidden="false" customHeight="false" outlineLevel="0" collapsed="false">
      <c r="A2170" s="0" t="s">
        <v>1748</v>
      </c>
      <c r="B2170" s="0" t="s">
        <v>84</v>
      </c>
      <c r="C2170" s="0" t="s">
        <v>85</v>
      </c>
      <c r="D2170" s="0" t="n">
        <v>2</v>
      </c>
      <c r="E2170" s="6" t="n">
        <v>40821.6180555556</v>
      </c>
      <c r="F2170" s="0" t="n">
        <v>18</v>
      </c>
      <c r="G2170" s="0" t="n">
        <v>12719</v>
      </c>
      <c r="H2170" s="0" t="s">
        <v>43</v>
      </c>
      <c r="I2170" s="7" t="n">
        <f aca="false">IF(AND(LEFT(A2170,1)&lt;&gt;"C",D2170&gt;0,F2170&gt;0),1,0)</f>
        <v>1</v>
      </c>
      <c r="J2170" s="7" t="n">
        <f aca="false">IF(I2170=1,D2170*F2170,0)</f>
        <v>36</v>
      </c>
      <c r="K2170" s="7" t="n">
        <f aca="false">YEAR(E2170)*100+MONTH(E2170)</f>
        <v>201110</v>
      </c>
      <c r="L2170" s="7" t="n">
        <f aca="false">IF(AND(A2170&lt;&gt;A2169,LEFT(A2170,1)&lt;&gt;"C"),1,0)</f>
        <v>0</v>
      </c>
    </row>
    <row r="2171" customFormat="false" ht="15" hidden="false" customHeight="false" outlineLevel="0" collapsed="false">
      <c r="A2171" s="0" t="s">
        <v>1763</v>
      </c>
      <c r="B2171" s="0" t="s">
        <v>1764</v>
      </c>
      <c r="C2171" s="0" t="s">
        <v>1765</v>
      </c>
      <c r="D2171" s="0" t="n">
        <v>1</v>
      </c>
      <c r="E2171" s="6" t="n">
        <v>40821.6611111111</v>
      </c>
      <c r="F2171" s="0" t="n">
        <v>1.65</v>
      </c>
      <c r="G2171" s="0" t="n">
        <v>12723</v>
      </c>
      <c r="H2171" s="0" t="s">
        <v>43</v>
      </c>
      <c r="I2171" s="7" t="n">
        <f aca="false">IF(AND(LEFT(A2171,1)&lt;&gt;"C",D2171&gt;0,F2171&gt;0),1,0)</f>
        <v>1</v>
      </c>
      <c r="J2171" s="7" t="n">
        <f aca="false">IF(I2171=1,D2171*F2171,0)</f>
        <v>1.65</v>
      </c>
      <c r="K2171" s="7" t="n">
        <f aca="false">YEAR(E2171)*100+MONTH(E2171)</f>
        <v>201110</v>
      </c>
      <c r="L2171" s="7" t="n">
        <f aca="false">IF(AND(A2171&lt;&gt;A2170,LEFT(A2171,1)&lt;&gt;"C"),1,0)</f>
        <v>1</v>
      </c>
    </row>
    <row r="2172" customFormat="false" ht="15" hidden="false" customHeight="false" outlineLevel="0" collapsed="false">
      <c r="A2172" s="0" t="s">
        <v>1763</v>
      </c>
      <c r="B2172" s="0" t="s">
        <v>1755</v>
      </c>
      <c r="C2172" s="0" t="s">
        <v>1756</v>
      </c>
      <c r="D2172" s="0" t="n">
        <v>6</v>
      </c>
      <c r="E2172" s="6" t="n">
        <v>40821.6611111111</v>
      </c>
      <c r="F2172" s="0" t="n">
        <v>2.55</v>
      </c>
      <c r="G2172" s="0" t="n">
        <v>12723</v>
      </c>
      <c r="H2172" s="0" t="s">
        <v>43</v>
      </c>
      <c r="I2172" s="7" t="n">
        <f aca="false">IF(AND(LEFT(A2172,1)&lt;&gt;"C",D2172&gt;0,F2172&gt;0),1,0)</f>
        <v>1</v>
      </c>
      <c r="J2172" s="7" t="n">
        <f aca="false">IF(I2172=1,D2172*F2172,0)</f>
        <v>15.3</v>
      </c>
      <c r="K2172" s="7" t="n">
        <f aca="false">YEAR(E2172)*100+MONTH(E2172)</f>
        <v>201110</v>
      </c>
      <c r="L2172" s="7" t="n">
        <f aca="false">IF(AND(A2172&lt;&gt;A2171,LEFT(A2172,1)&lt;&gt;"C"),1,0)</f>
        <v>0</v>
      </c>
    </row>
    <row r="2173" customFormat="false" ht="15" hidden="false" customHeight="false" outlineLevel="0" collapsed="false">
      <c r="A2173" s="0" t="s">
        <v>1763</v>
      </c>
      <c r="B2173" s="0" t="s">
        <v>1017</v>
      </c>
      <c r="C2173" s="0" t="s">
        <v>1018</v>
      </c>
      <c r="D2173" s="0" t="n">
        <v>6</v>
      </c>
      <c r="E2173" s="6" t="n">
        <v>40821.6611111111</v>
      </c>
      <c r="F2173" s="0" t="n">
        <v>2.55</v>
      </c>
      <c r="G2173" s="0" t="n">
        <v>12723</v>
      </c>
      <c r="H2173" s="0" t="s">
        <v>43</v>
      </c>
      <c r="I2173" s="7" t="n">
        <f aca="false">IF(AND(LEFT(A2173,1)&lt;&gt;"C",D2173&gt;0,F2173&gt;0),1,0)</f>
        <v>1</v>
      </c>
      <c r="J2173" s="7" t="n">
        <f aca="false">IF(I2173=1,D2173*F2173,0)</f>
        <v>15.3</v>
      </c>
      <c r="K2173" s="7" t="n">
        <f aca="false">YEAR(E2173)*100+MONTH(E2173)</f>
        <v>201110</v>
      </c>
      <c r="L2173" s="7" t="n">
        <f aca="false">IF(AND(A2173&lt;&gt;A2172,LEFT(A2173,1)&lt;&gt;"C"),1,0)</f>
        <v>0</v>
      </c>
    </row>
    <row r="2174" customFormat="false" ht="15" hidden="false" customHeight="false" outlineLevel="0" collapsed="false">
      <c r="A2174" s="0" t="s">
        <v>1763</v>
      </c>
      <c r="B2174" s="0" t="s">
        <v>72</v>
      </c>
      <c r="C2174" s="0" t="s">
        <v>73</v>
      </c>
      <c r="D2174" s="0" t="n">
        <v>3</v>
      </c>
      <c r="E2174" s="6" t="n">
        <v>40821.6611111111</v>
      </c>
      <c r="F2174" s="0" t="n">
        <v>1.95</v>
      </c>
      <c r="G2174" s="0" t="n">
        <v>12723</v>
      </c>
      <c r="H2174" s="0" t="s">
        <v>43</v>
      </c>
      <c r="I2174" s="7" t="n">
        <f aca="false">IF(AND(LEFT(A2174,1)&lt;&gt;"C",D2174&gt;0,F2174&gt;0),1,0)</f>
        <v>1</v>
      </c>
      <c r="J2174" s="7" t="n">
        <f aca="false">IF(I2174=1,D2174*F2174,0)</f>
        <v>5.85</v>
      </c>
      <c r="K2174" s="7" t="n">
        <f aca="false">YEAR(E2174)*100+MONTH(E2174)</f>
        <v>201110</v>
      </c>
      <c r="L2174" s="7" t="n">
        <f aca="false">IF(AND(A2174&lt;&gt;A2173,LEFT(A2174,1)&lt;&gt;"C"),1,0)</f>
        <v>0</v>
      </c>
    </row>
    <row r="2175" customFormat="false" ht="15" hidden="false" customHeight="false" outlineLevel="0" collapsed="false">
      <c r="A2175" s="0" t="s">
        <v>1763</v>
      </c>
      <c r="B2175" s="0" t="s">
        <v>557</v>
      </c>
      <c r="C2175" s="0" t="s">
        <v>558</v>
      </c>
      <c r="D2175" s="0" t="n">
        <v>2</v>
      </c>
      <c r="E2175" s="6" t="n">
        <v>40821.6611111111</v>
      </c>
      <c r="F2175" s="0" t="n">
        <v>1.95</v>
      </c>
      <c r="G2175" s="0" t="n">
        <v>12723</v>
      </c>
      <c r="H2175" s="0" t="s">
        <v>43</v>
      </c>
      <c r="I2175" s="7" t="n">
        <f aca="false">IF(AND(LEFT(A2175,1)&lt;&gt;"C",D2175&gt;0,F2175&gt;0),1,0)</f>
        <v>1</v>
      </c>
      <c r="J2175" s="7" t="n">
        <f aca="false">IF(I2175=1,D2175*F2175,0)</f>
        <v>3.9</v>
      </c>
      <c r="K2175" s="7" t="n">
        <f aca="false">YEAR(E2175)*100+MONTH(E2175)</f>
        <v>201110</v>
      </c>
      <c r="L2175" s="7" t="n">
        <f aca="false">IF(AND(A2175&lt;&gt;A2174,LEFT(A2175,1)&lt;&gt;"C"),1,0)</f>
        <v>0</v>
      </c>
    </row>
    <row r="2176" customFormat="false" ht="15" hidden="false" customHeight="false" outlineLevel="0" collapsed="false">
      <c r="A2176" s="0" t="s">
        <v>1763</v>
      </c>
      <c r="B2176" s="0" t="s">
        <v>1766</v>
      </c>
      <c r="C2176" s="0" t="s">
        <v>1767</v>
      </c>
      <c r="D2176" s="0" t="n">
        <v>2</v>
      </c>
      <c r="E2176" s="6" t="n">
        <v>40821.6611111111</v>
      </c>
      <c r="F2176" s="0" t="n">
        <v>2.95</v>
      </c>
      <c r="G2176" s="0" t="n">
        <v>12723</v>
      </c>
      <c r="H2176" s="0" t="s">
        <v>43</v>
      </c>
      <c r="I2176" s="7" t="n">
        <f aca="false">IF(AND(LEFT(A2176,1)&lt;&gt;"C",D2176&gt;0,F2176&gt;0),1,0)</f>
        <v>1</v>
      </c>
      <c r="J2176" s="7" t="n">
        <f aca="false">IF(I2176=1,D2176*F2176,0)</f>
        <v>5.9</v>
      </c>
      <c r="K2176" s="7" t="n">
        <f aca="false">YEAR(E2176)*100+MONTH(E2176)</f>
        <v>201110</v>
      </c>
      <c r="L2176" s="7" t="n">
        <f aca="false">IF(AND(A2176&lt;&gt;A2175,LEFT(A2176,1)&lt;&gt;"C"),1,0)</f>
        <v>0</v>
      </c>
    </row>
    <row r="2177" customFormat="false" ht="15" hidden="false" customHeight="false" outlineLevel="0" collapsed="false">
      <c r="A2177" s="0" t="s">
        <v>1763</v>
      </c>
      <c r="B2177" s="0" t="s">
        <v>1768</v>
      </c>
      <c r="C2177" s="0" t="s">
        <v>1769</v>
      </c>
      <c r="D2177" s="0" t="n">
        <v>1</v>
      </c>
      <c r="E2177" s="6" t="n">
        <v>40821.6611111111</v>
      </c>
      <c r="F2177" s="0" t="n">
        <v>3.75</v>
      </c>
      <c r="G2177" s="0" t="n">
        <v>12723</v>
      </c>
      <c r="H2177" s="0" t="s">
        <v>43</v>
      </c>
      <c r="I2177" s="7" t="n">
        <f aca="false">IF(AND(LEFT(A2177,1)&lt;&gt;"C",D2177&gt;0,F2177&gt;0),1,0)</f>
        <v>1</v>
      </c>
      <c r="J2177" s="7" t="n">
        <f aca="false">IF(I2177=1,D2177*F2177,0)</f>
        <v>3.75</v>
      </c>
      <c r="K2177" s="7" t="n">
        <f aca="false">YEAR(E2177)*100+MONTH(E2177)</f>
        <v>201110</v>
      </c>
      <c r="L2177" s="7" t="n">
        <f aca="false">IF(AND(A2177&lt;&gt;A2176,LEFT(A2177,1)&lt;&gt;"C"),1,0)</f>
        <v>0</v>
      </c>
    </row>
    <row r="2178" customFormat="false" ht="15" hidden="false" customHeight="false" outlineLevel="0" collapsed="false">
      <c r="A2178" s="0" t="s">
        <v>1763</v>
      </c>
      <c r="B2178" s="0" t="s">
        <v>1770</v>
      </c>
      <c r="C2178" s="0" t="s">
        <v>1771</v>
      </c>
      <c r="D2178" s="0" t="n">
        <v>1</v>
      </c>
      <c r="E2178" s="6" t="n">
        <v>40821.6611111111</v>
      </c>
      <c r="F2178" s="0" t="n">
        <v>3.75</v>
      </c>
      <c r="G2178" s="0" t="n">
        <v>12723</v>
      </c>
      <c r="H2178" s="0" t="s">
        <v>43</v>
      </c>
      <c r="I2178" s="7" t="n">
        <f aca="false">IF(AND(LEFT(A2178,1)&lt;&gt;"C",D2178&gt;0,F2178&gt;0),1,0)</f>
        <v>1</v>
      </c>
      <c r="J2178" s="7" t="n">
        <f aca="false">IF(I2178=1,D2178*F2178,0)</f>
        <v>3.75</v>
      </c>
      <c r="K2178" s="7" t="n">
        <f aca="false">YEAR(E2178)*100+MONTH(E2178)</f>
        <v>201110</v>
      </c>
      <c r="L2178" s="7" t="n">
        <f aca="false">IF(AND(A2178&lt;&gt;A2177,LEFT(A2178,1)&lt;&gt;"C"),1,0)</f>
        <v>0</v>
      </c>
    </row>
    <row r="2179" customFormat="false" ht="15" hidden="false" customHeight="false" outlineLevel="0" collapsed="false">
      <c r="A2179" s="0" t="s">
        <v>1763</v>
      </c>
      <c r="B2179" s="0" t="s">
        <v>1772</v>
      </c>
      <c r="C2179" s="0" t="s">
        <v>1773</v>
      </c>
      <c r="D2179" s="0" t="n">
        <v>1</v>
      </c>
      <c r="E2179" s="6" t="n">
        <v>40821.6611111111</v>
      </c>
      <c r="F2179" s="0" t="n">
        <v>3.75</v>
      </c>
      <c r="G2179" s="0" t="n">
        <v>12723</v>
      </c>
      <c r="H2179" s="0" t="s">
        <v>43</v>
      </c>
      <c r="I2179" s="7" t="n">
        <f aca="false">IF(AND(LEFT(A2179,1)&lt;&gt;"C",D2179&gt;0,F2179&gt;0),1,0)</f>
        <v>1</v>
      </c>
      <c r="J2179" s="7" t="n">
        <f aca="false">IF(I2179=1,D2179*F2179,0)</f>
        <v>3.75</v>
      </c>
      <c r="K2179" s="7" t="n">
        <f aca="false">YEAR(E2179)*100+MONTH(E2179)</f>
        <v>201110</v>
      </c>
      <c r="L2179" s="7" t="n">
        <f aca="false">IF(AND(A2179&lt;&gt;A2178,LEFT(A2179,1)&lt;&gt;"C"),1,0)</f>
        <v>0</v>
      </c>
    </row>
    <row r="2180" customFormat="false" ht="15" hidden="false" customHeight="false" outlineLevel="0" collapsed="false">
      <c r="A2180" s="0" t="s">
        <v>1763</v>
      </c>
      <c r="B2180" s="0" t="s">
        <v>374</v>
      </c>
      <c r="C2180" s="0" t="s">
        <v>375</v>
      </c>
      <c r="D2180" s="0" t="n">
        <v>2</v>
      </c>
      <c r="E2180" s="6" t="n">
        <v>40821.6611111111</v>
      </c>
      <c r="F2180" s="0" t="n">
        <v>1.25</v>
      </c>
      <c r="G2180" s="0" t="n">
        <v>12723</v>
      </c>
      <c r="H2180" s="0" t="s">
        <v>43</v>
      </c>
      <c r="I2180" s="7" t="n">
        <f aca="false">IF(AND(LEFT(A2180,1)&lt;&gt;"C",D2180&gt;0,F2180&gt;0),1,0)</f>
        <v>1</v>
      </c>
      <c r="J2180" s="7" t="n">
        <f aca="false">IF(I2180=1,D2180*F2180,0)</f>
        <v>2.5</v>
      </c>
      <c r="K2180" s="7" t="n">
        <f aca="false">YEAR(E2180)*100+MONTH(E2180)</f>
        <v>201110</v>
      </c>
      <c r="L2180" s="7" t="n">
        <f aca="false">IF(AND(A2180&lt;&gt;A2179,LEFT(A2180,1)&lt;&gt;"C"),1,0)</f>
        <v>0</v>
      </c>
    </row>
    <row r="2181" customFormat="false" ht="15" hidden="false" customHeight="false" outlineLevel="0" collapsed="false">
      <c r="A2181" s="0" t="s">
        <v>1763</v>
      </c>
      <c r="B2181" s="0" t="s">
        <v>657</v>
      </c>
      <c r="C2181" s="0" t="s">
        <v>658</v>
      </c>
      <c r="D2181" s="0" t="n">
        <v>3</v>
      </c>
      <c r="E2181" s="6" t="n">
        <v>40821.6611111111</v>
      </c>
      <c r="F2181" s="0" t="n">
        <v>1.25</v>
      </c>
      <c r="G2181" s="0" t="n">
        <v>12723</v>
      </c>
      <c r="H2181" s="0" t="s">
        <v>43</v>
      </c>
      <c r="I2181" s="7" t="n">
        <f aca="false">IF(AND(LEFT(A2181,1)&lt;&gt;"C",D2181&gt;0,F2181&gt;0),1,0)</f>
        <v>1</v>
      </c>
      <c r="J2181" s="7" t="n">
        <f aca="false">IF(I2181=1,D2181*F2181,0)</f>
        <v>3.75</v>
      </c>
      <c r="K2181" s="7" t="n">
        <f aca="false">YEAR(E2181)*100+MONTH(E2181)</f>
        <v>201110</v>
      </c>
      <c r="L2181" s="7" t="n">
        <f aca="false">IF(AND(A2181&lt;&gt;A2180,LEFT(A2181,1)&lt;&gt;"C"),1,0)</f>
        <v>0</v>
      </c>
    </row>
    <row r="2182" customFormat="false" ht="15" hidden="false" customHeight="false" outlineLevel="0" collapsed="false">
      <c r="A2182" s="0" t="s">
        <v>1763</v>
      </c>
      <c r="B2182" s="0" t="s">
        <v>655</v>
      </c>
      <c r="C2182" s="0" t="s">
        <v>656</v>
      </c>
      <c r="D2182" s="0" t="n">
        <v>1</v>
      </c>
      <c r="E2182" s="6" t="n">
        <v>40821.6611111111</v>
      </c>
      <c r="F2182" s="0" t="n">
        <v>3.75</v>
      </c>
      <c r="G2182" s="0" t="n">
        <v>12723</v>
      </c>
      <c r="H2182" s="0" t="s">
        <v>43</v>
      </c>
      <c r="I2182" s="7" t="n">
        <f aca="false">IF(AND(LEFT(A2182,1)&lt;&gt;"C",D2182&gt;0,F2182&gt;0),1,0)</f>
        <v>1</v>
      </c>
      <c r="J2182" s="7" t="n">
        <f aca="false">IF(I2182=1,D2182*F2182,0)</f>
        <v>3.75</v>
      </c>
      <c r="K2182" s="7" t="n">
        <f aca="false">YEAR(E2182)*100+MONTH(E2182)</f>
        <v>201110</v>
      </c>
      <c r="L2182" s="7" t="n">
        <f aca="false">IF(AND(A2182&lt;&gt;A2181,LEFT(A2182,1)&lt;&gt;"C"),1,0)</f>
        <v>0</v>
      </c>
    </row>
    <row r="2183" customFormat="false" ht="15" hidden="false" customHeight="false" outlineLevel="0" collapsed="false">
      <c r="A2183" s="0" t="s">
        <v>1763</v>
      </c>
      <c r="B2183" s="0" t="s">
        <v>1774</v>
      </c>
      <c r="C2183" s="0" t="s">
        <v>1775</v>
      </c>
      <c r="D2183" s="0" t="n">
        <v>1</v>
      </c>
      <c r="E2183" s="6" t="n">
        <v>40821.6611111111</v>
      </c>
      <c r="F2183" s="0" t="n">
        <v>3.75</v>
      </c>
      <c r="G2183" s="0" t="n">
        <v>12723</v>
      </c>
      <c r="H2183" s="0" t="s">
        <v>43</v>
      </c>
      <c r="I2183" s="7" t="n">
        <f aca="false">IF(AND(LEFT(A2183,1)&lt;&gt;"C",D2183&gt;0,F2183&gt;0),1,0)</f>
        <v>1</v>
      </c>
      <c r="J2183" s="7" t="n">
        <f aca="false">IF(I2183=1,D2183*F2183,0)</f>
        <v>3.75</v>
      </c>
      <c r="K2183" s="7" t="n">
        <f aca="false">YEAR(E2183)*100+MONTH(E2183)</f>
        <v>201110</v>
      </c>
      <c r="L2183" s="7" t="n">
        <f aca="false">IF(AND(A2183&lt;&gt;A2182,LEFT(A2183,1)&lt;&gt;"C"),1,0)</f>
        <v>0</v>
      </c>
    </row>
    <row r="2184" customFormat="false" ht="15" hidden="false" customHeight="false" outlineLevel="0" collapsed="false">
      <c r="A2184" s="0" t="s">
        <v>1763</v>
      </c>
      <c r="B2184" s="0" t="s">
        <v>1665</v>
      </c>
      <c r="C2184" s="0" t="s">
        <v>1666</v>
      </c>
      <c r="D2184" s="0" t="n">
        <v>1</v>
      </c>
      <c r="E2184" s="6" t="n">
        <v>40821.6611111111</v>
      </c>
      <c r="F2184" s="0" t="n">
        <v>8.5</v>
      </c>
      <c r="G2184" s="0" t="n">
        <v>12723</v>
      </c>
      <c r="H2184" s="0" t="s">
        <v>43</v>
      </c>
      <c r="I2184" s="7" t="n">
        <f aca="false">IF(AND(LEFT(A2184,1)&lt;&gt;"C",D2184&gt;0,F2184&gt;0),1,0)</f>
        <v>1</v>
      </c>
      <c r="J2184" s="7" t="n">
        <f aca="false">IF(I2184=1,D2184*F2184,0)</f>
        <v>8.5</v>
      </c>
      <c r="K2184" s="7" t="n">
        <f aca="false">YEAR(E2184)*100+MONTH(E2184)</f>
        <v>201110</v>
      </c>
      <c r="L2184" s="7" t="n">
        <f aca="false">IF(AND(A2184&lt;&gt;A2183,LEFT(A2184,1)&lt;&gt;"C"),1,0)</f>
        <v>0</v>
      </c>
    </row>
    <row r="2185" customFormat="false" ht="15" hidden="false" customHeight="false" outlineLevel="0" collapsed="false">
      <c r="A2185" s="0" t="s">
        <v>1763</v>
      </c>
      <c r="B2185" s="0" t="s">
        <v>647</v>
      </c>
      <c r="C2185" s="0" t="s">
        <v>648</v>
      </c>
      <c r="D2185" s="0" t="n">
        <v>2</v>
      </c>
      <c r="E2185" s="6" t="n">
        <v>40821.6611111111</v>
      </c>
      <c r="F2185" s="0" t="n">
        <v>4.25</v>
      </c>
      <c r="G2185" s="0" t="n">
        <v>12723</v>
      </c>
      <c r="H2185" s="0" t="s">
        <v>43</v>
      </c>
      <c r="I2185" s="7" t="n">
        <f aca="false">IF(AND(LEFT(A2185,1)&lt;&gt;"C",D2185&gt;0,F2185&gt;0),1,0)</f>
        <v>1</v>
      </c>
      <c r="J2185" s="7" t="n">
        <f aca="false">IF(I2185=1,D2185*F2185,0)</f>
        <v>8.5</v>
      </c>
      <c r="K2185" s="7" t="n">
        <f aca="false">YEAR(E2185)*100+MONTH(E2185)</f>
        <v>201110</v>
      </c>
      <c r="L2185" s="7" t="n">
        <f aca="false">IF(AND(A2185&lt;&gt;A2184,LEFT(A2185,1)&lt;&gt;"C"),1,0)</f>
        <v>0</v>
      </c>
    </row>
    <row r="2186" customFormat="false" ht="15" hidden="false" customHeight="false" outlineLevel="0" collapsed="false">
      <c r="A2186" s="0" t="s">
        <v>1763</v>
      </c>
      <c r="B2186" s="0" t="s">
        <v>1776</v>
      </c>
      <c r="C2186" s="0" t="s">
        <v>1777</v>
      </c>
      <c r="D2186" s="0" t="n">
        <v>4</v>
      </c>
      <c r="E2186" s="6" t="n">
        <v>40821.6611111111</v>
      </c>
      <c r="F2186" s="0" t="n">
        <v>0.79</v>
      </c>
      <c r="G2186" s="0" t="n">
        <v>12723</v>
      </c>
      <c r="H2186" s="0" t="s">
        <v>43</v>
      </c>
      <c r="I2186" s="7" t="n">
        <f aca="false">IF(AND(LEFT(A2186,1)&lt;&gt;"C",D2186&gt;0,F2186&gt;0),1,0)</f>
        <v>1</v>
      </c>
      <c r="J2186" s="7" t="n">
        <f aca="false">IF(I2186=1,D2186*F2186,0)</f>
        <v>3.16</v>
      </c>
      <c r="K2186" s="7" t="n">
        <f aca="false">YEAR(E2186)*100+MONTH(E2186)</f>
        <v>201110</v>
      </c>
      <c r="L2186" s="7" t="n">
        <f aca="false">IF(AND(A2186&lt;&gt;A2185,LEFT(A2186,1)&lt;&gt;"C"),1,0)</f>
        <v>0</v>
      </c>
    </row>
    <row r="2187" customFormat="false" ht="15" hidden="false" customHeight="false" outlineLevel="0" collapsed="false">
      <c r="A2187" s="0" t="s">
        <v>1763</v>
      </c>
      <c r="B2187" s="0" t="s">
        <v>155</v>
      </c>
      <c r="C2187" s="0" t="s">
        <v>156</v>
      </c>
      <c r="D2187" s="0" t="n">
        <v>1</v>
      </c>
      <c r="E2187" s="6" t="n">
        <v>40821.6611111111</v>
      </c>
      <c r="F2187" s="0" t="n">
        <v>10.95</v>
      </c>
      <c r="G2187" s="0" t="n">
        <v>12723</v>
      </c>
      <c r="H2187" s="0" t="s">
        <v>43</v>
      </c>
      <c r="I2187" s="7" t="n">
        <f aca="false">IF(AND(LEFT(A2187,1)&lt;&gt;"C",D2187&gt;0,F2187&gt;0),1,0)</f>
        <v>1</v>
      </c>
      <c r="J2187" s="7" t="n">
        <f aca="false">IF(I2187=1,D2187*F2187,0)</f>
        <v>10.95</v>
      </c>
      <c r="K2187" s="7" t="n">
        <f aca="false">YEAR(E2187)*100+MONTH(E2187)</f>
        <v>201110</v>
      </c>
      <c r="L2187" s="7" t="n">
        <f aca="false">IF(AND(A2187&lt;&gt;A2186,LEFT(A2187,1)&lt;&gt;"C"),1,0)</f>
        <v>0</v>
      </c>
    </row>
    <row r="2188" customFormat="false" ht="15" hidden="false" customHeight="false" outlineLevel="0" collapsed="false">
      <c r="A2188" s="0" t="s">
        <v>1763</v>
      </c>
      <c r="B2188" s="0" t="s">
        <v>1013</v>
      </c>
      <c r="C2188" s="0" t="s">
        <v>1014</v>
      </c>
      <c r="D2188" s="0" t="n">
        <v>3</v>
      </c>
      <c r="E2188" s="6" t="n">
        <v>40821.6611111111</v>
      </c>
      <c r="F2188" s="0" t="n">
        <v>16.95</v>
      </c>
      <c r="G2188" s="0" t="n">
        <v>12723</v>
      </c>
      <c r="H2188" s="0" t="s">
        <v>43</v>
      </c>
      <c r="I2188" s="7" t="n">
        <f aca="false">IF(AND(LEFT(A2188,1)&lt;&gt;"C",D2188&gt;0,F2188&gt;0),1,0)</f>
        <v>1</v>
      </c>
      <c r="J2188" s="7" t="n">
        <f aca="false">IF(I2188=1,D2188*F2188,0)</f>
        <v>50.85</v>
      </c>
      <c r="K2188" s="7" t="n">
        <f aca="false">YEAR(E2188)*100+MONTH(E2188)</f>
        <v>201110</v>
      </c>
      <c r="L2188" s="7" t="n">
        <f aca="false">IF(AND(A2188&lt;&gt;A2187,LEFT(A2188,1)&lt;&gt;"C"),1,0)</f>
        <v>0</v>
      </c>
    </row>
    <row r="2189" customFormat="false" ht="15" hidden="false" customHeight="false" outlineLevel="0" collapsed="false">
      <c r="A2189" s="0" t="s">
        <v>1763</v>
      </c>
      <c r="B2189" s="0" t="s">
        <v>1778</v>
      </c>
      <c r="C2189" s="0" t="s">
        <v>1779</v>
      </c>
      <c r="D2189" s="0" t="n">
        <v>3</v>
      </c>
      <c r="E2189" s="6" t="n">
        <v>40821.6611111111</v>
      </c>
      <c r="F2189" s="0" t="n">
        <v>1.25</v>
      </c>
      <c r="G2189" s="0" t="n">
        <v>12723</v>
      </c>
      <c r="H2189" s="0" t="s">
        <v>43</v>
      </c>
      <c r="I2189" s="7" t="n">
        <f aca="false">IF(AND(LEFT(A2189,1)&lt;&gt;"C",D2189&gt;0,F2189&gt;0),1,0)</f>
        <v>1</v>
      </c>
      <c r="J2189" s="7" t="n">
        <f aca="false">IF(I2189=1,D2189*F2189,0)</f>
        <v>3.75</v>
      </c>
      <c r="K2189" s="7" t="n">
        <f aca="false">YEAR(E2189)*100+MONTH(E2189)</f>
        <v>201110</v>
      </c>
      <c r="L2189" s="7" t="n">
        <f aca="false">IF(AND(A2189&lt;&gt;A2188,LEFT(A2189,1)&lt;&gt;"C"),1,0)</f>
        <v>0</v>
      </c>
    </row>
    <row r="2190" customFormat="false" ht="15" hidden="false" customHeight="false" outlineLevel="0" collapsed="false">
      <c r="A2190" s="0" t="s">
        <v>1763</v>
      </c>
      <c r="B2190" s="0" t="s">
        <v>1780</v>
      </c>
      <c r="C2190" s="0" t="s">
        <v>1781</v>
      </c>
      <c r="D2190" s="0" t="n">
        <v>3</v>
      </c>
      <c r="E2190" s="6" t="n">
        <v>40821.6611111111</v>
      </c>
      <c r="F2190" s="0" t="n">
        <v>1.25</v>
      </c>
      <c r="G2190" s="0" t="n">
        <v>12723</v>
      </c>
      <c r="H2190" s="0" t="s">
        <v>43</v>
      </c>
      <c r="I2190" s="7" t="n">
        <f aca="false">IF(AND(LEFT(A2190,1)&lt;&gt;"C",D2190&gt;0,F2190&gt;0),1,0)</f>
        <v>1</v>
      </c>
      <c r="J2190" s="7" t="n">
        <f aca="false">IF(I2190=1,D2190*F2190,0)</f>
        <v>3.75</v>
      </c>
      <c r="K2190" s="7" t="n">
        <f aca="false">YEAR(E2190)*100+MONTH(E2190)</f>
        <v>201110</v>
      </c>
      <c r="L2190" s="7" t="n">
        <f aca="false">IF(AND(A2190&lt;&gt;A2189,LEFT(A2190,1)&lt;&gt;"C"),1,0)</f>
        <v>0</v>
      </c>
    </row>
    <row r="2191" customFormat="false" ht="15" hidden="false" customHeight="false" outlineLevel="0" collapsed="false">
      <c r="A2191" s="0" t="s">
        <v>1763</v>
      </c>
      <c r="B2191" s="0" t="s">
        <v>1782</v>
      </c>
      <c r="C2191" s="0" t="s">
        <v>1783</v>
      </c>
      <c r="D2191" s="0" t="n">
        <v>12</v>
      </c>
      <c r="E2191" s="6" t="n">
        <v>40821.6611111111</v>
      </c>
      <c r="F2191" s="0" t="n">
        <v>0.42</v>
      </c>
      <c r="G2191" s="0" t="n">
        <v>12723</v>
      </c>
      <c r="H2191" s="0" t="s">
        <v>43</v>
      </c>
      <c r="I2191" s="7" t="n">
        <f aca="false">IF(AND(LEFT(A2191,1)&lt;&gt;"C",D2191&gt;0,F2191&gt;0),1,0)</f>
        <v>1</v>
      </c>
      <c r="J2191" s="7" t="n">
        <f aca="false">IF(I2191=1,D2191*F2191,0)</f>
        <v>5.04</v>
      </c>
      <c r="K2191" s="7" t="n">
        <f aca="false">YEAR(E2191)*100+MONTH(E2191)</f>
        <v>201110</v>
      </c>
      <c r="L2191" s="7" t="n">
        <f aca="false">IF(AND(A2191&lt;&gt;A2190,LEFT(A2191,1)&lt;&gt;"C"),1,0)</f>
        <v>0</v>
      </c>
    </row>
    <row r="2192" customFormat="false" ht="15" hidden="false" customHeight="false" outlineLevel="0" collapsed="false">
      <c r="A2192" s="0" t="s">
        <v>1763</v>
      </c>
      <c r="B2192" s="0" t="s">
        <v>1784</v>
      </c>
      <c r="C2192" s="0" t="s">
        <v>1785</v>
      </c>
      <c r="D2192" s="0" t="n">
        <v>10</v>
      </c>
      <c r="E2192" s="6" t="n">
        <v>40821.6611111111</v>
      </c>
      <c r="F2192" s="0" t="n">
        <v>1.25</v>
      </c>
      <c r="G2192" s="0" t="n">
        <v>12723</v>
      </c>
      <c r="H2192" s="0" t="s">
        <v>43</v>
      </c>
      <c r="I2192" s="7" t="n">
        <f aca="false">IF(AND(LEFT(A2192,1)&lt;&gt;"C",D2192&gt;0,F2192&gt;0),1,0)</f>
        <v>1</v>
      </c>
      <c r="J2192" s="7" t="n">
        <f aca="false">IF(I2192=1,D2192*F2192,0)</f>
        <v>12.5</v>
      </c>
      <c r="K2192" s="7" t="n">
        <f aca="false">YEAR(E2192)*100+MONTH(E2192)</f>
        <v>201110</v>
      </c>
      <c r="L2192" s="7" t="n">
        <f aca="false">IF(AND(A2192&lt;&gt;A2191,LEFT(A2192,1)&lt;&gt;"C"),1,0)</f>
        <v>0</v>
      </c>
    </row>
    <row r="2193" customFormat="false" ht="15" hidden="false" customHeight="false" outlineLevel="0" collapsed="false">
      <c r="A2193" s="0" t="s">
        <v>1763</v>
      </c>
      <c r="B2193" s="0" t="s">
        <v>1501</v>
      </c>
      <c r="C2193" s="0" t="s">
        <v>1502</v>
      </c>
      <c r="D2193" s="0" t="n">
        <v>4</v>
      </c>
      <c r="E2193" s="6" t="n">
        <v>40821.6611111111</v>
      </c>
      <c r="F2193" s="0" t="n">
        <v>0.65</v>
      </c>
      <c r="G2193" s="0" t="n">
        <v>12723</v>
      </c>
      <c r="H2193" s="0" t="s">
        <v>43</v>
      </c>
      <c r="I2193" s="7" t="n">
        <f aca="false">IF(AND(LEFT(A2193,1)&lt;&gt;"C",D2193&gt;0,F2193&gt;0),1,0)</f>
        <v>1</v>
      </c>
      <c r="J2193" s="7" t="n">
        <f aca="false">IF(I2193=1,D2193*F2193,0)</f>
        <v>2.6</v>
      </c>
      <c r="K2193" s="7" t="n">
        <f aca="false">YEAR(E2193)*100+MONTH(E2193)</f>
        <v>201110</v>
      </c>
      <c r="L2193" s="7" t="n">
        <f aca="false">IF(AND(A2193&lt;&gt;A2192,LEFT(A2193,1)&lt;&gt;"C"),1,0)</f>
        <v>0</v>
      </c>
    </row>
    <row r="2194" customFormat="false" ht="15" hidden="false" customHeight="false" outlineLevel="0" collapsed="false">
      <c r="A2194" s="0" t="s">
        <v>1763</v>
      </c>
      <c r="B2194" s="0" t="s">
        <v>1680</v>
      </c>
      <c r="C2194" s="0" t="s">
        <v>1681</v>
      </c>
      <c r="D2194" s="0" t="n">
        <v>4</v>
      </c>
      <c r="E2194" s="6" t="n">
        <v>40821.6611111111</v>
      </c>
      <c r="F2194" s="0" t="n">
        <v>0.65</v>
      </c>
      <c r="G2194" s="0" t="n">
        <v>12723</v>
      </c>
      <c r="H2194" s="0" t="s">
        <v>43</v>
      </c>
      <c r="I2194" s="7" t="n">
        <f aca="false">IF(AND(LEFT(A2194,1)&lt;&gt;"C",D2194&gt;0,F2194&gt;0),1,0)</f>
        <v>1</v>
      </c>
      <c r="J2194" s="7" t="n">
        <f aca="false">IF(I2194=1,D2194*F2194,0)</f>
        <v>2.6</v>
      </c>
      <c r="K2194" s="7" t="n">
        <f aca="false">YEAR(E2194)*100+MONTH(E2194)</f>
        <v>201110</v>
      </c>
      <c r="L2194" s="7" t="n">
        <f aca="false">IF(AND(A2194&lt;&gt;A2193,LEFT(A2194,1)&lt;&gt;"C"),1,0)</f>
        <v>0</v>
      </c>
    </row>
    <row r="2195" customFormat="false" ht="15" hidden="false" customHeight="false" outlineLevel="0" collapsed="false">
      <c r="A2195" s="0" t="s">
        <v>1763</v>
      </c>
      <c r="B2195" s="0" t="s">
        <v>1786</v>
      </c>
      <c r="C2195" s="0" t="s">
        <v>1787</v>
      </c>
      <c r="D2195" s="0" t="n">
        <v>2</v>
      </c>
      <c r="E2195" s="6" t="n">
        <v>40821.6611111111</v>
      </c>
      <c r="F2195" s="0" t="n">
        <v>1.25</v>
      </c>
      <c r="G2195" s="0" t="n">
        <v>12723</v>
      </c>
      <c r="H2195" s="0" t="s">
        <v>43</v>
      </c>
      <c r="I2195" s="7" t="n">
        <f aca="false">IF(AND(LEFT(A2195,1)&lt;&gt;"C",D2195&gt;0,F2195&gt;0),1,0)</f>
        <v>1</v>
      </c>
      <c r="J2195" s="7" t="n">
        <f aca="false">IF(I2195=1,D2195*F2195,0)</f>
        <v>2.5</v>
      </c>
      <c r="K2195" s="7" t="n">
        <f aca="false">YEAR(E2195)*100+MONTH(E2195)</f>
        <v>201110</v>
      </c>
      <c r="L2195" s="7" t="n">
        <f aca="false">IF(AND(A2195&lt;&gt;A2194,LEFT(A2195,1)&lt;&gt;"C"),1,0)</f>
        <v>0</v>
      </c>
    </row>
    <row r="2196" customFormat="false" ht="15" hidden="false" customHeight="false" outlineLevel="0" collapsed="false">
      <c r="A2196" s="0" t="s">
        <v>1763</v>
      </c>
      <c r="B2196" s="0" t="s">
        <v>181</v>
      </c>
      <c r="C2196" s="0" t="s">
        <v>182</v>
      </c>
      <c r="D2196" s="0" t="n">
        <v>12</v>
      </c>
      <c r="E2196" s="6" t="n">
        <v>40821.6611111111</v>
      </c>
      <c r="F2196" s="0" t="n">
        <v>0.42</v>
      </c>
      <c r="G2196" s="0" t="n">
        <v>12723</v>
      </c>
      <c r="H2196" s="0" t="s">
        <v>43</v>
      </c>
      <c r="I2196" s="7" t="n">
        <f aca="false">IF(AND(LEFT(A2196,1)&lt;&gt;"C",D2196&gt;0,F2196&gt;0),1,0)</f>
        <v>1</v>
      </c>
      <c r="J2196" s="7" t="n">
        <f aca="false">IF(I2196=1,D2196*F2196,0)</f>
        <v>5.04</v>
      </c>
      <c r="K2196" s="7" t="n">
        <f aca="false">YEAR(E2196)*100+MONTH(E2196)</f>
        <v>201110</v>
      </c>
      <c r="L2196" s="7" t="n">
        <f aca="false">IF(AND(A2196&lt;&gt;A2195,LEFT(A2196,1)&lt;&gt;"C"),1,0)</f>
        <v>0</v>
      </c>
    </row>
    <row r="2197" customFormat="false" ht="15" hidden="false" customHeight="false" outlineLevel="0" collapsed="false">
      <c r="A2197" s="0" t="s">
        <v>1763</v>
      </c>
      <c r="B2197" s="0" t="s">
        <v>747</v>
      </c>
      <c r="C2197" s="0" t="s">
        <v>748</v>
      </c>
      <c r="D2197" s="0" t="n">
        <v>12</v>
      </c>
      <c r="E2197" s="6" t="n">
        <v>40821.6611111111</v>
      </c>
      <c r="F2197" s="0" t="n">
        <v>0.42</v>
      </c>
      <c r="G2197" s="0" t="n">
        <v>12723</v>
      </c>
      <c r="H2197" s="0" t="s">
        <v>43</v>
      </c>
      <c r="I2197" s="7" t="n">
        <f aca="false">IF(AND(LEFT(A2197,1)&lt;&gt;"C",D2197&gt;0,F2197&gt;0),1,0)</f>
        <v>1</v>
      </c>
      <c r="J2197" s="7" t="n">
        <f aca="false">IF(I2197=1,D2197*F2197,0)</f>
        <v>5.04</v>
      </c>
      <c r="K2197" s="7" t="n">
        <f aca="false">YEAR(E2197)*100+MONTH(E2197)</f>
        <v>201110</v>
      </c>
      <c r="L2197" s="7" t="n">
        <f aca="false">IF(AND(A2197&lt;&gt;A2196,LEFT(A2197,1)&lt;&gt;"C"),1,0)</f>
        <v>0</v>
      </c>
    </row>
    <row r="2198" customFormat="false" ht="15" hidden="false" customHeight="false" outlineLevel="0" collapsed="false">
      <c r="A2198" s="0" t="s">
        <v>1763</v>
      </c>
      <c r="B2198" s="0" t="s">
        <v>1788</v>
      </c>
      <c r="C2198" s="0" t="s">
        <v>1789</v>
      </c>
      <c r="D2198" s="0" t="n">
        <v>12</v>
      </c>
      <c r="E2198" s="6" t="n">
        <v>40821.6611111111</v>
      </c>
      <c r="F2198" s="0" t="n">
        <v>0.42</v>
      </c>
      <c r="G2198" s="0" t="n">
        <v>12723</v>
      </c>
      <c r="H2198" s="0" t="s">
        <v>43</v>
      </c>
      <c r="I2198" s="7" t="n">
        <f aca="false">IF(AND(LEFT(A2198,1)&lt;&gt;"C",D2198&gt;0,F2198&gt;0),1,0)</f>
        <v>1</v>
      </c>
      <c r="J2198" s="7" t="n">
        <f aca="false">IF(I2198=1,D2198*F2198,0)</f>
        <v>5.04</v>
      </c>
      <c r="K2198" s="7" t="n">
        <f aca="false">YEAR(E2198)*100+MONTH(E2198)</f>
        <v>201110</v>
      </c>
      <c r="L2198" s="7" t="n">
        <f aca="false">IF(AND(A2198&lt;&gt;A2197,LEFT(A2198,1)&lt;&gt;"C"),1,0)</f>
        <v>0</v>
      </c>
    </row>
    <row r="2199" customFormat="false" ht="15" hidden="false" customHeight="false" outlineLevel="0" collapsed="false">
      <c r="A2199" s="0" t="s">
        <v>1763</v>
      </c>
      <c r="B2199" s="0" t="s">
        <v>606</v>
      </c>
      <c r="C2199" s="0" t="s">
        <v>607</v>
      </c>
      <c r="D2199" s="0" t="n">
        <v>12</v>
      </c>
      <c r="E2199" s="6" t="n">
        <v>40821.6611111111</v>
      </c>
      <c r="F2199" s="0" t="n">
        <v>0.42</v>
      </c>
      <c r="G2199" s="0" t="n">
        <v>12723</v>
      </c>
      <c r="H2199" s="0" t="s">
        <v>43</v>
      </c>
      <c r="I2199" s="7" t="n">
        <f aca="false">IF(AND(LEFT(A2199,1)&lt;&gt;"C",D2199&gt;0,F2199&gt;0),1,0)</f>
        <v>1</v>
      </c>
      <c r="J2199" s="7" t="n">
        <f aca="false">IF(I2199=1,D2199*F2199,0)</f>
        <v>5.04</v>
      </c>
      <c r="K2199" s="7" t="n">
        <f aca="false">YEAR(E2199)*100+MONTH(E2199)</f>
        <v>201110</v>
      </c>
      <c r="L2199" s="7" t="n">
        <f aca="false">IF(AND(A2199&lt;&gt;A2198,LEFT(A2199,1)&lt;&gt;"C"),1,0)</f>
        <v>0</v>
      </c>
    </row>
    <row r="2200" customFormat="false" ht="15" hidden="false" customHeight="false" outlineLevel="0" collapsed="false">
      <c r="A2200" s="0" t="s">
        <v>1763</v>
      </c>
      <c r="B2200" s="0" t="s">
        <v>1790</v>
      </c>
      <c r="C2200" s="0" t="s">
        <v>1791</v>
      </c>
      <c r="D2200" s="0" t="n">
        <v>24</v>
      </c>
      <c r="E2200" s="6" t="n">
        <v>40821.6611111111</v>
      </c>
      <c r="F2200" s="0" t="n">
        <v>0.42</v>
      </c>
      <c r="G2200" s="0" t="n">
        <v>12723</v>
      </c>
      <c r="H2200" s="0" t="s">
        <v>43</v>
      </c>
      <c r="I2200" s="7" t="n">
        <f aca="false">IF(AND(LEFT(A2200,1)&lt;&gt;"C",D2200&gt;0,F2200&gt;0),1,0)</f>
        <v>1</v>
      </c>
      <c r="J2200" s="7" t="n">
        <f aca="false">IF(I2200=1,D2200*F2200,0)</f>
        <v>10.08</v>
      </c>
      <c r="K2200" s="7" t="n">
        <f aca="false">YEAR(E2200)*100+MONTH(E2200)</f>
        <v>201110</v>
      </c>
      <c r="L2200" s="7" t="n">
        <f aca="false">IF(AND(A2200&lt;&gt;A2199,LEFT(A2200,1)&lt;&gt;"C"),1,0)</f>
        <v>0</v>
      </c>
    </row>
    <row r="2201" customFormat="false" ht="15" hidden="false" customHeight="false" outlineLevel="0" collapsed="false">
      <c r="A2201" s="0" t="s">
        <v>1763</v>
      </c>
      <c r="B2201" s="0" t="s">
        <v>1792</v>
      </c>
      <c r="C2201" s="0" t="s">
        <v>1793</v>
      </c>
      <c r="D2201" s="0" t="n">
        <v>3</v>
      </c>
      <c r="E2201" s="6" t="n">
        <v>40821.6611111111</v>
      </c>
      <c r="F2201" s="0" t="n">
        <v>2.95</v>
      </c>
      <c r="G2201" s="0" t="n">
        <v>12723</v>
      </c>
      <c r="H2201" s="0" t="s">
        <v>43</v>
      </c>
      <c r="I2201" s="7" t="n">
        <f aca="false">IF(AND(LEFT(A2201,1)&lt;&gt;"C",D2201&gt;0,F2201&gt;0),1,0)</f>
        <v>1</v>
      </c>
      <c r="J2201" s="7" t="n">
        <f aca="false">IF(I2201=1,D2201*F2201,0)</f>
        <v>8.85</v>
      </c>
      <c r="K2201" s="7" t="n">
        <f aca="false">YEAR(E2201)*100+MONTH(E2201)</f>
        <v>201110</v>
      </c>
      <c r="L2201" s="7" t="n">
        <f aca="false">IF(AND(A2201&lt;&gt;A2200,LEFT(A2201,1)&lt;&gt;"C"),1,0)</f>
        <v>0</v>
      </c>
    </row>
    <row r="2202" customFormat="false" ht="15" hidden="false" customHeight="false" outlineLevel="0" collapsed="false">
      <c r="A2202" s="0" t="s">
        <v>1763</v>
      </c>
      <c r="B2202" s="0" t="s">
        <v>1099</v>
      </c>
      <c r="C2202" s="0" t="s">
        <v>1100</v>
      </c>
      <c r="D2202" s="0" t="n">
        <v>2</v>
      </c>
      <c r="E2202" s="6" t="n">
        <v>40821.6611111111</v>
      </c>
      <c r="F2202" s="0" t="n">
        <v>2.49</v>
      </c>
      <c r="G2202" s="0" t="n">
        <v>12723</v>
      </c>
      <c r="H2202" s="0" t="s">
        <v>43</v>
      </c>
      <c r="I2202" s="7" t="n">
        <f aca="false">IF(AND(LEFT(A2202,1)&lt;&gt;"C",D2202&gt;0,F2202&gt;0),1,0)</f>
        <v>1</v>
      </c>
      <c r="J2202" s="7" t="n">
        <f aca="false">IF(I2202=1,D2202*F2202,0)</f>
        <v>4.98</v>
      </c>
      <c r="K2202" s="7" t="n">
        <f aca="false">YEAR(E2202)*100+MONTH(E2202)</f>
        <v>201110</v>
      </c>
      <c r="L2202" s="7" t="n">
        <f aca="false">IF(AND(A2202&lt;&gt;A2201,LEFT(A2202,1)&lt;&gt;"C"),1,0)</f>
        <v>0</v>
      </c>
    </row>
    <row r="2203" customFormat="false" ht="15" hidden="false" customHeight="false" outlineLevel="0" collapsed="false">
      <c r="A2203" s="0" t="s">
        <v>1763</v>
      </c>
      <c r="B2203" s="0" t="s">
        <v>1794</v>
      </c>
      <c r="C2203" s="0" t="s">
        <v>1795</v>
      </c>
      <c r="D2203" s="0" t="n">
        <v>2</v>
      </c>
      <c r="E2203" s="6" t="n">
        <v>40821.6611111111</v>
      </c>
      <c r="F2203" s="0" t="n">
        <v>2.49</v>
      </c>
      <c r="G2203" s="0" t="n">
        <v>12723</v>
      </c>
      <c r="H2203" s="0" t="s">
        <v>43</v>
      </c>
      <c r="I2203" s="7" t="n">
        <f aca="false">IF(AND(LEFT(A2203,1)&lt;&gt;"C",D2203&gt;0,F2203&gt;0),1,0)</f>
        <v>1</v>
      </c>
      <c r="J2203" s="7" t="n">
        <f aca="false">IF(I2203=1,D2203*F2203,0)</f>
        <v>4.98</v>
      </c>
      <c r="K2203" s="7" t="n">
        <f aca="false">YEAR(E2203)*100+MONTH(E2203)</f>
        <v>201110</v>
      </c>
      <c r="L2203" s="7" t="n">
        <f aca="false">IF(AND(A2203&lt;&gt;A2202,LEFT(A2203,1)&lt;&gt;"C"),1,0)</f>
        <v>0</v>
      </c>
    </row>
    <row r="2204" customFormat="false" ht="15" hidden="false" customHeight="false" outlineLevel="0" collapsed="false">
      <c r="A2204" s="0" t="s">
        <v>1763</v>
      </c>
      <c r="B2204" s="0" t="s">
        <v>1407</v>
      </c>
      <c r="C2204" s="0" t="s">
        <v>1408</v>
      </c>
      <c r="D2204" s="0" t="n">
        <v>24</v>
      </c>
      <c r="E2204" s="6" t="n">
        <v>40821.6611111111</v>
      </c>
      <c r="F2204" s="0" t="n">
        <v>0.39</v>
      </c>
      <c r="G2204" s="0" t="n">
        <v>12723</v>
      </c>
      <c r="H2204" s="0" t="s">
        <v>43</v>
      </c>
      <c r="I2204" s="7" t="n">
        <f aca="false">IF(AND(LEFT(A2204,1)&lt;&gt;"C",D2204&gt;0,F2204&gt;0),1,0)</f>
        <v>1</v>
      </c>
      <c r="J2204" s="7" t="n">
        <f aca="false">IF(I2204=1,D2204*F2204,0)</f>
        <v>9.36</v>
      </c>
      <c r="K2204" s="7" t="n">
        <f aca="false">YEAR(E2204)*100+MONTH(E2204)</f>
        <v>201110</v>
      </c>
      <c r="L2204" s="7" t="n">
        <f aca="false">IF(AND(A2204&lt;&gt;A2203,LEFT(A2204,1)&lt;&gt;"C"),1,0)</f>
        <v>0</v>
      </c>
    </row>
    <row r="2205" customFormat="false" ht="15" hidden="false" customHeight="false" outlineLevel="0" collapsed="false">
      <c r="A2205" s="0" t="s">
        <v>1763</v>
      </c>
      <c r="B2205" s="0" t="s">
        <v>1290</v>
      </c>
      <c r="C2205" s="0" t="s">
        <v>1291</v>
      </c>
      <c r="D2205" s="0" t="n">
        <v>6</v>
      </c>
      <c r="E2205" s="6" t="n">
        <v>40821.6611111111</v>
      </c>
      <c r="F2205" s="0" t="n">
        <v>3.25</v>
      </c>
      <c r="G2205" s="0" t="n">
        <v>12723</v>
      </c>
      <c r="H2205" s="0" t="s">
        <v>43</v>
      </c>
      <c r="I2205" s="7" t="n">
        <f aca="false">IF(AND(LEFT(A2205,1)&lt;&gt;"C",D2205&gt;0,F2205&gt;0),1,0)</f>
        <v>1</v>
      </c>
      <c r="J2205" s="7" t="n">
        <f aca="false">IF(I2205=1,D2205*F2205,0)</f>
        <v>19.5</v>
      </c>
      <c r="K2205" s="7" t="n">
        <f aca="false">YEAR(E2205)*100+MONTH(E2205)</f>
        <v>201110</v>
      </c>
      <c r="L2205" s="7" t="n">
        <f aca="false">IF(AND(A2205&lt;&gt;A2204,LEFT(A2205,1)&lt;&gt;"C"),1,0)</f>
        <v>0</v>
      </c>
    </row>
    <row r="2206" customFormat="false" ht="15" hidden="false" customHeight="false" outlineLevel="0" collapsed="false">
      <c r="A2206" s="0" t="s">
        <v>1796</v>
      </c>
      <c r="B2206" s="0" t="s">
        <v>1013</v>
      </c>
      <c r="C2206" s="0" t="s">
        <v>1014</v>
      </c>
      <c r="D2206" s="0" t="n">
        <v>2</v>
      </c>
      <c r="E2206" s="6" t="n">
        <v>40821.6638888889</v>
      </c>
      <c r="F2206" s="0" t="n">
        <v>16.95</v>
      </c>
      <c r="G2206" s="0" t="n">
        <v>12723</v>
      </c>
      <c r="H2206" s="0" t="s">
        <v>43</v>
      </c>
      <c r="I2206" s="7" t="n">
        <f aca="false">IF(AND(LEFT(A2206,1)&lt;&gt;"C",D2206&gt;0,F2206&gt;0),1,0)</f>
        <v>1</v>
      </c>
      <c r="J2206" s="7" t="n">
        <f aca="false">IF(I2206=1,D2206*F2206,0)</f>
        <v>33.9</v>
      </c>
      <c r="K2206" s="7" t="n">
        <f aca="false">YEAR(E2206)*100+MONTH(E2206)</f>
        <v>201110</v>
      </c>
      <c r="L2206" s="7" t="n">
        <f aca="false">IF(AND(A2206&lt;&gt;A2205,LEFT(A2206,1)&lt;&gt;"C"),1,0)</f>
        <v>1</v>
      </c>
    </row>
    <row r="2207" customFormat="false" ht="15" hidden="false" customHeight="false" outlineLevel="0" collapsed="false">
      <c r="A2207" s="0" t="s">
        <v>1797</v>
      </c>
      <c r="B2207" s="0" t="s">
        <v>1798</v>
      </c>
      <c r="C2207" s="0" t="s">
        <v>1799</v>
      </c>
      <c r="D2207" s="0" t="n">
        <v>24</v>
      </c>
      <c r="E2207" s="6" t="n">
        <v>40822.3944444444</v>
      </c>
      <c r="F2207" s="0" t="n">
        <v>1.25</v>
      </c>
      <c r="G2207" s="0" t="n">
        <v>12628</v>
      </c>
      <c r="H2207" s="0" t="s">
        <v>33</v>
      </c>
      <c r="I2207" s="7" t="n">
        <f aca="false">IF(AND(LEFT(A2207,1)&lt;&gt;"C",D2207&gt;0,F2207&gt;0),1,0)</f>
        <v>1</v>
      </c>
      <c r="J2207" s="7" t="n">
        <f aca="false">IF(I2207=1,D2207*F2207,0)</f>
        <v>30</v>
      </c>
      <c r="K2207" s="7" t="n">
        <f aca="false">YEAR(E2207)*100+MONTH(E2207)</f>
        <v>201110</v>
      </c>
      <c r="L2207" s="7" t="n">
        <f aca="false">IF(AND(A2207&lt;&gt;A2206,LEFT(A2207,1)&lt;&gt;"C"),1,0)</f>
        <v>1</v>
      </c>
    </row>
    <row r="2208" customFormat="false" ht="15" hidden="false" customHeight="false" outlineLevel="0" collapsed="false">
      <c r="A2208" s="0" t="s">
        <v>1797</v>
      </c>
      <c r="B2208" s="0" t="s">
        <v>1800</v>
      </c>
      <c r="C2208" s="0" t="s">
        <v>1801</v>
      </c>
      <c r="D2208" s="0" t="n">
        <v>24</v>
      </c>
      <c r="E2208" s="6" t="n">
        <v>40822.3944444444</v>
      </c>
      <c r="F2208" s="0" t="n">
        <v>1.25</v>
      </c>
      <c r="G2208" s="0" t="n">
        <v>12628</v>
      </c>
      <c r="H2208" s="0" t="s">
        <v>33</v>
      </c>
      <c r="I2208" s="7" t="n">
        <f aca="false">IF(AND(LEFT(A2208,1)&lt;&gt;"C",D2208&gt;0,F2208&gt;0),1,0)</f>
        <v>1</v>
      </c>
      <c r="J2208" s="7" t="n">
        <f aca="false">IF(I2208=1,D2208*F2208,0)</f>
        <v>30</v>
      </c>
      <c r="K2208" s="7" t="n">
        <f aca="false">YEAR(E2208)*100+MONTH(E2208)</f>
        <v>201110</v>
      </c>
      <c r="L2208" s="7" t="n">
        <f aca="false">IF(AND(A2208&lt;&gt;A2207,LEFT(A2208,1)&lt;&gt;"C"),1,0)</f>
        <v>0</v>
      </c>
    </row>
    <row r="2209" customFormat="false" ht="15" hidden="false" customHeight="false" outlineLevel="0" collapsed="false">
      <c r="A2209" s="0" t="s">
        <v>1797</v>
      </c>
      <c r="B2209" s="0" t="s">
        <v>586</v>
      </c>
      <c r="C2209" s="0" t="s">
        <v>587</v>
      </c>
      <c r="D2209" s="0" t="n">
        <v>24</v>
      </c>
      <c r="E2209" s="6" t="n">
        <v>40822.3944444444</v>
      </c>
      <c r="F2209" s="0" t="n">
        <v>1.25</v>
      </c>
      <c r="G2209" s="0" t="n">
        <v>12628</v>
      </c>
      <c r="H2209" s="0" t="s">
        <v>33</v>
      </c>
      <c r="I2209" s="7" t="n">
        <f aca="false">IF(AND(LEFT(A2209,1)&lt;&gt;"C",D2209&gt;0,F2209&gt;0),1,0)</f>
        <v>1</v>
      </c>
      <c r="J2209" s="7" t="n">
        <f aca="false">IF(I2209=1,D2209*F2209,0)</f>
        <v>30</v>
      </c>
      <c r="K2209" s="7" t="n">
        <f aca="false">YEAR(E2209)*100+MONTH(E2209)</f>
        <v>201110</v>
      </c>
      <c r="L2209" s="7" t="n">
        <f aca="false">IF(AND(A2209&lt;&gt;A2208,LEFT(A2209,1)&lt;&gt;"C"),1,0)</f>
        <v>0</v>
      </c>
    </row>
    <row r="2210" customFormat="false" ht="15" hidden="false" customHeight="false" outlineLevel="0" collapsed="false">
      <c r="A2210" s="0" t="s">
        <v>1797</v>
      </c>
      <c r="B2210" s="0" t="s">
        <v>187</v>
      </c>
      <c r="C2210" s="0" t="s">
        <v>188</v>
      </c>
      <c r="D2210" s="0" t="n">
        <v>3</v>
      </c>
      <c r="E2210" s="6" t="n">
        <v>40822.3944444444</v>
      </c>
      <c r="F2210" s="0" t="n">
        <v>5.45</v>
      </c>
      <c r="G2210" s="0" t="n">
        <v>12628</v>
      </c>
      <c r="H2210" s="0" t="s">
        <v>33</v>
      </c>
      <c r="I2210" s="7" t="n">
        <f aca="false">IF(AND(LEFT(A2210,1)&lt;&gt;"C",D2210&gt;0,F2210&gt;0),1,0)</f>
        <v>1</v>
      </c>
      <c r="J2210" s="7" t="n">
        <f aca="false">IF(I2210=1,D2210*F2210,0)</f>
        <v>16.35</v>
      </c>
      <c r="K2210" s="7" t="n">
        <f aca="false">YEAR(E2210)*100+MONTH(E2210)</f>
        <v>201110</v>
      </c>
      <c r="L2210" s="7" t="n">
        <f aca="false">IF(AND(A2210&lt;&gt;A2209,LEFT(A2210,1)&lt;&gt;"C"),1,0)</f>
        <v>0</v>
      </c>
    </row>
    <row r="2211" customFormat="false" ht="15" hidden="false" customHeight="false" outlineLevel="0" collapsed="false">
      <c r="A2211" s="0" t="s">
        <v>1797</v>
      </c>
      <c r="B2211" s="0" t="s">
        <v>185</v>
      </c>
      <c r="C2211" s="0" t="s">
        <v>186</v>
      </c>
      <c r="D2211" s="0" t="n">
        <v>3</v>
      </c>
      <c r="E2211" s="6" t="n">
        <v>40822.3944444444</v>
      </c>
      <c r="F2211" s="0" t="n">
        <v>5.45</v>
      </c>
      <c r="G2211" s="0" t="n">
        <v>12628</v>
      </c>
      <c r="H2211" s="0" t="s">
        <v>33</v>
      </c>
      <c r="I2211" s="7" t="n">
        <f aca="false">IF(AND(LEFT(A2211,1)&lt;&gt;"C",D2211&gt;0,F2211&gt;0),1,0)</f>
        <v>1</v>
      </c>
      <c r="J2211" s="7" t="n">
        <f aca="false">IF(I2211=1,D2211*F2211,0)</f>
        <v>16.35</v>
      </c>
      <c r="K2211" s="7" t="n">
        <f aca="false">YEAR(E2211)*100+MONTH(E2211)</f>
        <v>201110</v>
      </c>
      <c r="L2211" s="7" t="n">
        <f aca="false">IF(AND(A2211&lt;&gt;A2210,LEFT(A2211,1)&lt;&gt;"C"),1,0)</f>
        <v>0</v>
      </c>
    </row>
    <row r="2212" customFormat="false" ht="15" hidden="false" customHeight="false" outlineLevel="0" collapsed="false">
      <c r="A2212" s="0" t="s">
        <v>1797</v>
      </c>
      <c r="B2212" s="0" t="s">
        <v>1802</v>
      </c>
      <c r="C2212" s="0" t="s">
        <v>1803</v>
      </c>
      <c r="D2212" s="0" t="n">
        <v>12</v>
      </c>
      <c r="E2212" s="6" t="n">
        <v>40822.3944444444</v>
      </c>
      <c r="F2212" s="0" t="n">
        <v>0.65</v>
      </c>
      <c r="G2212" s="0" t="n">
        <v>12628</v>
      </c>
      <c r="H2212" s="0" t="s">
        <v>33</v>
      </c>
      <c r="I2212" s="7" t="n">
        <f aca="false">IF(AND(LEFT(A2212,1)&lt;&gt;"C",D2212&gt;0,F2212&gt;0),1,0)</f>
        <v>1</v>
      </c>
      <c r="J2212" s="7" t="n">
        <f aca="false">IF(I2212=1,D2212*F2212,0)</f>
        <v>7.8</v>
      </c>
      <c r="K2212" s="7" t="n">
        <f aca="false">YEAR(E2212)*100+MONTH(E2212)</f>
        <v>201110</v>
      </c>
      <c r="L2212" s="7" t="n">
        <f aca="false">IF(AND(A2212&lt;&gt;A2211,LEFT(A2212,1)&lt;&gt;"C"),1,0)</f>
        <v>0</v>
      </c>
    </row>
    <row r="2213" customFormat="false" ht="15" hidden="false" customHeight="false" outlineLevel="0" collapsed="false">
      <c r="A2213" s="0" t="s">
        <v>1797</v>
      </c>
      <c r="B2213" s="0" t="s">
        <v>871</v>
      </c>
      <c r="C2213" s="0" t="s">
        <v>872</v>
      </c>
      <c r="D2213" s="0" t="n">
        <v>12</v>
      </c>
      <c r="E2213" s="6" t="n">
        <v>40822.3944444444</v>
      </c>
      <c r="F2213" s="0" t="n">
        <v>0.83</v>
      </c>
      <c r="G2213" s="0" t="n">
        <v>12628</v>
      </c>
      <c r="H2213" s="0" t="s">
        <v>33</v>
      </c>
      <c r="I2213" s="7" t="n">
        <f aca="false">IF(AND(LEFT(A2213,1)&lt;&gt;"C",D2213&gt;0,F2213&gt;0),1,0)</f>
        <v>1</v>
      </c>
      <c r="J2213" s="7" t="n">
        <f aca="false">IF(I2213=1,D2213*F2213,0)</f>
        <v>9.96</v>
      </c>
      <c r="K2213" s="7" t="n">
        <f aca="false">YEAR(E2213)*100+MONTH(E2213)</f>
        <v>201110</v>
      </c>
      <c r="L2213" s="7" t="n">
        <f aca="false">IF(AND(A2213&lt;&gt;A2212,LEFT(A2213,1)&lt;&gt;"C"),1,0)</f>
        <v>0</v>
      </c>
    </row>
    <row r="2214" customFormat="false" ht="15" hidden="false" customHeight="false" outlineLevel="0" collapsed="false">
      <c r="A2214" s="0" t="s">
        <v>1797</v>
      </c>
      <c r="B2214" s="0" t="s">
        <v>1804</v>
      </c>
      <c r="C2214" s="0" t="s">
        <v>1805</v>
      </c>
      <c r="D2214" s="0" t="n">
        <v>12</v>
      </c>
      <c r="E2214" s="6" t="n">
        <v>40822.3944444444</v>
      </c>
      <c r="F2214" s="0" t="n">
        <v>0.42</v>
      </c>
      <c r="G2214" s="0" t="n">
        <v>12628</v>
      </c>
      <c r="H2214" s="0" t="s">
        <v>33</v>
      </c>
      <c r="I2214" s="7" t="n">
        <f aca="false">IF(AND(LEFT(A2214,1)&lt;&gt;"C",D2214&gt;0,F2214&gt;0),1,0)</f>
        <v>1</v>
      </c>
      <c r="J2214" s="7" t="n">
        <f aca="false">IF(I2214=1,D2214*F2214,0)</f>
        <v>5.04</v>
      </c>
      <c r="K2214" s="7" t="n">
        <f aca="false">YEAR(E2214)*100+MONTH(E2214)</f>
        <v>201110</v>
      </c>
      <c r="L2214" s="7" t="n">
        <f aca="false">IF(AND(A2214&lt;&gt;A2213,LEFT(A2214,1)&lt;&gt;"C"),1,0)</f>
        <v>0</v>
      </c>
    </row>
    <row r="2215" customFormat="false" ht="15" hidden="false" customHeight="false" outlineLevel="0" collapsed="false">
      <c r="A2215" s="0" t="s">
        <v>1797</v>
      </c>
      <c r="B2215" s="0" t="s">
        <v>414</v>
      </c>
      <c r="C2215" s="0" t="s">
        <v>415</v>
      </c>
      <c r="D2215" s="0" t="n">
        <v>16</v>
      </c>
      <c r="E2215" s="6" t="n">
        <v>40822.3944444444</v>
      </c>
      <c r="F2215" s="0" t="n">
        <v>1.69</v>
      </c>
      <c r="G2215" s="0" t="n">
        <v>12628</v>
      </c>
      <c r="H2215" s="0" t="s">
        <v>33</v>
      </c>
      <c r="I2215" s="7" t="n">
        <f aca="false">IF(AND(LEFT(A2215,1)&lt;&gt;"C",D2215&gt;0,F2215&gt;0),1,0)</f>
        <v>1</v>
      </c>
      <c r="J2215" s="7" t="n">
        <f aca="false">IF(I2215=1,D2215*F2215,0)</f>
        <v>27.04</v>
      </c>
      <c r="K2215" s="7" t="n">
        <f aca="false">YEAR(E2215)*100+MONTH(E2215)</f>
        <v>201110</v>
      </c>
      <c r="L2215" s="7" t="n">
        <f aca="false">IF(AND(A2215&lt;&gt;A2214,LEFT(A2215,1)&lt;&gt;"C"),1,0)</f>
        <v>0</v>
      </c>
    </row>
    <row r="2216" customFormat="false" ht="15" hidden="false" customHeight="false" outlineLevel="0" collapsed="false">
      <c r="A2216" s="0" t="s">
        <v>1797</v>
      </c>
      <c r="B2216" s="0" t="s">
        <v>1806</v>
      </c>
      <c r="C2216" s="0" t="s">
        <v>1807</v>
      </c>
      <c r="D2216" s="0" t="n">
        <v>12</v>
      </c>
      <c r="E2216" s="6" t="n">
        <v>40822.3944444444</v>
      </c>
      <c r="F2216" s="0" t="n">
        <v>0.85</v>
      </c>
      <c r="G2216" s="0" t="n">
        <v>12628</v>
      </c>
      <c r="H2216" s="0" t="s">
        <v>33</v>
      </c>
      <c r="I2216" s="7" t="n">
        <f aca="false">IF(AND(LEFT(A2216,1)&lt;&gt;"C",D2216&gt;0,F2216&gt;0),1,0)</f>
        <v>1</v>
      </c>
      <c r="J2216" s="7" t="n">
        <f aca="false">IF(I2216=1,D2216*F2216,0)</f>
        <v>10.2</v>
      </c>
      <c r="K2216" s="7" t="n">
        <f aca="false">YEAR(E2216)*100+MONTH(E2216)</f>
        <v>201110</v>
      </c>
      <c r="L2216" s="7" t="n">
        <f aca="false">IF(AND(A2216&lt;&gt;A2215,LEFT(A2216,1)&lt;&gt;"C"),1,0)</f>
        <v>0</v>
      </c>
    </row>
    <row r="2217" customFormat="false" ht="15" hidden="false" customHeight="false" outlineLevel="0" collapsed="false">
      <c r="A2217" s="0" t="s">
        <v>1797</v>
      </c>
      <c r="B2217" s="0" t="s">
        <v>1808</v>
      </c>
      <c r="C2217" s="0" t="s">
        <v>1809</v>
      </c>
      <c r="D2217" s="0" t="n">
        <v>6</v>
      </c>
      <c r="E2217" s="6" t="n">
        <v>40822.3944444444</v>
      </c>
      <c r="F2217" s="0" t="n">
        <v>4.15</v>
      </c>
      <c r="G2217" s="0" t="n">
        <v>12628</v>
      </c>
      <c r="H2217" s="0" t="s">
        <v>33</v>
      </c>
      <c r="I2217" s="7" t="n">
        <f aca="false">IF(AND(LEFT(A2217,1)&lt;&gt;"C",D2217&gt;0,F2217&gt;0),1,0)</f>
        <v>1</v>
      </c>
      <c r="J2217" s="7" t="n">
        <f aca="false">IF(I2217=1,D2217*F2217,0)</f>
        <v>24.9</v>
      </c>
      <c r="K2217" s="7" t="n">
        <f aca="false">YEAR(E2217)*100+MONTH(E2217)</f>
        <v>201110</v>
      </c>
      <c r="L2217" s="7" t="n">
        <f aca="false">IF(AND(A2217&lt;&gt;A2216,LEFT(A2217,1)&lt;&gt;"C"),1,0)</f>
        <v>0</v>
      </c>
    </row>
    <row r="2218" customFormat="false" ht="15" hidden="false" customHeight="false" outlineLevel="0" collapsed="false">
      <c r="A2218" s="0" t="s">
        <v>1797</v>
      </c>
      <c r="B2218" s="0" t="s">
        <v>537</v>
      </c>
      <c r="C2218" s="0" t="s">
        <v>538</v>
      </c>
      <c r="D2218" s="0" t="n">
        <v>6</v>
      </c>
      <c r="E2218" s="6" t="n">
        <v>40822.3944444444</v>
      </c>
      <c r="F2218" s="0" t="n">
        <v>4.15</v>
      </c>
      <c r="G2218" s="0" t="n">
        <v>12628</v>
      </c>
      <c r="H2218" s="0" t="s">
        <v>33</v>
      </c>
      <c r="I2218" s="7" t="n">
        <f aca="false">IF(AND(LEFT(A2218,1)&lt;&gt;"C",D2218&gt;0,F2218&gt;0),1,0)</f>
        <v>1</v>
      </c>
      <c r="J2218" s="7" t="n">
        <f aca="false">IF(I2218=1,D2218*F2218,0)</f>
        <v>24.9</v>
      </c>
      <c r="K2218" s="7" t="n">
        <f aca="false">YEAR(E2218)*100+MONTH(E2218)</f>
        <v>201110</v>
      </c>
      <c r="L2218" s="7" t="n">
        <f aca="false">IF(AND(A2218&lt;&gt;A2217,LEFT(A2218,1)&lt;&gt;"C"),1,0)</f>
        <v>0</v>
      </c>
    </row>
    <row r="2219" customFormat="false" ht="15" hidden="false" customHeight="false" outlineLevel="0" collapsed="false">
      <c r="A2219" s="0" t="s">
        <v>1797</v>
      </c>
      <c r="B2219" s="0" t="s">
        <v>629</v>
      </c>
      <c r="C2219" s="0" t="s">
        <v>630</v>
      </c>
      <c r="D2219" s="0" t="n">
        <v>2</v>
      </c>
      <c r="E2219" s="6" t="n">
        <v>40822.3944444444</v>
      </c>
      <c r="F2219" s="0" t="n">
        <v>8.5</v>
      </c>
      <c r="G2219" s="0" t="n">
        <v>12628</v>
      </c>
      <c r="H2219" s="0" t="s">
        <v>33</v>
      </c>
      <c r="I2219" s="7" t="n">
        <f aca="false">IF(AND(LEFT(A2219,1)&lt;&gt;"C",D2219&gt;0,F2219&gt;0),1,0)</f>
        <v>1</v>
      </c>
      <c r="J2219" s="7" t="n">
        <f aca="false">IF(I2219=1,D2219*F2219,0)</f>
        <v>17</v>
      </c>
      <c r="K2219" s="7" t="n">
        <f aca="false">YEAR(E2219)*100+MONTH(E2219)</f>
        <v>201110</v>
      </c>
      <c r="L2219" s="7" t="n">
        <f aca="false">IF(AND(A2219&lt;&gt;A2218,LEFT(A2219,1)&lt;&gt;"C"),1,0)</f>
        <v>0</v>
      </c>
    </row>
    <row r="2220" customFormat="false" ht="15" hidden="false" customHeight="false" outlineLevel="0" collapsed="false">
      <c r="A2220" s="0" t="s">
        <v>1797</v>
      </c>
      <c r="B2220" s="0" t="s">
        <v>792</v>
      </c>
      <c r="C2220" s="0" t="s">
        <v>793</v>
      </c>
      <c r="D2220" s="0" t="n">
        <v>12</v>
      </c>
      <c r="E2220" s="6" t="n">
        <v>40822.3944444444</v>
      </c>
      <c r="F2220" s="0" t="n">
        <v>1.95</v>
      </c>
      <c r="G2220" s="0" t="n">
        <v>12628</v>
      </c>
      <c r="H2220" s="0" t="s">
        <v>33</v>
      </c>
      <c r="I2220" s="7" t="n">
        <f aca="false">IF(AND(LEFT(A2220,1)&lt;&gt;"C",D2220&gt;0,F2220&gt;0),1,0)</f>
        <v>1</v>
      </c>
      <c r="J2220" s="7" t="n">
        <f aca="false">IF(I2220=1,D2220*F2220,0)</f>
        <v>23.4</v>
      </c>
      <c r="K2220" s="7" t="n">
        <f aca="false">YEAR(E2220)*100+MONTH(E2220)</f>
        <v>201110</v>
      </c>
      <c r="L2220" s="7" t="n">
        <f aca="false">IF(AND(A2220&lt;&gt;A2219,LEFT(A2220,1)&lt;&gt;"C"),1,0)</f>
        <v>0</v>
      </c>
    </row>
    <row r="2221" customFormat="false" ht="15" hidden="false" customHeight="false" outlineLevel="0" collapsed="false">
      <c r="A2221" s="0" t="s">
        <v>1797</v>
      </c>
      <c r="B2221" s="0" t="s">
        <v>1738</v>
      </c>
      <c r="C2221" s="0" t="s">
        <v>1739</v>
      </c>
      <c r="D2221" s="0" t="n">
        <v>20</v>
      </c>
      <c r="E2221" s="6" t="n">
        <v>40822.3944444444</v>
      </c>
      <c r="F2221" s="0" t="n">
        <v>1.25</v>
      </c>
      <c r="G2221" s="0" t="n">
        <v>12628</v>
      </c>
      <c r="H2221" s="0" t="s">
        <v>33</v>
      </c>
      <c r="I2221" s="7" t="n">
        <f aca="false">IF(AND(LEFT(A2221,1)&lt;&gt;"C",D2221&gt;0,F2221&gt;0),1,0)</f>
        <v>1</v>
      </c>
      <c r="J2221" s="7" t="n">
        <f aca="false">IF(I2221=1,D2221*F2221,0)</f>
        <v>25</v>
      </c>
      <c r="K2221" s="7" t="n">
        <f aca="false">YEAR(E2221)*100+MONTH(E2221)</f>
        <v>201110</v>
      </c>
      <c r="L2221" s="7" t="n">
        <f aca="false">IF(AND(A2221&lt;&gt;A2220,LEFT(A2221,1)&lt;&gt;"C"),1,0)</f>
        <v>0</v>
      </c>
    </row>
    <row r="2222" customFormat="false" ht="15" hidden="false" customHeight="false" outlineLevel="0" collapsed="false">
      <c r="A2222" s="0" t="s">
        <v>1797</v>
      </c>
      <c r="B2222" s="0" t="s">
        <v>1579</v>
      </c>
      <c r="C2222" s="0" t="s">
        <v>1580</v>
      </c>
      <c r="D2222" s="0" t="n">
        <v>6</v>
      </c>
      <c r="E2222" s="6" t="n">
        <v>40822.3944444444</v>
      </c>
      <c r="F2222" s="0" t="n">
        <v>2.95</v>
      </c>
      <c r="G2222" s="0" t="n">
        <v>12628</v>
      </c>
      <c r="H2222" s="0" t="s">
        <v>33</v>
      </c>
      <c r="I2222" s="7" t="n">
        <f aca="false">IF(AND(LEFT(A2222,1)&lt;&gt;"C",D2222&gt;0,F2222&gt;0),1,0)</f>
        <v>1</v>
      </c>
      <c r="J2222" s="7" t="n">
        <f aca="false">IF(I2222=1,D2222*F2222,0)</f>
        <v>17.7</v>
      </c>
      <c r="K2222" s="7" t="n">
        <f aca="false">YEAR(E2222)*100+MONTH(E2222)</f>
        <v>201110</v>
      </c>
      <c r="L2222" s="7" t="n">
        <f aca="false">IF(AND(A2222&lt;&gt;A2221,LEFT(A2222,1)&lt;&gt;"C"),1,0)</f>
        <v>0</v>
      </c>
    </row>
    <row r="2223" customFormat="false" ht="15" hidden="false" customHeight="false" outlineLevel="0" collapsed="false">
      <c r="A2223" s="0" t="s">
        <v>1797</v>
      </c>
      <c r="B2223" s="0" t="s">
        <v>84</v>
      </c>
      <c r="C2223" s="0" t="s">
        <v>85</v>
      </c>
      <c r="D2223" s="0" t="n">
        <v>1</v>
      </c>
      <c r="E2223" s="6" t="n">
        <v>40822.3944444444</v>
      </c>
      <c r="F2223" s="0" t="n">
        <v>18</v>
      </c>
      <c r="G2223" s="0" t="n">
        <v>12628</v>
      </c>
      <c r="H2223" s="0" t="s">
        <v>33</v>
      </c>
      <c r="I2223" s="7" t="n">
        <f aca="false">IF(AND(LEFT(A2223,1)&lt;&gt;"C",D2223&gt;0,F2223&gt;0),1,0)</f>
        <v>1</v>
      </c>
      <c r="J2223" s="7" t="n">
        <f aca="false">IF(I2223=1,D2223*F2223,0)</f>
        <v>18</v>
      </c>
      <c r="K2223" s="7" t="n">
        <f aca="false">YEAR(E2223)*100+MONTH(E2223)</f>
        <v>201110</v>
      </c>
      <c r="L2223" s="7" t="n">
        <f aca="false">IF(AND(A2223&lt;&gt;A2222,LEFT(A2223,1)&lt;&gt;"C"),1,0)</f>
        <v>0</v>
      </c>
    </row>
    <row r="2224" customFormat="false" ht="15" hidden="false" customHeight="false" outlineLevel="0" collapsed="false">
      <c r="A2224" s="0" t="s">
        <v>1810</v>
      </c>
      <c r="B2224" s="0" t="s">
        <v>1811</v>
      </c>
      <c r="C2224" s="0" t="s">
        <v>1812</v>
      </c>
      <c r="D2224" s="0" t="n">
        <v>3</v>
      </c>
      <c r="E2224" s="6" t="n">
        <v>40822.4006944444</v>
      </c>
      <c r="F2224" s="0" t="n">
        <v>4.95</v>
      </c>
      <c r="G2224" s="0" t="n">
        <v>12500</v>
      </c>
      <c r="H2224" s="0" t="s">
        <v>33</v>
      </c>
      <c r="I2224" s="7" t="n">
        <f aca="false">IF(AND(LEFT(A2224,1)&lt;&gt;"C",D2224&gt;0,F2224&gt;0),1,0)</f>
        <v>1</v>
      </c>
      <c r="J2224" s="7" t="n">
        <f aca="false">IF(I2224=1,D2224*F2224,0)</f>
        <v>14.85</v>
      </c>
      <c r="K2224" s="7" t="n">
        <f aca="false">YEAR(E2224)*100+MONTH(E2224)</f>
        <v>201110</v>
      </c>
      <c r="L2224" s="7" t="n">
        <f aca="false">IF(AND(A2224&lt;&gt;A2223,LEFT(A2224,1)&lt;&gt;"C"),1,0)</f>
        <v>1</v>
      </c>
    </row>
    <row r="2225" customFormat="false" ht="15" hidden="false" customHeight="false" outlineLevel="0" collapsed="false">
      <c r="A2225" s="0" t="s">
        <v>1810</v>
      </c>
      <c r="B2225" s="0" t="s">
        <v>808</v>
      </c>
      <c r="C2225" s="0" t="s">
        <v>809</v>
      </c>
      <c r="D2225" s="0" t="n">
        <v>4</v>
      </c>
      <c r="E2225" s="6" t="n">
        <v>40822.4006944444</v>
      </c>
      <c r="F2225" s="0" t="n">
        <v>3.75</v>
      </c>
      <c r="G2225" s="0" t="n">
        <v>12500</v>
      </c>
      <c r="H2225" s="0" t="s">
        <v>33</v>
      </c>
      <c r="I2225" s="7" t="n">
        <f aca="false">IF(AND(LEFT(A2225,1)&lt;&gt;"C",D2225&gt;0,F2225&gt;0),1,0)</f>
        <v>1</v>
      </c>
      <c r="J2225" s="7" t="n">
        <f aca="false">IF(I2225=1,D2225*F2225,0)</f>
        <v>15</v>
      </c>
      <c r="K2225" s="7" t="n">
        <f aca="false">YEAR(E2225)*100+MONTH(E2225)</f>
        <v>201110</v>
      </c>
      <c r="L2225" s="7" t="n">
        <f aca="false">IF(AND(A2225&lt;&gt;A2224,LEFT(A2225,1)&lt;&gt;"C"),1,0)</f>
        <v>0</v>
      </c>
    </row>
    <row r="2226" customFormat="false" ht="15" hidden="false" customHeight="false" outlineLevel="0" collapsed="false">
      <c r="A2226" s="0" t="s">
        <v>1810</v>
      </c>
      <c r="B2226" s="0" t="s">
        <v>810</v>
      </c>
      <c r="C2226" s="0" t="s">
        <v>811</v>
      </c>
      <c r="D2226" s="0" t="n">
        <v>4</v>
      </c>
      <c r="E2226" s="6" t="n">
        <v>40822.4006944444</v>
      </c>
      <c r="F2226" s="0" t="n">
        <v>3.75</v>
      </c>
      <c r="G2226" s="0" t="n">
        <v>12500</v>
      </c>
      <c r="H2226" s="0" t="s">
        <v>33</v>
      </c>
      <c r="I2226" s="7" t="n">
        <f aca="false">IF(AND(LEFT(A2226,1)&lt;&gt;"C",D2226&gt;0,F2226&gt;0),1,0)</f>
        <v>1</v>
      </c>
      <c r="J2226" s="7" t="n">
        <f aca="false">IF(I2226=1,D2226*F2226,0)</f>
        <v>15</v>
      </c>
      <c r="K2226" s="7" t="n">
        <f aca="false">YEAR(E2226)*100+MONTH(E2226)</f>
        <v>201110</v>
      </c>
      <c r="L2226" s="7" t="n">
        <f aca="false">IF(AND(A2226&lt;&gt;A2225,LEFT(A2226,1)&lt;&gt;"C"),1,0)</f>
        <v>0</v>
      </c>
    </row>
    <row r="2227" customFormat="false" ht="15" hidden="false" customHeight="false" outlineLevel="0" collapsed="false">
      <c r="A2227" s="0" t="s">
        <v>1810</v>
      </c>
      <c r="B2227" s="0" t="s">
        <v>909</v>
      </c>
      <c r="C2227" s="0" t="s">
        <v>910</v>
      </c>
      <c r="D2227" s="0" t="n">
        <v>36</v>
      </c>
      <c r="E2227" s="6" t="n">
        <v>40822.4006944444</v>
      </c>
      <c r="F2227" s="0" t="n">
        <v>1.25</v>
      </c>
      <c r="G2227" s="0" t="n">
        <v>12500</v>
      </c>
      <c r="H2227" s="0" t="s">
        <v>33</v>
      </c>
      <c r="I2227" s="7" t="n">
        <f aca="false">IF(AND(LEFT(A2227,1)&lt;&gt;"C",D2227&gt;0,F2227&gt;0),1,0)</f>
        <v>1</v>
      </c>
      <c r="J2227" s="7" t="n">
        <f aca="false">IF(I2227=1,D2227*F2227,0)</f>
        <v>45</v>
      </c>
      <c r="K2227" s="7" t="n">
        <f aca="false">YEAR(E2227)*100+MONTH(E2227)</f>
        <v>201110</v>
      </c>
      <c r="L2227" s="7" t="n">
        <f aca="false">IF(AND(A2227&lt;&gt;A2226,LEFT(A2227,1)&lt;&gt;"C"),1,0)</f>
        <v>0</v>
      </c>
    </row>
    <row r="2228" customFormat="false" ht="15" hidden="false" customHeight="false" outlineLevel="0" collapsed="false">
      <c r="A2228" s="0" t="s">
        <v>1810</v>
      </c>
      <c r="B2228" s="0" t="s">
        <v>1813</v>
      </c>
      <c r="C2228" s="0" t="s">
        <v>1814</v>
      </c>
      <c r="D2228" s="0" t="n">
        <v>2</v>
      </c>
      <c r="E2228" s="6" t="n">
        <v>40822.4006944444</v>
      </c>
      <c r="F2228" s="0" t="n">
        <v>5.95</v>
      </c>
      <c r="G2228" s="0" t="n">
        <v>12500</v>
      </c>
      <c r="H2228" s="0" t="s">
        <v>33</v>
      </c>
      <c r="I2228" s="7" t="n">
        <f aca="false">IF(AND(LEFT(A2228,1)&lt;&gt;"C",D2228&gt;0,F2228&gt;0),1,0)</f>
        <v>1</v>
      </c>
      <c r="J2228" s="7" t="n">
        <f aca="false">IF(I2228=1,D2228*F2228,0)</f>
        <v>11.9</v>
      </c>
      <c r="K2228" s="7" t="n">
        <f aca="false">YEAR(E2228)*100+MONTH(E2228)</f>
        <v>201110</v>
      </c>
      <c r="L2228" s="7" t="n">
        <f aca="false">IF(AND(A2228&lt;&gt;A2227,LEFT(A2228,1)&lt;&gt;"C"),1,0)</f>
        <v>0</v>
      </c>
    </row>
    <row r="2229" customFormat="false" ht="15" hidden="false" customHeight="false" outlineLevel="0" collapsed="false">
      <c r="A2229" s="0" t="s">
        <v>1810</v>
      </c>
      <c r="B2229" s="0" t="s">
        <v>1151</v>
      </c>
      <c r="C2229" s="0" t="s">
        <v>1152</v>
      </c>
      <c r="D2229" s="0" t="n">
        <v>1</v>
      </c>
      <c r="E2229" s="6" t="n">
        <v>40822.4006944444</v>
      </c>
      <c r="F2229" s="0" t="n">
        <v>12.5</v>
      </c>
      <c r="G2229" s="0" t="n">
        <v>12500</v>
      </c>
      <c r="H2229" s="0" t="s">
        <v>33</v>
      </c>
      <c r="I2229" s="7" t="n">
        <f aca="false">IF(AND(LEFT(A2229,1)&lt;&gt;"C",D2229&gt;0,F2229&gt;0),1,0)</f>
        <v>1</v>
      </c>
      <c r="J2229" s="7" t="n">
        <f aca="false">IF(I2229=1,D2229*F2229,0)</f>
        <v>12.5</v>
      </c>
      <c r="K2229" s="7" t="n">
        <f aca="false">YEAR(E2229)*100+MONTH(E2229)</f>
        <v>201110</v>
      </c>
      <c r="L2229" s="7" t="n">
        <f aca="false">IF(AND(A2229&lt;&gt;A2228,LEFT(A2229,1)&lt;&gt;"C"),1,0)</f>
        <v>0</v>
      </c>
    </row>
    <row r="2230" customFormat="false" ht="15" hidden="false" customHeight="false" outlineLevel="0" collapsed="false">
      <c r="A2230" s="0" t="s">
        <v>1810</v>
      </c>
      <c r="B2230" s="0" t="s">
        <v>84</v>
      </c>
      <c r="C2230" s="0" t="s">
        <v>85</v>
      </c>
      <c r="D2230" s="0" t="n">
        <v>2</v>
      </c>
      <c r="E2230" s="6" t="n">
        <v>40822.4006944444</v>
      </c>
      <c r="F2230" s="0" t="n">
        <v>18</v>
      </c>
      <c r="G2230" s="0" t="n">
        <v>12500</v>
      </c>
      <c r="H2230" s="0" t="s">
        <v>33</v>
      </c>
      <c r="I2230" s="7" t="n">
        <f aca="false">IF(AND(LEFT(A2230,1)&lt;&gt;"C",D2230&gt;0,F2230&gt;0),1,0)</f>
        <v>1</v>
      </c>
      <c r="J2230" s="7" t="n">
        <f aca="false">IF(I2230=1,D2230*F2230,0)</f>
        <v>36</v>
      </c>
      <c r="K2230" s="7" t="n">
        <f aca="false">YEAR(E2230)*100+MONTH(E2230)</f>
        <v>201110</v>
      </c>
      <c r="L2230" s="7" t="n">
        <f aca="false">IF(AND(A2230&lt;&gt;A2229,LEFT(A2230,1)&lt;&gt;"C"),1,0)</f>
        <v>0</v>
      </c>
    </row>
    <row r="2231" customFormat="false" ht="15" hidden="false" customHeight="false" outlineLevel="0" collapsed="false">
      <c r="A2231" s="0" t="s">
        <v>1815</v>
      </c>
      <c r="B2231" s="0" t="s">
        <v>84</v>
      </c>
      <c r="C2231" s="0" t="s">
        <v>85</v>
      </c>
      <c r="D2231" s="0" t="n">
        <v>-1</v>
      </c>
      <c r="E2231" s="6" t="n">
        <v>40822.4145833333</v>
      </c>
      <c r="F2231" s="0" t="n">
        <v>18</v>
      </c>
      <c r="G2231" s="0" t="n">
        <v>12500</v>
      </c>
      <c r="H2231" s="0" t="s">
        <v>33</v>
      </c>
      <c r="I2231" s="7" t="n">
        <f aca="false">IF(AND(LEFT(A2231,1)&lt;&gt;"C",D2231&gt;0,F2231&gt;0),1,0)</f>
        <v>0</v>
      </c>
      <c r="J2231" s="7" t="n">
        <f aca="false">IF(I2231=1,D2231*F2231,0)</f>
        <v>0</v>
      </c>
      <c r="K2231" s="7" t="n">
        <f aca="false">YEAR(E2231)*100+MONTH(E2231)</f>
        <v>201110</v>
      </c>
      <c r="L2231" s="7" t="n">
        <f aca="false">IF(AND(A2231&lt;&gt;A2230,LEFT(A2231,1)&lt;&gt;"C"),1,0)</f>
        <v>0</v>
      </c>
    </row>
    <row r="2232" customFormat="false" ht="15" hidden="false" customHeight="false" outlineLevel="0" collapsed="false">
      <c r="A2232" s="0" t="s">
        <v>1815</v>
      </c>
      <c r="B2232" s="0" t="s">
        <v>1813</v>
      </c>
      <c r="C2232" s="0" t="s">
        <v>1814</v>
      </c>
      <c r="D2232" s="0" t="n">
        <v>-2</v>
      </c>
      <c r="E2232" s="6" t="n">
        <v>40822.4145833333</v>
      </c>
      <c r="F2232" s="0" t="n">
        <v>5.95</v>
      </c>
      <c r="G2232" s="0" t="n">
        <v>12500</v>
      </c>
      <c r="H2232" s="0" t="s">
        <v>33</v>
      </c>
      <c r="I2232" s="7" t="n">
        <f aca="false">IF(AND(LEFT(A2232,1)&lt;&gt;"C",D2232&gt;0,F2232&gt;0),1,0)</f>
        <v>0</v>
      </c>
      <c r="J2232" s="7" t="n">
        <f aca="false">IF(I2232=1,D2232*F2232,0)</f>
        <v>0</v>
      </c>
      <c r="K2232" s="7" t="n">
        <f aca="false">YEAR(E2232)*100+MONTH(E2232)</f>
        <v>201110</v>
      </c>
      <c r="L2232" s="7" t="n">
        <f aca="false">IF(AND(A2232&lt;&gt;A2231,LEFT(A2232,1)&lt;&gt;"C"),1,0)</f>
        <v>0</v>
      </c>
    </row>
    <row r="2233" customFormat="false" ht="15" hidden="false" customHeight="false" outlineLevel="0" collapsed="false">
      <c r="A2233" s="0" t="s">
        <v>1816</v>
      </c>
      <c r="B2233" s="0" t="s">
        <v>1323</v>
      </c>
      <c r="C2233" s="0" t="s">
        <v>1324</v>
      </c>
      <c r="D2233" s="0" t="n">
        <v>4</v>
      </c>
      <c r="E2233" s="6" t="n">
        <v>40822.5625</v>
      </c>
      <c r="F2233" s="0" t="n">
        <v>4.95</v>
      </c>
      <c r="G2233" s="0" t="n">
        <v>12626</v>
      </c>
      <c r="H2233" s="0" t="s">
        <v>33</v>
      </c>
      <c r="I2233" s="7" t="n">
        <f aca="false">IF(AND(LEFT(A2233,1)&lt;&gt;"C",D2233&gt;0,F2233&gt;0),1,0)</f>
        <v>1</v>
      </c>
      <c r="J2233" s="7" t="n">
        <f aca="false">IF(I2233=1,D2233*F2233,0)</f>
        <v>19.8</v>
      </c>
      <c r="K2233" s="7" t="n">
        <f aca="false">YEAR(E2233)*100+MONTH(E2233)</f>
        <v>201110</v>
      </c>
      <c r="L2233" s="7" t="n">
        <f aca="false">IF(AND(A2233&lt;&gt;A2232,LEFT(A2233,1)&lt;&gt;"C"),1,0)</f>
        <v>1</v>
      </c>
    </row>
    <row r="2234" customFormat="false" ht="15" hidden="false" customHeight="false" outlineLevel="0" collapsed="false">
      <c r="A2234" s="0" t="s">
        <v>1816</v>
      </c>
      <c r="B2234" s="0" t="s">
        <v>1063</v>
      </c>
      <c r="C2234" s="0" t="s">
        <v>1064</v>
      </c>
      <c r="D2234" s="0" t="n">
        <v>4</v>
      </c>
      <c r="E2234" s="6" t="n">
        <v>40822.5625</v>
      </c>
      <c r="F2234" s="0" t="n">
        <v>4.95</v>
      </c>
      <c r="G2234" s="0" t="n">
        <v>12626</v>
      </c>
      <c r="H2234" s="0" t="s">
        <v>33</v>
      </c>
      <c r="I2234" s="7" t="n">
        <f aca="false">IF(AND(LEFT(A2234,1)&lt;&gt;"C",D2234&gt;0,F2234&gt;0),1,0)</f>
        <v>1</v>
      </c>
      <c r="J2234" s="7" t="n">
        <f aca="false">IF(I2234=1,D2234*F2234,0)</f>
        <v>19.8</v>
      </c>
      <c r="K2234" s="7" t="n">
        <f aca="false">YEAR(E2234)*100+MONTH(E2234)</f>
        <v>201110</v>
      </c>
      <c r="L2234" s="7" t="n">
        <f aca="false">IF(AND(A2234&lt;&gt;A2233,LEFT(A2234,1)&lt;&gt;"C"),1,0)</f>
        <v>0</v>
      </c>
    </row>
    <row r="2235" customFormat="false" ht="15" hidden="false" customHeight="false" outlineLevel="0" collapsed="false">
      <c r="A2235" s="0" t="s">
        <v>1816</v>
      </c>
      <c r="B2235" s="0" t="s">
        <v>875</v>
      </c>
      <c r="C2235" s="0" t="s">
        <v>876</v>
      </c>
      <c r="D2235" s="0" t="n">
        <v>12</v>
      </c>
      <c r="E2235" s="6" t="n">
        <v>40822.5625</v>
      </c>
      <c r="F2235" s="0" t="n">
        <v>0.83</v>
      </c>
      <c r="G2235" s="0" t="n">
        <v>12626</v>
      </c>
      <c r="H2235" s="0" t="s">
        <v>33</v>
      </c>
      <c r="I2235" s="7" t="n">
        <f aca="false">IF(AND(LEFT(A2235,1)&lt;&gt;"C",D2235&gt;0,F2235&gt;0),1,0)</f>
        <v>1</v>
      </c>
      <c r="J2235" s="7" t="n">
        <f aca="false">IF(I2235=1,D2235*F2235,0)</f>
        <v>9.96</v>
      </c>
      <c r="K2235" s="7" t="n">
        <f aca="false">YEAR(E2235)*100+MONTH(E2235)</f>
        <v>201110</v>
      </c>
      <c r="L2235" s="7" t="n">
        <f aca="false">IF(AND(A2235&lt;&gt;A2234,LEFT(A2235,1)&lt;&gt;"C"),1,0)</f>
        <v>0</v>
      </c>
    </row>
    <row r="2236" customFormat="false" ht="15" hidden="false" customHeight="false" outlineLevel="0" collapsed="false">
      <c r="A2236" s="0" t="s">
        <v>1816</v>
      </c>
      <c r="B2236" s="0" t="s">
        <v>1611</v>
      </c>
      <c r="C2236" s="0" t="s">
        <v>1612</v>
      </c>
      <c r="D2236" s="0" t="n">
        <v>20</v>
      </c>
      <c r="E2236" s="6" t="n">
        <v>40822.5625</v>
      </c>
      <c r="F2236" s="0" t="n">
        <v>0.42</v>
      </c>
      <c r="G2236" s="0" t="n">
        <v>12626</v>
      </c>
      <c r="H2236" s="0" t="s">
        <v>33</v>
      </c>
      <c r="I2236" s="7" t="n">
        <f aca="false">IF(AND(LEFT(A2236,1)&lt;&gt;"C",D2236&gt;0,F2236&gt;0),1,0)</f>
        <v>1</v>
      </c>
      <c r="J2236" s="7" t="n">
        <f aca="false">IF(I2236=1,D2236*F2236,0)</f>
        <v>8.4</v>
      </c>
      <c r="K2236" s="7" t="n">
        <f aca="false">YEAR(E2236)*100+MONTH(E2236)</f>
        <v>201110</v>
      </c>
      <c r="L2236" s="7" t="n">
        <f aca="false">IF(AND(A2236&lt;&gt;A2235,LEFT(A2236,1)&lt;&gt;"C"),1,0)</f>
        <v>0</v>
      </c>
    </row>
    <row r="2237" customFormat="false" ht="15" hidden="false" customHeight="false" outlineLevel="0" collapsed="false">
      <c r="A2237" s="0" t="s">
        <v>1816</v>
      </c>
      <c r="B2237" s="0" t="s">
        <v>1613</v>
      </c>
      <c r="C2237" s="0" t="s">
        <v>1614</v>
      </c>
      <c r="D2237" s="0" t="n">
        <v>20</v>
      </c>
      <c r="E2237" s="6" t="n">
        <v>40822.5625</v>
      </c>
      <c r="F2237" s="0" t="n">
        <v>0.42</v>
      </c>
      <c r="G2237" s="0" t="n">
        <v>12626</v>
      </c>
      <c r="H2237" s="0" t="s">
        <v>33</v>
      </c>
      <c r="I2237" s="7" t="n">
        <f aca="false">IF(AND(LEFT(A2237,1)&lt;&gt;"C",D2237&gt;0,F2237&gt;0),1,0)</f>
        <v>1</v>
      </c>
      <c r="J2237" s="7" t="n">
        <f aca="false">IF(I2237=1,D2237*F2237,0)</f>
        <v>8.4</v>
      </c>
      <c r="K2237" s="7" t="n">
        <f aca="false">YEAR(E2237)*100+MONTH(E2237)</f>
        <v>201110</v>
      </c>
      <c r="L2237" s="7" t="n">
        <f aca="false">IF(AND(A2237&lt;&gt;A2236,LEFT(A2237,1)&lt;&gt;"C"),1,0)</f>
        <v>0</v>
      </c>
    </row>
    <row r="2238" customFormat="false" ht="15" hidden="false" customHeight="false" outlineLevel="0" collapsed="false">
      <c r="A2238" s="0" t="s">
        <v>1816</v>
      </c>
      <c r="B2238" s="0" t="s">
        <v>1817</v>
      </c>
      <c r="C2238" s="0" t="s">
        <v>1818</v>
      </c>
      <c r="D2238" s="0" t="n">
        <v>12</v>
      </c>
      <c r="E2238" s="6" t="n">
        <v>40822.5625</v>
      </c>
      <c r="F2238" s="0" t="n">
        <v>2.1</v>
      </c>
      <c r="G2238" s="0" t="n">
        <v>12626</v>
      </c>
      <c r="H2238" s="0" t="s">
        <v>33</v>
      </c>
      <c r="I2238" s="7" t="n">
        <f aca="false">IF(AND(LEFT(A2238,1)&lt;&gt;"C",D2238&gt;0,F2238&gt;0),1,0)</f>
        <v>1</v>
      </c>
      <c r="J2238" s="7" t="n">
        <f aca="false">IF(I2238=1,D2238*F2238,0)</f>
        <v>25.2</v>
      </c>
      <c r="K2238" s="7" t="n">
        <f aca="false">YEAR(E2238)*100+MONTH(E2238)</f>
        <v>201110</v>
      </c>
      <c r="L2238" s="7" t="n">
        <f aca="false">IF(AND(A2238&lt;&gt;A2237,LEFT(A2238,1)&lt;&gt;"C"),1,0)</f>
        <v>0</v>
      </c>
    </row>
    <row r="2239" customFormat="false" ht="15" hidden="false" customHeight="false" outlineLevel="0" collapsed="false">
      <c r="A2239" s="0" t="s">
        <v>1816</v>
      </c>
      <c r="B2239" s="0" t="s">
        <v>645</v>
      </c>
      <c r="C2239" s="0" t="s">
        <v>646</v>
      </c>
      <c r="D2239" s="0" t="n">
        <v>10</v>
      </c>
      <c r="E2239" s="6" t="n">
        <v>40822.5625</v>
      </c>
      <c r="F2239" s="0" t="n">
        <v>2.08</v>
      </c>
      <c r="G2239" s="0" t="n">
        <v>12626</v>
      </c>
      <c r="H2239" s="0" t="s">
        <v>33</v>
      </c>
      <c r="I2239" s="7" t="n">
        <f aca="false">IF(AND(LEFT(A2239,1)&lt;&gt;"C",D2239&gt;0,F2239&gt;0),1,0)</f>
        <v>1</v>
      </c>
      <c r="J2239" s="7" t="n">
        <f aca="false">IF(I2239=1,D2239*F2239,0)</f>
        <v>20.8</v>
      </c>
      <c r="K2239" s="7" t="n">
        <f aca="false">YEAR(E2239)*100+MONTH(E2239)</f>
        <v>201110</v>
      </c>
      <c r="L2239" s="7" t="n">
        <f aca="false">IF(AND(A2239&lt;&gt;A2238,LEFT(A2239,1)&lt;&gt;"C"),1,0)</f>
        <v>0</v>
      </c>
    </row>
    <row r="2240" customFormat="false" ht="15" hidden="false" customHeight="false" outlineLevel="0" collapsed="false">
      <c r="A2240" s="0" t="s">
        <v>1816</v>
      </c>
      <c r="B2240" s="0" t="s">
        <v>515</v>
      </c>
      <c r="C2240" s="0" t="s">
        <v>516</v>
      </c>
      <c r="D2240" s="0" t="n">
        <v>10</v>
      </c>
      <c r="E2240" s="6" t="n">
        <v>40822.5625</v>
      </c>
      <c r="F2240" s="0" t="n">
        <v>2.08</v>
      </c>
      <c r="G2240" s="0" t="n">
        <v>12626</v>
      </c>
      <c r="H2240" s="0" t="s">
        <v>33</v>
      </c>
      <c r="I2240" s="7" t="n">
        <f aca="false">IF(AND(LEFT(A2240,1)&lt;&gt;"C",D2240&gt;0,F2240&gt;0),1,0)</f>
        <v>1</v>
      </c>
      <c r="J2240" s="7" t="n">
        <f aca="false">IF(I2240=1,D2240*F2240,0)</f>
        <v>20.8</v>
      </c>
      <c r="K2240" s="7" t="n">
        <f aca="false">YEAR(E2240)*100+MONTH(E2240)</f>
        <v>201110</v>
      </c>
      <c r="L2240" s="7" t="n">
        <f aca="false">IF(AND(A2240&lt;&gt;A2239,LEFT(A2240,1)&lt;&gt;"C"),1,0)</f>
        <v>0</v>
      </c>
    </row>
    <row r="2241" customFormat="false" ht="15" hidden="false" customHeight="false" outlineLevel="0" collapsed="false">
      <c r="A2241" s="0" t="s">
        <v>1816</v>
      </c>
      <c r="B2241" s="0" t="s">
        <v>843</v>
      </c>
      <c r="C2241" s="0" t="s">
        <v>844</v>
      </c>
      <c r="D2241" s="0" t="n">
        <v>24</v>
      </c>
      <c r="E2241" s="6" t="n">
        <v>40822.5625</v>
      </c>
      <c r="F2241" s="0" t="n">
        <v>0.85</v>
      </c>
      <c r="G2241" s="0" t="n">
        <v>12626</v>
      </c>
      <c r="H2241" s="0" t="s">
        <v>33</v>
      </c>
      <c r="I2241" s="7" t="n">
        <f aca="false">IF(AND(LEFT(A2241,1)&lt;&gt;"C",D2241&gt;0,F2241&gt;0),1,0)</f>
        <v>1</v>
      </c>
      <c r="J2241" s="7" t="n">
        <f aca="false">IF(I2241=1,D2241*F2241,0)</f>
        <v>20.4</v>
      </c>
      <c r="K2241" s="7" t="n">
        <f aca="false">YEAR(E2241)*100+MONTH(E2241)</f>
        <v>201110</v>
      </c>
      <c r="L2241" s="7" t="n">
        <f aca="false">IF(AND(A2241&lt;&gt;A2240,LEFT(A2241,1)&lt;&gt;"C"),1,0)</f>
        <v>0</v>
      </c>
    </row>
    <row r="2242" customFormat="false" ht="15" hidden="false" customHeight="false" outlineLevel="0" collapsed="false">
      <c r="A2242" s="0" t="s">
        <v>1816</v>
      </c>
      <c r="B2242" s="0" t="s">
        <v>1819</v>
      </c>
      <c r="C2242" s="0" t="s">
        <v>1820</v>
      </c>
      <c r="D2242" s="0" t="n">
        <v>24</v>
      </c>
      <c r="E2242" s="6" t="n">
        <v>40822.5625</v>
      </c>
      <c r="F2242" s="0" t="n">
        <v>0.42</v>
      </c>
      <c r="G2242" s="0" t="n">
        <v>12626</v>
      </c>
      <c r="H2242" s="0" t="s">
        <v>33</v>
      </c>
      <c r="I2242" s="7" t="n">
        <f aca="false">IF(AND(LEFT(A2242,1)&lt;&gt;"C",D2242&gt;0,F2242&gt;0),1,0)</f>
        <v>1</v>
      </c>
      <c r="J2242" s="7" t="n">
        <f aca="false">IF(I2242=1,D2242*F2242,0)</f>
        <v>10.08</v>
      </c>
      <c r="K2242" s="7" t="n">
        <f aca="false">YEAR(E2242)*100+MONTH(E2242)</f>
        <v>201110</v>
      </c>
      <c r="L2242" s="7" t="n">
        <f aca="false">IF(AND(A2242&lt;&gt;A2241,LEFT(A2242,1)&lt;&gt;"C"),1,0)</f>
        <v>0</v>
      </c>
    </row>
    <row r="2243" customFormat="false" ht="15" hidden="false" customHeight="false" outlineLevel="0" collapsed="false">
      <c r="A2243" s="0" t="s">
        <v>1816</v>
      </c>
      <c r="B2243" s="0" t="s">
        <v>1821</v>
      </c>
      <c r="C2243" s="0" t="s">
        <v>1822</v>
      </c>
      <c r="D2243" s="0" t="n">
        <v>24</v>
      </c>
      <c r="E2243" s="6" t="n">
        <v>40822.5625</v>
      </c>
      <c r="F2243" s="0" t="n">
        <v>0.42</v>
      </c>
      <c r="G2243" s="0" t="n">
        <v>12626</v>
      </c>
      <c r="H2243" s="0" t="s">
        <v>33</v>
      </c>
      <c r="I2243" s="7" t="n">
        <f aca="false">IF(AND(LEFT(A2243,1)&lt;&gt;"C",D2243&gt;0,F2243&gt;0),1,0)</f>
        <v>1</v>
      </c>
      <c r="J2243" s="7" t="n">
        <f aca="false">IF(I2243=1,D2243*F2243,0)</f>
        <v>10.08</v>
      </c>
      <c r="K2243" s="7" t="n">
        <f aca="false">YEAR(E2243)*100+MONTH(E2243)</f>
        <v>201110</v>
      </c>
      <c r="L2243" s="7" t="n">
        <f aca="false">IF(AND(A2243&lt;&gt;A2242,LEFT(A2243,1)&lt;&gt;"C"),1,0)</f>
        <v>0</v>
      </c>
    </row>
    <row r="2244" customFormat="false" ht="15" hidden="false" customHeight="false" outlineLevel="0" collapsed="false">
      <c r="A2244" s="0" t="s">
        <v>1816</v>
      </c>
      <c r="B2244" s="0" t="s">
        <v>1823</v>
      </c>
      <c r="C2244" s="0" t="s">
        <v>1824</v>
      </c>
      <c r="D2244" s="0" t="n">
        <v>24</v>
      </c>
      <c r="E2244" s="6" t="n">
        <v>40822.5625</v>
      </c>
      <c r="F2244" s="0" t="n">
        <v>0.42</v>
      </c>
      <c r="G2244" s="0" t="n">
        <v>12626</v>
      </c>
      <c r="H2244" s="0" t="s">
        <v>33</v>
      </c>
      <c r="I2244" s="7" t="n">
        <f aca="false">IF(AND(LEFT(A2244,1)&lt;&gt;"C",D2244&gt;0,F2244&gt;0),1,0)</f>
        <v>1</v>
      </c>
      <c r="J2244" s="7" t="n">
        <f aca="false">IF(I2244=1,D2244*F2244,0)</f>
        <v>10.08</v>
      </c>
      <c r="K2244" s="7" t="n">
        <f aca="false">YEAR(E2244)*100+MONTH(E2244)</f>
        <v>201110</v>
      </c>
      <c r="L2244" s="7" t="n">
        <f aca="false">IF(AND(A2244&lt;&gt;A2243,LEFT(A2244,1)&lt;&gt;"C"),1,0)</f>
        <v>0</v>
      </c>
    </row>
    <row r="2245" customFormat="false" ht="15" hidden="false" customHeight="false" outlineLevel="0" collapsed="false">
      <c r="A2245" s="0" t="s">
        <v>1816</v>
      </c>
      <c r="B2245" s="0" t="s">
        <v>459</v>
      </c>
      <c r="C2245" s="0" t="s">
        <v>460</v>
      </c>
      <c r="D2245" s="0" t="n">
        <v>12</v>
      </c>
      <c r="E2245" s="6" t="n">
        <v>40822.5625</v>
      </c>
      <c r="F2245" s="0" t="n">
        <v>1.25</v>
      </c>
      <c r="G2245" s="0" t="n">
        <v>12626</v>
      </c>
      <c r="H2245" s="0" t="s">
        <v>33</v>
      </c>
      <c r="I2245" s="7" t="n">
        <f aca="false">IF(AND(LEFT(A2245,1)&lt;&gt;"C",D2245&gt;0,F2245&gt;0),1,0)</f>
        <v>1</v>
      </c>
      <c r="J2245" s="7" t="n">
        <f aca="false">IF(I2245=1,D2245*F2245,0)</f>
        <v>15</v>
      </c>
      <c r="K2245" s="7" t="n">
        <f aca="false">YEAR(E2245)*100+MONTH(E2245)</f>
        <v>201110</v>
      </c>
      <c r="L2245" s="7" t="n">
        <f aca="false">IF(AND(A2245&lt;&gt;A2244,LEFT(A2245,1)&lt;&gt;"C"),1,0)</f>
        <v>0</v>
      </c>
    </row>
    <row r="2246" customFormat="false" ht="15" hidden="false" customHeight="false" outlineLevel="0" collapsed="false">
      <c r="A2246" s="0" t="s">
        <v>1816</v>
      </c>
      <c r="B2246" s="0" t="s">
        <v>1825</v>
      </c>
      <c r="C2246" s="0" t="s">
        <v>1826</v>
      </c>
      <c r="D2246" s="0" t="n">
        <v>24</v>
      </c>
      <c r="E2246" s="6" t="n">
        <v>40822.5625</v>
      </c>
      <c r="F2246" s="0" t="n">
        <v>1.85</v>
      </c>
      <c r="G2246" s="0" t="n">
        <v>12626</v>
      </c>
      <c r="H2246" s="0" t="s">
        <v>33</v>
      </c>
      <c r="I2246" s="7" t="n">
        <f aca="false">IF(AND(LEFT(A2246,1)&lt;&gt;"C",D2246&gt;0,F2246&gt;0),1,0)</f>
        <v>1</v>
      </c>
      <c r="J2246" s="7" t="n">
        <f aca="false">IF(I2246=1,D2246*F2246,0)</f>
        <v>44.4</v>
      </c>
      <c r="K2246" s="7" t="n">
        <f aca="false">YEAR(E2246)*100+MONTH(E2246)</f>
        <v>201110</v>
      </c>
      <c r="L2246" s="7" t="n">
        <f aca="false">IF(AND(A2246&lt;&gt;A2245,LEFT(A2246,1)&lt;&gt;"C"),1,0)</f>
        <v>0</v>
      </c>
    </row>
    <row r="2247" customFormat="false" ht="15" hidden="false" customHeight="false" outlineLevel="0" collapsed="false">
      <c r="A2247" s="0" t="s">
        <v>1816</v>
      </c>
      <c r="B2247" s="0" t="s">
        <v>1827</v>
      </c>
      <c r="C2247" s="0" t="s">
        <v>1828</v>
      </c>
      <c r="D2247" s="0" t="n">
        <v>8</v>
      </c>
      <c r="E2247" s="6" t="n">
        <v>40822.5625</v>
      </c>
      <c r="F2247" s="0" t="n">
        <v>3.75</v>
      </c>
      <c r="G2247" s="0" t="n">
        <v>12626</v>
      </c>
      <c r="H2247" s="0" t="s">
        <v>33</v>
      </c>
      <c r="I2247" s="7" t="n">
        <f aca="false">IF(AND(LEFT(A2247,1)&lt;&gt;"C",D2247&gt;0,F2247&gt;0),1,0)</f>
        <v>1</v>
      </c>
      <c r="J2247" s="7" t="n">
        <f aca="false">IF(I2247=1,D2247*F2247,0)</f>
        <v>30</v>
      </c>
      <c r="K2247" s="7" t="n">
        <f aca="false">YEAR(E2247)*100+MONTH(E2247)</f>
        <v>201110</v>
      </c>
      <c r="L2247" s="7" t="n">
        <f aca="false">IF(AND(A2247&lt;&gt;A2246,LEFT(A2247,1)&lt;&gt;"C"),1,0)</f>
        <v>0</v>
      </c>
    </row>
    <row r="2248" customFormat="false" ht="15" hidden="false" customHeight="false" outlineLevel="0" collapsed="false">
      <c r="A2248" s="0" t="s">
        <v>1816</v>
      </c>
      <c r="B2248" s="0" t="s">
        <v>97</v>
      </c>
      <c r="C2248" s="0" t="s">
        <v>98</v>
      </c>
      <c r="D2248" s="0" t="n">
        <v>24</v>
      </c>
      <c r="E2248" s="6" t="n">
        <v>40822.5625</v>
      </c>
      <c r="F2248" s="0" t="n">
        <v>1.65</v>
      </c>
      <c r="G2248" s="0" t="n">
        <v>12626</v>
      </c>
      <c r="H2248" s="0" t="s">
        <v>33</v>
      </c>
      <c r="I2248" s="7" t="n">
        <f aca="false">IF(AND(LEFT(A2248,1)&lt;&gt;"C",D2248&gt;0,F2248&gt;0),1,0)</f>
        <v>1</v>
      </c>
      <c r="J2248" s="7" t="n">
        <f aca="false">IF(I2248=1,D2248*F2248,0)</f>
        <v>39.6</v>
      </c>
      <c r="K2248" s="7" t="n">
        <f aca="false">YEAR(E2248)*100+MONTH(E2248)</f>
        <v>201110</v>
      </c>
      <c r="L2248" s="7" t="n">
        <f aca="false">IF(AND(A2248&lt;&gt;A2247,LEFT(A2248,1)&lt;&gt;"C"),1,0)</f>
        <v>0</v>
      </c>
    </row>
    <row r="2249" customFormat="false" ht="15" hidden="false" customHeight="false" outlineLevel="0" collapsed="false">
      <c r="A2249" s="0" t="s">
        <v>1816</v>
      </c>
      <c r="B2249" s="0" t="s">
        <v>962</v>
      </c>
      <c r="C2249" s="0" t="s">
        <v>963</v>
      </c>
      <c r="D2249" s="0" t="n">
        <v>24</v>
      </c>
      <c r="E2249" s="6" t="n">
        <v>40822.5625</v>
      </c>
      <c r="F2249" s="0" t="n">
        <v>0.85</v>
      </c>
      <c r="G2249" s="0" t="n">
        <v>12626</v>
      </c>
      <c r="H2249" s="0" t="s">
        <v>33</v>
      </c>
      <c r="I2249" s="7" t="n">
        <f aca="false">IF(AND(LEFT(A2249,1)&lt;&gt;"C",D2249&gt;0,F2249&gt;0),1,0)</f>
        <v>1</v>
      </c>
      <c r="J2249" s="7" t="n">
        <f aca="false">IF(I2249=1,D2249*F2249,0)</f>
        <v>20.4</v>
      </c>
      <c r="K2249" s="7" t="n">
        <f aca="false">YEAR(E2249)*100+MONTH(E2249)</f>
        <v>201110</v>
      </c>
      <c r="L2249" s="7" t="n">
        <f aca="false">IF(AND(A2249&lt;&gt;A2248,LEFT(A2249,1)&lt;&gt;"C"),1,0)</f>
        <v>0</v>
      </c>
    </row>
    <row r="2250" customFormat="false" ht="15" hidden="false" customHeight="false" outlineLevel="0" collapsed="false">
      <c r="A2250" s="0" t="s">
        <v>1816</v>
      </c>
      <c r="B2250" s="0" t="s">
        <v>1216</v>
      </c>
      <c r="C2250" s="0" t="s">
        <v>1217</v>
      </c>
      <c r="D2250" s="0" t="n">
        <v>24</v>
      </c>
      <c r="E2250" s="6" t="n">
        <v>40822.5625</v>
      </c>
      <c r="F2250" s="0" t="n">
        <v>0.85</v>
      </c>
      <c r="G2250" s="0" t="n">
        <v>12626</v>
      </c>
      <c r="H2250" s="0" t="s">
        <v>33</v>
      </c>
      <c r="I2250" s="7" t="n">
        <f aca="false">IF(AND(LEFT(A2250,1)&lt;&gt;"C",D2250&gt;0,F2250&gt;0),1,0)</f>
        <v>1</v>
      </c>
      <c r="J2250" s="7" t="n">
        <f aca="false">IF(I2250=1,D2250*F2250,0)</f>
        <v>20.4</v>
      </c>
      <c r="K2250" s="7" t="n">
        <f aca="false">YEAR(E2250)*100+MONTH(E2250)</f>
        <v>201110</v>
      </c>
      <c r="L2250" s="7" t="n">
        <f aca="false">IF(AND(A2250&lt;&gt;A2249,LEFT(A2250,1)&lt;&gt;"C"),1,0)</f>
        <v>0</v>
      </c>
    </row>
    <row r="2251" customFormat="false" ht="15" hidden="false" customHeight="false" outlineLevel="0" collapsed="false">
      <c r="A2251" s="0" t="s">
        <v>1816</v>
      </c>
      <c r="B2251" s="0" t="s">
        <v>871</v>
      </c>
      <c r="C2251" s="0" t="s">
        <v>872</v>
      </c>
      <c r="D2251" s="0" t="n">
        <v>12</v>
      </c>
      <c r="E2251" s="6" t="n">
        <v>40822.5625</v>
      </c>
      <c r="F2251" s="0" t="n">
        <v>0.83</v>
      </c>
      <c r="G2251" s="0" t="n">
        <v>12626</v>
      </c>
      <c r="H2251" s="0" t="s">
        <v>33</v>
      </c>
      <c r="I2251" s="7" t="n">
        <f aca="false">IF(AND(LEFT(A2251,1)&lt;&gt;"C",D2251&gt;0,F2251&gt;0),1,0)</f>
        <v>1</v>
      </c>
      <c r="J2251" s="7" t="n">
        <f aca="false">IF(I2251=1,D2251*F2251,0)</f>
        <v>9.96</v>
      </c>
      <c r="K2251" s="7" t="n">
        <f aca="false">YEAR(E2251)*100+MONTH(E2251)</f>
        <v>201110</v>
      </c>
      <c r="L2251" s="7" t="n">
        <f aca="false">IF(AND(A2251&lt;&gt;A2250,LEFT(A2251,1)&lt;&gt;"C"),1,0)</f>
        <v>0</v>
      </c>
    </row>
    <row r="2252" customFormat="false" ht="15" hidden="false" customHeight="false" outlineLevel="0" collapsed="false">
      <c r="A2252" s="0" t="s">
        <v>1816</v>
      </c>
      <c r="B2252" s="0" t="s">
        <v>625</v>
      </c>
      <c r="C2252" s="0" t="s">
        <v>626</v>
      </c>
      <c r="D2252" s="0" t="n">
        <v>20</v>
      </c>
      <c r="E2252" s="6" t="n">
        <v>40822.5625</v>
      </c>
      <c r="F2252" s="0" t="n">
        <v>2.08</v>
      </c>
      <c r="G2252" s="0" t="n">
        <v>12626</v>
      </c>
      <c r="H2252" s="0" t="s">
        <v>33</v>
      </c>
      <c r="I2252" s="7" t="n">
        <f aca="false">IF(AND(LEFT(A2252,1)&lt;&gt;"C",D2252&gt;0,F2252&gt;0),1,0)</f>
        <v>1</v>
      </c>
      <c r="J2252" s="7" t="n">
        <f aca="false">IF(I2252=1,D2252*F2252,0)</f>
        <v>41.6</v>
      </c>
      <c r="K2252" s="7" t="n">
        <f aca="false">YEAR(E2252)*100+MONTH(E2252)</f>
        <v>201110</v>
      </c>
      <c r="L2252" s="7" t="n">
        <f aca="false">IF(AND(A2252&lt;&gt;A2251,LEFT(A2252,1)&lt;&gt;"C"),1,0)</f>
        <v>0</v>
      </c>
    </row>
    <row r="2253" customFormat="false" ht="15" hidden="false" customHeight="false" outlineLevel="0" collapsed="false">
      <c r="A2253" s="0" t="s">
        <v>1816</v>
      </c>
      <c r="B2253" s="0" t="s">
        <v>517</v>
      </c>
      <c r="C2253" s="0" t="s">
        <v>518</v>
      </c>
      <c r="D2253" s="0" t="n">
        <v>20</v>
      </c>
      <c r="E2253" s="6" t="n">
        <v>40822.5625</v>
      </c>
      <c r="F2253" s="0" t="n">
        <v>2.08</v>
      </c>
      <c r="G2253" s="0" t="n">
        <v>12626</v>
      </c>
      <c r="H2253" s="0" t="s">
        <v>33</v>
      </c>
      <c r="I2253" s="7" t="n">
        <f aca="false">IF(AND(LEFT(A2253,1)&lt;&gt;"C",D2253&gt;0,F2253&gt;0),1,0)</f>
        <v>1</v>
      </c>
      <c r="J2253" s="7" t="n">
        <f aca="false">IF(I2253=1,D2253*F2253,0)</f>
        <v>41.6</v>
      </c>
      <c r="K2253" s="7" t="n">
        <f aca="false">YEAR(E2253)*100+MONTH(E2253)</f>
        <v>201110</v>
      </c>
      <c r="L2253" s="7" t="n">
        <f aca="false">IF(AND(A2253&lt;&gt;A2252,LEFT(A2253,1)&lt;&gt;"C"),1,0)</f>
        <v>0</v>
      </c>
    </row>
    <row r="2254" customFormat="false" ht="15" hidden="false" customHeight="false" outlineLevel="0" collapsed="false">
      <c r="A2254" s="0" t="s">
        <v>1816</v>
      </c>
      <c r="B2254" s="0" t="s">
        <v>1386</v>
      </c>
      <c r="C2254" s="0" t="s">
        <v>1387</v>
      </c>
      <c r="D2254" s="0" t="n">
        <v>20</v>
      </c>
      <c r="E2254" s="6" t="n">
        <v>40822.5625</v>
      </c>
      <c r="F2254" s="0" t="n">
        <v>2.08</v>
      </c>
      <c r="G2254" s="0" t="n">
        <v>12626</v>
      </c>
      <c r="H2254" s="0" t="s">
        <v>33</v>
      </c>
      <c r="I2254" s="7" t="n">
        <f aca="false">IF(AND(LEFT(A2254,1)&lt;&gt;"C",D2254&gt;0,F2254&gt;0),1,0)</f>
        <v>1</v>
      </c>
      <c r="J2254" s="7" t="n">
        <f aca="false">IF(I2254=1,D2254*F2254,0)</f>
        <v>41.6</v>
      </c>
      <c r="K2254" s="7" t="n">
        <f aca="false">YEAR(E2254)*100+MONTH(E2254)</f>
        <v>201110</v>
      </c>
      <c r="L2254" s="7" t="n">
        <f aca="false">IF(AND(A2254&lt;&gt;A2253,LEFT(A2254,1)&lt;&gt;"C"),1,0)</f>
        <v>0</v>
      </c>
    </row>
    <row r="2255" customFormat="false" ht="15" hidden="false" customHeight="false" outlineLevel="0" collapsed="false">
      <c r="A2255" s="0" t="s">
        <v>1816</v>
      </c>
      <c r="B2255" s="0" t="s">
        <v>159</v>
      </c>
      <c r="C2255" s="0" t="s">
        <v>160</v>
      </c>
      <c r="D2255" s="0" t="n">
        <v>6</v>
      </c>
      <c r="E2255" s="6" t="n">
        <v>40822.5625</v>
      </c>
      <c r="F2255" s="0" t="n">
        <v>2.55</v>
      </c>
      <c r="G2255" s="0" t="n">
        <v>12626</v>
      </c>
      <c r="H2255" s="0" t="s">
        <v>33</v>
      </c>
      <c r="I2255" s="7" t="n">
        <f aca="false">IF(AND(LEFT(A2255,1)&lt;&gt;"C",D2255&gt;0,F2255&gt;0),1,0)</f>
        <v>1</v>
      </c>
      <c r="J2255" s="7" t="n">
        <f aca="false">IF(I2255=1,D2255*F2255,0)</f>
        <v>15.3</v>
      </c>
      <c r="K2255" s="7" t="n">
        <f aca="false">YEAR(E2255)*100+MONTH(E2255)</f>
        <v>201110</v>
      </c>
      <c r="L2255" s="7" t="n">
        <f aca="false">IF(AND(A2255&lt;&gt;A2254,LEFT(A2255,1)&lt;&gt;"C"),1,0)</f>
        <v>0</v>
      </c>
    </row>
    <row r="2256" customFormat="false" ht="15" hidden="false" customHeight="false" outlineLevel="0" collapsed="false">
      <c r="A2256" s="0" t="s">
        <v>1816</v>
      </c>
      <c r="B2256" s="0" t="s">
        <v>60</v>
      </c>
      <c r="C2256" s="0" t="s">
        <v>61</v>
      </c>
      <c r="D2256" s="0" t="n">
        <v>6</v>
      </c>
      <c r="E2256" s="6" t="n">
        <v>40822.5625</v>
      </c>
      <c r="F2256" s="0" t="n">
        <v>2.55</v>
      </c>
      <c r="G2256" s="0" t="n">
        <v>12626</v>
      </c>
      <c r="H2256" s="0" t="s">
        <v>33</v>
      </c>
      <c r="I2256" s="7" t="n">
        <f aca="false">IF(AND(LEFT(A2256,1)&lt;&gt;"C",D2256&gt;0,F2256&gt;0),1,0)</f>
        <v>1</v>
      </c>
      <c r="J2256" s="7" t="n">
        <f aca="false">IF(I2256=1,D2256*F2256,0)</f>
        <v>15.3</v>
      </c>
      <c r="K2256" s="7" t="n">
        <f aca="false">YEAR(E2256)*100+MONTH(E2256)</f>
        <v>201110</v>
      </c>
      <c r="L2256" s="7" t="n">
        <f aca="false">IF(AND(A2256&lt;&gt;A2255,LEFT(A2256,1)&lt;&gt;"C"),1,0)</f>
        <v>0</v>
      </c>
    </row>
    <row r="2257" customFormat="false" ht="15" hidden="false" customHeight="false" outlineLevel="0" collapsed="false">
      <c r="A2257" s="0" t="s">
        <v>1816</v>
      </c>
      <c r="B2257" s="0" t="s">
        <v>557</v>
      </c>
      <c r="C2257" s="0" t="s">
        <v>558</v>
      </c>
      <c r="D2257" s="0" t="n">
        <v>12</v>
      </c>
      <c r="E2257" s="6" t="n">
        <v>40822.5625</v>
      </c>
      <c r="F2257" s="0" t="n">
        <v>1.95</v>
      </c>
      <c r="G2257" s="0" t="n">
        <v>12626</v>
      </c>
      <c r="H2257" s="0" t="s">
        <v>33</v>
      </c>
      <c r="I2257" s="7" t="n">
        <f aca="false">IF(AND(LEFT(A2257,1)&lt;&gt;"C",D2257&gt;0,F2257&gt;0),1,0)</f>
        <v>1</v>
      </c>
      <c r="J2257" s="7" t="n">
        <f aca="false">IF(I2257=1,D2257*F2257,0)</f>
        <v>23.4</v>
      </c>
      <c r="K2257" s="7" t="n">
        <f aca="false">YEAR(E2257)*100+MONTH(E2257)</f>
        <v>201110</v>
      </c>
      <c r="L2257" s="7" t="n">
        <f aca="false">IF(AND(A2257&lt;&gt;A2256,LEFT(A2257,1)&lt;&gt;"C"),1,0)</f>
        <v>0</v>
      </c>
    </row>
    <row r="2258" customFormat="false" ht="15" hidden="false" customHeight="false" outlineLevel="0" collapsed="false">
      <c r="A2258" s="0" t="s">
        <v>1816</v>
      </c>
      <c r="B2258" s="0" t="s">
        <v>895</v>
      </c>
      <c r="C2258" s="0" t="s">
        <v>896</v>
      </c>
      <c r="D2258" s="0" t="n">
        <v>6</v>
      </c>
      <c r="E2258" s="6" t="n">
        <v>40822.5625</v>
      </c>
      <c r="F2258" s="0" t="n">
        <v>2.89</v>
      </c>
      <c r="G2258" s="0" t="n">
        <v>12626</v>
      </c>
      <c r="H2258" s="0" t="s">
        <v>33</v>
      </c>
      <c r="I2258" s="7" t="n">
        <f aca="false">IF(AND(LEFT(A2258,1)&lt;&gt;"C",D2258&gt;0,F2258&gt;0),1,0)</f>
        <v>1</v>
      </c>
      <c r="J2258" s="7" t="n">
        <f aca="false">IF(I2258=1,D2258*F2258,0)</f>
        <v>17.34</v>
      </c>
      <c r="K2258" s="7" t="n">
        <f aca="false">YEAR(E2258)*100+MONTH(E2258)</f>
        <v>201110</v>
      </c>
      <c r="L2258" s="7" t="n">
        <f aca="false">IF(AND(A2258&lt;&gt;A2257,LEFT(A2258,1)&lt;&gt;"C"),1,0)</f>
        <v>0</v>
      </c>
    </row>
    <row r="2259" customFormat="false" ht="15" hidden="false" customHeight="false" outlineLevel="0" collapsed="false">
      <c r="A2259" s="0" t="s">
        <v>1816</v>
      </c>
      <c r="B2259" s="0" t="s">
        <v>719</v>
      </c>
      <c r="C2259" s="0" t="s">
        <v>720</v>
      </c>
      <c r="D2259" s="0" t="n">
        <v>24</v>
      </c>
      <c r="E2259" s="6" t="n">
        <v>40822.5625</v>
      </c>
      <c r="F2259" s="0" t="n">
        <v>0.85</v>
      </c>
      <c r="G2259" s="0" t="n">
        <v>12626</v>
      </c>
      <c r="H2259" s="0" t="s">
        <v>33</v>
      </c>
      <c r="I2259" s="7" t="n">
        <f aca="false">IF(AND(LEFT(A2259,1)&lt;&gt;"C",D2259&gt;0,F2259&gt;0),1,0)</f>
        <v>1</v>
      </c>
      <c r="J2259" s="7" t="n">
        <f aca="false">IF(I2259=1,D2259*F2259,0)</f>
        <v>20.4</v>
      </c>
      <c r="K2259" s="7" t="n">
        <f aca="false">YEAR(E2259)*100+MONTH(E2259)</f>
        <v>201110</v>
      </c>
      <c r="L2259" s="7" t="n">
        <f aca="false">IF(AND(A2259&lt;&gt;A2258,LEFT(A2259,1)&lt;&gt;"C"),1,0)</f>
        <v>0</v>
      </c>
    </row>
    <row r="2260" customFormat="false" ht="15" hidden="false" customHeight="false" outlineLevel="0" collapsed="false">
      <c r="A2260" s="0" t="s">
        <v>1816</v>
      </c>
      <c r="B2260" s="0" t="s">
        <v>374</v>
      </c>
      <c r="C2260" s="0" t="s">
        <v>375</v>
      </c>
      <c r="D2260" s="0" t="n">
        <v>12</v>
      </c>
      <c r="E2260" s="6" t="n">
        <v>40822.5625</v>
      </c>
      <c r="F2260" s="0" t="n">
        <v>1.25</v>
      </c>
      <c r="G2260" s="0" t="n">
        <v>12626</v>
      </c>
      <c r="H2260" s="0" t="s">
        <v>33</v>
      </c>
      <c r="I2260" s="7" t="n">
        <f aca="false">IF(AND(LEFT(A2260,1)&lt;&gt;"C",D2260&gt;0,F2260&gt;0),1,0)</f>
        <v>1</v>
      </c>
      <c r="J2260" s="7" t="n">
        <f aca="false">IF(I2260=1,D2260*F2260,0)</f>
        <v>15</v>
      </c>
      <c r="K2260" s="7" t="n">
        <f aca="false">YEAR(E2260)*100+MONTH(E2260)</f>
        <v>201110</v>
      </c>
      <c r="L2260" s="7" t="n">
        <f aca="false">IF(AND(A2260&lt;&gt;A2259,LEFT(A2260,1)&lt;&gt;"C"),1,0)</f>
        <v>0</v>
      </c>
    </row>
    <row r="2261" customFormat="false" ht="15" hidden="false" customHeight="false" outlineLevel="0" collapsed="false">
      <c r="A2261" s="0" t="s">
        <v>1816</v>
      </c>
      <c r="B2261" s="0" t="s">
        <v>372</v>
      </c>
      <c r="C2261" s="0" t="s">
        <v>373</v>
      </c>
      <c r="D2261" s="0" t="n">
        <v>12</v>
      </c>
      <c r="E2261" s="6" t="n">
        <v>40822.5625</v>
      </c>
      <c r="F2261" s="0" t="n">
        <v>1.25</v>
      </c>
      <c r="G2261" s="0" t="n">
        <v>12626</v>
      </c>
      <c r="H2261" s="0" t="s">
        <v>33</v>
      </c>
      <c r="I2261" s="7" t="n">
        <f aca="false">IF(AND(LEFT(A2261,1)&lt;&gt;"C",D2261&gt;0,F2261&gt;0),1,0)</f>
        <v>1</v>
      </c>
      <c r="J2261" s="7" t="n">
        <f aca="false">IF(I2261=1,D2261*F2261,0)</f>
        <v>15</v>
      </c>
      <c r="K2261" s="7" t="n">
        <f aca="false">YEAR(E2261)*100+MONTH(E2261)</f>
        <v>201110</v>
      </c>
      <c r="L2261" s="7" t="n">
        <f aca="false">IF(AND(A2261&lt;&gt;A2260,LEFT(A2261,1)&lt;&gt;"C"),1,0)</f>
        <v>0</v>
      </c>
    </row>
    <row r="2262" customFormat="false" ht="15" hidden="false" customHeight="false" outlineLevel="0" collapsed="false">
      <c r="A2262" s="0" t="s">
        <v>1816</v>
      </c>
      <c r="B2262" s="0" t="s">
        <v>571</v>
      </c>
      <c r="C2262" s="0" t="s">
        <v>572</v>
      </c>
      <c r="D2262" s="0" t="n">
        <v>24</v>
      </c>
      <c r="E2262" s="6" t="n">
        <v>40822.5625</v>
      </c>
      <c r="F2262" s="0" t="n">
        <v>2.55</v>
      </c>
      <c r="G2262" s="0" t="n">
        <v>12626</v>
      </c>
      <c r="H2262" s="0" t="s">
        <v>33</v>
      </c>
      <c r="I2262" s="7" t="n">
        <f aca="false">IF(AND(LEFT(A2262,1)&lt;&gt;"C",D2262&gt;0,F2262&gt;0),1,0)</f>
        <v>1</v>
      </c>
      <c r="J2262" s="7" t="n">
        <f aca="false">IF(I2262=1,D2262*F2262,0)</f>
        <v>61.2</v>
      </c>
      <c r="K2262" s="7" t="n">
        <f aca="false">YEAR(E2262)*100+MONTH(E2262)</f>
        <v>201110</v>
      </c>
      <c r="L2262" s="7" t="n">
        <f aca="false">IF(AND(A2262&lt;&gt;A2261,LEFT(A2262,1)&lt;&gt;"C"),1,0)</f>
        <v>0</v>
      </c>
    </row>
    <row r="2263" customFormat="false" ht="15" hidden="false" customHeight="false" outlineLevel="0" collapsed="false">
      <c r="A2263" s="0" t="s">
        <v>1816</v>
      </c>
      <c r="B2263" s="0" t="s">
        <v>679</v>
      </c>
      <c r="C2263" s="0" t="s">
        <v>680</v>
      </c>
      <c r="D2263" s="0" t="n">
        <v>6</v>
      </c>
      <c r="E2263" s="6" t="n">
        <v>40822.5625</v>
      </c>
      <c r="F2263" s="0" t="n">
        <v>2.1</v>
      </c>
      <c r="G2263" s="0" t="n">
        <v>12626</v>
      </c>
      <c r="H2263" s="0" t="s">
        <v>33</v>
      </c>
      <c r="I2263" s="7" t="n">
        <f aca="false">IF(AND(LEFT(A2263,1)&lt;&gt;"C",D2263&gt;0,F2263&gt;0),1,0)</f>
        <v>1</v>
      </c>
      <c r="J2263" s="7" t="n">
        <f aca="false">IF(I2263=1,D2263*F2263,0)</f>
        <v>12.6</v>
      </c>
      <c r="K2263" s="7" t="n">
        <f aca="false">YEAR(E2263)*100+MONTH(E2263)</f>
        <v>201110</v>
      </c>
      <c r="L2263" s="7" t="n">
        <f aca="false">IF(AND(A2263&lt;&gt;A2262,LEFT(A2263,1)&lt;&gt;"C"),1,0)</f>
        <v>0</v>
      </c>
    </row>
    <row r="2264" customFormat="false" ht="15" hidden="false" customHeight="false" outlineLevel="0" collapsed="false">
      <c r="A2264" s="0" t="s">
        <v>1816</v>
      </c>
      <c r="B2264" s="0" t="s">
        <v>1092</v>
      </c>
      <c r="C2264" s="0" t="s">
        <v>1093</v>
      </c>
      <c r="D2264" s="0" t="n">
        <v>24</v>
      </c>
      <c r="E2264" s="6" t="n">
        <v>40822.5625</v>
      </c>
      <c r="F2264" s="0" t="n">
        <v>0.85</v>
      </c>
      <c r="G2264" s="0" t="n">
        <v>12626</v>
      </c>
      <c r="H2264" s="0" t="s">
        <v>33</v>
      </c>
      <c r="I2264" s="7" t="n">
        <f aca="false">IF(AND(LEFT(A2264,1)&lt;&gt;"C",D2264&gt;0,F2264&gt;0),1,0)</f>
        <v>1</v>
      </c>
      <c r="J2264" s="7" t="n">
        <f aca="false">IF(I2264=1,D2264*F2264,0)</f>
        <v>20.4</v>
      </c>
      <c r="K2264" s="7" t="n">
        <f aca="false">YEAR(E2264)*100+MONTH(E2264)</f>
        <v>201110</v>
      </c>
      <c r="L2264" s="7" t="n">
        <f aca="false">IF(AND(A2264&lt;&gt;A2263,LEFT(A2264,1)&lt;&gt;"C"),1,0)</f>
        <v>0</v>
      </c>
    </row>
    <row r="2265" customFormat="false" ht="15" hidden="false" customHeight="false" outlineLevel="0" collapsed="false">
      <c r="A2265" s="0" t="s">
        <v>1816</v>
      </c>
      <c r="B2265" s="0" t="s">
        <v>76</v>
      </c>
      <c r="C2265" s="0" t="s">
        <v>77</v>
      </c>
      <c r="D2265" s="0" t="n">
        <v>12</v>
      </c>
      <c r="E2265" s="6" t="n">
        <v>40822.5625</v>
      </c>
      <c r="F2265" s="0" t="n">
        <v>1.95</v>
      </c>
      <c r="G2265" s="0" t="n">
        <v>12626</v>
      </c>
      <c r="H2265" s="0" t="s">
        <v>33</v>
      </c>
      <c r="I2265" s="7" t="n">
        <f aca="false">IF(AND(LEFT(A2265,1)&lt;&gt;"C",D2265&gt;0,F2265&gt;0),1,0)</f>
        <v>1</v>
      </c>
      <c r="J2265" s="7" t="n">
        <f aca="false">IF(I2265=1,D2265*F2265,0)</f>
        <v>23.4</v>
      </c>
      <c r="K2265" s="7" t="n">
        <f aca="false">YEAR(E2265)*100+MONTH(E2265)</f>
        <v>201110</v>
      </c>
      <c r="L2265" s="7" t="n">
        <f aca="false">IF(AND(A2265&lt;&gt;A2264,LEFT(A2265,1)&lt;&gt;"C"),1,0)</f>
        <v>0</v>
      </c>
    </row>
    <row r="2266" customFormat="false" ht="15" hidden="false" customHeight="false" outlineLevel="0" collapsed="false">
      <c r="A2266" s="0" t="s">
        <v>1816</v>
      </c>
      <c r="B2266" s="0" t="s">
        <v>343</v>
      </c>
      <c r="C2266" s="0" t="s">
        <v>344</v>
      </c>
      <c r="D2266" s="0" t="n">
        <v>12</v>
      </c>
      <c r="E2266" s="6" t="n">
        <v>40822.5625</v>
      </c>
      <c r="F2266" s="0" t="n">
        <v>1.45</v>
      </c>
      <c r="G2266" s="0" t="n">
        <v>12626</v>
      </c>
      <c r="H2266" s="0" t="s">
        <v>33</v>
      </c>
      <c r="I2266" s="7" t="n">
        <f aca="false">IF(AND(LEFT(A2266,1)&lt;&gt;"C",D2266&gt;0,F2266&gt;0),1,0)</f>
        <v>1</v>
      </c>
      <c r="J2266" s="7" t="n">
        <f aca="false">IF(I2266=1,D2266*F2266,0)</f>
        <v>17.4</v>
      </c>
      <c r="K2266" s="7" t="n">
        <f aca="false">YEAR(E2266)*100+MONTH(E2266)</f>
        <v>201110</v>
      </c>
      <c r="L2266" s="7" t="n">
        <f aca="false">IF(AND(A2266&lt;&gt;A2265,LEFT(A2266,1)&lt;&gt;"C"),1,0)</f>
        <v>0</v>
      </c>
    </row>
    <row r="2267" customFormat="false" ht="15" hidden="false" customHeight="false" outlineLevel="0" collapsed="false">
      <c r="A2267" s="0" t="s">
        <v>1816</v>
      </c>
      <c r="B2267" s="0" t="s">
        <v>1296</v>
      </c>
      <c r="C2267" s="0" t="s">
        <v>1297</v>
      </c>
      <c r="D2267" s="0" t="n">
        <v>12</v>
      </c>
      <c r="E2267" s="6" t="n">
        <v>40822.5625</v>
      </c>
      <c r="F2267" s="0" t="n">
        <v>1.45</v>
      </c>
      <c r="G2267" s="0" t="n">
        <v>12626</v>
      </c>
      <c r="H2267" s="0" t="s">
        <v>33</v>
      </c>
      <c r="I2267" s="7" t="n">
        <f aca="false">IF(AND(LEFT(A2267,1)&lt;&gt;"C",D2267&gt;0,F2267&gt;0),1,0)</f>
        <v>1</v>
      </c>
      <c r="J2267" s="7" t="n">
        <f aca="false">IF(I2267=1,D2267*F2267,0)</f>
        <v>17.4</v>
      </c>
      <c r="K2267" s="7" t="n">
        <f aca="false">YEAR(E2267)*100+MONTH(E2267)</f>
        <v>201110</v>
      </c>
      <c r="L2267" s="7" t="n">
        <f aca="false">IF(AND(A2267&lt;&gt;A2266,LEFT(A2267,1)&lt;&gt;"C"),1,0)</f>
        <v>0</v>
      </c>
    </row>
    <row r="2268" customFormat="false" ht="15" hidden="false" customHeight="false" outlineLevel="0" collapsed="false">
      <c r="A2268" s="0" t="s">
        <v>1816</v>
      </c>
      <c r="B2268" s="0" t="s">
        <v>345</v>
      </c>
      <c r="C2268" s="0" t="s">
        <v>346</v>
      </c>
      <c r="D2268" s="0" t="n">
        <v>12</v>
      </c>
      <c r="E2268" s="6" t="n">
        <v>40822.5625</v>
      </c>
      <c r="F2268" s="0" t="n">
        <v>1.45</v>
      </c>
      <c r="G2268" s="0" t="n">
        <v>12626</v>
      </c>
      <c r="H2268" s="0" t="s">
        <v>33</v>
      </c>
      <c r="I2268" s="7" t="n">
        <f aca="false">IF(AND(LEFT(A2268,1)&lt;&gt;"C",D2268&gt;0,F2268&gt;0),1,0)</f>
        <v>1</v>
      </c>
      <c r="J2268" s="7" t="n">
        <f aca="false">IF(I2268=1,D2268*F2268,0)</f>
        <v>17.4</v>
      </c>
      <c r="K2268" s="7" t="n">
        <f aca="false">YEAR(E2268)*100+MONTH(E2268)</f>
        <v>201110</v>
      </c>
      <c r="L2268" s="7" t="n">
        <f aca="false">IF(AND(A2268&lt;&gt;A2267,LEFT(A2268,1)&lt;&gt;"C"),1,0)</f>
        <v>0</v>
      </c>
    </row>
    <row r="2269" customFormat="false" ht="15" hidden="false" customHeight="false" outlineLevel="0" collapsed="false">
      <c r="A2269" s="0" t="s">
        <v>1816</v>
      </c>
      <c r="B2269" s="0" t="s">
        <v>341</v>
      </c>
      <c r="C2269" s="0" t="s">
        <v>342</v>
      </c>
      <c r="D2269" s="0" t="n">
        <v>12</v>
      </c>
      <c r="E2269" s="6" t="n">
        <v>40822.5625</v>
      </c>
      <c r="F2269" s="0" t="n">
        <v>1.45</v>
      </c>
      <c r="G2269" s="0" t="n">
        <v>12626</v>
      </c>
      <c r="H2269" s="0" t="s">
        <v>33</v>
      </c>
      <c r="I2269" s="7" t="n">
        <f aca="false">IF(AND(LEFT(A2269,1)&lt;&gt;"C",D2269&gt;0,F2269&gt;0),1,0)</f>
        <v>1</v>
      </c>
      <c r="J2269" s="7" t="n">
        <f aca="false">IF(I2269=1,D2269*F2269,0)</f>
        <v>17.4</v>
      </c>
      <c r="K2269" s="7" t="n">
        <f aca="false">YEAR(E2269)*100+MONTH(E2269)</f>
        <v>201110</v>
      </c>
      <c r="L2269" s="7" t="n">
        <f aca="false">IF(AND(A2269&lt;&gt;A2268,LEFT(A2269,1)&lt;&gt;"C"),1,0)</f>
        <v>0</v>
      </c>
    </row>
    <row r="2270" customFormat="false" ht="15" hidden="false" customHeight="false" outlineLevel="0" collapsed="false">
      <c r="A2270" s="0" t="s">
        <v>1816</v>
      </c>
      <c r="B2270" s="0" t="s">
        <v>1416</v>
      </c>
      <c r="C2270" s="0" t="s">
        <v>1417</v>
      </c>
      <c r="D2270" s="0" t="n">
        <v>12</v>
      </c>
      <c r="E2270" s="6" t="n">
        <v>40822.5625</v>
      </c>
      <c r="F2270" s="0" t="n">
        <v>1.45</v>
      </c>
      <c r="G2270" s="0" t="n">
        <v>12626</v>
      </c>
      <c r="H2270" s="0" t="s">
        <v>33</v>
      </c>
      <c r="I2270" s="7" t="n">
        <f aca="false">IF(AND(LEFT(A2270,1)&lt;&gt;"C",D2270&gt;0,F2270&gt;0),1,0)</f>
        <v>1</v>
      </c>
      <c r="J2270" s="7" t="n">
        <f aca="false">IF(I2270=1,D2270*F2270,0)</f>
        <v>17.4</v>
      </c>
      <c r="K2270" s="7" t="n">
        <f aca="false">YEAR(E2270)*100+MONTH(E2270)</f>
        <v>201110</v>
      </c>
      <c r="L2270" s="7" t="n">
        <f aca="false">IF(AND(A2270&lt;&gt;A2269,LEFT(A2270,1)&lt;&gt;"C"),1,0)</f>
        <v>0</v>
      </c>
    </row>
    <row r="2271" customFormat="false" ht="15" hidden="false" customHeight="false" outlineLevel="0" collapsed="false">
      <c r="A2271" s="0" t="s">
        <v>1816</v>
      </c>
      <c r="B2271" s="0" t="s">
        <v>349</v>
      </c>
      <c r="C2271" s="0" t="s">
        <v>350</v>
      </c>
      <c r="D2271" s="0" t="n">
        <v>12</v>
      </c>
      <c r="E2271" s="6" t="n">
        <v>40822.5625</v>
      </c>
      <c r="F2271" s="0" t="n">
        <v>1.45</v>
      </c>
      <c r="G2271" s="0" t="n">
        <v>12626</v>
      </c>
      <c r="H2271" s="0" t="s">
        <v>33</v>
      </c>
      <c r="I2271" s="7" t="n">
        <f aca="false">IF(AND(LEFT(A2271,1)&lt;&gt;"C",D2271&gt;0,F2271&gt;0),1,0)</f>
        <v>1</v>
      </c>
      <c r="J2271" s="7" t="n">
        <f aca="false">IF(I2271=1,D2271*F2271,0)</f>
        <v>17.4</v>
      </c>
      <c r="K2271" s="7" t="n">
        <f aca="false">YEAR(E2271)*100+MONTH(E2271)</f>
        <v>201110</v>
      </c>
      <c r="L2271" s="7" t="n">
        <f aca="false">IF(AND(A2271&lt;&gt;A2270,LEFT(A2271,1)&lt;&gt;"C"),1,0)</f>
        <v>0</v>
      </c>
    </row>
    <row r="2272" customFormat="false" ht="15" hidden="false" customHeight="false" outlineLevel="0" collapsed="false">
      <c r="A2272" s="0" t="s">
        <v>1816</v>
      </c>
      <c r="B2272" s="0" t="s">
        <v>647</v>
      </c>
      <c r="C2272" s="0" t="s">
        <v>648</v>
      </c>
      <c r="D2272" s="0" t="n">
        <v>4</v>
      </c>
      <c r="E2272" s="6" t="n">
        <v>40822.5625</v>
      </c>
      <c r="F2272" s="0" t="n">
        <v>4.25</v>
      </c>
      <c r="G2272" s="0" t="n">
        <v>12626</v>
      </c>
      <c r="H2272" s="0" t="s">
        <v>33</v>
      </c>
      <c r="I2272" s="7" t="n">
        <f aca="false">IF(AND(LEFT(A2272,1)&lt;&gt;"C",D2272&gt;0,F2272&gt;0),1,0)</f>
        <v>1</v>
      </c>
      <c r="J2272" s="7" t="n">
        <f aca="false">IF(I2272=1,D2272*F2272,0)</f>
        <v>17</v>
      </c>
      <c r="K2272" s="7" t="n">
        <f aca="false">YEAR(E2272)*100+MONTH(E2272)</f>
        <v>201110</v>
      </c>
      <c r="L2272" s="7" t="n">
        <f aca="false">IF(AND(A2272&lt;&gt;A2271,LEFT(A2272,1)&lt;&gt;"C"),1,0)</f>
        <v>0</v>
      </c>
    </row>
    <row r="2273" customFormat="false" ht="15" hidden="false" customHeight="false" outlineLevel="0" collapsed="false">
      <c r="A2273" s="0" t="s">
        <v>1816</v>
      </c>
      <c r="B2273" s="0" t="s">
        <v>711</v>
      </c>
      <c r="C2273" s="0" t="s">
        <v>712</v>
      </c>
      <c r="D2273" s="0" t="n">
        <v>12</v>
      </c>
      <c r="E2273" s="6" t="n">
        <v>40822.5625</v>
      </c>
      <c r="F2273" s="0" t="n">
        <v>1.45</v>
      </c>
      <c r="G2273" s="0" t="n">
        <v>12626</v>
      </c>
      <c r="H2273" s="0" t="s">
        <v>33</v>
      </c>
      <c r="I2273" s="7" t="n">
        <f aca="false">IF(AND(LEFT(A2273,1)&lt;&gt;"C",D2273&gt;0,F2273&gt;0),1,0)</f>
        <v>1</v>
      </c>
      <c r="J2273" s="7" t="n">
        <f aca="false">IF(I2273=1,D2273*F2273,0)</f>
        <v>17.4</v>
      </c>
      <c r="K2273" s="7" t="n">
        <f aca="false">YEAR(E2273)*100+MONTH(E2273)</f>
        <v>201110</v>
      </c>
      <c r="L2273" s="7" t="n">
        <f aca="false">IF(AND(A2273&lt;&gt;A2272,LEFT(A2273,1)&lt;&gt;"C"),1,0)</f>
        <v>0</v>
      </c>
    </row>
    <row r="2274" customFormat="false" ht="15" hidden="false" customHeight="false" outlineLevel="0" collapsed="false">
      <c r="A2274" s="0" t="s">
        <v>1816</v>
      </c>
      <c r="B2274" s="0" t="s">
        <v>1200</v>
      </c>
      <c r="C2274" s="0" t="s">
        <v>1201</v>
      </c>
      <c r="D2274" s="0" t="n">
        <v>12</v>
      </c>
      <c r="E2274" s="6" t="n">
        <v>40822.5625</v>
      </c>
      <c r="F2274" s="0" t="n">
        <v>1.45</v>
      </c>
      <c r="G2274" s="0" t="n">
        <v>12626</v>
      </c>
      <c r="H2274" s="0" t="s">
        <v>33</v>
      </c>
      <c r="I2274" s="7" t="n">
        <f aca="false">IF(AND(LEFT(A2274,1)&lt;&gt;"C",D2274&gt;0,F2274&gt;0),1,0)</f>
        <v>1</v>
      </c>
      <c r="J2274" s="7" t="n">
        <f aca="false">IF(I2274=1,D2274*F2274,0)</f>
        <v>17.4</v>
      </c>
      <c r="K2274" s="7" t="n">
        <f aca="false">YEAR(E2274)*100+MONTH(E2274)</f>
        <v>201110</v>
      </c>
      <c r="L2274" s="7" t="n">
        <f aca="false">IF(AND(A2274&lt;&gt;A2273,LEFT(A2274,1)&lt;&gt;"C"),1,0)</f>
        <v>0</v>
      </c>
    </row>
    <row r="2275" customFormat="false" ht="15" hidden="false" customHeight="false" outlineLevel="0" collapsed="false">
      <c r="A2275" s="0" t="s">
        <v>1816</v>
      </c>
      <c r="B2275" s="0" t="s">
        <v>1829</v>
      </c>
      <c r="C2275" s="0" t="s">
        <v>1830</v>
      </c>
      <c r="D2275" s="0" t="n">
        <v>12</v>
      </c>
      <c r="E2275" s="6" t="n">
        <v>40822.5625</v>
      </c>
      <c r="F2275" s="0" t="n">
        <v>1.95</v>
      </c>
      <c r="G2275" s="0" t="n">
        <v>12626</v>
      </c>
      <c r="H2275" s="0" t="s">
        <v>33</v>
      </c>
      <c r="I2275" s="7" t="n">
        <f aca="false">IF(AND(LEFT(A2275,1)&lt;&gt;"C",D2275&gt;0,F2275&gt;0),1,0)</f>
        <v>1</v>
      </c>
      <c r="J2275" s="7" t="n">
        <f aca="false">IF(I2275=1,D2275*F2275,0)</f>
        <v>23.4</v>
      </c>
      <c r="K2275" s="7" t="n">
        <f aca="false">YEAR(E2275)*100+MONTH(E2275)</f>
        <v>201110</v>
      </c>
      <c r="L2275" s="7" t="n">
        <f aca="false">IF(AND(A2275&lt;&gt;A2274,LEFT(A2275,1)&lt;&gt;"C"),1,0)</f>
        <v>0</v>
      </c>
    </row>
    <row r="2276" customFormat="false" ht="15" hidden="false" customHeight="false" outlineLevel="0" collapsed="false">
      <c r="A2276" s="0" t="s">
        <v>1816</v>
      </c>
      <c r="B2276" s="0" t="s">
        <v>1831</v>
      </c>
      <c r="C2276" s="0" t="s">
        <v>1832</v>
      </c>
      <c r="D2276" s="0" t="n">
        <v>4</v>
      </c>
      <c r="E2276" s="6" t="n">
        <v>40822.5625</v>
      </c>
      <c r="F2276" s="0" t="n">
        <v>3.75</v>
      </c>
      <c r="G2276" s="0" t="n">
        <v>12626</v>
      </c>
      <c r="H2276" s="0" t="s">
        <v>33</v>
      </c>
      <c r="I2276" s="7" t="n">
        <f aca="false">IF(AND(LEFT(A2276,1)&lt;&gt;"C",D2276&gt;0,F2276&gt;0),1,0)</f>
        <v>1</v>
      </c>
      <c r="J2276" s="7" t="n">
        <f aca="false">IF(I2276=1,D2276*F2276,0)</f>
        <v>15</v>
      </c>
      <c r="K2276" s="7" t="n">
        <f aca="false">YEAR(E2276)*100+MONTH(E2276)</f>
        <v>201110</v>
      </c>
      <c r="L2276" s="7" t="n">
        <f aca="false">IF(AND(A2276&lt;&gt;A2275,LEFT(A2276,1)&lt;&gt;"C"),1,0)</f>
        <v>0</v>
      </c>
    </row>
    <row r="2277" customFormat="false" ht="15" hidden="false" customHeight="false" outlineLevel="0" collapsed="false">
      <c r="A2277" s="0" t="s">
        <v>1816</v>
      </c>
      <c r="B2277" s="0" t="s">
        <v>1833</v>
      </c>
      <c r="C2277" s="0" t="s">
        <v>1834</v>
      </c>
      <c r="D2277" s="0" t="n">
        <v>4</v>
      </c>
      <c r="E2277" s="6" t="n">
        <v>40822.5625</v>
      </c>
      <c r="F2277" s="0" t="n">
        <v>3.75</v>
      </c>
      <c r="G2277" s="0" t="n">
        <v>12626</v>
      </c>
      <c r="H2277" s="0" t="s">
        <v>33</v>
      </c>
      <c r="I2277" s="7" t="n">
        <f aca="false">IF(AND(LEFT(A2277,1)&lt;&gt;"C",D2277&gt;0,F2277&gt;0),1,0)</f>
        <v>1</v>
      </c>
      <c r="J2277" s="7" t="n">
        <f aca="false">IF(I2277=1,D2277*F2277,0)</f>
        <v>15</v>
      </c>
      <c r="K2277" s="7" t="n">
        <f aca="false">YEAR(E2277)*100+MONTH(E2277)</f>
        <v>201110</v>
      </c>
      <c r="L2277" s="7" t="n">
        <f aca="false">IF(AND(A2277&lt;&gt;A2276,LEFT(A2277,1)&lt;&gt;"C"),1,0)</f>
        <v>0</v>
      </c>
    </row>
    <row r="2278" customFormat="false" ht="15" hidden="false" customHeight="false" outlineLevel="0" collapsed="false">
      <c r="A2278" s="0" t="s">
        <v>1816</v>
      </c>
      <c r="B2278" s="0" t="s">
        <v>1835</v>
      </c>
      <c r="C2278" s="0" t="s">
        <v>1836</v>
      </c>
      <c r="D2278" s="0" t="n">
        <v>4</v>
      </c>
      <c r="E2278" s="6" t="n">
        <v>40822.5625</v>
      </c>
      <c r="F2278" s="0" t="n">
        <v>3.75</v>
      </c>
      <c r="G2278" s="0" t="n">
        <v>12626</v>
      </c>
      <c r="H2278" s="0" t="s">
        <v>33</v>
      </c>
      <c r="I2278" s="7" t="n">
        <f aca="false">IF(AND(LEFT(A2278,1)&lt;&gt;"C",D2278&gt;0,F2278&gt;0),1,0)</f>
        <v>1</v>
      </c>
      <c r="J2278" s="7" t="n">
        <f aca="false">IF(I2278=1,D2278*F2278,0)</f>
        <v>15</v>
      </c>
      <c r="K2278" s="7" t="n">
        <f aca="false">YEAR(E2278)*100+MONTH(E2278)</f>
        <v>201110</v>
      </c>
      <c r="L2278" s="7" t="n">
        <f aca="false">IF(AND(A2278&lt;&gt;A2277,LEFT(A2278,1)&lt;&gt;"C"),1,0)</f>
        <v>0</v>
      </c>
    </row>
    <row r="2279" customFormat="false" ht="15" hidden="false" customHeight="false" outlineLevel="0" collapsed="false">
      <c r="A2279" s="0" t="s">
        <v>1816</v>
      </c>
      <c r="B2279" s="0" t="s">
        <v>1837</v>
      </c>
      <c r="C2279" s="0" t="s">
        <v>1838</v>
      </c>
      <c r="D2279" s="0" t="n">
        <v>24</v>
      </c>
      <c r="E2279" s="6" t="n">
        <v>40822.5625</v>
      </c>
      <c r="F2279" s="0" t="n">
        <v>1.69</v>
      </c>
      <c r="G2279" s="0" t="n">
        <v>12626</v>
      </c>
      <c r="H2279" s="0" t="s">
        <v>33</v>
      </c>
      <c r="I2279" s="7" t="n">
        <f aca="false">IF(AND(LEFT(A2279,1)&lt;&gt;"C",D2279&gt;0,F2279&gt;0),1,0)</f>
        <v>1</v>
      </c>
      <c r="J2279" s="7" t="n">
        <f aca="false">IF(I2279=1,D2279*F2279,0)</f>
        <v>40.56</v>
      </c>
      <c r="K2279" s="7" t="n">
        <f aca="false">YEAR(E2279)*100+MONTH(E2279)</f>
        <v>201110</v>
      </c>
      <c r="L2279" s="7" t="n">
        <f aca="false">IF(AND(A2279&lt;&gt;A2278,LEFT(A2279,1)&lt;&gt;"C"),1,0)</f>
        <v>0</v>
      </c>
    </row>
    <row r="2280" customFormat="false" ht="15" hidden="false" customHeight="false" outlineLevel="0" collapsed="false">
      <c r="A2280" s="0" t="s">
        <v>1816</v>
      </c>
      <c r="B2280" s="0" t="s">
        <v>1429</v>
      </c>
      <c r="C2280" s="0" t="s">
        <v>1430</v>
      </c>
      <c r="D2280" s="0" t="n">
        <v>24</v>
      </c>
      <c r="E2280" s="6" t="n">
        <v>40822.5625</v>
      </c>
      <c r="F2280" s="0" t="n">
        <v>1.69</v>
      </c>
      <c r="G2280" s="0" t="n">
        <v>12626</v>
      </c>
      <c r="H2280" s="0" t="s">
        <v>33</v>
      </c>
      <c r="I2280" s="7" t="n">
        <f aca="false">IF(AND(LEFT(A2280,1)&lt;&gt;"C",D2280&gt;0,F2280&gt;0),1,0)</f>
        <v>1</v>
      </c>
      <c r="J2280" s="7" t="n">
        <f aca="false">IF(I2280=1,D2280*F2280,0)</f>
        <v>40.56</v>
      </c>
      <c r="K2280" s="7" t="n">
        <f aca="false">YEAR(E2280)*100+MONTH(E2280)</f>
        <v>201110</v>
      </c>
      <c r="L2280" s="7" t="n">
        <f aca="false">IF(AND(A2280&lt;&gt;A2279,LEFT(A2280,1)&lt;&gt;"C"),1,0)</f>
        <v>0</v>
      </c>
    </row>
    <row r="2281" customFormat="false" ht="15" hidden="false" customHeight="false" outlineLevel="0" collapsed="false">
      <c r="A2281" s="0" t="s">
        <v>1816</v>
      </c>
      <c r="B2281" s="0" t="s">
        <v>750</v>
      </c>
      <c r="C2281" s="0" t="s">
        <v>751</v>
      </c>
      <c r="D2281" s="0" t="n">
        <v>24</v>
      </c>
      <c r="E2281" s="6" t="n">
        <v>40822.5625</v>
      </c>
      <c r="F2281" s="0" t="n">
        <v>1.69</v>
      </c>
      <c r="G2281" s="0" t="n">
        <v>12626</v>
      </c>
      <c r="H2281" s="0" t="s">
        <v>33</v>
      </c>
      <c r="I2281" s="7" t="n">
        <f aca="false">IF(AND(LEFT(A2281,1)&lt;&gt;"C",D2281&gt;0,F2281&gt;0),1,0)</f>
        <v>1</v>
      </c>
      <c r="J2281" s="7" t="n">
        <f aca="false">IF(I2281=1,D2281*F2281,0)</f>
        <v>40.56</v>
      </c>
      <c r="K2281" s="7" t="n">
        <f aca="false">YEAR(E2281)*100+MONTH(E2281)</f>
        <v>201110</v>
      </c>
      <c r="L2281" s="7" t="n">
        <f aca="false">IF(AND(A2281&lt;&gt;A2280,LEFT(A2281,1)&lt;&gt;"C"),1,0)</f>
        <v>0</v>
      </c>
    </row>
    <row r="2282" customFormat="false" ht="15" hidden="false" customHeight="false" outlineLevel="0" collapsed="false">
      <c r="A2282" s="0" t="s">
        <v>1816</v>
      </c>
      <c r="B2282" s="0" t="s">
        <v>897</v>
      </c>
      <c r="C2282" s="0" t="s">
        <v>898</v>
      </c>
      <c r="D2282" s="0" t="n">
        <v>3</v>
      </c>
      <c r="E2282" s="6" t="n">
        <v>40822.5625</v>
      </c>
      <c r="F2282" s="0" t="n">
        <v>4.95</v>
      </c>
      <c r="G2282" s="0" t="n">
        <v>12626</v>
      </c>
      <c r="H2282" s="0" t="s">
        <v>33</v>
      </c>
      <c r="I2282" s="7" t="n">
        <f aca="false">IF(AND(LEFT(A2282,1)&lt;&gt;"C",D2282&gt;0,F2282&gt;0),1,0)</f>
        <v>1</v>
      </c>
      <c r="J2282" s="7" t="n">
        <f aca="false">IF(I2282=1,D2282*F2282,0)</f>
        <v>14.85</v>
      </c>
      <c r="K2282" s="7" t="n">
        <f aca="false">YEAR(E2282)*100+MONTH(E2282)</f>
        <v>201110</v>
      </c>
      <c r="L2282" s="7" t="n">
        <f aca="false">IF(AND(A2282&lt;&gt;A2281,LEFT(A2282,1)&lt;&gt;"C"),1,0)</f>
        <v>0</v>
      </c>
    </row>
    <row r="2283" customFormat="false" ht="15" hidden="false" customHeight="false" outlineLevel="0" collapsed="false">
      <c r="A2283" s="0" t="s">
        <v>1816</v>
      </c>
      <c r="B2283" s="0" t="s">
        <v>136</v>
      </c>
      <c r="C2283" s="0" t="s">
        <v>137</v>
      </c>
      <c r="D2283" s="0" t="n">
        <v>4</v>
      </c>
      <c r="E2283" s="6" t="n">
        <v>40822.5625</v>
      </c>
      <c r="F2283" s="0" t="n">
        <v>4.95</v>
      </c>
      <c r="G2283" s="0" t="n">
        <v>12626</v>
      </c>
      <c r="H2283" s="0" t="s">
        <v>33</v>
      </c>
      <c r="I2283" s="7" t="n">
        <f aca="false">IF(AND(LEFT(A2283,1)&lt;&gt;"C",D2283&gt;0,F2283&gt;0),1,0)</f>
        <v>1</v>
      </c>
      <c r="J2283" s="7" t="n">
        <f aca="false">IF(I2283=1,D2283*F2283,0)</f>
        <v>19.8</v>
      </c>
      <c r="K2283" s="7" t="n">
        <f aca="false">YEAR(E2283)*100+MONTH(E2283)</f>
        <v>201110</v>
      </c>
      <c r="L2283" s="7" t="n">
        <f aca="false">IF(AND(A2283&lt;&gt;A2282,LEFT(A2283,1)&lt;&gt;"C"),1,0)</f>
        <v>0</v>
      </c>
    </row>
    <row r="2284" customFormat="false" ht="15" hidden="false" customHeight="false" outlineLevel="0" collapsed="false">
      <c r="A2284" s="0" t="s">
        <v>1816</v>
      </c>
      <c r="B2284" s="0" t="s">
        <v>1440</v>
      </c>
      <c r="C2284" s="0" t="s">
        <v>1441</v>
      </c>
      <c r="D2284" s="0" t="n">
        <v>6</v>
      </c>
      <c r="E2284" s="6" t="n">
        <v>40822.5625</v>
      </c>
      <c r="F2284" s="0" t="n">
        <v>2.1</v>
      </c>
      <c r="G2284" s="0" t="n">
        <v>12626</v>
      </c>
      <c r="H2284" s="0" t="s">
        <v>33</v>
      </c>
      <c r="I2284" s="7" t="n">
        <f aca="false">IF(AND(LEFT(A2284,1)&lt;&gt;"C",D2284&gt;0,F2284&gt;0),1,0)</f>
        <v>1</v>
      </c>
      <c r="J2284" s="7" t="n">
        <f aca="false">IF(I2284=1,D2284*F2284,0)</f>
        <v>12.6</v>
      </c>
      <c r="K2284" s="7" t="n">
        <f aca="false">YEAR(E2284)*100+MONTH(E2284)</f>
        <v>201110</v>
      </c>
      <c r="L2284" s="7" t="n">
        <f aca="false">IF(AND(A2284&lt;&gt;A2283,LEFT(A2284,1)&lt;&gt;"C"),1,0)</f>
        <v>0</v>
      </c>
    </row>
    <row r="2285" customFormat="false" ht="15" hidden="false" customHeight="false" outlineLevel="0" collapsed="false">
      <c r="A2285" s="0" t="s">
        <v>1816</v>
      </c>
      <c r="B2285" s="0" t="s">
        <v>677</v>
      </c>
      <c r="C2285" s="0" t="s">
        <v>678</v>
      </c>
      <c r="D2285" s="0" t="n">
        <v>6</v>
      </c>
      <c r="E2285" s="6" t="n">
        <v>40822.5625</v>
      </c>
      <c r="F2285" s="0" t="n">
        <v>2.1</v>
      </c>
      <c r="G2285" s="0" t="n">
        <v>12626</v>
      </c>
      <c r="H2285" s="0" t="s">
        <v>33</v>
      </c>
      <c r="I2285" s="7" t="n">
        <f aca="false">IF(AND(LEFT(A2285,1)&lt;&gt;"C",D2285&gt;0,F2285&gt;0),1,0)</f>
        <v>1</v>
      </c>
      <c r="J2285" s="7" t="n">
        <f aca="false">IF(I2285=1,D2285*F2285,0)</f>
        <v>12.6</v>
      </c>
      <c r="K2285" s="7" t="n">
        <f aca="false">YEAR(E2285)*100+MONTH(E2285)</f>
        <v>201110</v>
      </c>
      <c r="L2285" s="7" t="n">
        <f aca="false">IF(AND(A2285&lt;&gt;A2284,LEFT(A2285,1)&lt;&gt;"C"),1,0)</f>
        <v>0</v>
      </c>
    </row>
    <row r="2286" customFormat="false" ht="15" hidden="false" customHeight="false" outlineLevel="0" collapsed="false">
      <c r="A2286" s="0" t="s">
        <v>1816</v>
      </c>
      <c r="B2286" s="0" t="s">
        <v>1438</v>
      </c>
      <c r="C2286" s="0" t="s">
        <v>1439</v>
      </c>
      <c r="D2286" s="0" t="n">
        <v>6</v>
      </c>
      <c r="E2286" s="6" t="n">
        <v>40822.5625</v>
      </c>
      <c r="F2286" s="0" t="n">
        <v>2.1</v>
      </c>
      <c r="G2286" s="0" t="n">
        <v>12626</v>
      </c>
      <c r="H2286" s="0" t="s">
        <v>33</v>
      </c>
      <c r="I2286" s="7" t="n">
        <f aca="false">IF(AND(LEFT(A2286,1)&lt;&gt;"C",D2286&gt;0,F2286&gt;0),1,0)</f>
        <v>1</v>
      </c>
      <c r="J2286" s="7" t="n">
        <f aca="false">IF(I2286=1,D2286*F2286,0)</f>
        <v>12.6</v>
      </c>
      <c r="K2286" s="7" t="n">
        <f aca="false">YEAR(E2286)*100+MONTH(E2286)</f>
        <v>201110</v>
      </c>
      <c r="L2286" s="7" t="n">
        <f aca="false">IF(AND(A2286&lt;&gt;A2285,LEFT(A2286,1)&lt;&gt;"C"),1,0)</f>
        <v>0</v>
      </c>
    </row>
    <row r="2287" customFormat="false" ht="15" hidden="false" customHeight="false" outlineLevel="0" collapsed="false">
      <c r="A2287" s="0" t="s">
        <v>1816</v>
      </c>
      <c r="B2287" s="0" t="s">
        <v>1839</v>
      </c>
      <c r="C2287" s="0" t="s">
        <v>1840</v>
      </c>
      <c r="D2287" s="0" t="n">
        <v>12</v>
      </c>
      <c r="E2287" s="6" t="n">
        <v>40822.5625</v>
      </c>
      <c r="F2287" s="0" t="n">
        <v>0.65</v>
      </c>
      <c r="G2287" s="0" t="n">
        <v>12626</v>
      </c>
      <c r="H2287" s="0" t="s">
        <v>33</v>
      </c>
      <c r="I2287" s="7" t="n">
        <f aca="false">IF(AND(LEFT(A2287,1)&lt;&gt;"C",D2287&gt;0,F2287&gt;0),1,0)</f>
        <v>1</v>
      </c>
      <c r="J2287" s="7" t="n">
        <f aca="false">IF(I2287=1,D2287*F2287,0)</f>
        <v>7.8</v>
      </c>
      <c r="K2287" s="7" t="n">
        <f aca="false">YEAR(E2287)*100+MONTH(E2287)</f>
        <v>201110</v>
      </c>
      <c r="L2287" s="7" t="n">
        <f aca="false">IF(AND(A2287&lt;&gt;A2286,LEFT(A2287,1)&lt;&gt;"C"),1,0)</f>
        <v>0</v>
      </c>
    </row>
    <row r="2288" customFormat="false" ht="15" hidden="false" customHeight="false" outlineLevel="0" collapsed="false">
      <c r="A2288" s="0" t="s">
        <v>1816</v>
      </c>
      <c r="B2288" s="0" t="s">
        <v>1841</v>
      </c>
      <c r="C2288" s="0" t="s">
        <v>1842</v>
      </c>
      <c r="D2288" s="0" t="n">
        <v>12</v>
      </c>
      <c r="E2288" s="6" t="n">
        <v>40822.5625</v>
      </c>
      <c r="F2288" s="0" t="n">
        <v>0.42</v>
      </c>
      <c r="G2288" s="0" t="n">
        <v>12626</v>
      </c>
      <c r="H2288" s="0" t="s">
        <v>33</v>
      </c>
      <c r="I2288" s="7" t="n">
        <f aca="false">IF(AND(LEFT(A2288,1)&lt;&gt;"C",D2288&gt;0,F2288&gt;0),1,0)</f>
        <v>1</v>
      </c>
      <c r="J2288" s="7" t="n">
        <f aca="false">IF(I2288=1,D2288*F2288,0)</f>
        <v>5.04</v>
      </c>
      <c r="K2288" s="7" t="n">
        <f aca="false">YEAR(E2288)*100+MONTH(E2288)</f>
        <v>201110</v>
      </c>
      <c r="L2288" s="7" t="n">
        <f aca="false">IF(AND(A2288&lt;&gt;A2287,LEFT(A2288,1)&lt;&gt;"C"),1,0)</f>
        <v>0</v>
      </c>
    </row>
    <row r="2289" customFormat="false" ht="15" hidden="false" customHeight="false" outlineLevel="0" collapsed="false">
      <c r="A2289" s="0" t="s">
        <v>1816</v>
      </c>
      <c r="B2289" s="0" t="s">
        <v>52</v>
      </c>
      <c r="C2289" s="0" t="s">
        <v>53</v>
      </c>
      <c r="D2289" s="0" t="n">
        <v>12</v>
      </c>
      <c r="E2289" s="6" t="n">
        <v>40822.5625</v>
      </c>
      <c r="F2289" s="0" t="n">
        <v>1.95</v>
      </c>
      <c r="G2289" s="0" t="n">
        <v>12626</v>
      </c>
      <c r="H2289" s="0" t="s">
        <v>33</v>
      </c>
      <c r="I2289" s="7" t="n">
        <f aca="false">IF(AND(LEFT(A2289,1)&lt;&gt;"C",D2289&gt;0,F2289&gt;0),1,0)</f>
        <v>1</v>
      </c>
      <c r="J2289" s="7" t="n">
        <f aca="false">IF(I2289=1,D2289*F2289,0)</f>
        <v>23.4</v>
      </c>
      <c r="K2289" s="7" t="n">
        <f aca="false">YEAR(E2289)*100+MONTH(E2289)</f>
        <v>201110</v>
      </c>
      <c r="L2289" s="7" t="n">
        <f aca="false">IF(AND(A2289&lt;&gt;A2288,LEFT(A2289,1)&lt;&gt;"C"),1,0)</f>
        <v>0</v>
      </c>
    </row>
    <row r="2290" customFormat="false" ht="15" hidden="false" customHeight="false" outlineLevel="0" collapsed="false">
      <c r="A2290" s="0" t="s">
        <v>1816</v>
      </c>
      <c r="B2290" s="0" t="s">
        <v>50</v>
      </c>
      <c r="C2290" s="0" t="s">
        <v>51</v>
      </c>
      <c r="D2290" s="0" t="n">
        <v>12</v>
      </c>
      <c r="E2290" s="6" t="n">
        <v>40822.5625</v>
      </c>
      <c r="F2290" s="0" t="n">
        <v>1.95</v>
      </c>
      <c r="G2290" s="0" t="n">
        <v>12626</v>
      </c>
      <c r="H2290" s="0" t="s">
        <v>33</v>
      </c>
      <c r="I2290" s="7" t="n">
        <f aca="false">IF(AND(LEFT(A2290,1)&lt;&gt;"C",D2290&gt;0,F2290&gt;0),1,0)</f>
        <v>1</v>
      </c>
      <c r="J2290" s="7" t="n">
        <f aca="false">IF(I2290=1,D2290*F2290,0)</f>
        <v>23.4</v>
      </c>
      <c r="K2290" s="7" t="n">
        <f aca="false">YEAR(E2290)*100+MONTH(E2290)</f>
        <v>201110</v>
      </c>
      <c r="L2290" s="7" t="n">
        <f aca="false">IF(AND(A2290&lt;&gt;A2289,LEFT(A2290,1)&lt;&gt;"C"),1,0)</f>
        <v>0</v>
      </c>
    </row>
    <row r="2291" customFormat="false" ht="15" hidden="false" customHeight="false" outlineLevel="0" collapsed="false">
      <c r="A2291" s="0" t="s">
        <v>1816</v>
      </c>
      <c r="B2291" s="0" t="s">
        <v>1843</v>
      </c>
      <c r="C2291" s="0" t="s">
        <v>1844</v>
      </c>
      <c r="D2291" s="0" t="n">
        <v>24</v>
      </c>
      <c r="E2291" s="6" t="n">
        <v>40822.5625</v>
      </c>
      <c r="F2291" s="0" t="n">
        <v>0.65</v>
      </c>
      <c r="G2291" s="0" t="n">
        <v>12626</v>
      </c>
      <c r="H2291" s="0" t="s">
        <v>33</v>
      </c>
      <c r="I2291" s="7" t="n">
        <f aca="false">IF(AND(LEFT(A2291,1)&lt;&gt;"C",D2291&gt;0,F2291&gt;0),1,0)</f>
        <v>1</v>
      </c>
      <c r="J2291" s="7" t="n">
        <f aca="false">IF(I2291=1,D2291*F2291,0)</f>
        <v>15.6</v>
      </c>
      <c r="K2291" s="7" t="n">
        <f aca="false">YEAR(E2291)*100+MONTH(E2291)</f>
        <v>201110</v>
      </c>
      <c r="L2291" s="7" t="n">
        <f aca="false">IF(AND(A2291&lt;&gt;A2290,LEFT(A2291,1)&lt;&gt;"C"),1,0)</f>
        <v>0</v>
      </c>
    </row>
    <row r="2292" customFormat="false" ht="15" hidden="false" customHeight="false" outlineLevel="0" collapsed="false">
      <c r="A2292" s="0" t="s">
        <v>1816</v>
      </c>
      <c r="B2292" s="0" t="s">
        <v>330</v>
      </c>
      <c r="C2292" s="0" t="s">
        <v>331</v>
      </c>
      <c r="D2292" s="0" t="n">
        <v>24</v>
      </c>
      <c r="E2292" s="6" t="n">
        <v>40822.5625</v>
      </c>
      <c r="F2292" s="0" t="n">
        <v>0.42</v>
      </c>
      <c r="G2292" s="0" t="n">
        <v>12626</v>
      </c>
      <c r="H2292" s="0" t="s">
        <v>33</v>
      </c>
      <c r="I2292" s="7" t="n">
        <f aca="false">IF(AND(LEFT(A2292,1)&lt;&gt;"C",D2292&gt;0,F2292&gt;0),1,0)</f>
        <v>1</v>
      </c>
      <c r="J2292" s="7" t="n">
        <f aca="false">IF(I2292=1,D2292*F2292,0)</f>
        <v>10.08</v>
      </c>
      <c r="K2292" s="7" t="n">
        <f aca="false">YEAR(E2292)*100+MONTH(E2292)</f>
        <v>201110</v>
      </c>
      <c r="L2292" s="7" t="n">
        <f aca="false">IF(AND(A2292&lt;&gt;A2291,LEFT(A2292,1)&lt;&gt;"C"),1,0)</f>
        <v>0</v>
      </c>
    </row>
    <row r="2293" customFormat="false" ht="15" hidden="false" customHeight="false" outlineLevel="0" collapsed="false">
      <c r="A2293" s="0" t="s">
        <v>1816</v>
      </c>
      <c r="B2293" s="0" t="s">
        <v>1845</v>
      </c>
      <c r="C2293" s="0" t="s">
        <v>1846</v>
      </c>
      <c r="D2293" s="0" t="n">
        <v>12</v>
      </c>
      <c r="E2293" s="6" t="n">
        <v>40822.5625</v>
      </c>
      <c r="F2293" s="0" t="n">
        <v>1.65</v>
      </c>
      <c r="G2293" s="0" t="n">
        <v>12626</v>
      </c>
      <c r="H2293" s="0" t="s">
        <v>33</v>
      </c>
      <c r="I2293" s="7" t="n">
        <f aca="false">IF(AND(LEFT(A2293,1)&lt;&gt;"C",D2293&gt;0,F2293&gt;0),1,0)</f>
        <v>1</v>
      </c>
      <c r="J2293" s="7" t="n">
        <f aca="false">IF(I2293=1,D2293*F2293,0)</f>
        <v>19.8</v>
      </c>
      <c r="K2293" s="7" t="n">
        <f aca="false">YEAR(E2293)*100+MONTH(E2293)</f>
        <v>201110</v>
      </c>
      <c r="L2293" s="7" t="n">
        <f aca="false">IF(AND(A2293&lt;&gt;A2292,LEFT(A2293,1)&lt;&gt;"C"),1,0)</f>
        <v>0</v>
      </c>
    </row>
    <row r="2294" customFormat="false" ht="15" hidden="false" customHeight="false" outlineLevel="0" collapsed="false">
      <c r="A2294" s="0" t="s">
        <v>1816</v>
      </c>
      <c r="B2294" s="0" t="s">
        <v>84</v>
      </c>
      <c r="C2294" s="0" t="s">
        <v>85</v>
      </c>
      <c r="D2294" s="0" t="n">
        <v>7</v>
      </c>
      <c r="E2294" s="6" t="n">
        <v>40822.5625</v>
      </c>
      <c r="F2294" s="0" t="n">
        <v>18</v>
      </c>
      <c r="G2294" s="0" t="n">
        <v>12626</v>
      </c>
      <c r="H2294" s="0" t="s">
        <v>33</v>
      </c>
      <c r="I2294" s="7" t="n">
        <f aca="false">IF(AND(LEFT(A2294,1)&lt;&gt;"C",D2294&gt;0,F2294&gt;0),1,0)</f>
        <v>1</v>
      </c>
      <c r="J2294" s="7" t="n">
        <f aca="false">IF(I2294=1,D2294*F2294,0)</f>
        <v>126</v>
      </c>
      <c r="K2294" s="7" t="n">
        <f aca="false">YEAR(E2294)*100+MONTH(E2294)</f>
        <v>201110</v>
      </c>
      <c r="L2294" s="7" t="n">
        <f aca="false">IF(AND(A2294&lt;&gt;A2293,LEFT(A2294,1)&lt;&gt;"C"),1,0)</f>
        <v>0</v>
      </c>
    </row>
    <row r="2295" customFormat="false" ht="15" hidden="false" customHeight="false" outlineLevel="0" collapsed="false">
      <c r="A2295" s="0" t="s">
        <v>1847</v>
      </c>
      <c r="B2295" s="0" t="s">
        <v>490</v>
      </c>
      <c r="C2295" s="0" t="s">
        <v>491</v>
      </c>
      <c r="D2295" s="0" t="n">
        <v>6</v>
      </c>
      <c r="E2295" s="6" t="n">
        <v>40822.6090277778</v>
      </c>
      <c r="F2295" s="0" t="n">
        <v>2.08</v>
      </c>
      <c r="G2295" s="0" t="n">
        <v>13812</v>
      </c>
      <c r="H2295" s="0" t="s">
        <v>33</v>
      </c>
      <c r="I2295" s="7" t="n">
        <f aca="false">IF(AND(LEFT(A2295,1)&lt;&gt;"C",D2295&gt;0,F2295&gt;0),1,0)</f>
        <v>1</v>
      </c>
      <c r="J2295" s="7" t="n">
        <f aca="false">IF(I2295=1,D2295*F2295,0)</f>
        <v>12.48</v>
      </c>
      <c r="K2295" s="7" t="n">
        <f aca="false">YEAR(E2295)*100+MONTH(E2295)</f>
        <v>201110</v>
      </c>
      <c r="L2295" s="7" t="n">
        <f aca="false">IF(AND(A2295&lt;&gt;A2294,LEFT(A2295,1)&lt;&gt;"C"),1,0)</f>
        <v>1</v>
      </c>
    </row>
    <row r="2296" customFormat="false" ht="15" hidden="false" customHeight="false" outlineLevel="0" collapsed="false">
      <c r="A2296" s="0" t="s">
        <v>1847</v>
      </c>
      <c r="B2296" s="0" t="s">
        <v>213</v>
      </c>
      <c r="C2296" s="0" t="s">
        <v>214</v>
      </c>
      <c r="D2296" s="0" t="n">
        <v>12</v>
      </c>
      <c r="E2296" s="6" t="n">
        <v>40822.6090277778</v>
      </c>
      <c r="F2296" s="0" t="n">
        <v>0.85</v>
      </c>
      <c r="G2296" s="0" t="n">
        <v>13812</v>
      </c>
      <c r="H2296" s="0" t="s">
        <v>33</v>
      </c>
      <c r="I2296" s="7" t="n">
        <f aca="false">IF(AND(LEFT(A2296,1)&lt;&gt;"C",D2296&gt;0,F2296&gt;0),1,0)</f>
        <v>1</v>
      </c>
      <c r="J2296" s="7" t="n">
        <f aca="false">IF(I2296=1,D2296*F2296,0)</f>
        <v>10.2</v>
      </c>
      <c r="K2296" s="7" t="n">
        <f aca="false">YEAR(E2296)*100+MONTH(E2296)</f>
        <v>201110</v>
      </c>
      <c r="L2296" s="7" t="n">
        <f aca="false">IF(AND(A2296&lt;&gt;A2295,LEFT(A2296,1)&lt;&gt;"C"),1,0)</f>
        <v>0</v>
      </c>
    </row>
    <row r="2297" customFormat="false" ht="15" hidden="false" customHeight="false" outlineLevel="0" collapsed="false">
      <c r="A2297" s="0" t="s">
        <v>1847</v>
      </c>
      <c r="B2297" s="0" t="s">
        <v>800</v>
      </c>
      <c r="C2297" s="0" t="s">
        <v>801</v>
      </c>
      <c r="D2297" s="0" t="n">
        <v>6</v>
      </c>
      <c r="E2297" s="6" t="n">
        <v>40822.6090277778</v>
      </c>
      <c r="F2297" s="0" t="n">
        <v>2.55</v>
      </c>
      <c r="G2297" s="0" t="n">
        <v>13812</v>
      </c>
      <c r="H2297" s="0" t="s">
        <v>33</v>
      </c>
      <c r="I2297" s="7" t="n">
        <f aca="false">IF(AND(LEFT(A2297,1)&lt;&gt;"C",D2297&gt;0,F2297&gt;0),1,0)</f>
        <v>1</v>
      </c>
      <c r="J2297" s="7" t="n">
        <f aca="false">IF(I2297=1,D2297*F2297,0)</f>
        <v>15.3</v>
      </c>
      <c r="K2297" s="7" t="n">
        <f aca="false">YEAR(E2297)*100+MONTH(E2297)</f>
        <v>201110</v>
      </c>
      <c r="L2297" s="7" t="n">
        <f aca="false">IF(AND(A2297&lt;&gt;A2296,LEFT(A2297,1)&lt;&gt;"C"),1,0)</f>
        <v>0</v>
      </c>
    </row>
    <row r="2298" customFormat="false" ht="15" hidden="false" customHeight="false" outlineLevel="0" collapsed="false">
      <c r="A2298" s="0" t="s">
        <v>1847</v>
      </c>
      <c r="B2298" s="0" t="s">
        <v>127</v>
      </c>
      <c r="C2298" s="0" t="s">
        <v>128</v>
      </c>
      <c r="D2298" s="0" t="n">
        <v>16</v>
      </c>
      <c r="E2298" s="6" t="n">
        <v>40822.6090277778</v>
      </c>
      <c r="F2298" s="0" t="n">
        <v>1.65</v>
      </c>
      <c r="G2298" s="0" t="n">
        <v>13812</v>
      </c>
      <c r="H2298" s="0" t="s">
        <v>33</v>
      </c>
      <c r="I2298" s="7" t="n">
        <f aca="false">IF(AND(LEFT(A2298,1)&lt;&gt;"C",D2298&gt;0,F2298&gt;0),1,0)</f>
        <v>1</v>
      </c>
      <c r="J2298" s="7" t="n">
        <f aca="false">IF(I2298=1,D2298*F2298,0)</f>
        <v>26.4</v>
      </c>
      <c r="K2298" s="7" t="n">
        <f aca="false">YEAR(E2298)*100+MONTH(E2298)</f>
        <v>201110</v>
      </c>
      <c r="L2298" s="7" t="n">
        <f aca="false">IF(AND(A2298&lt;&gt;A2297,LEFT(A2298,1)&lt;&gt;"C"),1,0)</f>
        <v>0</v>
      </c>
    </row>
    <row r="2299" customFormat="false" ht="15" hidden="false" customHeight="false" outlineLevel="0" collapsed="false">
      <c r="A2299" s="0" t="s">
        <v>1847</v>
      </c>
      <c r="B2299" s="0" t="s">
        <v>1048</v>
      </c>
      <c r="C2299" s="0" t="s">
        <v>1049</v>
      </c>
      <c r="D2299" s="0" t="n">
        <v>4</v>
      </c>
      <c r="E2299" s="6" t="n">
        <v>40822.6090277778</v>
      </c>
      <c r="F2299" s="0" t="n">
        <v>4.15</v>
      </c>
      <c r="G2299" s="0" t="n">
        <v>13812</v>
      </c>
      <c r="H2299" s="0" t="s">
        <v>33</v>
      </c>
      <c r="I2299" s="7" t="n">
        <f aca="false">IF(AND(LEFT(A2299,1)&lt;&gt;"C",D2299&gt;0,F2299&gt;0),1,0)</f>
        <v>1</v>
      </c>
      <c r="J2299" s="7" t="n">
        <f aca="false">IF(I2299=1,D2299*F2299,0)</f>
        <v>16.6</v>
      </c>
      <c r="K2299" s="7" t="n">
        <f aca="false">YEAR(E2299)*100+MONTH(E2299)</f>
        <v>201110</v>
      </c>
      <c r="L2299" s="7" t="n">
        <f aca="false">IF(AND(A2299&lt;&gt;A2298,LEFT(A2299,1)&lt;&gt;"C"),1,0)</f>
        <v>0</v>
      </c>
    </row>
    <row r="2300" customFormat="false" ht="15" hidden="false" customHeight="false" outlineLevel="0" collapsed="false">
      <c r="A2300" s="0" t="s">
        <v>1847</v>
      </c>
      <c r="B2300" s="0" t="s">
        <v>463</v>
      </c>
      <c r="C2300" s="0" t="s">
        <v>464</v>
      </c>
      <c r="D2300" s="0" t="n">
        <v>2</v>
      </c>
      <c r="E2300" s="6" t="n">
        <v>40822.6090277778</v>
      </c>
      <c r="F2300" s="0" t="n">
        <v>7.95</v>
      </c>
      <c r="G2300" s="0" t="n">
        <v>13812</v>
      </c>
      <c r="H2300" s="0" t="s">
        <v>33</v>
      </c>
      <c r="I2300" s="7" t="n">
        <f aca="false">IF(AND(LEFT(A2300,1)&lt;&gt;"C",D2300&gt;0,F2300&gt;0),1,0)</f>
        <v>1</v>
      </c>
      <c r="J2300" s="7" t="n">
        <f aca="false">IF(I2300=1,D2300*F2300,0)</f>
        <v>15.9</v>
      </c>
      <c r="K2300" s="7" t="n">
        <f aca="false">YEAR(E2300)*100+MONTH(E2300)</f>
        <v>201110</v>
      </c>
      <c r="L2300" s="7" t="n">
        <f aca="false">IF(AND(A2300&lt;&gt;A2299,LEFT(A2300,1)&lt;&gt;"C"),1,0)</f>
        <v>0</v>
      </c>
    </row>
    <row r="2301" customFormat="false" ht="15" hidden="false" customHeight="false" outlineLevel="0" collapsed="false">
      <c r="A2301" s="0" t="s">
        <v>1847</v>
      </c>
      <c r="B2301" s="0" t="s">
        <v>1738</v>
      </c>
      <c r="C2301" s="0" t="s">
        <v>1739</v>
      </c>
      <c r="D2301" s="0" t="n">
        <v>20</v>
      </c>
      <c r="E2301" s="6" t="n">
        <v>40822.6090277778</v>
      </c>
      <c r="F2301" s="0" t="n">
        <v>1.25</v>
      </c>
      <c r="G2301" s="0" t="n">
        <v>13812</v>
      </c>
      <c r="H2301" s="0" t="s">
        <v>33</v>
      </c>
      <c r="I2301" s="7" t="n">
        <f aca="false">IF(AND(LEFT(A2301,1)&lt;&gt;"C",D2301&gt;0,F2301&gt;0),1,0)</f>
        <v>1</v>
      </c>
      <c r="J2301" s="7" t="n">
        <f aca="false">IF(I2301=1,D2301*F2301,0)</f>
        <v>25</v>
      </c>
      <c r="K2301" s="7" t="n">
        <f aca="false">YEAR(E2301)*100+MONTH(E2301)</f>
        <v>201110</v>
      </c>
      <c r="L2301" s="7" t="n">
        <f aca="false">IF(AND(A2301&lt;&gt;A2300,LEFT(A2301,1)&lt;&gt;"C"),1,0)</f>
        <v>0</v>
      </c>
    </row>
    <row r="2302" customFormat="false" ht="15" hidden="false" customHeight="false" outlineLevel="0" collapsed="false">
      <c r="A2302" s="0" t="s">
        <v>1847</v>
      </c>
      <c r="B2302" s="0" t="s">
        <v>84</v>
      </c>
      <c r="C2302" s="0" t="s">
        <v>85</v>
      </c>
      <c r="D2302" s="0" t="n">
        <v>1</v>
      </c>
      <c r="E2302" s="6" t="n">
        <v>40822.6090277778</v>
      </c>
      <c r="F2302" s="0" t="n">
        <v>18</v>
      </c>
      <c r="G2302" s="0" t="n">
        <v>13812</v>
      </c>
      <c r="H2302" s="0" t="s">
        <v>33</v>
      </c>
      <c r="I2302" s="7" t="n">
        <f aca="false">IF(AND(LEFT(A2302,1)&lt;&gt;"C",D2302&gt;0,F2302&gt;0),1,0)</f>
        <v>1</v>
      </c>
      <c r="J2302" s="7" t="n">
        <f aca="false">IF(I2302=1,D2302*F2302,0)</f>
        <v>18</v>
      </c>
      <c r="K2302" s="7" t="n">
        <f aca="false">YEAR(E2302)*100+MONTH(E2302)</f>
        <v>201110</v>
      </c>
      <c r="L2302" s="7" t="n">
        <f aca="false">IF(AND(A2302&lt;&gt;A2301,LEFT(A2302,1)&lt;&gt;"C"),1,0)</f>
        <v>0</v>
      </c>
    </row>
    <row r="2303" customFormat="false" ht="15" hidden="false" customHeight="false" outlineLevel="0" collapsed="false">
      <c r="A2303" s="0" t="s">
        <v>1848</v>
      </c>
      <c r="B2303" s="0" t="s">
        <v>74</v>
      </c>
      <c r="C2303" s="0" t="s">
        <v>75</v>
      </c>
      <c r="D2303" s="0" t="n">
        <v>12</v>
      </c>
      <c r="E2303" s="6" t="n">
        <v>40822.6090277778</v>
      </c>
      <c r="F2303" s="0" t="n">
        <v>1.95</v>
      </c>
      <c r="G2303" s="0" t="n">
        <v>13816</v>
      </c>
      <c r="H2303" s="0" t="s">
        <v>33</v>
      </c>
      <c r="I2303" s="7" t="n">
        <f aca="false">IF(AND(LEFT(A2303,1)&lt;&gt;"C",D2303&gt;0,F2303&gt;0),1,0)</f>
        <v>1</v>
      </c>
      <c r="J2303" s="7" t="n">
        <f aca="false">IF(I2303=1,D2303*F2303,0)</f>
        <v>23.4</v>
      </c>
      <c r="K2303" s="7" t="n">
        <f aca="false">YEAR(E2303)*100+MONTH(E2303)</f>
        <v>201110</v>
      </c>
      <c r="L2303" s="7" t="n">
        <f aca="false">IF(AND(A2303&lt;&gt;A2302,LEFT(A2303,1)&lt;&gt;"C"),1,0)</f>
        <v>1</v>
      </c>
    </row>
    <row r="2304" customFormat="false" ht="15" hidden="false" customHeight="false" outlineLevel="0" collapsed="false">
      <c r="A2304" s="0" t="s">
        <v>1848</v>
      </c>
      <c r="B2304" s="0" t="s">
        <v>175</v>
      </c>
      <c r="C2304" s="0" t="s">
        <v>176</v>
      </c>
      <c r="D2304" s="0" t="n">
        <v>16</v>
      </c>
      <c r="E2304" s="6" t="n">
        <v>40822.6090277778</v>
      </c>
      <c r="F2304" s="0" t="n">
        <v>1.25</v>
      </c>
      <c r="G2304" s="0" t="n">
        <v>13816</v>
      </c>
      <c r="H2304" s="0" t="s">
        <v>33</v>
      </c>
      <c r="I2304" s="7" t="n">
        <f aca="false">IF(AND(LEFT(A2304,1)&lt;&gt;"C",D2304&gt;0,F2304&gt;0),1,0)</f>
        <v>1</v>
      </c>
      <c r="J2304" s="7" t="n">
        <f aca="false">IF(I2304=1,D2304*F2304,0)</f>
        <v>20</v>
      </c>
      <c r="K2304" s="7" t="n">
        <f aca="false">YEAR(E2304)*100+MONTH(E2304)</f>
        <v>201110</v>
      </c>
      <c r="L2304" s="7" t="n">
        <f aca="false">IF(AND(A2304&lt;&gt;A2303,LEFT(A2304,1)&lt;&gt;"C"),1,0)</f>
        <v>0</v>
      </c>
    </row>
    <row r="2305" customFormat="false" ht="15" hidden="false" customHeight="false" outlineLevel="0" collapsed="false">
      <c r="A2305" s="0" t="s">
        <v>1848</v>
      </c>
      <c r="B2305" s="0" t="s">
        <v>177</v>
      </c>
      <c r="C2305" s="0" t="s">
        <v>178</v>
      </c>
      <c r="D2305" s="0" t="n">
        <v>16</v>
      </c>
      <c r="E2305" s="6" t="n">
        <v>40822.6090277778</v>
      </c>
      <c r="F2305" s="0" t="n">
        <v>1.25</v>
      </c>
      <c r="G2305" s="0" t="n">
        <v>13816</v>
      </c>
      <c r="H2305" s="0" t="s">
        <v>33</v>
      </c>
      <c r="I2305" s="7" t="n">
        <f aca="false">IF(AND(LEFT(A2305,1)&lt;&gt;"C",D2305&gt;0,F2305&gt;0),1,0)</f>
        <v>1</v>
      </c>
      <c r="J2305" s="7" t="n">
        <f aca="false">IF(I2305=1,D2305*F2305,0)</f>
        <v>20</v>
      </c>
      <c r="K2305" s="7" t="n">
        <f aca="false">YEAR(E2305)*100+MONTH(E2305)</f>
        <v>201110</v>
      </c>
      <c r="L2305" s="7" t="n">
        <f aca="false">IF(AND(A2305&lt;&gt;A2304,LEFT(A2305,1)&lt;&gt;"C"),1,0)</f>
        <v>0</v>
      </c>
    </row>
    <row r="2306" customFormat="false" ht="15" hidden="false" customHeight="false" outlineLevel="0" collapsed="false">
      <c r="A2306" s="0" t="s">
        <v>1848</v>
      </c>
      <c r="B2306" s="0" t="s">
        <v>171</v>
      </c>
      <c r="C2306" s="0" t="s">
        <v>172</v>
      </c>
      <c r="D2306" s="0" t="n">
        <v>8</v>
      </c>
      <c r="E2306" s="6" t="n">
        <v>40822.6090277778</v>
      </c>
      <c r="F2306" s="0" t="n">
        <v>1.25</v>
      </c>
      <c r="G2306" s="0" t="n">
        <v>13816</v>
      </c>
      <c r="H2306" s="0" t="s">
        <v>33</v>
      </c>
      <c r="I2306" s="7" t="n">
        <f aca="false">IF(AND(LEFT(A2306,1)&lt;&gt;"C",D2306&gt;0,F2306&gt;0),1,0)</f>
        <v>1</v>
      </c>
      <c r="J2306" s="7" t="n">
        <f aca="false">IF(I2306=1,D2306*F2306,0)</f>
        <v>10</v>
      </c>
      <c r="K2306" s="7" t="n">
        <f aca="false">YEAR(E2306)*100+MONTH(E2306)</f>
        <v>201110</v>
      </c>
      <c r="L2306" s="7" t="n">
        <f aca="false">IF(AND(A2306&lt;&gt;A2305,LEFT(A2306,1)&lt;&gt;"C"),1,0)</f>
        <v>0</v>
      </c>
    </row>
    <row r="2307" customFormat="false" ht="15" hidden="false" customHeight="false" outlineLevel="0" collapsed="false">
      <c r="A2307" s="0" t="s">
        <v>1848</v>
      </c>
      <c r="B2307" s="0" t="s">
        <v>484</v>
      </c>
      <c r="C2307" s="0" t="s">
        <v>485</v>
      </c>
      <c r="D2307" s="0" t="n">
        <v>12</v>
      </c>
      <c r="E2307" s="6" t="n">
        <v>40822.6090277778</v>
      </c>
      <c r="F2307" s="0" t="n">
        <v>1.65</v>
      </c>
      <c r="G2307" s="0" t="n">
        <v>13816</v>
      </c>
      <c r="H2307" s="0" t="s">
        <v>33</v>
      </c>
      <c r="I2307" s="7" t="n">
        <f aca="false">IF(AND(LEFT(A2307,1)&lt;&gt;"C",D2307&gt;0,F2307&gt;0),1,0)</f>
        <v>1</v>
      </c>
      <c r="J2307" s="7" t="n">
        <f aca="false">IF(I2307=1,D2307*F2307,0)</f>
        <v>19.8</v>
      </c>
      <c r="K2307" s="7" t="n">
        <f aca="false">YEAR(E2307)*100+MONTH(E2307)</f>
        <v>201110</v>
      </c>
      <c r="L2307" s="7" t="n">
        <f aca="false">IF(AND(A2307&lt;&gt;A2306,LEFT(A2307,1)&lt;&gt;"C"),1,0)</f>
        <v>0</v>
      </c>
    </row>
    <row r="2308" customFormat="false" ht="15" hidden="false" customHeight="false" outlineLevel="0" collapsed="false">
      <c r="A2308" s="0" t="s">
        <v>1848</v>
      </c>
      <c r="B2308" s="0" t="s">
        <v>557</v>
      </c>
      <c r="C2308" s="0" t="s">
        <v>558</v>
      </c>
      <c r="D2308" s="0" t="n">
        <v>12</v>
      </c>
      <c r="E2308" s="6" t="n">
        <v>40822.6090277778</v>
      </c>
      <c r="F2308" s="0" t="n">
        <v>1.95</v>
      </c>
      <c r="G2308" s="0" t="n">
        <v>13816</v>
      </c>
      <c r="H2308" s="0" t="s">
        <v>33</v>
      </c>
      <c r="I2308" s="7" t="n">
        <f aca="false">IF(AND(LEFT(A2308,1)&lt;&gt;"C",D2308&gt;0,F2308&gt;0),1,0)</f>
        <v>1</v>
      </c>
      <c r="J2308" s="7" t="n">
        <f aca="false">IF(I2308=1,D2308*F2308,0)</f>
        <v>23.4</v>
      </c>
      <c r="K2308" s="7" t="n">
        <f aca="false">YEAR(E2308)*100+MONTH(E2308)</f>
        <v>201110</v>
      </c>
      <c r="L2308" s="7" t="n">
        <f aca="false">IF(AND(A2308&lt;&gt;A2307,LEFT(A2308,1)&lt;&gt;"C"),1,0)</f>
        <v>0</v>
      </c>
    </row>
    <row r="2309" customFormat="false" ht="15" hidden="false" customHeight="false" outlineLevel="0" collapsed="false">
      <c r="A2309" s="0" t="s">
        <v>1848</v>
      </c>
      <c r="B2309" s="0" t="s">
        <v>1730</v>
      </c>
      <c r="C2309" s="0" t="s">
        <v>1731</v>
      </c>
      <c r="D2309" s="0" t="n">
        <v>12</v>
      </c>
      <c r="E2309" s="6" t="n">
        <v>40822.6090277778</v>
      </c>
      <c r="F2309" s="0" t="n">
        <v>1.65</v>
      </c>
      <c r="G2309" s="0" t="n">
        <v>13816</v>
      </c>
      <c r="H2309" s="0" t="s">
        <v>33</v>
      </c>
      <c r="I2309" s="7" t="n">
        <f aca="false">IF(AND(LEFT(A2309,1)&lt;&gt;"C",D2309&gt;0,F2309&gt;0),1,0)</f>
        <v>1</v>
      </c>
      <c r="J2309" s="7" t="n">
        <f aca="false">IF(I2309=1,D2309*F2309,0)</f>
        <v>19.8</v>
      </c>
      <c r="K2309" s="7" t="n">
        <f aca="false">YEAR(E2309)*100+MONTH(E2309)</f>
        <v>201110</v>
      </c>
      <c r="L2309" s="7" t="n">
        <f aca="false">IF(AND(A2309&lt;&gt;A2308,LEFT(A2309,1)&lt;&gt;"C"),1,0)</f>
        <v>0</v>
      </c>
    </row>
    <row r="2310" customFormat="false" ht="15" hidden="false" customHeight="false" outlineLevel="0" collapsed="false">
      <c r="A2310" s="0" t="s">
        <v>1848</v>
      </c>
      <c r="B2310" s="0" t="s">
        <v>416</v>
      </c>
      <c r="C2310" s="0" t="s">
        <v>417</v>
      </c>
      <c r="D2310" s="0" t="n">
        <v>36</v>
      </c>
      <c r="E2310" s="6" t="n">
        <v>40822.6090277778</v>
      </c>
      <c r="F2310" s="0" t="n">
        <v>0.65</v>
      </c>
      <c r="G2310" s="0" t="n">
        <v>13816</v>
      </c>
      <c r="H2310" s="0" t="s">
        <v>33</v>
      </c>
      <c r="I2310" s="7" t="n">
        <f aca="false">IF(AND(LEFT(A2310,1)&lt;&gt;"C",D2310&gt;0,F2310&gt;0),1,0)</f>
        <v>1</v>
      </c>
      <c r="J2310" s="7" t="n">
        <f aca="false">IF(I2310=1,D2310*F2310,0)</f>
        <v>23.4</v>
      </c>
      <c r="K2310" s="7" t="n">
        <f aca="false">YEAR(E2310)*100+MONTH(E2310)</f>
        <v>201110</v>
      </c>
      <c r="L2310" s="7" t="n">
        <f aca="false">IF(AND(A2310&lt;&gt;A2309,LEFT(A2310,1)&lt;&gt;"C"),1,0)</f>
        <v>0</v>
      </c>
    </row>
    <row r="2311" customFormat="false" ht="15" hidden="false" customHeight="false" outlineLevel="0" collapsed="false">
      <c r="A2311" s="0" t="s">
        <v>1848</v>
      </c>
      <c r="B2311" s="0" t="s">
        <v>1849</v>
      </c>
      <c r="C2311" s="0" t="s">
        <v>1850</v>
      </c>
      <c r="D2311" s="0" t="n">
        <v>1</v>
      </c>
      <c r="E2311" s="6" t="n">
        <v>40822.6090277778</v>
      </c>
      <c r="F2311" s="0" t="n">
        <v>39.95</v>
      </c>
      <c r="G2311" s="0" t="n">
        <v>13816</v>
      </c>
      <c r="H2311" s="0" t="s">
        <v>33</v>
      </c>
      <c r="I2311" s="7" t="n">
        <f aca="false">IF(AND(LEFT(A2311,1)&lt;&gt;"C",D2311&gt;0,F2311&gt;0),1,0)</f>
        <v>1</v>
      </c>
      <c r="J2311" s="7" t="n">
        <f aca="false">IF(I2311=1,D2311*F2311,0)</f>
        <v>39.95</v>
      </c>
      <c r="K2311" s="7" t="n">
        <f aca="false">YEAR(E2311)*100+MONTH(E2311)</f>
        <v>201110</v>
      </c>
      <c r="L2311" s="7" t="n">
        <f aca="false">IF(AND(A2311&lt;&gt;A2310,LEFT(A2311,1)&lt;&gt;"C"),1,0)</f>
        <v>0</v>
      </c>
    </row>
    <row r="2312" customFormat="false" ht="15" hidden="false" customHeight="false" outlineLevel="0" collapsed="false">
      <c r="A2312" s="0" t="s">
        <v>1848</v>
      </c>
      <c r="B2312" s="0" t="s">
        <v>1104</v>
      </c>
      <c r="C2312" s="0" t="s">
        <v>1105</v>
      </c>
      <c r="D2312" s="0" t="n">
        <v>6</v>
      </c>
      <c r="E2312" s="6" t="n">
        <v>40822.6090277778</v>
      </c>
      <c r="F2312" s="0" t="n">
        <v>2.55</v>
      </c>
      <c r="G2312" s="0" t="n">
        <v>13816</v>
      </c>
      <c r="H2312" s="0" t="s">
        <v>33</v>
      </c>
      <c r="I2312" s="7" t="n">
        <f aca="false">IF(AND(LEFT(A2312,1)&lt;&gt;"C",D2312&gt;0,F2312&gt;0),1,0)</f>
        <v>1</v>
      </c>
      <c r="J2312" s="7" t="n">
        <f aca="false">IF(I2312=1,D2312*F2312,0)</f>
        <v>15.3</v>
      </c>
      <c r="K2312" s="7" t="n">
        <f aca="false">YEAR(E2312)*100+MONTH(E2312)</f>
        <v>201110</v>
      </c>
      <c r="L2312" s="7" t="n">
        <f aca="false">IF(AND(A2312&lt;&gt;A2311,LEFT(A2312,1)&lt;&gt;"C"),1,0)</f>
        <v>0</v>
      </c>
    </row>
    <row r="2313" customFormat="false" ht="15" hidden="false" customHeight="false" outlineLevel="0" collapsed="false">
      <c r="A2313" s="0" t="s">
        <v>1848</v>
      </c>
      <c r="B2313" s="0" t="s">
        <v>537</v>
      </c>
      <c r="C2313" s="0" t="s">
        <v>538</v>
      </c>
      <c r="D2313" s="0" t="n">
        <v>6</v>
      </c>
      <c r="E2313" s="6" t="n">
        <v>40822.6090277778</v>
      </c>
      <c r="F2313" s="0" t="n">
        <v>4.15</v>
      </c>
      <c r="G2313" s="0" t="n">
        <v>13816</v>
      </c>
      <c r="H2313" s="0" t="s">
        <v>33</v>
      </c>
      <c r="I2313" s="7" t="n">
        <f aca="false">IF(AND(LEFT(A2313,1)&lt;&gt;"C",D2313&gt;0,F2313&gt;0),1,0)</f>
        <v>1</v>
      </c>
      <c r="J2313" s="7" t="n">
        <f aca="false">IF(I2313=1,D2313*F2313,0)</f>
        <v>24.9</v>
      </c>
      <c r="K2313" s="7" t="n">
        <f aca="false">YEAR(E2313)*100+MONTH(E2313)</f>
        <v>201110</v>
      </c>
      <c r="L2313" s="7" t="n">
        <f aca="false">IF(AND(A2313&lt;&gt;A2312,LEFT(A2313,1)&lt;&gt;"C"),1,0)</f>
        <v>0</v>
      </c>
    </row>
    <row r="2314" customFormat="false" ht="15" hidden="false" customHeight="false" outlineLevel="0" collapsed="false">
      <c r="A2314" s="0" t="s">
        <v>1848</v>
      </c>
      <c r="B2314" s="0" t="s">
        <v>146</v>
      </c>
      <c r="C2314" s="0" t="s">
        <v>147</v>
      </c>
      <c r="D2314" s="0" t="n">
        <v>6</v>
      </c>
      <c r="E2314" s="6" t="n">
        <v>40822.6090277778</v>
      </c>
      <c r="F2314" s="0" t="n">
        <v>2.89</v>
      </c>
      <c r="G2314" s="0" t="n">
        <v>13816</v>
      </c>
      <c r="H2314" s="0" t="s">
        <v>33</v>
      </c>
      <c r="I2314" s="7" t="n">
        <f aca="false">IF(AND(LEFT(A2314,1)&lt;&gt;"C",D2314&gt;0,F2314&gt;0),1,0)</f>
        <v>1</v>
      </c>
      <c r="J2314" s="7" t="n">
        <f aca="false">IF(I2314=1,D2314*F2314,0)</f>
        <v>17.34</v>
      </c>
      <c r="K2314" s="7" t="n">
        <f aca="false">YEAR(E2314)*100+MONTH(E2314)</f>
        <v>201110</v>
      </c>
      <c r="L2314" s="7" t="n">
        <f aca="false">IF(AND(A2314&lt;&gt;A2313,LEFT(A2314,1)&lt;&gt;"C"),1,0)</f>
        <v>0</v>
      </c>
    </row>
    <row r="2315" customFormat="false" ht="15" hidden="false" customHeight="false" outlineLevel="0" collapsed="false">
      <c r="A2315" s="0" t="s">
        <v>1848</v>
      </c>
      <c r="B2315" s="0" t="s">
        <v>123</v>
      </c>
      <c r="C2315" s="0" t="s">
        <v>124</v>
      </c>
      <c r="D2315" s="0" t="n">
        <v>6</v>
      </c>
      <c r="E2315" s="6" t="n">
        <v>40822.6090277778</v>
      </c>
      <c r="F2315" s="0" t="n">
        <v>2.95</v>
      </c>
      <c r="G2315" s="0" t="n">
        <v>13816</v>
      </c>
      <c r="H2315" s="0" t="s">
        <v>33</v>
      </c>
      <c r="I2315" s="7" t="n">
        <f aca="false">IF(AND(LEFT(A2315,1)&lt;&gt;"C",D2315&gt;0,F2315&gt;0),1,0)</f>
        <v>1</v>
      </c>
      <c r="J2315" s="7" t="n">
        <f aca="false">IF(I2315=1,D2315*F2315,0)</f>
        <v>17.7</v>
      </c>
      <c r="K2315" s="7" t="n">
        <f aca="false">YEAR(E2315)*100+MONTH(E2315)</f>
        <v>201110</v>
      </c>
      <c r="L2315" s="7" t="n">
        <f aca="false">IF(AND(A2315&lt;&gt;A2314,LEFT(A2315,1)&lt;&gt;"C"),1,0)</f>
        <v>0</v>
      </c>
    </row>
    <row r="2316" customFormat="false" ht="15" hidden="false" customHeight="false" outlineLevel="0" collapsed="false">
      <c r="A2316" s="0" t="s">
        <v>1848</v>
      </c>
      <c r="B2316" s="0" t="s">
        <v>1851</v>
      </c>
      <c r="C2316" s="0" t="s">
        <v>1852</v>
      </c>
      <c r="D2316" s="0" t="n">
        <v>12</v>
      </c>
      <c r="E2316" s="6" t="n">
        <v>40822.6090277778</v>
      </c>
      <c r="F2316" s="0" t="n">
        <v>1.25</v>
      </c>
      <c r="G2316" s="0" t="n">
        <v>13816</v>
      </c>
      <c r="H2316" s="0" t="s">
        <v>33</v>
      </c>
      <c r="I2316" s="7" t="n">
        <f aca="false">IF(AND(LEFT(A2316,1)&lt;&gt;"C",D2316&gt;0,F2316&gt;0),1,0)</f>
        <v>1</v>
      </c>
      <c r="J2316" s="7" t="n">
        <f aca="false">IF(I2316=1,D2316*F2316,0)</f>
        <v>15</v>
      </c>
      <c r="K2316" s="7" t="n">
        <f aca="false">YEAR(E2316)*100+MONTH(E2316)</f>
        <v>201110</v>
      </c>
      <c r="L2316" s="7" t="n">
        <f aca="false">IF(AND(A2316&lt;&gt;A2315,LEFT(A2316,1)&lt;&gt;"C"),1,0)</f>
        <v>0</v>
      </c>
    </row>
    <row r="2317" customFormat="false" ht="15" hidden="false" customHeight="false" outlineLevel="0" collapsed="false">
      <c r="A2317" s="0" t="s">
        <v>1848</v>
      </c>
      <c r="B2317" s="0" t="s">
        <v>610</v>
      </c>
      <c r="C2317" s="0" t="s">
        <v>611</v>
      </c>
      <c r="D2317" s="0" t="n">
        <v>6</v>
      </c>
      <c r="E2317" s="6" t="n">
        <v>40822.6090277778</v>
      </c>
      <c r="F2317" s="0" t="n">
        <v>2.95</v>
      </c>
      <c r="G2317" s="0" t="n">
        <v>13816</v>
      </c>
      <c r="H2317" s="0" t="s">
        <v>33</v>
      </c>
      <c r="I2317" s="7" t="n">
        <f aca="false">IF(AND(LEFT(A2317,1)&lt;&gt;"C",D2317&gt;0,F2317&gt;0),1,0)</f>
        <v>1</v>
      </c>
      <c r="J2317" s="7" t="n">
        <f aca="false">IF(I2317=1,D2317*F2317,0)</f>
        <v>17.7</v>
      </c>
      <c r="K2317" s="7" t="n">
        <f aca="false">YEAR(E2317)*100+MONTH(E2317)</f>
        <v>201110</v>
      </c>
      <c r="L2317" s="7" t="n">
        <f aca="false">IF(AND(A2317&lt;&gt;A2316,LEFT(A2317,1)&lt;&gt;"C"),1,0)</f>
        <v>0</v>
      </c>
    </row>
    <row r="2318" customFormat="false" ht="15" hidden="false" customHeight="false" outlineLevel="0" collapsed="false">
      <c r="A2318" s="0" t="s">
        <v>1848</v>
      </c>
      <c r="B2318" s="0" t="s">
        <v>173</v>
      </c>
      <c r="C2318" s="0" t="s">
        <v>174</v>
      </c>
      <c r="D2318" s="0" t="n">
        <v>8</v>
      </c>
      <c r="E2318" s="6" t="n">
        <v>40822.6090277778</v>
      </c>
      <c r="F2318" s="0" t="n">
        <v>1.25</v>
      </c>
      <c r="G2318" s="0" t="n">
        <v>13816</v>
      </c>
      <c r="H2318" s="0" t="s">
        <v>33</v>
      </c>
      <c r="I2318" s="7" t="n">
        <f aca="false">IF(AND(LEFT(A2318,1)&lt;&gt;"C",D2318&gt;0,F2318&gt;0),1,0)</f>
        <v>1</v>
      </c>
      <c r="J2318" s="7" t="n">
        <f aca="false">IF(I2318=1,D2318*F2318,0)</f>
        <v>10</v>
      </c>
      <c r="K2318" s="7" t="n">
        <f aca="false">YEAR(E2318)*100+MONTH(E2318)</f>
        <v>201110</v>
      </c>
      <c r="L2318" s="7" t="n">
        <f aca="false">IF(AND(A2318&lt;&gt;A2317,LEFT(A2318,1)&lt;&gt;"C"),1,0)</f>
        <v>0</v>
      </c>
    </row>
    <row r="2319" customFormat="false" ht="15" hidden="false" customHeight="false" outlineLevel="0" collapsed="false">
      <c r="A2319" s="0" t="s">
        <v>1848</v>
      </c>
      <c r="B2319" s="0" t="s">
        <v>84</v>
      </c>
      <c r="C2319" s="0" t="s">
        <v>85</v>
      </c>
      <c r="D2319" s="0" t="n">
        <v>3</v>
      </c>
      <c r="E2319" s="6" t="n">
        <v>40822.6090277778</v>
      </c>
      <c r="F2319" s="0" t="n">
        <v>18</v>
      </c>
      <c r="G2319" s="0" t="n">
        <v>13816</v>
      </c>
      <c r="H2319" s="0" t="s">
        <v>33</v>
      </c>
      <c r="I2319" s="7" t="n">
        <f aca="false">IF(AND(LEFT(A2319,1)&lt;&gt;"C",D2319&gt;0,F2319&gt;0),1,0)</f>
        <v>1</v>
      </c>
      <c r="J2319" s="7" t="n">
        <f aca="false">IF(I2319=1,D2319*F2319,0)</f>
        <v>54</v>
      </c>
      <c r="K2319" s="7" t="n">
        <f aca="false">YEAR(E2319)*100+MONTH(E2319)</f>
        <v>201110</v>
      </c>
      <c r="L2319" s="7" t="n">
        <f aca="false">IF(AND(A2319&lt;&gt;A2318,LEFT(A2319,1)&lt;&gt;"C"),1,0)</f>
        <v>0</v>
      </c>
    </row>
    <row r="2320" customFormat="false" ht="15" hidden="false" customHeight="false" outlineLevel="0" collapsed="false">
      <c r="A2320" s="0" t="s">
        <v>1853</v>
      </c>
      <c r="B2320" s="0" t="s">
        <v>769</v>
      </c>
      <c r="C2320" s="0" t="s">
        <v>770</v>
      </c>
      <c r="D2320" s="0" t="n">
        <v>24</v>
      </c>
      <c r="E2320" s="6" t="n">
        <v>40822.6208333333</v>
      </c>
      <c r="F2320" s="0" t="n">
        <v>1.45</v>
      </c>
      <c r="G2320" s="0" t="n">
        <v>12569</v>
      </c>
      <c r="H2320" s="0" t="s">
        <v>33</v>
      </c>
      <c r="I2320" s="7" t="n">
        <f aca="false">IF(AND(LEFT(A2320,1)&lt;&gt;"C",D2320&gt;0,F2320&gt;0),1,0)</f>
        <v>1</v>
      </c>
      <c r="J2320" s="7" t="n">
        <f aca="false">IF(I2320=1,D2320*F2320,0)</f>
        <v>34.8</v>
      </c>
      <c r="K2320" s="7" t="n">
        <f aca="false">YEAR(E2320)*100+MONTH(E2320)</f>
        <v>201110</v>
      </c>
      <c r="L2320" s="7" t="n">
        <f aca="false">IF(AND(A2320&lt;&gt;A2319,LEFT(A2320,1)&lt;&gt;"C"),1,0)</f>
        <v>1</v>
      </c>
    </row>
    <row r="2321" customFormat="false" ht="15" hidden="false" customHeight="false" outlineLevel="0" collapsed="false">
      <c r="A2321" s="0" t="s">
        <v>1853</v>
      </c>
      <c r="B2321" s="0" t="s">
        <v>1375</v>
      </c>
      <c r="C2321" s="0" t="s">
        <v>1376</v>
      </c>
      <c r="D2321" s="0" t="n">
        <v>24</v>
      </c>
      <c r="E2321" s="6" t="n">
        <v>40822.6208333333</v>
      </c>
      <c r="F2321" s="0" t="n">
        <v>1.45</v>
      </c>
      <c r="G2321" s="0" t="n">
        <v>12569</v>
      </c>
      <c r="H2321" s="0" t="s">
        <v>33</v>
      </c>
      <c r="I2321" s="7" t="n">
        <f aca="false">IF(AND(LEFT(A2321,1)&lt;&gt;"C",D2321&gt;0,F2321&gt;0),1,0)</f>
        <v>1</v>
      </c>
      <c r="J2321" s="7" t="n">
        <f aca="false">IF(I2321=1,D2321*F2321,0)</f>
        <v>34.8</v>
      </c>
      <c r="K2321" s="7" t="n">
        <f aca="false">YEAR(E2321)*100+MONTH(E2321)</f>
        <v>201110</v>
      </c>
      <c r="L2321" s="7" t="n">
        <f aca="false">IF(AND(A2321&lt;&gt;A2320,LEFT(A2321,1)&lt;&gt;"C"),1,0)</f>
        <v>0</v>
      </c>
    </row>
    <row r="2322" customFormat="false" ht="15" hidden="false" customHeight="false" outlineLevel="0" collapsed="false">
      <c r="A2322" s="0" t="s">
        <v>1853</v>
      </c>
      <c r="B2322" s="0" t="s">
        <v>1854</v>
      </c>
      <c r="C2322" s="0" t="s">
        <v>1855</v>
      </c>
      <c r="D2322" s="0" t="n">
        <v>24</v>
      </c>
      <c r="E2322" s="6" t="n">
        <v>40822.6208333333</v>
      </c>
      <c r="F2322" s="0" t="n">
        <v>1.45</v>
      </c>
      <c r="G2322" s="0" t="n">
        <v>12569</v>
      </c>
      <c r="H2322" s="0" t="s">
        <v>33</v>
      </c>
      <c r="I2322" s="7" t="n">
        <f aca="false">IF(AND(LEFT(A2322,1)&lt;&gt;"C",D2322&gt;0,F2322&gt;0),1,0)</f>
        <v>1</v>
      </c>
      <c r="J2322" s="7" t="n">
        <f aca="false">IF(I2322=1,D2322*F2322,0)</f>
        <v>34.8</v>
      </c>
      <c r="K2322" s="7" t="n">
        <f aca="false">YEAR(E2322)*100+MONTH(E2322)</f>
        <v>201110</v>
      </c>
      <c r="L2322" s="7" t="n">
        <f aca="false">IF(AND(A2322&lt;&gt;A2321,LEFT(A2322,1)&lt;&gt;"C"),1,0)</f>
        <v>0</v>
      </c>
    </row>
    <row r="2323" customFormat="false" ht="15" hidden="false" customHeight="false" outlineLevel="0" collapsed="false">
      <c r="A2323" s="0" t="s">
        <v>1853</v>
      </c>
      <c r="B2323" s="0" t="s">
        <v>1856</v>
      </c>
      <c r="C2323" s="0" t="s">
        <v>1857</v>
      </c>
      <c r="D2323" s="0" t="n">
        <v>24</v>
      </c>
      <c r="E2323" s="6" t="n">
        <v>40822.6208333333</v>
      </c>
      <c r="F2323" s="0" t="n">
        <v>1.45</v>
      </c>
      <c r="G2323" s="0" t="n">
        <v>12569</v>
      </c>
      <c r="H2323" s="0" t="s">
        <v>33</v>
      </c>
      <c r="I2323" s="7" t="n">
        <f aca="false">IF(AND(LEFT(A2323,1)&lt;&gt;"C",D2323&gt;0,F2323&gt;0),1,0)</f>
        <v>1</v>
      </c>
      <c r="J2323" s="7" t="n">
        <f aca="false">IF(I2323=1,D2323*F2323,0)</f>
        <v>34.8</v>
      </c>
      <c r="K2323" s="7" t="n">
        <f aca="false">YEAR(E2323)*100+MONTH(E2323)</f>
        <v>201110</v>
      </c>
      <c r="L2323" s="7" t="n">
        <f aca="false">IF(AND(A2323&lt;&gt;A2322,LEFT(A2323,1)&lt;&gt;"C"),1,0)</f>
        <v>0</v>
      </c>
    </row>
    <row r="2324" customFormat="false" ht="15" hidden="false" customHeight="false" outlineLevel="0" collapsed="false">
      <c r="A2324" s="0" t="s">
        <v>1853</v>
      </c>
      <c r="B2324" s="0" t="s">
        <v>1858</v>
      </c>
      <c r="C2324" s="0" t="s">
        <v>1859</v>
      </c>
      <c r="D2324" s="0" t="n">
        <v>24</v>
      </c>
      <c r="E2324" s="6" t="n">
        <v>40822.6208333333</v>
      </c>
      <c r="F2324" s="0" t="n">
        <v>1.45</v>
      </c>
      <c r="G2324" s="0" t="n">
        <v>12569</v>
      </c>
      <c r="H2324" s="0" t="s">
        <v>33</v>
      </c>
      <c r="I2324" s="7" t="n">
        <f aca="false">IF(AND(LEFT(A2324,1)&lt;&gt;"C",D2324&gt;0,F2324&gt;0),1,0)</f>
        <v>1</v>
      </c>
      <c r="J2324" s="7" t="n">
        <f aca="false">IF(I2324=1,D2324*F2324,0)</f>
        <v>34.8</v>
      </c>
      <c r="K2324" s="7" t="n">
        <f aca="false">YEAR(E2324)*100+MONTH(E2324)</f>
        <v>201110</v>
      </c>
      <c r="L2324" s="7" t="n">
        <f aca="false">IF(AND(A2324&lt;&gt;A2323,LEFT(A2324,1)&lt;&gt;"C"),1,0)</f>
        <v>0</v>
      </c>
    </row>
    <row r="2325" customFormat="false" ht="15" hidden="false" customHeight="false" outlineLevel="0" collapsed="false">
      <c r="A2325" s="0" t="s">
        <v>1853</v>
      </c>
      <c r="B2325" s="0" t="s">
        <v>217</v>
      </c>
      <c r="C2325" s="0" t="s">
        <v>218</v>
      </c>
      <c r="D2325" s="0" t="n">
        <v>24</v>
      </c>
      <c r="E2325" s="6" t="n">
        <v>40822.6208333333</v>
      </c>
      <c r="F2325" s="0" t="n">
        <v>0.55</v>
      </c>
      <c r="G2325" s="0" t="n">
        <v>12569</v>
      </c>
      <c r="H2325" s="0" t="s">
        <v>33</v>
      </c>
      <c r="I2325" s="7" t="n">
        <f aca="false">IF(AND(LEFT(A2325,1)&lt;&gt;"C",D2325&gt;0,F2325&gt;0),1,0)</f>
        <v>1</v>
      </c>
      <c r="J2325" s="7" t="n">
        <f aca="false">IF(I2325=1,D2325*F2325,0)</f>
        <v>13.2</v>
      </c>
      <c r="K2325" s="7" t="n">
        <f aca="false">YEAR(E2325)*100+MONTH(E2325)</f>
        <v>201110</v>
      </c>
      <c r="L2325" s="7" t="n">
        <f aca="false">IF(AND(A2325&lt;&gt;A2324,LEFT(A2325,1)&lt;&gt;"C"),1,0)</f>
        <v>0</v>
      </c>
    </row>
    <row r="2326" customFormat="false" ht="15" hidden="false" customHeight="false" outlineLevel="0" collapsed="false">
      <c r="A2326" s="0" t="s">
        <v>1853</v>
      </c>
      <c r="B2326" s="0" t="s">
        <v>219</v>
      </c>
      <c r="C2326" s="0" t="s">
        <v>220</v>
      </c>
      <c r="D2326" s="0" t="n">
        <v>24</v>
      </c>
      <c r="E2326" s="6" t="n">
        <v>40822.6208333333</v>
      </c>
      <c r="F2326" s="0" t="n">
        <v>0.55</v>
      </c>
      <c r="G2326" s="0" t="n">
        <v>12569</v>
      </c>
      <c r="H2326" s="0" t="s">
        <v>33</v>
      </c>
      <c r="I2326" s="7" t="n">
        <f aca="false">IF(AND(LEFT(A2326,1)&lt;&gt;"C",D2326&gt;0,F2326&gt;0),1,0)</f>
        <v>1</v>
      </c>
      <c r="J2326" s="7" t="n">
        <f aca="false">IF(I2326=1,D2326*F2326,0)</f>
        <v>13.2</v>
      </c>
      <c r="K2326" s="7" t="n">
        <f aca="false">YEAR(E2326)*100+MONTH(E2326)</f>
        <v>201110</v>
      </c>
      <c r="L2326" s="7" t="n">
        <f aca="false">IF(AND(A2326&lt;&gt;A2325,LEFT(A2326,1)&lt;&gt;"C"),1,0)</f>
        <v>0</v>
      </c>
    </row>
    <row r="2327" customFormat="false" ht="15" hidden="false" customHeight="false" outlineLevel="0" collapsed="false">
      <c r="A2327" s="0" t="s">
        <v>1853</v>
      </c>
      <c r="B2327" s="0" t="s">
        <v>103</v>
      </c>
      <c r="C2327" s="0" t="s">
        <v>104</v>
      </c>
      <c r="D2327" s="0" t="n">
        <v>24</v>
      </c>
      <c r="E2327" s="6" t="n">
        <v>40822.6208333333</v>
      </c>
      <c r="F2327" s="0" t="n">
        <v>0.55</v>
      </c>
      <c r="G2327" s="0" t="n">
        <v>12569</v>
      </c>
      <c r="H2327" s="0" t="s">
        <v>33</v>
      </c>
      <c r="I2327" s="7" t="n">
        <f aca="false">IF(AND(LEFT(A2327,1)&lt;&gt;"C",D2327&gt;0,F2327&gt;0),1,0)</f>
        <v>1</v>
      </c>
      <c r="J2327" s="7" t="n">
        <f aca="false">IF(I2327=1,D2327*F2327,0)</f>
        <v>13.2</v>
      </c>
      <c r="K2327" s="7" t="n">
        <f aca="false">YEAR(E2327)*100+MONTH(E2327)</f>
        <v>201110</v>
      </c>
      <c r="L2327" s="7" t="n">
        <f aca="false">IF(AND(A2327&lt;&gt;A2326,LEFT(A2327,1)&lt;&gt;"C"),1,0)</f>
        <v>0</v>
      </c>
    </row>
    <row r="2328" customFormat="false" ht="15" hidden="false" customHeight="false" outlineLevel="0" collapsed="false">
      <c r="A2328" s="0" t="s">
        <v>1853</v>
      </c>
      <c r="B2328" s="0" t="s">
        <v>1261</v>
      </c>
      <c r="C2328" s="0" t="s">
        <v>1262</v>
      </c>
      <c r="D2328" s="0" t="n">
        <v>24</v>
      </c>
      <c r="E2328" s="6" t="n">
        <v>40822.6208333333</v>
      </c>
      <c r="F2328" s="0" t="n">
        <v>0.55</v>
      </c>
      <c r="G2328" s="0" t="n">
        <v>12569</v>
      </c>
      <c r="H2328" s="0" t="s">
        <v>33</v>
      </c>
      <c r="I2328" s="7" t="n">
        <f aca="false">IF(AND(LEFT(A2328,1)&lt;&gt;"C",D2328&gt;0,F2328&gt;0),1,0)</f>
        <v>1</v>
      </c>
      <c r="J2328" s="7" t="n">
        <f aca="false">IF(I2328=1,D2328*F2328,0)</f>
        <v>13.2</v>
      </c>
      <c r="K2328" s="7" t="n">
        <f aca="false">YEAR(E2328)*100+MONTH(E2328)</f>
        <v>201110</v>
      </c>
      <c r="L2328" s="7" t="n">
        <f aca="false">IF(AND(A2328&lt;&gt;A2327,LEFT(A2328,1)&lt;&gt;"C"),1,0)</f>
        <v>0</v>
      </c>
    </row>
    <row r="2329" customFormat="false" ht="15" hidden="false" customHeight="false" outlineLevel="0" collapsed="false">
      <c r="A2329" s="0" t="s">
        <v>1853</v>
      </c>
      <c r="B2329" s="0" t="s">
        <v>723</v>
      </c>
      <c r="C2329" s="0" t="s">
        <v>724</v>
      </c>
      <c r="D2329" s="0" t="n">
        <v>12</v>
      </c>
      <c r="E2329" s="6" t="n">
        <v>40822.6208333333</v>
      </c>
      <c r="F2329" s="0" t="n">
        <v>2.1</v>
      </c>
      <c r="G2329" s="0" t="n">
        <v>12569</v>
      </c>
      <c r="H2329" s="0" t="s">
        <v>33</v>
      </c>
      <c r="I2329" s="7" t="n">
        <f aca="false">IF(AND(LEFT(A2329,1)&lt;&gt;"C",D2329&gt;0,F2329&gt;0),1,0)</f>
        <v>1</v>
      </c>
      <c r="J2329" s="7" t="n">
        <f aca="false">IF(I2329=1,D2329*F2329,0)</f>
        <v>25.2</v>
      </c>
      <c r="K2329" s="7" t="n">
        <f aca="false">YEAR(E2329)*100+MONTH(E2329)</f>
        <v>201110</v>
      </c>
      <c r="L2329" s="7" t="n">
        <f aca="false">IF(AND(A2329&lt;&gt;A2328,LEFT(A2329,1)&lt;&gt;"C"),1,0)</f>
        <v>0</v>
      </c>
    </row>
    <row r="2330" customFormat="false" ht="15" hidden="false" customHeight="false" outlineLevel="0" collapsed="false">
      <c r="A2330" s="0" t="s">
        <v>1853</v>
      </c>
      <c r="B2330" s="0" t="s">
        <v>787</v>
      </c>
      <c r="C2330" s="0" t="s">
        <v>788</v>
      </c>
      <c r="D2330" s="0" t="n">
        <v>12</v>
      </c>
      <c r="E2330" s="6" t="n">
        <v>40822.6208333333</v>
      </c>
      <c r="F2330" s="0" t="n">
        <v>1.45</v>
      </c>
      <c r="G2330" s="0" t="n">
        <v>12569</v>
      </c>
      <c r="H2330" s="0" t="s">
        <v>33</v>
      </c>
      <c r="I2330" s="7" t="n">
        <f aca="false">IF(AND(LEFT(A2330,1)&lt;&gt;"C",D2330&gt;0,F2330&gt;0),1,0)</f>
        <v>1</v>
      </c>
      <c r="J2330" s="7" t="n">
        <f aca="false">IF(I2330=1,D2330*F2330,0)</f>
        <v>17.4</v>
      </c>
      <c r="K2330" s="7" t="n">
        <f aca="false">YEAR(E2330)*100+MONTH(E2330)</f>
        <v>201110</v>
      </c>
      <c r="L2330" s="7" t="n">
        <f aca="false">IF(AND(A2330&lt;&gt;A2329,LEFT(A2330,1)&lt;&gt;"C"),1,0)</f>
        <v>0</v>
      </c>
    </row>
    <row r="2331" customFormat="false" ht="15" hidden="false" customHeight="false" outlineLevel="0" collapsed="false">
      <c r="A2331" s="0" t="s">
        <v>1853</v>
      </c>
      <c r="B2331" s="0" t="s">
        <v>756</v>
      </c>
      <c r="C2331" s="0" t="s">
        <v>757</v>
      </c>
      <c r="D2331" s="0" t="n">
        <v>4</v>
      </c>
      <c r="E2331" s="6" t="n">
        <v>40822.6208333333</v>
      </c>
      <c r="F2331" s="0" t="n">
        <v>3.75</v>
      </c>
      <c r="G2331" s="0" t="n">
        <v>12569</v>
      </c>
      <c r="H2331" s="0" t="s">
        <v>33</v>
      </c>
      <c r="I2331" s="7" t="n">
        <f aca="false">IF(AND(LEFT(A2331,1)&lt;&gt;"C",D2331&gt;0,F2331&gt;0),1,0)</f>
        <v>1</v>
      </c>
      <c r="J2331" s="7" t="n">
        <f aca="false">IF(I2331=1,D2331*F2331,0)</f>
        <v>15</v>
      </c>
      <c r="K2331" s="7" t="n">
        <f aca="false">YEAR(E2331)*100+MONTH(E2331)</f>
        <v>201110</v>
      </c>
      <c r="L2331" s="7" t="n">
        <f aca="false">IF(AND(A2331&lt;&gt;A2330,LEFT(A2331,1)&lt;&gt;"C"),1,0)</f>
        <v>0</v>
      </c>
    </row>
    <row r="2332" customFormat="false" ht="15" hidden="false" customHeight="false" outlineLevel="0" collapsed="false">
      <c r="A2332" s="0" t="s">
        <v>1853</v>
      </c>
      <c r="B2332" s="0" t="s">
        <v>84</v>
      </c>
      <c r="C2332" s="0" t="s">
        <v>85</v>
      </c>
      <c r="D2332" s="0" t="n">
        <v>2</v>
      </c>
      <c r="E2332" s="6" t="n">
        <v>40822.6208333333</v>
      </c>
      <c r="F2332" s="0" t="n">
        <v>18</v>
      </c>
      <c r="G2332" s="0" t="n">
        <v>12569</v>
      </c>
      <c r="H2332" s="0" t="s">
        <v>33</v>
      </c>
      <c r="I2332" s="7" t="n">
        <f aca="false">IF(AND(LEFT(A2332,1)&lt;&gt;"C",D2332&gt;0,F2332&gt;0),1,0)</f>
        <v>1</v>
      </c>
      <c r="J2332" s="7" t="n">
        <f aca="false">IF(I2332=1,D2332*F2332,0)</f>
        <v>36</v>
      </c>
      <c r="K2332" s="7" t="n">
        <f aca="false">YEAR(E2332)*100+MONTH(E2332)</f>
        <v>201110</v>
      </c>
      <c r="L2332" s="7" t="n">
        <f aca="false">IF(AND(A2332&lt;&gt;A2331,LEFT(A2332,1)&lt;&gt;"C"),1,0)</f>
        <v>0</v>
      </c>
    </row>
    <row r="2333" customFormat="false" ht="15" hidden="false" customHeight="false" outlineLevel="0" collapsed="false">
      <c r="A2333" s="0" t="s">
        <v>1860</v>
      </c>
      <c r="B2333" s="0" t="s">
        <v>1861</v>
      </c>
      <c r="C2333" s="0" t="s">
        <v>1862</v>
      </c>
      <c r="D2333" s="0" t="n">
        <v>20</v>
      </c>
      <c r="E2333" s="6" t="n">
        <v>40822.6604166667</v>
      </c>
      <c r="F2333" s="0" t="n">
        <v>1.25</v>
      </c>
      <c r="G2333" s="0" t="n">
        <v>12627</v>
      </c>
      <c r="H2333" s="0" t="s">
        <v>33</v>
      </c>
      <c r="I2333" s="7" t="n">
        <f aca="false">IF(AND(LEFT(A2333,1)&lt;&gt;"C",D2333&gt;0,F2333&gt;0),1,0)</f>
        <v>1</v>
      </c>
      <c r="J2333" s="7" t="n">
        <f aca="false">IF(I2333=1,D2333*F2333,0)</f>
        <v>25</v>
      </c>
      <c r="K2333" s="7" t="n">
        <f aca="false">YEAR(E2333)*100+MONTH(E2333)</f>
        <v>201110</v>
      </c>
      <c r="L2333" s="7" t="n">
        <f aca="false">IF(AND(A2333&lt;&gt;A2332,LEFT(A2333,1)&lt;&gt;"C"),1,0)</f>
        <v>1</v>
      </c>
    </row>
    <row r="2334" customFormat="false" ht="15" hidden="false" customHeight="false" outlineLevel="0" collapsed="false">
      <c r="A2334" s="0" t="s">
        <v>1860</v>
      </c>
      <c r="B2334" s="0" t="s">
        <v>1607</v>
      </c>
      <c r="C2334" s="0" t="s">
        <v>1608</v>
      </c>
      <c r="D2334" s="0" t="n">
        <v>20</v>
      </c>
      <c r="E2334" s="6" t="n">
        <v>40822.6604166667</v>
      </c>
      <c r="F2334" s="0" t="n">
        <v>0.42</v>
      </c>
      <c r="G2334" s="0" t="n">
        <v>12627</v>
      </c>
      <c r="H2334" s="0" t="s">
        <v>33</v>
      </c>
      <c r="I2334" s="7" t="n">
        <f aca="false">IF(AND(LEFT(A2334,1)&lt;&gt;"C",D2334&gt;0,F2334&gt;0),1,0)</f>
        <v>1</v>
      </c>
      <c r="J2334" s="7" t="n">
        <f aca="false">IF(I2334=1,D2334*F2334,0)</f>
        <v>8.4</v>
      </c>
      <c r="K2334" s="7" t="n">
        <f aca="false">YEAR(E2334)*100+MONTH(E2334)</f>
        <v>201110</v>
      </c>
      <c r="L2334" s="7" t="n">
        <f aca="false">IF(AND(A2334&lt;&gt;A2333,LEFT(A2334,1)&lt;&gt;"C"),1,0)</f>
        <v>0</v>
      </c>
    </row>
    <row r="2335" customFormat="false" ht="15" hidden="false" customHeight="false" outlineLevel="0" collapsed="false">
      <c r="A2335" s="0" t="s">
        <v>1860</v>
      </c>
      <c r="B2335" s="0" t="s">
        <v>1600</v>
      </c>
      <c r="C2335" s="0" t="s">
        <v>1601</v>
      </c>
      <c r="D2335" s="0" t="n">
        <v>10</v>
      </c>
      <c r="E2335" s="6" t="n">
        <v>40822.6604166667</v>
      </c>
      <c r="F2335" s="0" t="n">
        <v>1.95</v>
      </c>
      <c r="G2335" s="0" t="n">
        <v>12627</v>
      </c>
      <c r="H2335" s="0" t="s">
        <v>33</v>
      </c>
      <c r="I2335" s="7" t="n">
        <f aca="false">IF(AND(LEFT(A2335,1)&lt;&gt;"C",D2335&gt;0,F2335&gt;0),1,0)</f>
        <v>1</v>
      </c>
      <c r="J2335" s="7" t="n">
        <f aca="false">IF(I2335=1,D2335*F2335,0)</f>
        <v>19.5</v>
      </c>
      <c r="K2335" s="7" t="n">
        <f aca="false">YEAR(E2335)*100+MONTH(E2335)</f>
        <v>201110</v>
      </c>
      <c r="L2335" s="7" t="n">
        <f aca="false">IF(AND(A2335&lt;&gt;A2334,LEFT(A2335,1)&lt;&gt;"C"),1,0)</f>
        <v>0</v>
      </c>
    </row>
    <row r="2336" customFormat="false" ht="15" hidden="false" customHeight="false" outlineLevel="0" collapsed="false">
      <c r="A2336" s="0" t="s">
        <v>1860</v>
      </c>
      <c r="B2336" s="0" t="s">
        <v>569</v>
      </c>
      <c r="C2336" s="0" t="s">
        <v>570</v>
      </c>
      <c r="D2336" s="0" t="n">
        <v>20</v>
      </c>
      <c r="E2336" s="6" t="n">
        <v>40822.6604166667</v>
      </c>
      <c r="F2336" s="0" t="n">
        <v>2.08</v>
      </c>
      <c r="G2336" s="0" t="n">
        <v>12627</v>
      </c>
      <c r="H2336" s="0" t="s">
        <v>33</v>
      </c>
      <c r="I2336" s="7" t="n">
        <f aca="false">IF(AND(LEFT(A2336,1)&lt;&gt;"C",D2336&gt;0,F2336&gt;0),1,0)</f>
        <v>1</v>
      </c>
      <c r="J2336" s="7" t="n">
        <f aca="false">IF(I2336=1,D2336*F2336,0)</f>
        <v>41.6</v>
      </c>
      <c r="K2336" s="7" t="n">
        <f aca="false">YEAR(E2336)*100+MONTH(E2336)</f>
        <v>201110</v>
      </c>
      <c r="L2336" s="7" t="n">
        <f aca="false">IF(AND(A2336&lt;&gt;A2335,LEFT(A2336,1)&lt;&gt;"C"),1,0)</f>
        <v>0</v>
      </c>
    </row>
    <row r="2337" customFormat="false" ht="15" hidden="false" customHeight="false" outlineLevel="0" collapsed="false">
      <c r="A2337" s="0" t="s">
        <v>1860</v>
      </c>
      <c r="B2337" s="0" t="s">
        <v>70</v>
      </c>
      <c r="C2337" s="0" t="s">
        <v>71</v>
      </c>
      <c r="D2337" s="0" t="n">
        <v>20</v>
      </c>
      <c r="E2337" s="6" t="n">
        <v>40822.6604166667</v>
      </c>
      <c r="F2337" s="0" t="n">
        <v>1.65</v>
      </c>
      <c r="G2337" s="0" t="n">
        <v>12627</v>
      </c>
      <c r="H2337" s="0" t="s">
        <v>33</v>
      </c>
      <c r="I2337" s="7" t="n">
        <f aca="false">IF(AND(LEFT(A2337,1)&lt;&gt;"C",D2337&gt;0,F2337&gt;0),1,0)</f>
        <v>1</v>
      </c>
      <c r="J2337" s="7" t="n">
        <f aca="false">IF(I2337=1,D2337*F2337,0)</f>
        <v>33</v>
      </c>
      <c r="K2337" s="7" t="n">
        <f aca="false">YEAR(E2337)*100+MONTH(E2337)</f>
        <v>201110</v>
      </c>
      <c r="L2337" s="7" t="n">
        <f aca="false">IF(AND(A2337&lt;&gt;A2336,LEFT(A2337,1)&lt;&gt;"C"),1,0)</f>
        <v>0</v>
      </c>
    </row>
    <row r="2338" customFormat="false" ht="15" hidden="false" customHeight="false" outlineLevel="0" collapsed="false">
      <c r="A2338" s="0" t="s">
        <v>1860</v>
      </c>
      <c r="B2338" s="0" t="s">
        <v>794</v>
      </c>
      <c r="C2338" s="0" t="s">
        <v>795</v>
      </c>
      <c r="D2338" s="0" t="n">
        <v>20</v>
      </c>
      <c r="E2338" s="6" t="n">
        <v>40822.6604166667</v>
      </c>
      <c r="F2338" s="0" t="n">
        <v>0.85</v>
      </c>
      <c r="G2338" s="0" t="n">
        <v>12627</v>
      </c>
      <c r="H2338" s="0" t="s">
        <v>33</v>
      </c>
      <c r="I2338" s="7" t="n">
        <f aca="false">IF(AND(LEFT(A2338,1)&lt;&gt;"C",D2338&gt;0,F2338&gt;0),1,0)</f>
        <v>1</v>
      </c>
      <c r="J2338" s="7" t="n">
        <f aca="false">IF(I2338=1,D2338*F2338,0)</f>
        <v>17</v>
      </c>
      <c r="K2338" s="7" t="n">
        <f aca="false">YEAR(E2338)*100+MONTH(E2338)</f>
        <v>201110</v>
      </c>
      <c r="L2338" s="7" t="n">
        <f aca="false">IF(AND(A2338&lt;&gt;A2337,LEFT(A2338,1)&lt;&gt;"C"),1,0)</f>
        <v>0</v>
      </c>
    </row>
    <row r="2339" customFormat="false" ht="15" hidden="false" customHeight="false" outlineLevel="0" collapsed="false">
      <c r="A2339" s="0" t="s">
        <v>1860</v>
      </c>
      <c r="B2339" s="0" t="s">
        <v>671</v>
      </c>
      <c r="C2339" s="0" t="s">
        <v>672</v>
      </c>
      <c r="D2339" s="0" t="n">
        <v>24</v>
      </c>
      <c r="E2339" s="6" t="n">
        <v>40822.6604166667</v>
      </c>
      <c r="F2339" s="0" t="n">
        <v>0.85</v>
      </c>
      <c r="G2339" s="0" t="n">
        <v>12627</v>
      </c>
      <c r="H2339" s="0" t="s">
        <v>33</v>
      </c>
      <c r="I2339" s="7" t="n">
        <f aca="false">IF(AND(LEFT(A2339,1)&lt;&gt;"C",D2339&gt;0,F2339&gt;0),1,0)</f>
        <v>1</v>
      </c>
      <c r="J2339" s="7" t="n">
        <f aca="false">IF(I2339=1,D2339*F2339,0)</f>
        <v>20.4</v>
      </c>
      <c r="K2339" s="7" t="n">
        <f aca="false">YEAR(E2339)*100+MONTH(E2339)</f>
        <v>201110</v>
      </c>
      <c r="L2339" s="7" t="n">
        <f aca="false">IF(AND(A2339&lt;&gt;A2338,LEFT(A2339,1)&lt;&gt;"C"),1,0)</f>
        <v>0</v>
      </c>
    </row>
    <row r="2340" customFormat="false" ht="15" hidden="false" customHeight="false" outlineLevel="0" collapsed="false">
      <c r="A2340" s="0" t="s">
        <v>1860</v>
      </c>
      <c r="B2340" s="0" t="s">
        <v>1048</v>
      </c>
      <c r="C2340" s="0" t="s">
        <v>1049</v>
      </c>
      <c r="D2340" s="0" t="n">
        <v>4</v>
      </c>
      <c r="E2340" s="6" t="n">
        <v>40822.6604166667</v>
      </c>
      <c r="F2340" s="0" t="n">
        <v>4.15</v>
      </c>
      <c r="G2340" s="0" t="n">
        <v>12627</v>
      </c>
      <c r="H2340" s="0" t="s">
        <v>33</v>
      </c>
      <c r="I2340" s="7" t="n">
        <f aca="false">IF(AND(LEFT(A2340,1)&lt;&gt;"C",D2340&gt;0,F2340&gt;0),1,0)</f>
        <v>1</v>
      </c>
      <c r="J2340" s="7" t="n">
        <f aca="false">IF(I2340=1,D2340*F2340,0)</f>
        <v>16.6</v>
      </c>
      <c r="K2340" s="7" t="n">
        <f aca="false">YEAR(E2340)*100+MONTH(E2340)</f>
        <v>201110</v>
      </c>
      <c r="L2340" s="7" t="n">
        <f aca="false">IF(AND(A2340&lt;&gt;A2339,LEFT(A2340,1)&lt;&gt;"C"),1,0)</f>
        <v>0</v>
      </c>
    </row>
    <row r="2341" customFormat="false" ht="15" hidden="false" customHeight="false" outlineLevel="0" collapsed="false">
      <c r="A2341" s="0" t="s">
        <v>1860</v>
      </c>
      <c r="B2341" s="0" t="s">
        <v>517</v>
      </c>
      <c r="C2341" s="0" t="s">
        <v>518</v>
      </c>
      <c r="D2341" s="0" t="n">
        <v>10</v>
      </c>
      <c r="E2341" s="6" t="n">
        <v>40822.6604166667</v>
      </c>
      <c r="F2341" s="0" t="n">
        <v>2.08</v>
      </c>
      <c r="G2341" s="0" t="n">
        <v>12627</v>
      </c>
      <c r="H2341" s="0" t="s">
        <v>33</v>
      </c>
      <c r="I2341" s="7" t="n">
        <f aca="false">IF(AND(LEFT(A2341,1)&lt;&gt;"C",D2341&gt;0,F2341&gt;0),1,0)</f>
        <v>1</v>
      </c>
      <c r="J2341" s="7" t="n">
        <f aca="false">IF(I2341=1,D2341*F2341,0)</f>
        <v>20.8</v>
      </c>
      <c r="K2341" s="7" t="n">
        <f aca="false">YEAR(E2341)*100+MONTH(E2341)</f>
        <v>201110</v>
      </c>
      <c r="L2341" s="7" t="n">
        <f aca="false">IF(AND(A2341&lt;&gt;A2340,LEFT(A2341,1)&lt;&gt;"C"),1,0)</f>
        <v>0</v>
      </c>
    </row>
    <row r="2342" customFormat="false" ht="15" hidden="false" customHeight="false" outlineLevel="0" collapsed="false">
      <c r="A2342" s="0" t="s">
        <v>1860</v>
      </c>
      <c r="B2342" s="0" t="s">
        <v>567</v>
      </c>
      <c r="C2342" s="0" t="s">
        <v>568</v>
      </c>
      <c r="D2342" s="0" t="n">
        <v>10</v>
      </c>
      <c r="E2342" s="6" t="n">
        <v>40822.6604166667</v>
      </c>
      <c r="F2342" s="0" t="n">
        <v>1.65</v>
      </c>
      <c r="G2342" s="0" t="n">
        <v>12627</v>
      </c>
      <c r="H2342" s="0" t="s">
        <v>33</v>
      </c>
      <c r="I2342" s="7" t="n">
        <f aca="false">IF(AND(LEFT(A2342,1)&lt;&gt;"C",D2342&gt;0,F2342&gt;0),1,0)</f>
        <v>1</v>
      </c>
      <c r="J2342" s="7" t="n">
        <f aca="false">IF(I2342=1,D2342*F2342,0)</f>
        <v>16.5</v>
      </c>
      <c r="K2342" s="7" t="n">
        <f aca="false">YEAR(E2342)*100+MONTH(E2342)</f>
        <v>201110</v>
      </c>
      <c r="L2342" s="7" t="n">
        <f aca="false">IF(AND(A2342&lt;&gt;A2341,LEFT(A2342,1)&lt;&gt;"C"),1,0)</f>
        <v>0</v>
      </c>
    </row>
    <row r="2343" customFormat="false" ht="15" hidden="false" customHeight="false" outlineLevel="0" collapsed="false">
      <c r="A2343" s="0" t="s">
        <v>1860</v>
      </c>
      <c r="B2343" s="0" t="s">
        <v>1146</v>
      </c>
      <c r="C2343" s="0" t="s">
        <v>1147</v>
      </c>
      <c r="D2343" s="0" t="n">
        <v>10</v>
      </c>
      <c r="E2343" s="6" t="n">
        <v>40822.6604166667</v>
      </c>
      <c r="F2343" s="0" t="n">
        <v>2.08</v>
      </c>
      <c r="G2343" s="0" t="n">
        <v>12627</v>
      </c>
      <c r="H2343" s="0" t="s">
        <v>33</v>
      </c>
      <c r="I2343" s="7" t="n">
        <f aca="false">IF(AND(LEFT(A2343,1)&lt;&gt;"C",D2343&gt;0,F2343&gt;0),1,0)</f>
        <v>1</v>
      </c>
      <c r="J2343" s="7" t="n">
        <f aca="false">IF(I2343=1,D2343*F2343,0)</f>
        <v>20.8</v>
      </c>
      <c r="K2343" s="7" t="n">
        <f aca="false">YEAR(E2343)*100+MONTH(E2343)</f>
        <v>201110</v>
      </c>
      <c r="L2343" s="7" t="n">
        <f aca="false">IF(AND(A2343&lt;&gt;A2342,LEFT(A2343,1)&lt;&gt;"C"),1,0)</f>
        <v>0</v>
      </c>
    </row>
    <row r="2344" customFormat="false" ht="15" hidden="false" customHeight="false" outlineLevel="0" collapsed="false">
      <c r="A2344" s="0" t="s">
        <v>1860</v>
      </c>
      <c r="B2344" s="0" t="s">
        <v>1149</v>
      </c>
      <c r="C2344" s="0" t="s">
        <v>1150</v>
      </c>
      <c r="D2344" s="0" t="n">
        <v>3</v>
      </c>
      <c r="E2344" s="6" t="n">
        <v>40822.6604166667</v>
      </c>
      <c r="F2344" s="0" t="n">
        <v>5.95</v>
      </c>
      <c r="G2344" s="0" t="n">
        <v>12627</v>
      </c>
      <c r="H2344" s="0" t="s">
        <v>33</v>
      </c>
      <c r="I2344" s="7" t="n">
        <f aca="false">IF(AND(LEFT(A2344,1)&lt;&gt;"C",D2344&gt;0,F2344&gt;0),1,0)</f>
        <v>1</v>
      </c>
      <c r="J2344" s="7" t="n">
        <f aca="false">IF(I2344=1,D2344*F2344,0)</f>
        <v>17.85</v>
      </c>
      <c r="K2344" s="7" t="n">
        <f aca="false">YEAR(E2344)*100+MONTH(E2344)</f>
        <v>201110</v>
      </c>
      <c r="L2344" s="7" t="n">
        <f aca="false">IF(AND(A2344&lt;&gt;A2343,LEFT(A2344,1)&lt;&gt;"C"),1,0)</f>
        <v>0</v>
      </c>
    </row>
    <row r="2345" customFormat="false" ht="15" hidden="false" customHeight="false" outlineLevel="0" collapsed="false">
      <c r="A2345" s="0" t="s">
        <v>1860</v>
      </c>
      <c r="B2345" s="0" t="s">
        <v>1863</v>
      </c>
      <c r="C2345" s="0" t="s">
        <v>1864</v>
      </c>
      <c r="D2345" s="0" t="n">
        <v>12</v>
      </c>
      <c r="E2345" s="6" t="n">
        <v>40822.6604166667</v>
      </c>
      <c r="F2345" s="0" t="n">
        <v>1.25</v>
      </c>
      <c r="G2345" s="0" t="n">
        <v>12627</v>
      </c>
      <c r="H2345" s="0" t="s">
        <v>33</v>
      </c>
      <c r="I2345" s="7" t="n">
        <f aca="false">IF(AND(LEFT(A2345,1)&lt;&gt;"C",D2345&gt;0,F2345&gt;0),1,0)</f>
        <v>1</v>
      </c>
      <c r="J2345" s="7" t="n">
        <f aca="false">IF(I2345=1,D2345*F2345,0)</f>
        <v>15</v>
      </c>
      <c r="K2345" s="7" t="n">
        <f aca="false">YEAR(E2345)*100+MONTH(E2345)</f>
        <v>201110</v>
      </c>
      <c r="L2345" s="7" t="n">
        <f aca="false">IF(AND(A2345&lt;&gt;A2344,LEFT(A2345,1)&lt;&gt;"C"),1,0)</f>
        <v>0</v>
      </c>
    </row>
    <row r="2346" customFormat="false" ht="15" hidden="false" customHeight="false" outlineLevel="0" collapsed="false">
      <c r="A2346" s="0" t="s">
        <v>1860</v>
      </c>
      <c r="B2346" s="0" t="s">
        <v>1865</v>
      </c>
      <c r="C2346" s="0" t="s">
        <v>1866</v>
      </c>
      <c r="D2346" s="0" t="n">
        <v>12</v>
      </c>
      <c r="E2346" s="6" t="n">
        <v>40822.6604166667</v>
      </c>
      <c r="F2346" s="0" t="n">
        <v>1.25</v>
      </c>
      <c r="G2346" s="0" t="n">
        <v>12627</v>
      </c>
      <c r="H2346" s="0" t="s">
        <v>33</v>
      </c>
      <c r="I2346" s="7" t="n">
        <f aca="false">IF(AND(LEFT(A2346,1)&lt;&gt;"C",D2346&gt;0,F2346&gt;0),1,0)</f>
        <v>1</v>
      </c>
      <c r="J2346" s="7" t="n">
        <f aca="false">IF(I2346=1,D2346*F2346,0)</f>
        <v>15</v>
      </c>
      <c r="K2346" s="7" t="n">
        <f aca="false">YEAR(E2346)*100+MONTH(E2346)</f>
        <v>201110</v>
      </c>
      <c r="L2346" s="7" t="n">
        <f aca="false">IF(AND(A2346&lt;&gt;A2345,LEFT(A2346,1)&lt;&gt;"C"),1,0)</f>
        <v>0</v>
      </c>
    </row>
    <row r="2347" customFormat="false" ht="15" hidden="false" customHeight="false" outlineLevel="0" collapsed="false">
      <c r="A2347" s="0" t="s">
        <v>1860</v>
      </c>
      <c r="B2347" s="0" t="s">
        <v>1867</v>
      </c>
      <c r="C2347" s="0" t="s">
        <v>1868</v>
      </c>
      <c r="D2347" s="0" t="n">
        <v>12</v>
      </c>
      <c r="E2347" s="6" t="n">
        <v>40822.6604166667</v>
      </c>
      <c r="F2347" s="0" t="n">
        <v>1.25</v>
      </c>
      <c r="G2347" s="0" t="n">
        <v>12627</v>
      </c>
      <c r="H2347" s="0" t="s">
        <v>33</v>
      </c>
      <c r="I2347" s="7" t="n">
        <f aca="false">IF(AND(LEFT(A2347,1)&lt;&gt;"C",D2347&gt;0,F2347&gt;0),1,0)</f>
        <v>1</v>
      </c>
      <c r="J2347" s="7" t="n">
        <f aca="false">IF(I2347=1,D2347*F2347,0)</f>
        <v>15</v>
      </c>
      <c r="K2347" s="7" t="n">
        <f aca="false">YEAR(E2347)*100+MONTH(E2347)</f>
        <v>201110</v>
      </c>
      <c r="L2347" s="7" t="n">
        <f aca="false">IF(AND(A2347&lt;&gt;A2346,LEFT(A2347,1)&lt;&gt;"C"),1,0)</f>
        <v>0</v>
      </c>
    </row>
    <row r="2348" customFormat="false" ht="15" hidden="false" customHeight="false" outlineLevel="0" collapsed="false">
      <c r="A2348" s="0" t="s">
        <v>1860</v>
      </c>
      <c r="B2348" s="0" t="s">
        <v>1869</v>
      </c>
      <c r="C2348" s="0" t="s">
        <v>1870</v>
      </c>
      <c r="D2348" s="0" t="n">
        <v>6</v>
      </c>
      <c r="E2348" s="6" t="n">
        <v>40822.6604166667</v>
      </c>
      <c r="F2348" s="0" t="n">
        <v>2.95</v>
      </c>
      <c r="G2348" s="0" t="n">
        <v>12627</v>
      </c>
      <c r="H2348" s="0" t="s">
        <v>33</v>
      </c>
      <c r="I2348" s="7" t="n">
        <f aca="false">IF(AND(LEFT(A2348,1)&lt;&gt;"C",D2348&gt;0,F2348&gt;0),1,0)</f>
        <v>1</v>
      </c>
      <c r="J2348" s="7" t="n">
        <f aca="false">IF(I2348=1,D2348*F2348,0)</f>
        <v>17.7</v>
      </c>
      <c r="K2348" s="7" t="n">
        <f aca="false">YEAR(E2348)*100+MONTH(E2348)</f>
        <v>201110</v>
      </c>
      <c r="L2348" s="7" t="n">
        <f aca="false">IF(AND(A2348&lt;&gt;A2347,LEFT(A2348,1)&lt;&gt;"C"),1,0)</f>
        <v>0</v>
      </c>
    </row>
    <row r="2349" customFormat="false" ht="15" hidden="false" customHeight="false" outlineLevel="0" collapsed="false">
      <c r="A2349" s="0" t="s">
        <v>1860</v>
      </c>
      <c r="B2349" s="0" t="s">
        <v>241</v>
      </c>
      <c r="C2349" s="0" t="s">
        <v>242</v>
      </c>
      <c r="D2349" s="0" t="n">
        <v>12</v>
      </c>
      <c r="E2349" s="6" t="n">
        <v>40822.6604166667</v>
      </c>
      <c r="F2349" s="0" t="n">
        <v>1.45</v>
      </c>
      <c r="G2349" s="0" t="n">
        <v>12627</v>
      </c>
      <c r="H2349" s="0" t="s">
        <v>33</v>
      </c>
      <c r="I2349" s="7" t="n">
        <f aca="false">IF(AND(LEFT(A2349,1)&lt;&gt;"C",D2349&gt;0,F2349&gt;0),1,0)</f>
        <v>1</v>
      </c>
      <c r="J2349" s="7" t="n">
        <f aca="false">IF(I2349=1,D2349*F2349,0)</f>
        <v>17.4</v>
      </c>
      <c r="K2349" s="7" t="n">
        <f aca="false">YEAR(E2349)*100+MONTH(E2349)</f>
        <v>201110</v>
      </c>
      <c r="L2349" s="7" t="n">
        <f aca="false">IF(AND(A2349&lt;&gt;A2348,LEFT(A2349,1)&lt;&gt;"C"),1,0)</f>
        <v>0</v>
      </c>
    </row>
    <row r="2350" customFormat="false" ht="15" hidden="false" customHeight="false" outlineLevel="0" collapsed="false">
      <c r="A2350" s="0" t="s">
        <v>1860</v>
      </c>
      <c r="B2350" s="0" t="s">
        <v>1871</v>
      </c>
      <c r="C2350" s="0" t="s">
        <v>1872</v>
      </c>
      <c r="D2350" s="0" t="n">
        <v>12</v>
      </c>
      <c r="E2350" s="6" t="n">
        <v>40822.6604166667</v>
      </c>
      <c r="F2350" s="0" t="n">
        <v>2.08</v>
      </c>
      <c r="G2350" s="0" t="n">
        <v>12627</v>
      </c>
      <c r="H2350" s="0" t="s">
        <v>33</v>
      </c>
      <c r="I2350" s="7" t="n">
        <f aca="false">IF(AND(LEFT(A2350,1)&lt;&gt;"C",D2350&gt;0,F2350&gt;0),1,0)</f>
        <v>1</v>
      </c>
      <c r="J2350" s="7" t="n">
        <f aca="false">IF(I2350=1,D2350*F2350,0)</f>
        <v>24.96</v>
      </c>
      <c r="K2350" s="7" t="n">
        <f aca="false">YEAR(E2350)*100+MONTH(E2350)</f>
        <v>201110</v>
      </c>
      <c r="L2350" s="7" t="n">
        <f aca="false">IF(AND(A2350&lt;&gt;A2349,LEFT(A2350,1)&lt;&gt;"C"),1,0)</f>
        <v>0</v>
      </c>
    </row>
    <row r="2351" customFormat="false" ht="15" hidden="false" customHeight="false" outlineLevel="0" collapsed="false">
      <c r="A2351" s="0" t="s">
        <v>1860</v>
      </c>
      <c r="B2351" s="0" t="s">
        <v>173</v>
      </c>
      <c r="C2351" s="0" t="s">
        <v>174</v>
      </c>
      <c r="D2351" s="0" t="n">
        <v>16</v>
      </c>
      <c r="E2351" s="6" t="n">
        <v>40822.6604166667</v>
      </c>
      <c r="F2351" s="0" t="n">
        <v>1.25</v>
      </c>
      <c r="G2351" s="0" t="n">
        <v>12627</v>
      </c>
      <c r="H2351" s="0" t="s">
        <v>33</v>
      </c>
      <c r="I2351" s="7" t="n">
        <f aca="false">IF(AND(LEFT(A2351,1)&lt;&gt;"C",D2351&gt;0,F2351&gt;0),1,0)</f>
        <v>1</v>
      </c>
      <c r="J2351" s="7" t="n">
        <f aca="false">IF(I2351=1,D2351*F2351,0)</f>
        <v>20</v>
      </c>
      <c r="K2351" s="7" t="n">
        <f aca="false">YEAR(E2351)*100+MONTH(E2351)</f>
        <v>201110</v>
      </c>
      <c r="L2351" s="7" t="n">
        <f aca="false">IF(AND(A2351&lt;&gt;A2350,LEFT(A2351,1)&lt;&gt;"C"),1,0)</f>
        <v>0</v>
      </c>
    </row>
    <row r="2352" customFormat="false" ht="15" hidden="false" customHeight="false" outlineLevel="0" collapsed="false">
      <c r="A2352" s="0" t="s">
        <v>1860</v>
      </c>
      <c r="B2352" s="0" t="s">
        <v>74</v>
      </c>
      <c r="C2352" s="0" t="s">
        <v>75</v>
      </c>
      <c r="D2352" s="0" t="n">
        <v>12</v>
      </c>
      <c r="E2352" s="6" t="n">
        <v>40822.6604166667</v>
      </c>
      <c r="F2352" s="0" t="n">
        <v>1.95</v>
      </c>
      <c r="G2352" s="0" t="n">
        <v>12627</v>
      </c>
      <c r="H2352" s="0" t="s">
        <v>33</v>
      </c>
      <c r="I2352" s="7" t="n">
        <f aca="false">IF(AND(LEFT(A2352,1)&lt;&gt;"C",D2352&gt;0,F2352&gt;0),1,0)</f>
        <v>1</v>
      </c>
      <c r="J2352" s="7" t="n">
        <f aca="false">IF(I2352=1,D2352*F2352,0)</f>
        <v>23.4</v>
      </c>
      <c r="K2352" s="7" t="n">
        <f aca="false">YEAR(E2352)*100+MONTH(E2352)</f>
        <v>201110</v>
      </c>
      <c r="L2352" s="7" t="n">
        <f aca="false">IF(AND(A2352&lt;&gt;A2351,LEFT(A2352,1)&lt;&gt;"C"),1,0)</f>
        <v>0</v>
      </c>
    </row>
    <row r="2353" customFormat="false" ht="15" hidden="false" customHeight="false" outlineLevel="0" collapsed="false">
      <c r="A2353" s="0" t="s">
        <v>1860</v>
      </c>
      <c r="B2353" s="0" t="s">
        <v>333</v>
      </c>
      <c r="C2353" s="0" t="s">
        <v>334</v>
      </c>
      <c r="D2353" s="0" t="n">
        <v>12</v>
      </c>
      <c r="E2353" s="6" t="n">
        <v>40822.6604166667</v>
      </c>
      <c r="F2353" s="0" t="n">
        <v>1.65</v>
      </c>
      <c r="G2353" s="0" t="n">
        <v>12627</v>
      </c>
      <c r="H2353" s="0" t="s">
        <v>33</v>
      </c>
      <c r="I2353" s="7" t="n">
        <f aca="false">IF(AND(LEFT(A2353,1)&lt;&gt;"C",D2353&gt;0,F2353&gt;0),1,0)</f>
        <v>1</v>
      </c>
      <c r="J2353" s="7" t="n">
        <f aca="false">IF(I2353=1,D2353*F2353,0)</f>
        <v>19.8</v>
      </c>
      <c r="K2353" s="7" t="n">
        <f aca="false">YEAR(E2353)*100+MONTH(E2353)</f>
        <v>201110</v>
      </c>
      <c r="L2353" s="7" t="n">
        <f aca="false">IF(AND(A2353&lt;&gt;A2352,LEFT(A2353,1)&lt;&gt;"C"),1,0)</f>
        <v>0</v>
      </c>
    </row>
    <row r="2354" customFormat="false" ht="15" hidden="false" customHeight="false" outlineLevel="0" collapsed="false">
      <c r="A2354" s="0" t="s">
        <v>1860</v>
      </c>
      <c r="B2354" s="0" t="s">
        <v>93</v>
      </c>
      <c r="C2354" s="0" t="s">
        <v>94</v>
      </c>
      <c r="D2354" s="0" t="n">
        <v>4</v>
      </c>
      <c r="E2354" s="6" t="n">
        <v>40822.6604166667</v>
      </c>
      <c r="F2354" s="0" t="n">
        <v>4.15</v>
      </c>
      <c r="G2354" s="0" t="n">
        <v>12627</v>
      </c>
      <c r="H2354" s="0" t="s">
        <v>33</v>
      </c>
      <c r="I2354" s="7" t="n">
        <f aca="false">IF(AND(LEFT(A2354,1)&lt;&gt;"C",D2354&gt;0,F2354&gt;0),1,0)</f>
        <v>1</v>
      </c>
      <c r="J2354" s="7" t="n">
        <f aca="false">IF(I2354=1,D2354*F2354,0)</f>
        <v>16.6</v>
      </c>
      <c r="K2354" s="7" t="n">
        <f aca="false">YEAR(E2354)*100+MONTH(E2354)</f>
        <v>201110</v>
      </c>
      <c r="L2354" s="7" t="n">
        <f aca="false">IF(AND(A2354&lt;&gt;A2353,LEFT(A2354,1)&lt;&gt;"C"),1,0)</f>
        <v>0</v>
      </c>
    </row>
    <row r="2355" customFormat="false" ht="15" hidden="false" customHeight="false" outlineLevel="0" collapsed="false">
      <c r="A2355" s="0" t="s">
        <v>1860</v>
      </c>
      <c r="B2355" s="0" t="s">
        <v>843</v>
      </c>
      <c r="C2355" s="0" t="s">
        <v>844</v>
      </c>
      <c r="D2355" s="0" t="n">
        <v>24</v>
      </c>
      <c r="E2355" s="6" t="n">
        <v>40822.6604166667</v>
      </c>
      <c r="F2355" s="0" t="n">
        <v>0.85</v>
      </c>
      <c r="G2355" s="0" t="n">
        <v>12627</v>
      </c>
      <c r="H2355" s="0" t="s">
        <v>33</v>
      </c>
      <c r="I2355" s="7" t="n">
        <f aca="false">IF(AND(LEFT(A2355,1)&lt;&gt;"C",D2355&gt;0,F2355&gt;0),1,0)</f>
        <v>1</v>
      </c>
      <c r="J2355" s="7" t="n">
        <f aca="false">IF(I2355=1,D2355*F2355,0)</f>
        <v>20.4</v>
      </c>
      <c r="K2355" s="7" t="n">
        <f aca="false">YEAR(E2355)*100+MONTH(E2355)</f>
        <v>201110</v>
      </c>
      <c r="L2355" s="7" t="n">
        <f aca="false">IF(AND(A2355&lt;&gt;A2354,LEFT(A2355,1)&lt;&gt;"C"),1,0)</f>
        <v>0</v>
      </c>
    </row>
    <row r="2356" customFormat="false" ht="15" hidden="false" customHeight="false" outlineLevel="0" collapsed="false">
      <c r="A2356" s="0" t="s">
        <v>1860</v>
      </c>
      <c r="B2356" s="0" t="s">
        <v>56</v>
      </c>
      <c r="C2356" s="0" t="s">
        <v>57</v>
      </c>
      <c r="D2356" s="0" t="n">
        <v>10</v>
      </c>
      <c r="E2356" s="6" t="n">
        <v>40822.6604166667</v>
      </c>
      <c r="F2356" s="0" t="n">
        <v>1.65</v>
      </c>
      <c r="G2356" s="0" t="n">
        <v>12627</v>
      </c>
      <c r="H2356" s="0" t="s">
        <v>33</v>
      </c>
      <c r="I2356" s="7" t="n">
        <f aca="false">IF(AND(LEFT(A2356,1)&lt;&gt;"C",D2356&gt;0,F2356&gt;0),1,0)</f>
        <v>1</v>
      </c>
      <c r="J2356" s="7" t="n">
        <f aca="false">IF(I2356=1,D2356*F2356,0)</f>
        <v>16.5</v>
      </c>
      <c r="K2356" s="7" t="n">
        <f aca="false">YEAR(E2356)*100+MONTH(E2356)</f>
        <v>201110</v>
      </c>
      <c r="L2356" s="7" t="n">
        <f aca="false">IF(AND(A2356&lt;&gt;A2355,LEFT(A2356,1)&lt;&gt;"C"),1,0)</f>
        <v>0</v>
      </c>
    </row>
    <row r="2357" customFormat="false" ht="15" hidden="false" customHeight="false" outlineLevel="0" collapsed="false">
      <c r="A2357" s="0" t="s">
        <v>1860</v>
      </c>
      <c r="B2357" s="0" t="s">
        <v>645</v>
      </c>
      <c r="C2357" s="0" t="s">
        <v>646</v>
      </c>
      <c r="D2357" s="0" t="n">
        <v>10</v>
      </c>
      <c r="E2357" s="6" t="n">
        <v>40822.6604166667</v>
      </c>
      <c r="F2357" s="0" t="n">
        <v>2.08</v>
      </c>
      <c r="G2357" s="0" t="n">
        <v>12627</v>
      </c>
      <c r="H2357" s="0" t="s">
        <v>33</v>
      </c>
      <c r="I2357" s="7" t="n">
        <f aca="false">IF(AND(LEFT(A2357,1)&lt;&gt;"C",D2357&gt;0,F2357&gt;0),1,0)</f>
        <v>1</v>
      </c>
      <c r="J2357" s="7" t="n">
        <f aca="false">IF(I2357=1,D2357*F2357,0)</f>
        <v>20.8</v>
      </c>
      <c r="K2357" s="7" t="n">
        <f aca="false">YEAR(E2357)*100+MONTH(E2357)</f>
        <v>201110</v>
      </c>
      <c r="L2357" s="7" t="n">
        <f aca="false">IF(AND(A2357&lt;&gt;A2356,LEFT(A2357,1)&lt;&gt;"C"),1,0)</f>
        <v>0</v>
      </c>
    </row>
    <row r="2358" customFormat="false" ht="15" hidden="false" customHeight="false" outlineLevel="0" collapsed="false">
      <c r="A2358" s="0" t="s">
        <v>1860</v>
      </c>
      <c r="B2358" s="0" t="s">
        <v>171</v>
      </c>
      <c r="C2358" s="0" t="s">
        <v>172</v>
      </c>
      <c r="D2358" s="0" t="n">
        <v>16</v>
      </c>
      <c r="E2358" s="6" t="n">
        <v>40822.6604166667</v>
      </c>
      <c r="F2358" s="0" t="n">
        <v>1.25</v>
      </c>
      <c r="G2358" s="0" t="n">
        <v>12627</v>
      </c>
      <c r="H2358" s="0" t="s">
        <v>33</v>
      </c>
      <c r="I2358" s="7" t="n">
        <f aca="false">IF(AND(LEFT(A2358,1)&lt;&gt;"C",D2358&gt;0,F2358&gt;0),1,0)</f>
        <v>1</v>
      </c>
      <c r="J2358" s="7" t="n">
        <f aca="false">IF(I2358=1,D2358*F2358,0)</f>
        <v>20</v>
      </c>
      <c r="K2358" s="7" t="n">
        <f aca="false">YEAR(E2358)*100+MONTH(E2358)</f>
        <v>201110</v>
      </c>
      <c r="L2358" s="7" t="n">
        <f aca="false">IF(AND(A2358&lt;&gt;A2357,LEFT(A2358,1)&lt;&gt;"C"),1,0)</f>
        <v>0</v>
      </c>
    </row>
    <row r="2359" customFormat="false" ht="15" hidden="false" customHeight="false" outlineLevel="0" collapsed="false">
      <c r="A2359" s="0" t="s">
        <v>1860</v>
      </c>
      <c r="B2359" s="0" t="s">
        <v>588</v>
      </c>
      <c r="C2359" s="0" t="s">
        <v>589</v>
      </c>
      <c r="D2359" s="0" t="n">
        <v>10</v>
      </c>
      <c r="E2359" s="6" t="n">
        <v>40822.6604166667</v>
      </c>
      <c r="F2359" s="0" t="n">
        <v>1.65</v>
      </c>
      <c r="G2359" s="0" t="n">
        <v>12627</v>
      </c>
      <c r="H2359" s="0" t="s">
        <v>33</v>
      </c>
      <c r="I2359" s="7" t="n">
        <f aca="false">IF(AND(LEFT(A2359,1)&lt;&gt;"C",D2359&gt;0,F2359&gt;0),1,0)</f>
        <v>1</v>
      </c>
      <c r="J2359" s="7" t="n">
        <f aca="false">IF(I2359=1,D2359*F2359,0)</f>
        <v>16.5</v>
      </c>
      <c r="K2359" s="7" t="n">
        <f aca="false">YEAR(E2359)*100+MONTH(E2359)</f>
        <v>201110</v>
      </c>
      <c r="L2359" s="7" t="n">
        <f aca="false">IF(AND(A2359&lt;&gt;A2358,LEFT(A2359,1)&lt;&gt;"C"),1,0)</f>
        <v>0</v>
      </c>
    </row>
    <row r="2360" customFormat="false" ht="15" hidden="false" customHeight="false" outlineLevel="0" collapsed="false">
      <c r="A2360" s="0" t="s">
        <v>1860</v>
      </c>
      <c r="B2360" s="0" t="s">
        <v>159</v>
      </c>
      <c r="C2360" s="0" t="s">
        <v>160</v>
      </c>
      <c r="D2360" s="0" t="n">
        <v>6</v>
      </c>
      <c r="E2360" s="6" t="n">
        <v>40822.6604166667</v>
      </c>
      <c r="F2360" s="0" t="n">
        <v>2.55</v>
      </c>
      <c r="G2360" s="0" t="n">
        <v>12627</v>
      </c>
      <c r="H2360" s="0" t="s">
        <v>33</v>
      </c>
      <c r="I2360" s="7" t="n">
        <f aca="false">IF(AND(LEFT(A2360,1)&lt;&gt;"C",D2360&gt;0,F2360&gt;0),1,0)</f>
        <v>1</v>
      </c>
      <c r="J2360" s="7" t="n">
        <f aca="false">IF(I2360=1,D2360*F2360,0)</f>
        <v>15.3</v>
      </c>
      <c r="K2360" s="7" t="n">
        <f aca="false">YEAR(E2360)*100+MONTH(E2360)</f>
        <v>201110</v>
      </c>
      <c r="L2360" s="7" t="n">
        <f aca="false">IF(AND(A2360&lt;&gt;A2359,LEFT(A2360,1)&lt;&gt;"C"),1,0)</f>
        <v>0</v>
      </c>
    </row>
    <row r="2361" customFormat="false" ht="15" hidden="false" customHeight="false" outlineLevel="0" collapsed="false">
      <c r="A2361" s="0" t="s">
        <v>1860</v>
      </c>
      <c r="B2361" s="0" t="s">
        <v>987</v>
      </c>
      <c r="C2361" s="0" t="s">
        <v>988</v>
      </c>
      <c r="D2361" s="0" t="n">
        <v>24</v>
      </c>
      <c r="E2361" s="6" t="n">
        <v>40822.6604166667</v>
      </c>
      <c r="F2361" s="0" t="n">
        <v>0.85</v>
      </c>
      <c r="G2361" s="0" t="n">
        <v>12627</v>
      </c>
      <c r="H2361" s="0" t="s">
        <v>33</v>
      </c>
      <c r="I2361" s="7" t="n">
        <f aca="false">IF(AND(LEFT(A2361,1)&lt;&gt;"C",D2361&gt;0,F2361&gt;0),1,0)</f>
        <v>1</v>
      </c>
      <c r="J2361" s="7" t="n">
        <f aca="false">IF(I2361=1,D2361*F2361,0)</f>
        <v>20.4</v>
      </c>
      <c r="K2361" s="7" t="n">
        <f aca="false">YEAR(E2361)*100+MONTH(E2361)</f>
        <v>201110</v>
      </c>
      <c r="L2361" s="7" t="n">
        <f aca="false">IF(AND(A2361&lt;&gt;A2360,LEFT(A2361,1)&lt;&gt;"C"),1,0)</f>
        <v>0</v>
      </c>
    </row>
    <row r="2362" customFormat="false" ht="15" hidden="false" customHeight="false" outlineLevel="0" collapsed="false">
      <c r="A2362" s="0" t="s">
        <v>1860</v>
      </c>
      <c r="B2362" s="0" t="s">
        <v>1170</v>
      </c>
      <c r="C2362" s="0" t="s">
        <v>1171</v>
      </c>
      <c r="D2362" s="0" t="n">
        <v>25</v>
      </c>
      <c r="E2362" s="6" t="n">
        <v>40822.6604166667</v>
      </c>
      <c r="F2362" s="0" t="n">
        <v>0.42</v>
      </c>
      <c r="G2362" s="0" t="n">
        <v>12627</v>
      </c>
      <c r="H2362" s="0" t="s">
        <v>33</v>
      </c>
      <c r="I2362" s="7" t="n">
        <f aca="false">IF(AND(LEFT(A2362,1)&lt;&gt;"C",D2362&gt;0,F2362&gt;0),1,0)</f>
        <v>1</v>
      </c>
      <c r="J2362" s="7" t="n">
        <f aca="false">IF(I2362=1,D2362*F2362,0)</f>
        <v>10.5</v>
      </c>
      <c r="K2362" s="7" t="n">
        <f aca="false">YEAR(E2362)*100+MONTH(E2362)</f>
        <v>201110</v>
      </c>
      <c r="L2362" s="7" t="n">
        <f aca="false">IF(AND(A2362&lt;&gt;A2361,LEFT(A2362,1)&lt;&gt;"C"),1,0)</f>
        <v>0</v>
      </c>
    </row>
    <row r="2363" customFormat="false" ht="15" hidden="false" customHeight="false" outlineLevel="0" collapsed="false">
      <c r="A2363" s="0" t="s">
        <v>1860</v>
      </c>
      <c r="B2363" s="0" t="s">
        <v>1656</v>
      </c>
      <c r="C2363" s="0" t="s">
        <v>1657</v>
      </c>
      <c r="D2363" s="0" t="n">
        <v>10</v>
      </c>
      <c r="E2363" s="6" t="n">
        <v>40822.6604166667</v>
      </c>
      <c r="F2363" s="0" t="n">
        <v>2.08</v>
      </c>
      <c r="G2363" s="0" t="n">
        <v>12627</v>
      </c>
      <c r="H2363" s="0" t="s">
        <v>33</v>
      </c>
      <c r="I2363" s="7" t="n">
        <f aca="false">IF(AND(LEFT(A2363,1)&lt;&gt;"C",D2363&gt;0,F2363&gt;0),1,0)</f>
        <v>1</v>
      </c>
      <c r="J2363" s="7" t="n">
        <f aca="false">IF(I2363=1,D2363*F2363,0)</f>
        <v>20.8</v>
      </c>
      <c r="K2363" s="7" t="n">
        <f aca="false">YEAR(E2363)*100+MONTH(E2363)</f>
        <v>201110</v>
      </c>
      <c r="L2363" s="7" t="n">
        <f aca="false">IF(AND(A2363&lt;&gt;A2362,LEFT(A2363,1)&lt;&gt;"C"),1,0)</f>
        <v>0</v>
      </c>
    </row>
    <row r="2364" customFormat="false" ht="15" hidden="false" customHeight="false" outlineLevel="0" collapsed="false">
      <c r="A2364" s="0" t="s">
        <v>1860</v>
      </c>
      <c r="B2364" s="0" t="s">
        <v>35</v>
      </c>
      <c r="C2364" s="0" t="s">
        <v>36</v>
      </c>
      <c r="D2364" s="0" t="n">
        <v>12</v>
      </c>
      <c r="E2364" s="6" t="n">
        <v>40822.6604166667</v>
      </c>
      <c r="F2364" s="0" t="n">
        <v>1.65</v>
      </c>
      <c r="G2364" s="0" t="n">
        <v>12627</v>
      </c>
      <c r="H2364" s="0" t="s">
        <v>33</v>
      </c>
      <c r="I2364" s="7" t="n">
        <f aca="false">IF(AND(LEFT(A2364,1)&lt;&gt;"C",D2364&gt;0,F2364&gt;0),1,0)</f>
        <v>1</v>
      </c>
      <c r="J2364" s="7" t="n">
        <f aca="false">IF(I2364=1,D2364*F2364,0)</f>
        <v>19.8</v>
      </c>
      <c r="K2364" s="7" t="n">
        <f aca="false">YEAR(E2364)*100+MONTH(E2364)</f>
        <v>201110</v>
      </c>
      <c r="L2364" s="7" t="n">
        <f aca="false">IF(AND(A2364&lt;&gt;A2363,LEFT(A2364,1)&lt;&gt;"C"),1,0)</f>
        <v>0</v>
      </c>
    </row>
    <row r="2365" customFormat="false" ht="15" hidden="false" customHeight="false" outlineLevel="0" collapsed="false">
      <c r="A2365" s="0" t="s">
        <v>1860</v>
      </c>
      <c r="B2365" s="0" t="s">
        <v>667</v>
      </c>
      <c r="C2365" s="0" t="s">
        <v>668</v>
      </c>
      <c r="D2365" s="0" t="n">
        <v>10</v>
      </c>
      <c r="E2365" s="6" t="n">
        <v>40822.6604166667</v>
      </c>
      <c r="F2365" s="0" t="n">
        <v>0.85</v>
      </c>
      <c r="G2365" s="0" t="n">
        <v>12627</v>
      </c>
      <c r="H2365" s="0" t="s">
        <v>33</v>
      </c>
      <c r="I2365" s="7" t="n">
        <f aca="false">IF(AND(LEFT(A2365,1)&lt;&gt;"C",D2365&gt;0,F2365&gt;0),1,0)</f>
        <v>1</v>
      </c>
      <c r="J2365" s="7" t="n">
        <f aca="false">IF(I2365=1,D2365*F2365,0)</f>
        <v>8.5</v>
      </c>
      <c r="K2365" s="7" t="n">
        <f aca="false">YEAR(E2365)*100+MONTH(E2365)</f>
        <v>201110</v>
      </c>
      <c r="L2365" s="7" t="n">
        <f aca="false">IF(AND(A2365&lt;&gt;A2364,LEFT(A2365,1)&lt;&gt;"C"),1,0)</f>
        <v>0</v>
      </c>
    </row>
    <row r="2366" customFormat="false" ht="15" hidden="false" customHeight="false" outlineLevel="0" collapsed="false">
      <c r="A2366" s="0" t="s">
        <v>1860</v>
      </c>
      <c r="B2366" s="0" t="s">
        <v>164</v>
      </c>
      <c r="C2366" s="0" t="s">
        <v>165</v>
      </c>
      <c r="D2366" s="0" t="n">
        <v>8</v>
      </c>
      <c r="E2366" s="6" t="n">
        <v>40822.6604166667</v>
      </c>
      <c r="F2366" s="0" t="n">
        <v>1.25</v>
      </c>
      <c r="G2366" s="0" t="n">
        <v>12627</v>
      </c>
      <c r="H2366" s="0" t="s">
        <v>33</v>
      </c>
      <c r="I2366" s="7" t="n">
        <f aca="false">IF(AND(LEFT(A2366,1)&lt;&gt;"C",D2366&gt;0,F2366&gt;0),1,0)</f>
        <v>1</v>
      </c>
      <c r="J2366" s="7" t="n">
        <f aca="false">IF(I2366=1,D2366*F2366,0)</f>
        <v>10</v>
      </c>
      <c r="K2366" s="7" t="n">
        <f aca="false">YEAR(E2366)*100+MONTH(E2366)</f>
        <v>201110</v>
      </c>
      <c r="L2366" s="7" t="n">
        <f aca="false">IF(AND(A2366&lt;&gt;A2365,LEFT(A2366,1)&lt;&gt;"C"),1,0)</f>
        <v>0</v>
      </c>
    </row>
    <row r="2367" customFormat="false" ht="15" hidden="false" customHeight="false" outlineLevel="0" collapsed="false">
      <c r="A2367" s="0" t="s">
        <v>1860</v>
      </c>
      <c r="B2367" s="0" t="s">
        <v>68</v>
      </c>
      <c r="C2367" s="0" t="s">
        <v>69</v>
      </c>
      <c r="D2367" s="0" t="n">
        <v>10</v>
      </c>
      <c r="E2367" s="6" t="n">
        <v>40822.6604166667</v>
      </c>
      <c r="F2367" s="0" t="n">
        <v>1.65</v>
      </c>
      <c r="G2367" s="0" t="n">
        <v>12627</v>
      </c>
      <c r="H2367" s="0" t="s">
        <v>33</v>
      </c>
      <c r="I2367" s="7" t="n">
        <f aca="false">IF(AND(LEFT(A2367,1)&lt;&gt;"C",D2367&gt;0,F2367&gt;0),1,0)</f>
        <v>1</v>
      </c>
      <c r="J2367" s="7" t="n">
        <f aca="false">IF(I2367=1,D2367*F2367,0)</f>
        <v>16.5</v>
      </c>
      <c r="K2367" s="7" t="n">
        <f aca="false">YEAR(E2367)*100+MONTH(E2367)</f>
        <v>201110</v>
      </c>
      <c r="L2367" s="7" t="n">
        <f aca="false">IF(AND(A2367&lt;&gt;A2366,LEFT(A2367,1)&lt;&gt;"C"),1,0)</f>
        <v>0</v>
      </c>
    </row>
    <row r="2368" customFormat="false" ht="15" hidden="false" customHeight="false" outlineLevel="0" collapsed="false">
      <c r="A2368" s="0" t="s">
        <v>1860</v>
      </c>
      <c r="B2368" s="0" t="s">
        <v>953</v>
      </c>
      <c r="C2368" s="0" t="s">
        <v>954</v>
      </c>
      <c r="D2368" s="0" t="n">
        <v>10</v>
      </c>
      <c r="E2368" s="6" t="n">
        <v>40822.6604166667</v>
      </c>
      <c r="F2368" s="0" t="n">
        <v>1.25</v>
      </c>
      <c r="G2368" s="0" t="n">
        <v>12627</v>
      </c>
      <c r="H2368" s="0" t="s">
        <v>33</v>
      </c>
      <c r="I2368" s="7" t="n">
        <f aca="false">IF(AND(LEFT(A2368,1)&lt;&gt;"C",D2368&gt;0,F2368&gt;0),1,0)</f>
        <v>1</v>
      </c>
      <c r="J2368" s="7" t="n">
        <f aca="false">IF(I2368=1,D2368*F2368,0)</f>
        <v>12.5</v>
      </c>
      <c r="K2368" s="7" t="n">
        <f aca="false">YEAR(E2368)*100+MONTH(E2368)</f>
        <v>201110</v>
      </c>
      <c r="L2368" s="7" t="n">
        <f aca="false">IF(AND(A2368&lt;&gt;A2367,LEFT(A2368,1)&lt;&gt;"C"),1,0)</f>
        <v>0</v>
      </c>
    </row>
    <row r="2369" customFormat="false" ht="15" hidden="false" customHeight="false" outlineLevel="0" collapsed="false">
      <c r="A2369" s="0" t="s">
        <v>1860</v>
      </c>
      <c r="B2369" s="0" t="s">
        <v>1873</v>
      </c>
      <c r="C2369" s="0" t="s">
        <v>1874</v>
      </c>
      <c r="D2369" s="0" t="n">
        <v>1</v>
      </c>
      <c r="E2369" s="6" t="n">
        <v>40822.6604166667</v>
      </c>
      <c r="F2369" s="0" t="n">
        <v>16.95</v>
      </c>
      <c r="G2369" s="0" t="n">
        <v>12627</v>
      </c>
      <c r="H2369" s="0" t="s">
        <v>33</v>
      </c>
      <c r="I2369" s="7" t="n">
        <f aca="false">IF(AND(LEFT(A2369,1)&lt;&gt;"C",D2369&gt;0,F2369&gt;0),1,0)</f>
        <v>1</v>
      </c>
      <c r="J2369" s="7" t="n">
        <f aca="false">IF(I2369=1,D2369*F2369,0)</f>
        <v>16.95</v>
      </c>
      <c r="K2369" s="7" t="n">
        <f aca="false">YEAR(E2369)*100+MONTH(E2369)</f>
        <v>201110</v>
      </c>
      <c r="L2369" s="7" t="n">
        <f aca="false">IF(AND(A2369&lt;&gt;A2368,LEFT(A2369,1)&lt;&gt;"C"),1,0)</f>
        <v>0</v>
      </c>
    </row>
    <row r="2370" customFormat="false" ht="15" hidden="false" customHeight="false" outlineLevel="0" collapsed="false">
      <c r="A2370" s="0" t="s">
        <v>1860</v>
      </c>
      <c r="B2370" s="0" t="s">
        <v>752</v>
      </c>
      <c r="C2370" s="0" t="s">
        <v>753</v>
      </c>
      <c r="D2370" s="0" t="n">
        <v>12</v>
      </c>
      <c r="E2370" s="6" t="n">
        <v>40822.6604166667</v>
      </c>
      <c r="F2370" s="0" t="n">
        <v>1.65</v>
      </c>
      <c r="G2370" s="0" t="n">
        <v>12627</v>
      </c>
      <c r="H2370" s="0" t="s">
        <v>33</v>
      </c>
      <c r="I2370" s="7" t="n">
        <f aca="false">IF(AND(LEFT(A2370,1)&lt;&gt;"C",D2370&gt;0,F2370&gt;0),1,0)</f>
        <v>1</v>
      </c>
      <c r="J2370" s="7" t="n">
        <f aca="false">IF(I2370=1,D2370*F2370,0)</f>
        <v>19.8</v>
      </c>
      <c r="K2370" s="7" t="n">
        <f aca="false">YEAR(E2370)*100+MONTH(E2370)</f>
        <v>201110</v>
      </c>
      <c r="L2370" s="7" t="n">
        <f aca="false">IF(AND(A2370&lt;&gt;A2369,LEFT(A2370,1)&lt;&gt;"C"),1,0)</f>
        <v>0</v>
      </c>
    </row>
    <row r="2371" customFormat="false" ht="15" hidden="false" customHeight="false" outlineLevel="0" collapsed="false">
      <c r="A2371" s="0" t="s">
        <v>1860</v>
      </c>
      <c r="B2371" s="0" t="s">
        <v>89</v>
      </c>
      <c r="C2371" s="0" t="s">
        <v>90</v>
      </c>
      <c r="D2371" s="0" t="n">
        <v>4</v>
      </c>
      <c r="E2371" s="6" t="n">
        <v>40822.6604166667</v>
      </c>
      <c r="F2371" s="0" t="n">
        <v>4.15</v>
      </c>
      <c r="G2371" s="0" t="n">
        <v>12627</v>
      </c>
      <c r="H2371" s="0" t="s">
        <v>33</v>
      </c>
      <c r="I2371" s="7" t="n">
        <f aca="false">IF(AND(LEFT(A2371,1)&lt;&gt;"C",D2371&gt;0,F2371&gt;0),1,0)</f>
        <v>1</v>
      </c>
      <c r="J2371" s="7" t="n">
        <f aca="false">IF(I2371=1,D2371*F2371,0)</f>
        <v>16.6</v>
      </c>
      <c r="K2371" s="7" t="n">
        <f aca="false">YEAR(E2371)*100+MONTH(E2371)</f>
        <v>201110</v>
      </c>
      <c r="L2371" s="7" t="n">
        <f aca="false">IF(AND(A2371&lt;&gt;A2370,LEFT(A2371,1)&lt;&gt;"C"),1,0)</f>
        <v>0</v>
      </c>
    </row>
    <row r="2372" customFormat="false" ht="15" hidden="false" customHeight="false" outlineLevel="0" collapsed="false">
      <c r="A2372" s="0" t="s">
        <v>1860</v>
      </c>
      <c r="B2372" s="0" t="s">
        <v>1386</v>
      </c>
      <c r="C2372" s="0" t="s">
        <v>1387</v>
      </c>
      <c r="D2372" s="0" t="n">
        <v>20</v>
      </c>
      <c r="E2372" s="6" t="n">
        <v>40822.6604166667</v>
      </c>
      <c r="F2372" s="0" t="n">
        <v>2.08</v>
      </c>
      <c r="G2372" s="0" t="n">
        <v>12627</v>
      </c>
      <c r="H2372" s="0" t="s">
        <v>33</v>
      </c>
      <c r="I2372" s="7" t="n">
        <f aca="false">IF(AND(LEFT(A2372,1)&lt;&gt;"C",D2372&gt;0,F2372&gt;0),1,0)</f>
        <v>1</v>
      </c>
      <c r="J2372" s="7" t="n">
        <f aca="false">IF(I2372=1,D2372*F2372,0)</f>
        <v>41.6</v>
      </c>
      <c r="K2372" s="7" t="n">
        <f aca="false">YEAR(E2372)*100+MONTH(E2372)</f>
        <v>201110</v>
      </c>
      <c r="L2372" s="7" t="n">
        <f aca="false">IF(AND(A2372&lt;&gt;A2371,LEFT(A2372,1)&lt;&gt;"C"),1,0)</f>
        <v>0</v>
      </c>
    </row>
    <row r="2373" customFormat="false" ht="15" hidden="false" customHeight="false" outlineLevel="0" collapsed="false">
      <c r="A2373" s="0" t="s">
        <v>1860</v>
      </c>
      <c r="B2373" s="0" t="s">
        <v>148</v>
      </c>
      <c r="C2373" s="0" t="s">
        <v>149</v>
      </c>
      <c r="D2373" s="0" t="n">
        <v>1</v>
      </c>
      <c r="E2373" s="6" t="n">
        <v>40822.6604166667</v>
      </c>
      <c r="F2373" s="0" t="n">
        <v>12.75</v>
      </c>
      <c r="G2373" s="0" t="n">
        <v>12627</v>
      </c>
      <c r="H2373" s="0" t="s">
        <v>33</v>
      </c>
      <c r="I2373" s="7" t="n">
        <f aca="false">IF(AND(LEFT(A2373,1)&lt;&gt;"C",D2373&gt;0,F2373&gt;0),1,0)</f>
        <v>1</v>
      </c>
      <c r="J2373" s="7" t="n">
        <f aca="false">IF(I2373=1,D2373*F2373,0)</f>
        <v>12.75</v>
      </c>
      <c r="K2373" s="7" t="n">
        <f aca="false">YEAR(E2373)*100+MONTH(E2373)</f>
        <v>201110</v>
      </c>
      <c r="L2373" s="7" t="n">
        <f aca="false">IF(AND(A2373&lt;&gt;A2372,LEFT(A2373,1)&lt;&gt;"C"),1,0)</f>
        <v>0</v>
      </c>
    </row>
    <row r="2374" customFormat="false" ht="15" hidden="false" customHeight="false" outlineLevel="0" collapsed="false">
      <c r="A2374" s="0" t="s">
        <v>1860</v>
      </c>
      <c r="B2374" s="0" t="s">
        <v>575</v>
      </c>
      <c r="C2374" s="0" t="s">
        <v>576</v>
      </c>
      <c r="D2374" s="0" t="n">
        <v>10</v>
      </c>
      <c r="E2374" s="6" t="n">
        <v>40822.6604166667</v>
      </c>
      <c r="F2374" s="0" t="n">
        <v>2.08</v>
      </c>
      <c r="G2374" s="0" t="n">
        <v>12627</v>
      </c>
      <c r="H2374" s="0" t="s">
        <v>33</v>
      </c>
      <c r="I2374" s="7" t="n">
        <f aca="false">IF(AND(LEFT(A2374,1)&lt;&gt;"C",D2374&gt;0,F2374&gt;0),1,0)</f>
        <v>1</v>
      </c>
      <c r="J2374" s="7" t="n">
        <f aca="false">IF(I2374=1,D2374*F2374,0)</f>
        <v>20.8</v>
      </c>
      <c r="K2374" s="7" t="n">
        <f aca="false">YEAR(E2374)*100+MONTH(E2374)</f>
        <v>201110</v>
      </c>
      <c r="L2374" s="7" t="n">
        <f aca="false">IF(AND(A2374&lt;&gt;A2373,LEFT(A2374,1)&lt;&gt;"C"),1,0)</f>
        <v>0</v>
      </c>
    </row>
    <row r="2375" customFormat="false" ht="15" hidden="false" customHeight="false" outlineLevel="0" collapsed="false">
      <c r="A2375" s="0" t="s">
        <v>1860</v>
      </c>
      <c r="B2375" s="0" t="s">
        <v>355</v>
      </c>
      <c r="C2375" s="0" t="s">
        <v>356</v>
      </c>
      <c r="D2375" s="0" t="n">
        <v>10</v>
      </c>
      <c r="E2375" s="6" t="n">
        <v>40822.6604166667</v>
      </c>
      <c r="F2375" s="0" t="n">
        <v>1.65</v>
      </c>
      <c r="G2375" s="0" t="n">
        <v>12627</v>
      </c>
      <c r="H2375" s="0" t="s">
        <v>33</v>
      </c>
      <c r="I2375" s="7" t="n">
        <f aca="false">IF(AND(LEFT(A2375,1)&lt;&gt;"C",D2375&gt;0,F2375&gt;0),1,0)</f>
        <v>1</v>
      </c>
      <c r="J2375" s="7" t="n">
        <f aca="false">IF(I2375=1,D2375*F2375,0)</f>
        <v>16.5</v>
      </c>
      <c r="K2375" s="7" t="n">
        <f aca="false">YEAR(E2375)*100+MONTH(E2375)</f>
        <v>201110</v>
      </c>
      <c r="L2375" s="7" t="n">
        <f aca="false">IF(AND(A2375&lt;&gt;A2374,LEFT(A2375,1)&lt;&gt;"C"),1,0)</f>
        <v>0</v>
      </c>
    </row>
    <row r="2376" customFormat="false" ht="15" hidden="false" customHeight="false" outlineLevel="0" collapsed="false">
      <c r="A2376" s="0" t="s">
        <v>1860</v>
      </c>
      <c r="B2376" s="0" t="s">
        <v>41</v>
      </c>
      <c r="C2376" s="0" t="s">
        <v>42</v>
      </c>
      <c r="D2376" s="0" t="n">
        <v>3</v>
      </c>
      <c r="E2376" s="6" t="n">
        <v>40822.6604166667</v>
      </c>
      <c r="F2376" s="0" t="n">
        <v>5.95</v>
      </c>
      <c r="G2376" s="0" t="n">
        <v>12627</v>
      </c>
      <c r="H2376" s="0" t="s">
        <v>33</v>
      </c>
      <c r="I2376" s="7" t="n">
        <f aca="false">IF(AND(LEFT(A2376,1)&lt;&gt;"C",D2376&gt;0,F2376&gt;0),1,0)</f>
        <v>1</v>
      </c>
      <c r="J2376" s="7" t="n">
        <f aca="false">IF(I2376=1,D2376*F2376,0)</f>
        <v>17.85</v>
      </c>
      <c r="K2376" s="7" t="n">
        <f aca="false">YEAR(E2376)*100+MONTH(E2376)</f>
        <v>201110</v>
      </c>
      <c r="L2376" s="7" t="n">
        <f aca="false">IF(AND(A2376&lt;&gt;A2375,LEFT(A2376,1)&lt;&gt;"C"),1,0)</f>
        <v>0</v>
      </c>
    </row>
    <row r="2377" customFormat="false" ht="15" hidden="false" customHeight="false" outlineLevel="0" collapsed="false">
      <c r="A2377" s="0" t="s">
        <v>1860</v>
      </c>
      <c r="B2377" s="0" t="s">
        <v>87</v>
      </c>
      <c r="C2377" s="0" t="s">
        <v>88</v>
      </c>
      <c r="D2377" s="0" t="n">
        <v>4</v>
      </c>
      <c r="E2377" s="6" t="n">
        <v>40822.6604166667</v>
      </c>
      <c r="F2377" s="0" t="n">
        <v>4.15</v>
      </c>
      <c r="G2377" s="0" t="n">
        <v>12627</v>
      </c>
      <c r="H2377" s="0" t="s">
        <v>33</v>
      </c>
      <c r="I2377" s="7" t="n">
        <f aca="false">IF(AND(LEFT(A2377,1)&lt;&gt;"C",D2377&gt;0,F2377&gt;0),1,0)</f>
        <v>1</v>
      </c>
      <c r="J2377" s="7" t="n">
        <f aca="false">IF(I2377=1,D2377*F2377,0)</f>
        <v>16.6</v>
      </c>
      <c r="K2377" s="7" t="n">
        <f aca="false">YEAR(E2377)*100+MONTH(E2377)</f>
        <v>201110</v>
      </c>
      <c r="L2377" s="7" t="n">
        <f aca="false">IF(AND(A2377&lt;&gt;A2376,LEFT(A2377,1)&lt;&gt;"C"),1,0)</f>
        <v>0</v>
      </c>
    </row>
    <row r="2378" customFormat="false" ht="15" hidden="false" customHeight="false" outlineLevel="0" collapsed="false">
      <c r="A2378" s="0" t="s">
        <v>1860</v>
      </c>
      <c r="B2378" s="0" t="s">
        <v>577</v>
      </c>
      <c r="C2378" s="0" t="s">
        <v>578</v>
      </c>
      <c r="D2378" s="0" t="n">
        <v>4</v>
      </c>
      <c r="E2378" s="6" t="n">
        <v>40822.6604166667</v>
      </c>
      <c r="F2378" s="0" t="n">
        <v>4.15</v>
      </c>
      <c r="G2378" s="0" t="n">
        <v>12627</v>
      </c>
      <c r="H2378" s="0" t="s">
        <v>33</v>
      </c>
      <c r="I2378" s="7" t="n">
        <f aca="false">IF(AND(LEFT(A2378,1)&lt;&gt;"C",D2378&gt;0,F2378&gt;0),1,0)</f>
        <v>1</v>
      </c>
      <c r="J2378" s="7" t="n">
        <f aca="false">IF(I2378=1,D2378*F2378,0)</f>
        <v>16.6</v>
      </c>
      <c r="K2378" s="7" t="n">
        <f aca="false">YEAR(E2378)*100+MONTH(E2378)</f>
        <v>201110</v>
      </c>
      <c r="L2378" s="7" t="n">
        <f aca="false">IF(AND(A2378&lt;&gt;A2377,LEFT(A2378,1)&lt;&gt;"C"),1,0)</f>
        <v>0</v>
      </c>
    </row>
    <row r="2379" customFormat="false" ht="15" hidden="false" customHeight="false" outlineLevel="0" collapsed="false">
      <c r="A2379" s="0" t="s">
        <v>1860</v>
      </c>
      <c r="B2379" s="0" t="s">
        <v>450</v>
      </c>
      <c r="C2379" s="0" t="s">
        <v>451</v>
      </c>
      <c r="D2379" s="0" t="n">
        <v>6</v>
      </c>
      <c r="E2379" s="6" t="n">
        <v>40822.6604166667</v>
      </c>
      <c r="F2379" s="0" t="n">
        <v>2.95</v>
      </c>
      <c r="G2379" s="0" t="n">
        <v>12627</v>
      </c>
      <c r="H2379" s="0" t="s">
        <v>33</v>
      </c>
      <c r="I2379" s="7" t="n">
        <f aca="false">IF(AND(LEFT(A2379,1)&lt;&gt;"C",D2379&gt;0,F2379&gt;0),1,0)</f>
        <v>1</v>
      </c>
      <c r="J2379" s="7" t="n">
        <f aca="false">IF(I2379=1,D2379*F2379,0)</f>
        <v>17.7</v>
      </c>
      <c r="K2379" s="7" t="n">
        <f aca="false">YEAR(E2379)*100+MONTH(E2379)</f>
        <v>201110</v>
      </c>
      <c r="L2379" s="7" t="n">
        <f aca="false">IF(AND(A2379&lt;&gt;A2378,LEFT(A2379,1)&lt;&gt;"C"),1,0)</f>
        <v>0</v>
      </c>
    </row>
    <row r="2380" customFormat="false" ht="15" hidden="false" customHeight="false" outlineLevel="0" collapsed="false">
      <c r="A2380" s="0" t="s">
        <v>1860</v>
      </c>
      <c r="B2380" s="0" t="s">
        <v>1875</v>
      </c>
      <c r="C2380" s="0" t="s">
        <v>1876</v>
      </c>
      <c r="D2380" s="0" t="n">
        <v>2</v>
      </c>
      <c r="E2380" s="6" t="n">
        <v>40822.6604166667</v>
      </c>
      <c r="F2380" s="0" t="n">
        <v>8.25</v>
      </c>
      <c r="G2380" s="0" t="n">
        <v>12627</v>
      </c>
      <c r="H2380" s="0" t="s">
        <v>33</v>
      </c>
      <c r="I2380" s="7" t="n">
        <f aca="false">IF(AND(LEFT(A2380,1)&lt;&gt;"C",D2380&gt;0,F2380&gt;0),1,0)</f>
        <v>1</v>
      </c>
      <c r="J2380" s="7" t="n">
        <f aca="false">IF(I2380=1,D2380*F2380,0)</f>
        <v>16.5</v>
      </c>
      <c r="K2380" s="7" t="n">
        <f aca="false">YEAR(E2380)*100+MONTH(E2380)</f>
        <v>201110</v>
      </c>
      <c r="L2380" s="7" t="n">
        <f aca="false">IF(AND(A2380&lt;&gt;A2379,LEFT(A2380,1)&lt;&gt;"C"),1,0)</f>
        <v>0</v>
      </c>
    </row>
    <row r="2381" customFormat="false" ht="15" hidden="false" customHeight="false" outlineLevel="0" collapsed="false">
      <c r="A2381" s="0" t="s">
        <v>1860</v>
      </c>
      <c r="B2381" s="0" t="s">
        <v>1877</v>
      </c>
      <c r="C2381" s="0" t="s">
        <v>1878</v>
      </c>
      <c r="D2381" s="0" t="n">
        <v>10</v>
      </c>
      <c r="E2381" s="6" t="n">
        <v>40822.6604166667</v>
      </c>
      <c r="F2381" s="0" t="n">
        <v>2.08</v>
      </c>
      <c r="G2381" s="0" t="n">
        <v>12627</v>
      </c>
      <c r="H2381" s="0" t="s">
        <v>33</v>
      </c>
      <c r="I2381" s="7" t="n">
        <f aca="false">IF(AND(LEFT(A2381,1)&lt;&gt;"C",D2381&gt;0,F2381&gt;0),1,0)</f>
        <v>1</v>
      </c>
      <c r="J2381" s="7" t="n">
        <f aca="false">IF(I2381=1,D2381*F2381,0)</f>
        <v>20.8</v>
      </c>
      <c r="K2381" s="7" t="n">
        <f aca="false">YEAR(E2381)*100+MONTH(E2381)</f>
        <v>201110</v>
      </c>
      <c r="L2381" s="7" t="n">
        <f aca="false">IF(AND(A2381&lt;&gt;A2380,LEFT(A2381,1)&lt;&gt;"C"),1,0)</f>
        <v>0</v>
      </c>
    </row>
    <row r="2382" customFormat="false" ht="15" hidden="false" customHeight="false" outlineLevel="0" collapsed="false">
      <c r="A2382" s="0" t="s">
        <v>1860</v>
      </c>
      <c r="B2382" s="0" t="s">
        <v>1535</v>
      </c>
      <c r="C2382" s="0" t="s">
        <v>1536</v>
      </c>
      <c r="D2382" s="0" t="n">
        <v>10</v>
      </c>
      <c r="E2382" s="6" t="n">
        <v>40822.6604166667</v>
      </c>
      <c r="F2382" s="0" t="n">
        <v>2.08</v>
      </c>
      <c r="G2382" s="0" t="n">
        <v>12627</v>
      </c>
      <c r="H2382" s="0" t="s">
        <v>33</v>
      </c>
      <c r="I2382" s="7" t="n">
        <f aca="false">IF(AND(LEFT(A2382,1)&lt;&gt;"C",D2382&gt;0,F2382&gt;0),1,0)</f>
        <v>1</v>
      </c>
      <c r="J2382" s="7" t="n">
        <f aca="false">IF(I2382=1,D2382*F2382,0)</f>
        <v>20.8</v>
      </c>
      <c r="K2382" s="7" t="n">
        <f aca="false">YEAR(E2382)*100+MONTH(E2382)</f>
        <v>201110</v>
      </c>
      <c r="L2382" s="7" t="n">
        <f aca="false">IF(AND(A2382&lt;&gt;A2381,LEFT(A2382,1)&lt;&gt;"C"),1,0)</f>
        <v>0</v>
      </c>
    </row>
    <row r="2383" customFormat="false" ht="15" hidden="false" customHeight="false" outlineLevel="0" collapsed="false">
      <c r="A2383" s="0" t="s">
        <v>1860</v>
      </c>
      <c r="B2383" s="0" t="s">
        <v>1879</v>
      </c>
      <c r="C2383" s="0" t="s">
        <v>1880</v>
      </c>
      <c r="D2383" s="0" t="n">
        <v>12</v>
      </c>
      <c r="E2383" s="6" t="n">
        <v>40822.6604166667</v>
      </c>
      <c r="F2383" s="0" t="n">
        <v>1.25</v>
      </c>
      <c r="G2383" s="0" t="n">
        <v>12627</v>
      </c>
      <c r="H2383" s="0" t="s">
        <v>33</v>
      </c>
      <c r="I2383" s="7" t="n">
        <f aca="false">IF(AND(LEFT(A2383,1)&lt;&gt;"C",D2383&gt;0,F2383&gt;0),1,0)</f>
        <v>1</v>
      </c>
      <c r="J2383" s="7" t="n">
        <f aca="false">IF(I2383=1,D2383*F2383,0)</f>
        <v>15</v>
      </c>
      <c r="K2383" s="7" t="n">
        <f aca="false">YEAR(E2383)*100+MONTH(E2383)</f>
        <v>201110</v>
      </c>
      <c r="L2383" s="7" t="n">
        <f aca="false">IF(AND(A2383&lt;&gt;A2382,LEFT(A2383,1)&lt;&gt;"C"),1,0)</f>
        <v>0</v>
      </c>
    </row>
    <row r="2384" customFormat="false" ht="15" hidden="false" customHeight="false" outlineLevel="0" collapsed="false">
      <c r="A2384" s="0" t="s">
        <v>1860</v>
      </c>
      <c r="B2384" s="0" t="s">
        <v>1881</v>
      </c>
      <c r="C2384" s="0" t="s">
        <v>1882</v>
      </c>
      <c r="D2384" s="0" t="n">
        <v>12</v>
      </c>
      <c r="E2384" s="6" t="n">
        <v>40822.6604166667</v>
      </c>
      <c r="F2384" s="0" t="n">
        <v>1.65</v>
      </c>
      <c r="G2384" s="0" t="n">
        <v>12627</v>
      </c>
      <c r="H2384" s="0" t="s">
        <v>33</v>
      </c>
      <c r="I2384" s="7" t="n">
        <f aca="false">IF(AND(LEFT(A2384,1)&lt;&gt;"C",D2384&gt;0,F2384&gt;0),1,0)</f>
        <v>1</v>
      </c>
      <c r="J2384" s="7" t="n">
        <f aca="false">IF(I2384=1,D2384*F2384,0)</f>
        <v>19.8</v>
      </c>
      <c r="K2384" s="7" t="n">
        <f aca="false">YEAR(E2384)*100+MONTH(E2384)</f>
        <v>201110</v>
      </c>
      <c r="L2384" s="7" t="n">
        <f aca="false">IF(AND(A2384&lt;&gt;A2383,LEFT(A2384,1)&lt;&gt;"C"),1,0)</f>
        <v>0</v>
      </c>
    </row>
    <row r="2385" customFormat="false" ht="15" hidden="false" customHeight="false" outlineLevel="0" collapsed="false">
      <c r="A2385" s="0" t="s">
        <v>1860</v>
      </c>
      <c r="B2385" s="0" t="s">
        <v>1883</v>
      </c>
      <c r="C2385" s="0" t="s">
        <v>1884</v>
      </c>
      <c r="D2385" s="0" t="n">
        <v>2</v>
      </c>
      <c r="E2385" s="6" t="n">
        <v>40822.6604166667</v>
      </c>
      <c r="F2385" s="0" t="n">
        <v>8.25</v>
      </c>
      <c r="G2385" s="0" t="n">
        <v>12627</v>
      </c>
      <c r="H2385" s="0" t="s">
        <v>33</v>
      </c>
      <c r="I2385" s="7" t="n">
        <f aca="false">IF(AND(LEFT(A2385,1)&lt;&gt;"C",D2385&gt;0,F2385&gt;0),1,0)</f>
        <v>1</v>
      </c>
      <c r="J2385" s="7" t="n">
        <f aca="false">IF(I2385=1,D2385*F2385,0)</f>
        <v>16.5</v>
      </c>
      <c r="K2385" s="7" t="n">
        <f aca="false">YEAR(E2385)*100+MONTH(E2385)</f>
        <v>201110</v>
      </c>
      <c r="L2385" s="7" t="n">
        <f aca="false">IF(AND(A2385&lt;&gt;A2384,LEFT(A2385,1)&lt;&gt;"C"),1,0)</f>
        <v>0</v>
      </c>
    </row>
    <row r="2386" customFormat="false" ht="15" hidden="false" customHeight="false" outlineLevel="0" collapsed="false">
      <c r="A2386" s="0" t="s">
        <v>1860</v>
      </c>
      <c r="B2386" s="0" t="s">
        <v>369</v>
      </c>
      <c r="C2386" s="0" t="s">
        <v>370</v>
      </c>
      <c r="D2386" s="0" t="n">
        <v>200</v>
      </c>
      <c r="E2386" s="6" t="n">
        <v>40822.6604166667</v>
      </c>
      <c r="F2386" s="0" t="n">
        <v>0.04</v>
      </c>
      <c r="G2386" s="0" t="n">
        <v>12627</v>
      </c>
      <c r="H2386" s="0" t="s">
        <v>33</v>
      </c>
      <c r="I2386" s="7" t="n">
        <f aca="false">IF(AND(LEFT(A2386,1)&lt;&gt;"C",D2386&gt;0,F2386&gt;0),1,0)</f>
        <v>1</v>
      </c>
      <c r="J2386" s="7" t="n">
        <f aca="false">IF(I2386=1,D2386*F2386,0)</f>
        <v>8</v>
      </c>
      <c r="K2386" s="7" t="n">
        <f aca="false">YEAR(E2386)*100+MONTH(E2386)</f>
        <v>201110</v>
      </c>
      <c r="L2386" s="7" t="n">
        <f aca="false">IF(AND(A2386&lt;&gt;A2385,LEFT(A2386,1)&lt;&gt;"C"),1,0)</f>
        <v>0</v>
      </c>
    </row>
    <row r="2387" customFormat="false" ht="15" hidden="false" customHeight="false" outlineLevel="0" collapsed="false">
      <c r="A2387" s="0" t="s">
        <v>1860</v>
      </c>
      <c r="B2387" s="0" t="s">
        <v>91</v>
      </c>
      <c r="C2387" s="0" t="s">
        <v>92</v>
      </c>
      <c r="D2387" s="0" t="n">
        <v>4</v>
      </c>
      <c r="E2387" s="6" t="n">
        <v>40822.6604166667</v>
      </c>
      <c r="F2387" s="0" t="n">
        <v>4.15</v>
      </c>
      <c r="G2387" s="0" t="n">
        <v>12627</v>
      </c>
      <c r="H2387" s="0" t="s">
        <v>33</v>
      </c>
      <c r="I2387" s="7" t="n">
        <f aca="false">IF(AND(LEFT(A2387,1)&lt;&gt;"C",D2387&gt;0,F2387&gt;0),1,0)</f>
        <v>1</v>
      </c>
      <c r="J2387" s="7" t="n">
        <f aca="false">IF(I2387=1,D2387*F2387,0)</f>
        <v>16.6</v>
      </c>
      <c r="K2387" s="7" t="n">
        <f aca="false">YEAR(E2387)*100+MONTH(E2387)</f>
        <v>201110</v>
      </c>
      <c r="L2387" s="7" t="n">
        <f aca="false">IF(AND(A2387&lt;&gt;A2386,LEFT(A2387,1)&lt;&gt;"C"),1,0)</f>
        <v>0</v>
      </c>
    </row>
    <row r="2388" customFormat="false" ht="15" hidden="false" customHeight="false" outlineLevel="0" collapsed="false">
      <c r="A2388" s="0" t="s">
        <v>1860</v>
      </c>
      <c r="B2388" s="0" t="s">
        <v>1885</v>
      </c>
      <c r="C2388" s="0" t="s">
        <v>1886</v>
      </c>
      <c r="D2388" s="0" t="n">
        <v>24</v>
      </c>
      <c r="E2388" s="6" t="n">
        <v>40822.6604166667</v>
      </c>
      <c r="F2388" s="0" t="n">
        <v>0.39</v>
      </c>
      <c r="G2388" s="0" t="n">
        <v>12627</v>
      </c>
      <c r="H2388" s="0" t="s">
        <v>33</v>
      </c>
      <c r="I2388" s="7" t="n">
        <f aca="false">IF(AND(LEFT(A2388,1)&lt;&gt;"C",D2388&gt;0,F2388&gt;0),1,0)</f>
        <v>1</v>
      </c>
      <c r="J2388" s="7" t="n">
        <f aca="false">IF(I2388=1,D2388*F2388,0)</f>
        <v>9.36</v>
      </c>
      <c r="K2388" s="7" t="n">
        <f aca="false">YEAR(E2388)*100+MONTH(E2388)</f>
        <v>201110</v>
      </c>
      <c r="L2388" s="7" t="n">
        <f aca="false">IF(AND(A2388&lt;&gt;A2387,LEFT(A2388,1)&lt;&gt;"C"),1,0)</f>
        <v>0</v>
      </c>
    </row>
    <row r="2389" customFormat="false" ht="15" hidden="false" customHeight="false" outlineLevel="0" collapsed="false">
      <c r="A2389" s="0" t="s">
        <v>1860</v>
      </c>
      <c r="B2389" s="0" t="s">
        <v>1006</v>
      </c>
      <c r="C2389" s="0" t="s">
        <v>1007</v>
      </c>
      <c r="D2389" s="0" t="n">
        <v>25</v>
      </c>
      <c r="E2389" s="6" t="n">
        <v>40822.6604166667</v>
      </c>
      <c r="F2389" s="0" t="n">
        <v>0.42</v>
      </c>
      <c r="G2389" s="0" t="n">
        <v>12627</v>
      </c>
      <c r="H2389" s="0" t="s">
        <v>33</v>
      </c>
      <c r="I2389" s="7" t="n">
        <f aca="false">IF(AND(LEFT(A2389,1)&lt;&gt;"C",D2389&gt;0,F2389&gt;0),1,0)</f>
        <v>1</v>
      </c>
      <c r="J2389" s="7" t="n">
        <f aca="false">IF(I2389=1,D2389*F2389,0)</f>
        <v>10.5</v>
      </c>
      <c r="K2389" s="7" t="n">
        <f aca="false">YEAR(E2389)*100+MONTH(E2389)</f>
        <v>201110</v>
      </c>
      <c r="L2389" s="7" t="n">
        <f aca="false">IF(AND(A2389&lt;&gt;A2388,LEFT(A2389,1)&lt;&gt;"C"),1,0)</f>
        <v>0</v>
      </c>
    </row>
    <row r="2390" customFormat="false" ht="15" hidden="false" customHeight="false" outlineLevel="0" collapsed="false">
      <c r="A2390" s="0" t="s">
        <v>1860</v>
      </c>
      <c r="B2390" s="0" t="s">
        <v>625</v>
      </c>
      <c r="C2390" s="0" t="s">
        <v>626</v>
      </c>
      <c r="D2390" s="0" t="n">
        <v>10</v>
      </c>
      <c r="E2390" s="6" t="n">
        <v>40822.6604166667</v>
      </c>
      <c r="F2390" s="0" t="n">
        <v>2.08</v>
      </c>
      <c r="G2390" s="0" t="n">
        <v>12627</v>
      </c>
      <c r="H2390" s="0" t="s">
        <v>33</v>
      </c>
      <c r="I2390" s="7" t="n">
        <f aca="false">IF(AND(LEFT(A2390,1)&lt;&gt;"C",D2390&gt;0,F2390&gt;0),1,0)</f>
        <v>1</v>
      </c>
      <c r="J2390" s="7" t="n">
        <f aca="false">IF(I2390=1,D2390*F2390,0)</f>
        <v>20.8</v>
      </c>
      <c r="K2390" s="7" t="n">
        <f aca="false">YEAR(E2390)*100+MONTH(E2390)</f>
        <v>201110</v>
      </c>
      <c r="L2390" s="7" t="n">
        <f aca="false">IF(AND(A2390&lt;&gt;A2389,LEFT(A2390,1)&lt;&gt;"C"),1,0)</f>
        <v>0</v>
      </c>
    </row>
    <row r="2391" customFormat="false" ht="15" hidden="false" customHeight="false" outlineLevel="0" collapsed="false">
      <c r="A2391" s="0" t="s">
        <v>1860</v>
      </c>
      <c r="B2391" s="0" t="s">
        <v>78</v>
      </c>
      <c r="C2391" s="0" t="s">
        <v>79</v>
      </c>
      <c r="D2391" s="0" t="n">
        <v>10</v>
      </c>
      <c r="E2391" s="6" t="n">
        <v>40822.6604166667</v>
      </c>
      <c r="F2391" s="0" t="n">
        <v>1.65</v>
      </c>
      <c r="G2391" s="0" t="n">
        <v>12627</v>
      </c>
      <c r="H2391" s="0" t="s">
        <v>33</v>
      </c>
      <c r="I2391" s="7" t="n">
        <f aca="false">IF(AND(LEFT(A2391,1)&lt;&gt;"C",D2391&gt;0,F2391&gt;0),1,0)</f>
        <v>1</v>
      </c>
      <c r="J2391" s="7" t="n">
        <f aca="false">IF(I2391=1,D2391*F2391,0)</f>
        <v>16.5</v>
      </c>
      <c r="K2391" s="7" t="n">
        <f aca="false">YEAR(E2391)*100+MONTH(E2391)</f>
        <v>201110</v>
      </c>
      <c r="L2391" s="7" t="n">
        <f aca="false">IF(AND(A2391&lt;&gt;A2390,LEFT(A2391,1)&lt;&gt;"C"),1,0)</f>
        <v>0</v>
      </c>
    </row>
    <row r="2392" customFormat="false" ht="15" hidden="false" customHeight="false" outlineLevel="0" collapsed="false">
      <c r="A2392" s="0" t="s">
        <v>1860</v>
      </c>
      <c r="B2392" s="0" t="s">
        <v>84</v>
      </c>
      <c r="C2392" s="0" t="s">
        <v>85</v>
      </c>
      <c r="D2392" s="0" t="n">
        <v>6</v>
      </c>
      <c r="E2392" s="6" t="n">
        <v>40822.6604166667</v>
      </c>
      <c r="F2392" s="0" t="n">
        <v>18</v>
      </c>
      <c r="G2392" s="0" t="n">
        <v>12627</v>
      </c>
      <c r="H2392" s="0" t="s">
        <v>33</v>
      </c>
      <c r="I2392" s="7" t="n">
        <f aca="false">IF(AND(LEFT(A2392,1)&lt;&gt;"C",D2392&gt;0,F2392&gt;0),1,0)</f>
        <v>1</v>
      </c>
      <c r="J2392" s="7" t="n">
        <f aca="false">IF(I2392=1,D2392*F2392,0)</f>
        <v>108</v>
      </c>
      <c r="K2392" s="7" t="n">
        <f aca="false">YEAR(E2392)*100+MONTH(E2392)</f>
        <v>201110</v>
      </c>
      <c r="L2392" s="7" t="n">
        <f aca="false">IF(AND(A2392&lt;&gt;A2391,LEFT(A2392,1)&lt;&gt;"C"),1,0)</f>
        <v>0</v>
      </c>
    </row>
    <row r="2393" customFormat="false" ht="15" hidden="false" customHeight="false" outlineLevel="0" collapsed="false">
      <c r="A2393" s="0" t="s">
        <v>1887</v>
      </c>
      <c r="B2393" s="0" t="s">
        <v>1888</v>
      </c>
      <c r="C2393" s="0" t="s">
        <v>1889</v>
      </c>
      <c r="D2393" s="0" t="n">
        <v>6</v>
      </c>
      <c r="E2393" s="6" t="n">
        <v>40822.6951388889</v>
      </c>
      <c r="F2393" s="0" t="n">
        <v>4.95</v>
      </c>
      <c r="G2393" s="0" t="n">
        <v>12569</v>
      </c>
      <c r="H2393" s="0" t="s">
        <v>33</v>
      </c>
      <c r="I2393" s="7" t="n">
        <f aca="false">IF(AND(LEFT(A2393,1)&lt;&gt;"C",D2393&gt;0,F2393&gt;0),1,0)</f>
        <v>1</v>
      </c>
      <c r="J2393" s="7" t="n">
        <f aca="false">IF(I2393=1,D2393*F2393,0)</f>
        <v>29.7</v>
      </c>
      <c r="K2393" s="7" t="n">
        <f aca="false">YEAR(E2393)*100+MONTH(E2393)</f>
        <v>201110</v>
      </c>
      <c r="L2393" s="7" t="n">
        <f aca="false">IF(AND(A2393&lt;&gt;A2392,LEFT(A2393,1)&lt;&gt;"C"),1,0)</f>
        <v>1</v>
      </c>
    </row>
    <row r="2394" customFormat="false" ht="15" hidden="false" customHeight="false" outlineLevel="0" collapsed="false">
      <c r="A2394" s="0" t="s">
        <v>1887</v>
      </c>
      <c r="B2394" s="0" t="s">
        <v>1097</v>
      </c>
      <c r="C2394" s="0" t="s">
        <v>1098</v>
      </c>
      <c r="D2394" s="0" t="n">
        <v>6</v>
      </c>
      <c r="E2394" s="6" t="n">
        <v>40822.6951388889</v>
      </c>
      <c r="F2394" s="0" t="n">
        <v>4.95</v>
      </c>
      <c r="G2394" s="0" t="n">
        <v>12569</v>
      </c>
      <c r="H2394" s="0" t="s">
        <v>33</v>
      </c>
      <c r="I2394" s="7" t="n">
        <f aca="false">IF(AND(LEFT(A2394,1)&lt;&gt;"C",D2394&gt;0,F2394&gt;0),1,0)</f>
        <v>1</v>
      </c>
      <c r="J2394" s="7" t="n">
        <f aca="false">IF(I2394=1,D2394*F2394,0)</f>
        <v>29.7</v>
      </c>
      <c r="K2394" s="7" t="n">
        <f aca="false">YEAR(E2394)*100+MONTH(E2394)</f>
        <v>201110</v>
      </c>
      <c r="L2394" s="7" t="n">
        <f aca="false">IF(AND(A2394&lt;&gt;A2393,LEFT(A2394,1)&lt;&gt;"C"),1,0)</f>
        <v>0</v>
      </c>
    </row>
    <row r="2395" customFormat="false" ht="15" hidden="false" customHeight="false" outlineLevel="0" collapsed="false">
      <c r="A2395" s="0" t="s">
        <v>1887</v>
      </c>
      <c r="B2395" s="0" t="s">
        <v>84</v>
      </c>
      <c r="C2395" s="0" t="s">
        <v>85</v>
      </c>
      <c r="D2395" s="0" t="n">
        <v>1</v>
      </c>
      <c r="E2395" s="6" t="n">
        <v>40822.6951388889</v>
      </c>
      <c r="F2395" s="0" t="n">
        <v>18</v>
      </c>
      <c r="G2395" s="0" t="n">
        <v>12569</v>
      </c>
      <c r="H2395" s="0" t="s">
        <v>33</v>
      </c>
      <c r="I2395" s="7" t="n">
        <f aca="false">IF(AND(LEFT(A2395,1)&lt;&gt;"C",D2395&gt;0,F2395&gt;0),1,0)</f>
        <v>1</v>
      </c>
      <c r="J2395" s="7" t="n">
        <f aca="false">IF(I2395=1,D2395*F2395,0)</f>
        <v>18</v>
      </c>
      <c r="K2395" s="7" t="n">
        <f aca="false">YEAR(E2395)*100+MONTH(E2395)</f>
        <v>201110</v>
      </c>
      <c r="L2395" s="7" t="n">
        <f aca="false">IF(AND(A2395&lt;&gt;A2394,LEFT(A2395,1)&lt;&gt;"C"),1,0)</f>
        <v>0</v>
      </c>
    </row>
    <row r="2396" customFormat="false" ht="15" hidden="false" customHeight="false" outlineLevel="0" collapsed="false">
      <c r="A2396" s="0" t="s">
        <v>1890</v>
      </c>
      <c r="B2396" s="0" t="s">
        <v>1151</v>
      </c>
      <c r="C2396" s="0" t="s">
        <v>1152</v>
      </c>
      <c r="D2396" s="0" t="n">
        <v>1</v>
      </c>
      <c r="E2396" s="6" t="n">
        <v>40822.7277777778</v>
      </c>
      <c r="F2396" s="0" t="n">
        <v>12.5</v>
      </c>
      <c r="G2396" s="0" t="n">
        <v>12523</v>
      </c>
      <c r="H2396" s="0" t="s">
        <v>43</v>
      </c>
      <c r="I2396" s="7" t="n">
        <f aca="false">IF(AND(LEFT(A2396,1)&lt;&gt;"C",D2396&gt;0,F2396&gt;0),1,0)</f>
        <v>1</v>
      </c>
      <c r="J2396" s="7" t="n">
        <f aca="false">IF(I2396=1,D2396*F2396,0)</f>
        <v>12.5</v>
      </c>
      <c r="K2396" s="7" t="n">
        <f aca="false">YEAR(E2396)*100+MONTH(E2396)</f>
        <v>201110</v>
      </c>
      <c r="L2396" s="7" t="n">
        <f aca="false">IF(AND(A2396&lt;&gt;A2395,LEFT(A2396,1)&lt;&gt;"C"),1,0)</f>
        <v>1</v>
      </c>
    </row>
    <row r="2397" customFormat="false" ht="15" hidden="false" customHeight="false" outlineLevel="0" collapsed="false">
      <c r="A2397" s="0" t="s">
        <v>1890</v>
      </c>
      <c r="B2397" s="0" t="s">
        <v>808</v>
      </c>
      <c r="C2397" s="0" t="s">
        <v>809</v>
      </c>
      <c r="D2397" s="0" t="n">
        <v>4</v>
      </c>
      <c r="E2397" s="6" t="n">
        <v>40822.7277777778</v>
      </c>
      <c r="F2397" s="0" t="n">
        <v>3.75</v>
      </c>
      <c r="G2397" s="0" t="n">
        <v>12523</v>
      </c>
      <c r="H2397" s="0" t="s">
        <v>43</v>
      </c>
      <c r="I2397" s="7" t="n">
        <f aca="false">IF(AND(LEFT(A2397,1)&lt;&gt;"C",D2397&gt;0,F2397&gt;0),1,0)</f>
        <v>1</v>
      </c>
      <c r="J2397" s="7" t="n">
        <f aca="false">IF(I2397=1,D2397*F2397,0)</f>
        <v>15</v>
      </c>
      <c r="K2397" s="7" t="n">
        <f aca="false">YEAR(E2397)*100+MONTH(E2397)</f>
        <v>201110</v>
      </c>
      <c r="L2397" s="7" t="n">
        <f aca="false">IF(AND(A2397&lt;&gt;A2396,LEFT(A2397,1)&lt;&gt;"C"),1,0)</f>
        <v>0</v>
      </c>
    </row>
    <row r="2398" customFormat="false" ht="15" hidden="false" customHeight="false" outlineLevel="0" collapsed="false">
      <c r="A2398" s="0" t="s">
        <v>1890</v>
      </c>
      <c r="B2398" s="0" t="s">
        <v>814</v>
      </c>
      <c r="C2398" s="0" t="s">
        <v>815</v>
      </c>
      <c r="D2398" s="0" t="n">
        <v>8</v>
      </c>
      <c r="E2398" s="6" t="n">
        <v>40822.7277777778</v>
      </c>
      <c r="F2398" s="0" t="n">
        <v>1.45</v>
      </c>
      <c r="G2398" s="0" t="n">
        <v>12523</v>
      </c>
      <c r="H2398" s="0" t="s">
        <v>43</v>
      </c>
      <c r="I2398" s="7" t="n">
        <f aca="false">IF(AND(LEFT(A2398,1)&lt;&gt;"C",D2398&gt;0,F2398&gt;0),1,0)</f>
        <v>1</v>
      </c>
      <c r="J2398" s="7" t="n">
        <f aca="false">IF(I2398=1,D2398*F2398,0)</f>
        <v>11.6</v>
      </c>
      <c r="K2398" s="7" t="n">
        <f aca="false">YEAR(E2398)*100+MONTH(E2398)</f>
        <v>201110</v>
      </c>
      <c r="L2398" s="7" t="n">
        <f aca="false">IF(AND(A2398&lt;&gt;A2397,LEFT(A2398,1)&lt;&gt;"C"),1,0)</f>
        <v>0</v>
      </c>
    </row>
    <row r="2399" customFormat="false" ht="15" hidden="false" customHeight="false" outlineLevel="0" collapsed="false">
      <c r="A2399" s="0" t="s">
        <v>1890</v>
      </c>
      <c r="B2399" s="0" t="s">
        <v>810</v>
      </c>
      <c r="C2399" s="0" t="s">
        <v>1891</v>
      </c>
      <c r="D2399" s="0" t="n">
        <v>4</v>
      </c>
      <c r="E2399" s="6" t="n">
        <v>40822.7277777778</v>
      </c>
      <c r="F2399" s="0" t="n">
        <v>3.75</v>
      </c>
      <c r="G2399" s="0" t="n">
        <v>12523</v>
      </c>
      <c r="H2399" s="0" t="s">
        <v>43</v>
      </c>
      <c r="I2399" s="7" t="n">
        <f aca="false">IF(AND(LEFT(A2399,1)&lt;&gt;"C",D2399&gt;0,F2399&gt;0),1,0)</f>
        <v>1</v>
      </c>
      <c r="J2399" s="7" t="n">
        <f aca="false">IF(I2399=1,D2399*F2399,0)</f>
        <v>15</v>
      </c>
      <c r="K2399" s="7" t="n">
        <f aca="false">YEAR(E2399)*100+MONTH(E2399)</f>
        <v>201110</v>
      </c>
      <c r="L2399" s="7" t="n">
        <f aca="false">IF(AND(A2399&lt;&gt;A2398,LEFT(A2399,1)&lt;&gt;"C"),1,0)</f>
        <v>0</v>
      </c>
    </row>
    <row r="2400" customFormat="false" ht="15" hidden="false" customHeight="false" outlineLevel="0" collapsed="false">
      <c r="A2400" s="0" t="s">
        <v>1890</v>
      </c>
      <c r="B2400" s="0" t="s">
        <v>1153</v>
      </c>
      <c r="C2400" s="0" t="s">
        <v>1154</v>
      </c>
      <c r="D2400" s="0" t="n">
        <v>2</v>
      </c>
      <c r="E2400" s="6" t="n">
        <v>40822.7277777778</v>
      </c>
      <c r="F2400" s="0" t="n">
        <v>9.95</v>
      </c>
      <c r="G2400" s="0" t="n">
        <v>12523</v>
      </c>
      <c r="H2400" s="0" t="s">
        <v>43</v>
      </c>
      <c r="I2400" s="7" t="n">
        <f aca="false">IF(AND(LEFT(A2400,1)&lt;&gt;"C",D2400&gt;0,F2400&gt;0),1,0)</f>
        <v>1</v>
      </c>
      <c r="J2400" s="7" t="n">
        <f aca="false">IF(I2400=1,D2400*F2400,0)</f>
        <v>19.9</v>
      </c>
      <c r="K2400" s="7" t="n">
        <f aca="false">YEAR(E2400)*100+MONTH(E2400)</f>
        <v>201110</v>
      </c>
      <c r="L2400" s="7" t="n">
        <f aca="false">IF(AND(A2400&lt;&gt;A2399,LEFT(A2400,1)&lt;&gt;"C"),1,0)</f>
        <v>0</v>
      </c>
    </row>
    <row r="2401" customFormat="false" ht="15" hidden="false" customHeight="false" outlineLevel="0" collapsed="false">
      <c r="A2401" s="0" t="s">
        <v>1890</v>
      </c>
      <c r="B2401" s="0" t="s">
        <v>1892</v>
      </c>
      <c r="C2401" s="0" t="s">
        <v>1893</v>
      </c>
      <c r="D2401" s="0" t="n">
        <v>4</v>
      </c>
      <c r="E2401" s="6" t="n">
        <v>40822.7277777778</v>
      </c>
      <c r="F2401" s="0" t="n">
        <v>8.25</v>
      </c>
      <c r="G2401" s="0" t="n">
        <v>12523</v>
      </c>
      <c r="H2401" s="0" t="s">
        <v>43</v>
      </c>
      <c r="I2401" s="7" t="n">
        <f aca="false">IF(AND(LEFT(A2401,1)&lt;&gt;"C",D2401&gt;0,F2401&gt;0),1,0)</f>
        <v>1</v>
      </c>
      <c r="J2401" s="7" t="n">
        <f aca="false">IF(I2401=1,D2401*F2401,0)</f>
        <v>33</v>
      </c>
      <c r="K2401" s="7" t="n">
        <f aca="false">YEAR(E2401)*100+MONTH(E2401)</f>
        <v>201110</v>
      </c>
      <c r="L2401" s="7" t="n">
        <f aca="false">IF(AND(A2401&lt;&gt;A2400,LEFT(A2401,1)&lt;&gt;"C"),1,0)</f>
        <v>0</v>
      </c>
    </row>
    <row r="2402" customFormat="false" ht="15" hidden="false" customHeight="false" outlineLevel="0" collapsed="false">
      <c r="A2402" s="0" t="s">
        <v>1890</v>
      </c>
      <c r="B2402" s="0" t="s">
        <v>1894</v>
      </c>
      <c r="C2402" s="0" t="s">
        <v>1895</v>
      </c>
      <c r="D2402" s="0" t="n">
        <v>4</v>
      </c>
      <c r="E2402" s="6" t="n">
        <v>40822.7277777778</v>
      </c>
      <c r="F2402" s="0" t="n">
        <v>8.25</v>
      </c>
      <c r="G2402" s="0" t="n">
        <v>12523</v>
      </c>
      <c r="H2402" s="0" t="s">
        <v>43</v>
      </c>
      <c r="I2402" s="7" t="n">
        <f aca="false">IF(AND(LEFT(A2402,1)&lt;&gt;"C",D2402&gt;0,F2402&gt;0),1,0)</f>
        <v>1</v>
      </c>
      <c r="J2402" s="7" t="n">
        <f aca="false">IF(I2402=1,D2402*F2402,0)</f>
        <v>33</v>
      </c>
      <c r="K2402" s="7" t="n">
        <f aca="false">YEAR(E2402)*100+MONTH(E2402)</f>
        <v>201110</v>
      </c>
      <c r="L2402" s="7" t="n">
        <f aca="false">IF(AND(A2402&lt;&gt;A2401,LEFT(A2402,1)&lt;&gt;"C"),1,0)</f>
        <v>0</v>
      </c>
    </row>
    <row r="2403" customFormat="false" ht="15" hidden="false" customHeight="false" outlineLevel="0" collapsed="false">
      <c r="A2403" s="0" t="s">
        <v>1890</v>
      </c>
      <c r="B2403" s="0" t="s">
        <v>293</v>
      </c>
      <c r="C2403" s="0" t="s">
        <v>294</v>
      </c>
      <c r="D2403" s="0" t="n">
        <v>2</v>
      </c>
      <c r="E2403" s="6" t="n">
        <v>40822.7277777778</v>
      </c>
      <c r="F2403" s="0" t="n">
        <v>8.5</v>
      </c>
      <c r="G2403" s="0" t="n">
        <v>12523</v>
      </c>
      <c r="H2403" s="0" t="s">
        <v>43</v>
      </c>
      <c r="I2403" s="7" t="n">
        <f aca="false">IF(AND(LEFT(A2403,1)&lt;&gt;"C",D2403&gt;0,F2403&gt;0),1,0)</f>
        <v>1</v>
      </c>
      <c r="J2403" s="7" t="n">
        <f aca="false">IF(I2403=1,D2403*F2403,0)</f>
        <v>17</v>
      </c>
      <c r="K2403" s="7" t="n">
        <f aca="false">YEAR(E2403)*100+MONTH(E2403)</f>
        <v>201110</v>
      </c>
      <c r="L2403" s="7" t="n">
        <f aca="false">IF(AND(A2403&lt;&gt;A2402,LEFT(A2403,1)&lt;&gt;"C"),1,0)</f>
        <v>0</v>
      </c>
    </row>
    <row r="2404" customFormat="false" ht="15" hidden="false" customHeight="false" outlineLevel="0" collapsed="false">
      <c r="A2404" s="0" t="s">
        <v>1896</v>
      </c>
      <c r="B2404" s="0" t="s">
        <v>610</v>
      </c>
      <c r="C2404" s="0" t="s">
        <v>611</v>
      </c>
      <c r="D2404" s="0" t="n">
        <v>-3</v>
      </c>
      <c r="E2404" s="6" t="n">
        <v>40822.8076388889</v>
      </c>
      <c r="F2404" s="0" t="n">
        <v>2.95</v>
      </c>
      <c r="G2404" s="0" t="n">
        <v>12703</v>
      </c>
      <c r="H2404" s="0" t="s">
        <v>33</v>
      </c>
      <c r="I2404" s="7" t="n">
        <f aca="false">IF(AND(LEFT(A2404,1)&lt;&gt;"C",D2404&gt;0,F2404&gt;0),1,0)</f>
        <v>0</v>
      </c>
      <c r="J2404" s="7" t="n">
        <f aca="false">IF(I2404=1,D2404*F2404,0)</f>
        <v>0</v>
      </c>
      <c r="K2404" s="7" t="n">
        <f aca="false">YEAR(E2404)*100+MONTH(E2404)</f>
        <v>201110</v>
      </c>
      <c r="L2404" s="7" t="n">
        <f aca="false">IF(AND(A2404&lt;&gt;A2403,LEFT(A2404,1)&lt;&gt;"C"),1,0)</f>
        <v>0</v>
      </c>
    </row>
    <row r="2405" customFormat="false" ht="15" hidden="false" customHeight="false" outlineLevel="0" collapsed="false">
      <c r="A2405" s="0" t="s">
        <v>1897</v>
      </c>
      <c r="B2405" s="0" t="s">
        <v>1397</v>
      </c>
      <c r="C2405" s="0" t="s">
        <v>1398</v>
      </c>
      <c r="D2405" s="0" t="n">
        <v>-2</v>
      </c>
      <c r="E2405" s="6" t="n">
        <v>40822.8166666667</v>
      </c>
      <c r="F2405" s="0" t="n">
        <v>2.95</v>
      </c>
      <c r="G2405" s="0" t="n">
        <v>12679</v>
      </c>
      <c r="H2405" s="0" t="s">
        <v>43</v>
      </c>
      <c r="I2405" s="7" t="n">
        <f aca="false">IF(AND(LEFT(A2405,1)&lt;&gt;"C",D2405&gt;0,F2405&gt;0),1,0)</f>
        <v>0</v>
      </c>
      <c r="J2405" s="7" t="n">
        <f aca="false">IF(I2405=1,D2405*F2405,0)</f>
        <v>0</v>
      </c>
      <c r="K2405" s="7" t="n">
        <f aca="false">YEAR(E2405)*100+MONTH(E2405)</f>
        <v>201110</v>
      </c>
      <c r="L2405" s="7" t="n">
        <f aca="false">IF(AND(A2405&lt;&gt;A2404,LEFT(A2405,1)&lt;&gt;"C"),1,0)</f>
        <v>0</v>
      </c>
    </row>
    <row r="2406" customFormat="false" ht="15" hidden="false" customHeight="false" outlineLevel="0" collapsed="false">
      <c r="A2406" s="0" t="s">
        <v>1897</v>
      </c>
      <c r="B2406" s="0" t="s">
        <v>1399</v>
      </c>
      <c r="C2406" s="0" t="s">
        <v>1400</v>
      </c>
      <c r="D2406" s="0" t="n">
        <v>-2</v>
      </c>
      <c r="E2406" s="6" t="n">
        <v>40822.8166666667</v>
      </c>
      <c r="F2406" s="0" t="n">
        <v>2.95</v>
      </c>
      <c r="G2406" s="0" t="n">
        <v>12679</v>
      </c>
      <c r="H2406" s="0" t="s">
        <v>43</v>
      </c>
      <c r="I2406" s="7" t="n">
        <f aca="false">IF(AND(LEFT(A2406,1)&lt;&gt;"C",D2406&gt;0,F2406&gt;0),1,0)</f>
        <v>0</v>
      </c>
      <c r="J2406" s="7" t="n">
        <f aca="false">IF(I2406=1,D2406*F2406,0)</f>
        <v>0</v>
      </c>
      <c r="K2406" s="7" t="n">
        <f aca="false">YEAR(E2406)*100+MONTH(E2406)</f>
        <v>201110</v>
      </c>
      <c r="L2406" s="7" t="n">
        <f aca="false">IF(AND(A2406&lt;&gt;A2405,LEFT(A2406,1)&lt;&gt;"C"),1,0)</f>
        <v>0</v>
      </c>
    </row>
    <row r="2407" customFormat="false" ht="15" hidden="false" customHeight="false" outlineLevel="0" collapsed="false">
      <c r="A2407" s="0" t="s">
        <v>1898</v>
      </c>
      <c r="B2407" s="0" t="s">
        <v>1434</v>
      </c>
      <c r="C2407" s="0" t="s">
        <v>1435</v>
      </c>
      <c r="D2407" s="0" t="n">
        <v>48</v>
      </c>
      <c r="E2407" s="6" t="n">
        <v>40823.3861111111</v>
      </c>
      <c r="F2407" s="0" t="n">
        <v>2.55</v>
      </c>
      <c r="G2407" s="0" t="n">
        <v>12477</v>
      </c>
      <c r="H2407" s="0" t="s">
        <v>33</v>
      </c>
      <c r="I2407" s="7" t="n">
        <f aca="false">IF(AND(LEFT(A2407,1)&lt;&gt;"C",D2407&gt;0,F2407&gt;0),1,0)</f>
        <v>1</v>
      </c>
      <c r="J2407" s="7" t="n">
        <f aca="false">IF(I2407=1,D2407*F2407,0)</f>
        <v>122.4</v>
      </c>
      <c r="K2407" s="7" t="n">
        <f aca="false">YEAR(E2407)*100+MONTH(E2407)</f>
        <v>201110</v>
      </c>
      <c r="L2407" s="7" t="n">
        <f aca="false">IF(AND(A2407&lt;&gt;A2406,LEFT(A2407,1)&lt;&gt;"C"),1,0)</f>
        <v>1</v>
      </c>
    </row>
    <row r="2408" customFormat="false" ht="15" hidden="false" customHeight="false" outlineLevel="0" collapsed="false">
      <c r="A2408" s="0" t="s">
        <v>1898</v>
      </c>
      <c r="B2408" s="0" t="s">
        <v>1432</v>
      </c>
      <c r="C2408" s="0" t="s">
        <v>1433</v>
      </c>
      <c r="D2408" s="0" t="n">
        <v>12</v>
      </c>
      <c r="E2408" s="6" t="n">
        <v>40823.3861111111</v>
      </c>
      <c r="F2408" s="0" t="n">
        <v>2.95</v>
      </c>
      <c r="G2408" s="0" t="n">
        <v>12477</v>
      </c>
      <c r="H2408" s="0" t="s">
        <v>33</v>
      </c>
      <c r="I2408" s="7" t="n">
        <f aca="false">IF(AND(LEFT(A2408,1)&lt;&gt;"C",D2408&gt;0,F2408&gt;0),1,0)</f>
        <v>1</v>
      </c>
      <c r="J2408" s="7" t="n">
        <f aca="false">IF(I2408=1,D2408*F2408,0)</f>
        <v>35.4</v>
      </c>
      <c r="K2408" s="7" t="n">
        <f aca="false">YEAR(E2408)*100+MONTH(E2408)</f>
        <v>201110</v>
      </c>
      <c r="L2408" s="7" t="n">
        <f aca="false">IF(AND(A2408&lt;&gt;A2407,LEFT(A2408,1)&lt;&gt;"C"),1,0)</f>
        <v>0</v>
      </c>
    </row>
    <row r="2409" customFormat="false" ht="15" hidden="false" customHeight="false" outlineLevel="0" collapsed="false">
      <c r="A2409" s="0" t="s">
        <v>1898</v>
      </c>
      <c r="B2409" s="0" t="s">
        <v>1033</v>
      </c>
      <c r="C2409" s="0" t="s">
        <v>1034</v>
      </c>
      <c r="D2409" s="0" t="n">
        <v>8</v>
      </c>
      <c r="E2409" s="6" t="n">
        <v>40823.3861111111</v>
      </c>
      <c r="F2409" s="0" t="n">
        <v>4.25</v>
      </c>
      <c r="G2409" s="0" t="n">
        <v>12477</v>
      </c>
      <c r="H2409" s="0" t="s">
        <v>33</v>
      </c>
      <c r="I2409" s="7" t="n">
        <f aca="false">IF(AND(LEFT(A2409,1)&lt;&gt;"C",D2409&gt;0,F2409&gt;0),1,0)</f>
        <v>1</v>
      </c>
      <c r="J2409" s="7" t="n">
        <f aca="false">IF(I2409=1,D2409*F2409,0)</f>
        <v>34</v>
      </c>
      <c r="K2409" s="7" t="n">
        <f aca="false">YEAR(E2409)*100+MONTH(E2409)</f>
        <v>201110</v>
      </c>
      <c r="L2409" s="7" t="n">
        <f aca="false">IF(AND(A2409&lt;&gt;A2408,LEFT(A2409,1)&lt;&gt;"C"),1,0)</f>
        <v>0</v>
      </c>
    </row>
    <row r="2410" customFormat="false" ht="15" hidden="false" customHeight="false" outlineLevel="0" collapsed="false">
      <c r="A2410" s="0" t="s">
        <v>1898</v>
      </c>
      <c r="B2410" s="0" t="s">
        <v>1899</v>
      </c>
      <c r="C2410" s="0" t="s">
        <v>1900</v>
      </c>
      <c r="D2410" s="0" t="n">
        <v>8</v>
      </c>
      <c r="E2410" s="6" t="n">
        <v>40823.3861111111</v>
      </c>
      <c r="F2410" s="0" t="n">
        <v>4.95</v>
      </c>
      <c r="G2410" s="0" t="n">
        <v>12477</v>
      </c>
      <c r="H2410" s="0" t="s">
        <v>33</v>
      </c>
      <c r="I2410" s="7" t="n">
        <f aca="false">IF(AND(LEFT(A2410,1)&lt;&gt;"C",D2410&gt;0,F2410&gt;0),1,0)</f>
        <v>1</v>
      </c>
      <c r="J2410" s="7" t="n">
        <f aca="false">IF(I2410=1,D2410*F2410,0)</f>
        <v>39.6</v>
      </c>
      <c r="K2410" s="7" t="n">
        <f aca="false">YEAR(E2410)*100+MONTH(E2410)</f>
        <v>201110</v>
      </c>
      <c r="L2410" s="7" t="n">
        <f aca="false">IF(AND(A2410&lt;&gt;A2409,LEFT(A2410,1)&lt;&gt;"C"),1,0)</f>
        <v>0</v>
      </c>
    </row>
    <row r="2411" customFormat="false" ht="15" hidden="false" customHeight="false" outlineLevel="0" collapsed="false">
      <c r="A2411" s="0" t="s">
        <v>1898</v>
      </c>
      <c r="B2411" s="0" t="s">
        <v>1901</v>
      </c>
      <c r="C2411" s="0" t="s">
        <v>1902</v>
      </c>
      <c r="D2411" s="0" t="n">
        <v>4</v>
      </c>
      <c r="E2411" s="6" t="n">
        <v>40823.3861111111</v>
      </c>
      <c r="F2411" s="0" t="n">
        <v>6.25</v>
      </c>
      <c r="G2411" s="0" t="n">
        <v>12477</v>
      </c>
      <c r="H2411" s="0" t="s">
        <v>33</v>
      </c>
      <c r="I2411" s="7" t="n">
        <f aca="false">IF(AND(LEFT(A2411,1)&lt;&gt;"C",D2411&gt;0,F2411&gt;0),1,0)</f>
        <v>1</v>
      </c>
      <c r="J2411" s="7" t="n">
        <f aca="false">IF(I2411=1,D2411*F2411,0)</f>
        <v>25</v>
      </c>
      <c r="K2411" s="7" t="n">
        <f aca="false">YEAR(E2411)*100+MONTH(E2411)</f>
        <v>201110</v>
      </c>
      <c r="L2411" s="7" t="n">
        <f aca="false">IF(AND(A2411&lt;&gt;A2410,LEFT(A2411,1)&lt;&gt;"C"),1,0)</f>
        <v>0</v>
      </c>
    </row>
    <row r="2412" customFormat="false" ht="15" hidden="false" customHeight="false" outlineLevel="0" collapsed="false">
      <c r="A2412" s="0" t="s">
        <v>1898</v>
      </c>
      <c r="B2412" s="0" t="s">
        <v>1903</v>
      </c>
      <c r="C2412" s="0" t="s">
        <v>1904</v>
      </c>
      <c r="D2412" s="0" t="n">
        <v>6</v>
      </c>
      <c r="E2412" s="6" t="n">
        <v>40823.3861111111</v>
      </c>
      <c r="F2412" s="0" t="n">
        <v>8.95</v>
      </c>
      <c r="G2412" s="0" t="n">
        <v>12477</v>
      </c>
      <c r="H2412" s="0" t="s">
        <v>33</v>
      </c>
      <c r="I2412" s="7" t="n">
        <f aca="false">IF(AND(LEFT(A2412,1)&lt;&gt;"C",D2412&gt;0,F2412&gt;0),1,0)</f>
        <v>1</v>
      </c>
      <c r="J2412" s="7" t="n">
        <f aca="false">IF(I2412=1,D2412*F2412,0)</f>
        <v>53.7</v>
      </c>
      <c r="K2412" s="7" t="n">
        <f aca="false">YEAR(E2412)*100+MONTH(E2412)</f>
        <v>201110</v>
      </c>
      <c r="L2412" s="7" t="n">
        <f aca="false">IF(AND(A2412&lt;&gt;A2411,LEFT(A2412,1)&lt;&gt;"C"),1,0)</f>
        <v>0</v>
      </c>
    </row>
    <row r="2413" customFormat="false" ht="15" hidden="false" customHeight="false" outlineLevel="0" collapsed="false">
      <c r="A2413" s="0" t="s">
        <v>1898</v>
      </c>
      <c r="B2413" s="0" t="s">
        <v>758</v>
      </c>
      <c r="C2413" s="0" t="s">
        <v>759</v>
      </c>
      <c r="D2413" s="0" t="n">
        <v>10</v>
      </c>
      <c r="E2413" s="6" t="n">
        <v>40823.3861111111</v>
      </c>
      <c r="F2413" s="0" t="n">
        <v>7.08</v>
      </c>
      <c r="G2413" s="0" t="n">
        <v>12477</v>
      </c>
      <c r="H2413" s="0" t="s">
        <v>33</v>
      </c>
      <c r="I2413" s="7" t="n">
        <f aca="false">IF(AND(LEFT(A2413,1)&lt;&gt;"C",D2413&gt;0,F2413&gt;0),1,0)</f>
        <v>1</v>
      </c>
      <c r="J2413" s="7" t="n">
        <f aca="false">IF(I2413=1,D2413*F2413,0)</f>
        <v>70.8</v>
      </c>
      <c r="K2413" s="7" t="n">
        <f aca="false">YEAR(E2413)*100+MONTH(E2413)</f>
        <v>201110</v>
      </c>
      <c r="L2413" s="7" t="n">
        <f aca="false">IF(AND(A2413&lt;&gt;A2412,LEFT(A2413,1)&lt;&gt;"C"),1,0)</f>
        <v>0</v>
      </c>
    </row>
    <row r="2414" customFormat="false" ht="15" hidden="false" customHeight="false" outlineLevel="0" collapsed="false">
      <c r="A2414" s="0" t="s">
        <v>1898</v>
      </c>
      <c r="B2414" s="0" t="s">
        <v>1905</v>
      </c>
      <c r="C2414" s="0" t="s">
        <v>1906</v>
      </c>
      <c r="D2414" s="0" t="n">
        <v>10</v>
      </c>
      <c r="E2414" s="6" t="n">
        <v>40823.3861111111</v>
      </c>
      <c r="F2414" s="0" t="n">
        <v>7.08</v>
      </c>
      <c r="G2414" s="0" t="n">
        <v>12477</v>
      </c>
      <c r="H2414" s="0" t="s">
        <v>33</v>
      </c>
      <c r="I2414" s="7" t="n">
        <f aca="false">IF(AND(LEFT(A2414,1)&lt;&gt;"C",D2414&gt;0,F2414&gt;0),1,0)</f>
        <v>1</v>
      </c>
      <c r="J2414" s="7" t="n">
        <f aca="false">IF(I2414=1,D2414*F2414,0)</f>
        <v>70.8</v>
      </c>
      <c r="K2414" s="7" t="n">
        <f aca="false">YEAR(E2414)*100+MONTH(E2414)</f>
        <v>201110</v>
      </c>
      <c r="L2414" s="7" t="n">
        <f aca="false">IF(AND(A2414&lt;&gt;A2413,LEFT(A2414,1)&lt;&gt;"C"),1,0)</f>
        <v>0</v>
      </c>
    </row>
    <row r="2415" customFormat="false" ht="15" hidden="false" customHeight="false" outlineLevel="0" collapsed="false">
      <c r="A2415" s="0" t="s">
        <v>1898</v>
      </c>
      <c r="B2415" s="0" t="s">
        <v>1907</v>
      </c>
      <c r="C2415" s="0" t="s">
        <v>1908</v>
      </c>
      <c r="D2415" s="0" t="n">
        <v>10</v>
      </c>
      <c r="E2415" s="6" t="n">
        <v>40823.3861111111</v>
      </c>
      <c r="F2415" s="0" t="n">
        <v>7.08</v>
      </c>
      <c r="G2415" s="0" t="n">
        <v>12477</v>
      </c>
      <c r="H2415" s="0" t="s">
        <v>33</v>
      </c>
      <c r="I2415" s="7" t="n">
        <f aca="false">IF(AND(LEFT(A2415,1)&lt;&gt;"C",D2415&gt;0,F2415&gt;0),1,0)</f>
        <v>1</v>
      </c>
      <c r="J2415" s="7" t="n">
        <f aca="false">IF(I2415=1,D2415*F2415,0)</f>
        <v>70.8</v>
      </c>
      <c r="K2415" s="7" t="n">
        <f aca="false">YEAR(E2415)*100+MONTH(E2415)</f>
        <v>201110</v>
      </c>
      <c r="L2415" s="7" t="n">
        <f aca="false">IF(AND(A2415&lt;&gt;A2414,LEFT(A2415,1)&lt;&gt;"C"),1,0)</f>
        <v>0</v>
      </c>
    </row>
    <row r="2416" customFormat="false" ht="15" hidden="false" customHeight="false" outlineLevel="0" collapsed="false">
      <c r="A2416" s="0" t="s">
        <v>1898</v>
      </c>
      <c r="B2416" s="0" t="s">
        <v>1393</v>
      </c>
      <c r="C2416" s="0" t="s">
        <v>1394</v>
      </c>
      <c r="D2416" s="0" t="n">
        <v>4</v>
      </c>
      <c r="E2416" s="6" t="n">
        <v>40823.3861111111</v>
      </c>
      <c r="F2416" s="0" t="n">
        <v>3.75</v>
      </c>
      <c r="G2416" s="0" t="n">
        <v>12477</v>
      </c>
      <c r="H2416" s="0" t="s">
        <v>33</v>
      </c>
      <c r="I2416" s="7" t="n">
        <f aca="false">IF(AND(LEFT(A2416,1)&lt;&gt;"C",D2416&gt;0,F2416&gt;0),1,0)</f>
        <v>1</v>
      </c>
      <c r="J2416" s="7" t="n">
        <f aca="false">IF(I2416=1,D2416*F2416,0)</f>
        <v>15</v>
      </c>
      <c r="K2416" s="7" t="n">
        <f aca="false">YEAR(E2416)*100+MONTH(E2416)</f>
        <v>201110</v>
      </c>
      <c r="L2416" s="7" t="n">
        <f aca="false">IF(AND(A2416&lt;&gt;A2415,LEFT(A2416,1)&lt;&gt;"C"),1,0)</f>
        <v>0</v>
      </c>
    </row>
    <row r="2417" customFormat="false" ht="15" hidden="false" customHeight="false" outlineLevel="0" collapsed="false">
      <c r="A2417" s="0" t="s">
        <v>1898</v>
      </c>
      <c r="B2417" s="0" t="s">
        <v>1909</v>
      </c>
      <c r="C2417" s="0" t="s">
        <v>1910</v>
      </c>
      <c r="D2417" s="0" t="n">
        <v>6</v>
      </c>
      <c r="E2417" s="6" t="n">
        <v>40823.3861111111</v>
      </c>
      <c r="F2417" s="0" t="n">
        <v>2.95</v>
      </c>
      <c r="G2417" s="0" t="n">
        <v>12477</v>
      </c>
      <c r="H2417" s="0" t="s">
        <v>33</v>
      </c>
      <c r="I2417" s="7" t="n">
        <f aca="false">IF(AND(LEFT(A2417,1)&lt;&gt;"C",D2417&gt;0,F2417&gt;0),1,0)</f>
        <v>1</v>
      </c>
      <c r="J2417" s="7" t="n">
        <f aca="false">IF(I2417=1,D2417*F2417,0)</f>
        <v>17.7</v>
      </c>
      <c r="K2417" s="7" t="n">
        <f aca="false">YEAR(E2417)*100+MONTH(E2417)</f>
        <v>201110</v>
      </c>
      <c r="L2417" s="7" t="n">
        <f aca="false">IF(AND(A2417&lt;&gt;A2416,LEFT(A2417,1)&lt;&gt;"C"),1,0)</f>
        <v>0</v>
      </c>
    </row>
    <row r="2418" customFormat="false" ht="15" hidden="false" customHeight="false" outlineLevel="0" collapsed="false">
      <c r="A2418" s="0" t="s">
        <v>1898</v>
      </c>
      <c r="B2418" s="0" t="s">
        <v>1911</v>
      </c>
      <c r="C2418" s="0" t="s">
        <v>1912</v>
      </c>
      <c r="D2418" s="0" t="n">
        <v>36</v>
      </c>
      <c r="E2418" s="6" t="n">
        <v>40823.3861111111</v>
      </c>
      <c r="F2418" s="0" t="n">
        <v>0.55</v>
      </c>
      <c r="G2418" s="0" t="n">
        <v>12477</v>
      </c>
      <c r="H2418" s="0" t="s">
        <v>33</v>
      </c>
      <c r="I2418" s="7" t="n">
        <f aca="false">IF(AND(LEFT(A2418,1)&lt;&gt;"C",D2418&gt;0,F2418&gt;0),1,0)</f>
        <v>1</v>
      </c>
      <c r="J2418" s="7" t="n">
        <f aca="false">IF(I2418=1,D2418*F2418,0)</f>
        <v>19.8</v>
      </c>
      <c r="K2418" s="7" t="n">
        <f aca="false">YEAR(E2418)*100+MONTH(E2418)</f>
        <v>201110</v>
      </c>
      <c r="L2418" s="7" t="n">
        <f aca="false">IF(AND(A2418&lt;&gt;A2417,LEFT(A2418,1)&lt;&gt;"C"),1,0)</f>
        <v>0</v>
      </c>
    </row>
    <row r="2419" customFormat="false" ht="15" hidden="false" customHeight="false" outlineLevel="0" collapsed="false">
      <c r="A2419" s="0" t="s">
        <v>1898</v>
      </c>
      <c r="B2419" s="0" t="s">
        <v>1913</v>
      </c>
      <c r="C2419" s="0" t="s">
        <v>1914</v>
      </c>
      <c r="D2419" s="0" t="n">
        <v>36</v>
      </c>
      <c r="E2419" s="6" t="n">
        <v>40823.3861111111</v>
      </c>
      <c r="F2419" s="0" t="n">
        <v>0.55</v>
      </c>
      <c r="G2419" s="0" t="n">
        <v>12477</v>
      </c>
      <c r="H2419" s="0" t="s">
        <v>33</v>
      </c>
      <c r="I2419" s="7" t="n">
        <f aca="false">IF(AND(LEFT(A2419,1)&lt;&gt;"C",D2419&gt;0,F2419&gt;0),1,0)</f>
        <v>1</v>
      </c>
      <c r="J2419" s="7" t="n">
        <f aca="false">IF(I2419=1,D2419*F2419,0)</f>
        <v>19.8</v>
      </c>
      <c r="K2419" s="7" t="n">
        <f aca="false">YEAR(E2419)*100+MONTH(E2419)</f>
        <v>201110</v>
      </c>
      <c r="L2419" s="7" t="n">
        <f aca="false">IF(AND(A2419&lt;&gt;A2418,LEFT(A2419,1)&lt;&gt;"C"),1,0)</f>
        <v>0</v>
      </c>
    </row>
    <row r="2420" customFormat="false" ht="15" hidden="false" customHeight="false" outlineLevel="0" collapsed="false">
      <c r="A2420" s="0" t="s">
        <v>1898</v>
      </c>
      <c r="B2420" s="0" t="s">
        <v>1915</v>
      </c>
      <c r="C2420" s="0" t="s">
        <v>1916</v>
      </c>
      <c r="D2420" s="0" t="n">
        <v>18</v>
      </c>
      <c r="E2420" s="6" t="n">
        <v>40823.3861111111</v>
      </c>
      <c r="F2420" s="0" t="n">
        <v>2.95</v>
      </c>
      <c r="G2420" s="0" t="n">
        <v>12477</v>
      </c>
      <c r="H2420" s="0" t="s">
        <v>33</v>
      </c>
      <c r="I2420" s="7" t="n">
        <f aca="false">IF(AND(LEFT(A2420,1)&lt;&gt;"C",D2420&gt;0,F2420&gt;0),1,0)</f>
        <v>1</v>
      </c>
      <c r="J2420" s="7" t="n">
        <f aca="false">IF(I2420=1,D2420*F2420,0)</f>
        <v>53.1</v>
      </c>
      <c r="K2420" s="7" t="n">
        <f aca="false">YEAR(E2420)*100+MONTH(E2420)</f>
        <v>201110</v>
      </c>
      <c r="L2420" s="7" t="n">
        <f aca="false">IF(AND(A2420&lt;&gt;A2419,LEFT(A2420,1)&lt;&gt;"C"),1,0)</f>
        <v>0</v>
      </c>
    </row>
    <row r="2421" customFormat="false" ht="15" hidden="false" customHeight="false" outlineLevel="0" collapsed="false">
      <c r="A2421" s="0" t="s">
        <v>1898</v>
      </c>
      <c r="B2421" s="0" t="s">
        <v>1128</v>
      </c>
      <c r="C2421" s="0" t="s">
        <v>1129</v>
      </c>
      <c r="D2421" s="0" t="n">
        <v>12</v>
      </c>
      <c r="E2421" s="6" t="n">
        <v>40823.3861111111</v>
      </c>
      <c r="F2421" s="0" t="n">
        <v>7.65</v>
      </c>
      <c r="G2421" s="0" t="n">
        <v>12477</v>
      </c>
      <c r="H2421" s="0" t="s">
        <v>33</v>
      </c>
      <c r="I2421" s="7" t="n">
        <f aca="false">IF(AND(LEFT(A2421,1)&lt;&gt;"C",D2421&gt;0,F2421&gt;0),1,0)</f>
        <v>1</v>
      </c>
      <c r="J2421" s="7" t="n">
        <f aca="false">IF(I2421=1,D2421*F2421,0)</f>
        <v>91.8</v>
      </c>
      <c r="K2421" s="7" t="n">
        <f aca="false">YEAR(E2421)*100+MONTH(E2421)</f>
        <v>201110</v>
      </c>
      <c r="L2421" s="7" t="n">
        <f aca="false">IF(AND(A2421&lt;&gt;A2420,LEFT(A2421,1)&lt;&gt;"C"),1,0)</f>
        <v>0</v>
      </c>
    </row>
    <row r="2422" customFormat="false" ht="15" hidden="false" customHeight="false" outlineLevel="0" collapsed="false">
      <c r="A2422" s="0" t="s">
        <v>1898</v>
      </c>
      <c r="B2422" s="0" t="s">
        <v>1126</v>
      </c>
      <c r="C2422" s="0" t="s">
        <v>1127</v>
      </c>
      <c r="D2422" s="0" t="n">
        <v>4</v>
      </c>
      <c r="E2422" s="6" t="n">
        <v>40823.3861111111</v>
      </c>
      <c r="F2422" s="0" t="n">
        <v>8.5</v>
      </c>
      <c r="G2422" s="0" t="n">
        <v>12477</v>
      </c>
      <c r="H2422" s="0" t="s">
        <v>33</v>
      </c>
      <c r="I2422" s="7" t="n">
        <f aca="false">IF(AND(LEFT(A2422,1)&lt;&gt;"C",D2422&gt;0,F2422&gt;0),1,0)</f>
        <v>1</v>
      </c>
      <c r="J2422" s="7" t="n">
        <f aca="false">IF(I2422=1,D2422*F2422,0)</f>
        <v>34</v>
      </c>
      <c r="K2422" s="7" t="n">
        <f aca="false">YEAR(E2422)*100+MONTH(E2422)</f>
        <v>201110</v>
      </c>
      <c r="L2422" s="7" t="n">
        <f aca="false">IF(AND(A2422&lt;&gt;A2421,LEFT(A2422,1)&lt;&gt;"C"),1,0)</f>
        <v>0</v>
      </c>
    </row>
    <row r="2423" customFormat="false" ht="15" hidden="false" customHeight="false" outlineLevel="0" collapsed="false">
      <c r="A2423" s="0" t="s">
        <v>1898</v>
      </c>
      <c r="B2423" s="0" t="s">
        <v>1917</v>
      </c>
      <c r="C2423" s="0" t="s">
        <v>1918</v>
      </c>
      <c r="D2423" s="0" t="n">
        <v>6</v>
      </c>
      <c r="E2423" s="6" t="n">
        <v>40823.3861111111</v>
      </c>
      <c r="F2423" s="0" t="n">
        <v>2.89</v>
      </c>
      <c r="G2423" s="0" t="n">
        <v>12477</v>
      </c>
      <c r="H2423" s="0" t="s">
        <v>33</v>
      </c>
      <c r="I2423" s="7" t="n">
        <f aca="false">IF(AND(LEFT(A2423,1)&lt;&gt;"C",D2423&gt;0,F2423&gt;0),1,0)</f>
        <v>1</v>
      </c>
      <c r="J2423" s="7" t="n">
        <f aca="false">IF(I2423=1,D2423*F2423,0)</f>
        <v>17.34</v>
      </c>
      <c r="K2423" s="7" t="n">
        <f aca="false">YEAR(E2423)*100+MONTH(E2423)</f>
        <v>201110</v>
      </c>
      <c r="L2423" s="7" t="n">
        <f aca="false">IF(AND(A2423&lt;&gt;A2422,LEFT(A2423,1)&lt;&gt;"C"),1,0)</f>
        <v>0</v>
      </c>
    </row>
    <row r="2424" customFormat="false" ht="15" hidden="false" customHeight="false" outlineLevel="0" collapsed="false">
      <c r="A2424" s="0" t="s">
        <v>1898</v>
      </c>
      <c r="B2424" s="0" t="s">
        <v>353</v>
      </c>
      <c r="C2424" s="0" t="s">
        <v>354</v>
      </c>
      <c r="D2424" s="0" t="n">
        <v>12</v>
      </c>
      <c r="E2424" s="6" t="n">
        <v>40823.3861111111</v>
      </c>
      <c r="F2424" s="0" t="n">
        <v>4.25</v>
      </c>
      <c r="G2424" s="0" t="n">
        <v>12477</v>
      </c>
      <c r="H2424" s="0" t="s">
        <v>33</v>
      </c>
      <c r="I2424" s="7" t="n">
        <f aca="false">IF(AND(LEFT(A2424,1)&lt;&gt;"C",D2424&gt;0,F2424&gt;0),1,0)</f>
        <v>1</v>
      </c>
      <c r="J2424" s="7" t="n">
        <f aca="false">IF(I2424=1,D2424*F2424,0)</f>
        <v>51</v>
      </c>
      <c r="K2424" s="7" t="n">
        <f aca="false">YEAR(E2424)*100+MONTH(E2424)</f>
        <v>201110</v>
      </c>
      <c r="L2424" s="7" t="n">
        <f aca="false">IF(AND(A2424&lt;&gt;A2423,LEFT(A2424,1)&lt;&gt;"C"),1,0)</f>
        <v>0</v>
      </c>
    </row>
    <row r="2425" customFormat="false" ht="15" hidden="false" customHeight="false" outlineLevel="0" collapsed="false">
      <c r="A2425" s="0" t="s">
        <v>1898</v>
      </c>
      <c r="B2425" s="0" t="s">
        <v>800</v>
      </c>
      <c r="C2425" s="0" t="s">
        <v>801</v>
      </c>
      <c r="D2425" s="0" t="n">
        <v>18</v>
      </c>
      <c r="E2425" s="6" t="n">
        <v>40823.3861111111</v>
      </c>
      <c r="F2425" s="0" t="n">
        <v>2.55</v>
      </c>
      <c r="G2425" s="0" t="n">
        <v>12477</v>
      </c>
      <c r="H2425" s="0" t="s">
        <v>33</v>
      </c>
      <c r="I2425" s="7" t="n">
        <f aca="false">IF(AND(LEFT(A2425,1)&lt;&gt;"C",D2425&gt;0,F2425&gt;0),1,0)</f>
        <v>1</v>
      </c>
      <c r="J2425" s="7" t="n">
        <f aca="false">IF(I2425=1,D2425*F2425,0)</f>
        <v>45.9</v>
      </c>
      <c r="K2425" s="7" t="n">
        <f aca="false">YEAR(E2425)*100+MONTH(E2425)</f>
        <v>201110</v>
      </c>
      <c r="L2425" s="7" t="n">
        <f aca="false">IF(AND(A2425&lt;&gt;A2424,LEFT(A2425,1)&lt;&gt;"C"),1,0)</f>
        <v>0</v>
      </c>
    </row>
    <row r="2426" customFormat="false" ht="15" hidden="false" customHeight="false" outlineLevel="0" collapsed="false">
      <c r="A2426" s="0" t="s">
        <v>1898</v>
      </c>
      <c r="B2426" s="0" t="s">
        <v>1459</v>
      </c>
      <c r="C2426" s="0" t="s">
        <v>1460</v>
      </c>
      <c r="D2426" s="0" t="n">
        <v>24</v>
      </c>
      <c r="E2426" s="6" t="n">
        <v>40823.3861111111</v>
      </c>
      <c r="F2426" s="0" t="n">
        <v>3.45</v>
      </c>
      <c r="G2426" s="0" t="n">
        <v>12477</v>
      </c>
      <c r="H2426" s="0" t="s">
        <v>33</v>
      </c>
      <c r="I2426" s="7" t="n">
        <f aca="false">IF(AND(LEFT(A2426,1)&lt;&gt;"C",D2426&gt;0,F2426&gt;0),1,0)</f>
        <v>1</v>
      </c>
      <c r="J2426" s="7" t="n">
        <f aca="false">IF(I2426=1,D2426*F2426,0)</f>
        <v>82.8</v>
      </c>
      <c r="K2426" s="7" t="n">
        <f aca="false">YEAR(E2426)*100+MONTH(E2426)</f>
        <v>201110</v>
      </c>
      <c r="L2426" s="7" t="n">
        <f aca="false">IF(AND(A2426&lt;&gt;A2425,LEFT(A2426,1)&lt;&gt;"C"),1,0)</f>
        <v>0</v>
      </c>
    </row>
    <row r="2427" customFormat="false" ht="15" hidden="false" customHeight="false" outlineLevel="0" collapsed="false">
      <c r="A2427" s="0" t="s">
        <v>1898</v>
      </c>
      <c r="B2427" s="0" t="s">
        <v>1104</v>
      </c>
      <c r="C2427" s="0" t="s">
        <v>1105</v>
      </c>
      <c r="D2427" s="0" t="n">
        <v>24</v>
      </c>
      <c r="E2427" s="6" t="n">
        <v>40823.3861111111</v>
      </c>
      <c r="F2427" s="0" t="n">
        <v>2.1</v>
      </c>
      <c r="G2427" s="0" t="n">
        <v>12477</v>
      </c>
      <c r="H2427" s="0" t="s">
        <v>33</v>
      </c>
      <c r="I2427" s="7" t="n">
        <f aca="false">IF(AND(LEFT(A2427,1)&lt;&gt;"C",D2427&gt;0,F2427&gt;0),1,0)</f>
        <v>1</v>
      </c>
      <c r="J2427" s="7" t="n">
        <f aca="false">IF(I2427=1,D2427*F2427,0)</f>
        <v>50.4</v>
      </c>
      <c r="K2427" s="7" t="n">
        <f aca="false">YEAR(E2427)*100+MONTH(E2427)</f>
        <v>201110</v>
      </c>
      <c r="L2427" s="7" t="n">
        <f aca="false">IF(AND(A2427&lt;&gt;A2426,LEFT(A2427,1)&lt;&gt;"C"),1,0)</f>
        <v>0</v>
      </c>
    </row>
    <row r="2428" customFormat="false" ht="15" hidden="false" customHeight="false" outlineLevel="0" collapsed="false">
      <c r="A2428" s="0" t="s">
        <v>1898</v>
      </c>
      <c r="B2428" s="0" t="s">
        <v>1102</v>
      </c>
      <c r="C2428" s="0" t="s">
        <v>1103</v>
      </c>
      <c r="D2428" s="0" t="n">
        <v>6</v>
      </c>
      <c r="E2428" s="6" t="n">
        <v>40823.3861111111</v>
      </c>
      <c r="F2428" s="0" t="n">
        <v>2.55</v>
      </c>
      <c r="G2428" s="0" t="n">
        <v>12477</v>
      </c>
      <c r="H2428" s="0" t="s">
        <v>33</v>
      </c>
      <c r="I2428" s="7" t="n">
        <f aca="false">IF(AND(LEFT(A2428,1)&lt;&gt;"C",D2428&gt;0,F2428&gt;0),1,0)</f>
        <v>1</v>
      </c>
      <c r="J2428" s="7" t="n">
        <f aca="false">IF(I2428=1,D2428*F2428,0)</f>
        <v>15.3</v>
      </c>
      <c r="K2428" s="7" t="n">
        <f aca="false">YEAR(E2428)*100+MONTH(E2428)</f>
        <v>201110</v>
      </c>
      <c r="L2428" s="7" t="n">
        <f aca="false">IF(AND(A2428&lt;&gt;A2427,LEFT(A2428,1)&lt;&gt;"C"),1,0)</f>
        <v>0</v>
      </c>
    </row>
    <row r="2429" customFormat="false" ht="15" hidden="false" customHeight="false" outlineLevel="0" collapsed="false">
      <c r="A2429" s="0" t="s">
        <v>1898</v>
      </c>
      <c r="B2429" s="0" t="s">
        <v>1919</v>
      </c>
      <c r="C2429" s="0" t="s">
        <v>1920</v>
      </c>
      <c r="D2429" s="0" t="n">
        <v>12</v>
      </c>
      <c r="E2429" s="6" t="n">
        <v>40823.3861111111</v>
      </c>
      <c r="F2429" s="0" t="n">
        <v>1.25</v>
      </c>
      <c r="G2429" s="0" t="n">
        <v>12477</v>
      </c>
      <c r="H2429" s="0" t="s">
        <v>33</v>
      </c>
      <c r="I2429" s="7" t="n">
        <f aca="false">IF(AND(LEFT(A2429,1)&lt;&gt;"C",D2429&gt;0,F2429&gt;0),1,0)</f>
        <v>1</v>
      </c>
      <c r="J2429" s="7" t="n">
        <f aca="false">IF(I2429=1,D2429*F2429,0)</f>
        <v>15</v>
      </c>
      <c r="K2429" s="7" t="n">
        <f aca="false">YEAR(E2429)*100+MONTH(E2429)</f>
        <v>201110</v>
      </c>
      <c r="L2429" s="7" t="n">
        <f aca="false">IF(AND(A2429&lt;&gt;A2428,LEFT(A2429,1)&lt;&gt;"C"),1,0)</f>
        <v>0</v>
      </c>
    </row>
    <row r="2430" customFormat="false" ht="15" hidden="false" customHeight="false" outlineLevel="0" collapsed="false">
      <c r="A2430" s="0" t="s">
        <v>1898</v>
      </c>
      <c r="B2430" s="0" t="s">
        <v>48</v>
      </c>
      <c r="C2430" s="0" t="s">
        <v>49</v>
      </c>
      <c r="D2430" s="0" t="n">
        <v>12</v>
      </c>
      <c r="E2430" s="6" t="n">
        <v>40823.3861111111</v>
      </c>
      <c r="F2430" s="0" t="n">
        <v>0.65</v>
      </c>
      <c r="G2430" s="0" t="n">
        <v>12477</v>
      </c>
      <c r="H2430" s="0" t="s">
        <v>33</v>
      </c>
      <c r="I2430" s="7" t="n">
        <f aca="false">IF(AND(LEFT(A2430,1)&lt;&gt;"C",D2430&gt;0,F2430&gt;0),1,0)</f>
        <v>1</v>
      </c>
      <c r="J2430" s="7" t="n">
        <f aca="false">IF(I2430=1,D2430*F2430,0)</f>
        <v>7.8</v>
      </c>
      <c r="K2430" s="7" t="n">
        <f aca="false">YEAR(E2430)*100+MONTH(E2430)</f>
        <v>201110</v>
      </c>
      <c r="L2430" s="7" t="n">
        <f aca="false">IF(AND(A2430&lt;&gt;A2429,LEFT(A2430,1)&lt;&gt;"C"),1,0)</f>
        <v>0</v>
      </c>
    </row>
    <row r="2431" customFormat="false" ht="15" hidden="false" customHeight="false" outlineLevel="0" collapsed="false">
      <c r="A2431" s="0" t="s">
        <v>1921</v>
      </c>
      <c r="B2431" s="0" t="s">
        <v>60</v>
      </c>
      <c r="C2431" s="0" t="s">
        <v>61</v>
      </c>
      <c r="D2431" s="0" t="n">
        <v>12</v>
      </c>
      <c r="E2431" s="6" t="n">
        <v>40823.3930555556</v>
      </c>
      <c r="F2431" s="0" t="n">
        <v>2.55</v>
      </c>
      <c r="G2431" s="0" t="n">
        <v>12519</v>
      </c>
      <c r="H2431" s="0" t="s">
        <v>33</v>
      </c>
      <c r="I2431" s="7" t="n">
        <f aca="false">IF(AND(LEFT(A2431,1)&lt;&gt;"C",D2431&gt;0,F2431&gt;0),1,0)</f>
        <v>1</v>
      </c>
      <c r="J2431" s="7" t="n">
        <f aca="false">IF(I2431=1,D2431*F2431,0)</f>
        <v>30.6</v>
      </c>
      <c r="K2431" s="7" t="n">
        <f aca="false">YEAR(E2431)*100+MONTH(E2431)</f>
        <v>201110</v>
      </c>
      <c r="L2431" s="7" t="n">
        <f aca="false">IF(AND(A2431&lt;&gt;A2430,LEFT(A2431,1)&lt;&gt;"C"),1,0)</f>
        <v>1</v>
      </c>
    </row>
    <row r="2432" customFormat="false" ht="15" hidden="false" customHeight="false" outlineLevel="0" collapsed="false">
      <c r="A2432" s="0" t="s">
        <v>1921</v>
      </c>
      <c r="B2432" s="0" t="s">
        <v>224</v>
      </c>
      <c r="C2432" s="0" t="s">
        <v>225</v>
      </c>
      <c r="D2432" s="0" t="n">
        <v>8</v>
      </c>
      <c r="E2432" s="6" t="n">
        <v>40823.3930555556</v>
      </c>
      <c r="F2432" s="0" t="n">
        <v>1.65</v>
      </c>
      <c r="G2432" s="0" t="n">
        <v>12519</v>
      </c>
      <c r="H2432" s="0" t="s">
        <v>33</v>
      </c>
      <c r="I2432" s="7" t="n">
        <f aca="false">IF(AND(LEFT(A2432,1)&lt;&gt;"C",D2432&gt;0,F2432&gt;0),1,0)</f>
        <v>1</v>
      </c>
      <c r="J2432" s="7" t="n">
        <f aca="false">IF(I2432=1,D2432*F2432,0)</f>
        <v>13.2</v>
      </c>
      <c r="K2432" s="7" t="n">
        <f aca="false">YEAR(E2432)*100+MONTH(E2432)</f>
        <v>201110</v>
      </c>
      <c r="L2432" s="7" t="n">
        <f aca="false">IF(AND(A2432&lt;&gt;A2431,LEFT(A2432,1)&lt;&gt;"C"),1,0)</f>
        <v>0</v>
      </c>
    </row>
    <row r="2433" customFormat="false" ht="15" hidden="false" customHeight="false" outlineLevel="0" collapsed="false">
      <c r="A2433" s="0" t="s">
        <v>1921</v>
      </c>
      <c r="B2433" s="0" t="s">
        <v>1922</v>
      </c>
      <c r="C2433" s="0" t="s">
        <v>1923</v>
      </c>
      <c r="D2433" s="0" t="n">
        <v>6</v>
      </c>
      <c r="E2433" s="6" t="n">
        <v>40823.3930555556</v>
      </c>
      <c r="F2433" s="0" t="n">
        <v>2.55</v>
      </c>
      <c r="G2433" s="0" t="n">
        <v>12519</v>
      </c>
      <c r="H2433" s="0" t="s">
        <v>33</v>
      </c>
      <c r="I2433" s="7" t="n">
        <f aca="false">IF(AND(LEFT(A2433,1)&lt;&gt;"C",D2433&gt;0,F2433&gt;0),1,0)</f>
        <v>1</v>
      </c>
      <c r="J2433" s="7" t="n">
        <f aca="false">IF(I2433=1,D2433*F2433,0)</f>
        <v>15.3</v>
      </c>
      <c r="K2433" s="7" t="n">
        <f aca="false">YEAR(E2433)*100+MONTH(E2433)</f>
        <v>201110</v>
      </c>
      <c r="L2433" s="7" t="n">
        <f aca="false">IF(AND(A2433&lt;&gt;A2432,LEFT(A2433,1)&lt;&gt;"C"),1,0)</f>
        <v>0</v>
      </c>
    </row>
    <row r="2434" customFormat="false" ht="15" hidden="false" customHeight="false" outlineLevel="0" collapsed="false">
      <c r="A2434" s="0" t="s">
        <v>1921</v>
      </c>
      <c r="B2434" s="0" t="s">
        <v>164</v>
      </c>
      <c r="C2434" s="0" t="s">
        <v>165</v>
      </c>
      <c r="D2434" s="0" t="n">
        <v>8</v>
      </c>
      <c r="E2434" s="6" t="n">
        <v>40823.3930555556</v>
      </c>
      <c r="F2434" s="0" t="n">
        <v>1.25</v>
      </c>
      <c r="G2434" s="0" t="n">
        <v>12519</v>
      </c>
      <c r="H2434" s="0" t="s">
        <v>33</v>
      </c>
      <c r="I2434" s="7" t="n">
        <f aca="false">IF(AND(LEFT(A2434,1)&lt;&gt;"C",D2434&gt;0,F2434&gt;0),1,0)</f>
        <v>1</v>
      </c>
      <c r="J2434" s="7" t="n">
        <f aca="false">IF(I2434=1,D2434*F2434,0)</f>
        <v>10</v>
      </c>
      <c r="K2434" s="7" t="n">
        <f aca="false">YEAR(E2434)*100+MONTH(E2434)</f>
        <v>201110</v>
      </c>
      <c r="L2434" s="7" t="n">
        <f aca="false">IF(AND(A2434&lt;&gt;A2433,LEFT(A2434,1)&lt;&gt;"C"),1,0)</f>
        <v>0</v>
      </c>
    </row>
    <row r="2435" customFormat="false" ht="15" hidden="false" customHeight="false" outlineLevel="0" collapsed="false">
      <c r="A2435" s="0" t="s">
        <v>1921</v>
      </c>
      <c r="B2435" s="0" t="s">
        <v>217</v>
      </c>
      <c r="C2435" s="0" t="s">
        <v>218</v>
      </c>
      <c r="D2435" s="0" t="n">
        <v>24</v>
      </c>
      <c r="E2435" s="6" t="n">
        <v>40823.3930555556</v>
      </c>
      <c r="F2435" s="0" t="n">
        <v>0.55</v>
      </c>
      <c r="G2435" s="0" t="n">
        <v>12519</v>
      </c>
      <c r="H2435" s="0" t="s">
        <v>33</v>
      </c>
      <c r="I2435" s="7" t="n">
        <f aca="false">IF(AND(LEFT(A2435,1)&lt;&gt;"C",D2435&gt;0,F2435&gt;0),1,0)</f>
        <v>1</v>
      </c>
      <c r="J2435" s="7" t="n">
        <f aca="false">IF(I2435=1,D2435*F2435,0)</f>
        <v>13.2</v>
      </c>
      <c r="K2435" s="7" t="n">
        <f aca="false">YEAR(E2435)*100+MONTH(E2435)</f>
        <v>201110</v>
      </c>
      <c r="L2435" s="7" t="n">
        <f aca="false">IF(AND(A2435&lt;&gt;A2434,LEFT(A2435,1)&lt;&gt;"C"),1,0)</f>
        <v>0</v>
      </c>
    </row>
    <row r="2436" customFormat="false" ht="15" hidden="false" customHeight="false" outlineLevel="0" collapsed="false">
      <c r="A2436" s="0" t="s">
        <v>1921</v>
      </c>
      <c r="B2436" s="0" t="s">
        <v>64</v>
      </c>
      <c r="C2436" s="0" t="s">
        <v>65</v>
      </c>
      <c r="D2436" s="0" t="n">
        <v>12</v>
      </c>
      <c r="E2436" s="6" t="n">
        <v>40823.3930555556</v>
      </c>
      <c r="F2436" s="0" t="n">
        <v>1.65</v>
      </c>
      <c r="G2436" s="0" t="n">
        <v>12519</v>
      </c>
      <c r="H2436" s="0" t="s">
        <v>33</v>
      </c>
      <c r="I2436" s="7" t="n">
        <f aca="false">IF(AND(LEFT(A2436,1)&lt;&gt;"C",D2436&gt;0,F2436&gt;0),1,0)</f>
        <v>1</v>
      </c>
      <c r="J2436" s="7" t="n">
        <f aca="false">IF(I2436=1,D2436*F2436,0)</f>
        <v>19.8</v>
      </c>
      <c r="K2436" s="7" t="n">
        <f aca="false">YEAR(E2436)*100+MONTH(E2436)</f>
        <v>201110</v>
      </c>
      <c r="L2436" s="7" t="n">
        <f aca="false">IF(AND(A2436&lt;&gt;A2435,LEFT(A2436,1)&lt;&gt;"C"),1,0)</f>
        <v>0</v>
      </c>
    </row>
    <row r="2437" customFormat="false" ht="15" hidden="false" customHeight="false" outlineLevel="0" collapsed="false">
      <c r="A2437" s="0" t="s">
        <v>1921</v>
      </c>
      <c r="B2437" s="0" t="s">
        <v>1924</v>
      </c>
      <c r="C2437" s="0" t="s">
        <v>1925</v>
      </c>
      <c r="D2437" s="0" t="n">
        <v>6</v>
      </c>
      <c r="E2437" s="6" t="n">
        <v>40823.3930555556</v>
      </c>
      <c r="F2437" s="0" t="n">
        <v>2.95</v>
      </c>
      <c r="G2437" s="0" t="n">
        <v>12519</v>
      </c>
      <c r="H2437" s="0" t="s">
        <v>33</v>
      </c>
      <c r="I2437" s="7" t="n">
        <f aca="false">IF(AND(LEFT(A2437,1)&lt;&gt;"C",D2437&gt;0,F2437&gt;0),1,0)</f>
        <v>1</v>
      </c>
      <c r="J2437" s="7" t="n">
        <f aca="false">IF(I2437=1,D2437*F2437,0)</f>
        <v>17.7</v>
      </c>
      <c r="K2437" s="7" t="n">
        <f aca="false">YEAR(E2437)*100+MONTH(E2437)</f>
        <v>201110</v>
      </c>
      <c r="L2437" s="7" t="n">
        <f aca="false">IF(AND(A2437&lt;&gt;A2436,LEFT(A2437,1)&lt;&gt;"C"),1,0)</f>
        <v>0</v>
      </c>
    </row>
    <row r="2438" customFormat="false" ht="15" hidden="false" customHeight="false" outlineLevel="0" collapsed="false">
      <c r="A2438" s="0" t="s">
        <v>1921</v>
      </c>
      <c r="B2438" s="0" t="s">
        <v>1926</v>
      </c>
      <c r="C2438" s="0" t="s">
        <v>1927</v>
      </c>
      <c r="D2438" s="0" t="n">
        <v>12</v>
      </c>
      <c r="E2438" s="6" t="n">
        <v>40823.3930555556</v>
      </c>
      <c r="F2438" s="0" t="n">
        <v>1.45</v>
      </c>
      <c r="G2438" s="0" t="n">
        <v>12519</v>
      </c>
      <c r="H2438" s="0" t="s">
        <v>33</v>
      </c>
      <c r="I2438" s="7" t="n">
        <f aca="false">IF(AND(LEFT(A2438,1)&lt;&gt;"C",D2438&gt;0,F2438&gt;0),1,0)</f>
        <v>1</v>
      </c>
      <c r="J2438" s="7" t="n">
        <f aca="false">IF(I2438=1,D2438*F2438,0)</f>
        <v>17.4</v>
      </c>
      <c r="K2438" s="7" t="n">
        <f aca="false">YEAR(E2438)*100+MONTH(E2438)</f>
        <v>201110</v>
      </c>
      <c r="L2438" s="7" t="n">
        <f aca="false">IF(AND(A2438&lt;&gt;A2437,LEFT(A2438,1)&lt;&gt;"C"),1,0)</f>
        <v>0</v>
      </c>
    </row>
    <row r="2439" customFormat="false" ht="15" hidden="false" customHeight="false" outlineLevel="0" collapsed="false">
      <c r="A2439" s="0" t="s">
        <v>1921</v>
      </c>
      <c r="B2439" s="0" t="s">
        <v>123</v>
      </c>
      <c r="C2439" s="0" t="s">
        <v>124</v>
      </c>
      <c r="D2439" s="0" t="n">
        <v>6</v>
      </c>
      <c r="E2439" s="6" t="n">
        <v>40823.3930555556</v>
      </c>
      <c r="F2439" s="0" t="n">
        <v>2.95</v>
      </c>
      <c r="G2439" s="0" t="n">
        <v>12519</v>
      </c>
      <c r="H2439" s="0" t="s">
        <v>33</v>
      </c>
      <c r="I2439" s="7" t="n">
        <f aca="false">IF(AND(LEFT(A2439,1)&lt;&gt;"C",D2439&gt;0,F2439&gt;0),1,0)</f>
        <v>1</v>
      </c>
      <c r="J2439" s="7" t="n">
        <f aca="false">IF(I2439=1,D2439*F2439,0)</f>
        <v>17.7</v>
      </c>
      <c r="K2439" s="7" t="n">
        <f aca="false">YEAR(E2439)*100+MONTH(E2439)</f>
        <v>201110</v>
      </c>
      <c r="L2439" s="7" t="n">
        <f aca="false">IF(AND(A2439&lt;&gt;A2438,LEFT(A2439,1)&lt;&gt;"C"),1,0)</f>
        <v>0</v>
      </c>
    </row>
    <row r="2440" customFormat="false" ht="15" hidden="false" customHeight="false" outlineLevel="0" collapsed="false">
      <c r="A2440" s="0" t="s">
        <v>1921</v>
      </c>
      <c r="B2440" s="0" t="s">
        <v>1928</v>
      </c>
      <c r="C2440" s="0" t="s">
        <v>1929</v>
      </c>
      <c r="D2440" s="0" t="n">
        <v>24</v>
      </c>
      <c r="E2440" s="6" t="n">
        <v>40823.3930555556</v>
      </c>
      <c r="F2440" s="0" t="n">
        <v>0.65</v>
      </c>
      <c r="G2440" s="0" t="n">
        <v>12519</v>
      </c>
      <c r="H2440" s="0" t="s">
        <v>33</v>
      </c>
      <c r="I2440" s="7" t="n">
        <f aca="false">IF(AND(LEFT(A2440,1)&lt;&gt;"C",D2440&gt;0,F2440&gt;0),1,0)</f>
        <v>1</v>
      </c>
      <c r="J2440" s="7" t="n">
        <f aca="false">IF(I2440=1,D2440*F2440,0)</f>
        <v>15.6</v>
      </c>
      <c r="K2440" s="7" t="n">
        <f aca="false">YEAR(E2440)*100+MONTH(E2440)</f>
        <v>201110</v>
      </c>
      <c r="L2440" s="7" t="n">
        <f aca="false">IF(AND(A2440&lt;&gt;A2439,LEFT(A2440,1)&lt;&gt;"C"),1,0)</f>
        <v>0</v>
      </c>
    </row>
    <row r="2441" customFormat="false" ht="15" hidden="false" customHeight="false" outlineLevel="0" collapsed="false">
      <c r="A2441" s="0" t="s">
        <v>1921</v>
      </c>
      <c r="B2441" s="0" t="s">
        <v>1930</v>
      </c>
      <c r="C2441" s="0" t="s">
        <v>1931</v>
      </c>
      <c r="D2441" s="0" t="n">
        <v>6</v>
      </c>
      <c r="E2441" s="6" t="n">
        <v>40823.3930555556</v>
      </c>
      <c r="F2441" s="0" t="n">
        <v>2.89</v>
      </c>
      <c r="G2441" s="0" t="n">
        <v>12519</v>
      </c>
      <c r="H2441" s="0" t="s">
        <v>33</v>
      </c>
      <c r="I2441" s="7" t="n">
        <f aca="false">IF(AND(LEFT(A2441,1)&lt;&gt;"C",D2441&gt;0,F2441&gt;0),1,0)</f>
        <v>1</v>
      </c>
      <c r="J2441" s="7" t="n">
        <f aca="false">IF(I2441=1,D2441*F2441,0)</f>
        <v>17.34</v>
      </c>
      <c r="K2441" s="7" t="n">
        <f aca="false">YEAR(E2441)*100+MONTH(E2441)</f>
        <v>201110</v>
      </c>
      <c r="L2441" s="7" t="n">
        <f aca="false">IF(AND(A2441&lt;&gt;A2440,LEFT(A2441,1)&lt;&gt;"C"),1,0)</f>
        <v>0</v>
      </c>
    </row>
    <row r="2442" customFormat="false" ht="15" hidden="false" customHeight="false" outlineLevel="0" collapsed="false">
      <c r="A2442" s="0" t="s">
        <v>1921</v>
      </c>
      <c r="B2442" s="0" t="s">
        <v>853</v>
      </c>
      <c r="C2442" s="0" t="s">
        <v>854</v>
      </c>
      <c r="D2442" s="0" t="n">
        <v>12</v>
      </c>
      <c r="E2442" s="6" t="n">
        <v>40823.3930555556</v>
      </c>
      <c r="F2442" s="0" t="n">
        <v>1.65</v>
      </c>
      <c r="G2442" s="0" t="n">
        <v>12519</v>
      </c>
      <c r="H2442" s="0" t="s">
        <v>33</v>
      </c>
      <c r="I2442" s="7" t="n">
        <f aca="false">IF(AND(LEFT(A2442,1)&lt;&gt;"C",D2442&gt;0,F2442&gt;0),1,0)</f>
        <v>1</v>
      </c>
      <c r="J2442" s="7" t="n">
        <f aca="false">IF(I2442=1,D2442*F2442,0)</f>
        <v>19.8</v>
      </c>
      <c r="K2442" s="7" t="n">
        <f aca="false">YEAR(E2442)*100+MONTH(E2442)</f>
        <v>201110</v>
      </c>
      <c r="L2442" s="7" t="n">
        <f aca="false">IF(AND(A2442&lt;&gt;A2441,LEFT(A2442,1)&lt;&gt;"C"),1,0)</f>
        <v>0</v>
      </c>
    </row>
    <row r="2443" customFormat="false" ht="15" hidden="false" customHeight="false" outlineLevel="0" collapsed="false">
      <c r="A2443" s="0" t="s">
        <v>1921</v>
      </c>
      <c r="B2443" s="0" t="s">
        <v>144</v>
      </c>
      <c r="C2443" s="0" t="s">
        <v>145</v>
      </c>
      <c r="D2443" s="0" t="n">
        <v>12</v>
      </c>
      <c r="E2443" s="6" t="n">
        <v>40823.3930555556</v>
      </c>
      <c r="F2443" s="0" t="n">
        <v>1.25</v>
      </c>
      <c r="G2443" s="0" t="n">
        <v>12519</v>
      </c>
      <c r="H2443" s="0" t="s">
        <v>33</v>
      </c>
      <c r="I2443" s="7" t="n">
        <f aca="false">IF(AND(LEFT(A2443,1)&lt;&gt;"C",D2443&gt;0,F2443&gt;0),1,0)</f>
        <v>1</v>
      </c>
      <c r="J2443" s="7" t="n">
        <f aca="false">IF(I2443=1,D2443*F2443,0)</f>
        <v>15</v>
      </c>
      <c r="K2443" s="7" t="n">
        <f aca="false">YEAR(E2443)*100+MONTH(E2443)</f>
        <v>201110</v>
      </c>
      <c r="L2443" s="7" t="n">
        <f aca="false">IF(AND(A2443&lt;&gt;A2442,LEFT(A2443,1)&lt;&gt;"C"),1,0)</f>
        <v>0</v>
      </c>
    </row>
    <row r="2444" customFormat="false" ht="15" hidden="false" customHeight="false" outlineLevel="0" collapsed="false">
      <c r="A2444" s="0" t="s">
        <v>1921</v>
      </c>
      <c r="B2444" s="0" t="s">
        <v>671</v>
      </c>
      <c r="C2444" s="0" t="s">
        <v>672</v>
      </c>
      <c r="D2444" s="0" t="n">
        <v>12</v>
      </c>
      <c r="E2444" s="6" t="n">
        <v>40823.3930555556</v>
      </c>
      <c r="F2444" s="0" t="n">
        <v>0.85</v>
      </c>
      <c r="G2444" s="0" t="n">
        <v>12519</v>
      </c>
      <c r="H2444" s="0" t="s">
        <v>33</v>
      </c>
      <c r="I2444" s="7" t="n">
        <f aca="false">IF(AND(LEFT(A2444,1)&lt;&gt;"C",D2444&gt;0,F2444&gt;0),1,0)</f>
        <v>1</v>
      </c>
      <c r="J2444" s="7" t="n">
        <f aca="false">IF(I2444=1,D2444*F2444,0)</f>
        <v>10.2</v>
      </c>
      <c r="K2444" s="7" t="n">
        <f aca="false">YEAR(E2444)*100+MONTH(E2444)</f>
        <v>201110</v>
      </c>
      <c r="L2444" s="7" t="n">
        <f aca="false">IF(AND(A2444&lt;&gt;A2443,LEFT(A2444,1)&lt;&gt;"C"),1,0)</f>
        <v>0</v>
      </c>
    </row>
    <row r="2445" customFormat="false" ht="15" hidden="false" customHeight="false" outlineLevel="0" collapsed="false">
      <c r="A2445" s="0" t="s">
        <v>1921</v>
      </c>
      <c r="B2445" s="0" t="s">
        <v>84</v>
      </c>
      <c r="C2445" s="0" t="s">
        <v>85</v>
      </c>
      <c r="D2445" s="0" t="n">
        <v>3</v>
      </c>
      <c r="E2445" s="6" t="n">
        <v>40823.3930555556</v>
      </c>
      <c r="F2445" s="0" t="n">
        <v>18</v>
      </c>
      <c r="G2445" s="0" t="n">
        <v>12519</v>
      </c>
      <c r="H2445" s="0" t="s">
        <v>33</v>
      </c>
      <c r="I2445" s="7" t="n">
        <f aca="false">IF(AND(LEFT(A2445,1)&lt;&gt;"C",D2445&gt;0,F2445&gt;0),1,0)</f>
        <v>1</v>
      </c>
      <c r="J2445" s="7" t="n">
        <f aca="false">IF(I2445=1,D2445*F2445,0)</f>
        <v>54</v>
      </c>
      <c r="K2445" s="7" t="n">
        <f aca="false">YEAR(E2445)*100+MONTH(E2445)</f>
        <v>201110</v>
      </c>
      <c r="L2445" s="7" t="n">
        <f aca="false">IF(AND(A2445&lt;&gt;A2444,LEFT(A2445,1)&lt;&gt;"C"),1,0)</f>
        <v>0</v>
      </c>
    </row>
    <row r="2446" customFormat="false" ht="15" hidden="false" customHeight="false" outlineLevel="0" collapsed="false">
      <c r="A2446" s="0" t="s">
        <v>1921</v>
      </c>
      <c r="B2446" s="0" t="s">
        <v>1212</v>
      </c>
      <c r="C2446" s="0" t="s">
        <v>1213</v>
      </c>
      <c r="D2446" s="0" t="n">
        <v>8</v>
      </c>
      <c r="E2446" s="6" t="n">
        <v>40823.3930555556</v>
      </c>
      <c r="F2446" s="0" t="n">
        <v>1.25</v>
      </c>
      <c r="G2446" s="0" t="n">
        <v>12519</v>
      </c>
      <c r="H2446" s="0" t="s">
        <v>33</v>
      </c>
      <c r="I2446" s="7" t="n">
        <f aca="false">IF(AND(LEFT(A2446,1)&lt;&gt;"C",D2446&gt;0,F2446&gt;0),1,0)</f>
        <v>1</v>
      </c>
      <c r="J2446" s="7" t="n">
        <f aca="false">IF(I2446=1,D2446*F2446,0)</f>
        <v>10</v>
      </c>
      <c r="K2446" s="7" t="n">
        <f aca="false">YEAR(E2446)*100+MONTH(E2446)</f>
        <v>201110</v>
      </c>
      <c r="L2446" s="7" t="n">
        <f aca="false">IF(AND(A2446&lt;&gt;A2445,LEFT(A2446,1)&lt;&gt;"C"),1,0)</f>
        <v>0</v>
      </c>
    </row>
    <row r="2447" customFormat="false" ht="15" hidden="false" customHeight="false" outlineLevel="0" collapsed="false">
      <c r="A2447" s="0" t="s">
        <v>1921</v>
      </c>
      <c r="B2447" s="0" t="s">
        <v>164</v>
      </c>
      <c r="C2447" s="0" t="s">
        <v>165</v>
      </c>
      <c r="D2447" s="0" t="n">
        <v>8</v>
      </c>
      <c r="E2447" s="6" t="n">
        <v>40823.3930555556</v>
      </c>
      <c r="F2447" s="0" t="n">
        <v>1.25</v>
      </c>
      <c r="G2447" s="0" t="n">
        <v>12519</v>
      </c>
      <c r="H2447" s="0" t="s">
        <v>33</v>
      </c>
      <c r="I2447" s="7" t="n">
        <f aca="false">IF(AND(LEFT(A2447,1)&lt;&gt;"C",D2447&gt;0,F2447&gt;0),1,0)</f>
        <v>1</v>
      </c>
      <c r="J2447" s="7" t="n">
        <f aca="false">IF(I2447=1,D2447*F2447,0)</f>
        <v>10</v>
      </c>
      <c r="K2447" s="7" t="n">
        <f aca="false">YEAR(E2447)*100+MONTH(E2447)</f>
        <v>201110</v>
      </c>
      <c r="L2447" s="7" t="n">
        <f aca="false">IF(AND(A2447&lt;&gt;A2446,LEFT(A2447,1)&lt;&gt;"C"),1,0)</f>
        <v>0</v>
      </c>
    </row>
    <row r="2448" customFormat="false" ht="15" hidden="false" customHeight="false" outlineLevel="0" collapsed="false">
      <c r="A2448" s="0" t="s">
        <v>1921</v>
      </c>
      <c r="B2448" s="0" t="s">
        <v>285</v>
      </c>
      <c r="C2448" s="0" t="s">
        <v>286</v>
      </c>
      <c r="D2448" s="0" t="n">
        <v>4</v>
      </c>
      <c r="E2448" s="6" t="n">
        <v>40823.3930555556</v>
      </c>
      <c r="F2448" s="0" t="n">
        <v>8.5</v>
      </c>
      <c r="G2448" s="0" t="n">
        <v>12519</v>
      </c>
      <c r="H2448" s="0" t="s">
        <v>33</v>
      </c>
      <c r="I2448" s="7" t="n">
        <f aca="false">IF(AND(LEFT(A2448,1)&lt;&gt;"C",D2448&gt;0,F2448&gt;0),1,0)</f>
        <v>1</v>
      </c>
      <c r="J2448" s="7" t="n">
        <f aca="false">IF(I2448=1,D2448*F2448,0)</f>
        <v>34</v>
      </c>
      <c r="K2448" s="7" t="n">
        <f aca="false">YEAR(E2448)*100+MONTH(E2448)</f>
        <v>201110</v>
      </c>
      <c r="L2448" s="7" t="n">
        <f aca="false">IF(AND(A2448&lt;&gt;A2447,LEFT(A2448,1)&lt;&gt;"C"),1,0)</f>
        <v>0</v>
      </c>
    </row>
    <row r="2449" customFormat="false" ht="15" hidden="false" customHeight="false" outlineLevel="0" collapsed="false">
      <c r="A2449" s="0" t="s">
        <v>1932</v>
      </c>
      <c r="B2449" s="0" t="s">
        <v>35</v>
      </c>
      <c r="C2449" s="0" t="s">
        <v>36</v>
      </c>
      <c r="D2449" s="0" t="n">
        <v>24</v>
      </c>
      <c r="E2449" s="6" t="n">
        <v>40823.4291666667</v>
      </c>
      <c r="F2449" s="0" t="n">
        <v>1.65</v>
      </c>
      <c r="G2449" s="0" t="n">
        <v>12684</v>
      </c>
      <c r="H2449" s="0" t="s">
        <v>43</v>
      </c>
      <c r="I2449" s="7" t="n">
        <f aca="false">IF(AND(LEFT(A2449,1)&lt;&gt;"C",D2449&gt;0,F2449&gt;0),1,0)</f>
        <v>1</v>
      </c>
      <c r="J2449" s="7" t="n">
        <f aca="false">IF(I2449=1,D2449*F2449,0)</f>
        <v>39.6</v>
      </c>
      <c r="K2449" s="7" t="n">
        <f aca="false">YEAR(E2449)*100+MONTH(E2449)</f>
        <v>201110</v>
      </c>
      <c r="L2449" s="7" t="n">
        <f aca="false">IF(AND(A2449&lt;&gt;A2448,LEFT(A2449,1)&lt;&gt;"C"),1,0)</f>
        <v>1</v>
      </c>
    </row>
    <row r="2450" customFormat="false" ht="15" hidden="false" customHeight="false" outlineLevel="0" collapsed="false">
      <c r="A2450" s="0" t="s">
        <v>1932</v>
      </c>
      <c r="B2450" s="0" t="s">
        <v>1843</v>
      </c>
      <c r="C2450" s="0" t="s">
        <v>1844</v>
      </c>
      <c r="D2450" s="0" t="n">
        <v>24</v>
      </c>
      <c r="E2450" s="6" t="n">
        <v>40823.4291666667</v>
      </c>
      <c r="F2450" s="0" t="n">
        <v>0.65</v>
      </c>
      <c r="G2450" s="0" t="n">
        <v>12684</v>
      </c>
      <c r="H2450" s="0" t="s">
        <v>43</v>
      </c>
      <c r="I2450" s="7" t="n">
        <f aca="false">IF(AND(LEFT(A2450,1)&lt;&gt;"C",D2450&gt;0,F2450&gt;0),1,0)</f>
        <v>1</v>
      </c>
      <c r="J2450" s="7" t="n">
        <f aca="false">IF(I2450=1,D2450*F2450,0)</f>
        <v>15.6</v>
      </c>
      <c r="K2450" s="7" t="n">
        <f aca="false">YEAR(E2450)*100+MONTH(E2450)</f>
        <v>201110</v>
      </c>
      <c r="L2450" s="7" t="n">
        <f aca="false">IF(AND(A2450&lt;&gt;A2449,LEFT(A2450,1)&lt;&gt;"C"),1,0)</f>
        <v>0</v>
      </c>
    </row>
    <row r="2451" customFormat="false" ht="15" hidden="false" customHeight="false" outlineLevel="0" collapsed="false">
      <c r="A2451" s="0" t="s">
        <v>1932</v>
      </c>
      <c r="B2451" s="0" t="s">
        <v>52</v>
      </c>
      <c r="C2451" s="0" t="s">
        <v>53</v>
      </c>
      <c r="D2451" s="0" t="n">
        <v>12</v>
      </c>
      <c r="E2451" s="6" t="n">
        <v>40823.4291666667</v>
      </c>
      <c r="F2451" s="0" t="n">
        <v>1.95</v>
      </c>
      <c r="G2451" s="0" t="n">
        <v>12684</v>
      </c>
      <c r="H2451" s="0" t="s">
        <v>43</v>
      </c>
      <c r="I2451" s="7" t="n">
        <f aca="false">IF(AND(LEFT(A2451,1)&lt;&gt;"C",D2451&gt;0,F2451&gt;0),1,0)</f>
        <v>1</v>
      </c>
      <c r="J2451" s="7" t="n">
        <f aca="false">IF(I2451=1,D2451*F2451,0)</f>
        <v>23.4</v>
      </c>
      <c r="K2451" s="7" t="n">
        <f aca="false">YEAR(E2451)*100+MONTH(E2451)</f>
        <v>201110</v>
      </c>
      <c r="L2451" s="7" t="n">
        <f aca="false">IF(AND(A2451&lt;&gt;A2450,LEFT(A2451,1)&lt;&gt;"C"),1,0)</f>
        <v>0</v>
      </c>
    </row>
    <row r="2452" customFormat="false" ht="15" hidden="false" customHeight="false" outlineLevel="0" collapsed="false">
      <c r="A2452" s="0" t="s">
        <v>1932</v>
      </c>
      <c r="B2452" s="0" t="s">
        <v>412</v>
      </c>
      <c r="C2452" s="0" t="s">
        <v>413</v>
      </c>
      <c r="D2452" s="0" t="n">
        <v>24</v>
      </c>
      <c r="E2452" s="6" t="n">
        <v>40823.4291666667</v>
      </c>
      <c r="F2452" s="0" t="n">
        <v>1.25</v>
      </c>
      <c r="G2452" s="0" t="n">
        <v>12684</v>
      </c>
      <c r="H2452" s="0" t="s">
        <v>43</v>
      </c>
      <c r="I2452" s="7" t="n">
        <f aca="false">IF(AND(LEFT(A2452,1)&lt;&gt;"C",D2452&gt;0,F2452&gt;0),1,0)</f>
        <v>1</v>
      </c>
      <c r="J2452" s="7" t="n">
        <f aca="false">IF(I2452=1,D2452*F2452,0)</f>
        <v>30</v>
      </c>
      <c r="K2452" s="7" t="n">
        <f aca="false">YEAR(E2452)*100+MONTH(E2452)</f>
        <v>201110</v>
      </c>
      <c r="L2452" s="7" t="n">
        <f aca="false">IF(AND(A2452&lt;&gt;A2451,LEFT(A2452,1)&lt;&gt;"C"),1,0)</f>
        <v>0</v>
      </c>
    </row>
    <row r="2453" customFormat="false" ht="15" hidden="false" customHeight="false" outlineLevel="0" collapsed="false">
      <c r="A2453" s="0" t="s">
        <v>1932</v>
      </c>
      <c r="B2453" s="0" t="s">
        <v>1933</v>
      </c>
      <c r="C2453" s="0" t="s">
        <v>1934</v>
      </c>
      <c r="D2453" s="0" t="n">
        <v>24</v>
      </c>
      <c r="E2453" s="6" t="n">
        <v>40823.4291666667</v>
      </c>
      <c r="F2453" s="0" t="n">
        <v>1.65</v>
      </c>
      <c r="G2453" s="0" t="n">
        <v>12684</v>
      </c>
      <c r="H2453" s="0" t="s">
        <v>43</v>
      </c>
      <c r="I2453" s="7" t="n">
        <f aca="false">IF(AND(LEFT(A2453,1)&lt;&gt;"C",D2453&gt;0,F2453&gt;0),1,0)</f>
        <v>1</v>
      </c>
      <c r="J2453" s="7" t="n">
        <f aca="false">IF(I2453=1,D2453*F2453,0)</f>
        <v>39.6</v>
      </c>
      <c r="K2453" s="7" t="n">
        <f aca="false">YEAR(E2453)*100+MONTH(E2453)</f>
        <v>201110</v>
      </c>
      <c r="L2453" s="7" t="n">
        <f aca="false">IF(AND(A2453&lt;&gt;A2452,LEFT(A2453,1)&lt;&gt;"C"),1,0)</f>
        <v>0</v>
      </c>
    </row>
    <row r="2454" customFormat="false" ht="15" hidden="false" customHeight="false" outlineLevel="0" collapsed="false">
      <c r="A2454" s="0" t="s">
        <v>1932</v>
      </c>
      <c r="B2454" s="0" t="s">
        <v>320</v>
      </c>
      <c r="C2454" s="0" t="s">
        <v>321</v>
      </c>
      <c r="D2454" s="0" t="n">
        <v>8</v>
      </c>
      <c r="E2454" s="6" t="n">
        <v>40823.4291666667</v>
      </c>
      <c r="F2454" s="0" t="n">
        <v>3.75</v>
      </c>
      <c r="G2454" s="0" t="n">
        <v>12684</v>
      </c>
      <c r="H2454" s="0" t="s">
        <v>43</v>
      </c>
      <c r="I2454" s="7" t="n">
        <f aca="false">IF(AND(LEFT(A2454,1)&lt;&gt;"C",D2454&gt;0,F2454&gt;0),1,0)</f>
        <v>1</v>
      </c>
      <c r="J2454" s="7" t="n">
        <f aca="false">IF(I2454=1,D2454*F2454,0)</f>
        <v>30</v>
      </c>
      <c r="K2454" s="7" t="n">
        <f aca="false">YEAR(E2454)*100+MONTH(E2454)</f>
        <v>201110</v>
      </c>
      <c r="L2454" s="7" t="n">
        <f aca="false">IF(AND(A2454&lt;&gt;A2453,LEFT(A2454,1)&lt;&gt;"C"),1,0)</f>
        <v>0</v>
      </c>
    </row>
    <row r="2455" customFormat="false" ht="15" hidden="false" customHeight="false" outlineLevel="0" collapsed="false">
      <c r="A2455" s="0" t="s">
        <v>1932</v>
      </c>
      <c r="B2455" s="0" t="s">
        <v>1935</v>
      </c>
      <c r="C2455" s="0" t="s">
        <v>1936</v>
      </c>
      <c r="D2455" s="0" t="n">
        <v>12</v>
      </c>
      <c r="E2455" s="6" t="n">
        <v>40823.4291666667</v>
      </c>
      <c r="F2455" s="0" t="n">
        <v>1.65</v>
      </c>
      <c r="G2455" s="0" t="n">
        <v>12684</v>
      </c>
      <c r="H2455" s="0" t="s">
        <v>43</v>
      </c>
      <c r="I2455" s="7" t="n">
        <f aca="false">IF(AND(LEFT(A2455,1)&lt;&gt;"C",D2455&gt;0,F2455&gt;0),1,0)</f>
        <v>1</v>
      </c>
      <c r="J2455" s="7" t="n">
        <f aca="false">IF(I2455=1,D2455*F2455,0)</f>
        <v>19.8</v>
      </c>
      <c r="K2455" s="7" t="n">
        <f aca="false">YEAR(E2455)*100+MONTH(E2455)</f>
        <v>201110</v>
      </c>
      <c r="L2455" s="7" t="n">
        <f aca="false">IF(AND(A2455&lt;&gt;A2454,LEFT(A2455,1)&lt;&gt;"C"),1,0)</f>
        <v>0</v>
      </c>
    </row>
    <row r="2456" customFormat="false" ht="15" hidden="false" customHeight="false" outlineLevel="0" collapsed="false">
      <c r="A2456" s="0" t="s">
        <v>1932</v>
      </c>
      <c r="B2456" s="0" t="s">
        <v>1937</v>
      </c>
      <c r="C2456" s="0" t="s">
        <v>1938</v>
      </c>
      <c r="D2456" s="0" t="n">
        <v>24</v>
      </c>
      <c r="E2456" s="6" t="n">
        <v>40823.4291666667</v>
      </c>
      <c r="F2456" s="0" t="n">
        <v>0.19</v>
      </c>
      <c r="G2456" s="0" t="n">
        <v>12684</v>
      </c>
      <c r="H2456" s="0" t="s">
        <v>43</v>
      </c>
      <c r="I2456" s="7" t="n">
        <f aca="false">IF(AND(LEFT(A2456,1)&lt;&gt;"C",D2456&gt;0,F2456&gt;0),1,0)</f>
        <v>1</v>
      </c>
      <c r="J2456" s="7" t="n">
        <f aca="false">IF(I2456=1,D2456*F2456,0)</f>
        <v>4.56</v>
      </c>
      <c r="K2456" s="7" t="n">
        <f aca="false">YEAR(E2456)*100+MONTH(E2456)</f>
        <v>201110</v>
      </c>
      <c r="L2456" s="7" t="n">
        <f aca="false">IF(AND(A2456&lt;&gt;A2455,LEFT(A2456,1)&lt;&gt;"C"),1,0)</f>
        <v>0</v>
      </c>
    </row>
    <row r="2457" customFormat="false" ht="15" hidden="false" customHeight="false" outlineLevel="0" collapsed="false">
      <c r="A2457" s="0" t="s">
        <v>1932</v>
      </c>
      <c r="B2457" s="0" t="s">
        <v>162</v>
      </c>
      <c r="C2457" s="0" t="s">
        <v>163</v>
      </c>
      <c r="D2457" s="0" t="n">
        <v>12</v>
      </c>
      <c r="E2457" s="6" t="n">
        <v>40823.4291666667</v>
      </c>
      <c r="F2457" s="0" t="n">
        <v>0.85</v>
      </c>
      <c r="G2457" s="0" t="n">
        <v>12684</v>
      </c>
      <c r="H2457" s="0" t="s">
        <v>43</v>
      </c>
      <c r="I2457" s="7" t="n">
        <f aca="false">IF(AND(LEFT(A2457,1)&lt;&gt;"C",D2457&gt;0,F2457&gt;0),1,0)</f>
        <v>1</v>
      </c>
      <c r="J2457" s="7" t="n">
        <f aca="false">IF(I2457=1,D2457*F2457,0)</f>
        <v>10.2</v>
      </c>
      <c r="K2457" s="7" t="n">
        <f aca="false">YEAR(E2457)*100+MONTH(E2457)</f>
        <v>201110</v>
      </c>
      <c r="L2457" s="7" t="n">
        <f aca="false">IF(AND(A2457&lt;&gt;A2456,LEFT(A2457,1)&lt;&gt;"C"),1,0)</f>
        <v>0</v>
      </c>
    </row>
    <row r="2458" customFormat="false" ht="15" hidden="false" customHeight="false" outlineLevel="0" collapsed="false">
      <c r="A2458" s="0" t="s">
        <v>1932</v>
      </c>
      <c r="B2458" s="0" t="s">
        <v>983</v>
      </c>
      <c r="C2458" s="0" t="s">
        <v>984</v>
      </c>
      <c r="D2458" s="0" t="n">
        <v>20</v>
      </c>
      <c r="E2458" s="6" t="n">
        <v>40823.4291666667</v>
      </c>
      <c r="F2458" s="0" t="n">
        <v>0.85</v>
      </c>
      <c r="G2458" s="0" t="n">
        <v>12684</v>
      </c>
      <c r="H2458" s="0" t="s">
        <v>43</v>
      </c>
      <c r="I2458" s="7" t="n">
        <f aca="false">IF(AND(LEFT(A2458,1)&lt;&gt;"C",D2458&gt;0,F2458&gt;0),1,0)</f>
        <v>1</v>
      </c>
      <c r="J2458" s="7" t="n">
        <f aca="false">IF(I2458=1,D2458*F2458,0)</f>
        <v>17</v>
      </c>
      <c r="K2458" s="7" t="n">
        <f aca="false">YEAR(E2458)*100+MONTH(E2458)</f>
        <v>201110</v>
      </c>
      <c r="L2458" s="7" t="n">
        <f aca="false">IF(AND(A2458&lt;&gt;A2457,LEFT(A2458,1)&lt;&gt;"C"),1,0)</f>
        <v>0</v>
      </c>
    </row>
    <row r="2459" customFormat="false" ht="15" hidden="false" customHeight="false" outlineLevel="0" collapsed="false">
      <c r="A2459" s="0" t="s">
        <v>1932</v>
      </c>
      <c r="B2459" s="0" t="s">
        <v>84</v>
      </c>
      <c r="C2459" s="0" t="s">
        <v>85</v>
      </c>
      <c r="D2459" s="0" t="n">
        <v>1</v>
      </c>
      <c r="E2459" s="6" t="n">
        <v>40823.4291666667</v>
      </c>
      <c r="F2459" s="0" t="n">
        <v>18</v>
      </c>
      <c r="G2459" s="0" t="n">
        <v>12684</v>
      </c>
      <c r="H2459" s="0" t="s">
        <v>43</v>
      </c>
      <c r="I2459" s="7" t="n">
        <f aca="false">IF(AND(LEFT(A2459,1)&lt;&gt;"C",D2459&gt;0,F2459&gt;0),1,0)</f>
        <v>1</v>
      </c>
      <c r="J2459" s="7" t="n">
        <f aca="false">IF(I2459=1,D2459*F2459,0)</f>
        <v>18</v>
      </c>
      <c r="K2459" s="7" t="n">
        <f aca="false">YEAR(E2459)*100+MONTH(E2459)</f>
        <v>201110</v>
      </c>
      <c r="L2459" s="7" t="n">
        <f aca="false">IF(AND(A2459&lt;&gt;A2458,LEFT(A2459,1)&lt;&gt;"C"),1,0)</f>
        <v>0</v>
      </c>
    </row>
    <row r="2460" customFormat="false" ht="15" hidden="false" customHeight="false" outlineLevel="0" collapsed="false">
      <c r="A2460" s="0" t="s">
        <v>1939</v>
      </c>
      <c r="B2460" s="0" t="s">
        <v>966</v>
      </c>
      <c r="C2460" s="0" t="s">
        <v>967</v>
      </c>
      <c r="D2460" s="0" t="n">
        <v>24</v>
      </c>
      <c r="E2460" s="6" t="n">
        <v>40823.4472222222</v>
      </c>
      <c r="F2460" s="0" t="n">
        <v>0.55</v>
      </c>
      <c r="G2460" s="0" t="n">
        <v>12740</v>
      </c>
      <c r="H2460" s="0" t="s">
        <v>43</v>
      </c>
      <c r="I2460" s="7" t="n">
        <f aca="false">IF(AND(LEFT(A2460,1)&lt;&gt;"C",D2460&gt;0,F2460&gt;0),1,0)</f>
        <v>1</v>
      </c>
      <c r="J2460" s="7" t="n">
        <f aca="false">IF(I2460=1,D2460*F2460,0)</f>
        <v>13.2</v>
      </c>
      <c r="K2460" s="7" t="n">
        <f aca="false">YEAR(E2460)*100+MONTH(E2460)</f>
        <v>201110</v>
      </c>
      <c r="L2460" s="7" t="n">
        <f aca="false">IF(AND(A2460&lt;&gt;A2459,LEFT(A2460,1)&lt;&gt;"C"),1,0)</f>
        <v>1</v>
      </c>
    </row>
    <row r="2461" customFormat="false" ht="15" hidden="false" customHeight="false" outlineLevel="0" collapsed="false">
      <c r="A2461" s="0" t="s">
        <v>1939</v>
      </c>
      <c r="B2461" s="0" t="s">
        <v>983</v>
      </c>
      <c r="C2461" s="0" t="s">
        <v>984</v>
      </c>
      <c r="D2461" s="0" t="n">
        <v>40</v>
      </c>
      <c r="E2461" s="6" t="n">
        <v>40823.4472222222</v>
      </c>
      <c r="F2461" s="0" t="n">
        <v>0.85</v>
      </c>
      <c r="G2461" s="0" t="n">
        <v>12740</v>
      </c>
      <c r="H2461" s="0" t="s">
        <v>43</v>
      </c>
      <c r="I2461" s="7" t="n">
        <f aca="false">IF(AND(LEFT(A2461,1)&lt;&gt;"C",D2461&gt;0,F2461&gt;0),1,0)</f>
        <v>1</v>
      </c>
      <c r="J2461" s="7" t="n">
        <f aca="false">IF(I2461=1,D2461*F2461,0)</f>
        <v>34</v>
      </c>
      <c r="K2461" s="7" t="n">
        <f aca="false">YEAR(E2461)*100+MONTH(E2461)</f>
        <v>201110</v>
      </c>
      <c r="L2461" s="7" t="n">
        <f aca="false">IF(AND(A2461&lt;&gt;A2460,LEFT(A2461,1)&lt;&gt;"C"),1,0)</f>
        <v>0</v>
      </c>
    </row>
    <row r="2462" customFormat="false" ht="15" hidden="false" customHeight="false" outlineLevel="0" collapsed="false">
      <c r="A2462" s="0" t="s">
        <v>1939</v>
      </c>
      <c r="B2462" s="0" t="s">
        <v>35</v>
      </c>
      <c r="C2462" s="0" t="s">
        <v>36</v>
      </c>
      <c r="D2462" s="0" t="n">
        <v>12</v>
      </c>
      <c r="E2462" s="6" t="n">
        <v>40823.4472222222</v>
      </c>
      <c r="F2462" s="0" t="n">
        <v>1.65</v>
      </c>
      <c r="G2462" s="0" t="n">
        <v>12740</v>
      </c>
      <c r="H2462" s="0" t="s">
        <v>43</v>
      </c>
      <c r="I2462" s="7" t="n">
        <f aca="false">IF(AND(LEFT(A2462,1)&lt;&gt;"C",D2462&gt;0,F2462&gt;0),1,0)</f>
        <v>1</v>
      </c>
      <c r="J2462" s="7" t="n">
        <f aca="false">IF(I2462=1,D2462*F2462,0)</f>
        <v>19.8</v>
      </c>
      <c r="K2462" s="7" t="n">
        <f aca="false">YEAR(E2462)*100+MONTH(E2462)</f>
        <v>201110</v>
      </c>
      <c r="L2462" s="7" t="n">
        <f aca="false">IF(AND(A2462&lt;&gt;A2461,LEFT(A2462,1)&lt;&gt;"C"),1,0)</f>
        <v>0</v>
      </c>
    </row>
    <row r="2463" customFormat="false" ht="15" hidden="false" customHeight="false" outlineLevel="0" collapsed="false">
      <c r="A2463" s="0" t="s">
        <v>1939</v>
      </c>
      <c r="B2463" s="0" t="s">
        <v>107</v>
      </c>
      <c r="C2463" s="0" t="s">
        <v>108</v>
      </c>
      <c r="D2463" s="0" t="n">
        <v>6</v>
      </c>
      <c r="E2463" s="6" t="n">
        <v>40823.4472222222</v>
      </c>
      <c r="F2463" s="0" t="n">
        <v>2.55</v>
      </c>
      <c r="G2463" s="0" t="n">
        <v>12740</v>
      </c>
      <c r="H2463" s="0" t="s">
        <v>43</v>
      </c>
      <c r="I2463" s="7" t="n">
        <f aca="false">IF(AND(LEFT(A2463,1)&lt;&gt;"C",D2463&gt;0,F2463&gt;0),1,0)</f>
        <v>1</v>
      </c>
      <c r="J2463" s="7" t="n">
        <f aca="false">IF(I2463=1,D2463*F2463,0)</f>
        <v>15.3</v>
      </c>
      <c r="K2463" s="7" t="n">
        <f aca="false">YEAR(E2463)*100+MONTH(E2463)</f>
        <v>201110</v>
      </c>
      <c r="L2463" s="7" t="n">
        <f aca="false">IF(AND(A2463&lt;&gt;A2462,LEFT(A2463,1)&lt;&gt;"C"),1,0)</f>
        <v>0</v>
      </c>
    </row>
    <row r="2464" customFormat="false" ht="15" hidden="false" customHeight="false" outlineLevel="0" collapsed="false">
      <c r="A2464" s="0" t="s">
        <v>1939</v>
      </c>
      <c r="B2464" s="0" t="s">
        <v>1338</v>
      </c>
      <c r="C2464" s="0" t="s">
        <v>1339</v>
      </c>
      <c r="D2464" s="0" t="n">
        <v>6</v>
      </c>
      <c r="E2464" s="6" t="n">
        <v>40823.4472222222</v>
      </c>
      <c r="F2464" s="0" t="n">
        <v>2.95</v>
      </c>
      <c r="G2464" s="0" t="n">
        <v>12740</v>
      </c>
      <c r="H2464" s="0" t="s">
        <v>43</v>
      </c>
      <c r="I2464" s="7" t="n">
        <f aca="false">IF(AND(LEFT(A2464,1)&lt;&gt;"C",D2464&gt;0,F2464&gt;0),1,0)</f>
        <v>1</v>
      </c>
      <c r="J2464" s="7" t="n">
        <f aca="false">IF(I2464=1,D2464*F2464,0)</f>
        <v>17.7</v>
      </c>
      <c r="K2464" s="7" t="n">
        <f aca="false">YEAR(E2464)*100+MONTH(E2464)</f>
        <v>201110</v>
      </c>
      <c r="L2464" s="7" t="n">
        <f aca="false">IF(AND(A2464&lt;&gt;A2463,LEFT(A2464,1)&lt;&gt;"C"),1,0)</f>
        <v>0</v>
      </c>
    </row>
    <row r="2465" customFormat="false" ht="15" hidden="false" customHeight="false" outlineLevel="0" collapsed="false">
      <c r="A2465" s="0" t="s">
        <v>1939</v>
      </c>
      <c r="B2465" s="0" t="s">
        <v>989</v>
      </c>
      <c r="C2465" s="0" t="s">
        <v>990</v>
      </c>
      <c r="D2465" s="0" t="n">
        <v>12</v>
      </c>
      <c r="E2465" s="6" t="n">
        <v>40823.4472222222</v>
      </c>
      <c r="F2465" s="0" t="n">
        <v>1.65</v>
      </c>
      <c r="G2465" s="0" t="n">
        <v>12740</v>
      </c>
      <c r="H2465" s="0" t="s">
        <v>43</v>
      </c>
      <c r="I2465" s="7" t="n">
        <f aca="false">IF(AND(LEFT(A2465,1)&lt;&gt;"C",D2465&gt;0,F2465&gt;0),1,0)</f>
        <v>1</v>
      </c>
      <c r="J2465" s="7" t="n">
        <f aca="false">IF(I2465=1,D2465*F2465,0)</f>
        <v>19.8</v>
      </c>
      <c r="K2465" s="7" t="n">
        <f aca="false">YEAR(E2465)*100+MONTH(E2465)</f>
        <v>201110</v>
      </c>
      <c r="L2465" s="7" t="n">
        <f aca="false">IF(AND(A2465&lt;&gt;A2464,LEFT(A2465,1)&lt;&gt;"C"),1,0)</f>
        <v>0</v>
      </c>
    </row>
    <row r="2466" customFormat="false" ht="15" hidden="false" customHeight="false" outlineLevel="0" collapsed="false">
      <c r="A2466" s="0" t="s">
        <v>1939</v>
      </c>
      <c r="B2466" s="0" t="s">
        <v>335</v>
      </c>
      <c r="C2466" s="0" t="s">
        <v>336</v>
      </c>
      <c r="D2466" s="0" t="n">
        <v>12</v>
      </c>
      <c r="E2466" s="6" t="n">
        <v>40823.4472222222</v>
      </c>
      <c r="F2466" s="0" t="n">
        <v>1.65</v>
      </c>
      <c r="G2466" s="0" t="n">
        <v>12740</v>
      </c>
      <c r="H2466" s="0" t="s">
        <v>43</v>
      </c>
      <c r="I2466" s="7" t="n">
        <f aca="false">IF(AND(LEFT(A2466,1)&lt;&gt;"C",D2466&gt;0,F2466&gt;0),1,0)</f>
        <v>1</v>
      </c>
      <c r="J2466" s="7" t="n">
        <f aca="false">IF(I2466=1,D2466*F2466,0)</f>
        <v>19.8</v>
      </c>
      <c r="K2466" s="7" t="n">
        <f aca="false">YEAR(E2466)*100+MONTH(E2466)</f>
        <v>201110</v>
      </c>
      <c r="L2466" s="7" t="n">
        <f aca="false">IF(AND(A2466&lt;&gt;A2465,LEFT(A2466,1)&lt;&gt;"C"),1,0)</f>
        <v>0</v>
      </c>
    </row>
    <row r="2467" customFormat="false" ht="15" hidden="false" customHeight="false" outlineLevel="0" collapsed="false">
      <c r="A2467" s="0" t="s">
        <v>1939</v>
      </c>
      <c r="B2467" s="0" t="s">
        <v>97</v>
      </c>
      <c r="C2467" s="0" t="s">
        <v>98</v>
      </c>
      <c r="D2467" s="0" t="n">
        <v>12</v>
      </c>
      <c r="E2467" s="6" t="n">
        <v>40823.4472222222</v>
      </c>
      <c r="F2467" s="0" t="n">
        <v>1.65</v>
      </c>
      <c r="G2467" s="0" t="n">
        <v>12740</v>
      </c>
      <c r="H2467" s="0" t="s">
        <v>43</v>
      </c>
      <c r="I2467" s="7" t="n">
        <f aca="false">IF(AND(LEFT(A2467,1)&lt;&gt;"C",D2467&gt;0,F2467&gt;0),1,0)</f>
        <v>1</v>
      </c>
      <c r="J2467" s="7" t="n">
        <f aca="false">IF(I2467=1,D2467*F2467,0)</f>
        <v>19.8</v>
      </c>
      <c r="K2467" s="7" t="n">
        <f aca="false">YEAR(E2467)*100+MONTH(E2467)</f>
        <v>201110</v>
      </c>
      <c r="L2467" s="7" t="n">
        <f aca="false">IF(AND(A2467&lt;&gt;A2466,LEFT(A2467,1)&lt;&gt;"C"),1,0)</f>
        <v>0</v>
      </c>
    </row>
    <row r="2468" customFormat="false" ht="15" hidden="false" customHeight="false" outlineLevel="0" collapsed="false">
      <c r="A2468" s="0" t="s">
        <v>1939</v>
      </c>
      <c r="B2468" s="0" t="s">
        <v>463</v>
      </c>
      <c r="C2468" s="0" t="s">
        <v>464</v>
      </c>
      <c r="D2468" s="0" t="n">
        <v>4</v>
      </c>
      <c r="E2468" s="6" t="n">
        <v>40823.4472222222</v>
      </c>
      <c r="F2468" s="0" t="n">
        <v>7.95</v>
      </c>
      <c r="G2468" s="0" t="n">
        <v>12740</v>
      </c>
      <c r="H2468" s="0" t="s">
        <v>43</v>
      </c>
      <c r="I2468" s="7" t="n">
        <f aca="false">IF(AND(LEFT(A2468,1)&lt;&gt;"C",D2468&gt;0,F2468&gt;0),1,0)</f>
        <v>1</v>
      </c>
      <c r="J2468" s="7" t="n">
        <f aca="false">IF(I2468=1,D2468*F2468,0)</f>
        <v>31.8</v>
      </c>
      <c r="K2468" s="7" t="n">
        <f aca="false">YEAR(E2468)*100+MONTH(E2468)</f>
        <v>201110</v>
      </c>
      <c r="L2468" s="7" t="n">
        <f aca="false">IF(AND(A2468&lt;&gt;A2467,LEFT(A2468,1)&lt;&gt;"C"),1,0)</f>
        <v>0</v>
      </c>
    </row>
    <row r="2469" customFormat="false" ht="15" hidden="false" customHeight="false" outlineLevel="0" collapsed="false">
      <c r="A2469" s="0" t="s">
        <v>1939</v>
      </c>
      <c r="B2469" s="0" t="s">
        <v>1356</v>
      </c>
      <c r="C2469" s="0" t="s">
        <v>1357</v>
      </c>
      <c r="D2469" s="0" t="n">
        <v>6</v>
      </c>
      <c r="E2469" s="6" t="n">
        <v>40823.4472222222</v>
      </c>
      <c r="F2469" s="0" t="n">
        <v>1.95</v>
      </c>
      <c r="G2469" s="0" t="n">
        <v>12740</v>
      </c>
      <c r="H2469" s="0" t="s">
        <v>43</v>
      </c>
      <c r="I2469" s="7" t="n">
        <f aca="false">IF(AND(LEFT(A2469,1)&lt;&gt;"C",D2469&gt;0,F2469&gt;0),1,0)</f>
        <v>1</v>
      </c>
      <c r="J2469" s="7" t="n">
        <f aca="false">IF(I2469=1,D2469*F2469,0)</f>
        <v>11.7</v>
      </c>
      <c r="K2469" s="7" t="n">
        <f aca="false">YEAR(E2469)*100+MONTH(E2469)</f>
        <v>201110</v>
      </c>
      <c r="L2469" s="7" t="n">
        <f aca="false">IF(AND(A2469&lt;&gt;A2468,LEFT(A2469,1)&lt;&gt;"C"),1,0)</f>
        <v>0</v>
      </c>
    </row>
    <row r="2470" customFormat="false" ht="15" hidden="false" customHeight="false" outlineLevel="0" collapsed="false">
      <c r="A2470" s="0" t="s">
        <v>1939</v>
      </c>
      <c r="B2470" s="0" t="s">
        <v>1940</v>
      </c>
      <c r="C2470" s="0" t="s">
        <v>1941</v>
      </c>
      <c r="D2470" s="0" t="n">
        <v>6</v>
      </c>
      <c r="E2470" s="6" t="n">
        <v>40823.4472222222</v>
      </c>
      <c r="F2470" s="0" t="n">
        <v>1.95</v>
      </c>
      <c r="G2470" s="0" t="n">
        <v>12740</v>
      </c>
      <c r="H2470" s="0" t="s">
        <v>43</v>
      </c>
      <c r="I2470" s="7" t="n">
        <f aca="false">IF(AND(LEFT(A2470,1)&lt;&gt;"C",D2470&gt;0,F2470&gt;0),1,0)</f>
        <v>1</v>
      </c>
      <c r="J2470" s="7" t="n">
        <f aca="false">IF(I2470=1,D2470*F2470,0)</f>
        <v>11.7</v>
      </c>
      <c r="K2470" s="7" t="n">
        <f aca="false">YEAR(E2470)*100+MONTH(E2470)</f>
        <v>201110</v>
      </c>
      <c r="L2470" s="7" t="n">
        <f aca="false">IF(AND(A2470&lt;&gt;A2469,LEFT(A2470,1)&lt;&gt;"C"),1,0)</f>
        <v>0</v>
      </c>
    </row>
    <row r="2471" customFormat="false" ht="15" hidden="false" customHeight="false" outlineLevel="0" collapsed="false">
      <c r="A2471" s="0" t="s">
        <v>1939</v>
      </c>
      <c r="B2471" s="0" t="s">
        <v>1425</v>
      </c>
      <c r="C2471" s="0" t="s">
        <v>1426</v>
      </c>
      <c r="D2471" s="0" t="n">
        <v>2</v>
      </c>
      <c r="E2471" s="6" t="n">
        <v>40823.4472222222</v>
      </c>
      <c r="F2471" s="0" t="n">
        <v>8.5</v>
      </c>
      <c r="G2471" s="0" t="n">
        <v>12740</v>
      </c>
      <c r="H2471" s="0" t="s">
        <v>43</v>
      </c>
      <c r="I2471" s="7" t="n">
        <f aca="false">IF(AND(LEFT(A2471,1)&lt;&gt;"C",D2471&gt;0,F2471&gt;0),1,0)</f>
        <v>1</v>
      </c>
      <c r="J2471" s="7" t="n">
        <f aca="false">IF(I2471=1,D2471*F2471,0)</f>
        <v>17</v>
      </c>
      <c r="K2471" s="7" t="n">
        <f aca="false">YEAR(E2471)*100+MONTH(E2471)</f>
        <v>201110</v>
      </c>
      <c r="L2471" s="7" t="n">
        <f aca="false">IF(AND(A2471&lt;&gt;A2470,LEFT(A2471,1)&lt;&gt;"C"),1,0)</f>
        <v>0</v>
      </c>
    </row>
    <row r="2472" customFormat="false" ht="15" hidden="false" customHeight="false" outlineLevel="0" collapsed="false">
      <c r="A2472" s="0" t="s">
        <v>1939</v>
      </c>
      <c r="B2472" s="0" t="s">
        <v>89</v>
      </c>
      <c r="C2472" s="0" t="s">
        <v>90</v>
      </c>
      <c r="D2472" s="0" t="n">
        <v>4</v>
      </c>
      <c r="E2472" s="6" t="n">
        <v>40823.4472222222</v>
      </c>
      <c r="F2472" s="0" t="n">
        <v>4.15</v>
      </c>
      <c r="G2472" s="0" t="n">
        <v>12740</v>
      </c>
      <c r="H2472" s="0" t="s">
        <v>43</v>
      </c>
      <c r="I2472" s="7" t="n">
        <f aca="false">IF(AND(LEFT(A2472,1)&lt;&gt;"C",D2472&gt;0,F2472&gt;0),1,0)</f>
        <v>1</v>
      </c>
      <c r="J2472" s="7" t="n">
        <f aca="false">IF(I2472=1,D2472*F2472,0)</f>
        <v>16.6</v>
      </c>
      <c r="K2472" s="7" t="n">
        <f aca="false">YEAR(E2472)*100+MONTH(E2472)</f>
        <v>201110</v>
      </c>
      <c r="L2472" s="7" t="n">
        <f aca="false">IF(AND(A2472&lt;&gt;A2471,LEFT(A2472,1)&lt;&gt;"C"),1,0)</f>
        <v>0</v>
      </c>
    </row>
    <row r="2473" customFormat="false" ht="15" hidden="false" customHeight="false" outlineLevel="0" collapsed="false">
      <c r="A2473" s="0" t="s">
        <v>1939</v>
      </c>
      <c r="B2473" s="0" t="s">
        <v>93</v>
      </c>
      <c r="C2473" s="0" t="s">
        <v>94</v>
      </c>
      <c r="D2473" s="0" t="n">
        <v>4</v>
      </c>
      <c r="E2473" s="6" t="n">
        <v>40823.4472222222</v>
      </c>
      <c r="F2473" s="0" t="n">
        <v>4.15</v>
      </c>
      <c r="G2473" s="0" t="n">
        <v>12740</v>
      </c>
      <c r="H2473" s="0" t="s">
        <v>43</v>
      </c>
      <c r="I2473" s="7" t="n">
        <f aca="false">IF(AND(LEFT(A2473,1)&lt;&gt;"C",D2473&gt;0,F2473&gt;0),1,0)</f>
        <v>1</v>
      </c>
      <c r="J2473" s="7" t="n">
        <f aca="false">IF(I2473=1,D2473*F2473,0)</f>
        <v>16.6</v>
      </c>
      <c r="K2473" s="7" t="n">
        <f aca="false">YEAR(E2473)*100+MONTH(E2473)</f>
        <v>201110</v>
      </c>
      <c r="L2473" s="7" t="n">
        <f aca="false">IF(AND(A2473&lt;&gt;A2472,LEFT(A2473,1)&lt;&gt;"C"),1,0)</f>
        <v>0</v>
      </c>
    </row>
    <row r="2474" customFormat="false" ht="15" hidden="false" customHeight="false" outlineLevel="0" collapsed="false">
      <c r="A2474" s="0" t="s">
        <v>1939</v>
      </c>
      <c r="B2474" s="0" t="s">
        <v>91</v>
      </c>
      <c r="C2474" s="0" t="s">
        <v>92</v>
      </c>
      <c r="D2474" s="0" t="n">
        <v>4</v>
      </c>
      <c r="E2474" s="6" t="n">
        <v>40823.4472222222</v>
      </c>
      <c r="F2474" s="0" t="n">
        <v>4.15</v>
      </c>
      <c r="G2474" s="0" t="n">
        <v>12740</v>
      </c>
      <c r="H2474" s="0" t="s">
        <v>43</v>
      </c>
      <c r="I2474" s="7" t="n">
        <f aca="false">IF(AND(LEFT(A2474,1)&lt;&gt;"C",D2474&gt;0,F2474&gt;0),1,0)</f>
        <v>1</v>
      </c>
      <c r="J2474" s="7" t="n">
        <f aca="false">IF(I2474=1,D2474*F2474,0)</f>
        <v>16.6</v>
      </c>
      <c r="K2474" s="7" t="n">
        <f aca="false">YEAR(E2474)*100+MONTH(E2474)</f>
        <v>201110</v>
      </c>
      <c r="L2474" s="7" t="n">
        <f aca="false">IF(AND(A2474&lt;&gt;A2473,LEFT(A2474,1)&lt;&gt;"C"),1,0)</f>
        <v>0</v>
      </c>
    </row>
    <row r="2475" customFormat="false" ht="15" hidden="false" customHeight="false" outlineLevel="0" collapsed="false">
      <c r="A2475" s="0" t="s">
        <v>1939</v>
      </c>
      <c r="B2475" s="0" t="s">
        <v>533</v>
      </c>
      <c r="C2475" s="0" t="s">
        <v>534</v>
      </c>
      <c r="D2475" s="0" t="n">
        <v>16</v>
      </c>
      <c r="E2475" s="6" t="n">
        <v>40823.4472222222</v>
      </c>
      <c r="F2475" s="0" t="n">
        <v>1.25</v>
      </c>
      <c r="G2475" s="0" t="n">
        <v>12740</v>
      </c>
      <c r="H2475" s="0" t="s">
        <v>43</v>
      </c>
      <c r="I2475" s="7" t="n">
        <f aca="false">IF(AND(LEFT(A2475,1)&lt;&gt;"C",D2475&gt;0,F2475&gt;0),1,0)</f>
        <v>1</v>
      </c>
      <c r="J2475" s="7" t="n">
        <f aca="false">IF(I2475=1,D2475*F2475,0)</f>
        <v>20</v>
      </c>
      <c r="K2475" s="7" t="n">
        <f aca="false">YEAR(E2475)*100+MONTH(E2475)</f>
        <v>201110</v>
      </c>
      <c r="L2475" s="7" t="n">
        <f aca="false">IF(AND(A2475&lt;&gt;A2474,LEFT(A2475,1)&lt;&gt;"C"),1,0)</f>
        <v>0</v>
      </c>
    </row>
    <row r="2476" customFormat="false" ht="15" hidden="false" customHeight="false" outlineLevel="0" collapsed="false">
      <c r="A2476" s="0" t="s">
        <v>1939</v>
      </c>
      <c r="B2476" s="0" t="s">
        <v>535</v>
      </c>
      <c r="C2476" s="0" t="s">
        <v>536</v>
      </c>
      <c r="D2476" s="0" t="n">
        <v>16</v>
      </c>
      <c r="E2476" s="6" t="n">
        <v>40823.4472222222</v>
      </c>
      <c r="F2476" s="0" t="n">
        <v>1.25</v>
      </c>
      <c r="G2476" s="0" t="n">
        <v>12740</v>
      </c>
      <c r="H2476" s="0" t="s">
        <v>43</v>
      </c>
      <c r="I2476" s="7" t="n">
        <f aca="false">IF(AND(LEFT(A2476,1)&lt;&gt;"C",D2476&gt;0,F2476&gt;0),1,0)</f>
        <v>1</v>
      </c>
      <c r="J2476" s="7" t="n">
        <f aca="false">IF(I2476=1,D2476*F2476,0)</f>
        <v>20</v>
      </c>
      <c r="K2476" s="7" t="n">
        <f aca="false">YEAR(E2476)*100+MONTH(E2476)</f>
        <v>201110</v>
      </c>
      <c r="L2476" s="7" t="n">
        <f aca="false">IF(AND(A2476&lt;&gt;A2475,LEFT(A2476,1)&lt;&gt;"C"),1,0)</f>
        <v>0</v>
      </c>
    </row>
    <row r="2477" customFormat="false" ht="15" hidden="false" customHeight="false" outlineLevel="0" collapsed="false">
      <c r="A2477" s="0" t="s">
        <v>1939</v>
      </c>
      <c r="B2477" s="0" t="s">
        <v>117</v>
      </c>
      <c r="C2477" s="0" t="s">
        <v>118</v>
      </c>
      <c r="D2477" s="0" t="n">
        <v>12</v>
      </c>
      <c r="E2477" s="6" t="n">
        <v>40823.4472222222</v>
      </c>
      <c r="F2477" s="0" t="n">
        <v>0.85</v>
      </c>
      <c r="G2477" s="0" t="n">
        <v>12740</v>
      </c>
      <c r="H2477" s="0" t="s">
        <v>43</v>
      </c>
      <c r="I2477" s="7" t="n">
        <f aca="false">IF(AND(LEFT(A2477,1)&lt;&gt;"C",D2477&gt;0,F2477&gt;0),1,0)</f>
        <v>1</v>
      </c>
      <c r="J2477" s="7" t="n">
        <f aca="false">IF(I2477=1,D2477*F2477,0)</f>
        <v>10.2</v>
      </c>
      <c r="K2477" s="7" t="n">
        <f aca="false">YEAR(E2477)*100+MONTH(E2477)</f>
        <v>201110</v>
      </c>
      <c r="L2477" s="7" t="n">
        <f aca="false">IF(AND(A2477&lt;&gt;A2476,LEFT(A2477,1)&lt;&gt;"C"),1,0)</f>
        <v>0</v>
      </c>
    </row>
    <row r="2478" customFormat="false" ht="15" hidden="false" customHeight="false" outlineLevel="0" collapsed="false">
      <c r="A2478" s="0" t="s">
        <v>1939</v>
      </c>
      <c r="B2478" s="0" t="s">
        <v>151</v>
      </c>
      <c r="C2478" s="0" t="s">
        <v>152</v>
      </c>
      <c r="D2478" s="0" t="n">
        <v>12</v>
      </c>
      <c r="E2478" s="6" t="n">
        <v>40823.4472222222</v>
      </c>
      <c r="F2478" s="0" t="n">
        <v>0.85</v>
      </c>
      <c r="G2478" s="0" t="n">
        <v>12740</v>
      </c>
      <c r="H2478" s="0" t="s">
        <v>43</v>
      </c>
      <c r="I2478" s="7" t="n">
        <f aca="false">IF(AND(LEFT(A2478,1)&lt;&gt;"C",D2478&gt;0,F2478&gt;0),1,0)</f>
        <v>1</v>
      </c>
      <c r="J2478" s="7" t="n">
        <f aca="false">IF(I2478=1,D2478*F2478,0)</f>
        <v>10.2</v>
      </c>
      <c r="K2478" s="7" t="n">
        <f aca="false">YEAR(E2478)*100+MONTH(E2478)</f>
        <v>201110</v>
      </c>
      <c r="L2478" s="7" t="n">
        <f aca="false">IF(AND(A2478&lt;&gt;A2477,LEFT(A2478,1)&lt;&gt;"C"),1,0)</f>
        <v>0</v>
      </c>
    </row>
    <row r="2479" customFormat="false" ht="15" hidden="false" customHeight="false" outlineLevel="0" collapsed="false">
      <c r="A2479" s="0" t="s">
        <v>1939</v>
      </c>
      <c r="B2479" s="0" t="s">
        <v>199</v>
      </c>
      <c r="C2479" s="0" t="s">
        <v>200</v>
      </c>
      <c r="D2479" s="0" t="n">
        <v>12</v>
      </c>
      <c r="E2479" s="6" t="n">
        <v>40823.4472222222</v>
      </c>
      <c r="F2479" s="0" t="n">
        <v>0.85</v>
      </c>
      <c r="G2479" s="0" t="n">
        <v>12740</v>
      </c>
      <c r="H2479" s="0" t="s">
        <v>43</v>
      </c>
      <c r="I2479" s="7" t="n">
        <f aca="false">IF(AND(LEFT(A2479,1)&lt;&gt;"C",D2479&gt;0,F2479&gt;0),1,0)</f>
        <v>1</v>
      </c>
      <c r="J2479" s="7" t="n">
        <f aca="false">IF(I2479=1,D2479*F2479,0)</f>
        <v>10.2</v>
      </c>
      <c r="K2479" s="7" t="n">
        <f aca="false">YEAR(E2479)*100+MONTH(E2479)</f>
        <v>201110</v>
      </c>
      <c r="L2479" s="7" t="n">
        <f aca="false">IF(AND(A2479&lt;&gt;A2478,LEFT(A2479,1)&lt;&gt;"C"),1,0)</f>
        <v>0</v>
      </c>
    </row>
    <row r="2480" customFormat="false" ht="15" hidden="false" customHeight="false" outlineLevel="0" collapsed="false">
      <c r="A2480" s="0" t="s">
        <v>1939</v>
      </c>
      <c r="B2480" s="0" t="s">
        <v>195</v>
      </c>
      <c r="C2480" s="0" t="s">
        <v>196</v>
      </c>
      <c r="D2480" s="0" t="n">
        <v>12</v>
      </c>
      <c r="E2480" s="6" t="n">
        <v>40823.4472222222</v>
      </c>
      <c r="F2480" s="0" t="n">
        <v>0.85</v>
      </c>
      <c r="G2480" s="0" t="n">
        <v>12740</v>
      </c>
      <c r="H2480" s="0" t="s">
        <v>43</v>
      </c>
      <c r="I2480" s="7" t="n">
        <f aca="false">IF(AND(LEFT(A2480,1)&lt;&gt;"C",D2480&gt;0,F2480&gt;0),1,0)</f>
        <v>1</v>
      </c>
      <c r="J2480" s="7" t="n">
        <f aca="false">IF(I2480=1,D2480*F2480,0)</f>
        <v>10.2</v>
      </c>
      <c r="K2480" s="7" t="n">
        <f aca="false">YEAR(E2480)*100+MONTH(E2480)</f>
        <v>201110</v>
      </c>
      <c r="L2480" s="7" t="n">
        <f aca="false">IF(AND(A2480&lt;&gt;A2479,LEFT(A2480,1)&lt;&gt;"C"),1,0)</f>
        <v>0</v>
      </c>
    </row>
    <row r="2481" customFormat="false" ht="15" hidden="false" customHeight="false" outlineLevel="0" collapsed="false">
      <c r="A2481" s="0" t="s">
        <v>1939</v>
      </c>
      <c r="B2481" s="0" t="s">
        <v>197</v>
      </c>
      <c r="C2481" s="0" t="s">
        <v>198</v>
      </c>
      <c r="D2481" s="0" t="n">
        <v>12</v>
      </c>
      <c r="E2481" s="6" t="n">
        <v>40823.4472222222</v>
      </c>
      <c r="F2481" s="0" t="n">
        <v>0.85</v>
      </c>
      <c r="G2481" s="0" t="n">
        <v>12740</v>
      </c>
      <c r="H2481" s="0" t="s">
        <v>43</v>
      </c>
      <c r="I2481" s="7" t="n">
        <f aca="false">IF(AND(LEFT(A2481,1)&lt;&gt;"C",D2481&gt;0,F2481&gt;0),1,0)</f>
        <v>1</v>
      </c>
      <c r="J2481" s="7" t="n">
        <f aca="false">IF(I2481=1,D2481*F2481,0)</f>
        <v>10.2</v>
      </c>
      <c r="K2481" s="7" t="n">
        <f aca="false">YEAR(E2481)*100+MONTH(E2481)</f>
        <v>201110</v>
      </c>
      <c r="L2481" s="7" t="n">
        <f aca="false">IF(AND(A2481&lt;&gt;A2480,LEFT(A2481,1)&lt;&gt;"C"),1,0)</f>
        <v>0</v>
      </c>
    </row>
    <row r="2482" customFormat="false" ht="15" hidden="false" customHeight="false" outlineLevel="0" collapsed="false">
      <c r="A2482" s="0" t="s">
        <v>1939</v>
      </c>
      <c r="B2482" s="0" t="s">
        <v>157</v>
      </c>
      <c r="C2482" s="0" t="s">
        <v>158</v>
      </c>
      <c r="D2482" s="0" t="n">
        <v>12</v>
      </c>
      <c r="E2482" s="6" t="n">
        <v>40823.4472222222</v>
      </c>
      <c r="F2482" s="0" t="n">
        <v>0.65</v>
      </c>
      <c r="G2482" s="0" t="n">
        <v>12740</v>
      </c>
      <c r="H2482" s="0" t="s">
        <v>43</v>
      </c>
      <c r="I2482" s="7" t="n">
        <f aca="false">IF(AND(LEFT(A2482,1)&lt;&gt;"C",D2482&gt;0,F2482&gt;0),1,0)</f>
        <v>1</v>
      </c>
      <c r="J2482" s="7" t="n">
        <f aca="false">IF(I2482=1,D2482*F2482,0)</f>
        <v>7.8</v>
      </c>
      <c r="K2482" s="7" t="n">
        <f aca="false">YEAR(E2482)*100+MONTH(E2482)</f>
        <v>201110</v>
      </c>
      <c r="L2482" s="7" t="n">
        <f aca="false">IF(AND(A2482&lt;&gt;A2481,LEFT(A2482,1)&lt;&gt;"C"),1,0)</f>
        <v>0</v>
      </c>
    </row>
    <row r="2483" customFormat="false" ht="15" hidden="false" customHeight="false" outlineLevel="0" collapsed="false">
      <c r="A2483" s="0" t="s">
        <v>1939</v>
      </c>
      <c r="B2483" s="0" t="s">
        <v>193</v>
      </c>
      <c r="C2483" s="0" t="s">
        <v>194</v>
      </c>
      <c r="D2483" s="0" t="n">
        <v>12</v>
      </c>
      <c r="E2483" s="6" t="n">
        <v>40823.4472222222</v>
      </c>
      <c r="F2483" s="0" t="n">
        <v>0.65</v>
      </c>
      <c r="G2483" s="0" t="n">
        <v>12740</v>
      </c>
      <c r="H2483" s="0" t="s">
        <v>43</v>
      </c>
      <c r="I2483" s="7" t="n">
        <f aca="false">IF(AND(LEFT(A2483,1)&lt;&gt;"C",D2483&gt;0,F2483&gt;0),1,0)</f>
        <v>1</v>
      </c>
      <c r="J2483" s="7" t="n">
        <f aca="false">IF(I2483=1,D2483*F2483,0)</f>
        <v>7.8</v>
      </c>
      <c r="K2483" s="7" t="n">
        <f aca="false">YEAR(E2483)*100+MONTH(E2483)</f>
        <v>201110</v>
      </c>
      <c r="L2483" s="7" t="n">
        <f aca="false">IF(AND(A2483&lt;&gt;A2482,LEFT(A2483,1)&lt;&gt;"C"),1,0)</f>
        <v>0</v>
      </c>
    </row>
    <row r="2484" customFormat="false" ht="15" hidden="false" customHeight="false" outlineLevel="0" collapsed="false">
      <c r="A2484" s="0" t="s">
        <v>1939</v>
      </c>
      <c r="B2484" s="0" t="s">
        <v>217</v>
      </c>
      <c r="C2484" s="0" t="s">
        <v>218</v>
      </c>
      <c r="D2484" s="0" t="n">
        <v>24</v>
      </c>
      <c r="E2484" s="6" t="n">
        <v>40823.4472222222</v>
      </c>
      <c r="F2484" s="0" t="n">
        <v>0.55</v>
      </c>
      <c r="G2484" s="0" t="n">
        <v>12740</v>
      </c>
      <c r="H2484" s="0" t="s">
        <v>43</v>
      </c>
      <c r="I2484" s="7" t="n">
        <f aca="false">IF(AND(LEFT(A2484,1)&lt;&gt;"C",D2484&gt;0,F2484&gt;0),1,0)</f>
        <v>1</v>
      </c>
      <c r="J2484" s="7" t="n">
        <f aca="false">IF(I2484=1,D2484*F2484,0)</f>
        <v>13.2</v>
      </c>
      <c r="K2484" s="7" t="n">
        <f aca="false">YEAR(E2484)*100+MONTH(E2484)</f>
        <v>201110</v>
      </c>
      <c r="L2484" s="7" t="n">
        <f aca="false">IF(AND(A2484&lt;&gt;A2483,LEFT(A2484,1)&lt;&gt;"C"),1,0)</f>
        <v>0</v>
      </c>
    </row>
    <row r="2485" customFormat="false" ht="15" hidden="false" customHeight="false" outlineLevel="0" collapsed="false">
      <c r="A2485" s="0" t="s">
        <v>1939</v>
      </c>
      <c r="B2485" s="0" t="s">
        <v>219</v>
      </c>
      <c r="C2485" s="0" t="s">
        <v>220</v>
      </c>
      <c r="D2485" s="0" t="n">
        <v>24</v>
      </c>
      <c r="E2485" s="6" t="n">
        <v>40823.4472222222</v>
      </c>
      <c r="F2485" s="0" t="n">
        <v>0.55</v>
      </c>
      <c r="G2485" s="0" t="n">
        <v>12740</v>
      </c>
      <c r="H2485" s="0" t="s">
        <v>43</v>
      </c>
      <c r="I2485" s="7" t="n">
        <f aca="false">IF(AND(LEFT(A2485,1)&lt;&gt;"C",D2485&gt;0,F2485&gt;0),1,0)</f>
        <v>1</v>
      </c>
      <c r="J2485" s="7" t="n">
        <f aca="false">IF(I2485=1,D2485*F2485,0)</f>
        <v>13.2</v>
      </c>
      <c r="K2485" s="7" t="n">
        <f aca="false">YEAR(E2485)*100+MONTH(E2485)</f>
        <v>201110</v>
      </c>
      <c r="L2485" s="7" t="n">
        <f aca="false">IF(AND(A2485&lt;&gt;A2484,LEFT(A2485,1)&lt;&gt;"C"),1,0)</f>
        <v>0</v>
      </c>
    </row>
    <row r="2486" customFormat="false" ht="15" hidden="false" customHeight="false" outlineLevel="0" collapsed="false">
      <c r="A2486" s="0" t="s">
        <v>1939</v>
      </c>
      <c r="B2486" s="0" t="s">
        <v>771</v>
      </c>
      <c r="C2486" s="0" t="s">
        <v>772</v>
      </c>
      <c r="D2486" s="0" t="n">
        <v>24</v>
      </c>
      <c r="E2486" s="6" t="n">
        <v>40823.4472222222</v>
      </c>
      <c r="F2486" s="0" t="n">
        <v>0.55</v>
      </c>
      <c r="G2486" s="0" t="n">
        <v>12740</v>
      </c>
      <c r="H2486" s="0" t="s">
        <v>43</v>
      </c>
      <c r="I2486" s="7" t="n">
        <f aca="false">IF(AND(LEFT(A2486,1)&lt;&gt;"C",D2486&gt;0,F2486&gt;0),1,0)</f>
        <v>1</v>
      </c>
      <c r="J2486" s="7" t="n">
        <f aca="false">IF(I2486=1,D2486*F2486,0)</f>
        <v>13.2</v>
      </c>
      <c r="K2486" s="7" t="n">
        <f aca="false">YEAR(E2486)*100+MONTH(E2486)</f>
        <v>201110</v>
      </c>
      <c r="L2486" s="7" t="n">
        <f aca="false">IF(AND(A2486&lt;&gt;A2485,LEFT(A2486,1)&lt;&gt;"C"),1,0)</f>
        <v>0</v>
      </c>
    </row>
    <row r="2487" customFormat="false" ht="15" hidden="false" customHeight="false" outlineLevel="0" collapsed="false">
      <c r="A2487" s="0" t="s">
        <v>1942</v>
      </c>
      <c r="B2487" s="0" t="s">
        <v>1751</v>
      </c>
      <c r="C2487" s="0" t="s">
        <v>1752</v>
      </c>
      <c r="D2487" s="0" t="n">
        <v>144</v>
      </c>
      <c r="E2487" s="6" t="n">
        <v>40823.4715277778</v>
      </c>
      <c r="F2487" s="0" t="n">
        <v>1.06</v>
      </c>
      <c r="G2487" s="0" t="n">
        <v>12524</v>
      </c>
      <c r="H2487" s="0" t="s">
        <v>33</v>
      </c>
      <c r="I2487" s="7" t="n">
        <f aca="false">IF(AND(LEFT(A2487,1)&lt;&gt;"C",D2487&gt;0,F2487&gt;0),1,0)</f>
        <v>1</v>
      </c>
      <c r="J2487" s="7" t="n">
        <f aca="false">IF(I2487=1,D2487*F2487,0)</f>
        <v>152.64</v>
      </c>
      <c r="K2487" s="7" t="n">
        <f aca="false">YEAR(E2487)*100+MONTH(E2487)</f>
        <v>201110</v>
      </c>
      <c r="L2487" s="7" t="n">
        <f aca="false">IF(AND(A2487&lt;&gt;A2486,LEFT(A2487,1)&lt;&gt;"C"),1,0)</f>
        <v>1</v>
      </c>
    </row>
    <row r="2488" customFormat="false" ht="15" hidden="false" customHeight="false" outlineLevel="0" collapsed="false">
      <c r="A2488" s="0" t="s">
        <v>1942</v>
      </c>
      <c r="B2488" s="0" t="s">
        <v>369</v>
      </c>
      <c r="C2488" s="0" t="s">
        <v>370</v>
      </c>
      <c r="D2488" s="0" t="n">
        <v>100</v>
      </c>
      <c r="E2488" s="6" t="n">
        <v>40823.4715277778</v>
      </c>
      <c r="F2488" s="0" t="n">
        <v>0.04</v>
      </c>
      <c r="G2488" s="0" t="n">
        <v>12524</v>
      </c>
      <c r="H2488" s="0" t="s">
        <v>33</v>
      </c>
      <c r="I2488" s="7" t="n">
        <f aca="false">IF(AND(LEFT(A2488,1)&lt;&gt;"C",D2488&gt;0,F2488&gt;0),1,0)</f>
        <v>1</v>
      </c>
      <c r="J2488" s="7" t="n">
        <f aca="false">IF(I2488=1,D2488*F2488,0)</f>
        <v>4</v>
      </c>
      <c r="K2488" s="7" t="n">
        <f aca="false">YEAR(E2488)*100+MONTH(E2488)</f>
        <v>201110</v>
      </c>
      <c r="L2488" s="7" t="n">
        <f aca="false">IF(AND(A2488&lt;&gt;A2487,LEFT(A2488,1)&lt;&gt;"C"),1,0)</f>
        <v>0</v>
      </c>
    </row>
    <row r="2489" customFormat="false" ht="15" hidden="false" customHeight="false" outlineLevel="0" collapsed="false">
      <c r="A2489" s="0" t="s">
        <v>1942</v>
      </c>
      <c r="B2489" s="0" t="s">
        <v>649</v>
      </c>
      <c r="C2489" s="0" t="s">
        <v>650</v>
      </c>
      <c r="D2489" s="0" t="n">
        <v>12</v>
      </c>
      <c r="E2489" s="6" t="n">
        <v>40823.4715277778</v>
      </c>
      <c r="F2489" s="0" t="n">
        <v>0.39</v>
      </c>
      <c r="G2489" s="0" t="n">
        <v>12524</v>
      </c>
      <c r="H2489" s="0" t="s">
        <v>33</v>
      </c>
      <c r="I2489" s="7" t="n">
        <f aca="false">IF(AND(LEFT(A2489,1)&lt;&gt;"C",D2489&gt;0,F2489&gt;0),1,0)</f>
        <v>1</v>
      </c>
      <c r="J2489" s="7" t="n">
        <f aca="false">IF(I2489=1,D2489*F2489,0)</f>
        <v>4.68</v>
      </c>
      <c r="K2489" s="7" t="n">
        <f aca="false">YEAR(E2489)*100+MONTH(E2489)</f>
        <v>201110</v>
      </c>
      <c r="L2489" s="7" t="n">
        <f aca="false">IF(AND(A2489&lt;&gt;A2488,LEFT(A2489,1)&lt;&gt;"C"),1,0)</f>
        <v>0</v>
      </c>
    </row>
    <row r="2490" customFormat="false" ht="15" hidden="false" customHeight="false" outlineLevel="0" collapsed="false">
      <c r="A2490" s="0" t="s">
        <v>1942</v>
      </c>
      <c r="B2490" s="0" t="s">
        <v>1943</v>
      </c>
      <c r="C2490" s="0" t="s">
        <v>1944</v>
      </c>
      <c r="D2490" s="0" t="n">
        <v>36</v>
      </c>
      <c r="E2490" s="6" t="n">
        <v>40823.4715277778</v>
      </c>
      <c r="F2490" s="0" t="n">
        <v>0.19</v>
      </c>
      <c r="G2490" s="0" t="n">
        <v>12524</v>
      </c>
      <c r="H2490" s="0" t="s">
        <v>33</v>
      </c>
      <c r="I2490" s="7" t="n">
        <f aca="false">IF(AND(LEFT(A2490,1)&lt;&gt;"C",D2490&gt;0,F2490&gt;0),1,0)</f>
        <v>1</v>
      </c>
      <c r="J2490" s="7" t="n">
        <f aca="false">IF(I2490=1,D2490*F2490,0)</f>
        <v>6.84</v>
      </c>
      <c r="K2490" s="7" t="n">
        <f aca="false">YEAR(E2490)*100+MONTH(E2490)</f>
        <v>201110</v>
      </c>
      <c r="L2490" s="7" t="n">
        <f aca="false">IF(AND(A2490&lt;&gt;A2489,LEFT(A2490,1)&lt;&gt;"C"),1,0)</f>
        <v>0</v>
      </c>
    </row>
    <row r="2491" customFormat="false" ht="15" hidden="false" customHeight="false" outlineLevel="0" collapsed="false">
      <c r="A2491" s="0" t="s">
        <v>1942</v>
      </c>
      <c r="B2491" s="0" t="s">
        <v>1572</v>
      </c>
      <c r="C2491" s="0" t="s">
        <v>1573</v>
      </c>
      <c r="D2491" s="0" t="n">
        <v>72</v>
      </c>
      <c r="E2491" s="6" t="n">
        <v>40823.4715277778</v>
      </c>
      <c r="F2491" s="0" t="n">
        <v>0.19</v>
      </c>
      <c r="G2491" s="0" t="n">
        <v>12524</v>
      </c>
      <c r="H2491" s="0" t="s">
        <v>33</v>
      </c>
      <c r="I2491" s="7" t="n">
        <f aca="false">IF(AND(LEFT(A2491,1)&lt;&gt;"C",D2491&gt;0,F2491&gt;0),1,0)</f>
        <v>1</v>
      </c>
      <c r="J2491" s="7" t="n">
        <f aca="false">IF(I2491=1,D2491*F2491,0)</f>
        <v>13.68</v>
      </c>
      <c r="K2491" s="7" t="n">
        <f aca="false">YEAR(E2491)*100+MONTH(E2491)</f>
        <v>201110</v>
      </c>
      <c r="L2491" s="7" t="n">
        <f aca="false">IF(AND(A2491&lt;&gt;A2490,LEFT(A2491,1)&lt;&gt;"C"),1,0)</f>
        <v>0</v>
      </c>
    </row>
    <row r="2492" customFormat="false" ht="15" hidden="false" customHeight="false" outlineLevel="0" collapsed="false">
      <c r="A2492" s="0" t="s">
        <v>1942</v>
      </c>
      <c r="B2492" s="0" t="s">
        <v>159</v>
      </c>
      <c r="C2492" s="0" t="s">
        <v>160</v>
      </c>
      <c r="D2492" s="0" t="n">
        <v>30</v>
      </c>
      <c r="E2492" s="6" t="n">
        <v>40823.4715277778</v>
      </c>
      <c r="F2492" s="0" t="n">
        <v>2.55</v>
      </c>
      <c r="G2492" s="0" t="n">
        <v>12524</v>
      </c>
      <c r="H2492" s="0" t="s">
        <v>33</v>
      </c>
      <c r="I2492" s="7" t="n">
        <f aca="false">IF(AND(LEFT(A2492,1)&lt;&gt;"C",D2492&gt;0,F2492&gt;0),1,0)</f>
        <v>1</v>
      </c>
      <c r="J2492" s="7" t="n">
        <f aca="false">IF(I2492=1,D2492*F2492,0)</f>
        <v>76.5</v>
      </c>
      <c r="K2492" s="7" t="n">
        <f aca="false">YEAR(E2492)*100+MONTH(E2492)</f>
        <v>201110</v>
      </c>
      <c r="L2492" s="7" t="n">
        <f aca="false">IF(AND(A2492&lt;&gt;A2491,LEFT(A2492,1)&lt;&gt;"C"),1,0)</f>
        <v>0</v>
      </c>
    </row>
    <row r="2493" customFormat="false" ht="15" hidden="false" customHeight="false" outlineLevel="0" collapsed="false">
      <c r="A2493" s="0" t="s">
        <v>1942</v>
      </c>
      <c r="B2493" s="0" t="s">
        <v>1945</v>
      </c>
      <c r="C2493" s="0" t="s">
        <v>1946</v>
      </c>
      <c r="D2493" s="0" t="n">
        <v>24</v>
      </c>
      <c r="E2493" s="6" t="n">
        <v>40823.4715277778</v>
      </c>
      <c r="F2493" s="0" t="n">
        <v>0.12</v>
      </c>
      <c r="G2493" s="0" t="n">
        <v>12524</v>
      </c>
      <c r="H2493" s="0" t="s">
        <v>33</v>
      </c>
      <c r="I2493" s="7" t="n">
        <f aca="false">IF(AND(LEFT(A2493,1)&lt;&gt;"C",D2493&gt;0,F2493&gt;0),1,0)</f>
        <v>1</v>
      </c>
      <c r="J2493" s="7" t="n">
        <f aca="false">IF(I2493=1,D2493*F2493,0)</f>
        <v>2.88</v>
      </c>
      <c r="K2493" s="7" t="n">
        <f aca="false">YEAR(E2493)*100+MONTH(E2493)</f>
        <v>201110</v>
      </c>
      <c r="L2493" s="7" t="n">
        <f aca="false">IF(AND(A2493&lt;&gt;A2492,LEFT(A2493,1)&lt;&gt;"C"),1,0)</f>
        <v>0</v>
      </c>
    </row>
    <row r="2494" customFormat="false" ht="15" hidden="false" customHeight="false" outlineLevel="0" collapsed="false">
      <c r="A2494" s="0" t="s">
        <v>1942</v>
      </c>
      <c r="B2494" s="0" t="s">
        <v>1701</v>
      </c>
      <c r="C2494" s="0" t="s">
        <v>1702</v>
      </c>
      <c r="D2494" s="0" t="n">
        <v>432</v>
      </c>
      <c r="E2494" s="6" t="n">
        <v>40823.4715277778</v>
      </c>
      <c r="F2494" s="0" t="n">
        <v>0.32</v>
      </c>
      <c r="G2494" s="0" t="n">
        <v>12524</v>
      </c>
      <c r="H2494" s="0" t="s">
        <v>33</v>
      </c>
      <c r="I2494" s="7" t="n">
        <f aca="false">IF(AND(LEFT(A2494,1)&lt;&gt;"C",D2494&gt;0,F2494&gt;0),1,0)</f>
        <v>1</v>
      </c>
      <c r="J2494" s="7" t="n">
        <f aca="false">IF(I2494=1,D2494*F2494,0)</f>
        <v>138.24</v>
      </c>
      <c r="K2494" s="7" t="n">
        <f aca="false">YEAR(E2494)*100+MONTH(E2494)</f>
        <v>201110</v>
      </c>
      <c r="L2494" s="7" t="n">
        <f aca="false">IF(AND(A2494&lt;&gt;A2493,LEFT(A2494,1)&lt;&gt;"C"),1,0)</f>
        <v>0</v>
      </c>
    </row>
    <row r="2495" customFormat="false" ht="15" hidden="false" customHeight="false" outlineLevel="0" collapsed="false">
      <c r="A2495" s="0" t="s">
        <v>1942</v>
      </c>
      <c r="B2495" s="0" t="s">
        <v>1175</v>
      </c>
      <c r="C2495" s="0" t="s">
        <v>1176</v>
      </c>
      <c r="D2495" s="0" t="n">
        <v>6</v>
      </c>
      <c r="E2495" s="6" t="n">
        <v>40823.4715277778</v>
      </c>
      <c r="F2495" s="0" t="n">
        <v>2.08</v>
      </c>
      <c r="G2495" s="0" t="n">
        <v>12524</v>
      </c>
      <c r="H2495" s="0" t="s">
        <v>33</v>
      </c>
      <c r="I2495" s="7" t="n">
        <f aca="false">IF(AND(LEFT(A2495,1)&lt;&gt;"C",D2495&gt;0,F2495&gt;0),1,0)</f>
        <v>1</v>
      </c>
      <c r="J2495" s="7" t="n">
        <f aca="false">IF(I2495=1,D2495*F2495,0)</f>
        <v>12.48</v>
      </c>
      <c r="K2495" s="7" t="n">
        <f aca="false">YEAR(E2495)*100+MONTH(E2495)</f>
        <v>201110</v>
      </c>
      <c r="L2495" s="7" t="n">
        <f aca="false">IF(AND(A2495&lt;&gt;A2494,LEFT(A2495,1)&lt;&gt;"C"),1,0)</f>
        <v>0</v>
      </c>
    </row>
    <row r="2496" customFormat="false" ht="15" hidden="false" customHeight="false" outlineLevel="0" collapsed="false">
      <c r="A2496" s="0" t="s">
        <v>1942</v>
      </c>
      <c r="B2496" s="0" t="s">
        <v>1065</v>
      </c>
      <c r="C2496" s="0" t="s">
        <v>1066</v>
      </c>
      <c r="D2496" s="0" t="n">
        <v>30</v>
      </c>
      <c r="E2496" s="6" t="n">
        <v>40823.4715277778</v>
      </c>
      <c r="F2496" s="0" t="n">
        <v>2.08</v>
      </c>
      <c r="G2496" s="0" t="n">
        <v>12524</v>
      </c>
      <c r="H2496" s="0" t="s">
        <v>33</v>
      </c>
      <c r="I2496" s="7" t="n">
        <f aca="false">IF(AND(LEFT(A2496,1)&lt;&gt;"C",D2496&gt;0,F2496&gt;0),1,0)</f>
        <v>1</v>
      </c>
      <c r="J2496" s="7" t="n">
        <f aca="false">IF(I2496=1,D2496*F2496,0)</f>
        <v>62.4</v>
      </c>
      <c r="K2496" s="7" t="n">
        <f aca="false">YEAR(E2496)*100+MONTH(E2496)</f>
        <v>201110</v>
      </c>
      <c r="L2496" s="7" t="n">
        <f aca="false">IF(AND(A2496&lt;&gt;A2495,LEFT(A2496,1)&lt;&gt;"C"),1,0)</f>
        <v>0</v>
      </c>
    </row>
    <row r="2497" customFormat="false" ht="15" hidden="false" customHeight="false" outlineLevel="0" collapsed="false">
      <c r="A2497" s="0" t="s">
        <v>1942</v>
      </c>
      <c r="B2497" s="0" t="s">
        <v>1947</v>
      </c>
      <c r="C2497" s="0" t="s">
        <v>1948</v>
      </c>
      <c r="D2497" s="0" t="n">
        <v>12</v>
      </c>
      <c r="E2497" s="6" t="n">
        <v>40823.4715277778</v>
      </c>
      <c r="F2497" s="0" t="n">
        <v>0.85</v>
      </c>
      <c r="G2497" s="0" t="n">
        <v>12524</v>
      </c>
      <c r="H2497" s="0" t="s">
        <v>33</v>
      </c>
      <c r="I2497" s="7" t="n">
        <f aca="false">IF(AND(LEFT(A2497,1)&lt;&gt;"C",D2497&gt;0,F2497&gt;0),1,0)</f>
        <v>1</v>
      </c>
      <c r="J2497" s="7" t="n">
        <f aca="false">IF(I2497=1,D2497*F2497,0)</f>
        <v>10.2</v>
      </c>
      <c r="K2497" s="7" t="n">
        <f aca="false">YEAR(E2497)*100+MONTH(E2497)</f>
        <v>201110</v>
      </c>
      <c r="L2497" s="7" t="n">
        <f aca="false">IF(AND(A2497&lt;&gt;A2496,LEFT(A2497,1)&lt;&gt;"C"),1,0)</f>
        <v>0</v>
      </c>
    </row>
    <row r="2498" customFormat="false" ht="15" hidden="false" customHeight="false" outlineLevel="0" collapsed="false">
      <c r="A2498" s="0" t="s">
        <v>1942</v>
      </c>
      <c r="B2498" s="0" t="s">
        <v>1048</v>
      </c>
      <c r="C2498" s="0" t="s">
        <v>1049</v>
      </c>
      <c r="D2498" s="0" t="n">
        <v>12</v>
      </c>
      <c r="E2498" s="6" t="n">
        <v>40823.4715277778</v>
      </c>
      <c r="F2498" s="0" t="n">
        <v>4.15</v>
      </c>
      <c r="G2498" s="0" t="n">
        <v>12524</v>
      </c>
      <c r="H2498" s="0" t="s">
        <v>33</v>
      </c>
      <c r="I2498" s="7" t="n">
        <f aca="false">IF(AND(LEFT(A2498,1)&lt;&gt;"C",D2498&gt;0,F2498&gt;0),1,0)</f>
        <v>1</v>
      </c>
      <c r="J2498" s="7" t="n">
        <f aca="false">IF(I2498=1,D2498*F2498,0)</f>
        <v>49.8</v>
      </c>
      <c r="K2498" s="7" t="n">
        <f aca="false">YEAR(E2498)*100+MONTH(E2498)</f>
        <v>201110</v>
      </c>
      <c r="L2498" s="7" t="n">
        <f aca="false">IF(AND(A2498&lt;&gt;A2497,LEFT(A2498,1)&lt;&gt;"C"),1,0)</f>
        <v>0</v>
      </c>
    </row>
    <row r="2499" customFormat="false" ht="15" hidden="false" customHeight="false" outlineLevel="0" collapsed="false">
      <c r="A2499" s="0" t="s">
        <v>1942</v>
      </c>
      <c r="B2499" s="0" t="s">
        <v>1042</v>
      </c>
      <c r="C2499" s="0" t="s">
        <v>1043</v>
      </c>
      <c r="D2499" s="0" t="n">
        <v>4</v>
      </c>
      <c r="E2499" s="6" t="n">
        <v>40823.4715277778</v>
      </c>
      <c r="F2499" s="0" t="n">
        <v>4.15</v>
      </c>
      <c r="G2499" s="0" t="n">
        <v>12524</v>
      </c>
      <c r="H2499" s="0" t="s">
        <v>33</v>
      </c>
      <c r="I2499" s="7" t="n">
        <f aca="false">IF(AND(LEFT(A2499,1)&lt;&gt;"C",D2499&gt;0,F2499&gt;0),1,0)</f>
        <v>1</v>
      </c>
      <c r="J2499" s="7" t="n">
        <f aca="false">IF(I2499=1,D2499*F2499,0)</f>
        <v>16.6</v>
      </c>
      <c r="K2499" s="7" t="n">
        <f aca="false">YEAR(E2499)*100+MONTH(E2499)</f>
        <v>201110</v>
      </c>
      <c r="L2499" s="7" t="n">
        <f aca="false">IF(AND(A2499&lt;&gt;A2498,LEFT(A2499,1)&lt;&gt;"C"),1,0)</f>
        <v>0</v>
      </c>
    </row>
    <row r="2500" customFormat="false" ht="15" hidden="false" customHeight="false" outlineLevel="0" collapsed="false">
      <c r="A2500" s="0" t="s">
        <v>1942</v>
      </c>
      <c r="B2500" s="0" t="s">
        <v>60</v>
      </c>
      <c r="C2500" s="0" t="s">
        <v>61</v>
      </c>
      <c r="D2500" s="0" t="n">
        <v>60</v>
      </c>
      <c r="E2500" s="6" t="n">
        <v>40823.4715277778</v>
      </c>
      <c r="F2500" s="0" t="n">
        <v>2.1</v>
      </c>
      <c r="G2500" s="0" t="n">
        <v>12524</v>
      </c>
      <c r="H2500" s="0" t="s">
        <v>33</v>
      </c>
      <c r="I2500" s="7" t="n">
        <f aca="false">IF(AND(LEFT(A2500,1)&lt;&gt;"C",D2500&gt;0,F2500&gt;0),1,0)</f>
        <v>1</v>
      </c>
      <c r="J2500" s="7" t="n">
        <f aca="false">IF(I2500=1,D2500*F2500,0)</f>
        <v>126</v>
      </c>
      <c r="K2500" s="7" t="n">
        <f aca="false">YEAR(E2500)*100+MONTH(E2500)</f>
        <v>201110</v>
      </c>
      <c r="L2500" s="7" t="n">
        <f aca="false">IF(AND(A2500&lt;&gt;A2499,LEFT(A2500,1)&lt;&gt;"C"),1,0)</f>
        <v>0</v>
      </c>
    </row>
    <row r="2501" customFormat="false" ht="15" hidden="false" customHeight="false" outlineLevel="0" collapsed="false">
      <c r="A2501" s="0" t="s">
        <v>1942</v>
      </c>
      <c r="B2501" s="0" t="s">
        <v>58</v>
      </c>
      <c r="C2501" s="0" t="s">
        <v>59</v>
      </c>
      <c r="D2501" s="0" t="n">
        <v>60</v>
      </c>
      <c r="E2501" s="6" t="n">
        <v>40823.4715277778</v>
      </c>
      <c r="F2501" s="0" t="n">
        <v>2.1</v>
      </c>
      <c r="G2501" s="0" t="n">
        <v>12524</v>
      </c>
      <c r="H2501" s="0" t="s">
        <v>33</v>
      </c>
      <c r="I2501" s="7" t="n">
        <f aca="false">IF(AND(LEFT(A2501,1)&lt;&gt;"C",D2501&gt;0,F2501&gt;0),1,0)</f>
        <v>1</v>
      </c>
      <c r="J2501" s="7" t="n">
        <f aca="false">IF(I2501=1,D2501*F2501,0)</f>
        <v>126</v>
      </c>
      <c r="K2501" s="7" t="n">
        <f aca="false">YEAR(E2501)*100+MONTH(E2501)</f>
        <v>201110</v>
      </c>
      <c r="L2501" s="7" t="n">
        <f aca="false">IF(AND(A2501&lt;&gt;A2500,LEFT(A2501,1)&lt;&gt;"C"),1,0)</f>
        <v>0</v>
      </c>
    </row>
    <row r="2502" customFormat="false" ht="15" hidden="false" customHeight="false" outlineLevel="0" collapsed="false">
      <c r="A2502" s="0" t="s">
        <v>1942</v>
      </c>
      <c r="B2502" s="0" t="s">
        <v>1949</v>
      </c>
      <c r="C2502" s="0" t="s">
        <v>1950</v>
      </c>
      <c r="D2502" s="0" t="n">
        <v>72</v>
      </c>
      <c r="E2502" s="6" t="n">
        <v>40823.4715277778</v>
      </c>
      <c r="F2502" s="0" t="n">
        <v>0.39</v>
      </c>
      <c r="G2502" s="0" t="n">
        <v>12524</v>
      </c>
      <c r="H2502" s="0" t="s">
        <v>33</v>
      </c>
      <c r="I2502" s="7" t="n">
        <f aca="false">IF(AND(LEFT(A2502,1)&lt;&gt;"C",D2502&gt;0,F2502&gt;0),1,0)</f>
        <v>1</v>
      </c>
      <c r="J2502" s="7" t="n">
        <f aca="false">IF(I2502=1,D2502*F2502,0)</f>
        <v>28.08</v>
      </c>
      <c r="K2502" s="7" t="n">
        <f aca="false">YEAR(E2502)*100+MONTH(E2502)</f>
        <v>201110</v>
      </c>
      <c r="L2502" s="7" t="n">
        <f aca="false">IF(AND(A2502&lt;&gt;A2501,LEFT(A2502,1)&lt;&gt;"C"),1,0)</f>
        <v>0</v>
      </c>
    </row>
    <row r="2503" customFormat="false" ht="15" hidden="false" customHeight="false" outlineLevel="0" collapsed="false">
      <c r="A2503" s="0" t="s">
        <v>1942</v>
      </c>
      <c r="B2503" s="0" t="s">
        <v>1951</v>
      </c>
      <c r="C2503" s="0" t="s">
        <v>1952</v>
      </c>
      <c r="D2503" s="0" t="n">
        <v>24</v>
      </c>
      <c r="E2503" s="6" t="n">
        <v>40823.4715277778</v>
      </c>
      <c r="F2503" s="0" t="n">
        <v>0.29</v>
      </c>
      <c r="G2503" s="0" t="n">
        <v>12524</v>
      </c>
      <c r="H2503" s="0" t="s">
        <v>33</v>
      </c>
      <c r="I2503" s="7" t="n">
        <f aca="false">IF(AND(LEFT(A2503,1)&lt;&gt;"C",D2503&gt;0,F2503&gt;0),1,0)</f>
        <v>1</v>
      </c>
      <c r="J2503" s="7" t="n">
        <f aca="false">IF(I2503=1,D2503*F2503,0)</f>
        <v>6.96</v>
      </c>
      <c r="K2503" s="7" t="n">
        <f aca="false">YEAR(E2503)*100+MONTH(E2503)</f>
        <v>201110</v>
      </c>
      <c r="L2503" s="7" t="n">
        <f aca="false">IF(AND(A2503&lt;&gt;A2502,LEFT(A2503,1)&lt;&gt;"C"),1,0)</f>
        <v>0</v>
      </c>
    </row>
    <row r="2504" customFormat="false" ht="15" hidden="false" customHeight="false" outlineLevel="0" collapsed="false">
      <c r="A2504" s="0" t="s">
        <v>1942</v>
      </c>
      <c r="B2504" s="0" t="s">
        <v>1953</v>
      </c>
      <c r="C2504" s="0" t="s">
        <v>1954</v>
      </c>
      <c r="D2504" s="0" t="n">
        <v>24</v>
      </c>
      <c r="E2504" s="6" t="n">
        <v>40823.4715277778</v>
      </c>
      <c r="F2504" s="0" t="n">
        <v>0.29</v>
      </c>
      <c r="G2504" s="0" t="n">
        <v>12524</v>
      </c>
      <c r="H2504" s="0" t="s">
        <v>33</v>
      </c>
      <c r="I2504" s="7" t="n">
        <f aca="false">IF(AND(LEFT(A2504,1)&lt;&gt;"C",D2504&gt;0,F2504&gt;0),1,0)</f>
        <v>1</v>
      </c>
      <c r="J2504" s="7" t="n">
        <f aca="false">IF(I2504=1,D2504*F2504,0)</f>
        <v>6.96</v>
      </c>
      <c r="K2504" s="7" t="n">
        <f aca="false">YEAR(E2504)*100+MONTH(E2504)</f>
        <v>201110</v>
      </c>
      <c r="L2504" s="7" t="n">
        <f aca="false">IF(AND(A2504&lt;&gt;A2503,LEFT(A2504,1)&lt;&gt;"C"),1,0)</f>
        <v>0</v>
      </c>
    </row>
    <row r="2505" customFormat="false" ht="15" hidden="false" customHeight="false" outlineLevel="0" collapsed="false">
      <c r="A2505" s="0" t="s">
        <v>1942</v>
      </c>
      <c r="B2505" s="0" t="s">
        <v>1371</v>
      </c>
      <c r="C2505" s="0" t="s">
        <v>1372</v>
      </c>
      <c r="D2505" s="0" t="n">
        <v>24</v>
      </c>
      <c r="E2505" s="6" t="n">
        <v>40823.4715277778</v>
      </c>
      <c r="F2505" s="0" t="n">
        <v>0.29</v>
      </c>
      <c r="G2505" s="0" t="n">
        <v>12524</v>
      </c>
      <c r="H2505" s="0" t="s">
        <v>33</v>
      </c>
      <c r="I2505" s="7" t="n">
        <f aca="false">IF(AND(LEFT(A2505,1)&lt;&gt;"C",D2505&gt;0,F2505&gt;0),1,0)</f>
        <v>1</v>
      </c>
      <c r="J2505" s="7" t="n">
        <f aca="false">IF(I2505=1,D2505*F2505,0)</f>
        <v>6.96</v>
      </c>
      <c r="K2505" s="7" t="n">
        <f aca="false">YEAR(E2505)*100+MONTH(E2505)</f>
        <v>201110</v>
      </c>
      <c r="L2505" s="7" t="n">
        <f aca="false">IF(AND(A2505&lt;&gt;A2504,LEFT(A2505,1)&lt;&gt;"C"),1,0)</f>
        <v>0</v>
      </c>
    </row>
    <row r="2506" customFormat="false" ht="15" hidden="false" customHeight="false" outlineLevel="0" collapsed="false">
      <c r="A2506" s="0" t="s">
        <v>1942</v>
      </c>
      <c r="B2506" s="0" t="s">
        <v>1955</v>
      </c>
      <c r="C2506" s="0" t="s">
        <v>1956</v>
      </c>
      <c r="D2506" s="0" t="n">
        <v>96</v>
      </c>
      <c r="E2506" s="6" t="n">
        <v>40823.4715277778</v>
      </c>
      <c r="F2506" s="0" t="n">
        <v>0.19</v>
      </c>
      <c r="G2506" s="0" t="n">
        <v>12524</v>
      </c>
      <c r="H2506" s="0" t="s">
        <v>33</v>
      </c>
      <c r="I2506" s="7" t="n">
        <f aca="false">IF(AND(LEFT(A2506,1)&lt;&gt;"C",D2506&gt;0,F2506&gt;0),1,0)</f>
        <v>1</v>
      </c>
      <c r="J2506" s="7" t="n">
        <f aca="false">IF(I2506=1,D2506*F2506,0)</f>
        <v>18.24</v>
      </c>
      <c r="K2506" s="7" t="n">
        <f aca="false">YEAR(E2506)*100+MONTH(E2506)</f>
        <v>201110</v>
      </c>
      <c r="L2506" s="7" t="n">
        <f aca="false">IF(AND(A2506&lt;&gt;A2505,LEFT(A2506,1)&lt;&gt;"C"),1,0)</f>
        <v>0</v>
      </c>
    </row>
    <row r="2507" customFormat="false" ht="15" hidden="false" customHeight="false" outlineLevel="0" collapsed="false">
      <c r="A2507" s="0" t="s">
        <v>1942</v>
      </c>
      <c r="B2507" s="0" t="s">
        <v>1957</v>
      </c>
      <c r="C2507" s="0" t="s">
        <v>1958</v>
      </c>
      <c r="D2507" s="0" t="n">
        <v>12</v>
      </c>
      <c r="E2507" s="6" t="n">
        <v>40823.4715277778</v>
      </c>
      <c r="F2507" s="0" t="n">
        <v>1.25</v>
      </c>
      <c r="G2507" s="0" t="n">
        <v>12524</v>
      </c>
      <c r="H2507" s="0" t="s">
        <v>33</v>
      </c>
      <c r="I2507" s="7" t="n">
        <f aca="false">IF(AND(LEFT(A2507,1)&lt;&gt;"C",D2507&gt;0,F2507&gt;0),1,0)</f>
        <v>1</v>
      </c>
      <c r="J2507" s="7" t="n">
        <f aca="false">IF(I2507=1,D2507*F2507,0)</f>
        <v>15</v>
      </c>
      <c r="K2507" s="7" t="n">
        <f aca="false">YEAR(E2507)*100+MONTH(E2507)</f>
        <v>201110</v>
      </c>
      <c r="L2507" s="7" t="n">
        <f aca="false">IF(AND(A2507&lt;&gt;A2506,LEFT(A2507,1)&lt;&gt;"C"),1,0)</f>
        <v>0</v>
      </c>
    </row>
    <row r="2508" customFormat="false" ht="15" hidden="false" customHeight="false" outlineLevel="0" collapsed="false">
      <c r="A2508" s="0" t="s">
        <v>1942</v>
      </c>
      <c r="B2508" s="0" t="s">
        <v>1959</v>
      </c>
      <c r="C2508" s="0" t="s">
        <v>1960</v>
      </c>
      <c r="D2508" s="0" t="n">
        <v>4</v>
      </c>
      <c r="E2508" s="6" t="n">
        <v>40823.4715277778</v>
      </c>
      <c r="F2508" s="0" t="n">
        <v>6.95</v>
      </c>
      <c r="G2508" s="0" t="n">
        <v>12524</v>
      </c>
      <c r="H2508" s="0" t="s">
        <v>33</v>
      </c>
      <c r="I2508" s="7" t="n">
        <f aca="false">IF(AND(LEFT(A2508,1)&lt;&gt;"C",D2508&gt;0,F2508&gt;0),1,0)</f>
        <v>1</v>
      </c>
      <c r="J2508" s="7" t="n">
        <f aca="false">IF(I2508=1,D2508*F2508,0)</f>
        <v>27.8</v>
      </c>
      <c r="K2508" s="7" t="n">
        <f aca="false">YEAR(E2508)*100+MONTH(E2508)</f>
        <v>201110</v>
      </c>
      <c r="L2508" s="7" t="n">
        <f aca="false">IF(AND(A2508&lt;&gt;A2507,LEFT(A2508,1)&lt;&gt;"C"),1,0)</f>
        <v>0</v>
      </c>
    </row>
    <row r="2509" customFormat="false" ht="15" hidden="false" customHeight="false" outlineLevel="0" collapsed="false">
      <c r="A2509" s="0" t="s">
        <v>1942</v>
      </c>
      <c r="B2509" s="0" t="s">
        <v>1961</v>
      </c>
      <c r="C2509" s="0" t="s">
        <v>1962</v>
      </c>
      <c r="D2509" s="0" t="n">
        <v>2</v>
      </c>
      <c r="E2509" s="6" t="n">
        <v>40823.4715277778</v>
      </c>
      <c r="F2509" s="0" t="n">
        <v>8.25</v>
      </c>
      <c r="G2509" s="0" t="n">
        <v>12524</v>
      </c>
      <c r="H2509" s="0" t="s">
        <v>33</v>
      </c>
      <c r="I2509" s="7" t="n">
        <f aca="false">IF(AND(LEFT(A2509,1)&lt;&gt;"C",D2509&gt;0,F2509&gt;0),1,0)</f>
        <v>1</v>
      </c>
      <c r="J2509" s="7" t="n">
        <f aca="false">IF(I2509=1,D2509*F2509,0)</f>
        <v>16.5</v>
      </c>
      <c r="K2509" s="7" t="n">
        <f aca="false">YEAR(E2509)*100+MONTH(E2509)</f>
        <v>201110</v>
      </c>
      <c r="L2509" s="7" t="n">
        <f aca="false">IF(AND(A2509&lt;&gt;A2508,LEFT(A2509,1)&lt;&gt;"C"),1,0)</f>
        <v>0</v>
      </c>
    </row>
    <row r="2510" customFormat="false" ht="15" hidden="false" customHeight="false" outlineLevel="0" collapsed="false">
      <c r="A2510" s="0" t="s">
        <v>1942</v>
      </c>
      <c r="B2510" s="0" t="s">
        <v>84</v>
      </c>
      <c r="C2510" s="0" t="s">
        <v>85</v>
      </c>
      <c r="D2510" s="0" t="n">
        <v>7</v>
      </c>
      <c r="E2510" s="6" t="n">
        <v>40823.4715277778</v>
      </c>
      <c r="F2510" s="0" t="n">
        <v>18</v>
      </c>
      <c r="G2510" s="0" t="n">
        <v>12524</v>
      </c>
      <c r="H2510" s="0" t="s">
        <v>33</v>
      </c>
      <c r="I2510" s="7" t="n">
        <f aca="false">IF(AND(LEFT(A2510,1)&lt;&gt;"C",D2510&gt;0,F2510&gt;0),1,0)</f>
        <v>1</v>
      </c>
      <c r="J2510" s="7" t="n">
        <f aca="false">IF(I2510=1,D2510*F2510,0)</f>
        <v>126</v>
      </c>
      <c r="K2510" s="7" t="n">
        <f aca="false">YEAR(E2510)*100+MONTH(E2510)</f>
        <v>201110</v>
      </c>
      <c r="L2510" s="7" t="n">
        <f aca="false">IF(AND(A2510&lt;&gt;A2509,LEFT(A2510,1)&lt;&gt;"C"),1,0)</f>
        <v>0</v>
      </c>
    </row>
    <row r="2511" customFormat="false" ht="15" hidden="false" customHeight="false" outlineLevel="0" collapsed="false">
      <c r="A2511" s="0" t="s">
        <v>1963</v>
      </c>
      <c r="B2511" s="0" t="s">
        <v>1964</v>
      </c>
      <c r="C2511" s="0" t="s">
        <v>1965</v>
      </c>
      <c r="D2511" s="0" t="n">
        <v>4</v>
      </c>
      <c r="E2511" s="6" t="n">
        <v>40823.4979166667</v>
      </c>
      <c r="F2511" s="0" t="n">
        <v>8.25</v>
      </c>
      <c r="G2511" s="0" t="n">
        <v>12528</v>
      </c>
      <c r="H2511" s="0" t="s">
        <v>33</v>
      </c>
      <c r="I2511" s="7" t="n">
        <f aca="false">IF(AND(LEFT(A2511,1)&lt;&gt;"C",D2511&gt;0,F2511&gt;0),1,0)</f>
        <v>1</v>
      </c>
      <c r="J2511" s="7" t="n">
        <f aca="false">IF(I2511=1,D2511*F2511,0)</f>
        <v>33</v>
      </c>
      <c r="K2511" s="7" t="n">
        <f aca="false">YEAR(E2511)*100+MONTH(E2511)</f>
        <v>201110</v>
      </c>
      <c r="L2511" s="7" t="n">
        <f aca="false">IF(AND(A2511&lt;&gt;A2510,LEFT(A2511,1)&lt;&gt;"C"),1,0)</f>
        <v>1</v>
      </c>
    </row>
    <row r="2512" customFormat="false" ht="15" hidden="false" customHeight="false" outlineLevel="0" collapsed="false">
      <c r="A2512" s="0" t="s">
        <v>1963</v>
      </c>
      <c r="B2512" s="0" t="s">
        <v>1966</v>
      </c>
      <c r="C2512" s="0" t="s">
        <v>1967</v>
      </c>
      <c r="D2512" s="0" t="n">
        <v>4</v>
      </c>
      <c r="E2512" s="6" t="n">
        <v>40823.4979166667</v>
      </c>
      <c r="F2512" s="0" t="n">
        <v>3.75</v>
      </c>
      <c r="G2512" s="0" t="n">
        <v>12528</v>
      </c>
      <c r="H2512" s="0" t="s">
        <v>33</v>
      </c>
      <c r="I2512" s="7" t="n">
        <f aca="false">IF(AND(LEFT(A2512,1)&lt;&gt;"C",D2512&gt;0,F2512&gt;0),1,0)</f>
        <v>1</v>
      </c>
      <c r="J2512" s="7" t="n">
        <f aca="false">IF(I2512=1,D2512*F2512,0)</f>
        <v>15</v>
      </c>
      <c r="K2512" s="7" t="n">
        <f aca="false">YEAR(E2512)*100+MONTH(E2512)</f>
        <v>201110</v>
      </c>
      <c r="L2512" s="7" t="n">
        <f aca="false">IF(AND(A2512&lt;&gt;A2511,LEFT(A2512,1)&lt;&gt;"C"),1,0)</f>
        <v>0</v>
      </c>
    </row>
    <row r="2513" customFormat="false" ht="15" hidden="false" customHeight="false" outlineLevel="0" collapsed="false">
      <c r="A2513" s="0" t="s">
        <v>1963</v>
      </c>
      <c r="B2513" s="0" t="s">
        <v>1968</v>
      </c>
      <c r="C2513" s="0" t="s">
        <v>1969</v>
      </c>
      <c r="D2513" s="0" t="n">
        <v>4</v>
      </c>
      <c r="E2513" s="6" t="n">
        <v>40823.4979166667</v>
      </c>
      <c r="F2513" s="0" t="n">
        <v>3.75</v>
      </c>
      <c r="G2513" s="0" t="n">
        <v>12528</v>
      </c>
      <c r="H2513" s="0" t="s">
        <v>33</v>
      </c>
      <c r="I2513" s="7" t="n">
        <f aca="false">IF(AND(LEFT(A2513,1)&lt;&gt;"C",D2513&gt;0,F2513&gt;0),1,0)</f>
        <v>1</v>
      </c>
      <c r="J2513" s="7" t="n">
        <f aca="false">IF(I2513=1,D2513*F2513,0)</f>
        <v>15</v>
      </c>
      <c r="K2513" s="7" t="n">
        <f aca="false">YEAR(E2513)*100+MONTH(E2513)</f>
        <v>201110</v>
      </c>
      <c r="L2513" s="7" t="n">
        <f aca="false">IF(AND(A2513&lt;&gt;A2512,LEFT(A2513,1)&lt;&gt;"C"),1,0)</f>
        <v>0</v>
      </c>
    </row>
    <row r="2514" customFormat="false" ht="15" hidden="false" customHeight="false" outlineLevel="0" collapsed="false">
      <c r="A2514" s="0" t="s">
        <v>1963</v>
      </c>
      <c r="B2514" s="0" t="s">
        <v>1970</v>
      </c>
      <c r="C2514" s="0" t="s">
        <v>1971</v>
      </c>
      <c r="D2514" s="0" t="n">
        <v>12</v>
      </c>
      <c r="E2514" s="6" t="n">
        <v>40823.4979166667</v>
      </c>
      <c r="F2514" s="0" t="n">
        <v>1.49</v>
      </c>
      <c r="G2514" s="0" t="n">
        <v>12528</v>
      </c>
      <c r="H2514" s="0" t="s">
        <v>33</v>
      </c>
      <c r="I2514" s="7" t="n">
        <f aca="false">IF(AND(LEFT(A2514,1)&lt;&gt;"C",D2514&gt;0,F2514&gt;0),1,0)</f>
        <v>1</v>
      </c>
      <c r="J2514" s="7" t="n">
        <f aca="false">IF(I2514=1,D2514*F2514,0)</f>
        <v>17.88</v>
      </c>
      <c r="K2514" s="7" t="n">
        <f aca="false">YEAR(E2514)*100+MONTH(E2514)</f>
        <v>201110</v>
      </c>
      <c r="L2514" s="7" t="n">
        <f aca="false">IF(AND(A2514&lt;&gt;A2513,LEFT(A2514,1)&lt;&gt;"C"),1,0)</f>
        <v>0</v>
      </c>
    </row>
    <row r="2515" customFormat="false" ht="15" hidden="false" customHeight="false" outlineLevel="0" collapsed="false">
      <c r="A2515" s="0" t="s">
        <v>1963</v>
      </c>
      <c r="B2515" s="0" t="s">
        <v>1004</v>
      </c>
      <c r="C2515" s="0" t="s">
        <v>1005</v>
      </c>
      <c r="D2515" s="0" t="n">
        <v>25</v>
      </c>
      <c r="E2515" s="6" t="n">
        <v>40823.4979166667</v>
      </c>
      <c r="F2515" s="0" t="n">
        <v>0.42</v>
      </c>
      <c r="G2515" s="0" t="n">
        <v>12528</v>
      </c>
      <c r="H2515" s="0" t="s">
        <v>33</v>
      </c>
      <c r="I2515" s="7" t="n">
        <f aca="false">IF(AND(LEFT(A2515,1)&lt;&gt;"C",D2515&gt;0,F2515&gt;0),1,0)</f>
        <v>1</v>
      </c>
      <c r="J2515" s="7" t="n">
        <f aca="false">IF(I2515=1,D2515*F2515,0)</f>
        <v>10.5</v>
      </c>
      <c r="K2515" s="7" t="n">
        <f aca="false">YEAR(E2515)*100+MONTH(E2515)</f>
        <v>201110</v>
      </c>
      <c r="L2515" s="7" t="n">
        <f aca="false">IF(AND(A2515&lt;&gt;A2514,LEFT(A2515,1)&lt;&gt;"C"),1,0)</f>
        <v>0</v>
      </c>
    </row>
    <row r="2516" customFormat="false" ht="15" hidden="false" customHeight="false" outlineLevel="0" collapsed="false">
      <c r="A2516" s="0" t="s">
        <v>1963</v>
      </c>
      <c r="B2516" s="0" t="s">
        <v>1972</v>
      </c>
      <c r="C2516" s="0" t="s">
        <v>1973</v>
      </c>
      <c r="D2516" s="0" t="n">
        <v>9</v>
      </c>
      <c r="E2516" s="6" t="n">
        <v>40823.4979166667</v>
      </c>
      <c r="F2516" s="0" t="n">
        <v>2.55</v>
      </c>
      <c r="G2516" s="0" t="n">
        <v>12528</v>
      </c>
      <c r="H2516" s="0" t="s">
        <v>33</v>
      </c>
      <c r="I2516" s="7" t="n">
        <f aca="false">IF(AND(LEFT(A2516,1)&lt;&gt;"C",D2516&gt;0,F2516&gt;0),1,0)</f>
        <v>1</v>
      </c>
      <c r="J2516" s="7" t="n">
        <f aca="false">IF(I2516=1,D2516*F2516,0)</f>
        <v>22.95</v>
      </c>
      <c r="K2516" s="7" t="n">
        <f aca="false">YEAR(E2516)*100+MONTH(E2516)</f>
        <v>201110</v>
      </c>
      <c r="L2516" s="7" t="n">
        <f aca="false">IF(AND(A2516&lt;&gt;A2515,LEFT(A2516,1)&lt;&gt;"C"),1,0)</f>
        <v>0</v>
      </c>
    </row>
    <row r="2517" customFormat="false" ht="15" hidden="false" customHeight="false" outlineLevel="0" collapsed="false">
      <c r="A2517" s="0" t="s">
        <v>1963</v>
      </c>
      <c r="B2517" s="0" t="s">
        <v>1204</v>
      </c>
      <c r="C2517" s="0" t="s">
        <v>1205</v>
      </c>
      <c r="D2517" s="0" t="n">
        <v>1</v>
      </c>
      <c r="E2517" s="6" t="n">
        <v>40823.4979166667</v>
      </c>
      <c r="F2517" s="0" t="n">
        <v>9.95</v>
      </c>
      <c r="G2517" s="0" t="n">
        <v>12528</v>
      </c>
      <c r="H2517" s="0" t="s">
        <v>33</v>
      </c>
      <c r="I2517" s="7" t="n">
        <f aca="false">IF(AND(LEFT(A2517,1)&lt;&gt;"C",D2517&gt;0,F2517&gt;0),1,0)</f>
        <v>1</v>
      </c>
      <c r="J2517" s="7" t="n">
        <f aca="false">IF(I2517=1,D2517*F2517,0)</f>
        <v>9.95</v>
      </c>
      <c r="K2517" s="7" t="n">
        <f aca="false">YEAR(E2517)*100+MONTH(E2517)</f>
        <v>201110</v>
      </c>
      <c r="L2517" s="7" t="n">
        <f aca="false">IF(AND(A2517&lt;&gt;A2516,LEFT(A2517,1)&lt;&gt;"C"),1,0)</f>
        <v>0</v>
      </c>
    </row>
    <row r="2518" customFormat="false" ht="15" hidden="false" customHeight="false" outlineLevel="0" collapsed="false">
      <c r="A2518" s="0" t="s">
        <v>1963</v>
      </c>
      <c r="B2518" s="0" t="s">
        <v>155</v>
      </c>
      <c r="C2518" s="0" t="s">
        <v>156</v>
      </c>
      <c r="D2518" s="0" t="n">
        <v>2</v>
      </c>
      <c r="E2518" s="6" t="n">
        <v>40823.4979166667</v>
      </c>
      <c r="F2518" s="0" t="n">
        <v>10.95</v>
      </c>
      <c r="G2518" s="0" t="n">
        <v>12528</v>
      </c>
      <c r="H2518" s="0" t="s">
        <v>33</v>
      </c>
      <c r="I2518" s="7" t="n">
        <f aca="false">IF(AND(LEFT(A2518,1)&lt;&gt;"C",D2518&gt;0,F2518&gt;0),1,0)</f>
        <v>1</v>
      </c>
      <c r="J2518" s="7" t="n">
        <f aca="false">IF(I2518=1,D2518*F2518,0)</f>
        <v>21.9</v>
      </c>
      <c r="K2518" s="7" t="n">
        <f aca="false">YEAR(E2518)*100+MONTH(E2518)</f>
        <v>201110</v>
      </c>
      <c r="L2518" s="7" t="n">
        <f aca="false">IF(AND(A2518&lt;&gt;A2517,LEFT(A2518,1)&lt;&gt;"C"),1,0)</f>
        <v>0</v>
      </c>
    </row>
    <row r="2519" customFormat="false" ht="15" hidden="false" customHeight="false" outlineLevel="0" collapsed="false">
      <c r="A2519" s="0" t="s">
        <v>1963</v>
      </c>
      <c r="B2519" s="0" t="s">
        <v>148</v>
      </c>
      <c r="C2519" s="0" t="s">
        <v>149</v>
      </c>
      <c r="D2519" s="0" t="n">
        <v>1</v>
      </c>
      <c r="E2519" s="6" t="n">
        <v>40823.4979166667</v>
      </c>
      <c r="F2519" s="0" t="n">
        <v>12.75</v>
      </c>
      <c r="G2519" s="0" t="n">
        <v>12528</v>
      </c>
      <c r="H2519" s="0" t="s">
        <v>33</v>
      </c>
      <c r="I2519" s="7" t="n">
        <f aca="false">IF(AND(LEFT(A2519,1)&lt;&gt;"C",D2519&gt;0,F2519&gt;0),1,0)</f>
        <v>1</v>
      </c>
      <c r="J2519" s="7" t="n">
        <f aca="false">IF(I2519=1,D2519*F2519,0)</f>
        <v>12.75</v>
      </c>
      <c r="K2519" s="7" t="n">
        <f aca="false">YEAR(E2519)*100+MONTH(E2519)</f>
        <v>201110</v>
      </c>
      <c r="L2519" s="7" t="n">
        <f aca="false">IF(AND(A2519&lt;&gt;A2518,LEFT(A2519,1)&lt;&gt;"C"),1,0)</f>
        <v>0</v>
      </c>
    </row>
    <row r="2520" customFormat="false" ht="15" hidden="false" customHeight="false" outlineLevel="0" collapsed="false">
      <c r="A2520" s="0" t="s">
        <v>1963</v>
      </c>
      <c r="B2520" s="0" t="s">
        <v>1974</v>
      </c>
      <c r="C2520" s="0" t="s">
        <v>1975</v>
      </c>
      <c r="D2520" s="0" t="n">
        <v>8</v>
      </c>
      <c r="E2520" s="6" t="n">
        <v>40823.4979166667</v>
      </c>
      <c r="F2520" s="0" t="n">
        <v>1.45</v>
      </c>
      <c r="G2520" s="0" t="n">
        <v>12528</v>
      </c>
      <c r="H2520" s="0" t="s">
        <v>33</v>
      </c>
      <c r="I2520" s="7" t="n">
        <f aca="false">IF(AND(LEFT(A2520,1)&lt;&gt;"C",D2520&gt;0,F2520&gt;0),1,0)</f>
        <v>1</v>
      </c>
      <c r="J2520" s="7" t="n">
        <f aca="false">IF(I2520=1,D2520*F2520,0)</f>
        <v>11.6</v>
      </c>
      <c r="K2520" s="7" t="n">
        <f aca="false">YEAR(E2520)*100+MONTH(E2520)</f>
        <v>201110</v>
      </c>
      <c r="L2520" s="7" t="n">
        <f aca="false">IF(AND(A2520&lt;&gt;A2519,LEFT(A2520,1)&lt;&gt;"C"),1,0)</f>
        <v>0</v>
      </c>
    </row>
    <row r="2521" customFormat="false" ht="15" hidden="false" customHeight="false" outlineLevel="0" collapsed="false">
      <c r="A2521" s="0" t="s">
        <v>1963</v>
      </c>
      <c r="B2521" s="0" t="s">
        <v>226</v>
      </c>
      <c r="C2521" s="0" t="s">
        <v>227</v>
      </c>
      <c r="D2521" s="0" t="n">
        <v>6</v>
      </c>
      <c r="E2521" s="6" t="n">
        <v>40823.4979166667</v>
      </c>
      <c r="F2521" s="0" t="n">
        <v>2.95</v>
      </c>
      <c r="G2521" s="0" t="n">
        <v>12528</v>
      </c>
      <c r="H2521" s="0" t="s">
        <v>33</v>
      </c>
      <c r="I2521" s="7" t="n">
        <f aca="false">IF(AND(LEFT(A2521,1)&lt;&gt;"C",D2521&gt;0,F2521&gt;0),1,0)</f>
        <v>1</v>
      </c>
      <c r="J2521" s="7" t="n">
        <f aca="false">IF(I2521=1,D2521*F2521,0)</f>
        <v>17.7</v>
      </c>
      <c r="K2521" s="7" t="n">
        <f aca="false">YEAR(E2521)*100+MONTH(E2521)</f>
        <v>201110</v>
      </c>
      <c r="L2521" s="7" t="n">
        <f aca="false">IF(AND(A2521&lt;&gt;A2520,LEFT(A2521,1)&lt;&gt;"C"),1,0)</f>
        <v>0</v>
      </c>
    </row>
    <row r="2522" customFormat="false" ht="15" hidden="false" customHeight="false" outlineLevel="0" collapsed="false">
      <c r="A2522" s="0" t="s">
        <v>1963</v>
      </c>
      <c r="B2522" s="0" t="s">
        <v>1976</v>
      </c>
      <c r="C2522" s="0" t="s">
        <v>1977</v>
      </c>
      <c r="D2522" s="0" t="n">
        <v>12</v>
      </c>
      <c r="E2522" s="6" t="n">
        <v>40823.4979166667</v>
      </c>
      <c r="F2522" s="0" t="n">
        <v>1.49</v>
      </c>
      <c r="G2522" s="0" t="n">
        <v>12528</v>
      </c>
      <c r="H2522" s="0" t="s">
        <v>33</v>
      </c>
      <c r="I2522" s="7" t="n">
        <f aca="false">IF(AND(LEFT(A2522,1)&lt;&gt;"C",D2522&gt;0,F2522&gt;0),1,0)</f>
        <v>1</v>
      </c>
      <c r="J2522" s="7" t="n">
        <f aca="false">IF(I2522=1,D2522*F2522,0)</f>
        <v>17.88</v>
      </c>
      <c r="K2522" s="7" t="n">
        <f aca="false">YEAR(E2522)*100+MONTH(E2522)</f>
        <v>201110</v>
      </c>
      <c r="L2522" s="7" t="n">
        <f aca="false">IF(AND(A2522&lt;&gt;A2521,LEFT(A2522,1)&lt;&gt;"C"),1,0)</f>
        <v>0</v>
      </c>
    </row>
    <row r="2523" customFormat="false" ht="15" hidden="false" customHeight="false" outlineLevel="0" collapsed="false">
      <c r="A2523" s="0" t="s">
        <v>1963</v>
      </c>
      <c r="B2523" s="0" t="s">
        <v>1978</v>
      </c>
      <c r="C2523" s="0" t="s">
        <v>1979</v>
      </c>
      <c r="D2523" s="0" t="n">
        <v>2</v>
      </c>
      <c r="E2523" s="6" t="n">
        <v>40823.4979166667</v>
      </c>
      <c r="F2523" s="0" t="n">
        <v>9.95</v>
      </c>
      <c r="G2523" s="0" t="n">
        <v>12528</v>
      </c>
      <c r="H2523" s="0" t="s">
        <v>33</v>
      </c>
      <c r="I2523" s="7" t="n">
        <f aca="false">IF(AND(LEFT(A2523,1)&lt;&gt;"C",D2523&gt;0,F2523&gt;0),1,0)</f>
        <v>1</v>
      </c>
      <c r="J2523" s="7" t="n">
        <f aca="false">IF(I2523=1,D2523*F2523,0)</f>
        <v>19.9</v>
      </c>
      <c r="K2523" s="7" t="n">
        <f aca="false">YEAR(E2523)*100+MONTH(E2523)</f>
        <v>201110</v>
      </c>
      <c r="L2523" s="7" t="n">
        <f aca="false">IF(AND(A2523&lt;&gt;A2522,LEFT(A2523,1)&lt;&gt;"C"),1,0)</f>
        <v>0</v>
      </c>
    </row>
    <row r="2524" customFormat="false" ht="15" hidden="false" customHeight="false" outlineLevel="0" collapsed="false">
      <c r="A2524" s="0" t="s">
        <v>1963</v>
      </c>
      <c r="B2524" s="0" t="s">
        <v>951</v>
      </c>
      <c r="C2524" s="0" t="s">
        <v>952</v>
      </c>
      <c r="D2524" s="0" t="n">
        <v>10</v>
      </c>
      <c r="E2524" s="6" t="n">
        <v>40823.4979166667</v>
      </c>
      <c r="F2524" s="0" t="n">
        <v>1.25</v>
      </c>
      <c r="G2524" s="0" t="n">
        <v>12528</v>
      </c>
      <c r="H2524" s="0" t="s">
        <v>33</v>
      </c>
      <c r="I2524" s="7" t="n">
        <f aca="false">IF(AND(LEFT(A2524,1)&lt;&gt;"C",D2524&gt;0,F2524&gt;0),1,0)</f>
        <v>1</v>
      </c>
      <c r="J2524" s="7" t="n">
        <f aca="false">IF(I2524=1,D2524*F2524,0)</f>
        <v>12.5</v>
      </c>
      <c r="K2524" s="7" t="n">
        <f aca="false">YEAR(E2524)*100+MONTH(E2524)</f>
        <v>201110</v>
      </c>
      <c r="L2524" s="7" t="n">
        <f aca="false">IF(AND(A2524&lt;&gt;A2523,LEFT(A2524,1)&lt;&gt;"C"),1,0)</f>
        <v>0</v>
      </c>
    </row>
    <row r="2525" customFormat="false" ht="15" hidden="false" customHeight="false" outlineLevel="0" collapsed="false">
      <c r="A2525" s="0" t="s">
        <v>1963</v>
      </c>
      <c r="B2525" s="0" t="s">
        <v>84</v>
      </c>
      <c r="C2525" s="0" t="s">
        <v>85</v>
      </c>
      <c r="D2525" s="0" t="n">
        <v>2</v>
      </c>
      <c r="E2525" s="6" t="n">
        <v>40823.4979166667</v>
      </c>
      <c r="F2525" s="0" t="n">
        <v>18</v>
      </c>
      <c r="G2525" s="0" t="n">
        <v>12528</v>
      </c>
      <c r="H2525" s="0" t="s">
        <v>33</v>
      </c>
      <c r="I2525" s="7" t="n">
        <f aca="false">IF(AND(LEFT(A2525,1)&lt;&gt;"C",D2525&gt;0,F2525&gt;0),1,0)</f>
        <v>1</v>
      </c>
      <c r="J2525" s="7" t="n">
        <f aca="false">IF(I2525=1,D2525*F2525,0)</f>
        <v>36</v>
      </c>
      <c r="K2525" s="7" t="n">
        <f aca="false">YEAR(E2525)*100+MONTH(E2525)</f>
        <v>201110</v>
      </c>
      <c r="L2525" s="7" t="n">
        <f aca="false">IF(AND(A2525&lt;&gt;A2524,LEFT(A2525,1)&lt;&gt;"C"),1,0)</f>
        <v>0</v>
      </c>
    </row>
    <row r="2526" customFormat="false" ht="15" hidden="false" customHeight="false" outlineLevel="0" collapsed="false">
      <c r="A2526" s="0" t="s">
        <v>1980</v>
      </c>
      <c r="B2526" s="0" t="s">
        <v>1981</v>
      </c>
      <c r="C2526" s="0" t="s">
        <v>1982</v>
      </c>
      <c r="D2526" s="0" t="n">
        <v>24</v>
      </c>
      <c r="E2526" s="6" t="n">
        <v>40823.6354166667</v>
      </c>
      <c r="F2526" s="0" t="n">
        <v>0.65</v>
      </c>
      <c r="G2526" s="0" t="n">
        <v>12492</v>
      </c>
      <c r="H2526" s="0" t="s">
        <v>33</v>
      </c>
      <c r="I2526" s="7" t="n">
        <f aca="false">IF(AND(LEFT(A2526,1)&lt;&gt;"C",D2526&gt;0,F2526&gt;0),1,0)</f>
        <v>1</v>
      </c>
      <c r="J2526" s="7" t="n">
        <f aca="false">IF(I2526=1,D2526*F2526,0)</f>
        <v>15.6</v>
      </c>
      <c r="K2526" s="7" t="n">
        <f aca="false">YEAR(E2526)*100+MONTH(E2526)</f>
        <v>201110</v>
      </c>
      <c r="L2526" s="7" t="n">
        <f aca="false">IF(AND(A2526&lt;&gt;A2525,LEFT(A2526,1)&lt;&gt;"C"),1,0)</f>
        <v>1</v>
      </c>
    </row>
    <row r="2527" customFormat="false" ht="15" hidden="false" customHeight="false" outlineLevel="0" collapsed="false">
      <c r="A2527" s="0" t="s">
        <v>1980</v>
      </c>
      <c r="B2527" s="0" t="s">
        <v>794</v>
      </c>
      <c r="C2527" s="0" t="s">
        <v>795</v>
      </c>
      <c r="D2527" s="0" t="n">
        <v>10</v>
      </c>
      <c r="E2527" s="6" t="n">
        <v>40823.6354166667</v>
      </c>
      <c r="F2527" s="0" t="n">
        <v>0.85</v>
      </c>
      <c r="G2527" s="0" t="n">
        <v>12492</v>
      </c>
      <c r="H2527" s="0" t="s">
        <v>33</v>
      </c>
      <c r="I2527" s="7" t="n">
        <f aca="false">IF(AND(LEFT(A2527,1)&lt;&gt;"C",D2527&gt;0,F2527&gt;0),1,0)</f>
        <v>1</v>
      </c>
      <c r="J2527" s="7" t="n">
        <f aca="false">IF(I2527=1,D2527*F2527,0)</f>
        <v>8.5</v>
      </c>
      <c r="K2527" s="7" t="n">
        <f aca="false">YEAR(E2527)*100+MONTH(E2527)</f>
        <v>201110</v>
      </c>
      <c r="L2527" s="7" t="n">
        <f aca="false">IF(AND(A2527&lt;&gt;A2526,LEFT(A2527,1)&lt;&gt;"C"),1,0)</f>
        <v>0</v>
      </c>
    </row>
    <row r="2528" customFormat="false" ht="15" hidden="false" customHeight="false" outlineLevel="0" collapsed="false">
      <c r="A2528" s="0" t="s">
        <v>1980</v>
      </c>
      <c r="B2528" s="0" t="s">
        <v>667</v>
      </c>
      <c r="C2528" s="0" t="s">
        <v>668</v>
      </c>
      <c r="D2528" s="0" t="n">
        <v>10</v>
      </c>
      <c r="E2528" s="6" t="n">
        <v>40823.6354166667</v>
      </c>
      <c r="F2528" s="0" t="n">
        <v>0.85</v>
      </c>
      <c r="G2528" s="0" t="n">
        <v>12492</v>
      </c>
      <c r="H2528" s="0" t="s">
        <v>33</v>
      </c>
      <c r="I2528" s="7" t="n">
        <f aca="false">IF(AND(LEFT(A2528,1)&lt;&gt;"C",D2528&gt;0,F2528&gt;0),1,0)</f>
        <v>1</v>
      </c>
      <c r="J2528" s="7" t="n">
        <f aca="false">IF(I2528=1,D2528*F2528,0)</f>
        <v>8.5</v>
      </c>
      <c r="K2528" s="7" t="n">
        <f aca="false">YEAR(E2528)*100+MONTH(E2528)</f>
        <v>201110</v>
      </c>
      <c r="L2528" s="7" t="n">
        <f aca="false">IF(AND(A2528&lt;&gt;A2527,LEFT(A2528,1)&lt;&gt;"C"),1,0)</f>
        <v>0</v>
      </c>
    </row>
    <row r="2529" customFormat="false" ht="15" hidden="false" customHeight="false" outlineLevel="0" collapsed="false">
      <c r="A2529" s="0" t="s">
        <v>1980</v>
      </c>
      <c r="B2529" s="0" t="s">
        <v>1185</v>
      </c>
      <c r="C2529" s="0" t="s">
        <v>1186</v>
      </c>
      <c r="D2529" s="0" t="n">
        <v>12</v>
      </c>
      <c r="E2529" s="6" t="n">
        <v>40823.6354166667</v>
      </c>
      <c r="F2529" s="0" t="n">
        <v>1.25</v>
      </c>
      <c r="G2529" s="0" t="n">
        <v>12492</v>
      </c>
      <c r="H2529" s="0" t="s">
        <v>33</v>
      </c>
      <c r="I2529" s="7" t="n">
        <f aca="false">IF(AND(LEFT(A2529,1)&lt;&gt;"C",D2529&gt;0,F2529&gt;0),1,0)</f>
        <v>1</v>
      </c>
      <c r="J2529" s="7" t="n">
        <f aca="false">IF(I2529=1,D2529*F2529,0)</f>
        <v>15</v>
      </c>
      <c r="K2529" s="7" t="n">
        <f aca="false">YEAR(E2529)*100+MONTH(E2529)</f>
        <v>201110</v>
      </c>
      <c r="L2529" s="7" t="n">
        <f aca="false">IF(AND(A2529&lt;&gt;A2528,LEFT(A2529,1)&lt;&gt;"C"),1,0)</f>
        <v>0</v>
      </c>
    </row>
    <row r="2530" customFormat="false" ht="15" hidden="false" customHeight="false" outlineLevel="0" collapsed="false">
      <c r="A2530" s="0" t="s">
        <v>1980</v>
      </c>
      <c r="B2530" s="0" t="s">
        <v>1983</v>
      </c>
      <c r="C2530" s="0" t="s">
        <v>1984</v>
      </c>
      <c r="D2530" s="0" t="n">
        <v>12</v>
      </c>
      <c r="E2530" s="6" t="n">
        <v>40823.6354166667</v>
      </c>
      <c r="F2530" s="0" t="n">
        <v>1.25</v>
      </c>
      <c r="G2530" s="0" t="n">
        <v>12492</v>
      </c>
      <c r="H2530" s="0" t="s">
        <v>33</v>
      </c>
      <c r="I2530" s="7" t="n">
        <f aca="false">IF(AND(LEFT(A2530,1)&lt;&gt;"C",D2530&gt;0,F2530&gt;0),1,0)</f>
        <v>1</v>
      </c>
      <c r="J2530" s="7" t="n">
        <f aca="false">IF(I2530=1,D2530*F2530,0)</f>
        <v>15</v>
      </c>
      <c r="K2530" s="7" t="n">
        <f aca="false">YEAR(E2530)*100+MONTH(E2530)</f>
        <v>201110</v>
      </c>
      <c r="L2530" s="7" t="n">
        <f aca="false">IF(AND(A2530&lt;&gt;A2529,LEFT(A2530,1)&lt;&gt;"C"),1,0)</f>
        <v>0</v>
      </c>
    </row>
    <row r="2531" customFormat="false" ht="15" hidden="false" customHeight="false" outlineLevel="0" collapsed="false">
      <c r="A2531" s="0" t="s">
        <v>1980</v>
      </c>
      <c r="B2531" s="0" t="s">
        <v>747</v>
      </c>
      <c r="C2531" s="0" t="s">
        <v>748</v>
      </c>
      <c r="D2531" s="0" t="n">
        <v>12</v>
      </c>
      <c r="E2531" s="6" t="n">
        <v>40823.6354166667</v>
      </c>
      <c r="F2531" s="0" t="n">
        <v>0.42</v>
      </c>
      <c r="G2531" s="0" t="n">
        <v>12492</v>
      </c>
      <c r="H2531" s="0" t="s">
        <v>33</v>
      </c>
      <c r="I2531" s="7" t="n">
        <f aca="false">IF(AND(LEFT(A2531,1)&lt;&gt;"C",D2531&gt;0,F2531&gt;0),1,0)</f>
        <v>1</v>
      </c>
      <c r="J2531" s="7" t="n">
        <f aca="false">IF(I2531=1,D2531*F2531,0)</f>
        <v>5.04</v>
      </c>
      <c r="K2531" s="7" t="n">
        <f aca="false">YEAR(E2531)*100+MONTH(E2531)</f>
        <v>201110</v>
      </c>
      <c r="L2531" s="7" t="n">
        <f aca="false">IF(AND(A2531&lt;&gt;A2530,LEFT(A2531,1)&lt;&gt;"C"),1,0)</f>
        <v>0</v>
      </c>
    </row>
    <row r="2532" customFormat="false" ht="15" hidden="false" customHeight="false" outlineLevel="0" collapsed="false">
      <c r="A2532" s="0" t="s">
        <v>1980</v>
      </c>
      <c r="B2532" s="0" t="s">
        <v>119</v>
      </c>
      <c r="C2532" s="0" t="s">
        <v>120</v>
      </c>
      <c r="D2532" s="0" t="n">
        <v>12</v>
      </c>
      <c r="E2532" s="6" t="n">
        <v>40823.6354166667</v>
      </c>
      <c r="F2532" s="0" t="n">
        <v>0.42</v>
      </c>
      <c r="G2532" s="0" t="n">
        <v>12492</v>
      </c>
      <c r="H2532" s="0" t="s">
        <v>33</v>
      </c>
      <c r="I2532" s="7" t="n">
        <f aca="false">IF(AND(LEFT(A2532,1)&lt;&gt;"C",D2532&gt;0,F2532&gt;0),1,0)</f>
        <v>1</v>
      </c>
      <c r="J2532" s="7" t="n">
        <f aca="false">IF(I2532=1,D2532*F2532,0)</f>
        <v>5.04</v>
      </c>
      <c r="K2532" s="7" t="n">
        <f aca="false">YEAR(E2532)*100+MONTH(E2532)</f>
        <v>201110</v>
      </c>
      <c r="L2532" s="7" t="n">
        <f aca="false">IF(AND(A2532&lt;&gt;A2531,LEFT(A2532,1)&lt;&gt;"C"),1,0)</f>
        <v>0</v>
      </c>
    </row>
    <row r="2533" customFormat="false" ht="15" hidden="false" customHeight="false" outlineLevel="0" collapsed="false">
      <c r="A2533" s="0" t="s">
        <v>1980</v>
      </c>
      <c r="B2533" s="0" t="s">
        <v>1788</v>
      </c>
      <c r="C2533" s="0" t="s">
        <v>1789</v>
      </c>
      <c r="D2533" s="0" t="n">
        <v>12</v>
      </c>
      <c r="E2533" s="6" t="n">
        <v>40823.6354166667</v>
      </c>
      <c r="F2533" s="0" t="n">
        <v>0.42</v>
      </c>
      <c r="G2533" s="0" t="n">
        <v>12492</v>
      </c>
      <c r="H2533" s="0" t="s">
        <v>33</v>
      </c>
      <c r="I2533" s="7" t="n">
        <f aca="false">IF(AND(LEFT(A2533,1)&lt;&gt;"C",D2533&gt;0,F2533&gt;0),1,0)</f>
        <v>1</v>
      </c>
      <c r="J2533" s="7" t="n">
        <f aca="false">IF(I2533=1,D2533*F2533,0)</f>
        <v>5.04</v>
      </c>
      <c r="K2533" s="7" t="n">
        <f aca="false">YEAR(E2533)*100+MONTH(E2533)</f>
        <v>201110</v>
      </c>
      <c r="L2533" s="7" t="n">
        <f aca="false">IF(AND(A2533&lt;&gt;A2532,LEFT(A2533,1)&lt;&gt;"C"),1,0)</f>
        <v>0</v>
      </c>
    </row>
    <row r="2534" customFormat="false" ht="15" hidden="false" customHeight="false" outlineLevel="0" collapsed="false">
      <c r="A2534" s="0" t="s">
        <v>1980</v>
      </c>
      <c r="B2534" s="0" t="s">
        <v>74</v>
      </c>
      <c r="C2534" s="0" t="s">
        <v>75</v>
      </c>
      <c r="D2534" s="0" t="n">
        <v>12</v>
      </c>
      <c r="E2534" s="6" t="n">
        <v>40823.6354166667</v>
      </c>
      <c r="F2534" s="0" t="n">
        <v>1.95</v>
      </c>
      <c r="G2534" s="0" t="n">
        <v>12492</v>
      </c>
      <c r="H2534" s="0" t="s">
        <v>33</v>
      </c>
      <c r="I2534" s="7" t="n">
        <f aca="false">IF(AND(LEFT(A2534,1)&lt;&gt;"C",D2534&gt;0,F2534&gt;0),1,0)</f>
        <v>1</v>
      </c>
      <c r="J2534" s="7" t="n">
        <f aca="false">IF(I2534=1,D2534*F2534,0)</f>
        <v>23.4</v>
      </c>
      <c r="K2534" s="7" t="n">
        <f aca="false">YEAR(E2534)*100+MONTH(E2534)</f>
        <v>201110</v>
      </c>
      <c r="L2534" s="7" t="n">
        <f aca="false">IF(AND(A2534&lt;&gt;A2533,LEFT(A2534,1)&lt;&gt;"C"),1,0)</f>
        <v>0</v>
      </c>
    </row>
    <row r="2535" customFormat="false" ht="15" hidden="false" customHeight="false" outlineLevel="0" collapsed="false">
      <c r="A2535" s="0" t="s">
        <v>1980</v>
      </c>
      <c r="B2535" s="0" t="s">
        <v>123</v>
      </c>
      <c r="C2535" s="0" t="s">
        <v>124</v>
      </c>
      <c r="D2535" s="0" t="n">
        <v>6</v>
      </c>
      <c r="E2535" s="6" t="n">
        <v>40823.6354166667</v>
      </c>
      <c r="F2535" s="0" t="n">
        <v>2.95</v>
      </c>
      <c r="G2535" s="0" t="n">
        <v>12492</v>
      </c>
      <c r="H2535" s="0" t="s">
        <v>33</v>
      </c>
      <c r="I2535" s="7" t="n">
        <f aca="false">IF(AND(LEFT(A2535,1)&lt;&gt;"C",D2535&gt;0,F2535&gt;0),1,0)</f>
        <v>1</v>
      </c>
      <c r="J2535" s="7" t="n">
        <f aca="false">IF(I2535=1,D2535*F2535,0)</f>
        <v>17.7</v>
      </c>
      <c r="K2535" s="7" t="n">
        <f aca="false">YEAR(E2535)*100+MONTH(E2535)</f>
        <v>201110</v>
      </c>
      <c r="L2535" s="7" t="n">
        <f aca="false">IF(AND(A2535&lt;&gt;A2534,LEFT(A2535,1)&lt;&gt;"C"),1,0)</f>
        <v>0</v>
      </c>
    </row>
    <row r="2536" customFormat="false" ht="15" hidden="false" customHeight="false" outlineLevel="0" collapsed="false">
      <c r="A2536" s="0" t="s">
        <v>1980</v>
      </c>
      <c r="B2536" s="0" t="s">
        <v>84</v>
      </c>
      <c r="C2536" s="0" t="s">
        <v>85</v>
      </c>
      <c r="D2536" s="0" t="n">
        <v>1</v>
      </c>
      <c r="E2536" s="6" t="n">
        <v>40823.6354166667</v>
      </c>
      <c r="F2536" s="0" t="n">
        <v>18</v>
      </c>
      <c r="G2536" s="0" t="n">
        <v>12492</v>
      </c>
      <c r="H2536" s="0" t="s">
        <v>33</v>
      </c>
      <c r="I2536" s="7" t="n">
        <f aca="false">IF(AND(LEFT(A2536,1)&lt;&gt;"C",D2536&gt;0,F2536&gt;0),1,0)</f>
        <v>1</v>
      </c>
      <c r="J2536" s="7" t="n">
        <f aca="false">IF(I2536=1,D2536*F2536,0)</f>
        <v>18</v>
      </c>
      <c r="K2536" s="7" t="n">
        <f aca="false">YEAR(E2536)*100+MONTH(E2536)</f>
        <v>201110</v>
      </c>
      <c r="L2536" s="7" t="n">
        <f aca="false">IF(AND(A2536&lt;&gt;A2535,LEFT(A2536,1)&lt;&gt;"C"),1,0)</f>
        <v>0</v>
      </c>
    </row>
    <row r="2537" customFormat="false" ht="15" hidden="false" customHeight="false" outlineLevel="0" collapsed="false">
      <c r="A2537" s="0" t="s">
        <v>1985</v>
      </c>
      <c r="B2537" s="0" t="s">
        <v>1986</v>
      </c>
      <c r="C2537" s="0" t="s">
        <v>1987</v>
      </c>
      <c r="D2537" s="0" t="n">
        <v>6</v>
      </c>
      <c r="E2537" s="6" t="n">
        <v>40826.4256944444</v>
      </c>
      <c r="F2537" s="0" t="n">
        <v>2.95</v>
      </c>
      <c r="G2537" s="0" t="n">
        <v>12682</v>
      </c>
      <c r="H2537" s="0" t="s">
        <v>43</v>
      </c>
      <c r="I2537" s="7" t="n">
        <f aca="false">IF(AND(LEFT(A2537,1)&lt;&gt;"C",D2537&gt;0,F2537&gt;0),1,0)</f>
        <v>1</v>
      </c>
      <c r="J2537" s="7" t="n">
        <f aca="false">IF(I2537=1,D2537*F2537,0)</f>
        <v>17.7</v>
      </c>
      <c r="K2537" s="7" t="n">
        <f aca="false">YEAR(E2537)*100+MONTH(E2537)</f>
        <v>201110</v>
      </c>
      <c r="L2537" s="7" t="n">
        <f aca="false">IF(AND(A2537&lt;&gt;A2536,LEFT(A2537,1)&lt;&gt;"C"),1,0)</f>
        <v>1</v>
      </c>
    </row>
    <row r="2538" customFormat="false" ht="15" hidden="false" customHeight="false" outlineLevel="0" collapsed="false">
      <c r="A2538" s="0" t="s">
        <v>1985</v>
      </c>
      <c r="B2538" s="0" t="s">
        <v>962</v>
      </c>
      <c r="C2538" s="0" t="s">
        <v>963</v>
      </c>
      <c r="D2538" s="0" t="n">
        <v>8</v>
      </c>
      <c r="E2538" s="6" t="n">
        <v>40826.4256944444</v>
      </c>
      <c r="F2538" s="0" t="n">
        <v>0.85</v>
      </c>
      <c r="G2538" s="0" t="n">
        <v>12682</v>
      </c>
      <c r="H2538" s="0" t="s">
        <v>43</v>
      </c>
      <c r="I2538" s="7" t="n">
        <f aca="false">IF(AND(LEFT(A2538,1)&lt;&gt;"C",D2538&gt;0,F2538&gt;0),1,0)</f>
        <v>1</v>
      </c>
      <c r="J2538" s="7" t="n">
        <f aca="false">IF(I2538=1,D2538*F2538,0)</f>
        <v>6.8</v>
      </c>
      <c r="K2538" s="7" t="n">
        <f aca="false">YEAR(E2538)*100+MONTH(E2538)</f>
        <v>201110</v>
      </c>
      <c r="L2538" s="7" t="n">
        <f aca="false">IF(AND(A2538&lt;&gt;A2537,LEFT(A2538,1)&lt;&gt;"C"),1,0)</f>
        <v>0</v>
      </c>
    </row>
    <row r="2539" customFormat="false" ht="15" hidden="false" customHeight="false" outlineLevel="0" collapsed="false">
      <c r="A2539" s="0" t="s">
        <v>1985</v>
      </c>
      <c r="B2539" s="0" t="s">
        <v>719</v>
      </c>
      <c r="C2539" s="0" t="s">
        <v>720</v>
      </c>
      <c r="D2539" s="0" t="n">
        <v>8</v>
      </c>
      <c r="E2539" s="6" t="n">
        <v>40826.4256944444</v>
      </c>
      <c r="F2539" s="0" t="n">
        <v>0.85</v>
      </c>
      <c r="G2539" s="0" t="n">
        <v>12682</v>
      </c>
      <c r="H2539" s="0" t="s">
        <v>43</v>
      </c>
      <c r="I2539" s="7" t="n">
        <f aca="false">IF(AND(LEFT(A2539,1)&lt;&gt;"C",D2539&gt;0,F2539&gt;0),1,0)</f>
        <v>1</v>
      </c>
      <c r="J2539" s="7" t="n">
        <f aca="false">IF(I2539=1,D2539*F2539,0)</f>
        <v>6.8</v>
      </c>
      <c r="K2539" s="7" t="n">
        <f aca="false">YEAR(E2539)*100+MONTH(E2539)</f>
        <v>201110</v>
      </c>
      <c r="L2539" s="7" t="n">
        <f aca="false">IF(AND(A2539&lt;&gt;A2538,LEFT(A2539,1)&lt;&gt;"C"),1,0)</f>
        <v>0</v>
      </c>
    </row>
    <row r="2540" customFormat="false" ht="15" hidden="false" customHeight="false" outlineLevel="0" collapsed="false">
      <c r="A2540" s="0" t="s">
        <v>1985</v>
      </c>
      <c r="B2540" s="0" t="s">
        <v>1092</v>
      </c>
      <c r="C2540" s="0" t="s">
        <v>1093</v>
      </c>
      <c r="D2540" s="0" t="n">
        <v>8</v>
      </c>
      <c r="E2540" s="6" t="n">
        <v>40826.4256944444</v>
      </c>
      <c r="F2540" s="0" t="n">
        <v>0.85</v>
      </c>
      <c r="G2540" s="0" t="n">
        <v>12682</v>
      </c>
      <c r="H2540" s="0" t="s">
        <v>43</v>
      </c>
      <c r="I2540" s="7" t="n">
        <f aca="false">IF(AND(LEFT(A2540,1)&lt;&gt;"C",D2540&gt;0,F2540&gt;0),1,0)</f>
        <v>1</v>
      </c>
      <c r="J2540" s="7" t="n">
        <f aca="false">IF(I2540=1,D2540*F2540,0)</f>
        <v>6.8</v>
      </c>
      <c r="K2540" s="7" t="n">
        <f aca="false">YEAR(E2540)*100+MONTH(E2540)</f>
        <v>201110</v>
      </c>
      <c r="L2540" s="7" t="n">
        <f aca="false">IF(AND(A2540&lt;&gt;A2539,LEFT(A2540,1)&lt;&gt;"C"),1,0)</f>
        <v>0</v>
      </c>
    </row>
    <row r="2541" customFormat="false" ht="15" hidden="false" customHeight="false" outlineLevel="0" collapsed="false">
      <c r="A2541" s="0" t="s">
        <v>1985</v>
      </c>
      <c r="B2541" s="0" t="s">
        <v>1728</v>
      </c>
      <c r="C2541" s="0" t="s">
        <v>1729</v>
      </c>
      <c r="D2541" s="0" t="n">
        <v>12</v>
      </c>
      <c r="E2541" s="6" t="n">
        <v>40826.4256944444</v>
      </c>
      <c r="F2541" s="0" t="n">
        <v>1.65</v>
      </c>
      <c r="G2541" s="0" t="n">
        <v>12682</v>
      </c>
      <c r="H2541" s="0" t="s">
        <v>43</v>
      </c>
      <c r="I2541" s="7" t="n">
        <f aca="false">IF(AND(LEFT(A2541,1)&lt;&gt;"C",D2541&gt;0,F2541&gt;0),1,0)</f>
        <v>1</v>
      </c>
      <c r="J2541" s="7" t="n">
        <f aca="false">IF(I2541=1,D2541*F2541,0)</f>
        <v>19.8</v>
      </c>
      <c r="K2541" s="7" t="n">
        <f aca="false">YEAR(E2541)*100+MONTH(E2541)</f>
        <v>201110</v>
      </c>
      <c r="L2541" s="7" t="n">
        <f aca="false">IF(AND(A2541&lt;&gt;A2540,LEFT(A2541,1)&lt;&gt;"C"),1,0)</f>
        <v>0</v>
      </c>
    </row>
    <row r="2542" customFormat="false" ht="15" hidden="false" customHeight="false" outlineLevel="0" collapsed="false">
      <c r="A2542" s="0" t="s">
        <v>1985</v>
      </c>
      <c r="B2542" s="0" t="s">
        <v>484</v>
      </c>
      <c r="C2542" s="0" t="s">
        <v>485</v>
      </c>
      <c r="D2542" s="0" t="n">
        <v>12</v>
      </c>
      <c r="E2542" s="6" t="n">
        <v>40826.4256944444</v>
      </c>
      <c r="F2542" s="0" t="n">
        <v>1.65</v>
      </c>
      <c r="G2542" s="0" t="n">
        <v>12682</v>
      </c>
      <c r="H2542" s="0" t="s">
        <v>43</v>
      </c>
      <c r="I2542" s="7" t="n">
        <f aca="false">IF(AND(LEFT(A2542,1)&lt;&gt;"C",D2542&gt;0,F2542&gt;0),1,0)</f>
        <v>1</v>
      </c>
      <c r="J2542" s="7" t="n">
        <f aca="false">IF(I2542=1,D2542*F2542,0)</f>
        <v>19.8</v>
      </c>
      <c r="K2542" s="7" t="n">
        <f aca="false">YEAR(E2542)*100+MONTH(E2542)</f>
        <v>201110</v>
      </c>
      <c r="L2542" s="7" t="n">
        <f aca="false">IF(AND(A2542&lt;&gt;A2541,LEFT(A2542,1)&lt;&gt;"C"),1,0)</f>
        <v>0</v>
      </c>
    </row>
    <row r="2543" customFormat="false" ht="15" hidden="false" customHeight="false" outlineLevel="0" collapsed="false">
      <c r="A2543" s="0" t="s">
        <v>1985</v>
      </c>
      <c r="B2543" s="0" t="s">
        <v>123</v>
      </c>
      <c r="C2543" s="0" t="s">
        <v>124</v>
      </c>
      <c r="D2543" s="0" t="n">
        <v>6</v>
      </c>
      <c r="E2543" s="6" t="n">
        <v>40826.4256944444</v>
      </c>
      <c r="F2543" s="0" t="n">
        <v>2.95</v>
      </c>
      <c r="G2543" s="0" t="n">
        <v>12682</v>
      </c>
      <c r="H2543" s="0" t="s">
        <v>43</v>
      </c>
      <c r="I2543" s="7" t="n">
        <f aca="false">IF(AND(LEFT(A2543,1)&lt;&gt;"C",D2543&gt;0,F2543&gt;0),1,0)</f>
        <v>1</v>
      </c>
      <c r="J2543" s="7" t="n">
        <f aca="false">IF(I2543=1,D2543*F2543,0)</f>
        <v>17.7</v>
      </c>
      <c r="K2543" s="7" t="n">
        <f aca="false">YEAR(E2543)*100+MONTH(E2543)</f>
        <v>201110</v>
      </c>
      <c r="L2543" s="7" t="n">
        <f aca="false">IF(AND(A2543&lt;&gt;A2542,LEFT(A2543,1)&lt;&gt;"C"),1,0)</f>
        <v>0</v>
      </c>
    </row>
    <row r="2544" customFormat="false" ht="15" hidden="false" customHeight="false" outlineLevel="0" collapsed="false">
      <c r="A2544" s="0" t="s">
        <v>1985</v>
      </c>
      <c r="B2544" s="0" t="s">
        <v>84</v>
      </c>
      <c r="C2544" s="0" t="s">
        <v>85</v>
      </c>
      <c r="D2544" s="0" t="n">
        <v>1</v>
      </c>
      <c r="E2544" s="6" t="n">
        <v>40826.4256944444</v>
      </c>
      <c r="F2544" s="0" t="n">
        <v>18</v>
      </c>
      <c r="G2544" s="0" t="n">
        <v>12682</v>
      </c>
      <c r="H2544" s="0" t="s">
        <v>43</v>
      </c>
      <c r="I2544" s="7" t="n">
        <f aca="false">IF(AND(LEFT(A2544,1)&lt;&gt;"C",D2544&gt;0,F2544&gt;0),1,0)</f>
        <v>1</v>
      </c>
      <c r="J2544" s="7" t="n">
        <f aca="false">IF(I2544=1,D2544*F2544,0)</f>
        <v>18</v>
      </c>
      <c r="K2544" s="7" t="n">
        <f aca="false">YEAR(E2544)*100+MONTH(E2544)</f>
        <v>201110</v>
      </c>
      <c r="L2544" s="7" t="n">
        <f aca="false">IF(AND(A2544&lt;&gt;A2543,LEFT(A2544,1)&lt;&gt;"C"),1,0)</f>
        <v>0</v>
      </c>
    </row>
    <row r="2545" customFormat="false" ht="15" hidden="false" customHeight="false" outlineLevel="0" collapsed="false">
      <c r="A2545" s="0" t="s">
        <v>1988</v>
      </c>
      <c r="B2545" s="0" t="s">
        <v>1420</v>
      </c>
      <c r="C2545" s="0" t="s">
        <v>1421</v>
      </c>
      <c r="D2545" s="0" t="n">
        <v>-1</v>
      </c>
      <c r="E2545" s="6" t="n">
        <v>40826.4722222222</v>
      </c>
      <c r="F2545" s="0" t="n">
        <v>4.95</v>
      </c>
      <c r="G2545" s="0" t="n">
        <v>12708</v>
      </c>
      <c r="H2545" s="0" t="s">
        <v>33</v>
      </c>
      <c r="I2545" s="7" t="n">
        <f aca="false">IF(AND(LEFT(A2545,1)&lt;&gt;"C",D2545&gt;0,F2545&gt;0),1,0)</f>
        <v>0</v>
      </c>
      <c r="J2545" s="7" t="n">
        <f aca="false">IF(I2545=1,D2545*F2545,0)</f>
        <v>0</v>
      </c>
      <c r="K2545" s="7" t="n">
        <f aca="false">YEAR(E2545)*100+MONTH(E2545)</f>
        <v>201110</v>
      </c>
      <c r="L2545" s="7" t="n">
        <f aca="false">IF(AND(A2545&lt;&gt;A2544,LEFT(A2545,1)&lt;&gt;"C"),1,0)</f>
        <v>0</v>
      </c>
    </row>
    <row r="2546" customFormat="false" ht="15" hidden="false" customHeight="false" outlineLevel="0" collapsed="false">
      <c r="A2546" s="0" t="s">
        <v>1988</v>
      </c>
      <c r="B2546" s="0" t="s">
        <v>38</v>
      </c>
      <c r="C2546" s="0" t="s">
        <v>39</v>
      </c>
      <c r="D2546" s="0" t="n">
        <v>-1</v>
      </c>
      <c r="E2546" s="6" t="n">
        <v>40826.4722222222</v>
      </c>
      <c r="F2546" s="0" t="n">
        <v>2.1</v>
      </c>
      <c r="G2546" s="0" t="n">
        <v>12708</v>
      </c>
      <c r="H2546" s="0" t="s">
        <v>33</v>
      </c>
      <c r="I2546" s="7" t="n">
        <f aca="false">IF(AND(LEFT(A2546,1)&lt;&gt;"C",D2546&gt;0,F2546&gt;0),1,0)</f>
        <v>0</v>
      </c>
      <c r="J2546" s="7" t="n">
        <f aca="false">IF(I2546=1,D2546*F2546,0)</f>
        <v>0</v>
      </c>
      <c r="K2546" s="7" t="n">
        <f aca="false">YEAR(E2546)*100+MONTH(E2546)</f>
        <v>201110</v>
      </c>
      <c r="L2546" s="7" t="n">
        <f aca="false">IF(AND(A2546&lt;&gt;A2545,LEFT(A2546,1)&lt;&gt;"C"),1,0)</f>
        <v>0</v>
      </c>
    </row>
    <row r="2547" customFormat="false" ht="15" hidden="false" customHeight="false" outlineLevel="0" collapsed="false">
      <c r="A2547" s="0" t="s">
        <v>1988</v>
      </c>
      <c r="B2547" s="0" t="s">
        <v>579</v>
      </c>
      <c r="C2547" s="0" t="s">
        <v>580</v>
      </c>
      <c r="D2547" s="0" t="n">
        <v>-3</v>
      </c>
      <c r="E2547" s="6" t="n">
        <v>40826.4722222222</v>
      </c>
      <c r="F2547" s="0" t="n">
        <v>0.85</v>
      </c>
      <c r="G2547" s="0" t="n">
        <v>12708</v>
      </c>
      <c r="H2547" s="0" t="s">
        <v>33</v>
      </c>
      <c r="I2547" s="7" t="n">
        <f aca="false">IF(AND(LEFT(A2547,1)&lt;&gt;"C",D2547&gt;0,F2547&gt;0),1,0)</f>
        <v>0</v>
      </c>
      <c r="J2547" s="7" t="n">
        <f aca="false">IF(I2547=1,D2547*F2547,0)</f>
        <v>0</v>
      </c>
      <c r="K2547" s="7" t="n">
        <f aca="false">YEAR(E2547)*100+MONTH(E2547)</f>
        <v>201110</v>
      </c>
      <c r="L2547" s="7" t="n">
        <f aca="false">IF(AND(A2547&lt;&gt;A2546,LEFT(A2547,1)&lt;&gt;"C"),1,0)</f>
        <v>0</v>
      </c>
    </row>
    <row r="2548" customFormat="false" ht="15" hidden="false" customHeight="false" outlineLevel="0" collapsed="false">
      <c r="A2548" s="0" t="s">
        <v>1989</v>
      </c>
      <c r="B2548" s="0" t="s">
        <v>588</v>
      </c>
      <c r="C2548" s="0" t="s">
        <v>589</v>
      </c>
      <c r="D2548" s="0" t="n">
        <v>-10</v>
      </c>
      <c r="E2548" s="6" t="n">
        <v>40826.4972222222</v>
      </c>
      <c r="F2548" s="0" t="n">
        <v>1.65</v>
      </c>
      <c r="G2548" s="0" t="n">
        <v>12731</v>
      </c>
      <c r="H2548" s="0" t="s">
        <v>43</v>
      </c>
      <c r="I2548" s="7" t="n">
        <f aca="false">IF(AND(LEFT(A2548,1)&lt;&gt;"C",D2548&gt;0,F2548&gt;0),1,0)</f>
        <v>0</v>
      </c>
      <c r="J2548" s="7" t="n">
        <f aca="false">IF(I2548=1,D2548*F2548,0)</f>
        <v>0</v>
      </c>
      <c r="K2548" s="7" t="n">
        <f aca="false">YEAR(E2548)*100+MONTH(E2548)</f>
        <v>201110</v>
      </c>
      <c r="L2548" s="7" t="n">
        <f aca="false">IF(AND(A2548&lt;&gt;A2547,LEFT(A2548,1)&lt;&gt;"C"),1,0)</f>
        <v>0</v>
      </c>
    </row>
    <row r="2549" customFormat="false" ht="15" hidden="false" customHeight="false" outlineLevel="0" collapsed="false">
      <c r="A2549" s="0" t="s">
        <v>1990</v>
      </c>
      <c r="B2549" s="0" t="s">
        <v>482</v>
      </c>
      <c r="C2549" s="0" t="s">
        <v>483</v>
      </c>
      <c r="D2549" s="0" t="n">
        <v>12</v>
      </c>
      <c r="E2549" s="6" t="n">
        <v>40826.54375</v>
      </c>
      <c r="F2549" s="0" t="n">
        <v>1.25</v>
      </c>
      <c r="G2549" s="0" t="n">
        <v>12682</v>
      </c>
      <c r="H2549" s="0" t="s">
        <v>43</v>
      </c>
      <c r="I2549" s="7" t="n">
        <f aca="false">IF(AND(LEFT(A2549,1)&lt;&gt;"C",D2549&gt;0,F2549&gt;0),1,0)</f>
        <v>1</v>
      </c>
      <c r="J2549" s="7" t="n">
        <f aca="false">IF(I2549=1,D2549*F2549,0)</f>
        <v>15</v>
      </c>
      <c r="K2549" s="7" t="n">
        <f aca="false">YEAR(E2549)*100+MONTH(E2549)</f>
        <v>201110</v>
      </c>
      <c r="L2549" s="7" t="n">
        <f aca="false">IF(AND(A2549&lt;&gt;A2548,LEFT(A2549,1)&lt;&gt;"C"),1,0)</f>
        <v>1</v>
      </c>
    </row>
    <row r="2550" customFormat="false" ht="15" hidden="false" customHeight="false" outlineLevel="0" collapsed="false">
      <c r="A2550" s="0" t="s">
        <v>1990</v>
      </c>
      <c r="B2550" s="0" t="s">
        <v>1991</v>
      </c>
      <c r="C2550" s="0" t="s">
        <v>1992</v>
      </c>
      <c r="D2550" s="0" t="n">
        <v>6</v>
      </c>
      <c r="E2550" s="6" t="n">
        <v>40826.54375</v>
      </c>
      <c r="F2550" s="0" t="n">
        <v>1.65</v>
      </c>
      <c r="G2550" s="0" t="n">
        <v>12682</v>
      </c>
      <c r="H2550" s="0" t="s">
        <v>43</v>
      </c>
      <c r="I2550" s="7" t="n">
        <f aca="false">IF(AND(LEFT(A2550,1)&lt;&gt;"C",D2550&gt;0,F2550&gt;0),1,0)</f>
        <v>1</v>
      </c>
      <c r="J2550" s="7" t="n">
        <f aca="false">IF(I2550=1,D2550*F2550,0)</f>
        <v>9.9</v>
      </c>
      <c r="K2550" s="7" t="n">
        <f aca="false">YEAR(E2550)*100+MONTH(E2550)</f>
        <v>201110</v>
      </c>
      <c r="L2550" s="7" t="n">
        <f aca="false">IF(AND(A2550&lt;&gt;A2549,LEFT(A2550,1)&lt;&gt;"C"),1,0)</f>
        <v>0</v>
      </c>
    </row>
    <row r="2551" customFormat="false" ht="15" hidden="false" customHeight="false" outlineLevel="0" collapsed="false">
      <c r="A2551" s="0" t="s">
        <v>1990</v>
      </c>
      <c r="B2551" s="0" t="s">
        <v>1336</v>
      </c>
      <c r="C2551" s="0" t="s">
        <v>1337</v>
      </c>
      <c r="D2551" s="0" t="n">
        <v>12</v>
      </c>
      <c r="E2551" s="6" t="n">
        <v>40826.54375</v>
      </c>
      <c r="F2551" s="0" t="n">
        <v>1.25</v>
      </c>
      <c r="G2551" s="0" t="n">
        <v>12682</v>
      </c>
      <c r="H2551" s="0" t="s">
        <v>43</v>
      </c>
      <c r="I2551" s="7" t="n">
        <f aca="false">IF(AND(LEFT(A2551,1)&lt;&gt;"C",D2551&gt;0,F2551&gt;0),1,0)</f>
        <v>1</v>
      </c>
      <c r="J2551" s="7" t="n">
        <f aca="false">IF(I2551=1,D2551*F2551,0)</f>
        <v>15</v>
      </c>
      <c r="K2551" s="7" t="n">
        <f aca="false">YEAR(E2551)*100+MONTH(E2551)</f>
        <v>201110</v>
      </c>
      <c r="L2551" s="7" t="n">
        <f aca="false">IF(AND(A2551&lt;&gt;A2550,LEFT(A2551,1)&lt;&gt;"C"),1,0)</f>
        <v>0</v>
      </c>
    </row>
    <row r="2552" customFormat="false" ht="15" hidden="false" customHeight="false" outlineLevel="0" collapsed="false">
      <c r="A2552" s="0" t="s">
        <v>1990</v>
      </c>
      <c r="B2552" s="0" t="s">
        <v>1077</v>
      </c>
      <c r="C2552" s="0" t="s">
        <v>1078</v>
      </c>
      <c r="D2552" s="0" t="n">
        <v>20</v>
      </c>
      <c r="E2552" s="6" t="n">
        <v>40826.54375</v>
      </c>
      <c r="F2552" s="0" t="n">
        <v>2.08</v>
      </c>
      <c r="G2552" s="0" t="n">
        <v>12682</v>
      </c>
      <c r="H2552" s="0" t="s">
        <v>43</v>
      </c>
      <c r="I2552" s="7" t="n">
        <f aca="false">IF(AND(LEFT(A2552,1)&lt;&gt;"C",D2552&gt;0,F2552&gt;0),1,0)</f>
        <v>1</v>
      </c>
      <c r="J2552" s="7" t="n">
        <f aca="false">IF(I2552=1,D2552*F2552,0)</f>
        <v>41.6</v>
      </c>
      <c r="K2552" s="7" t="n">
        <f aca="false">YEAR(E2552)*100+MONTH(E2552)</f>
        <v>201110</v>
      </c>
      <c r="L2552" s="7" t="n">
        <f aca="false">IF(AND(A2552&lt;&gt;A2551,LEFT(A2552,1)&lt;&gt;"C"),1,0)</f>
        <v>0</v>
      </c>
    </row>
    <row r="2553" customFormat="false" ht="15" hidden="false" customHeight="false" outlineLevel="0" collapsed="false">
      <c r="A2553" s="0" t="s">
        <v>1990</v>
      </c>
      <c r="B2553" s="0" t="s">
        <v>217</v>
      </c>
      <c r="C2553" s="0" t="s">
        <v>218</v>
      </c>
      <c r="D2553" s="0" t="n">
        <v>24</v>
      </c>
      <c r="E2553" s="6" t="n">
        <v>40826.54375</v>
      </c>
      <c r="F2553" s="0" t="n">
        <v>0.55</v>
      </c>
      <c r="G2553" s="0" t="n">
        <v>12682</v>
      </c>
      <c r="H2553" s="0" t="s">
        <v>43</v>
      </c>
      <c r="I2553" s="7" t="n">
        <f aca="false">IF(AND(LEFT(A2553,1)&lt;&gt;"C",D2553&gt;0,F2553&gt;0),1,0)</f>
        <v>1</v>
      </c>
      <c r="J2553" s="7" t="n">
        <f aca="false">IF(I2553=1,D2553*F2553,0)</f>
        <v>13.2</v>
      </c>
      <c r="K2553" s="7" t="n">
        <f aca="false">YEAR(E2553)*100+MONTH(E2553)</f>
        <v>201110</v>
      </c>
      <c r="L2553" s="7" t="n">
        <f aca="false">IF(AND(A2553&lt;&gt;A2552,LEFT(A2553,1)&lt;&gt;"C"),1,0)</f>
        <v>0</v>
      </c>
    </row>
    <row r="2554" customFormat="false" ht="15" hidden="false" customHeight="false" outlineLevel="0" collapsed="false">
      <c r="A2554" s="0" t="s">
        <v>1990</v>
      </c>
      <c r="B2554" s="0" t="s">
        <v>1151</v>
      </c>
      <c r="C2554" s="0" t="s">
        <v>1152</v>
      </c>
      <c r="D2554" s="0" t="n">
        <v>2</v>
      </c>
      <c r="E2554" s="6" t="n">
        <v>40826.54375</v>
      </c>
      <c r="F2554" s="0" t="n">
        <v>12.5</v>
      </c>
      <c r="G2554" s="0" t="n">
        <v>12682</v>
      </c>
      <c r="H2554" s="0" t="s">
        <v>43</v>
      </c>
      <c r="I2554" s="7" t="n">
        <f aca="false">IF(AND(LEFT(A2554,1)&lt;&gt;"C",D2554&gt;0,F2554&gt;0),1,0)</f>
        <v>1</v>
      </c>
      <c r="J2554" s="7" t="n">
        <f aca="false">IF(I2554=1,D2554*F2554,0)</f>
        <v>25</v>
      </c>
      <c r="K2554" s="7" t="n">
        <f aca="false">YEAR(E2554)*100+MONTH(E2554)</f>
        <v>201110</v>
      </c>
      <c r="L2554" s="7" t="n">
        <f aca="false">IF(AND(A2554&lt;&gt;A2553,LEFT(A2554,1)&lt;&gt;"C"),1,0)</f>
        <v>0</v>
      </c>
    </row>
    <row r="2555" customFormat="false" ht="15" hidden="false" customHeight="false" outlineLevel="0" collapsed="false">
      <c r="A2555" s="0" t="s">
        <v>1990</v>
      </c>
      <c r="B2555" s="0" t="s">
        <v>623</v>
      </c>
      <c r="C2555" s="0" t="s">
        <v>624</v>
      </c>
      <c r="D2555" s="0" t="n">
        <v>10</v>
      </c>
      <c r="E2555" s="6" t="n">
        <v>40826.54375</v>
      </c>
      <c r="F2555" s="0" t="n">
        <v>2.08</v>
      </c>
      <c r="G2555" s="0" t="n">
        <v>12682</v>
      </c>
      <c r="H2555" s="0" t="s">
        <v>43</v>
      </c>
      <c r="I2555" s="7" t="n">
        <f aca="false">IF(AND(LEFT(A2555,1)&lt;&gt;"C",D2555&gt;0,F2555&gt;0),1,0)</f>
        <v>1</v>
      </c>
      <c r="J2555" s="7" t="n">
        <f aca="false">IF(I2555=1,D2555*F2555,0)</f>
        <v>20.8</v>
      </c>
      <c r="K2555" s="7" t="n">
        <f aca="false">YEAR(E2555)*100+MONTH(E2555)</f>
        <v>201110</v>
      </c>
      <c r="L2555" s="7" t="n">
        <f aca="false">IF(AND(A2555&lt;&gt;A2554,LEFT(A2555,1)&lt;&gt;"C"),1,0)</f>
        <v>0</v>
      </c>
    </row>
    <row r="2556" customFormat="false" ht="15" hidden="false" customHeight="false" outlineLevel="0" collapsed="false">
      <c r="A2556" s="0" t="s">
        <v>1990</v>
      </c>
      <c r="B2556" s="0" t="s">
        <v>64</v>
      </c>
      <c r="C2556" s="0" t="s">
        <v>65</v>
      </c>
      <c r="D2556" s="0" t="n">
        <v>12</v>
      </c>
      <c r="E2556" s="6" t="n">
        <v>40826.54375</v>
      </c>
      <c r="F2556" s="0" t="n">
        <v>1.65</v>
      </c>
      <c r="G2556" s="0" t="n">
        <v>12682</v>
      </c>
      <c r="H2556" s="0" t="s">
        <v>43</v>
      </c>
      <c r="I2556" s="7" t="n">
        <f aca="false">IF(AND(LEFT(A2556,1)&lt;&gt;"C",D2556&gt;0,F2556&gt;0),1,0)</f>
        <v>1</v>
      </c>
      <c r="J2556" s="7" t="n">
        <f aca="false">IF(I2556=1,D2556*F2556,0)</f>
        <v>19.8</v>
      </c>
      <c r="K2556" s="7" t="n">
        <f aca="false">YEAR(E2556)*100+MONTH(E2556)</f>
        <v>201110</v>
      </c>
      <c r="L2556" s="7" t="n">
        <f aca="false">IF(AND(A2556&lt;&gt;A2555,LEFT(A2556,1)&lt;&gt;"C"),1,0)</f>
        <v>0</v>
      </c>
    </row>
    <row r="2557" customFormat="false" ht="15" hidden="false" customHeight="false" outlineLevel="0" collapsed="false">
      <c r="A2557" s="0" t="s">
        <v>1990</v>
      </c>
      <c r="B2557" s="0" t="s">
        <v>567</v>
      </c>
      <c r="C2557" s="0" t="s">
        <v>568</v>
      </c>
      <c r="D2557" s="0" t="n">
        <v>10</v>
      </c>
      <c r="E2557" s="6" t="n">
        <v>40826.54375</v>
      </c>
      <c r="F2557" s="0" t="n">
        <v>1.65</v>
      </c>
      <c r="G2557" s="0" t="n">
        <v>12682</v>
      </c>
      <c r="H2557" s="0" t="s">
        <v>43</v>
      </c>
      <c r="I2557" s="7" t="n">
        <f aca="false">IF(AND(LEFT(A2557,1)&lt;&gt;"C",D2557&gt;0,F2557&gt;0),1,0)</f>
        <v>1</v>
      </c>
      <c r="J2557" s="7" t="n">
        <f aca="false">IF(I2557=1,D2557*F2557,0)</f>
        <v>16.5</v>
      </c>
      <c r="K2557" s="7" t="n">
        <f aca="false">YEAR(E2557)*100+MONTH(E2557)</f>
        <v>201110</v>
      </c>
      <c r="L2557" s="7" t="n">
        <f aca="false">IF(AND(A2557&lt;&gt;A2556,LEFT(A2557,1)&lt;&gt;"C"),1,0)</f>
        <v>0</v>
      </c>
    </row>
    <row r="2558" customFormat="false" ht="15" hidden="false" customHeight="false" outlineLevel="0" collapsed="false">
      <c r="A2558" s="0" t="s">
        <v>1990</v>
      </c>
      <c r="B2558" s="0" t="s">
        <v>109</v>
      </c>
      <c r="C2558" s="0" t="s">
        <v>110</v>
      </c>
      <c r="D2558" s="0" t="n">
        <v>8</v>
      </c>
      <c r="E2558" s="6" t="n">
        <v>40826.54375</v>
      </c>
      <c r="F2558" s="0" t="n">
        <v>0.83</v>
      </c>
      <c r="G2558" s="0" t="n">
        <v>12682</v>
      </c>
      <c r="H2558" s="0" t="s">
        <v>43</v>
      </c>
      <c r="I2558" s="7" t="n">
        <f aca="false">IF(AND(LEFT(A2558,1)&lt;&gt;"C",D2558&gt;0,F2558&gt;0),1,0)</f>
        <v>1</v>
      </c>
      <c r="J2558" s="7" t="n">
        <f aca="false">IF(I2558=1,D2558*F2558,0)</f>
        <v>6.64</v>
      </c>
      <c r="K2558" s="7" t="n">
        <f aca="false">YEAR(E2558)*100+MONTH(E2558)</f>
        <v>201110</v>
      </c>
      <c r="L2558" s="7" t="n">
        <f aca="false">IF(AND(A2558&lt;&gt;A2557,LEFT(A2558,1)&lt;&gt;"C"),1,0)</f>
        <v>0</v>
      </c>
    </row>
    <row r="2559" customFormat="false" ht="15" hidden="false" customHeight="false" outlineLevel="0" collapsed="false">
      <c r="A2559" s="0" t="s">
        <v>1990</v>
      </c>
      <c r="B2559" s="0" t="s">
        <v>1600</v>
      </c>
      <c r="C2559" s="0" t="s">
        <v>1601</v>
      </c>
      <c r="D2559" s="0" t="n">
        <v>10</v>
      </c>
      <c r="E2559" s="6" t="n">
        <v>40826.54375</v>
      </c>
      <c r="F2559" s="0" t="n">
        <v>1.95</v>
      </c>
      <c r="G2559" s="0" t="n">
        <v>12682</v>
      </c>
      <c r="H2559" s="0" t="s">
        <v>43</v>
      </c>
      <c r="I2559" s="7" t="n">
        <f aca="false">IF(AND(LEFT(A2559,1)&lt;&gt;"C",D2559&gt;0,F2559&gt;0),1,0)</f>
        <v>1</v>
      </c>
      <c r="J2559" s="7" t="n">
        <f aca="false">IF(I2559=1,D2559*F2559,0)</f>
        <v>19.5</v>
      </c>
      <c r="K2559" s="7" t="n">
        <f aca="false">YEAR(E2559)*100+MONTH(E2559)</f>
        <v>201110</v>
      </c>
      <c r="L2559" s="7" t="n">
        <f aca="false">IF(AND(A2559&lt;&gt;A2558,LEFT(A2559,1)&lt;&gt;"C"),1,0)</f>
        <v>0</v>
      </c>
    </row>
    <row r="2560" customFormat="false" ht="15" hidden="false" customHeight="false" outlineLevel="0" collapsed="false">
      <c r="A2560" s="0" t="s">
        <v>1990</v>
      </c>
      <c r="B2560" s="0" t="s">
        <v>1592</v>
      </c>
      <c r="C2560" s="0" t="s">
        <v>1593</v>
      </c>
      <c r="D2560" s="0" t="n">
        <v>6</v>
      </c>
      <c r="E2560" s="6" t="n">
        <v>40826.54375</v>
      </c>
      <c r="F2560" s="0" t="n">
        <v>2.89</v>
      </c>
      <c r="G2560" s="0" t="n">
        <v>12682</v>
      </c>
      <c r="H2560" s="0" t="s">
        <v>43</v>
      </c>
      <c r="I2560" s="7" t="n">
        <f aca="false">IF(AND(LEFT(A2560,1)&lt;&gt;"C",D2560&gt;0,F2560&gt;0),1,0)</f>
        <v>1</v>
      </c>
      <c r="J2560" s="7" t="n">
        <f aca="false">IF(I2560=1,D2560*F2560,0)</f>
        <v>17.34</v>
      </c>
      <c r="K2560" s="7" t="n">
        <f aca="false">YEAR(E2560)*100+MONTH(E2560)</f>
        <v>201110</v>
      </c>
      <c r="L2560" s="7" t="n">
        <f aca="false">IF(AND(A2560&lt;&gt;A2559,LEFT(A2560,1)&lt;&gt;"C"),1,0)</f>
        <v>0</v>
      </c>
    </row>
    <row r="2561" customFormat="false" ht="15" hidden="false" customHeight="false" outlineLevel="0" collapsed="false">
      <c r="A2561" s="0" t="s">
        <v>1990</v>
      </c>
      <c r="B2561" s="0" t="s">
        <v>517</v>
      </c>
      <c r="C2561" s="0" t="s">
        <v>518</v>
      </c>
      <c r="D2561" s="0" t="n">
        <v>10</v>
      </c>
      <c r="E2561" s="6" t="n">
        <v>40826.54375</v>
      </c>
      <c r="F2561" s="0" t="n">
        <v>2.08</v>
      </c>
      <c r="G2561" s="0" t="n">
        <v>12682</v>
      </c>
      <c r="H2561" s="0" t="s">
        <v>43</v>
      </c>
      <c r="I2561" s="7" t="n">
        <f aca="false">IF(AND(LEFT(A2561,1)&lt;&gt;"C",D2561&gt;0,F2561&gt;0),1,0)</f>
        <v>1</v>
      </c>
      <c r="J2561" s="7" t="n">
        <f aca="false">IF(I2561=1,D2561*F2561,0)</f>
        <v>20.8</v>
      </c>
      <c r="K2561" s="7" t="n">
        <f aca="false">YEAR(E2561)*100+MONTH(E2561)</f>
        <v>201110</v>
      </c>
      <c r="L2561" s="7" t="n">
        <f aca="false">IF(AND(A2561&lt;&gt;A2560,LEFT(A2561,1)&lt;&gt;"C"),1,0)</f>
        <v>0</v>
      </c>
    </row>
    <row r="2562" customFormat="false" ht="15" hidden="false" customHeight="false" outlineLevel="0" collapsed="false">
      <c r="A2562" s="0" t="s">
        <v>1990</v>
      </c>
      <c r="B2562" s="0" t="s">
        <v>625</v>
      </c>
      <c r="C2562" s="0" t="s">
        <v>626</v>
      </c>
      <c r="D2562" s="0" t="n">
        <v>10</v>
      </c>
      <c r="E2562" s="6" t="n">
        <v>40826.54375</v>
      </c>
      <c r="F2562" s="0" t="n">
        <v>2.08</v>
      </c>
      <c r="G2562" s="0" t="n">
        <v>12682</v>
      </c>
      <c r="H2562" s="0" t="s">
        <v>43</v>
      </c>
      <c r="I2562" s="7" t="n">
        <f aca="false">IF(AND(LEFT(A2562,1)&lt;&gt;"C",D2562&gt;0,F2562&gt;0),1,0)</f>
        <v>1</v>
      </c>
      <c r="J2562" s="7" t="n">
        <f aca="false">IF(I2562=1,D2562*F2562,0)</f>
        <v>20.8</v>
      </c>
      <c r="K2562" s="7" t="n">
        <f aca="false">YEAR(E2562)*100+MONTH(E2562)</f>
        <v>201110</v>
      </c>
      <c r="L2562" s="7" t="n">
        <f aca="false">IF(AND(A2562&lt;&gt;A2561,LEFT(A2562,1)&lt;&gt;"C"),1,0)</f>
        <v>0</v>
      </c>
    </row>
    <row r="2563" customFormat="false" ht="15" hidden="false" customHeight="false" outlineLevel="0" collapsed="false">
      <c r="A2563" s="0" t="s">
        <v>1990</v>
      </c>
      <c r="B2563" s="0" t="s">
        <v>58</v>
      </c>
      <c r="C2563" s="0" t="s">
        <v>59</v>
      </c>
      <c r="D2563" s="0" t="n">
        <v>6</v>
      </c>
      <c r="E2563" s="6" t="n">
        <v>40826.54375</v>
      </c>
      <c r="F2563" s="0" t="n">
        <v>2.55</v>
      </c>
      <c r="G2563" s="0" t="n">
        <v>12682</v>
      </c>
      <c r="H2563" s="0" t="s">
        <v>43</v>
      </c>
      <c r="I2563" s="7" t="n">
        <f aca="false">IF(AND(LEFT(A2563,1)&lt;&gt;"C",D2563&gt;0,F2563&gt;0),1,0)</f>
        <v>1</v>
      </c>
      <c r="J2563" s="7" t="n">
        <f aca="false">IF(I2563=1,D2563*F2563,0)</f>
        <v>15.3</v>
      </c>
      <c r="K2563" s="7" t="n">
        <f aca="false">YEAR(E2563)*100+MONTH(E2563)</f>
        <v>201110</v>
      </c>
      <c r="L2563" s="7" t="n">
        <f aca="false">IF(AND(A2563&lt;&gt;A2562,LEFT(A2563,1)&lt;&gt;"C"),1,0)</f>
        <v>0</v>
      </c>
    </row>
    <row r="2564" customFormat="false" ht="15" hidden="false" customHeight="false" outlineLevel="0" collapsed="false">
      <c r="A2564" s="0" t="s">
        <v>1990</v>
      </c>
      <c r="B2564" s="0" t="s">
        <v>84</v>
      </c>
      <c r="C2564" s="0" t="s">
        <v>85</v>
      </c>
      <c r="D2564" s="0" t="n">
        <v>2</v>
      </c>
      <c r="E2564" s="6" t="n">
        <v>40826.54375</v>
      </c>
      <c r="F2564" s="0" t="n">
        <v>18</v>
      </c>
      <c r="G2564" s="0" t="n">
        <v>12682</v>
      </c>
      <c r="H2564" s="0" t="s">
        <v>43</v>
      </c>
      <c r="I2564" s="7" t="n">
        <f aca="false">IF(AND(LEFT(A2564,1)&lt;&gt;"C",D2564&gt;0,F2564&gt;0),1,0)</f>
        <v>1</v>
      </c>
      <c r="J2564" s="7" t="n">
        <f aca="false">IF(I2564=1,D2564*F2564,0)</f>
        <v>36</v>
      </c>
      <c r="K2564" s="7" t="n">
        <f aca="false">YEAR(E2564)*100+MONTH(E2564)</f>
        <v>201110</v>
      </c>
      <c r="L2564" s="7" t="n">
        <f aca="false">IF(AND(A2564&lt;&gt;A2563,LEFT(A2564,1)&lt;&gt;"C"),1,0)</f>
        <v>0</v>
      </c>
    </row>
    <row r="2565" customFormat="false" ht="15" hidden="false" customHeight="false" outlineLevel="0" collapsed="false">
      <c r="A2565" s="0" t="s">
        <v>1993</v>
      </c>
      <c r="B2565" s="0" t="s">
        <v>484</v>
      </c>
      <c r="C2565" s="0" t="s">
        <v>485</v>
      </c>
      <c r="D2565" s="0" t="n">
        <v>12</v>
      </c>
      <c r="E2565" s="6" t="n">
        <v>40826.6354166667</v>
      </c>
      <c r="F2565" s="0" t="n">
        <v>1.65</v>
      </c>
      <c r="G2565" s="0" t="n">
        <v>12427</v>
      </c>
      <c r="H2565" s="0" t="s">
        <v>33</v>
      </c>
      <c r="I2565" s="7" t="n">
        <f aca="false">IF(AND(LEFT(A2565,1)&lt;&gt;"C",D2565&gt;0,F2565&gt;0),1,0)</f>
        <v>1</v>
      </c>
      <c r="J2565" s="7" t="n">
        <f aca="false">IF(I2565=1,D2565*F2565,0)</f>
        <v>19.8</v>
      </c>
      <c r="K2565" s="7" t="n">
        <f aca="false">YEAR(E2565)*100+MONTH(E2565)</f>
        <v>201110</v>
      </c>
      <c r="L2565" s="7" t="n">
        <f aca="false">IF(AND(A2565&lt;&gt;A2564,LEFT(A2565,1)&lt;&gt;"C"),1,0)</f>
        <v>1</v>
      </c>
    </row>
    <row r="2566" customFormat="false" ht="15" hidden="false" customHeight="false" outlineLevel="0" collapsed="false">
      <c r="A2566" s="0" t="s">
        <v>1993</v>
      </c>
      <c r="B2566" s="0" t="s">
        <v>467</v>
      </c>
      <c r="C2566" s="0" t="s">
        <v>468</v>
      </c>
      <c r="D2566" s="0" t="n">
        <v>8</v>
      </c>
      <c r="E2566" s="6" t="n">
        <v>40826.6354166667</v>
      </c>
      <c r="F2566" s="0" t="n">
        <v>1.95</v>
      </c>
      <c r="G2566" s="0" t="n">
        <v>12427</v>
      </c>
      <c r="H2566" s="0" t="s">
        <v>33</v>
      </c>
      <c r="I2566" s="7" t="n">
        <f aca="false">IF(AND(LEFT(A2566,1)&lt;&gt;"C",D2566&gt;0,F2566&gt;0),1,0)</f>
        <v>1</v>
      </c>
      <c r="J2566" s="7" t="n">
        <f aca="false">IF(I2566=1,D2566*F2566,0)</f>
        <v>15.6</v>
      </c>
      <c r="K2566" s="7" t="n">
        <f aca="false">YEAR(E2566)*100+MONTH(E2566)</f>
        <v>201110</v>
      </c>
      <c r="L2566" s="7" t="n">
        <f aca="false">IF(AND(A2566&lt;&gt;A2565,LEFT(A2566,1)&lt;&gt;"C"),1,0)</f>
        <v>0</v>
      </c>
    </row>
    <row r="2567" customFormat="false" ht="15" hidden="false" customHeight="false" outlineLevel="0" collapsed="false">
      <c r="A2567" s="0" t="s">
        <v>1993</v>
      </c>
      <c r="B2567" s="0" t="s">
        <v>1042</v>
      </c>
      <c r="C2567" s="0" t="s">
        <v>1043</v>
      </c>
      <c r="D2567" s="0" t="n">
        <v>4</v>
      </c>
      <c r="E2567" s="6" t="n">
        <v>40826.6354166667</v>
      </c>
      <c r="F2567" s="0" t="n">
        <v>4.15</v>
      </c>
      <c r="G2567" s="0" t="n">
        <v>12427</v>
      </c>
      <c r="H2567" s="0" t="s">
        <v>33</v>
      </c>
      <c r="I2567" s="7" t="n">
        <f aca="false">IF(AND(LEFT(A2567,1)&lt;&gt;"C",D2567&gt;0,F2567&gt;0),1,0)</f>
        <v>1</v>
      </c>
      <c r="J2567" s="7" t="n">
        <f aca="false">IF(I2567=1,D2567*F2567,0)</f>
        <v>16.6</v>
      </c>
      <c r="K2567" s="7" t="n">
        <f aca="false">YEAR(E2567)*100+MONTH(E2567)</f>
        <v>201110</v>
      </c>
      <c r="L2567" s="7" t="n">
        <f aca="false">IF(AND(A2567&lt;&gt;A2566,LEFT(A2567,1)&lt;&gt;"C"),1,0)</f>
        <v>0</v>
      </c>
    </row>
    <row r="2568" customFormat="false" ht="15" hidden="false" customHeight="false" outlineLevel="0" collapsed="false">
      <c r="A2568" s="0" t="s">
        <v>1993</v>
      </c>
      <c r="B2568" s="0" t="s">
        <v>490</v>
      </c>
      <c r="C2568" s="0" t="s">
        <v>491</v>
      </c>
      <c r="D2568" s="0" t="n">
        <v>6</v>
      </c>
      <c r="E2568" s="6" t="n">
        <v>40826.6354166667</v>
      </c>
      <c r="F2568" s="0" t="n">
        <v>2.08</v>
      </c>
      <c r="G2568" s="0" t="n">
        <v>12427</v>
      </c>
      <c r="H2568" s="0" t="s">
        <v>33</v>
      </c>
      <c r="I2568" s="7" t="n">
        <f aca="false">IF(AND(LEFT(A2568,1)&lt;&gt;"C",D2568&gt;0,F2568&gt;0),1,0)</f>
        <v>1</v>
      </c>
      <c r="J2568" s="7" t="n">
        <f aca="false">IF(I2568=1,D2568*F2568,0)</f>
        <v>12.48</v>
      </c>
      <c r="K2568" s="7" t="n">
        <f aca="false">YEAR(E2568)*100+MONTH(E2568)</f>
        <v>201110</v>
      </c>
      <c r="L2568" s="7" t="n">
        <f aca="false">IF(AND(A2568&lt;&gt;A2567,LEFT(A2568,1)&lt;&gt;"C"),1,0)</f>
        <v>0</v>
      </c>
    </row>
    <row r="2569" customFormat="false" ht="15" hidden="false" customHeight="false" outlineLevel="0" collapsed="false">
      <c r="A2569" s="0" t="s">
        <v>1993</v>
      </c>
      <c r="B2569" s="0" t="s">
        <v>1728</v>
      </c>
      <c r="C2569" s="0" t="s">
        <v>1729</v>
      </c>
      <c r="D2569" s="0" t="n">
        <v>12</v>
      </c>
      <c r="E2569" s="6" t="n">
        <v>40826.6354166667</v>
      </c>
      <c r="F2569" s="0" t="n">
        <v>1.65</v>
      </c>
      <c r="G2569" s="0" t="n">
        <v>12427</v>
      </c>
      <c r="H2569" s="0" t="s">
        <v>33</v>
      </c>
      <c r="I2569" s="7" t="n">
        <f aca="false">IF(AND(LEFT(A2569,1)&lt;&gt;"C",D2569&gt;0,F2569&gt;0),1,0)</f>
        <v>1</v>
      </c>
      <c r="J2569" s="7" t="n">
        <f aca="false">IF(I2569=1,D2569*F2569,0)</f>
        <v>19.8</v>
      </c>
      <c r="K2569" s="7" t="n">
        <f aca="false">YEAR(E2569)*100+MONTH(E2569)</f>
        <v>201110</v>
      </c>
      <c r="L2569" s="7" t="n">
        <f aca="false">IF(AND(A2569&lt;&gt;A2568,LEFT(A2569,1)&lt;&gt;"C"),1,0)</f>
        <v>0</v>
      </c>
    </row>
    <row r="2570" customFormat="false" ht="15" hidden="false" customHeight="false" outlineLevel="0" collapsed="false">
      <c r="A2570" s="0" t="s">
        <v>1993</v>
      </c>
      <c r="B2570" s="0" t="s">
        <v>1994</v>
      </c>
      <c r="C2570" s="0" t="s">
        <v>1995</v>
      </c>
      <c r="D2570" s="0" t="n">
        <v>3</v>
      </c>
      <c r="E2570" s="6" t="n">
        <v>40826.6354166667</v>
      </c>
      <c r="F2570" s="0" t="n">
        <v>5.95</v>
      </c>
      <c r="G2570" s="0" t="n">
        <v>12427</v>
      </c>
      <c r="H2570" s="0" t="s">
        <v>33</v>
      </c>
      <c r="I2570" s="7" t="n">
        <f aca="false">IF(AND(LEFT(A2570,1)&lt;&gt;"C",D2570&gt;0,F2570&gt;0),1,0)</f>
        <v>1</v>
      </c>
      <c r="J2570" s="7" t="n">
        <f aca="false">IF(I2570=1,D2570*F2570,0)</f>
        <v>17.85</v>
      </c>
      <c r="K2570" s="7" t="n">
        <f aca="false">YEAR(E2570)*100+MONTH(E2570)</f>
        <v>201110</v>
      </c>
      <c r="L2570" s="7" t="n">
        <f aca="false">IF(AND(A2570&lt;&gt;A2569,LEFT(A2570,1)&lt;&gt;"C"),1,0)</f>
        <v>0</v>
      </c>
    </row>
    <row r="2571" customFormat="false" ht="15" hidden="false" customHeight="false" outlineLevel="0" collapsed="false">
      <c r="A2571" s="0" t="s">
        <v>1993</v>
      </c>
      <c r="B2571" s="0" t="s">
        <v>211</v>
      </c>
      <c r="C2571" s="0" t="s">
        <v>212</v>
      </c>
      <c r="D2571" s="0" t="n">
        <v>2</v>
      </c>
      <c r="E2571" s="6" t="n">
        <v>40826.6354166667</v>
      </c>
      <c r="F2571" s="0" t="n">
        <v>8.25</v>
      </c>
      <c r="G2571" s="0" t="n">
        <v>12427</v>
      </c>
      <c r="H2571" s="0" t="s">
        <v>33</v>
      </c>
      <c r="I2571" s="7" t="n">
        <f aca="false">IF(AND(LEFT(A2571,1)&lt;&gt;"C",D2571&gt;0,F2571&gt;0),1,0)</f>
        <v>1</v>
      </c>
      <c r="J2571" s="7" t="n">
        <f aca="false">IF(I2571=1,D2571*F2571,0)</f>
        <v>16.5</v>
      </c>
      <c r="K2571" s="7" t="n">
        <f aca="false">YEAR(E2571)*100+MONTH(E2571)</f>
        <v>201110</v>
      </c>
      <c r="L2571" s="7" t="n">
        <f aca="false">IF(AND(A2571&lt;&gt;A2570,LEFT(A2571,1)&lt;&gt;"C"),1,0)</f>
        <v>0</v>
      </c>
    </row>
    <row r="2572" customFormat="false" ht="15" hidden="false" customHeight="false" outlineLevel="0" collapsed="false">
      <c r="A2572" s="0" t="s">
        <v>1993</v>
      </c>
      <c r="B2572" s="0" t="s">
        <v>537</v>
      </c>
      <c r="C2572" s="0" t="s">
        <v>538</v>
      </c>
      <c r="D2572" s="0" t="n">
        <v>6</v>
      </c>
      <c r="E2572" s="6" t="n">
        <v>40826.6354166667</v>
      </c>
      <c r="F2572" s="0" t="n">
        <v>4.15</v>
      </c>
      <c r="G2572" s="0" t="n">
        <v>12427</v>
      </c>
      <c r="H2572" s="0" t="s">
        <v>33</v>
      </c>
      <c r="I2572" s="7" t="n">
        <f aca="false">IF(AND(LEFT(A2572,1)&lt;&gt;"C",D2572&gt;0,F2572&gt;0),1,0)</f>
        <v>1</v>
      </c>
      <c r="J2572" s="7" t="n">
        <f aca="false">IF(I2572=1,D2572*F2572,0)</f>
        <v>24.9</v>
      </c>
      <c r="K2572" s="7" t="n">
        <f aca="false">YEAR(E2572)*100+MONTH(E2572)</f>
        <v>201110</v>
      </c>
      <c r="L2572" s="7" t="n">
        <f aca="false">IF(AND(A2572&lt;&gt;A2571,LEFT(A2572,1)&lt;&gt;"C"),1,0)</f>
        <v>0</v>
      </c>
    </row>
    <row r="2573" customFormat="false" ht="15" hidden="false" customHeight="false" outlineLevel="0" collapsed="false">
      <c r="A2573" s="0" t="s">
        <v>1993</v>
      </c>
      <c r="B2573" s="0" t="s">
        <v>1559</v>
      </c>
      <c r="C2573" s="0" t="s">
        <v>1560</v>
      </c>
      <c r="D2573" s="0" t="n">
        <v>12</v>
      </c>
      <c r="E2573" s="6" t="n">
        <v>40826.6354166667</v>
      </c>
      <c r="F2573" s="0" t="n">
        <v>2.1</v>
      </c>
      <c r="G2573" s="0" t="n">
        <v>12427</v>
      </c>
      <c r="H2573" s="0" t="s">
        <v>33</v>
      </c>
      <c r="I2573" s="7" t="n">
        <f aca="false">IF(AND(LEFT(A2573,1)&lt;&gt;"C",D2573&gt;0,F2573&gt;0),1,0)</f>
        <v>1</v>
      </c>
      <c r="J2573" s="7" t="n">
        <f aca="false">IF(I2573=1,D2573*F2573,0)</f>
        <v>25.2</v>
      </c>
      <c r="K2573" s="7" t="n">
        <f aca="false">YEAR(E2573)*100+MONTH(E2573)</f>
        <v>201110</v>
      </c>
      <c r="L2573" s="7" t="n">
        <f aca="false">IF(AND(A2573&lt;&gt;A2572,LEFT(A2573,1)&lt;&gt;"C"),1,0)</f>
        <v>0</v>
      </c>
    </row>
    <row r="2574" customFormat="false" ht="15" hidden="false" customHeight="false" outlineLevel="0" collapsed="false">
      <c r="A2574" s="0" t="s">
        <v>1993</v>
      </c>
      <c r="B2574" s="0" t="s">
        <v>711</v>
      </c>
      <c r="C2574" s="0" t="s">
        <v>712</v>
      </c>
      <c r="D2574" s="0" t="n">
        <v>12</v>
      </c>
      <c r="E2574" s="6" t="n">
        <v>40826.6354166667</v>
      </c>
      <c r="F2574" s="0" t="n">
        <v>1.45</v>
      </c>
      <c r="G2574" s="0" t="n">
        <v>12427</v>
      </c>
      <c r="H2574" s="0" t="s">
        <v>33</v>
      </c>
      <c r="I2574" s="7" t="n">
        <f aca="false">IF(AND(LEFT(A2574,1)&lt;&gt;"C",D2574&gt;0,F2574&gt;0),1,0)</f>
        <v>1</v>
      </c>
      <c r="J2574" s="7" t="n">
        <f aca="false">IF(I2574=1,D2574*F2574,0)</f>
        <v>17.4</v>
      </c>
      <c r="K2574" s="7" t="n">
        <f aca="false">YEAR(E2574)*100+MONTH(E2574)</f>
        <v>201110</v>
      </c>
      <c r="L2574" s="7" t="n">
        <f aca="false">IF(AND(A2574&lt;&gt;A2573,LEFT(A2574,1)&lt;&gt;"C"),1,0)</f>
        <v>0</v>
      </c>
    </row>
    <row r="2575" customFormat="false" ht="15" hidden="false" customHeight="false" outlineLevel="0" collapsed="false">
      <c r="A2575" s="0" t="s">
        <v>1993</v>
      </c>
      <c r="B2575" s="0" t="s">
        <v>1996</v>
      </c>
      <c r="C2575" s="0" t="s">
        <v>1997</v>
      </c>
      <c r="D2575" s="0" t="n">
        <v>12</v>
      </c>
      <c r="E2575" s="6" t="n">
        <v>40826.6354166667</v>
      </c>
      <c r="F2575" s="0" t="n">
        <v>1.25</v>
      </c>
      <c r="G2575" s="0" t="n">
        <v>12427</v>
      </c>
      <c r="H2575" s="0" t="s">
        <v>33</v>
      </c>
      <c r="I2575" s="7" t="n">
        <f aca="false">IF(AND(LEFT(A2575,1)&lt;&gt;"C",D2575&gt;0,F2575&gt;0),1,0)</f>
        <v>1</v>
      </c>
      <c r="J2575" s="7" t="n">
        <f aca="false">IF(I2575=1,D2575*F2575,0)</f>
        <v>15</v>
      </c>
      <c r="K2575" s="7" t="n">
        <f aca="false">YEAR(E2575)*100+MONTH(E2575)</f>
        <v>201110</v>
      </c>
      <c r="L2575" s="7" t="n">
        <f aca="false">IF(AND(A2575&lt;&gt;A2574,LEFT(A2575,1)&lt;&gt;"C"),1,0)</f>
        <v>0</v>
      </c>
    </row>
    <row r="2576" customFormat="false" ht="15" hidden="false" customHeight="false" outlineLevel="0" collapsed="false">
      <c r="A2576" s="0" t="s">
        <v>1993</v>
      </c>
      <c r="B2576" s="0" t="s">
        <v>482</v>
      </c>
      <c r="C2576" s="0" t="s">
        <v>483</v>
      </c>
      <c r="D2576" s="0" t="n">
        <v>12</v>
      </c>
      <c r="E2576" s="6" t="n">
        <v>40826.6354166667</v>
      </c>
      <c r="F2576" s="0" t="n">
        <v>1.25</v>
      </c>
      <c r="G2576" s="0" t="n">
        <v>12427</v>
      </c>
      <c r="H2576" s="0" t="s">
        <v>33</v>
      </c>
      <c r="I2576" s="7" t="n">
        <f aca="false">IF(AND(LEFT(A2576,1)&lt;&gt;"C",D2576&gt;0,F2576&gt;0),1,0)</f>
        <v>1</v>
      </c>
      <c r="J2576" s="7" t="n">
        <f aca="false">IF(I2576=1,D2576*F2576,0)</f>
        <v>15</v>
      </c>
      <c r="K2576" s="7" t="n">
        <f aca="false">YEAR(E2576)*100+MONTH(E2576)</f>
        <v>201110</v>
      </c>
      <c r="L2576" s="7" t="n">
        <f aca="false">IF(AND(A2576&lt;&gt;A2575,LEFT(A2576,1)&lt;&gt;"C"),1,0)</f>
        <v>0</v>
      </c>
    </row>
    <row r="2577" customFormat="false" ht="15" hidden="false" customHeight="false" outlineLevel="0" collapsed="false">
      <c r="A2577" s="0" t="s">
        <v>1993</v>
      </c>
      <c r="B2577" s="0" t="s">
        <v>598</v>
      </c>
      <c r="C2577" s="0" t="s">
        <v>599</v>
      </c>
      <c r="D2577" s="0" t="n">
        <v>8</v>
      </c>
      <c r="E2577" s="6" t="n">
        <v>40826.6354166667</v>
      </c>
      <c r="F2577" s="0" t="n">
        <v>1.95</v>
      </c>
      <c r="G2577" s="0" t="n">
        <v>12427</v>
      </c>
      <c r="H2577" s="0" t="s">
        <v>33</v>
      </c>
      <c r="I2577" s="7" t="n">
        <f aca="false">IF(AND(LEFT(A2577,1)&lt;&gt;"C",D2577&gt;0,F2577&gt;0),1,0)</f>
        <v>1</v>
      </c>
      <c r="J2577" s="7" t="n">
        <f aca="false">IF(I2577=1,D2577*F2577,0)</f>
        <v>15.6</v>
      </c>
      <c r="K2577" s="7" t="n">
        <f aca="false">YEAR(E2577)*100+MONTH(E2577)</f>
        <v>201110</v>
      </c>
      <c r="L2577" s="7" t="n">
        <f aca="false">IF(AND(A2577&lt;&gt;A2576,LEFT(A2577,1)&lt;&gt;"C"),1,0)</f>
        <v>0</v>
      </c>
    </row>
    <row r="2578" customFormat="false" ht="15" hidden="false" customHeight="false" outlineLevel="0" collapsed="false">
      <c r="A2578" s="0" t="s">
        <v>1993</v>
      </c>
      <c r="B2578" s="0" t="s">
        <v>316</v>
      </c>
      <c r="C2578" s="0" t="s">
        <v>317</v>
      </c>
      <c r="D2578" s="0" t="n">
        <v>3</v>
      </c>
      <c r="E2578" s="6" t="n">
        <v>40826.6354166667</v>
      </c>
      <c r="F2578" s="0" t="n">
        <v>4.95</v>
      </c>
      <c r="G2578" s="0" t="n">
        <v>12427</v>
      </c>
      <c r="H2578" s="0" t="s">
        <v>33</v>
      </c>
      <c r="I2578" s="7" t="n">
        <f aca="false">IF(AND(LEFT(A2578,1)&lt;&gt;"C",D2578&gt;0,F2578&gt;0),1,0)</f>
        <v>1</v>
      </c>
      <c r="J2578" s="7" t="n">
        <f aca="false">IF(I2578=1,D2578*F2578,0)</f>
        <v>14.85</v>
      </c>
      <c r="K2578" s="7" t="n">
        <f aca="false">YEAR(E2578)*100+MONTH(E2578)</f>
        <v>201110</v>
      </c>
      <c r="L2578" s="7" t="n">
        <f aca="false">IF(AND(A2578&lt;&gt;A2577,LEFT(A2578,1)&lt;&gt;"C"),1,0)</f>
        <v>0</v>
      </c>
    </row>
    <row r="2579" customFormat="false" ht="15" hidden="false" customHeight="false" outlineLevel="0" collapsed="false">
      <c r="A2579" s="0" t="s">
        <v>1993</v>
      </c>
      <c r="B2579" s="0" t="s">
        <v>84</v>
      </c>
      <c r="C2579" s="0" t="s">
        <v>85</v>
      </c>
      <c r="D2579" s="0" t="n">
        <v>2</v>
      </c>
      <c r="E2579" s="6" t="n">
        <v>40826.6354166667</v>
      </c>
      <c r="F2579" s="0" t="n">
        <v>18</v>
      </c>
      <c r="G2579" s="0" t="n">
        <v>12427</v>
      </c>
      <c r="H2579" s="0" t="s">
        <v>33</v>
      </c>
      <c r="I2579" s="7" t="n">
        <f aca="false">IF(AND(LEFT(A2579,1)&lt;&gt;"C",D2579&gt;0,F2579&gt;0),1,0)</f>
        <v>1</v>
      </c>
      <c r="J2579" s="7" t="n">
        <f aca="false">IF(I2579=1,D2579*F2579,0)</f>
        <v>36</v>
      </c>
      <c r="K2579" s="7" t="n">
        <f aca="false">YEAR(E2579)*100+MONTH(E2579)</f>
        <v>201110</v>
      </c>
      <c r="L2579" s="7" t="n">
        <f aca="false">IF(AND(A2579&lt;&gt;A2578,LEFT(A2579,1)&lt;&gt;"C"),1,0)</f>
        <v>0</v>
      </c>
    </row>
    <row r="2580" customFormat="false" ht="15" hidden="false" customHeight="false" outlineLevel="0" collapsed="false">
      <c r="A2580" s="0" t="s">
        <v>1998</v>
      </c>
      <c r="B2580" s="0" t="s">
        <v>1483</v>
      </c>
      <c r="C2580" s="0" t="s">
        <v>1484</v>
      </c>
      <c r="D2580" s="0" t="n">
        <v>-6</v>
      </c>
      <c r="E2580" s="6" t="n">
        <v>40827.44375</v>
      </c>
      <c r="F2580" s="0" t="n">
        <v>2.95</v>
      </c>
      <c r="G2580" s="0" t="n">
        <v>12719</v>
      </c>
      <c r="H2580" s="0" t="s">
        <v>43</v>
      </c>
      <c r="I2580" s="7" t="n">
        <f aca="false">IF(AND(LEFT(A2580,1)&lt;&gt;"C",D2580&gt;0,F2580&gt;0),1,0)</f>
        <v>0</v>
      </c>
      <c r="J2580" s="7" t="n">
        <f aca="false">IF(I2580=1,D2580*F2580,0)</f>
        <v>0</v>
      </c>
      <c r="K2580" s="7" t="n">
        <f aca="false">YEAR(E2580)*100+MONTH(E2580)</f>
        <v>201110</v>
      </c>
      <c r="L2580" s="7" t="n">
        <f aca="false">IF(AND(A2580&lt;&gt;A2579,LEFT(A2580,1)&lt;&gt;"C"),1,0)</f>
        <v>0</v>
      </c>
    </row>
    <row r="2581" customFormat="false" ht="15" hidden="false" customHeight="false" outlineLevel="0" collapsed="false">
      <c r="A2581" s="0" t="s">
        <v>1998</v>
      </c>
      <c r="B2581" s="0" t="s">
        <v>1477</v>
      </c>
      <c r="C2581" s="0" t="s">
        <v>1478</v>
      </c>
      <c r="D2581" s="0" t="n">
        <v>-6</v>
      </c>
      <c r="E2581" s="6" t="n">
        <v>40827.44375</v>
      </c>
      <c r="F2581" s="0" t="n">
        <v>2.95</v>
      </c>
      <c r="G2581" s="0" t="n">
        <v>12719</v>
      </c>
      <c r="H2581" s="0" t="s">
        <v>43</v>
      </c>
      <c r="I2581" s="7" t="n">
        <f aca="false">IF(AND(LEFT(A2581,1)&lt;&gt;"C",D2581&gt;0,F2581&gt;0),1,0)</f>
        <v>0</v>
      </c>
      <c r="J2581" s="7" t="n">
        <f aca="false">IF(I2581=1,D2581*F2581,0)</f>
        <v>0</v>
      </c>
      <c r="K2581" s="7" t="n">
        <f aca="false">YEAR(E2581)*100+MONTH(E2581)</f>
        <v>201110</v>
      </c>
      <c r="L2581" s="7" t="n">
        <f aca="false">IF(AND(A2581&lt;&gt;A2580,LEFT(A2581,1)&lt;&gt;"C"),1,0)</f>
        <v>0</v>
      </c>
    </row>
    <row r="2582" customFormat="false" ht="15" hidden="false" customHeight="false" outlineLevel="0" collapsed="false">
      <c r="A2582" s="0" t="s">
        <v>1998</v>
      </c>
      <c r="B2582" s="0" t="s">
        <v>1759</v>
      </c>
      <c r="C2582" s="0" t="s">
        <v>1760</v>
      </c>
      <c r="D2582" s="0" t="n">
        <v>-1</v>
      </c>
      <c r="E2582" s="6" t="n">
        <v>40827.44375</v>
      </c>
      <c r="F2582" s="0" t="n">
        <v>1.45</v>
      </c>
      <c r="G2582" s="0" t="n">
        <v>12719</v>
      </c>
      <c r="H2582" s="0" t="s">
        <v>43</v>
      </c>
      <c r="I2582" s="7" t="n">
        <f aca="false">IF(AND(LEFT(A2582,1)&lt;&gt;"C",D2582&gt;0,F2582&gt;0),1,0)</f>
        <v>0</v>
      </c>
      <c r="J2582" s="7" t="n">
        <f aca="false">IF(I2582=1,D2582*F2582,0)</f>
        <v>0</v>
      </c>
      <c r="K2582" s="7" t="n">
        <f aca="false">YEAR(E2582)*100+MONTH(E2582)</f>
        <v>201110</v>
      </c>
      <c r="L2582" s="7" t="n">
        <f aca="false">IF(AND(A2582&lt;&gt;A2581,LEFT(A2582,1)&lt;&gt;"C"),1,0)</f>
        <v>0</v>
      </c>
    </row>
    <row r="2583" customFormat="false" ht="15" hidden="false" customHeight="false" outlineLevel="0" collapsed="false">
      <c r="A2583" s="0" t="s">
        <v>1999</v>
      </c>
      <c r="B2583" s="0" t="s">
        <v>627</v>
      </c>
      <c r="C2583" s="0" t="s">
        <v>628</v>
      </c>
      <c r="D2583" s="0" t="n">
        <v>20</v>
      </c>
      <c r="E2583" s="6" t="n">
        <v>40827.5236111111</v>
      </c>
      <c r="F2583" s="0" t="n">
        <v>0.85</v>
      </c>
      <c r="G2583" s="0" t="n">
        <v>12530</v>
      </c>
      <c r="H2583" s="0" t="s">
        <v>33</v>
      </c>
      <c r="I2583" s="7" t="n">
        <f aca="false">IF(AND(LEFT(A2583,1)&lt;&gt;"C",D2583&gt;0,F2583&gt;0),1,0)</f>
        <v>1</v>
      </c>
      <c r="J2583" s="7" t="n">
        <f aca="false">IF(I2583=1,D2583*F2583,0)</f>
        <v>17</v>
      </c>
      <c r="K2583" s="7" t="n">
        <f aca="false">YEAR(E2583)*100+MONTH(E2583)</f>
        <v>201110</v>
      </c>
      <c r="L2583" s="7" t="n">
        <f aca="false">IF(AND(A2583&lt;&gt;A2582,LEFT(A2583,1)&lt;&gt;"C"),1,0)</f>
        <v>1</v>
      </c>
    </row>
    <row r="2584" customFormat="false" ht="15" hidden="false" customHeight="false" outlineLevel="0" collapsed="false">
      <c r="A2584" s="0" t="s">
        <v>1999</v>
      </c>
      <c r="B2584" s="0" t="s">
        <v>1048</v>
      </c>
      <c r="C2584" s="0" t="s">
        <v>1049</v>
      </c>
      <c r="D2584" s="0" t="n">
        <v>4</v>
      </c>
      <c r="E2584" s="6" t="n">
        <v>40827.5236111111</v>
      </c>
      <c r="F2584" s="0" t="n">
        <v>4.15</v>
      </c>
      <c r="G2584" s="0" t="n">
        <v>12530</v>
      </c>
      <c r="H2584" s="0" t="s">
        <v>33</v>
      </c>
      <c r="I2584" s="7" t="n">
        <f aca="false">IF(AND(LEFT(A2584,1)&lt;&gt;"C",D2584&gt;0,F2584&gt;0),1,0)</f>
        <v>1</v>
      </c>
      <c r="J2584" s="7" t="n">
        <f aca="false">IF(I2584=1,D2584*F2584,0)</f>
        <v>16.6</v>
      </c>
      <c r="K2584" s="7" t="n">
        <f aca="false">YEAR(E2584)*100+MONTH(E2584)</f>
        <v>201110</v>
      </c>
      <c r="L2584" s="7" t="n">
        <f aca="false">IF(AND(A2584&lt;&gt;A2583,LEFT(A2584,1)&lt;&gt;"C"),1,0)</f>
        <v>0</v>
      </c>
    </row>
    <row r="2585" customFormat="false" ht="15" hidden="false" customHeight="false" outlineLevel="0" collapsed="false">
      <c r="A2585" s="0" t="s">
        <v>1999</v>
      </c>
      <c r="B2585" s="0" t="s">
        <v>1189</v>
      </c>
      <c r="C2585" s="0" t="s">
        <v>1190</v>
      </c>
      <c r="D2585" s="0" t="n">
        <v>12</v>
      </c>
      <c r="E2585" s="6" t="n">
        <v>40827.5236111111</v>
      </c>
      <c r="F2585" s="0" t="n">
        <v>2.89</v>
      </c>
      <c r="G2585" s="0" t="n">
        <v>12530</v>
      </c>
      <c r="H2585" s="0" t="s">
        <v>33</v>
      </c>
      <c r="I2585" s="7" t="n">
        <f aca="false">IF(AND(LEFT(A2585,1)&lt;&gt;"C",D2585&gt;0,F2585&gt;0),1,0)</f>
        <v>1</v>
      </c>
      <c r="J2585" s="7" t="n">
        <f aca="false">IF(I2585=1,D2585*F2585,0)</f>
        <v>34.68</v>
      </c>
      <c r="K2585" s="7" t="n">
        <f aca="false">YEAR(E2585)*100+MONTH(E2585)</f>
        <v>201110</v>
      </c>
      <c r="L2585" s="7" t="n">
        <f aca="false">IF(AND(A2585&lt;&gt;A2584,LEFT(A2585,1)&lt;&gt;"C"),1,0)</f>
        <v>0</v>
      </c>
    </row>
    <row r="2586" customFormat="false" ht="15" hidden="false" customHeight="false" outlineLevel="0" collapsed="false">
      <c r="A2586" s="0" t="s">
        <v>1999</v>
      </c>
      <c r="B2586" s="0" t="s">
        <v>943</v>
      </c>
      <c r="C2586" s="0" t="s">
        <v>944</v>
      </c>
      <c r="D2586" s="0" t="n">
        <v>12</v>
      </c>
      <c r="E2586" s="6" t="n">
        <v>40827.5236111111</v>
      </c>
      <c r="F2586" s="0" t="n">
        <v>1.95</v>
      </c>
      <c r="G2586" s="0" t="n">
        <v>12530</v>
      </c>
      <c r="H2586" s="0" t="s">
        <v>33</v>
      </c>
      <c r="I2586" s="7" t="n">
        <f aca="false">IF(AND(LEFT(A2586,1)&lt;&gt;"C",D2586&gt;0,F2586&gt;0),1,0)</f>
        <v>1</v>
      </c>
      <c r="J2586" s="7" t="n">
        <f aca="false">IF(I2586=1,D2586*F2586,0)</f>
        <v>23.4</v>
      </c>
      <c r="K2586" s="7" t="n">
        <f aca="false">YEAR(E2586)*100+MONTH(E2586)</f>
        <v>201110</v>
      </c>
      <c r="L2586" s="7" t="n">
        <f aca="false">IF(AND(A2586&lt;&gt;A2585,LEFT(A2586,1)&lt;&gt;"C"),1,0)</f>
        <v>0</v>
      </c>
    </row>
    <row r="2587" customFormat="false" ht="15" hidden="false" customHeight="false" outlineLevel="0" collapsed="false">
      <c r="A2587" s="0" t="s">
        <v>1999</v>
      </c>
      <c r="B2587" s="0" t="s">
        <v>1418</v>
      </c>
      <c r="C2587" s="0" t="s">
        <v>1419</v>
      </c>
      <c r="D2587" s="0" t="n">
        <v>12</v>
      </c>
      <c r="E2587" s="6" t="n">
        <v>40827.5236111111</v>
      </c>
      <c r="F2587" s="0" t="n">
        <v>1.25</v>
      </c>
      <c r="G2587" s="0" t="n">
        <v>12530</v>
      </c>
      <c r="H2587" s="0" t="s">
        <v>33</v>
      </c>
      <c r="I2587" s="7" t="n">
        <f aca="false">IF(AND(LEFT(A2587,1)&lt;&gt;"C",D2587&gt;0,F2587&gt;0),1,0)</f>
        <v>1</v>
      </c>
      <c r="J2587" s="7" t="n">
        <f aca="false">IF(I2587=1,D2587*F2587,0)</f>
        <v>15</v>
      </c>
      <c r="K2587" s="7" t="n">
        <f aca="false">YEAR(E2587)*100+MONTH(E2587)</f>
        <v>201110</v>
      </c>
      <c r="L2587" s="7" t="n">
        <f aca="false">IF(AND(A2587&lt;&gt;A2586,LEFT(A2587,1)&lt;&gt;"C"),1,0)</f>
        <v>0</v>
      </c>
    </row>
    <row r="2588" customFormat="false" ht="15" hidden="false" customHeight="false" outlineLevel="0" collapsed="false">
      <c r="A2588" s="0" t="s">
        <v>1999</v>
      </c>
      <c r="B2588" s="0" t="s">
        <v>1338</v>
      </c>
      <c r="C2588" s="0" t="s">
        <v>1339</v>
      </c>
      <c r="D2588" s="0" t="n">
        <v>6</v>
      </c>
      <c r="E2588" s="6" t="n">
        <v>40827.5236111111</v>
      </c>
      <c r="F2588" s="0" t="n">
        <v>2.95</v>
      </c>
      <c r="G2588" s="0" t="n">
        <v>12530</v>
      </c>
      <c r="H2588" s="0" t="s">
        <v>33</v>
      </c>
      <c r="I2588" s="7" t="n">
        <f aca="false">IF(AND(LEFT(A2588,1)&lt;&gt;"C",D2588&gt;0,F2588&gt;0),1,0)</f>
        <v>1</v>
      </c>
      <c r="J2588" s="7" t="n">
        <f aca="false">IF(I2588=1,D2588*F2588,0)</f>
        <v>17.7</v>
      </c>
      <c r="K2588" s="7" t="n">
        <f aca="false">YEAR(E2588)*100+MONTH(E2588)</f>
        <v>201110</v>
      </c>
      <c r="L2588" s="7" t="n">
        <f aca="false">IF(AND(A2588&lt;&gt;A2587,LEFT(A2588,1)&lt;&gt;"C"),1,0)</f>
        <v>0</v>
      </c>
    </row>
    <row r="2589" customFormat="false" ht="15" hidden="false" customHeight="false" outlineLevel="0" collapsed="false">
      <c r="A2589" s="0" t="s">
        <v>1999</v>
      </c>
      <c r="B2589" s="0" t="s">
        <v>316</v>
      </c>
      <c r="C2589" s="0" t="s">
        <v>317</v>
      </c>
      <c r="D2589" s="0" t="n">
        <v>6</v>
      </c>
      <c r="E2589" s="6" t="n">
        <v>40827.5236111111</v>
      </c>
      <c r="F2589" s="0" t="n">
        <v>4.95</v>
      </c>
      <c r="G2589" s="0" t="n">
        <v>12530</v>
      </c>
      <c r="H2589" s="0" t="s">
        <v>33</v>
      </c>
      <c r="I2589" s="7" t="n">
        <f aca="false">IF(AND(LEFT(A2589,1)&lt;&gt;"C",D2589&gt;0,F2589&gt;0),1,0)</f>
        <v>1</v>
      </c>
      <c r="J2589" s="7" t="n">
        <f aca="false">IF(I2589=1,D2589*F2589,0)</f>
        <v>29.7</v>
      </c>
      <c r="K2589" s="7" t="n">
        <f aca="false">YEAR(E2589)*100+MONTH(E2589)</f>
        <v>201110</v>
      </c>
      <c r="L2589" s="7" t="n">
        <f aca="false">IF(AND(A2589&lt;&gt;A2588,LEFT(A2589,1)&lt;&gt;"C"),1,0)</f>
        <v>0</v>
      </c>
    </row>
    <row r="2590" customFormat="false" ht="15" hidden="false" customHeight="false" outlineLevel="0" collapsed="false">
      <c r="A2590" s="0" t="s">
        <v>1999</v>
      </c>
      <c r="B2590" s="0" t="s">
        <v>185</v>
      </c>
      <c r="C2590" s="0" t="s">
        <v>186</v>
      </c>
      <c r="D2590" s="0" t="n">
        <v>3</v>
      </c>
      <c r="E2590" s="6" t="n">
        <v>40827.5236111111</v>
      </c>
      <c r="F2590" s="0" t="n">
        <v>5.45</v>
      </c>
      <c r="G2590" s="0" t="n">
        <v>12530</v>
      </c>
      <c r="H2590" s="0" t="s">
        <v>33</v>
      </c>
      <c r="I2590" s="7" t="n">
        <f aca="false">IF(AND(LEFT(A2590,1)&lt;&gt;"C",D2590&gt;0,F2590&gt;0),1,0)</f>
        <v>1</v>
      </c>
      <c r="J2590" s="7" t="n">
        <f aca="false">IF(I2590=1,D2590*F2590,0)</f>
        <v>16.35</v>
      </c>
      <c r="K2590" s="7" t="n">
        <f aca="false">YEAR(E2590)*100+MONTH(E2590)</f>
        <v>201110</v>
      </c>
      <c r="L2590" s="7" t="n">
        <f aca="false">IF(AND(A2590&lt;&gt;A2589,LEFT(A2590,1)&lt;&gt;"C"),1,0)</f>
        <v>0</v>
      </c>
    </row>
    <row r="2591" customFormat="false" ht="15" hidden="false" customHeight="false" outlineLevel="0" collapsed="false">
      <c r="A2591" s="0" t="s">
        <v>1999</v>
      </c>
      <c r="B2591" s="0" t="s">
        <v>794</v>
      </c>
      <c r="C2591" s="0" t="s">
        <v>795</v>
      </c>
      <c r="D2591" s="0" t="n">
        <v>20</v>
      </c>
      <c r="E2591" s="6" t="n">
        <v>40827.5236111111</v>
      </c>
      <c r="F2591" s="0" t="n">
        <v>0.85</v>
      </c>
      <c r="G2591" s="0" t="n">
        <v>12530</v>
      </c>
      <c r="H2591" s="0" t="s">
        <v>33</v>
      </c>
      <c r="I2591" s="7" t="n">
        <f aca="false">IF(AND(LEFT(A2591,1)&lt;&gt;"C",D2591&gt;0,F2591&gt;0),1,0)</f>
        <v>1</v>
      </c>
      <c r="J2591" s="7" t="n">
        <f aca="false">IF(I2591=1,D2591*F2591,0)</f>
        <v>17</v>
      </c>
      <c r="K2591" s="7" t="n">
        <f aca="false">YEAR(E2591)*100+MONTH(E2591)</f>
        <v>201110</v>
      </c>
      <c r="L2591" s="7" t="n">
        <f aca="false">IF(AND(A2591&lt;&gt;A2590,LEFT(A2591,1)&lt;&gt;"C"),1,0)</f>
        <v>0</v>
      </c>
    </row>
    <row r="2592" customFormat="false" ht="15" hidden="false" customHeight="false" outlineLevel="0" collapsed="false">
      <c r="A2592" s="0" t="s">
        <v>1999</v>
      </c>
      <c r="B2592" s="0" t="s">
        <v>623</v>
      </c>
      <c r="C2592" s="0" t="s">
        <v>624</v>
      </c>
      <c r="D2592" s="0" t="n">
        <v>20</v>
      </c>
      <c r="E2592" s="6" t="n">
        <v>40827.5236111111</v>
      </c>
      <c r="F2592" s="0" t="n">
        <v>2.08</v>
      </c>
      <c r="G2592" s="0" t="n">
        <v>12530</v>
      </c>
      <c r="H2592" s="0" t="s">
        <v>33</v>
      </c>
      <c r="I2592" s="7" t="n">
        <f aca="false">IF(AND(LEFT(A2592,1)&lt;&gt;"C",D2592&gt;0,F2592&gt;0),1,0)</f>
        <v>1</v>
      </c>
      <c r="J2592" s="7" t="n">
        <f aca="false">IF(I2592=1,D2592*F2592,0)</f>
        <v>41.6</v>
      </c>
      <c r="K2592" s="7" t="n">
        <f aca="false">YEAR(E2592)*100+MONTH(E2592)</f>
        <v>201110</v>
      </c>
      <c r="L2592" s="7" t="n">
        <f aca="false">IF(AND(A2592&lt;&gt;A2591,LEFT(A2592,1)&lt;&gt;"C"),1,0)</f>
        <v>0</v>
      </c>
    </row>
    <row r="2593" customFormat="false" ht="15" hidden="false" customHeight="false" outlineLevel="0" collapsed="false">
      <c r="A2593" s="0" t="s">
        <v>1999</v>
      </c>
      <c r="B2593" s="0" t="s">
        <v>625</v>
      </c>
      <c r="C2593" s="0" t="s">
        <v>626</v>
      </c>
      <c r="D2593" s="0" t="n">
        <v>10</v>
      </c>
      <c r="E2593" s="6" t="n">
        <v>40827.5236111111</v>
      </c>
      <c r="F2593" s="0" t="n">
        <v>2.08</v>
      </c>
      <c r="G2593" s="0" t="n">
        <v>12530</v>
      </c>
      <c r="H2593" s="0" t="s">
        <v>33</v>
      </c>
      <c r="I2593" s="7" t="n">
        <f aca="false">IF(AND(LEFT(A2593,1)&lt;&gt;"C",D2593&gt;0,F2593&gt;0),1,0)</f>
        <v>1</v>
      </c>
      <c r="J2593" s="7" t="n">
        <f aca="false">IF(I2593=1,D2593*F2593,0)</f>
        <v>20.8</v>
      </c>
      <c r="K2593" s="7" t="n">
        <f aca="false">YEAR(E2593)*100+MONTH(E2593)</f>
        <v>201110</v>
      </c>
      <c r="L2593" s="7" t="n">
        <f aca="false">IF(AND(A2593&lt;&gt;A2592,LEFT(A2593,1)&lt;&gt;"C"),1,0)</f>
        <v>0</v>
      </c>
    </row>
    <row r="2594" customFormat="false" ht="15" hidden="false" customHeight="false" outlineLevel="0" collapsed="false">
      <c r="A2594" s="0" t="s">
        <v>1999</v>
      </c>
      <c r="B2594" s="0" t="s">
        <v>569</v>
      </c>
      <c r="C2594" s="0" t="s">
        <v>570</v>
      </c>
      <c r="D2594" s="0" t="n">
        <v>10</v>
      </c>
      <c r="E2594" s="6" t="n">
        <v>40827.5236111111</v>
      </c>
      <c r="F2594" s="0" t="n">
        <v>2.08</v>
      </c>
      <c r="G2594" s="0" t="n">
        <v>12530</v>
      </c>
      <c r="H2594" s="0" t="s">
        <v>33</v>
      </c>
      <c r="I2594" s="7" t="n">
        <f aca="false">IF(AND(LEFT(A2594,1)&lt;&gt;"C",D2594&gt;0,F2594&gt;0),1,0)</f>
        <v>1</v>
      </c>
      <c r="J2594" s="7" t="n">
        <f aca="false">IF(I2594=1,D2594*F2594,0)</f>
        <v>20.8</v>
      </c>
      <c r="K2594" s="7" t="n">
        <f aca="false">YEAR(E2594)*100+MONTH(E2594)</f>
        <v>201110</v>
      </c>
      <c r="L2594" s="7" t="n">
        <f aca="false">IF(AND(A2594&lt;&gt;A2593,LEFT(A2594,1)&lt;&gt;"C"),1,0)</f>
        <v>0</v>
      </c>
    </row>
    <row r="2595" customFormat="false" ht="15" hidden="false" customHeight="false" outlineLevel="0" collapsed="false">
      <c r="A2595" s="0" t="s">
        <v>1999</v>
      </c>
      <c r="B2595" s="0" t="s">
        <v>575</v>
      </c>
      <c r="C2595" s="0" t="s">
        <v>576</v>
      </c>
      <c r="D2595" s="0" t="n">
        <v>10</v>
      </c>
      <c r="E2595" s="6" t="n">
        <v>40827.5236111111</v>
      </c>
      <c r="F2595" s="0" t="n">
        <v>2.08</v>
      </c>
      <c r="G2595" s="0" t="n">
        <v>12530</v>
      </c>
      <c r="H2595" s="0" t="s">
        <v>33</v>
      </c>
      <c r="I2595" s="7" t="n">
        <f aca="false">IF(AND(LEFT(A2595,1)&lt;&gt;"C",D2595&gt;0,F2595&gt;0),1,0)</f>
        <v>1</v>
      </c>
      <c r="J2595" s="7" t="n">
        <f aca="false">IF(I2595=1,D2595*F2595,0)</f>
        <v>20.8</v>
      </c>
      <c r="K2595" s="7" t="n">
        <f aca="false">YEAR(E2595)*100+MONTH(E2595)</f>
        <v>201110</v>
      </c>
      <c r="L2595" s="7" t="n">
        <f aca="false">IF(AND(A2595&lt;&gt;A2594,LEFT(A2595,1)&lt;&gt;"C"),1,0)</f>
        <v>0</v>
      </c>
    </row>
    <row r="2596" customFormat="false" ht="15" hidden="false" customHeight="false" outlineLevel="0" collapsed="false">
      <c r="A2596" s="0" t="s">
        <v>1999</v>
      </c>
      <c r="B2596" s="0" t="s">
        <v>519</v>
      </c>
      <c r="C2596" s="0" t="s">
        <v>520</v>
      </c>
      <c r="D2596" s="0" t="n">
        <v>20</v>
      </c>
      <c r="E2596" s="6" t="n">
        <v>40827.5236111111</v>
      </c>
      <c r="F2596" s="0" t="n">
        <v>2.08</v>
      </c>
      <c r="G2596" s="0" t="n">
        <v>12530</v>
      </c>
      <c r="H2596" s="0" t="s">
        <v>33</v>
      </c>
      <c r="I2596" s="7" t="n">
        <f aca="false">IF(AND(LEFT(A2596,1)&lt;&gt;"C",D2596&gt;0,F2596&gt;0),1,0)</f>
        <v>1</v>
      </c>
      <c r="J2596" s="7" t="n">
        <f aca="false">IF(I2596=1,D2596*F2596,0)</f>
        <v>41.6</v>
      </c>
      <c r="K2596" s="7" t="n">
        <f aca="false">YEAR(E2596)*100+MONTH(E2596)</f>
        <v>201110</v>
      </c>
      <c r="L2596" s="7" t="n">
        <f aca="false">IF(AND(A2596&lt;&gt;A2595,LEFT(A2596,1)&lt;&gt;"C"),1,0)</f>
        <v>0</v>
      </c>
    </row>
    <row r="2597" customFormat="false" ht="15" hidden="false" customHeight="false" outlineLevel="0" collapsed="false">
      <c r="A2597" s="0" t="s">
        <v>1999</v>
      </c>
      <c r="B2597" s="0" t="s">
        <v>1386</v>
      </c>
      <c r="C2597" s="0" t="s">
        <v>1387</v>
      </c>
      <c r="D2597" s="0" t="n">
        <v>10</v>
      </c>
      <c r="E2597" s="6" t="n">
        <v>40827.5236111111</v>
      </c>
      <c r="F2597" s="0" t="n">
        <v>2.08</v>
      </c>
      <c r="G2597" s="0" t="n">
        <v>12530</v>
      </c>
      <c r="H2597" s="0" t="s">
        <v>33</v>
      </c>
      <c r="I2597" s="7" t="n">
        <f aca="false">IF(AND(LEFT(A2597,1)&lt;&gt;"C",D2597&gt;0,F2597&gt;0),1,0)</f>
        <v>1</v>
      </c>
      <c r="J2597" s="7" t="n">
        <f aca="false">IF(I2597=1,D2597*F2597,0)</f>
        <v>20.8</v>
      </c>
      <c r="K2597" s="7" t="n">
        <f aca="false">YEAR(E2597)*100+MONTH(E2597)</f>
        <v>201110</v>
      </c>
      <c r="L2597" s="7" t="n">
        <f aca="false">IF(AND(A2597&lt;&gt;A2596,LEFT(A2597,1)&lt;&gt;"C"),1,0)</f>
        <v>0</v>
      </c>
    </row>
    <row r="2598" customFormat="false" ht="15" hidden="false" customHeight="false" outlineLevel="0" collapsed="false">
      <c r="A2598" s="0" t="s">
        <v>1999</v>
      </c>
      <c r="B2598" s="0" t="s">
        <v>2000</v>
      </c>
      <c r="C2598" s="0" t="s">
        <v>2001</v>
      </c>
      <c r="D2598" s="0" t="n">
        <v>6</v>
      </c>
      <c r="E2598" s="6" t="n">
        <v>40827.5236111111</v>
      </c>
      <c r="F2598" s="0" t="n">
        <v>2.95</v>
      </c>
      <c r="G2598" s="0" t="n">
        <v>12530</v>
      </c>
      <c r="H2598" s="0" t="s">
        <v>33</v>
      </c>
      <c r="I2598" s="7" t="n">
        <f aca="false">IF(AND(LEFT(A2598,1)&lt;&gt;"C",D2598&gt;0,F2598&gt;0),1,0)</f>
        <v>1</v>
      </c>
      <c r="J2598" s="7" t="n">
        <f aca="false">IF(I2598=1,D2598*F2598,0)</f>
        <v>17.7</v>
      </c>
      <c r="K2598" s="7" t="n">
        <f aca="false">YEAR(E2598)*100+MONTH(E2598)</f>
        <v>201110</v>
      </c>
      <c r="L2598" s="7" t="n">
        <f aca="false">IF(AND(A2598&lt;&gt;A2597,LEFT(A2598,1)&lt;&gt;"C"),1,0)</f>
        <v>0</v>
      </c>
    </row>
    <row r="2599" customFormat="false" ht="15" hidden="false" customHeight="false" outlineLevel="0" collapsed="false">
      <c r="A2599" s="0" t="s">
        <v>1999</v>
      </c>
      <c r="B2599" s="0" t="s">
        <v>1682</v>
      </c>
      <c r="C2599" s="0" t="s">
        <v>1683</v>
      </c>
      <c r="D2599" s="0" t="n">
        <v>10</v>
      </c>
      <c r="E2599" s="6" t="n">
        <v>40827.5236111111</v>
      </c>
      <c r="F2599" s="0" t="n">
        <v>0.79</v>
      </c>
      <c r="G2599" s="0" t="n">
        <v>12530</v>
      </c>
      <c r="H2599" s="0" t="s">
        <v>33</v>
      </c>
      <c r="I2599" s="7" t="n">
        <f aca="false">IF(AND(LEFT(A2599,1)&lt;&gt;"C",D2599&gt;0,F2599&gt;0),1,0)</f>
        <v>1</v>
      </c>
      <c r="J2599" s="7" t="n">
        <f aca="false">IF(I2599=1,D2599*F2599,0)</f>
        <v>7.9</v>
      </c>
      <c r="K2599" s="7" t="n">
        <f aca="false">YEAR(E2599)*100+MONTH(E2599)</f>
        <v>201110</v>
      </c>
      <c r="L2599" s="7" t="n">
        <f aca="false">IF(AND(A2599&lt;&gt;A2598,LEFT(A2599,1)&lt;&gt;"C"),1,0)</f>
        <v>0</v>
      </c>
    </row>
    <row r="2600" customFormat="false" ht="15" hidden="false" customHeight="false" outlineLevel="0" collapsed="false">
      <c r="A2600" s="0" t="s">
        <v>1999</v>
      </c>
      <c r="B2600" s="0" t="s">
        <v>2002</v>
      </c>
      <c r="C2600" s="0" t="s">
        <v>2003</v>
      </c>
      <c r="D2600" s="0" t="n">
        <v>24</v>
      </c>
      <c r="E2600" s="6" t="n">
        <v>40827.5236111111</v>
      </c>
      <c r="F2600" s="0" t="n">
        <v>0.29</v>
      </c>
      <c r="G2600" s="0" t="n">
        <v>12530</v>
      </c>
      <c r="H2600" s="0" t="s">
        <v>33</v>
      </c>
      <c r="I2600" s="7" t="n">
        <f aca="false">IF(AND(LEFT(A2600,1)&lt;&gt;"C",D2600&gt;0,F2600&gt;0),1,0)</f>
        <v>1</v>
      </c>
      <c r="J2600" s="7" t="n">
        <f aca="false">IF(I2600=1,D2600*F2600,0)</f>
        <v>6.96</v>
      </c>
      <c r="K2600" s="7" t="n">
        <f aca="false">YEAR(E2600)*100+MONTH(E2600)</f>
        <v>201110</v>
      </c>
      <c r="L2600" s="7" t="n">
        <f aca="false">IF(AND(A2600&lt;&gt;A2599,LEFT(A2600,1)&lt;&gt;"C"),1,0)</f>
        <v>0</v>
      </c>
    </row>
    <row r="2601" customFormat="false" ht="15" hidden="false" customHeight="false" outlineLevel="0" collapsed="false">
      <c r="A2601" s="0" t="s">
        <v>1999</v>
      </c>
      <c r="B2601" s="0" t="s">
        <v>2004</v>
      </c>
      <c r="C2601" s="0" t="s">
        <v>2005</v>
      </c>
      <c r="D2601" s="0" t="n">
        <v>96</v>
      </c>
      <c r="E2601" s="6" t="n">
        <v>40827.5236111111</v>
      </c>
      <c r="F2601" s="0" t="n">
        <v>0.19</v>
      </c>
      <c r="G2601" s="0" t="n">
        <v>12530</v>
      </c>
      <c r="H2601" s="0" t="s">
        <v>33</v>
      </c>
      <c r="I2601" s="7" t="n">
        <f aca="false">IF(AND(LEFT(A2601,1)&lt;&gt;"C",D2601&gt;0,F2601&gt;0),1,0)</f>
        <v>1</v>
      </c>
      <c r="J2601" s="7" t="n">
        <f aca="false">IF(I2601=1,D2601*F2601,0)</f>
        <v>18.24</v>
      </c>
      <c r="K2601" s="7" t="n">
        <f aca="false">YEAR(E2601)*100+MONTH(E2601)</f>
        <v>201110</v>
      </c>
      <c r="L2601" s="7" t="n">
        <f aca="false">IF(AND(A2601&lt;&gt;A2600,LEFT(A2601,1)&lt;&gt;"C"),1,0)</f>
        <v>0</v>
      </c>
    </row>
    <row r="2602" customFormat="false" ht="15" hidden="false" customHeight="false" outlineLevel="0" collapsed="false">
      <c r="A2602" s="0" t="s">
        <v>1999</v>
      </c>
      <c r="B2602" s="0" t="s">
        <v>84</v>
      </c>
      <c r="C2602" s="0" t="s">
        <v>85</v>
      </c>
      <c r="D2602" s="0" t="n">
        <v>2</v>
      </c>
      <c r="E2602" s="6" t="n">
        <v>40827.5236111111</v>
      </c>
      <c r="F2602" s="0" t="n">
        <v>18</v>
      </c>
      <c r="G2602" s="0" t="n">
        <v>12530</v>
      </c>
      <c r="H2602" s="0" t="s">
        <v>33</v>
      </c>
      <c r="I2602" s="7" t="n">
        <f aca="false">IF(AND(LEFT(A2602,1)&lt;&gt;"C",D2602&gt;0,F2602&gt;0),1,0)</f>
        <v>1</v>
      </c>
      <c r="J2602" s="7" t="n">
        <f aca="false">IF(I2602=1,D2602*F2602,0)</f>
        <v>36</v>
      </c>
      <c r="K2602" s="7" t="n">
        <f aca="false">YEAR(E2602)*100+MONTH(E2602)</f>
        <v>201110</v>
      </c>
      <c r="L2602" s="7" t="n">
        <f aca="false">IF(AND(A2602&lt;&gt;A2601,LEFT(A2602,1)&lt;&gt;"C"),1,0)</f>
        <v>0</v>
      </c>
    </row>
    <row r="2603" customFormat="false" ht="15" hidden="false" customHeight="false" outlineLevel="0" collapsed="false">
      <c r="A2603" s="0" t="s">
        <v>2006</v>
      </c>
      <c r="B2603" s="0" t="s">
        <v>372</v>
      </c>
      <c r="C2603" s="0" t="s">
        <v>373</v>
      </c>
      <c r="D2603" s="0" t="n">
        <v>12</v>
      </c>
      <c r="E2603" s="6" t="n">
        <v>40827.5263888889</v>
      </c>
      <c r="F2603" s="0" t="n">
        <v>1.25</v>
      </c>
      <c r="G2603" s="0" t="n">
        <v>12474</v>
      </c>
      <c r="H2603" s="0" t="s">
        <v>33</v>
      </c>
      <c r="I2603" s="7" t="n">
        <f aca="false">IF(AND(LEFT(A2603,1)&lt;&gt;"C",D2603&gt;0,F2603&gt;0),1,0)</f>
        <v>1</v>
      </c>
      <c r="J2603" s="7" t="n">
        <f aca="false">IF(I2603=1,D2603*F2603,0)</f>
        <v>15</v>
      </c>
      <c r="K2603" s="7" t="n">
        <f aca="false">YEAR(E2603)*100+MONTH(E2603)</f>
        <v>201110</v>
      </c>
      <c r="L2603" s="7" t="n">
        <f aca="false">IF(AND(A2603&lt;&gt;A2602,LEFT(A2603,1)&lt;&gt;"C"),1,0)</f>
        <v>1</v>
      </c>
    </row>
    <row r="2604" customFormat="false" ht="15" hidden="false" customHeight="false" outlineLevel="0" collapsed="false">
      <c r="A2604" s="0" t="s">
        <v>2006</v>
      </c>
      <c r="B2604" s="0" t="s">
        <v>374</v>
      </c>
      <c r="C2604" s="0" t="s">
        <v>375</v>
      </c>
      <c r="D2604" s="0" t="n">
        <v>12</v>
      </c>
      <c r="E2604" s="6" t="n">
        <v>40827.5263888889</v>
      </c>
      <c r="F2604" s="0" t="n">
        <v>1.25</v>
      </c>
      <c r="G2604" s="0" t="n">
        <v>12474</v>
      </c>
      <c r="H2604" s="0" t="s">
        <v>33</v>
      </c>
      <c r="I2604" s="7" t="n">
        <f aca="false">IF(AND(LEFT(A2604,1)&lt;&gt;"C",D2604&gt;0,F2604&gt;0),1,0)</f>
        <v>1</v>
      </c>
      <c r="J2604" s="7" t="n">
        <f aca="false">IF(I2604=1,D2604*F2604,0)</f>
        <v>15</v>
      </c>
      <c r="K2604" s="7" t="n">
        <f aca="false">YEAR(E2604)*100+MONTH(E2604)</f>
        <v>201110</v>
      </c>
      <c r="L2604" s="7" t="n">
        <f aca="false">IF(AND(A2604&lt;&gt;A2603,LEFT(A2604,1)&lt;&gt;"C"),1,0)</f>
        <v>0</v>
      </c>
    </row>
    <row r="2605" customFormat="false" ht="15" hidden="false" customHeight="false" outlineLevel="0" collapsed="false">
      <c r="A2605" s="0" t="s">
        <v>2006</v>
      </c>
      <c r="B2605" s="0" t="s">
        <v>877</v>
      </c>
      <c r="C2605" s="0" t="s">
        <v>878</v>
      </c>
      <c r="D2605" s="0" t="n">
        <v>12</v>
      </c>
      <c r="E2605" s="6" t="n">
        <v>40827.5263888889</v>
      </c>
      <c r="F2605" s="0" t="n">
        <v>0.83</v>
      </c>
      <c r="G2605" s="0" t="n">
        <v>12474</v>
      </c>
      <c r="H2605" s="0" t="s">
        <v>33</v>
      </c>
      <c r="I2605" s="7" t="n">
        <f aca="false">IF(AND(LEFT(A2605,1)&lt;&gt;"C",D2605&gt;0,F2605&gt;0),1,0)</f>
        <v>1</v>
      </c>
      <c r="J2605" s="7" t="n">
        <f aca="false">IF(I2605=1,D2605*F2605,0)</f>
        <v>9.96</v>
      </c>
      <c r="K2605" s="7" t="n">
        <f aca="false">YEAR(E2605)*100+MONTH(E2605)</f>
        <v>201110</v>
      </c>
      <c r="L2605" s="7" t="n">
        <f aca="false">IF(AND(A2605&lt;&gt;A2604,LEFT(A2605,1)&lt;&gt;"C"),1,0)</f>
        <v>0</v>
      </c>
    </row>
    <row r="2606" customFormat="false" ht="15" hidden="false" customHeight="false" outlineLevel="0" collapsed="false">
      <c r="A2606" s="0" t="s">
        <v>2006</v>
      </c>
      <c r="B2606" s="0" t="s">
        <v>473</v>
      </c>
      <c r="C2606" s="0" t="s">
        <v>474</v>
      </c>
      <c r="D2606" s="0" t="n">
        <v>2</v>
      </c>
      <c r="E2606" s="6" t="n">
        <v>40827.5263888889</v>
      </c>
      <c r="F2606" s="0" t="n">
        <v>9.95</v>
      </c>
      <c r="G2606" s="0" t="n">
        <v>12474</v>
      </c>
      <c r="H2606" s="0" t="s">
        <v>33</v>
      </c>
      <c r="I2606" s="7" t="n">
        <f aca="false">IF(AND(LEFT(A2606,1)&lt;&gt;"C",D2606&gt;0,F2606&gt;0),1,0)</f>
        <v>1</v>
      </c>
      <c r="J2606" s="7" t="n">
        <f aca="false">IF(I2606=1,D2606*F2606,0)</f>
        <v>19.9</v>
      </c>
      <c r="K2606" s="7" t="n">
        <f aca="false">YEAR(E2606)*100+MONTH(E2606)</f>
        <v>201110</v>
      </c>
      <c r="L2606" s="7" t="n">
        <f aca="false">IF(AND(A2606&lt;&gt;A2605,LEFT(A2606,1)&lt;&gt;"C"),1,0)</f>
        <v>0</v>
      </c>
    </row>
    <row r="2607" customFormat="false" ht="15" hidden="false" customHeight="false" outlineLevel="0" collapsed="false">
      <c r="A2607" s="0" t="s">
        <v>2006</v>
      </c>
      <c r="B2607" s="0" t="s">
        <v>177</v>
      </c>
      <c r="C2607" s="0" t="s">
        <v>178</v>
      </c>
      <c r="D2607" s="0" t="n">
        <v>8</v>
      </c>
      <c r="E2607" s="6" t="n">
        <v>40827.5263888889</v>
      </c>
      <c r="F2607" s="0" t="n">
        <v>1.25</v>
      </c>
      <c r="G2607" s="0" t="n">
        <v>12474</v>
      </c>
      <c r="H2607" s="0" t="s">
        <v>33</v>
      </c>
      <c r="I2607" s="7" t="n">
        <f aca="false">IF(AND(LEFT(A2607,1)&lt;&gt;"C",D2607&gt;0,F2607&gt;0),1,0)</f>
        <v>1</v>
      </c>
      <c r="J2607" s="7" t="n">
        <f aca="false">IF(I2607=1,D2607*F2607,0)</f>
        <v>10</v>
      </c>
      <c r="K2607" s="7" t="n">
        <f aca="false">YEAR(E2607)*100+MONTH(E2607)</f>
        <v>201110</v>
      </c>
      <c r="L2607" s="7" t="n">
        <f aca="false">IF(AND(A2607&lt;&gt;A2606,LEFT(A2607,1)&lt;&gt;"C"),1,0)</f>
        <v>0</v>
      </c>
    </row>
    <row r="2608" customFormat="false" ht="15" hidden="false" customHeight="false" outlineLevel="0" collapsed="false">
      <c r="A2608" s="0" t="s">
        <v>2006</v>
      </c>
      <c r="B2608" s="0" t="s">
        <v>175</v>
      </c>
      <c r="C2608" s="0" t="s">
        <v>176</v>
      </c>
      <c r="D2608" s="0" t="n">
        <v>8</v>
      </c>
      <c r="E2608" s="6" t="n">
        <v>40827.5263888889</v>
      </c>
      <c r="F2608" s="0" t="n">
        <v>1.25</v>
      </c>
      <c r="G2608" s="0" t="n">
        <v>12474</v>
      </c>
      <c r="H2608" s="0" t="s">
        <v>33</v>
      </c>
      <c r="I2608" s="7" t="n">
        <f aca="false">IF(AND(LEFT(A2608,1)&lt;&gt;"C",D2608&gt;0,F2608&gt;0),1,0)</f>
        <v>1</v>
      </c>
      <c r="J2608" s="7" t="n">
        <f aca="false">IF(I2608=1,D2608*F2608,0)</f>
        <v>10</v>
      </c>
      <c r="K2608" s="7" t="n">
        <f aca="false">YEAR(E2608)*100+MONTH(E2608)</f>
        <v>201110</v>
      </c>
      <c r="L2608" s="7" t="n">
        <f aca="false">IF(AND(A2608&lt;&gt;A2607,LEFT(A2608,1)&lt;&gt;"C"),1,0)</f>
        <v>0</v>
      </c>
    </row>
    <row r="2609" customFormat="false" ht="15" hidden="false" customHeight="false" outlineLevel="0" collapsed="false">
      <c r="A2609" s="0" t="s">
        <v>2006</v>
      </c>
      <c r="B2609" s="0" t="s">
        <v>173</v>
      </c>
      <c r="C2609" s="0" t="s">
        <v>174</v>
      </c>
      <c r="D2609" s="0" t="n">
        <v>8</v>
      </c>
      <c r="E2609" s="6" t="n">
        <v>40827.5263888889</v>
      </c>
      <c r="F2609" s="0" t="n">
        <v>1.25</v>
      </c>
      <c r="G2609" s="0" t="n">
        <v>12474</v>
      </c>
      <c r="H2609" s="0" t="s">
        <v>33</v>
      </c>
      <c r="I2609" s="7" t="n">
        <f aca="false">IF(AND(LEFT(A2609,1)&lt;&gt;"C",D2609&gt;0,F2609&gt;0),1,0)</f>
        <v>1</v>
      </c>
      <c r="J2609" s="7" t="n">
        <f aca="false">IF(I2609=1,D2609*F2609,0)</f>
        <v>10</v>
      </c>
      <c r="K2609" s="7" t="n">
        <f aca="false">YEAR(E2609)*100+MONTH(E2609)</f>
        <v>201110</v>
      </c>
      <c r="L2609" s="7" t="n">
        <f aca="false">IF(AND(A2609&lt;&gt;A2608,LEFT(A2609,1)&lt;&gt;"C"),1,0)</f>
        <v>0</v>
      </c>
    </row>
    <row r="2610" customFormat="false" ht="15" hidden="false" customHeight="false" outlineLevel="0" collapsed="false">
      <c r="A2610" s="0" t="s">
        <v>2006</v>
      </c>
      <c r="B2610" s="0" t="s">
        <v>171</v>
      </c>
      <c r="C2610" s="0" t="s">
        <v>172</v>
      </c>
      <c r="D2610" s="0" t="n">
        <v>8</v>
      </c>
      <c r="E2610" s="6" t="n">
        <v>40827.5263888889</v>
      </c>
      <c r="F2610" s="0" t="n">
        <v>1.25</v>
      </c>
      <c r="G2610" s="0" t="n">
        <v>12474</v>
      </c>
      <c r="H2610" s="0" t="s">
        <v>33</v>
      </c>
      <c r="I2610" s="7" t="n">
        <f aca="false">IF(AND(LEFT(A2610,1)&lt;&gt;"C",D2610&gt;0,F2610&gt;0),1,0)</f>
        <v>1</v>
      </c>
      <c r="J2610" s="7" t="n">
        <f aca="false">IF(I2610=1,D2610*F2610,0)</f>
        <v>10</v>
      </c>
      <c r="K2610" s="7" t="n">
        <f aca="false">YEAR(E2610)*100+MONTH(E2610)</f>
        <v>201110</v>
      </c>
      <c r="L2610" s="7" t="n">
        <f aca="false">IF(AND(A2610&lt;&gt;A2609,LEFT(A2610,1)&lt;&gt;"C"),1,0)</f>
        <v>0</v>
      </c>
    </row>
    <row r="2611" customFormat="false" ht="15" hidden="false" customHeight="false" outlineLevel="0" collapsed="false">
      <c r="A2611" s="0" t="s">
        <v>2006</v>
      </c>
      <c r="B2611" s="0" t="s">
        <v>1425</v>
      </c>
      <c r="C2611" s="0" t="s">
        <v>1426</v>
      </c>
      <c r="D2611" s="0" t="n">
        <v>4</v>
      </c>
      <c r="E2611" s="6" t="n">
        <v>40827.5263888889</v>
      </c>
      <c r="F2611" s="0" t="n">
        <v>8.5</v>
      </c>
      <c r="G2611" s="0" t="n">
        <v>12474</v>
      </c>
      <c r="H2611" s="0" t="s">
        <v>33</v>
      </c>
      <c r="I2611" s="7" t="n">
        <f aca="false">IF(AND(LEFT(A2611,1)&lt;&gt;"C",D2611&gt;0,F2611&gt;0),1,0)</f>
        <v>1</v>
      </c>
      <c r="J2611" s="7" t="n">
        <f aca="false">IF(I2611=1,D2611*F2611,0)</f>
        <v>34</v>
      </c>
      <c r="K2611" s="7" t="n">
        <f aca="false">YEAR(E2611)*100+MONTH(E2611)</f>
        <v>201110</v>
      </c>
      <c r="L2611" s="7" t="n">
        <f aca="false">IF(AND(A2611&lt;&gt;A2610,LEFT(A2611,1)&lt;&gt;"C"),1,0)</f>
        <v>0</v>
      </c>
    </row>
    <row r="2612" customFormat="false" ht="15" hidden="false" customHeight="false" outlineLevel="0" collapsed="false">
      <c r="A2612" s="0" t="s">
        <v>2006</v>
      </c>
      <c r="B2612" s="0" t="s">
        <v>484</v>
      </c>
      <c r="C2612" s="0" t="s">
        <v>485</v>
      </c>
      <c r="D2612" s="0" t="n">
        <v>12</v>
      </c>
      <c r="E2612" s="6" t="n">
        <v>40827.5263888889</v>
      </c>
      <c r="F2612" s="0" t="n">
        <v>1.65</v>
      </c>
      <c r="G2612" s="0" t="n">
        <v>12474</v>
      </c>
      <c r="H2612" s="0" t="s">
        <v>33</v>
      </c>
      <c r="I2612" s="7" t="n">
        <f aca="false">IF(AND(LEFT(A2612,1)&lt;&gt;"C",D2612&gt;0,F2612&gt;0),1,0)</f>
        <v>1</v>
      </c>
      <c r="J2612" s="7" t="n">
        <f aca="false">IF(I2612=1,D2612*F2612,0)</f>
        <v>19.8</v>
      </c>
      <c r="K2612" s="7" t="n">
        <f aca="false">YEAR(E2612)*100+MONTH(E2612)</f>
        <v>201110</v>
      </c>
      <c r="L2612" s="7" t="n">
        <f aca="false">IF(AND(A2612&lt;&gt;A2611,LEFT(A2612,1)&lt;&gt;"C"),1,0)</f>
        <v>0</v>
      </c>
    </row>
    <row r="2613" customFormat="false" ht="15" hidden="false" customHeight="false" outlineLevel="0" collapsed="false">
      <c r="A2613" s="0" t="s">
        <v>2006</v>
      </c>
      <c r="B2613" s="0" t="s">
        <v>1728</v>
      </c>
      <c r="C2613" s="0" t="s">
        <v>1729</v>
      </c>
      <c r="D2613" s="0" t="n">
        <v>12</v>
      </c>
      <c r="E2613" s="6" t="n">
        <v>40827.5263888889</v>
      </c>
      <c r="F2613" s="0" t="n">
        <v>1.65</v>
      </c>
      <c r="G2613" s="0" t="n">
        <v>12474</v>
      </c>
      <c r="H2613" s="0" t="s">
        <v>33</v>
      </c>
      <c r="I2613" s="7" t="n">
        <f aca="false">IF(AND(LEFT(A2613,1)&lt;&gt;"C",D2613&gt;0,F2613&gt;0),1,0)</f>
        <v>1</v>
      </c>
      <c r="J2613" s="7" t="n">
        <f aca="false">IF(I2613=1,D2613*F2613,0)</f>
        <v>19.8</v>
      </c>
      <c r="K2613" s="7" t="n">
        <f aca="false">YEAR(E2613)*100+MONTH(E2613)</f>
        <v>201110</v>
      </c>
      <c r="L2613" s="7" t="n">
        <f aca="false">IF(AND(A2613&lt;&gt;A2612,LEFT(A2613,1)&lt;&gt;"C"),1,0)</f>
        <v>0</v>
      </c>
    </row>
    <row r="2614" customFormat="false" ht="15" hidden="false" customHeight="false" outlineLevel="0" collapsed="false">
      <c r="A2614" s="0" t="s">
        <v>2006</v>
      </c>
      <c r="B2614" s="0" t="s">
        <v>133</v>
      </c>
      <c r="C2614" s="0" t="s">
        <v>134</v>
      </c>
      <c r="D2614" s="0" t="n">
        <v>6</v>
      </c>
      <c r="E2614" s="6" t="n">
        <v>40827.5263888889</v>
      </c>
      <c r="F2614" s="0" t="n">
        <v>3.25</v>
      </c>
      <c r="G2614" s="0" t="n">
        <v>12474</v>
      </c>
      <c r="H2614" s="0" t="s">
        <v>33</v>
      </c>
      <c r="I2614" s="7" t="n">
        <f aca="false">IF(AND(LEFT(A2614,1)&lt;&gt;"C",D2614&gt;0,F2614&gt;0),1,0)</f>
        <v>1</v>
      </c>
      <c r="J2614" s="7" t="n">
        <f aca="false">IF(I2614=1,D2614*F2614,0)</f>
        <v>19.5</v>
      </c>
      <c r="K2614" s="7" t="n">
        <f aca="false">YEAR(E2614)*100+MONTH(E2614)</f>
        <v>201110</v>
      </c>
      <c r="L2614" s="7" t="n">
        <f aca="false">IF(AND(A2614&lt;&gt;A2613,LEFT(A2614,1)&lt;&gt;"C"),1,0)</f>
        <v>0</v>
      </c>
    </row>
    <row r="2615" customFormat="false" ht="15" hidden="false" customHeight="false" outlineLevel="0" collapsed="false">
      <c r="A2615" s="0" t="s">
        <v>2006</v>
      </c>
      <c r="B2615" s="0" t="s">
        <v>123</v>
      </c>
      <c r="C2615" s="0" t="s">
        <v>124</v>
      </c>
      <c r="D2615" s="0" t="n">
        <v>12</v>
      </c>
      <c r="E2615" s="6" t="n">
        <v>40827.5263888889</v>
      </c>
      <c r="F2615" s="0" t="n">
        <v>2.95</v>
      </c>
      <c r="G2615" s="0" t="n">
        <v>12474</v>
      </c>
      <c r="H2615" s="0" t="s">
        <v>33</v>
      </c>
      <c r="I2615" s="7" t="n">
        <f aca="false">IF(AND(LEFT(A2615,1)&lt;&gt;"C",D2615&gt;0,F2615&gt;0),1,0)</f>
        <v>1</v>
      </c>
      <c r="J2615" s="7" t="n">
        <f aca="false">IF(I2615=1,D2615*F2615,0)</f>
        <v>35.4</v>
      </c>
      <c r="K2615" s="7" t="n">
        <f aca="false">YEAR(E2615)*100+MONTH(E2615)</f>
        <v>201110</v>
      </c>
      <c r="L2615" s="7" t="n">
        <f aca="false">IF(AND(A2615&lt;&gt;A2614,LEFT(A2615,1)&lt;&gt;"C"),1,0)</f>
        <v>0</v>
      </c>
    </row>
    <row r="2616" customFormat="false" ht="15" hidden="false" customHeight="false" outlineLevel="0" collapsed="false">
      <c r="A2616" s="0" t="s">
        <v>2006</v>
      </c>
      <c r="B2616" s="0" t="s">
        <v>610</v>
      </c>
      <c r="C2616" s="0" t="s">
        <v>611</v>
      </c>
      <c r="D2616" s="0" t="n">
        <v>12</v>
      </c>
      <c r="E2616" s="6" t="n">
        <v>40827.5263888889</v>
      </c>
      <c r="F2616" s="0" t="n">
        <v>2.95</v>
      </c>
      <c r="G2616" s="0" t="n">
        <v>12474</v>
      </c>
      <c r="H2616" s="0" t="s">
        <v>33</v>
      </c>
      <c r="I2616" s="7" t="n">
        <f aca="false">IF(AND(LEFT(A2616,1)&lt;&gt;"C",D2616&gt;0,F2616&gt;0),1,0)</f>
        <v>1</v>
      </c>
      <c r="J2616" s="7" t="n">
        <f aca="false">IF(I2616=1,D2616*F2616,0)</f>
        <v>35.4</v>
      </c>
      <c r="K2616" s="7" t="n">
        <f aca="false">YEAR(E2616)*100+MONTH(E2616)</f>
        <v>201110</v>
      </c>
      <c r="L2616" s="7" t="n">
        <f aca="false">IF(AND(A2616&lt;&gt;A2615,LEFT(A2616,1)&lt;&gt;"C"),1,0)</f>
        <v>0</v>
      </c>
    </row>
    <row r="2617" customFormat="false" ht="15" hidden="false" customHeight="false" outlineLevel="0" collapsed="false">
      <c r="A2617" s="0" t="s">
        <v>2006</v>
      </c>
      <c r="B2617" s="0" t="s">
        <v>58</v>
      </c>
      <c r="C2617" s="0" t="s">
        <v>59</v>
      </c>
      <c r="D2617" s="0" t="n">
        <v>6</v>
      </c>
      <c r="E2617" s="6" t="n">
        <v>40827.5263888889</v>
      </c>
      <c r="F2617" s="0" t="n">
        <v>2.55</v>
      </c>
      <c r="G2617" s="0" t="n">
        <v>12474</v>
      </c>
      <c r="H2617" s="0" t="s">
        <v>33</v>
      </c>
      <c r="I2617" s="7" t="n">
        <f aca="false">IF(AND(LEFT(A2617,1)&lt;&gt;"C",D2617&gt;0,F2617&gt;0),1,0)</f>
        <v>1</v>
      </c>
      <c r="J2617" s="7" t="n">
        <f aca="false">IF(I2617=1,D2617*F2617,0)</f>
        <v>15.3</v>
      </c>
      <c r="K2617" s="7" t="n">
        <f aca="false">YEAR(E2617)*100+MONTH(E2617)</f>
        <v>201110</v>
      </c>
      <c r="L2617" s="7" t="n">
        <f aca="false">IF(AND(A2617&lt;&gt;A2616,LEFT(A2617,1)&lt;&gt;"C"),1,0)</f>
        <v>0</v>
      </c>
    </row>
    <row r="2618" customFormat="false" ht="15" hidden="false" customHeight="false" outlineLevel="0" collapsed="false">
      <c r="A2618" s="0" t="s">
        <v>2006</v>
      </c>
      <c r="B2618" s="0" t="s">
        <v>78</v>
      </c>
      <c r="C2618" s="0" t="s">
        <v>79</v>
      </c>
      <c r="D2618" s="0" t="n">
        <v>10</v>
      </c>
      <c r="E2618" s="6" t="n">
        <v>40827.5263888889</v>
      </c>
      <c r="F2618" s="0" t="n">
        <v>1.65</v>
      </c>
      <c r="G2618" s="0" t="n">
        <v>12474</v>
      </c>
      <c r="H2618" s="0" t="s">
        <v>33</v>
      </c>
      <c r="I2618" s="7" t="n">
        <f aca="false">IF(AND(LEFT(A2618,1)&lt;&gt;"C",D2618&gt;0,F2618&gt;0),1,0)</f>
        <v>1</v>
      </c>
      <c r="J2618" s="7" t="n">
        <f aca="false">IF(I2618=1,D2618*F2618,0)</f>
        <v>16.5</v>
      </c>
      <c r="K2618" s="7" t="n">
        <f aca="false">YEAR(E2618)*100+MONTH(E2618)</f>
        <v>201110</v>
      </c>
      <c r="L2618" s="7" t="n">
        <f aca="false">IF(AND(A2618&lt;&gt;A2617,LEFT(A2618,1)&lt;&gt;"C"),1,0)</f>
        <v>0</v>
      </c>
    </row>
    <row r="2619" customFormat="false" ht="15" hidden="false" customHeight="false" outlineLevel="0" collapsed="false">
      <c r="A2619" s="0" t="s">
        <v>2006</v>
      </c>
      <c r="B2619" s="0" t="s">
        <v>794</v>
      </c>
      <c r="C2619" s="0" t="s">
        <v>795</v>
      </c>
      <c r="D2619" s="0" t="n">
        <v>10</v>
      </c>
      <c r="E2619" s="6" t="n">
        <v>40827.5263888889</v>
      </c>
      <c r="F2619" s="0" t="n">
        <v>0.85</v>
      </c>
      <c r="G2619" s="0" t="n">
        <v>12474</v>
      </c>
      <c r="H2619" s="0" t="s">
        <v>33</v>
      </c>
      <c r="I2619" s="7" t="n">
        <f aca="false">IF(AND(LEFT(A2619,1)&lt;&gt;"C",D2619&gt;0,F2619&gt;0),1,0)</f>
        <v>1</v>
      </c>
      <c r="J2619" s="7" t="n">
        <f aca="false">IF(I2619=1,D2619*F2619,0)</f>
        <v>8.5</v>
      </c>
      <c r="K2619" s="7" t="n">
        <f aca="false">YEAR(E2619)*100+MONTH(E2619)</f>
        <v>201110</v>
      </c>
      <c r="L2619" s="7" t="n">
        <f aca="false">IF(AND(A2619&lt;&gt;A2618,LEFT(A2619,1)&lt;&gt;"C"),1,0)</f>
        <v>0</v>
      </c>
    </row>
    <row r="2620" customFormat="false" ht="15" hidden="false" customHeight="false" outlineLevel="0" collapsed="false">
      <c r="A2620" s="0" t="s">
        <v>2006</v>
      </c>
      <c r="B2620" s="0" t="s">
        <v>637</v>
      </c>
      <c r="C2620" s="0" t="s">
        <v>638</v>
      </c>
      <c r="D2620" s="0" t="n">
        <v>10</v>
      </c>
      <c r="E2620" s="6" t="n">
        <v>40827.5263888889</v>
      </c>
      <c r="F2620" s="0" t="n">
        <v>0.85</v>
      </c>
      <c r="G2620" s="0" t="n">
        <v>12474</v>
      </c>
      <c r="H2620" s="0" t="s">
        <v>33</v>
      </c>
      <c r="I2620" s="7" t="n">
        <f aca="false">IF(AND(LEFT(A2620,1)&lt;&gt;"C",D2620&gt;0,F2620&gt;0),1,0)</f>
        <v>1</v>
      </c>
      <c r="J2620" s="7" t="n">
        <f aca="false">IF(I2620=1,D2620*F2620,0)</f>
        <v>8.5</v>
      </c>
      <c r="K2620" s="7" t="n">
        <f aca="false">YEAR(E2620)*100+MONTH(E2620)</f>
        <v>201110</v>
      </c>
      <c r="L2620" s="7" t="n">
        <f aca="false">IF(AND(A2620&lt;&gt;A2619,LEFT(A2620,1)&lt;&gt;"C"),1,0)</f>
        <v>0</v>
      </c>
    </row>
    <row r="2621" customFormat="false" ht="15" hidden="false" customHeight="false" outlineLevel="0" collapsed="false">
      <c r="A2621" s="0" t="s">
        <v>2006</v>
      </c>
      <c r="B2621" s="0" t="s">
        <v>667</v>
      </c>
      <c r="C2621" s="0" t="s">
        <v>668</v>
      </c>
      <c r="D2621" s="0" t="n">
        <v>10</v>
      </c>
      <c r="E2621" s="6" t="n">
        <v>40827.5263888889</v>
      </c>
      <c r="F2621" s="0" t="n">
        <v>0.85</v>
      </c>
      <c r="G2621" s="0" t="n">
        <v>12474</v>
      </c>
      <c r="H2621" s="0" t="s">
        <v>33</v>
      </c>
      <c r="I2621" s="7" t="n">
        <f aca="false">IF(AND(LEFT(A2621,1)&lt;&gt;"C",D2621&gt;0,F2621&gt;0),1,0)</f>
        <v>1</v>
      </c>
      <c r="J2621" s="7" t="n">
        <f aca="false">IF(I2621=1,D2621*F2621,0)</f>
        <v>8.5</v>
      </c>
      <c r="K2621" s="7" t="n">
        <f aca="false">YEAR(E2621)*100+MONTH(E2621)</f>
        <v>201110</v>
      </c>
      <c r="L2621" s="7" t="n">
        <f aca="false">IF(AND(A2621&lt;&gt;A2620,LEFT(A2621,1)&lt;&gt;"C"),1,0)</f>
        <v>0</v>
      </c>
    </row>
    <row r="2622" customFormat="false" ht="15" hidden="false" customHeight="false" outlineLevel="0" collapsed="false">
      <c r="A2622" s="0" t="s">
        <v>2006</v>
      </c>
      <c r="B2622" s="0" t="s">
        <v>1090</v>
      </c>
      <c r="C2622" s="0" t="s">
        <v>1091</v>
      </c>
      <c r="D2622" s="0" t="n">
        <v>10</v>
      </c>
      <c r="E2622" s="6" t="n">
        <v>40827.5263888889</v>
      </c>
      <c r="F2622" s="0" t="n">
        <v>0.85</v>
      </c>
      <c r="G2622" s="0" t="n">
        <v>12474</v>
      </c>
      <c r="H2622" s="0" t="s">
        <v>33</v>
      </c>
      <c r="I2622" s="7" t="n">
        <f aca="false">IF(AND(LEFT(A2622,1)&lt;&gt;"C",D2622&gt;0,F2622&gt;0),1,0)</f>
        <v>1</v>
      </c>
      <c r="J2622" s="7" t="n">
        <f aca="false">IF(I2622=1,D2622*F2622,0)</f>
        <v>8.5</v>
      </c>
      <c r="K2622" s="7" t="n">
        <f aca="false">YEAR(E2622)*100+MONTH(E2622)</f>
        <v>201110</v>
      </c>
      <c r="L2622" s="7" t="n">
        <f aca="false">IF(AND(A2622&lt;&gt;A2621,LEFT(A2622,1)&lt;&gt;"C"),1,0)</f>
        <v>0</v>
      </c>
    </row>
    <row r="2623" customFormat="false" ht="15" hidden="false" customHeight="false" outlineLevel="0" collapsed="false">
      <c r="A2623" s="0" t="s">
        <v>2006</v>
      </c>
      <c r="B2623" s="0" t="s">
        <v>467</v>
      </c>
      <c r="C2623" s="0" t="s">
        <v>468</v>
      </c>
      <c r="D2623" s="0" t="n">
        <v>8</v>
      </c>
      <c r="E2623" s="6" t="n">
        <v>40827.5263888889</v>
      </c>
      <c r="F2623" s="0" t="n">
        <v>1.95</v>
      </c>
      <c r="G2623" s="0" t="n">
        <v>12474</v>
      </c>
      <c r="H2623" s="0" t="s">
        <v>33</v>
      </c>
      <c r="I2623" s="7" t="n">
        <f aca="false">IF(AND(LEFT(A2623,1)&lt;&gt;"C",D2623&gt;0,F2623&gt;0),1,0)</f>
        <v>1</v>
      </c>
      <c r="J2623" s="7" t="n">
        <f aca="false">IF(I2623=1,D2623*F2623,0)</f>
        <v>15.6</v>
      </c>
      <c r="K2623" s="7" t="n">
        <f aca="false">YEAR(E2623)*100+MONTH(E2623)</f>
        <v>201110</v>
      </c>
      <c r="L2623" s="7" t="n">
        <f aca="false">IF(AND(A2623&lt;&gt;A2622,LEFT(A2623,1)&lt;&gt;"C"),1,0)</f>
        <v>0</v>
      </c>
    </row>
    <row r="2624" customFormat="false" ht="15" hidden="false" customHeight="false" outlineLevel="0" collapsed="false">
      <c r="A2624" s="0" t="s">
        <v>2006</v>
      </c>
      <c r="B2624" s="0" t="s">
        <v>333</v>
      </c>
      <c r="C2624" s="0" t="s">
        <v>334</v>
      </c>
      <c r="D2624" s="0" t="n">
        <v>12</v>
      </c>
      <c r="E2624" s="6" t="n">
        <v>40827.5263888889</v>
      </c>
      <c r="F2624" s="0" t="n">
        <v>1.65</v>
      </c>
      <c r="G2624" s="0" t="n">
        <v>12474</v>
      </c>
      <c r="H2624" s="0" t="s">
        <v>33</v>
      </c>
      <c r="I2624" s="7" t="n">
        <f aca="false">IF(AND(LEFT(A2624,1)&lt;&gt;"C",D2624&gt;0,F2624&gt;0),1,0)</f>
        <v>1</v>
      </c>
      <c r="J2624" s="7" t="n">
        <f aca="false">IF(I2624=1,D2624*F2624,0)</f>
        <v>19.8</v>
      </c>
      <c r="K2624" s="7" t="n">
        <f aca="false">YEAR(E2624)*100+MONTH(E2624)</f>
        <v>201110</v>
      </c>
      <c r="L2624" s="7" t="n">
        <f aca="false">IF(AND(A2624&lt;&gt;A2623,LEFT(A2624,1)&lt;&gt;"C"),1,0)</f>
        <v>0</v>
      </c>
    </row>
    <row r="2625" customFormat="false" ht="15" hidden="false" customHeight="false" outlineLevel="0" collapsed="false">
      <c r="A2625" s="0" t="s">
        <v>2006</v>
      </c>
      <c r="B2625" s="0" t="s">
        <v>335</v>
      </c>
      <c r="C2625" s="0" t="s">
        <v>336</v>
      </c>
      <c r="D2625" s="0" t="n">
        <v>12</v>
      </c>
      <c r="E2625" s="6" t="n">
        <v>40827.5263888889</v>
      </c>
      <c r="F2625" s="0" t="n">
        <v>1.65</v>
      </c>
      <c r="G2625" s="0" t="n">
        <v>12474</v>
      </c>
      <c r="H2625" s="0" t="s">
        <v>33</v>
      </c>
      <c r="I2625" s="7" t="n">
        <f aca="false">IF(AND(LEFT(A2625,1)&lt;&gt;"C",D2625&gt;0,F2625&gt;0),1,0)</f>
        <v>1</v>
      </c>
      <c r="J2625" s="7" t="n">
        <f aca="false">IF(I2625=1,D2625*F2625,0)</f>
        <v>19.8</v>
      </c>
      <c r="K2625" s="7" t="n">
        <f aca="false">YEAR(E2625)*100+MONTH(E2625)</f>
        <v>201110</v>
      </c>
      <c r="L2625" s="7" t="n">
        <f aca="false">IF(AND(A2625&lt;&gt;A2624,LEFT(A2625,1)&lt;&gt;"C"),1,0)</f>
        <v>0</v>
      </c>
    </row>
    <row r="2626" customFormat="false" ht="15" hidden="false" customHeight="false" outlineLevel="0" collapsed="false">
      <c r="A2626" s="0" t="s">
        <v>2006</v>
      </c>
      <c r="B2626" s="0" t="s">
        <v>471</v>
      </c>
      <c r="C2626" s="0" t="s">
        <v>472</v>
      </c>
      <c r="D2626" s="0" t="n">
        <v>12</v>
      </c>
      <c r="E2626" s="6" t="n">
        <v>40827.5263888889</v>
      </c>
      <c r="F2626" s="0" t="n">
        <v>1.65</v>
      </c>
      <c r="G2626" s="0" t="n">
        <v>12474</v>
      </c>
      <c r="H2626" s="0" t="s">
        <v>33</v>
      </c>
      <c r="I2626" s="7" t="n">
        <f aca="false">IF(AND(LEFT(A2626,1)&lt;&gt;"C",D2626&gt;0,F2626&gt;0),1,0)</f>
        <v>1</v>
      </c>
      <c r="J2626" s="7" t="n">
        <f aca="false">IF(I2626=1,D2626*F2626,0)</f>
        <v>19.8</v>
      </c>
      <c r="K2626" s="7" t="n">
        <f aca="false">YEAR(E2626)*100+MONTH(E2626)</f>
        <v>201110</v>
      </c>
      <c r="L2626" s="7" t="n">
        <f aca="false">IF(AND(A2626&lt;&gt;A2625,LEFT(A2626,1)&lt;&gt;"C"),1,0)</f>
        <v>0</v>
      </c>
    </row>
    <row r="2627" customFormat="false" ht="15" hidden="false" customHeight="false" outlineLevel="0" collapsed="false">
      <c r="A2627" s="0" t="s">
        <v>2006</v>
      </c>
      <c r="B2627" s="0" t="s">
        <v>1011</v>
      </c>
      <c r="C2627" s="0" t="s">
        <v>1012</v>
      </c>
      <c r="D2627" s="0" t="n">
        <v>1</v>
      </c>
      <c r="E2627" s="6" t="n">
        <v>40827.5263888889</v>
      </c>
      <c r="F2627" s="0" t="n">
        <v>16.95</v>
      </c>
      <c r="G2627" s="0" t="n">
        <v>12474</v>
      </c>
      <c r="H2627" s="0" t="s">
        <v>33</v>
      </c>
      <c r="I2627" s="7" t="n">
        <f aca="false">IF(AND(LEFT(A2627,1)&lt;&gt;"C",D2627&gt;0,F2627&gt;0),1,0)</f>
        <v>1</v>
      </c>
      <c r="J2627" s="7" t="n">
        <f aca="false">IF(I2627=1,D2627*F2627,0)</f>
        <v>16.95</v>
      </c>
      <c r="K2627" s="7" t="n">
        <f aca="false">YEAR(E2627)*100+MONTH(E2627)</f>
        <v>201110</v>
      </c>
      <c r="L2627" s="7" t="n">
        <f aca="false">IF(AND(A2627&lt;&gt;A2626,LEFT(A2627,1)&lt;&gt;"C"),1,0)</f>
        <v>0</v>
      </c>
    </row>
    <row r="2628" customFormat="false" ht="15" hidden="false" customHeight="false" outlineLevel="0" collapsed="false">
      <c r="A2628" s="0" t="s">
        <v>2006</v>
      </c>
      <c r="B2628" s="0" t="s">
        <v>1615</v>
      </c>
      <c r="C2628" s="0" t="s">
        <v>1616</v>
      </c>
      <c r="D2628" s="0" t="n">
        <v>1</v>
      </c>
      <c r="E2628" s="6" t="n">
        <v>40827.5263888889</v>
      </c>
      <c r="F2628" s="0" t="n">
        <v>16.95</v>
      </c>
      <c r="G2628" s="0" t="n">
        <v>12474</v>
      </c>
      <c r="H2628" s="0" t="s">
        <v>33</v>
      </c>
      <c r="I2628" s="7" t="n">
        <f aca="false">IF(AND(LEFT(A2628,1)&lt;&gt;"C",D2628&gt;0,F2628&gt;0),1,0)</f>
        <v>1</v>
      </c>
      <c r="J2628" s="7" t="n">
        <f aca="false">IF(I2628=1,D2628*F2628,0)</f>
        <v>16.95</v>
      </c>
      <c r="K2628" s="7" t="n">
        <f aca="false">YEAR(E2628)*100+MONTH(E2628)</f>
        <v>201110</v>
      </c>
      <c r="L2628" s="7" t="n">
        <f aca="false">IF(AND(A2628&lt;&gt;A2627,LEFT(A2628,1)&lt;&gt;"C"),1,0)</f>
        <v>0</v>
      </c>
    </row>
    <row r="2629" customFormat="false" ht="15" hidden="false" customHeight="false" outlineLevel="0" collapsed="false">
      <c r="A2629" s="0" t="s">
        <v>2006</v>
      </c>
      <c r="B2629" s="0" t="s">
        <v>97</v>
      </c>
      <c r="C2629" s="0" t="s">
        <v>98</v>
      </c>
      <c r="D2629" s="0" t="n">
        <v>12</v>
      </c>
      <c r="E2629" s="6" t="n">
        <v>40827.5263888889</v>
      </c>
      <c r="F2629" s="0" t="n">
        <v>1.65</v>
      </c>
      <c r="G2629" s="0" t="n">
        <v>12474</v>
      </c>
      <c r="H2629" s="0" t="s">
        <v>33</v>
      </c>
      <c r="I2629" s="7" t="n">
        <f aca="false">IF(AND(LEFT(A2629,1)&lt;&gt;"C",D2629&gt;0,F2629&gt;0),1,0)</f>
        <v>1</v>
      </c>
      <c r="J2629" s="7" t="n">
        <f aca="false">IF(I2629=1,D2629*F2629,0)</f>
        <v>19.8</v>
      </c>
      <c r="K2629" s="7" t="n">
        <f aca="false">YEAR(E2629)*100+MONTH(E2629)</f>
        <v>201110</v>
      </c>
      <c r="L2629" s="7" t="n">
        <f aca="false">IF(AND(A2629&lt;&gt;A2628,LEFT(A2629,1)&lt;&gt;"C"),1,0)</f>
        <v>0</v>
      </c>
    </row>
    <row r="2630" customFormat="false" ht="15" hidden="false" customHeight="false" outlineLevel="0" collapsed="false">
      <c r="A2630" s="0" t="s">
        <v>2006</v>
      </c>
      <c r="B2630" s="0" t="s">
        <v>653</v>
      </c>
      <c r="C2630" s="0" t="s">
        <v>654</v>
      </c>
      <c r="D2630" s="0" t="n">
        <v>2</v>
      </c>
      <c r="E2630" s="6" t="n">
        <v>40827.5263888889</v>
      </c>
      <c r="F2630" s="0" t="n">
        <v>6.25</v>
      </c>
      <c r="G2630" s="0" t="n">
        <v>12474</v>
      </c>
      <c r="H2630" s="0" t="s">
        <v>33</v>
      </c>
      <c r="I2630" s="7" t="n">
        <f aca="false">IF(AND(LEFT(A2630,1)&lt;&gt;"C",D2630&gt;0,F2630&gt;0),1,0)</f>
        <v>1</v>
      </c>
      <c r="J2630" s="7" t="n">
        <f aca="false">IF(I2630=1,D2630*F2630,0)</f>
        <v>12.5</v>
      </c>
      <c r="K2630" s="7" t="n">
        <f aca="false">YEAR(E2630)*100+MONTH(E2630)</f>
        <v>201110</v>
      </c>
      <c r="L2630" s="7" t="n">
        <f aca="false">IF(AND(A2630&lt;&gt;A2629,LEFT(A2630,1)&lt;&gt;"C"),1,0)</f>
        <v>0</v>
      </c>
    </row>
    <row r="2631" customFormat="false" ht="15" hidden="false" customHeight="false" outlineLevel="0" collapsed="false">
      <c r="A2631" s="0" t="s">
        <v>2006</v>
      </c>
      <c r="B2631" s="0" t="s">
        <v>598</v>
      </c>
      <c r="C2631" s="0" t="s">
        <v>599</v>
      </c>
      <c r="D2631" s="0" t="n">
        <v>8</v>
      </c>
      <c r="E2631" s="6" t="n">
        <v>40827.5263888889</v>
      </c>
      <c r="F2631" s="0" t="n">
        <v>1.95</v>
      </c>
      <c r="G2631" s="0" t="n">
        <v>12474</v>
      </c>
      <c r="H2631" s="0" t="s">
        <v>33</v>
      </c>
      <c r="I2631" s="7" t="n">
        <f aca="false">IF(AND(LEFT(A2631,1)&lt;&gt;"C",D2631&gt;0,F2631&gt;0),1,0)</f>
        <v>1</v>
      </c>
      <c r="J2631" s="7" t="n">
        <f aca="false">IF(I2631=1,D2631*F2631,0)</f>
        <v>15.6</v>
      </c>
      <c r="K2631" s="7" t="n">
        <f aca="false">YEAR(E2631)*100+MONTH(E2631)</f>
        <v>201110</v>
      </c>
      <c r="L2631" s="7" t="n">
        <f aca="false">IF(AND(A2631&lt;&gt;A2630,LEFT(A2631,1)&lt;&gt;"C"),1,0)</f>
        <v>0</v>
      </c>
    </row>
    <row r="2632" customFormat="false" ht="15" hidden="false" customHeight="false" outlineLevel="0" collapsed="false">
      <c r="A2632" s="0" t="s">
        <v>2006</v>
      </c>
      <c r="B2632" s="0" t="s">
        <v>84</v>
      </c>
      <c r="C2632" s="0" t="s">
        <v>85</v>
      </c>
      <c r="D2632" s="0" t="n">
        <v>2</v>
      </c>
      <c r="E2632" s="6" t="n">
        <v>40827.5263888889</v>
      </c>
      <c r="F2632" s="0" t="n">
        <v>18</v>
      </c>
      <c r="G2632" s="0" t="n">
        <v>12474</v>
      </c>
      <c r="H2632" s="0" t="s">
        <v>33</v>
      </c>
      <c r="I2632" s="7" t="n">
        <f aca="false">IF(AND(LEFT(A2632,1)&lt;&gt;"C",D2632&gt;0,F2632&gt;0),1,0)</f>
        <v>1</v>
      </c>
      <c r="J2632" s="7" t="n">
        <f aca="false">IF(I2632=1,D2632*F2632,0)</f>
        <v>36</v>
      </c>
      <c r="K2632" s="7" t="n">
        <f aca="false">YEAR(E2632)*100+MONTH(E2632)</f>
        <v>201110</v>
      </c>
      <c r="L2632" s="7" t="n">
        <f aca="false">IF(AND(A2632&lt;&gt;A2631,LEFT(A2632,1)&lt;&gt;"C"),1,0)</f>
        <v>0</v>
      </c>
    </row>
    <row r="2633" customFormat="false" ht="15" hidden="false" customHeight="false" outlineLevel="0" collapsed="false">
      <c r="A2633" s="0" t="s">
        <v>2007</v>
      </c>
      <c r="B2633" s="0" t="s">
        <v>2008</v>
      </c>
      <c r="C2633" s="0" t="s">
        <v>2009</v>
      </c>
      <c r="D2633" s="0" t="n">
        <v>24</v>
      </c>
      <c r="E2633" s="6" t="n">
        <v>40827.6194444444</v>
      </c>
      <c r="F2633" s="0" t="n">
        <v>0.85</v>
      </c>
      <c r="G2633" s="0" t="n">
        <v>12536</v>
      </c>
      <c r="H2633" s="0" t="s">
        <v>43</v>
      </c>
      <c r="I2633" s="7" t="n">
        <f aca="false">IF(AND(LEFT(A2633,1)&lt;&gt;"C",D2633&gt;0,F2633&gt;0),1,0)</f>
        <v>1</v>
      </c>
      <c r="J2633" s="7" t="n">
        <f aca="false">IF(I2633=1,D2633*F2633,0)</f>
        <v>20.4</v>
      </c>
      <c r="K2633" s="7" t="n">
        <f aca="false">YEAR(E2633)*100+MONTH(E2633)</f>
        <v>201110</v>
      </c>
      <c r="L2633" s="7" t="n">
        <f aca="false">IF(AND(A2633&lt;&gt;A2632,LEFT(A2633,1)&lt;&gt;"C"),1,0)</f>
        <v>1</v>
      </c>
    </row>
    <row r="2634" customFormat="false" ht="15" hidden="false" customHeight="false" outlineLevel="0" collapsed="false">
      <c r="A2634" s="0" t="s">
        <v>2007</v>
      </c>
      <c r="B2634" s="0" t="s">
        <v>2010</v>
      </c>
      <c r="C2634" s="0" t="s">
        <v>2011</v>
      </c>
      <c r="D2634" s="0" t="n">
        <v>24</v>
      </c>
      <c r="E2634" s="6" t="n">
        <v>40827.6194444444</v>
      </c>
      <c r="F2634" s="0" t="n">
        <v>0.85</v>
      </c>
      <c r="G2634" s="0" t="n">
        <v>12536</v>
      </c>
      <c r="H2634" s="0" t="s">
        <v>43</v>
      </c>
      <c r="I2634" s="7" t="n">
        <f aca="false">IF(AND(LEFT(A2634,1)&lt;&gt;"C",D2634&gt;0,F2634&gt;0),1,0)</f>
        <v>1</v>
      </c>
      <c r="J2634" s="7" t="n">
        <f aca="false">IF(I2634=1,D2634*F2634,0)</f>
        <v>20.4</v>
      </c>
      <c r="K2634" s="7" t="n">
        <f aca="false">YEAR(E2634)*100+MONTH(E2634)</f>
        <v>201110</v>
      </c>
      <c r="L2634" s="7" t="n">
        <f aca="false">IF(AND(A2634&lt;&gt;A2633,LEFT(A2634,1)&lt;&gt;"C"),1,0)</f>
        <v>0</v>
      </c>
    </row>
    <row r="2635" customFormat="false" ht="15" hidden="false" customHeight="false" outlineLevel="0" collapsed="false">
      <c r="A2635" s="0" t="s">
        <v>2007</v>
      </c>
      <c r="B2635" s="0" t="s">
        <v>1344</v>
      </c>
      <c r="C2635" s="0" t="s">
        <v>1345</v>
      </c>
      <c r="D2635" s="0" t="n">
        <v>6</v>
      </c>
      <c r="E2635" s="6" t="n">
        <v>40827.6194444444</v>
      </c>
      <c r="F2635" s="0" t="n">
        <v>2.95</v>
      </c>
      <c r="G2635" s="0" t="n">
        <v>12536</v>
      </c>
      <c r="H2635" s="0" t="s">
        <v>43</v>
      </c>
      <c r="I2635" s="7" t="n">
        <f aca="false">IF(AND(LEFT(A2635,1)&lt;&gt;"C",D2635&gt;0,F2635&gt;0),1,0)</f>
        <v>1</v>
      </c>
      <c r="J2635" s="7" t="n">
        <f aca="false">IF(I2635=1,D2635*F2635,0)</f>
        <v>17.7</v>
      </c>
      <c r="K2635" s="7" t="n">
        <f aca="false">YEAR(E2635)*100+MONTH(E2635)</f>
        <v>201110</v>
      </c>
      <c r="L2635" s="7" t="n">
        <f aca="false">IF(AND(A2635&lt;&gt;A2634,LEFT(A2635,1)&lt;&gt;"C"),1,0)</f>
        <v>0</v>
      </c>
    </row>
    <row r="2636" customFormat="false" ht="15" hidden="false" customHeight="false" outlineLevel="0" collapsed="false">
      <c r="A2636" s="0" t="s">
        <v>2007</v>
      </c>
      <c r="B2636" s="0" t="s">
        <v>1212</v>
      </c>
      <c r="C2636" s="0" t="s">
        <v>1213</v>
      </c>
      <c r="D2636" s="0" t="n">
        <v>16</v>
      </c>
      <c r="E2636" s="6" t="n">
        <v>40827.6194444444</v>
      </c>
      <c r="F2636" s="0" t="n">
        <v>1.25</v>
      </c>
      <c r="G2636" s="0" t="n">
        <v>12536</v>
      </c>
      <c r="H2636" s="0" t="s">
        <v>43</v>
      </c>
      <c r="I2636" s="7" t="n">
        <f aca="false">IF(AND(LEFT(A2636,1)&lt;&gt;"C",D2636&gt;0,F2636&gt;0),1,0)</f>
        <v>1</v>
      </c>
      <c r="J2636" s="7" t="n">
        <f aca="false">IF(I2636=1,D2636*F2636,0)</f>
        <v>20</v>
      </c>
      <c r="K2636" s="7" t="n">
        <f aca="false">YEAR(E2636)*100+MONTH(E2636)</f>
        <v>201110</v>
      </c>
      <c r="L2636" s="7" t="n">
        <f aca="false">IF(AND(A2636&lt;&gt;A2635,LEFT(A2636,1)&lt;&gt;"C"),1,0)</f>
        <v>0</v>
      </c>
    </row>
    <row r="2637" customFormat="false" ht="15" hidden="false" customHeight="false" outlineLevel="0" collapsed="false">
      <c r="A2637" s="0" t="s">
        <v>2007</v>
      </c>
      <c r="B2637" s="0" t="s">
        <v>166</v>
      </c>
      <c r="C2637" s="0" t="s">
        <v>167</v>
      </c>
      <c r="D2637" s="0" t="n">
        <v>8</v>
      </c>
      <c r="E2637" s="6" t="n">
        <v>40827.6194444444</v>
      </c>
      <c r="F2637" s="0" t="n">
        <v>1.25</v>
      </c>
      <c r="G2637" s="0" t="n">
        <v>12536</v>
      </c>
      <c r="H2637" s="0" t="s">
        <v>43</v>
      </c>
      <c r="I2637" s="7" t="n">
        <f aca="false">IF(AND(LEFT(A2637,1)&lt;&gt;"C",D2637&gt;0,F2637&gt;0),1,0)</f>
        <v>1</v>
      </c>
      <c r="J2637" s="7" t="n">
        <f aca="false">IF(I2637=1,D2637*F2637,0)</f>
        <v>10</v>
      </c>
      <c r="K2637" s="7" t="n">
        <f aca="false">YEAR(E2637)*100+MONTH(E2637)</f>
        <v>201110</v>
      </c>
      <c r="L2637" s="7" t="n">
        <f aca="false">IF(AND(A2637&lt;&gt;A2636,LEFT(A2637,1)&lt;&gt;"C"),1,0)</f>
        <v>0</v>
      </c>
    </row>
    <row r="2638" customFormat="false" ht="15" hidden="false" customHeight="false" outlineLevel="0" collapsed="false">
      <c r="A2638" s="0" t="s">
        <v>2007</v>
      </c>
      <c r="B2638" s="0" t="s">
        <v>164</v>
      </c>
      <c r="C2638" s="0" t="s">
        <v>165</v>
      </c>
      <c r="D2638" s="0" t="n">
        <v>8</v>
      </c>
      <c r="E2638" s="6" t="n">
        <v>40827.6194444444</v>
      </c>
      <c r="F2638" s="0" t="n">
        <v>1.25</v>
      </c>
      <c r="G2638" s="0" t="n">
        <v>12536</v>
      </c>
      <c r="H2638" s="0" t="s">
        <v>43</v>
      </c>
      <c r="I2638" s="7" t="n">
        <f aca="false">IF(AND(LEFT(A2638,1)&lt;&gt;"C",D2638&gt;0,F2638&gt;0),1,0)</f>
        <v>1</v>
      </c>
      <c r="J2638" s="7" t="n">
        <f aca="false">IF(I2638=1,D2638*F2638,0)</f>
        <v>10</v>
      </c>
      <c r="K2638" s="7" t="n">
        <f aca="false">YEAR(E2638)*100+MONTH(E2638)</f>
        <v>201110</v>
      </c>
      <c r="L2638" s="7" t="n">
        <f aca="false">IF(AND(A2638&lt;&gt;A2637,LEFT(A2638,1)&lt;&gt;"C"),1,0)</f>
        <v>0</v>
      </c>
    </row>
    <row r="2639" customFormat="false" ht="15" hidden="false" customHeight="false" outlineLevel="0" collapsed="false">
      <c r="A2639" s="0" t="s">
        <v>2007</v>
      </c>
      <c r="B2639" s="0" t="s">
        <v>1214</v>
      </c>
      <c r="C2639" s="0" t="s">
        <v>1215</v>
      </c>
      <c r="D2639" s="0" t="n">
        <v>8</v>
      </c>
      <c r="E2639" s="6" t="n">
        <v>40827.6194444444</v>
      </c>
      <c r="F2639" s="0" t="n">
        <v>1.25</v>
      </c>
      <c r="G2639" s="0" t="n">
        <v>12536</v>
      </c>
      <c r="H2639" s="0" t="s">
        <v>43</v>
      </c>
      <c r="I2639" s="7" t="n">
        <f aca="false">IF(AND(LEFT(A2639,1)&lt;&gt;"C",D2639&gt;0,F2639&gt;0),1,0)</f>
        <v>1</v>
      </c>
      <c r="J2639" s="7" t="n">
        <f aca="false">IF(I2639=1,D2639*F2639,0)</f>
        <v>10</v>
      </c>
      <c r="K2639" s="7" t="n">
        <f aca="false">YEAR(E2639)*100+MONTH(E2639)</f>
        <v>201110</v>
      </c>
      <c r="L2639" s="7" t="n">
        <f aca="false">IF(AND(A2639&lt;&gt;A2638,LEFT(A2639,1)&lt;&gt;"C"),1,0)</f>
        <v>0</v>
      </c>
    </row>
    <row r="2640" customFormat="false" ht="15" hidden="false" customHeight="false" outlineLevel="0" collapsed="false">
      <c r="A2640" s="0" t="s">
        <v>2007</v>
      </c>
      <c r="B2640" s="0" t="s">
        <v>133</v>
      </c>
      <c r="C2640" s="0" t="s">
        <v>134</v>
      </c>
      <c r="D2640" s="0" t="n">
        <v>6</v>
      </c>
      <c r="E2640" s="6" t="n">
        <v>40827.6194444444</v>
      </c>
      <c r="F2640" s="0" t="n">
        <v>3.25</v>
      </c>
      <c r="G2640" s="0" t="n">
        <v>12536</v>
      </c>
      <c r="H2640" s="0" t="s">
        <v>43</v>
      </c>
      <c r="I2640" s="7" t="n">
        <f aca="false">IF(AND(LEFT(A2640,1)&lt;&gt;"C",D2640&gt;0,F2640&gt;0),1,0)</f>
        <v>1</v>
      </c>
      <c r="J2640" s="7" t="n">
        <f aca="false">IF(I2640=1,D2640*F2640,0)</f>
        <v>19.5</v>
      </c>
      <c r="K2640" s="7" t="n">
        <f aca="false">YEAR(E2640)*100+MONTH(E2640)</f>
        <v>201110</v>
      </c>
      <c r="L2640" s="7" t="n">
        <f aca="false">IF(AND(A2640&lt;&gt;A2639,LEFT(A2640,1)&lt;&gt;"C"),1,0)</f>
        <v>0</v>
      </c>
    </row>
    <row r="2641" customFormat="false" ht="15" hidden="false" customHeight="false" outlineLevel="0" collapsed="false">
      <c r="A2641" s="0" t="s">
        <v>2007</v>
      </c>
      <c r="B2641" s="0" t="s">
        <v>2012</v>
      </c>
      <c r="C2641" s="0" t="s">
        <v>2013</v>
      </c>
      <c r="D2641" s="0" t="n">
        <v>2</v>
      </c>
      <c r="E2641" s="6" t="n">
        <v>40827.6194444444</v>
      </c>
      <c r="F2641" s="0" t="n">
        <v>6.95</v>
      </c>
      <c r="G2641" s="0" t="n">
        <v>12536</v>
      </c>
      <c r="H2641" s="0" t="s">
        <v>43</v>
      </c>
      <c r="I2641" s="7" t="n">
        <f aca="false">IF(AND(LEFT(A2641,1)&lt;&gt;"C",D2641&gt;0,F2641&gt;0),1,0)</f>
        <v>1</v>
      </c>
      <c r="J2641" s="7" t="n">
        <f aca="false">IF(I2641=1,D2641*F2641,0)</f>
        <v>13.9</v>
      </c>
      <c r="K2641" s="7" t="n">
        <f aca="false">YEAR(E2641)*100+MONTH(E2641)</f>
        <v>201110</v>
      </c>
      <c r="L2641" s="7" t="n">
        <f aca="false">IF(AND(A2641&lt;&gt;A2640,LEFT(A2641,1)&lt;&gt;"C"),1,0)</f>
        <v>0</v>
      </c>
    </row>
    <row r="2642" customFormat="false" ht="15" hidden="false" customHeight="false" outlineLevel="0" collapsed="false">
      <c r="A2642" s="0" t="s">
        <v>2007</v>
      </c>
      <c r="B2642" s="0" t="s">
        <v>2014</v>
      </c>
      <c r="C2642" s="0" t="s">
        <v>2015</v>
      </c>
      <c r="D2642" s="0" t="n">
        <v>10</v>
      </c>
      <c r="E2642" s="6" t="n">
        <v>40827.6194444444</v>
      </c>
      <c r="F2642" s="0" t="n">
        <v>1.25</v>
      </c>
      <c r="G2642" s="0" t="n">
        <v>12536</v>
      </c>
      <c r="H2642" s="0" t="s">
        <v>43</v>
      </c>
      <c r="I2642" s="7" t="n">
        <f aca="false">IF(AND(LEFT(A2642,1)&lt;&gt;"C",D2642&gt;0,F2642&gt;0),1,0)</f>
        <v>1</v>
      </c>
      <c r="J2642" s="7" t="n">
        <f aca="false">IF(I2642=1,D2642*F2642,0)</f>
        <v>12.5</v>
      </c>
      <c r="K2642" s="7" t="n">
        <f aca="false">YEAR(E2642)*100+MONTH(E2642)</f>
        <v>201110</v>
      </c>
      <c r="L2642" s="7" t="n">
        <f aca="false">IF(AND(A2642&lt;&gt;A2641,LEFT(A2642,1)&lt;&gt;"C"),1,0)</f>
        <v>0</v>
      </c>
    </row>
    <row r="2643" customFormat="false" ht="15" hidden="false" customHeight="false" outlineLevel="0" collapsed="false">
      <c r="A2643" s="0" t="s">
        <v>2007</v>
      </c>
      <c r="B2643" s="0" t="s">
        <v>1081</v>
      </c>
      <c r="C2643" s="0" t="s">
        <v>1082</v>
      </c>
      <c r="D2643" s="0" t="n">
        <v>10</v>
      </c>
      <c r="E2643" s="6" t="n">
        <v>40827.6194444444</v>
      </c>
      <c r="F2643" s="0" t="n">
        <v>1.25</v>
      </c>
      <c r="G2643" s="0" t="n">
        <v>12536</v>
      </c>
      <c r="H2643" s="0" t="s">
        <v>43</v>
      </c>
      <c r="I2643" s="7" t="n">
        <f aca="false">IF(AND(LEFT(A2643,1)&lt;&gt;"C",D2643&gt;0,F2643&gt;0),1,0)</f>
        <v>1</v>
      </c>
      <c r="J2643" s="7" t="n">
        <f aca="false">IF(I2643=1,D2643*F2643,0)</f>
        <v>12.5</v>
      </c>
      <c r="K2643" s="7" t="n">
        <f aca="false">YEAR(E2643)*100+MONTH(E2643)</f>
        <v>201110</v>
      </c>
      <c r="L2643" s="7" t="n">
        <f aca="false">IF(AND(A2643&lt;&gt;A2642,LEFT(A2643,1)&lt;&gt;"C"),1,0)</f>
        <v>0</v>
      </c>
    </row>
    <row r="2644" customFormat="false" ht="15" hidden="false" customHeight="false" outlineLevel="0" collapsed="false">
      <c r="A2644" s="0" t="s">
        <v>2007</v>
      </c>
      <c r="B2644" s="0" t="s">
        <v>794</v>
      </c>
      <c r="C2644" s="0" t="s">
        <v>795</v>
      </c>
      <c r="D2644" s="0" t="n">
        <v>10</v>
      </c>
      <c r="E2644" s="6" t="n">
        <v>40827.6194444444</v>
      </c>
      <c r="F2644" s="0" t="n">
        <v>0.85</v>
      </c>
      <c r="G2644" s="0" t="n">
        <v>12536</v>
      </c>
      <c r="H2644" s="0" t="s">
        <v>43</v>
      </c>
      <c r="I2644" s="7" t="n">
        <f aca="false">IF(AND(LEFT(A2644,1)&lt;&gt;"C",D2644&gt;0,F2644&gt;0),1,0)</f>
        <v>1</v>
      </c>
      <c r="J2644" s="7" t="n">
        <f aca="false">IF(I2644=1,D2644*F2644,0)</f>
        <v>8.5</v>
      </c>
      <c r="K2644" s="7" t="n">
        <f aca="false">YEAR(E2644)*100+MONTH(E2644)</f>
        <v>201110</v>
      </c>
      <c r="L2644" s="7" t="n">
        <f aca="false">IF(AND(A2644&lt;&gt;A2643,LEFT(A2644,1)&lt;&gt;"C"),1,0)</f>
        <v>0</v>
      </c>
    </row>
    <row r="2645" customFormat="false" ht="15" hidden="false" customHeight="false" outlineLevel="0" collapsed="false">
      <c r="A2645" s="0" t="s">
        <v>2007</v>
      </c>
      <c r="B2645" s="0" t="s">
        <v>1744</v>
      </c>
      <c r="C2645" s="0" t="s">
        <v>1745</v>
      </c>
      <c r="D2645" s="0" t="n">
        <v>10</v>
      </c>
      <c r="E2645" s="6" t="n">
        <v>40827.6194444444</v>
      </c>
      <c r="F2645" s="0" t="n">
        <v>0.85</v>
      </c>
      <c r="G2645" s="0" t="n">
        <v>12536</v>
      </c>
      <c r="H2645" s="0" t="s">
        <v>43</v>
      </c>
      <c r="I2645" s="7" t="n">
        <f aca="false">IF(AND(LEFT(A2645,1)&lt;&gt;"C",D2645&gt;0,F2645&gt;0),1,0)</f>
        <v>1</v>
      </c>
      <c r="J2645" s="7" t="n">
        <f aca="false">IF(I2645=1,D2645*F2645,0)</f>
        <v>8.5</v>
      </c>
      <c r="K2645" s="7" t="n">
        <f aca="false">YEAR(E2645)*100+MONTH(E2645)</f>
        <v>201110</v>
      </c>
      <c r="L2645" s="7" t="n">
        <f aca="false">IF(AND(A2645&lt;&gt;A2644,LEFT(A2645,1)&lt;&gt;"C"),1,0)</f>
        <v>0</v>
      </c>
    </row>
    <row r="2646" customFormat="false" ht="15" hidden="false" customHeight="false" outlineLevel="0" collapsed="false">
      <c r="A2646" s="0" t="s">
        <v>2007</v>
      </c>
      <c r="B2646" s="0" t="s">
        <v>667</v>
      </c>
      <c r="C2646" s="0" t="s">
        <v>668</v>
      </c>
      <c r="D2646" s="0" t="n">
        <v>10</v>
      </c>
      <c r="E2646" s="6" t="n">
        <v>40827.6194444444</v>
      </c>
      <c r="F2646" s="0" t="n">
        <v>0.85</v>
      </c>
      <c r="G2646" s="0" t="n">
        <v>12536</v>
      </c>
      <c r="H2646" s="0" t="s">
        <v>43</v>
      </c>
      <c r="I2646" s="7" t="n">
        <f aca="false">IF(AND(LEFT(A2646,1)&lt;&gt;"C",D2646&gt;0,F2646&gt;0),1,0)</f>
        <v>1</v>
      </c>
      <c r="J2646" s="7" t="n">
        <f aca="false">IF(I2646=1,D2646*F2646,0)</f>
        <v>8.5</v>
      </c>
      <c r="K2646" s="7" t="n">
        <f aca="false">YEAR(E2646)*100+MONTH(E2646)</f>
        <v>201110</v>
      </c>
      <c r="L2646" s="7" t="n">
        <f aca="false">IF(AND(A2646&lt;&gt;A2645,LEFT(A2646,1)&lt;&gt;"C"),1,0)</f>
        <v>0</v>
      </c>
    </row>
    <row r="2647" customFormat="false" ht="15" hidden="false" customHeight="false" outlineLevel="0" collapsed="false">
      <c r="A2647" s="0" t="s">
        <v>2007</v>
      </c>
      <c r="B2647" s="0" t="s">
        <v>463</v>
      </c>
      <c r="C2647" s="0" t="s">
        <v>464</v>
      </c>
      <c r="D2647" s="0" t="n">
        <v>2</v>
      </c>
      <c r="E2647" s="6" t="n">
        <v>40827.6194444444</v>
      </c>
      <c r="F2647" s="0" t="n">
        <v>7.95</v>
      </c>
      <c r="G2647" s="0" t="n">
        <v>12536</v>
      </c>
      <c r="H2647" s="0" t="s">
        <v>43</v>
      </c>
      <c r="I2647" s="7" t="n">
        <f aca="false">IF(AND(LEFT(A2647,1)&lt;&gt;"C",D2647&gt;0,F2647&gt;0),1,0)</f>
        <v>1</v>
      </c>
      <c r="J2647" s="7" t="n">
        <f aca="false">IF(I2647=1,D2647*F2647,0)</f>
        <v>15.9</v>
      </c>
      <c r="K2647" s="7" t="n">
        <f aca="false">YEAR(E2647)*100+MONTH(E2647)</f>
        <v>201110</v>
      </c>
      <c r="L2647" s="7" t="n">
        <f aca="false">IF(AND(A2647&lt;&gt;A2646,LEFT(A2647,1)&lt;&gt;"C"),1,0)</f>
        <v>0</v>
      </c>
    </row>
    <row r="2648" customFormat="false" ht="15" hidden="false" customHeight="false" outlineLevel="0" collapsed="false">
      <c r="A2648" s="0" t="s">
        <v>2007</v>
      </c>
      <c r="B2648" s="0" t="s">
        <v>2016</v>
      </c>
      <c r="C2648" s="0" t="s">
        <v>2017</v>
      </c>
      <c r="D2648" s="0" t="n">
        <v>24</v>
      </c>
      <c r="E2648" s="6" t="n">
        <v>40827.6194444444</v>
      </c>
      <c r="F2648" s="0" t="n">
        <v>0.39</v>
      </c>
      <c r="G2648" s="0" t="n">
        <v>12536</v>
      </c>
      <c r="H2648" s="0" t="s">
        <v>43</v>
      </c>
      <c r="I2648" s="7" t="n">
        <f aca="false">IF(AND(LEFT(A2648,1)&lt;&gt;"C",D2648&gt;0,F2648&gt;0),1,0)</f>
        <v>1</v>
      </c>
      <c r="J2648" s="7" t="n">
        <f aca="false">IF(I2648=1,D2648*F2648,0)</f>
        <v>9.36</v>
      </c>
      <c r="K2648" s="7" t="n">
        <f aca="false">YEAR(E2648)*100+MONTH(E2648)</f>
        <v>201110</v>
      </c>
      <c r="L2648" s="7" t="n">
        <f aca="false">IF(AND(A2648&lt;&gt;A2647,LEFT(A2648,1)&lt;&gt;"C"),1,0)</f>
        <v>0</v>
      </c>
    </row>
    <row r="2649" customFormat="false" ht="15" hidden="false" customHeight="false" outlineLevel="0" collapsed="false">
      <c r="A2649" s="0" t="s">
        <v>2007</v>
      </c>
      <c r="B2649" s="0" t="s">
        <v>337</v>
      </c>
      <c r="C2649" s="0" t="s">
        <v>338</v>
      </c>
      <c r="D2649" s="0" t="n">
        <v>6</v>
      </c>
      <c r="E2649" s="6" t="n">
        <v>40827.6194444444</v>
      </c>
      <c r="F2649" s="0" t="n">
        <v>2.95</v>
      </c>
      <c r="G2649" s="0" t="n">
        <v>12536</v>
      </c>
      <c r="H2649" s="0" t="s">
        <v>43</v>
      </c>
      <c r="I2649" s="7" t="n">
        <f aca="false">IF(AND(LEFT(A2649,1)&lt;&gt;"C",D2649&gt;0,F2649&gt;0),1,0)</f>
        <v>1</v>
      </c>
      <c r="J2649" s="7" t="n">
        <f aca="false">IF(I2649=1,D2649*F2649,0)</f>
        <v>17.7</v>
      </c>
      <c r="K2649" s="7" t="n">
        <f aca="false">YEAR(E2649)*100+MONTH(E2649)</f>
        <v>201110</v>
      </c>
      <c r="L2649" s="7" t="n">
        <f aca="false">IF(AND(A2649&lt;&gt;A2648,LEFT(A2649,1)&lt;&gt;"C"),1,0)</f>
        <v>0</v>
      </c>
    </row>
    <row r="2650" customFormat="false" ht="15" hidden="false" customHeight="false" outlineLevel="0" collapsed="false">
      <c r="A2650" s="0" t="s">
        <v>2007</v>
      </c>
      <c r="B2650" s="0" t="s">
        <v>2018</v>
      </c>
      <c r="C2650" s="0" t="s">
        <v>2019</v>
      </c>
      <c r="D2650" s="0" t="n">
        <v>16</v>
      </c>
      <c r="E2650" s="6" t="n">
        <v>40827.6194444444</v>
      </c>
      <c r="F2650" s="0" t="n">
        <v>1.25</v>
      </c>
      <c r="G2650" s="0" t="n">
        <v>12536</v>
      </c>
      <c r="H2650" s="0" t="s">
        <v>43</v>
      </c>
      <c r="I2650" s="7" t="n">
        <f aca="false">IF(AND(LEFT(A2650,1)&lt;&gt;"C",D2650&gt;0,F2650&gt;0),1,0)</f>
        <v>1</v>
      </c>
      <c r="J2650" s="7" t="n">
        <f aca="false">IF(I2650=1,D2650*F2650,0)</f>
        <v>20</v>
      </c>
      <c r="K2650" s="7" t="n">
        <f aca="false">YEAR(E2650)*100+MONTH(E2650)</f>
        <v>201110</v>
      </c>
      <c r="L2650" s="7" t="n">
        <f aca="false">IF(AND(A2650&lt;&gt;A2649,LEFT(A2650,1)&lt;&gt;"C"),1,0)</f>
        <v>0</v>
      </c>
    </row>
    <row r="2651" customFormat="false" ht="15" hidden="false" customHeight="false" outlineLevel="0" collapsed="false">
      <c r="A2651" s="0" t="s">
        <v>2007</v>
      </c>
      <c r="B2651" s="0" t="s">
        <v>533</v>
      </c>
      <c r="C2651" s="0" t="s">
        <v>534</v>
      </c>
      <c r="D2651" s="0" t="n">
        <v>16</v>
      </c>
      <c r="E2651" s="6" t="n">
        <v>40827.6194444444</v>
      </c>
      <c r="F2651" s="0" t="n">
        <v>1.25</v>
      </c>
      <c r="G2651" s="0" t="n">
        <v>12536</v>
      </c>
      <c r="H2651" s="0" t="s">
        <v>43</v>
      </c>
      <c r="I2651" s="7" t="n">
        <f aca="false">IF(AND(LEFT(A2651,1)&lt;&gt;"C",D2651&gt;0,F2651&gt;0),1,0)</f>
        <v>1</v>
      </c>
      <c r="J2651" s="7" t="n">
        <f aca="false">IF(I2651=1,D2651*F2651,0)</f>
        <v>20</v>
      </c>
      <c r="K2651" s="7" t="n">
        <f aca="false">YEAR(E2651)*100+MONTH(E2651)</f>
        <v>201110</v>
      </c>
      <c r="L2651" s="7" t="n">
        <f aca="false">IF(AND(A2651&lt;&gt;A2650,LEFT(A2651,1)&lt;&gt;"C"),1,0)</f>
        <v>0</v>
      </c>
    </row>
    <row r="2652" customFormat="false" ht="15" hidden="false" customHeight="false" outlineLevel="0" collapsed="false">
      <c r="A2652" s="0" t="s">
        <v>2007</v>
      </c>
      <c r="B2652" s="0" t="s">
        <v>881</v>
      </c>
      <c r="C2652" s="0" t="s">
        <v>882</v>
      </c>
      <c r="D2652" s="0" t="n">
        <v>24</v>
      </c>
      <c r="E2652" s="6" t="n">
        <v>40827.6194444444</v>
      </c>
      <c r="F2652" s="0" t="n">
        <v>0.29</v>
      </c>
      <c r="G2652" s="0" t="n">
        <v>12536</v>
      </c>
      <c r="H2652" s="0" t="s">
        <v>43</v>
      </c>
      <c r="I2652" s="7" t="n">
        <f aca="false">IF(AND(LEFT(A2652,1)&lt;&gt;"C",D2652&gt;0,F2652&gt;0),1,0)</f>
        <v>1</v>
      </c>
      <c r="J2652" s="7" t="n">
        <f aca="false">IF(I2652=1,D2652*F2652,0)</f>
        <v>6.96</v>
      </c>
      <c r="K2652" s="7" t="n">
        <f aca="false">YEAR(E2652)*100+MONTH(E2652)</f>
        <v>201110</v>
      </c>
      <c r="L2652" s="7" t="n">
        <f aca="false">IF(AND(A2652&lt;&gt;A2651,LEFT(A2652,1)&lt;&gt;"C"),1,0)</f>
        <v>0</v>
      </c>
    </row>
    <row r="2653" customFormat="false" ht="15" hidden="false" customHeight="false" outlineLevel="0" collapsed="false">
      <c r="A2653" s="0" t="s">
        <v>2007</v>
      </c>
      <c r="B2653" s="0" t="s">
        <v>1208</v>
      </c>
      <c r="C2653" s="0" t="s">
        <v>1209</v>
      </c>
      <c r="D2653" s="0" t="n">
        <v>6</v>
      </c>
      <c r="E2653" s="6" t="n">
        <v>40827.6194444444</v>
      </c>
      <c r="F2653" s="0" t="n">
        <v>2.55</v>
      </c>
      <c r="G2653" s="0" t="n">
        <v>12536</v>
      </c>
      <c r="H2653" s="0" t="s">
        <v>43</v>
      </c>
      <c r="I2653" s="7" t="n">
        <f aca="false">IF(AND(LEFT(A2653,1)&lt;&gt;"C",D2653&gt;0,F2653&gt;0),1,0)</f>
        <v>1</v>
      </c>
      <c r="J2653" s="7" t="n">
        <f aca="false">IF(I2653=1,D2653*F2653,0)</f>
        <v>15.3</v>
      </c>
      <c r="K2653" s="7" t="n">
        <f aca="false">YEAR(E2653)*100+MONTH(E2653)</f>
        <v>201110</v>
      </c>
      <c r="L2653" s="7" t="n">
        <f aca="false">IF(AND(A2653&lt;&gt;A2652,LEFT(A2653,1)&lt;&gt;"C"),1,0)</f>
        <v>0</v>
      </c>
    </row>
    <row r="2654" customFormat="false" ht="15" hidden="false" customHeight="false" outlineLevel="0" collapsed="false">
      <c r="A2654" s="0" t="s">
        <v>2007</v>
      </c>
      <c r="B2654" s="0" t="s">
        <v>2020</v>
      </c>
      <c r="C2654" s="0" t="s">
        <v>2021</v>
      </c>
      <c r="D2654" s="0" t="n">
        <v>1</v>
      </c>
      <c r="E2654" s="6" t="n">
        <v>40827.6194444444</v>
      </c>
      <c r="F2654" s="0" t="n">
        <v>8.95</v>
      </c>
      <c r="G2654" s="0" t="n">
        <v>12536</v>
      </c>
      <c r="H2654" s="0" t="s">
        <v>43</v>
      </c>
      <c r="I2654" s="7" t="n">
        <f aca="false">IF(AND(LEFT(A2654,1)&lt;&gt;"C",D2654&gt;0,F2654&gt;0),1,0)</f>
        <v>1</v>
      </c>
      <c r="J2654" s="7" t="n">
        <f aca="false">IF(I2654=1,D2654*F2654,0)</f>
        <v>8.95</v>
      </c>
      <c r="K2654" s="7" t="n">
        <f aca="false">YEAR(E2654)*100+MONTH(E2654)</f>
        <v>201110</v>
      </c>
      <c r="L2654" s="7" t="n">
        <f aca="false">IF(AND(A2654&lt;&gt;A2653,LEFT(A2654,1)&lt;&gt;"C"),1,0)</f>
        <v>0</v>
      </c>
    </row>
    <row r="2655" customFormat="false" ht="15" hidden="false" customHeight="false" outlineLevel="0" collapsed="false">
      <c r="A2655" s="0" t="s">
        <v>2007</v>
      </c>
      <c r="B2655" s="0" t="s">
        <v>2022</v>
      </c>
      <c r="C2655" s="0" t="s">
        <v>2023</v>
      </c>
      <c r="D2655" s="0" t="n">
        <v>10</v>
      </c>
      <c r="E2655" s="6" t="n">
        <v>40827.6194444444</v>
      </c>
      <c r="F2655" s="0" t="n">
        <v>1.25</v>
      </c>
      <c r="G2655" s="0" t="n">
        <v>12536</v>
      </c>
      <c r="H2655" s="0" t="s">
        <v>43</v>
      </c>
      <c r="I2655" s="7" t="n">
        <f aca="false">IF(AND(LEFT(A2655,1)&lt;&gt;"C",D2655&gt;0,F2655&gt;0),1,0)</f>
        <v>1</v>
      </c>
      <c r="J2655" s="7" t="n">
        <f aca="false">IF(I2655=1,D2655*F2655,0)</f>
        <v>12.5</v>
      </c>
      <c r="K2655" s="7" t="n">
        <f aca="false">YEAR(E2655)*100+MONTH(E2655)</f>
        <v>201110</v>
      </c>
      <c r="L2655" s="7" t="n">
        <f aca="false">IF(AND(A2655&lt;&gt;A2654,LEFT(A2655,1)&lt;&gt;"C"),1,0)</f>
        <v>0</v>
      </c>
    </row>
    <row r="2656" customFormat="false" ht="15" hidden="false" customHeight="false" outlineLevel="0" collapsed="false">
      <c r="A2656" s="0" t="s">
        <v>2007</v>
      </c>
      <c r="B2656" s="0" t="s">
        <v>125</v>
      </c>
      <c r="C2656" s="0" t="s">
        <v>126</v>
      </c>
      <c r="D2656" s="0" t="n">
        <v>24</v>
      </c>
      <c r="E2656" s="6" t="n">
        <v>40827.6194444444</v>
      </c>
      <c r="F2656" s="0" t="n">
        <v>1.25</v>
      </c>
      <c r="G2656" s="0" t="n">
        <v>12536</v>
      </c>
      <c r="H2656" s="0" t="s">
        <v>43</v>
      </c>
      <c r="I2656" s="7" t="n">
        <f aca="false">IF(AND(LEFT(A2656,1)&lt;&gt;"C",D2656&gt;0,F2656&gt;0),1,0)</f>
        <v>1</v>
      </c>
      <c r="J2656" s="7" t="n">
        <f aca="false">IF(I2656=1,D2656*F2656,0)</f>
        <v>30</v>
      </c>
      <c r="K2656" s="7" t="n">
        <f aca="false">YEAR(E2656)*100+MONTH(E2656)</f>
        <v>201110</v>
      </c>
      <c r="L2656" s="7" t="n">
        <f aca="false">IF(AND(A2656&lt;&gt;A2655,LEFT(A2656,1)&lt;&gt;"C"),1,0)</f>
        <v>0</v>
      </c>
    </row>
    <row r="2657" customFormat="false" ht="15" hidden="false" customHeight="false" outlineLevel="0" collapsed="false">
      <c r="A2657" s="0" t="s">
        <v>2007</v>
      </c>
      <c r="B2657" s="0" t="s">
        <v>586</v>
      </c>
      <c r="C2657" s="0" t="s">
        <v>587</v>
      </c>
      <c r="D2657" s="0" t="n">
        <v>24</v>
      </c>
      <c r="E2657" s="6" t="n">
        <v>40827.6194444444</v>
      </c>
      <c r="F2657" s="0" t="n">
        <v>1.25</v>
      </c>
      <c r="G2657" s="0" t="n">
        <v>12536</v>
      </c>
      <c r="H2657" s="0" t="s">
        <v>43</v>
      </c>
      <c r="I2657" s="7" t="n">
        <f aca="false">IF(AND(LEFT(A2657,1)&lt;&gt;"C",D2657&gt;0,F2657&gt;0),1,0)</f>
        <v>1</v>
      </c>
      <c r="J2657" s="7" t="n">
        <f aca="false">IF(I2657=1,D2657*F2657,0)</f>
        <v>30</v>
      </c>
      <c r="K2657" s="7" t="n">
        <f aca="false">YEAR(E2657)*100+MONTH(E2657)</f>
        <v>201110</v>
      </c>
      <c r="L2657" s="7" t="n">
        <f aca="false">IF(AND(A2657&lt;&gt;A2656,LEFT(A2657,1)&lt;&gt;"C"),1,0)</f>
        <v>0</v>
      </c>
    </row>
    <row r="2658" customFormat="false" ht="15" hidden="false" customHeight="false" outlineLevel="0" collapsed="false">
      <c r="A2658" s="0" t="s">
        <v>2007</v>
      </c>
      <c r="B2658" s="0" t="s">
        <v>1798</v>
      </c>
      <c r="C2658" s="0" t="s">
        <v>1799</v>
      </c>
      <c r="D2658" s="0" t="n">
        <v>12</v>
      </c>
      <c r="E2658" s="6" t="n">
        <v>40827.6194444444</v>
      </c>
      <c r="F2658" s="0" t="n">
        <v>1.25</v>
      </c>
      <c r="G2658" s="0" t="n">
        <v>12536</v>
      </c>
      <c r="H2658" s="0" t="s">
        <v>43</v>
      </c>
      <c r="I2658" s="7" t="n">
        <f aca="false">IF(AND(LEFT(A2658,1)&lt;&gt;"C",D2658&gt;0,F2658&gt;0),1,0)</f>
        <v>1</v>
      </c>
      <c r="J2658" s="7" t="n">
        <f aca="false">IF(I2658=1,D2658*F2658,0)</f>
        <v>15</v>
      </c>
      <c r="K2658" s="7" t="n">
        <f aca="false">YEAR(E2658)*100+MONTH(E2658)</f>
        <v>201110</v>
      </c>
      <c r="L2658" s="7" t="n">
        <f aca="false">IF(AND(A2658&lt;&gt;A2657,LEFT(A2658,1)&lt;&gt;"C"),1,0)</f>
        <v>0</v>
      </c>
    </row>
    <row r="2659" customFormat="false" ht="15" hidden="false" customHeight="false" outlineLevel="0" collapsed="false">
      <c r="A2659" s="0" t="s">
        <v>2007</v>
      </c>
      <c r="B2659" s="0" t="s">
        <v>2024</v>
      </c>
      <c r="C2659" s="0" t="s">
        <v>2025</v>
      </c>
      <c r="D2659" s="0" t="n">
        <v>8</v>
      </c>
      <c r="E2659" s="6" t="n">
        <v>40827.6194444444</v>
      </c>
      <c r="F2659" s="0" t="n">
        <v>1.69</v>
      </c>
      <c r="G2659" s="0" t="n">
        <v>12536</v>
      </c>
      <c r="H2659" s="0" t="s">
        <v>43</v>
      </c>
      <c r="I2659" s="7" t="n">
        <f aca="false">IF(AND(LEFT(A2659,1)&lt;&gt;"C",D2659&gt;0,F2659&gt;0),1,0)</f>
        <v>1</v>
      </c>
      <c r="J2659" s="7" t="n">
        <f aca="false">IF(I2659=1,D2659*F2659,0)</f>
        <v>13.52</v>
      </c>
      <c r="K2659" s="7" t="n">
        <f aca="false">YEAR(E2659)*100+MONTH(E2659)</f>
        <v>201110</v>
      </c>
      <c r="L2659" s="7" t="n">
        <f aca="false">IF(AND(A2659&lt;&gt;A2658,LEFT(A2659,1)&lt;&gt;"C"),1,0)</f>
        <v>0</v>
      </c>
    </row>
    <row r="2660" customFormat="false" ht="15" hidden="false" customHeight="false" outlineLevel="0" collapsed="false">
      <c r="A2660" s="0" t="s">
        <v>2007</v>
      </c>
      <c r="B2660" s="0" t="s">
        <v>800</v>
      </c>
      <c r="C2660" s="0" t="s">
        <v>801</v>
      </c>
      <c r="D2660" s="0" t="n">
        <v>6</v>
      </c>
      <c r="E2660" s="6" t="n">
        <v>40827.6194444444</v>
      </c>
      <c r="F2660" s="0" t="n">
        <v>2.55</v>
      </c>
      <c r="G2660" s="0" t="n">
        <v>12536</v>
      </c>
      <c r="H2660" s="0" t="s">
        <v>43</v>
      </c>
      <c r="I2660" s="7" t="n">
        <f aca="false">IF(AND(LEFT(A2660,1)&lt;&gt;"C",D2660&gt;0,F2660&gt;0),1,0)</f>
        <v>1</v>
      </c>
      <c r="J2660" s="7" t="n">
        <f aca="false">IF(I2660=1,D2660*F2660,0)</f>
        <v>15.3</v>
      </c>
      <c r="K2660" s="7" t="n">
        <f aca="false">YEAR(E2660)*100+MONTH(E2660)</f>
        <v>201110</v>
      </c>
      <c r="L2660" s="7" t="n">
        <f aca="false">IF(AND(A2660&lt;&gt;A2659,LEFT(A2660,1)&lt;&gt;"C"),1,0)</f>
        <v>0</v>
      </c>
    </row>
    <row r="2661" customFormat="false" ht="15" hidden="false" customHeight="false" outlineLevel="0" collapsed="false">
      <c r="A2661" s="0" t="s">
        <v>2007</v>
      </c>
      <c r="B2661" s="0" t="s">
        <v>1915</v>
      </c>
      <c r="C2661" s="0" t="s">
        <v>1916</v>
      </c>
      <c r="D2661" s="0" t="n">
        <v>6</v>
      </c>
      <c r="E2661" s="6" t="n">
        <v>40827.6194444444</v>
      </c>
      <c r="F2661" s="0" t="n">
        <v>2.95</v>
      </c>
      <c r="G2661" s="0" t="n">
        <v>12536</v>
      </c>
      <c r="H2661" s="0" t="s">
        <v>43</v>
      </c>
      <c r="I2661" s="7" t="n">
        <f aca="false">IF(AND(LEFT(A2661,1)&lt;&gt;"C",D2661&gt;0,F2661&gt;0),1,0)</f>
        <v>1</v>
      </c>
      <c r="J2661" s="7" t="n">
        <f aca="false">IF(I2661=1,D2661*F2661,0)</f>
        <v>17.7</v>
      </c>
      <c r="K2661" s="7" t="n">
        <f aca="false">YEAR(E2661)*100+MONTH(E2661)</f>
        <v>201110</v>
      </c>
      <c r="L2661" s="7" t="n">
        <f aca="false">IF(AND(A2661&lt;&gt;A2660,LEFT(A2661,1)&lt;&gt;"C"),1,0)</f>
        <v>0</v>
      </c>
    </row>
    <row r="2662" customFormat="false" ht="15" hidden="false" customHeight="false" outlineLevel="0" collapsed="false">
      <c r="A2662" s="0" t="s">
        <v>2007</v>
      </c>
      <c r="B2662" s="0" t="s">
        <v>217</v>
      </c>
      <c r="C2662" s="0" t="s">
        <v>218</v>
      </c>
      <c r="D2662" s="0" t="n">
        <v>24</v>
      </c>
      <c r="E2662" s="6" t="n">
        <v>40827.6194444444</v>
      </c>
      <c r="F2662" s="0" t="n">
        <v>0.55</v>
      </c>
      <c r="G2662" s="0" t="n">
        <v>12536</v>
      </c>
      <c r="H2662" s="0" t="s">
        <v>43</v>
      </c>
      <c r="I2662" s="7" t="n">
        <f aca="false">IF(AND(LEFT(A2662,1)&lt;&gt;"C",D2662&gt;0,F2662&gt;0),1,0)</f>
        <v>1</v>
      </c>
      <c r="J2662" s="7" t="n">
        <f aca="false">IF(I2662=1,D2662*F2662,0)</f>
        <v>13.2</v>
      </c>
      <c r="K2662" s="7" t="n">
        <f aca="false">YEAR(E2662)*100+MONTH(E2662)</f>
        <v>201110</v>
      </c>
      <c r="L2662" s="7" t="n">
        <f aca="false">IF(AND(A2662&lt;&gt;A2661,LEFT(A2662,1)&lt;&gt;"C"),1,0)</f>
        <v>0</v>
      </c>
    </row>
    <row r="2663" customFormat="false" ht="15" hidden="false" customHeight="false" outlineLevel="0" collapsed="false">
      <c r="A2663" s="0" t="s">
        <v>2007</v>
      </c>
      <c r="B2663" s="0" t="s">
        <v>1244</v>
      </c>
      <c r="C2663" s="0" t="s">
        <v>1245</v>
      </c>
      <c r="D2663" s="0" t="n">
        <v>6</v>
      </c>
      <c r="E2663" s="6" t="n">
        <v>40827.6194444444</v>
      </c>
      <c r="F2663" s="0" t="n">
        <v>3.75</v>
      </c>
      <c r="G2663" s="0" t="n">
        <v>12536</v>
      </c>
      <c r="H2663" s="0" t="s">
        <v>43</v>
      </c>
      <c r="I2663" s="7" t="n">
        <f aca="false">IF(AND(LEFT(A2663,1)&lt;&gt;"C",D2663&gt;0,F2663&gt;0),1,0)</f>
        <v>1</v>
      </c>
      <c r="J2663" s="7" t="n">
        <f aca="false">IF(I2663=1,D2663*F2663,0)</f>
        <v>22.5</v>
      </c>
      <c r="K2663" s="7" t="n">
        <f aca="false">YEAR(E2663)*100+MONTH(E2663)</f>
        <v>201110</v>
      </c>
      <c r="L2663" s="7" t="n">
        <f aca="false">IF(AND(A2663&lt;&gt;A2662,LEFT(A2663,1)&lt;&gt;"C"),1,0)</f>
        <v>0</v>
      </c>
    </row>
    <row r="2664" customFormat="false" ht="15" hidden="false" customHeight="false" outlineLevel="0" collapsed="false">
      <c r="A2664" s="0" t="s">
        <v>2007</v>
      </c>
      <c r="B2664" s="0" t="s">
        <v>2026</v>
      </c>
      <c r="C2664" s="0" t="s">
        <v>2027</v>
      </c>
      <c r="D2664" s="0" t="n">
        <v>10</v>
      </c>
      <c r="E2664" s="6" t="n">
        <v>40827.6194444444</v>
      </c>
      <c r="F2664" s="0" t="n">
        <v>1.25</v>
      </c>
      <c r="G2664" s="0" t="n">
        <v>12536</v>
      </c>
      <c r="H2664" s="0" t="s">
        <v>43</v>
      </c>
      <c r="I2664" s="7" t="n">
        <f aca="false">IF(AND(LEFT(A2664,1)&lt;&gt;"C",D2664&gt;0,F2664&gt;0),1,0)</f>
        <v>1</v>
      </c>
      <c r="J2664" s="7" t="n">
        <f aca="false">IF(I2664=1,D2664*F2664,0)</f>
        <v>12.5</v>
      </c>
      <c r="K2664" s="7" t="n">
        <f aca="false">YEAR(E2664)*100+MONTH(E2664)</f>
        <v>201110</v>
      </c>
      <c r="L2664" s="7" t="n">
        <f aca="false">IF(AND(A2664&lt;&gt;A2663,LEFT(A2664,1)&lt;&gt;"C"),1,0)</f>
        <v>0</v>
      </c>
    </row>
    <row r="2665" customFormat="false" ht="15" hidden="false" customHeight="false" outlineLevel="0" collapsed="false">
      <c r="A2665" s="0" t="s">
        <v>2007</v>
      </c>
      <c r="B2665" s="0" t="s">
        <v>2028</v>
      </c>
      <c r="C2665" s="0" t="s">
        <v>2029</v>
      </c>
      <c r="D2665" s="0" t="n">
        <v>10</v>
      </c>
      <c r="E2665" s="6" t="n">
        <v>40827.6194444444</v>
      </c>
      <c r="F2665" s="0" t="n">
        <v>1.25</v>
      </c>
      <c r="G2665" s="0" t="n">
        <v>12536</v>
      </c>
      <c r="H2665" s="0" t="s">
        <v>43</v>
      </c>
      <c r="I2665" s="7" t="n">
        <f aca="false">IF(AND(LEFT(A2665,1)&lt;&gt;"C",D2665&gt;0,F2665&gt;0),1,0)</f>
        <v>1</v>
      </c>
      <c r="J2665" s="7" t="n">
        <f aca="false">IF(I2665=1,D2665*F2665,0)</f>
        <v>12.5</v>
      </c>
      <c r="K2665" s="7" t="n">
        <f aca="false">YEAR(E2665)*100+MONTH(E2665)</f>
        <v>201110</v>
      </c>
      <c r="L2665" s="7" t="n">
        <f aca="false">IF(AND(A2665&lt;&gt;A2664,LEFT(A2665,1)&lt;&gt;"C"),1,0)</f>
        <v>0</v>
      </c>
    </row>
    <row r="2666" customFormat="false" ht="15" hidden="false" customHeight="false" outlineLevel="0" collapsed="false">
      <c r="A2666" s="0" t="s">
        <v>2007</v>
      </c>
      <c r="B2666" s="0" t="s">
        <v>144</v>
      </c>
      <c r="C2666" s="0" t="s">
        <v>145</v>
      </c>
      <c r="D2666" s="0" t="n">
        <v>24</v>
      </c>
      <c r="E2666" s="6" t="n">
        <v>40827.6194444444</v>
      </c>
      <c r="F2666" s="0" t="n">
        <v>1.25</v>
      </c>
      <c r="G2666" s="0" t="n">
        <v>12536</v>
      </c>
      <c r="H2666" s="0" t="s">
        <v>43</v>
      </c>
      <c r="I2666" s="7" t="n">
        <f aca="false">IF(AND(LEFT(A2666,1)&lt;&gt;"C",D2666&gt;0,F2666&gt;0),1,0)</f>
        <v>1</v>
      </c>
      <c r="J2666" s="7" t="n">
        <f aca="false">IF(I2666=1,D2666*F2666,0)</f>
        <v>30</v>
      </c>
      <c r="K2666" s="7" t="n">
        <f aca="false">YEAR(E2666)*100+MONTH(E2666)</f>
        <v>201110</v>
      </c>
      <c r="L2666" s="7" t="n">
        <f aca="false">IF(AND(A2666&lt;&gt;A2665,LEFT(A2666,1)&lt;&gt;"C"),1,0)</f>
        <v>0</v>
      </c>
    </row>
    <row r="2667" customFormat="false" ht="15" hidden="false" customHeight="false" outlineLevel="0" collapsed="false">
      <c r="A2667" s="0" t="s">
        <v>2007</v>
      </c>
      <c r="B2667" s="0" t="s">
        <v>750</v>
      </c>
      <c r="C2667" s="0" t="s">
        <v>751</v>
      </c>
      <c r="D2667" s="0" t="n">
        <v>8</v>
      </c>
      <c r="E2667" s="6" t="n">
        <v>40827.6194444444</v>
      </c>
      <c r="F2667" s="0" t="n">
        <v>1.69</v>
      </c>
      <c r="G2667" s="0" t="n">
        <v>12536</v>
      </c>
      <c r="H2667" s="0" t="s">
        <v>43</v>
      </c>
      <c r="I2667" s="7" t="n">
        <f aca="false">IF(AND(LEFT(A2667,1)&lt;&gt;"C",D2667&gt;0,F2667&gt;0),1,0)</f>
        <v>1</v>
      </c>
      <c r="J2667" s="7" t="n">
        <f aca="false">IF(I2667=1,D2667*F2667,0)</f>
        <v>13.52</v>
      </c>
      <c r="K2667" s="7" t="n">
        <f aca="false">YEAR(E2667)*100+MONTH(E2667)</f>
        <v>201110</v>
      </c>
      <c r="L2667" s="7" t="n">
        <f aca="false">IF(AND(A2667&lt;&gt;A2666,LEFT(A2667,1)&lt;&gt;"C"),1,0)</f>
        <v>0</v>
      </c>
    </row>
    <row r="2668" customFormat="false" ht="15" hidden="false" customHeight="false" outlineLevel="0" collapsed="false">
      <c r="A2668" s="0" t="s">
        <v>2007</v>
      </c>
      <c r="B2668" s="0" t="s">
        <v>1837</v>
      </c>
      <c r="C2668" s="0" t="s">
        <v>1838</v>
      </c>
      <c r="D2668" s="0" t="n">
        <v>8</v>
      </c>
      <c r="E2668" s="6" t="n">
        <v>40827.6194444444</v>
      </c>
      <c r="F2668" s="0" t="n">
        <v>1.69</v>
      </c>
      <c r="G2668" s="0" t="n">
        <v>12536</v>
      </c>
      <c r="H2668" s="0" t="s">
        <v>43</v>
      </c>
      <c r="I2668" s="7" t="n">
        <f aca="false">IF(AND(LEFT(A2668,1)&lt;&gt;"C",D2668&gt;0,F2668&gt;0),1,0)</f>
        <v>1</v>
      </c>
      <c r="J2668" s="7" t="n">
        <f aca="false">IF(I2668=1,D2668*F2668,0)</f>
        <v>13.52</v>
      </c>
      <c r="K2668" s="7" t="n">
        <f aca="false">YEAR(E2668)*100+MONTH(E2668)</f>
        <v>201110</v>
      </c>
      <c r="L2668" s="7" t="n">
        <f aca="false">IF(AND(A2668&lt;&gt;A2667,LEFT(A2668,1)&lt;&gt;"C"),1,0)</f>
        <v>0</v>
      </c>
    </row>
    <row r="2669" customFormat="false" ht="15" hidden="false" customHeight="false" outlineLevel="0" collapsed="false">
      <c r="A2669" s="0" t="s">
        <v>2007</v>
      </c>
      <c r="B2669" s="0" t="s">
        <v>614</v>
      </c>
      <c r="C2669" s="0" t="s">
        <v>615</v>
      </c>
      <c r="D2669" s="0" t="n">
        <v>12</v>
      </c>
      <c r="E2669" s="6" t="n">
        <v>40827.6194444444</v>
      </c>
      <c r="F2669" s="0" t="n">
        <v>1.25</v>
      </c>
      <c r="G2669" s="0" t="n">
        <v>12536</v>
      </c>
      <c r="H2669" s="0" t="s">
        <v>43</v>
      </c>
      <c r="I2669" s="7" t="n">
        <f aca="false">IF(AND(LEFT(A2669,1)&lt;&gt;"C",D2669&gt;0,F2669&gt;0),1,0)</f>
        <v>1</v>
      </c>
      <c r="J2669" s="7" t="n">
        <f aca="false">IF(I2669=1,D2669*F2669,0)</f>
        <v>15</v>
      </c>
      <c r="K2669" s="7" t="n">
        <f aca="false">YEAR(E2669)*100+MONTH(E2669)</f>
        <v>201110</v>
      </c>
      <c r="L2669" s="7" t="n">
        <f aca="false">IF(AND(A2669&lt;&gt;A2668,LEFT(A2669,1)&lt;&gt;"C"),1,0)</f>
        <v>0</v>
      </c>
    </row>
    <row r="2670" customFormat="false" ht="15" hidden="false" customHeight="false" outlineLevel="0" collapsed="false">
      <c r="A2670" s="0" t="s">
        <v>2007</v>
      </c>
      <c r="B2670" s="0" t="s">
        <v>2030</v>
      </c>
      <c r="C2670" s="0" t="s">
        <v>2031</v>
      </c>
      <c r="D2670" s="0" t="n">
        <v>12</v>
      </c>
      <c r="E2670" s="6" t="n">
        <v>40827.6194444444</v>
      </c>
      <c r="F2670" s="0" t="n">
        <v>1.25</v>
      </c>
      <c r="G2670" s="0" t="n">
        <v>12536</v>
      </c>
      <c r="H2670" s="0" t="s">
        <v>43</v>
      </c>
      <c r="I2670" s="7" t="n">
        <f aca="false">IF(AND(LEFT(A2670,1)&lt;&gt;"C",D2670&gt;0,F2670&gt;0),1,0)</f>
        <v>1</v>
      </c>
      <c r="J2670" s="7" t="n">
        <f aca="false">IF(I2670=1,D2670*F2670,0)</f>
        <v>15</v>
      </c>
      <c r="K2670" s="7" t="n">
        <f aca="false">YEAR(E2670)*100+MONTH(E2670)</f>
        <v>201110</v>
      </c>
      <c r="L2670" s="7" t="n">
        <f aca="false">IF(AND(A2670&lt;&gt;A2669,LEFT(A2670,1)&lt;&gt;"C"),1,0)</f>
        <v>0</v>
      </c>
    </row>
    <row r="2671" customFormat="false" ht="15" hidden="false" customHeight="false" outlineLevel="0" collapsed="false">
      <c r="A2671" s="0" t="s">
        <v>2007</v>
      </c>
      <c r="B2671" s="0" t="s">
        <v>571</v>
      </c>
      <c r="C2671" s="0" t="s">
        <v>572</v>
      </c>
      <c r="D2671" s="0" t="n">
        <v>6</v>
      </c>
      <c r="E2671" s="6" t="n">
        <v>40827.6194444444</v>
      </c>
      <c r="F2671" s="0" t="n">
        <v>2.95</v>
      </c>
      <c r="G2671" s="0" t="n">
        <v>12536</v>
      </c>
      <c r="H2671" s="0" t="s">
        <v>43</v>
      </c>
      <c r="I2671" s="7" t="n">
        <f aca="false">IF(AND(LEFT(A2671,1)&lt;&gt;"C",D2671&gt;0,F2671&gt;0),1,0)</f>
        <v>1</v>
      </c>
      <c r="J2671" s="7" t="n">
        <f aca="false">IF(I2671=1,D2671*F2671,0)</f>
        <v>17.7</v>
      </c>
      <c r="K2671" s="7" t="n">
        <f aca="false">YEAR(E2671)*100+MONTH(E2671)</f>
        <v>201110</v>
      </c>
      <c r="L2671" s="7" t="n">
        <f aca="false">IF(AND(A2671&lt;&gt;A2670,LEFT(A2671,1)&lt;&gt;"C"),1,0)</f>
        <v>0</v>
      </c>
    </row>
    <row r="2672" customFormat="false" ht="15" hidden="false" customHeight="false" outlineLevel="0" collapsed="false">
      <c r="A2672" s="0" t="s">
        <v>2007</v>
      </c>
      <c r="B2672" s="0" t="s">
        <v>2032</v>
      </c>
      <c r="C2672" s="0" t="s">
        <v>2033</v>
      </c>
      <c r="D2672" s="0" t="n">
        <v>4</v>
      </c>
      <c r="E2672" s="6" t="n">
        <v>40827.6194444444</v>
      </c>
      <c r="F2672" s="0" t="n">
        <v>4.25</v>
      </c>
      <c r="G2672" s="0" t="n">
        <v>12536</v>
      </c>
      <c r="H2672" s="0" t="s">
        <v>43</v>
      </c>
      <c r="I2672" s="7" t="n">
        <f aca="false">IF(AND(LEFT(A2672,1)&lt;&gt;"C",D2672&gt;0,F2672&gt;0),1,0)</f>
        <v>1</v>
      </c>
      <c r="J2672" s="7" t="n">
        <f aca="false">IF(I2672=1,D2672*F2672,0)</f>
        <v>17</v>
      </c>
      <c r="K2672" s="7" t="n">
        <f aca="false">YEAR(E2672)*100+MONTH(E2672)</f>
        <v>201110</v>
      </c>
      <c r="L2672" s="7" t="n">
        <f aca="false">IF(AND(A2672&lt;&gt;A2671,LEFT(A2672,1)&lt;&gt;"C"),1,0)</f>
        <v>0</v>
      </c>
    </row>
    <row r="2673" customFormat="false" ht="15" hidden="false" customHeight="false" outlineLevel="0" collapsed="false">
      <c r="A2673" s="0" t="s">
        <v>2007</v>
      </c>
      <c r="B2673" s="0" t="s">
        <v>1827</v>
      </c>
      <c r="C2673" s="0" t="s">
        <v>1828</v>
      </c>
      <c r="D2673" s="0" t="n">
        <v>4</v>
      </c>
      <c r="E2673" s="6" t="n">
        <v>40827.6194444444</v>
      </c>
      <c r="F2673" s="0" t="n">
        <v>3.75</v>
      </c>
      <c r="G2673" s="0" t="n">
        <v>12536</v>
      </c>
      <c r="H2673" s="0" t="s">
        <v>43</v>
      </c>
      <c r="I2673" s="7" t="n">
        <f aca="false">IF(AND(LEFT(A2673,1)&lt;&gt;"C",D2673&gt;0,F2673&gt;0),1,0)</f>
        <v>1</v>
      </c>
      <c r="J2673" s="7" t="n">
        <f aca="false">IF(I2673=1,D2673*F2673,0)</f>
        <v>15</v>
      </c>
      <c r="K2673" s="7" t="n">
        <f aca="false">YEAR(E2673)*100+MONTH(E2673)</f>
        <v>201110</v>
      </c>
      <c r="L2673" s="7" t="n">
        <f aca="false">IF(AND(A2673&lt;&gt;A2672,LEFT(A2673,1)&lt;&gt;"C"),1,0)</f>
        <v>0</v>
      </c>
    </row>
    <row r="2674" customFormat="false" ht="15" hidden="false" customHeight="false" outlineLevel="0" collapsed="false">
      <c r="A2674" s="0" t="s">
        <v>2007</v>
      </c>
      <c r="B2674" s="0" t="s">
        <v>2034</v>
      </c>
      <c r="C2674" s="0" t="s">
        <v>2035</v>
      </c>
      <c r="D2674" s="0" t="n">
        <v>12</v>
      </c>
      <c r="E2674" s="6" t="n">
        <v>40827.6194444444</v>
      </c>
      <c r="F2674" s="0" t="n">
        <v>1.25</v>
      </c>
      <c r="G2674" s="0" t="n">
        <v>12536</v>
      </c>
      <c r="H2674" s="0" t="s">
        <v>43</v>
      </c>
      <c r="I2674" s="7" t="n">
        <f aca="false">IF(AND(LEFT(A2674,1)&lt;&gt;"C",D2674&gt;0,F2674&gt;0),1,0)</f>
        <v>1</v>
      </c>
      <c r="J2674" s="7" t="n">
        <f aca="false">IF(I2674=1,D2674*F2674,0)</f>
        <v>15</v>
      </c>
      <c r="K2674" s="7" t="n">
        <f aca="false">YEAR(E2674)*100+MONTH(E2674)</f>
        <v>201110</v>
      </c>
      <c r="L2674" s="7" t="n">
        <f aca="false">IF(AND(A2674&lt;&gt;A2673,LEFT(A2674,1)&lt;&gt;"C"),1,0)</f>
        <v>0</v>
      </c>
    </row>
    <row r="2675" customFormat="false" ht="15" hidden="false" customHeight="false" outlineLevel="0" collapsed="false">
      <c r="A2675" s="0" t="s">
        <v>2007</v>
      </c>
      <c r="B2675" s="0" t="s">
        <v>1019</v>
      </c>
      <c r="C2675" s="0" t="s">
        <v>1020</v>
      </c>
      <c r="D2675" s="0" t="n">
        <v>2</v>
      </c>
      <c r="E2675" s="6" t="n">
        <v>40827.6194444444</v>
      </c>
      <c r="F2675" s="0" t="n">
        <v>8.25</v>
      </c>
      <c r="G2675" s="0" t="n">
        <v>12536</v>
      </c>
      <c r="H2675" s="0" t="s">
        <v>43</v>
      </c>
      <c r="I2675" s="7" t="n">
        <f aca="false">IF(AND(LEFT(A2675,1)&lt;&gt;"C",D2675&gt;0,F2675&gt;0),1,0)</f>
        <v>1</v>
      </c>
      <c r="J2675" s="7" t="n">
        <f aca="false">IF(I2675=1,D2675*F2675,0)</f>
        <v>16.5</v>
      </c>
      <c r="K2675" s="7" t="n">
        <f aca="false">YEAR(E2675)*100+MONTH(E2675)</f>
        <v>201110</v>
      </c>
      <c r="L2675" s="7" t="n">
        <f aca="false">IF(AND(A2675&lt;&gt;A2674,LEFT(A2675,1)&lt;&gt;"C"),1,0)</f>
        <v>0</v>
      </c>
    </row>
    <row r="2676" customFormat="false" ht="15" hidden="false" customHeight="false" outlineLevel="0" collapsed="false">
      <c r="A2676" s="0" t="s">
        <v>2007</v>
      </c>
      <c r="B2676" s="0" t="s">
        <v>1104</v>
      </c>
      <c r="C2676" s="0" t="s">
        <v>1105</v>
      </c>
      <c r="D2676" s="0" t="n">
        <v>6</v>
      </c>
      <c r="E2676" s="6" t="n">
        <v>40827.6194444444</v>
      </c>
      <c r="F2676" s="0" t="n">
        <v>2.55</v>
      </c>
      <c r="G2676" s="0" t="n">
        <v>12536</v>
      </c>
      <c r="H2676" s="0" t="s">
        <v>43</v>
      </c>
      <c r="I2676" s="7" t="n">
        <f aca="false">IF(AND(LEFT(A2676,1)&lt;&gt;"C",D2676&gt;0,F2676&gt;0),1,0)</f>
        <v>1</v>
      </c>
      <c r="J2676" s="7" t="n">
        <f aca="false">IF(I2676=1,D2676*F2676,0)</f>
        <v>15.3</v>
      </c>
      <c r="K2676" s="7" t="n">
        <f aca="false">YEAR(E2676)*100+MONTH(E2676)</f>
        <v>201110</v>
      </c>
      <c r="L2676" s="7" t="n">
        <f aca="false">IF(AND(A2676&lt;&gt;A2675,LEFT(A2676,1)&lt;&gt;"C"),1,0)</f>
        <v>0</v>
      </c>
    </row>
    <row r="2677" customFormat="false" ht="15" hidden="false" customHeight="false" outlineLevel="0" collapsed="false">
      <c r="A2677" s="0" t="s">
        <v>2007</v>
      </c>
      <c r="B2677" s="0" t="s">
        <v>1206</v>
      </c>
      <c r="C2677" s="0" t="s">
        <v>1207</v>
      </c>
      <c r="D2677" s="0" t="n">
        <v>3</v>
      </c>
      <c r="E2677" s="6" t="n">
        <v>40827.6194444444</v>
      </c>
      <c r="F2677" s="0" t="n">
        <v>4.95</v>
      </c>
      <c r="G2677" s="0" t="n">
        <v>12536</v>
      </c>
      <c r="H2677" s="0" t="s">
        <v>43</v>
      </c>
      <c r="I2677" s="7" t="n">
        <f aca="false">IF(AND(LEFT(A2677,1)&lt;&gt;"C",D2677&gt;0,F2677&gt;0),1,0)</f>
        <v>1</v>
      </c>
      <c r="J2677" s="7" t="n">
        <f aca="false">IF(I2677=1,D2677*F2677,0)</f>
        <v>14.85</v>
      </c>
      <c r="K2677" s="7" t="n">
        <f aca="false">YEAR(E2677)*100+MONTH(E2677)</f>
        <v>201110</v>
      </c>
      <c r="L2677" s="7" t="n">
        <f aca="false">IF(AND(A2677&lt;&gt;A2676,LEFT(A2677,1)&lt;&gt;"C"),1,0)</f>
        <v>0</v>
      </c>
    </row>
    <row r="2678" customFormat="false" ht="15" hidden="false" customHeight="false" outlineLevel="0" collapsed="false">
      <c r="A2678" s="0" t="s">
        <v>2007</v>
      </c>
      <c r="B2678" s="0" t="s">
        <v>1102</v>
      </c>
      <c r="C2678" s="0" t="s">
        <v>1103</v>
      </c>
      <c r="D2678" s="0" t="n">
        <v>6</v>
      </c>
      <c r="E2678" s="6" t="n">
        <v>40827.6194444444</v>
      </c>
      <c r="F2678" s="0" t="n">
        <v>2.55</v>
      </c>
      <c r="G2678" s="0" t="n">
        <v>12536</v>
      </c>
      <c r="H2678" s="0" t="s">
        <v>43</v>
      </c>
      <c r="I2678" s="7" t="n">
        <f aca="false">IF(AND(LEFT(A2678,1)&lt;&gt;"C",D2678&gt;0,F2678&gt;0),1,0)</f>
        <v>1</v>
      </c>
      <c r="J2678" s="7" t="n">
        <f aca="false">IF(I2678=1,D2678*F2678,0)</f>
        <v>15.3</v>
      </c>
      <c r="K2678" s="7" t="n">
        <f aca="false">YEAR(E2678)*100+MONTH(E2678)</f>
        <v>201110</v>
      </c>
      <c r="L2678" s="7" t="n">
        <f aca="false">IF(AND(A2678&lt;&gt;A2677,LEFT(A2678,1)&lt;&gt;"C"),1,0)</f>
        <v>0</v>
      </c>
    </row>
    <row r="2679" customFormat="false" ht="15" hidden="false" customHeight="false" outlineLevel="0" collapsed="false">
      <c r="A2679" s="0" t="s">
        <v>2007</v>
      </c>
      <c r="B2679" s="0" t="s">
        <v>1922</v>
      </c>
      <c r="C2679" s="0" t="s">
        <v>1923</v>
      </c>
      <c r="D2679" s="0" t="n">
        <v>6</v>
      </c>
      <c r="E2679" s="6" t="n">
        <v>40827.6194444444</v>
      </c>
      <c r="F2679" s="0" t="n">
        <v>2.55</v>
      </c>
      <c r="G2679" s="0" t="n">
        <v>12536</v>
      </c>
      <c r="H2679" s="0" t="s">
        <v>43</v>
      </c>
      <c r="I2679" s="7" t="n">
        <f aca="false">IF(AND(LEFT(A2679,1)&lt;&gt;"C",D2679&gt;0,F2679&gt;0),1,0)</f>
        <v>1</v>
      </c>
      <c r="J2679" s="7" t="n">
        <f aca="false">IF(I2679=1,D2679*F2679,0)</f>
        <v>15.3</v>
      </c>
      <c r="K2679" s="7" t="n">
        <f aca="false">YEAR(E2679)*100+MONTH(E2679)</f>
        <v>201110</v>
      </c>
      <c r="L2679" s="7" t="n">
        <f aca="false">IF(AND(A2679&lt;&gt;A2678,LEFT(A2679,1)&lt;&gt;"C"),1,0)</f>
        <v>0</v>
      </c>
    </row>
    <row r="2680" customFormat="false" ht="15" hidden="false" customHeight="false" outlineLevel="0" collapsed="false">
      <c r="A2680" s="0" t="s">
        <v>2007</v>
      </c>
      <c r="B2680" s="0" t="s">
        <v>2036</v>
      </c>
      <c r="C2680" s="0" t="s">
        <v>2037</v>
      </c>
      <c r="D2680" s="0" t="n">
        <v>6</v>
      </c>
      <c r="E2680" s="6" t="n">
        <v>40827.6194444444</v>
      </c>
      <c r="F2680" s="0" t="n">
        <v>2.25</v>
      </c>
      <c r="G2680" s="0" t="n">
        <v>12536</v>
      </c>
      <c r="H2680" s="0" t="s">
        <v>43</v>
      </c>
      <c r="I2680" s="7" t="n">
        <f aca="false">IF(AND(LEFT(A2680,1)&lt;&gt;"C",D2680&gt;0,F2680&gt;0),1,0)</f>
        <v>1</v>
      </c>
      <c r="J2680" s="7" t="n">
        <f aca="false">IF(I2680=1,D2680*F2680,0)</f>
        <v>13.5</v>
      </c>
      <c r="K2680" s="7" t="n">
        <f aca="false">YEAR(E2680)*100+MONTH(E2680)</f>
        <v>201110</v>
      </c>
      <c r="L2680" s="7" t="n">
        <f aca="false">IF(AND(A2680&lt;&gt;A2679,LEFT(A2680,1)&lt;&gt;"C"),1,0)</f>
        <v>0</v>
      </c>
    </row>
    <row r="2681" customFormat="false" ht="15" hidden="false" customHeight="false" outlineLevel="0" collapsed="false">
      <c r="A2681" s="0" t="s">
        <v>2007</v>
      </c>
      <c r="B2681" s="0" t="s">
        <v>363</v>
      </c>
      <c r="C2681" s="0" t="s">
        <v>364</v>
      </c>
      <c r="D2681" s="0" t="n">
        <v>6</v>
      </c>
      <c r="E2681" s="6" t="n">
        <v>40827.6194444444</v>
      </c>
      <c r="F2681" s="0" t="n">
        <v>2.25</v>
      </c>
      <c r="G2681" s="0" t="n">
        <v>12536</v>
      </c>
      <c r="H2681" s="0" t="s">
        <v>43</v>
      </c>
      <c r="I2681" s="7" t="n">
        <f aca="false">IF(AND(LEFT(A2681,1)&lt;&gt;"C",D2681&gt;0,F2681&gt;0),1,0)</f>
        <v>1</v>
      </c>
      <c r="J2681" s="7" t="n">
        <f aca="false">IF(I2681=1,D2681*F2681,0)</f>
        <v>13.5</v>
      </c>
      <c r="K2681" s="7" t="n">
        <f aca="false">YEAR(E2681)*100+MONTH(E2681)</f>
        <v>201110</v>
      </c>
      <c r="L2681" s="7" t="n">
        <f aca="false">IF(AND(A2681&lt;&gt;A2680,LEFT(A2681,1)&lt;&gt;"C"),1,0)</f>
        <v>0</v>
      </c>
    </row>
    <row r="2682" customFormat="false" ht="15" hidden="false" customHeight="false" outlineLevel="0" collapsed="false">
      <c r="A2682" s="0" t="s">
        <v>2007</v>
      </c>
      <c r="B2682" s="0" t="s">
        <v>2038</v>
      </c>
      <c r="C2682" s="0" t="s">
        <v>2039</v>
      </c>
      <c r="D2682" s="0" t="n">
        <v>24</v>
      </c>
      <c r="E2682" s="6" t="n">
        <v>40827.6194444444</v>
      </c>
      <c r="F2682" s="0" t="n">
        <v>1.25</v>
      </c>
      <c r="G2682" s="0" t="n">
        <v>12536</v>
      </c>
      <c r="H2682" s="0" t="s">
        <v>43</v>
      </c>
      <c r="I2682" s="7" t="n">
        <f aca="false">IF(AND(LEFT(A2682,1)&lt;&gt;"C",D2682&gt;0,F2682&gt;0),1,0)</f>
        <v>1</v>
      </c>
      <c r="J2682" s="7" t="n">
        <f aca="false">IF(I2682=1,D2682*F2682,0)</f>
        <v>30</v>
      </c>
      <c r="K2682" s="7" t="n">
        <f aca="false">YEAR(E2682)*100+MONTH(E2682)</f>
        <v>201110</v>
      </c>
      <c r="L2682" s="7" t="n">
        <f aca="false">IF(AND(A2682&lt;&gt;A2681,LEFT(A2682,1)&lt;&gt;"C"),1,0)</f>
        <v>0</v>
      </c>
    </row>
    <row r="2683" customFormat="false" ht="15" hidden="false" customHeight="false" outlineLevel="0" collapsed="false">
      <c r="A2683" s="0" t="s">
        <v>2007</v>
      </c>
      <c r="B2683" s="0" t="s">
        <v>2040</v>
      </c>
      <c r="C2683" s="0" t="s">
        <v>2041</v>
      </c>
      <c r="D2683" s="0" t="n">
        <v>24</v>
      </c>
      <c r="E2683" s="6" t="n">
        <v>40827.6194444444</v>
      </c>
      <c r="F2683" s="0" t="n">
        <v>1.25</v>
      </c>
      <c r="G2683" s="0" t="n">
        <v>12536</v>
      </c>
      <c r="H2683" s="0" t="s">
        <v>43</v>
      </c>
      <c r="I2683" s="7" t="n">
        <f aca="false">IF(AND(LEFT(A2683,1)&lt;&gt;"C",D2683&gt;0,F2683&gt;0),1,0)</f>
        <v>1</v>
      </c>
      <c r="J2683" s="7" t="n">
        <f aca="false">IF(I2683=1,D2683*F2683,0)</f>
        <v>30</v>
      </c>
      <c r="K2683" s="7" t="n">
        <f aca="false">YEAR(E2683)*100+MONTH(E2683)</f>
        <v>201110</v>
      </c>
      <c r="L2683" s="7" t="n">
        <f aca="false">IF(AND(A2683&lt;&gt;A2682,LEFT(A2683,1)&lt;&gt;"C"),1,0)</f>
        <v>0</v>
      </c>
    </row>
    <row r="2684" customFormat="false" ht="15" hidden="false" customHeight="false" outlineLevel="0" collapsed="false">
      <c r="A2684" s="0" t="s">
        <v>2007</v>
      </c>
      <c r="B2684" s="0" t="s">
        <v>1116</v>
      </c>
      <c r="C2684" s="0" t="s">
        <v>1117</v>
      </c>
      <c r="D2684" s="0" t="n">
        <v>12</v>
      </c>
      <c r="E2684" s="6" t="n">
        <v>40827.6194444444</v>
      </c>
      <c r="F2684" s="0" t="n">
        <v>0.42</v>
      </c>
      <c r="G2684" s="0" t="n">
        <v>12536</v>
      </c>
      <c r="H2684" s="0" t="s">
        <v>43</v>
      </c>
      <c r="I2684" s="7" t="n">
        <f aca="false">IF(AND(LEFT(A2684,1)&lt;&gt;"C",D2684&gt;0,F2684&gt;0),1,0)</f>
        <v>1</v>
      </c>
      <c r="J2684" s="7" t="n">
        <f aca="false">IF(I2684=1,D2684*F2684,0)</f>
        <v>5.04</v>
      </c>
      <c r="K2684" s="7" t="n">
        <f aca="false">YEAR(E2684)*100+MONTH(E2684)</f>
        <v>201110</v>
      </c>
      <c r="L2684" s="7" t="n">
        <f aca="false">IF(AND(A2684&lt;&gt;A2683,LEFT(A2684,1)&lt;&gt;"C"),1,0)</f>
        <v>0</v>
      </c>
    </row>
    <row r="2685" customFormat="false" ht="15" hidden="false" customHeight="false" outlineLevel="0" collapsed="false">
      <c r="A2685" s="0" t="s">
        <v>2007</v>
      </c>
      <c r="B2685" s="0" t="s">
        <v>2042</v>
      </c>
      <c r="C2685" s="0" t="s">
        <v>2043</v>
      </c>
      <c r="D2685" s="0" t="n">
        <v>12</v>
      </c>
      <c r="E2685" s="6" t="n">
        <v>40827.6194444444</v>
      </c>
      <c r="F2685" s="0" t="n">
        <v>0.85</v>
      </c>
      <c r="G2685" s="0" t="n">
        <v>12536</v>
      </c>
      <c r="H2685" s="0" t="s">
        <v>43</v>
      </c>
      <c r="I2685" s="7" t="n">
        <f aca="false">IF(AND(LEFT(A2685,1)&lt;&gt;"C",D2685&gt;0,F2685&gt;0),1,0)</f>
        <v>1</v>
      </c>
      <c r="J2685" s="7" t="n">
        <f aca="false">IF(I2685=1,D2685*F2685,0)</f>
        <v>10.2</v>
      </c>
      <c r="K2685" s="7" t="n">
        <f aca="false">YEAR(E2685)*100+MONTH(E2685)</f>
        <v>201110</v>
      </c>
      <c r="L2685" s="7" t="n">
        <f aca="false">IF(AND(A2685&lt;&gt;A2684,LEFT(A2685,1)&lt;&gt;"C"),1,0)</f>
        <v>0</v>
      </c>
    </row>
    <row r="2686" customFormat="false" ht="15" hidden="false" customHeight="false" outlineLevel="0" collapsed="false">
      <c r="A2686" s="0" t="s">
        <v>2007</v>
      </c>
      <c r="B2686" s="0" t="s">
        <v>257</v>
      </c>
      <c r="C2686" s="0" t="s">
        <v>258</v>
      </c>
      <c r="D2686" s="0" t="n">
        <v>8</v>
      </c>
      <c r="E2686" s="6" t="n">
        <v>40827.6194444444</v>
      </c>
      <c r="F2686" s="0" t="n">
        <v>2.55</v>
      </c>
      <c r="G2686" s="0" t="n">
        <v>12536</v>
      </c>
      <c r="H2686" s="0" t="s">
        <v>43</v>
      </c>
      <c r="I2686" s="7" t="n">
        <f aca="false">IF(AND(LEFT(A2686,1)&lt;&gt;"C",D2686&gt;0,F2686&gt;0),1,0)</f>
        <v>1</v>
      </c>
      <c r="J2686" s="7" t="n">
        <f aca="false">IF(I2686=1,D2686*F2686,0)</f>
        <v>20.4</v>
      </c>
      <c r="K2686" s="7" t="n">
        <f aca="false">YEAR(E2686)*100+MONTH(E2686)</f>
        <v>201110</v>
      </c>
      <c r="L2686" s="7" t="n">
        <f aca="false">IF(AND(A2686&lt;&gt;A2685,LEFT(A2686,1)&lt;&gt;"C"),1,0)</f>
        <v>0</v>
      </c>
    </row>
    <row r="2687" customFormat="false" ht="15" hidden="false" customHeight="false" outlineLevel="0" collapsed="false">
      <c r="A2687" s="0" t="s">
        <v>2007</v>
      </c>
      <c r="B2687" s="0" t="s">
        <v>2044</v>
      </c>
      <c r="C2687" s="0" t="s">
        <v>2045</v>
      </c>
      <c r="D2687" s="0" t="n">
        <v>2</v>
      </c>
      <c r="E2687" s="6" t="n">
        <v>40827.6194444444</v>
      </c>
      <c r="F2687" s="0" t="n">
        <v>4.95</v>
      </c>
      <c r="G2687" s="0" t="n">
        <v>12536</v>
      </c>
      <c r="H2687" s="0" t="s">
        <v>43</v>
      </c>
      <c r="I2687" s="7" t="n">
        <f aca="false">IF(AND(LEFT(A2687,1)&lt;&gt;"C",D2687&gt;0,F2687&gt;0),1,0)</f>
        <v>1</v>
      </c>
      <c r="J2687" s="7" t="n">
        <f aca="false">IF(I2687=1,D2687*F2687,0)</f>
        <v>9.9</v>
      </c>
      <c r="K2687" s="7" t="n">
        <f aca="false">YEAR(E2687)*100+MONTH(E2687)</f>
        <v>201110</v>
      </c>
      <c r="L2687" s="7" t="n">
        <f aca="false">IF(AND(A2687&lt;&gt;A2686,LEFT(A2687,1)&lt;&gt;"C"),1,0)</f>
        <v>0</v>
      </c>
    </row>
    <row r="2688" customFormat="false" ht="15" hidden="false" customHeight="false" outlineLevel="0" collapsed="false">
      <c r="A2688" s="0" t="s">
        <v>2007</v>
      </c>
      <c r="B2688" s="0" t="s">
        <v>1845</v>
      </c>
      <c r="C2688" s="0" t="s">
        <v>1846</v>
      </c>
      <c r="D2688" s="0" t="n">
        <v>12</v>
      </c>
      <c r="E2688" s="6" t="n">
        <v>40827.6194444444</v>
      </c>
      <c r="F2688" s="0" t="n">
        <v>1.65</v>
      </c>
      <c r="G2688" s="0" t="n">
        <v>12536</v>
      </c>
      <c r="H2688" s="0" t="s">
        <v>43</v>
      </c>
      <c r="I2688" s="7" t="n">
        <f aca="false">IF(AND(LEFT(A2688,1)&lt;&gt;"C",D2688&gt;0,F2688&gt;0),1,0)</f>
        <v>1</v>
      </c>
      <c r="J2688" s="7" t="n">
        <f aca="false">IF(I2688=1,D2688*F2688,0)</f>
        <v>19.8</v>
      </c>
      <c r="K2688" s="7" t="n">
        <f aca="false">YEAR(E2688)*100+MONTH(E2688)</f>
        <v>201110</v>
      </c>
      <c r="L2688" s="7" t="n">
        <f aca="false">IF(AND(A2688&lt;&gt;A2687,LEFT(A2688,1)&lt;&gt;"C"),1,0)</f>
        <v>0</v>
      </c>
    </row>
    <row r="2689" customFormat="false" ht="15" hidden="false" customHeight="false" outlineLevel="0" collapsed="false">
      <c r="A2689" s="0" t="s">
        <v>2007</v>
      </c>
      <c r="B2689" s="0" t="s">
        <v>2046</v>
      </c>
      <c r="C2689" s="0" t="s">
        <v>2047</v>
      </c>
      <c r="D2689" s="0" t="n">
        <v>6</v>
      </c>
      <c r="E2689" s="6" t="n">
        <v>40827.6194444444</v>
      </c>
      <c r="F2689" s="0" t="n">
        <v>2.95</v>
      </c>
      <c r="G2689" s="0" t="n">
        <v>12536</v>
      </c>
      <c r="H2689" s="0" t="s">
        <v>43</v>
      </c>
      <c r="I2689" s="7" t="n">
        <f aca="false">IF(AND(LEFT(A2689,1)&lt;&gt;"C",D2689&gt;0,F2689&gt;0),1,0)</f>
        <v>1</v>
      </c>
      <c r="J2689" s="7" t="n">
        <f aca="false">IF(I2689=1,D2689*F2689,0)</f>
        <v>17.7</v>
      </c>
      <c r="K2689" s="7" t="n">
        <f aca="false">YEAR(E2689)*100+MONTH(E2689)</f>
        <v>201110</v>
      </c>
      <c r="L2689" s="7" t="n">
        <f aca="false">IF(AND(A2689&lt;&gt;A2688,LEFT(A2689,1)&lt;&gt;"C"),1,0)</f>
        <v>0</v>
      </c>
    </row>
    <row r="2690" customFormat="false" ht="15" hidden="false" customHeight="false" outlineLevel="0" collapsed="false">
      <c r="A2690" s="0" t="s">
        <v>2007</v>
      </c>
      <c r="B2690" s="0" t="s">
        <v>2048</v>
      </c>
      <c r="C2690" s="0" t="s">
        <v>2049</v>
      </c>
      <c r="D2690" s="0" t="n">
        <v>12</v>
      </c>
      <c r="E2690" s="6" t="n">
        <v>40827.6194444444</v>
      </c>
      <c r="F2690" s="0" t="n">
        <v>1.25</v>
      </c>
      <c r="G2690" s="0" t="n">
        <v>12536</v>
      </c>
      <c r="H2690" s="0" t="s">
        <v>43</v>
      </c>
      <c r="I2690" s="7" t="n">
        <f aca="false">IF(AND(LEFT(A2690,1)&lt;&gt;"C",D2690&gt;0,F2690&gt;0),1,0)</f>
        <v>1</v>
      </c>
      <c r="J2690" s="7" t="n">
        <f aca="false">IF(I2690=1,D2690*F2690,0)</f>
        <v>15</v>
      </c>
      <c r="K2690" s="7" t="n">
        <f aca="false">YEAR(E2690)*100+MONTH(E2690)</f>
        <v>201110</v>
      </c>
      <c r="L2690" s="7" t="n">
        <f aca="false">IF(AND(A2690&lt;&gt;A2689,LEFT(A2690,1)&lt;&gt;"C"),1,0)</f>
        <v>0</v>
      </c>
    </row>
    <row r="2691" customFormat="false" ht="15" hidden="false" customHeight="false" outlineLevel="0" collapsed="false">
      <c r="A2691" s="0" t="s">
        <v>2007</v>
      </c>
      <c r="B2691" s="0" t="s">
        <v>430</v>
      </c>
      <c r="C2691" s="0" t="s">
        <v>431</v>
      </c>
      <c r="D2691" s="0" t="n">
        <v>12</v>
      </c>
      <c r="E2691" s="6" t="n">
        <v>40827.6194444444</v>
      </c>
      <c r="F2691" s="0" t="n">
        <v>1.65</v>
      </c>
      <c r="G2691" s="0" t="n">
        <v>12536</v>
      </c>
      <c r="H2691" s="0" t="s">
        <v>43</v>
      </c>
      <c r="I2691" s="7" t="n">
        <f aca="false">IF(AND(LEFT(A2691,1)&lt;&gt;"C",D2691&gt;0,F2691&gt;0),1,0)</f>
        <v>1</v>
      </c>
      <c r="J2691" s="7" t="n">
        <f aca="false">IF(I2691=1,D2691*F2691,0)</f>
        <v>19.8</v>
      </c>
      <c r="K2691" s="7" t="n">
        <f aca="false">YEAR(E2691)*100+MONTH(E2691)</f>
        <v>201110</v>
      </c>
      <c r="L2691" s="7" t="n">
        <f aca="false">IF(AND(A2691&lt;&gt;A2690,LEFT(A2691,1)&lt;&gt;"C"),1,0)</f>
        <v>0</v>
      </c>
    </row>
    <row r="2692" customFormat="false" ht="15" hidden="false" customHeight="false" outlineLevel="0" collapsed="false">
      <c r="A2692" s="0" t="s">
        <v>2007</v>
      </c>
      <c r="B2692" s="0" t="s">
        <v>2050</v>
      </c>
      <c r="C2692" s="0" t="s">
        <v>2051</v>
      </c>
      <c r="D2692" s="0" t="n">
        <v>48</v>
      </c>
      <c r="E2692" s="6" t="n">
        <v>40827.6194444444</v>
      </c>
      <c r="F2692" s="0" t="n">
        <v>1.06</v>
      </c>
      <c r="G2692" s="0" t="n">
        <v>12536</v>
      </c>
      <c r="H2692" s="0" t="s">
        <v>43</v>
      </c>
      <c r="I2692" s="7" t="n">
        <f aca="false">IF(AND(LEFT(A2692,1)&lt;&gt;"C",D2692&gt;0,F2692&gt;0),1,0)</f>
        <v>1</v>
      </c>
      <c r="J2692" s="7" t="n">
        <f aca="false">IF(I2692=1,D2692*F2692,0)</f>
        <v>50.88</v>
      </c>
      <c r="K2692" s="7" t="n">
        <f aca="false">YEAR(E2692)*100+MONTH(E2692)</f>
        <v>201110</v>
      </c>
      <c r="L2692" s="7" t="n">
        <f aca="false">IF(AND(A2692&lt;&gt;A2691,LEFT(A2692,1)&lt;&gt;"C"),1,0)</f>
        <v>0</v>
      </c>
    </row>
    <row r="2693" customFormat="false" ht="15" hidden="false" customHeight="false" outlineLevel="0" collapsed="false">
      <c r="A2693" s="0" t="s">
        <v>2007</v>
      </c>
      <c r="B2693" s="0" t="s">
        <v>2052</v>
      </c>
      <c r="C2693" s="0" t="s">
        <v>2053</v>
      </c>
      <c r="D2693" s="0" t="n">
        <v>12</v>
      </c>
      <c r="E2693" s="6" t="n">
        <v>40827.6194444444</v>
      </c>
      <c r="F2693" s="0" t="n">
        <v>1.25</v>
      </c>
      <c r="G2693" s="0" t="n">
        <v>12536</v>
      </c>
      <c r="H2693" s="0" t="s">
        <v>43</v>
      </c>
      <c r="I2693" s="7" t="n">
        <f aca="false">IF(AND(LEFT(A2693,1)&lt;&gt;"C",D2693&gt;0,F2693&gt;0),1,0)</f>
        <v>1</v>
      </c>
      <c r="J2693" s="7" t="n">
        <f aca="false">IF(I2693=1,D2693*F2693,0)</f>
        <v>15</v>
      </c>
      <c r="K2693" s="7" t="n">
        <f aca="false">YEAR(E2693)*100+MONTH(E2693)</f>
        <v>201110</v>
      </c>
      <c r="L2693" s="7" t="n">
        <f aca="false">IF(AND(A2693&lt;&gt;A2692,LEFT(A2693,1)&lt;&gt;"C"),1,0)</f>
        <v>0</v>
      </c>
    </row>
    <row r="2694" customFormat="false" ht="15" hidden="false" customHeight="false" outlineLevel="0" collapsed="false">
      <c r="A2694" s="0" t="s">
        <v>2007</v>
      </c>
      <c r="B2694" s="0" t="s">
        <v>2054</v>
      </c>
      <c r="C2694" s="0" t="s">
        <v>2055</v>
      </c>
      <c r="D2694" s="0" t="n">
        <v>12</v>
      </c>
      <c r="E2694" s="6" t="n">
        <v>40827.6194444444</v>
      </c>
      <c r="F2694" s="0" t="n">
        <v>1.65</v>
      </c>
      <c r="G2694" s="0" t="n">
        <v>12536</v>
      </c>
      <c r="H2694" s="0" t="s">
        <v>43</v>
      </c>
      <c r="I2694" s="7" t="n">
        <f aca="false">IF(AND(LEFT(A2694,1)&lt;&gt;"C",D2694&gt;0,F2694&gt;0),1,0)</f>
        <v>1</v>
      </c>
      <c r="J2694" s="7" t="n">
        <f aca="false">IF(I2694=1,D2694*F2694,0)</f>
        <v>19.8</v>
      </c>
      <c r="K2694" s="7" t="n">
        <f aca="false">YEAR(E2694)*100+MONTH(E2694)</f>
        <v>201110</v>
      </c>
      <c r="L2694" s="7" t="n">
        <f aca="false">IF(AND(A2694&lt;&gt;A2693,LEFT(A2694,1)&lt;&gt;"C"),1,0)</f>
        <v>0</v>
      </c>
    </row>
    <row r="2695" customFormat="false" ht="15" hidden="false" customHeight="false" outlineLevel="0" collapsed="false">
      <c r="A2695" s="0" t="s">
        <v>2007</v>
      </c>
      <c r="B2695" s="0" t="s">
        <v>2056</v>
      </c>
      <c r="C2695" s="0" t="s">
        <v>2057</v>
      </c>
      <c r="D2695" s="0" t="n">
        <v>4</v>
      </c>
      <c r="E2695" s="6" t="n">
        <v>40827.6194444444</v>
      </c>
      <c r="F2695" s="0" t="n">
        <v>3.75</v>
      </c>
      <c r="G2695" s="0" t="n">
        <v>12536</v>
      </c>
      <c r="H2695" s="0" t="s">
        <v>43</v>
      </c>
      <c r="I2695" s="7" t="n">
        <f aca="false">IF(AND(LEFT(A2695,1)&lt;&gt;"C",D2695&gt;0,F2695&gt;0),1,0)</f>
        <v>1</v>
      </c>
      <c r="J2695" s="7" t="n">
        <f aca="false">IF(I2695=1,D2695*F2695,0)</f>
        <v>15</v>
      </c>
      <c r="K2695" s="7" t="n">
        <f aca="false">YEAR(E2695)*100+MONTH(E2695)</f>
        <v>201110</v>
      </c>
      <c r="L2695" s="7" t="n">
        <f aca="false">IF(AND(A2695&lt;&gt;A2694,LEFT(A2695,1)&lt;&gt;"C"),1,0)</f>
        <v>0</v>
      </c>
    </row>
    <row r="2696" customFormat="false" ht="15" hidden="false" customHeight="false" outlineLevel="0" collapsed="false">
      <c r="A2696" s="0" t="s">
        <v>2007</v>
      </c>
      <c r="B2696" s="0" t="s">
        <v>1118</v>
      </c>
      <c r="C2696" s="0" t="s">
        <v>1119</v>
      </c>
      <c r="D2696" s="0" t="n">
        <v>12</v>
      </c>
      <c r="E2696" s="6" t="n">
        <v>40827.6194444444</v>
      </c>
      <c r="F2696" s="0" t="n">
        <v>1.25</v>
      </c>
      <c r="G2696" s="0" t="n">
        <v>12536</v>
      </c>
      <c r="H2696" s="0" t="s">
        <v>43</v>
      </c>
      <c r="I2696" s="7" t="n">
        <f aca="false">IF(AND(LEFT(A2696,1)&lt;&gt;"C",D2696&gt;0,F2696&gt;0),1,0)</f>
        <v>1</v>
      </c>
      <c r="J2696" s="7" t="n">
        <f aca="false">IF(I2696=1,D2696*F2696,0)</f>
        <v>15</v>
      </c>
      <c r="K2696" s="7" t="n">
        <f aca="false">YEAR(E2696)*100+MONTH(E2696)</f>
        <v>201110</v>
      </c>
      <c r="L2696" s="7" t="n">
        <f aca="false">IF(AND(A2696&lt;&gt;A2695,LEFT(A2696,1)&lt;&gt;"C"),1,0)</f>
        <v>0</v>
      </c>
    </row>
    <row r="2697" customFormat="false" ht="15" hidden="false" customHeight="false" outlineLevel="0" collapsed="false">
      <c r="A2697" s="0" t="s">
        <v>2007</v>
      </c>
      <c r="B2697" s="0" t="s">
        <v>549</v>
      </c>
      <c r="C2697" s="0" t="s">
        <v>550</v>
      </c>
      <c r="D2697" s="0" t="n">
        <v>12</v>
      </c>
      <c r="E2697" s="6" t="n">
        <v>40827.6194444444</v>
      </c>
      <c r="F2697" s="0" t="n">
        <v>1.45</v>
      </c>
      <c r="G2697" s="0" t="n">
        <v>12536</v>
      </c>
      <c r="H2697" s="0" t="s">
        <v>43</v>
      </c>
      <c r="I2697" s="7" t="n">
        <f aca="false">IF(AND(LEFT(A2697,1)&lt;&gt;"C",D2697&gt;0,F2697&gt;0),1,0)</f>
        <v>1</v>
      </c>
      <c r="J2697" s="7" t="n">
        <f aca="false">IF(I2697=1,D2697*F2697,0)</f>
        <v>17.4</v>
      </c>
      <c r="K2697" s="7" t="n">
        <f aca="false">YEAR(E2697)*100+MONTH(E2697)</f>
        <v>201110</v>
      </c>
      <c r="L2697" s="7" t="n">
        <f aca="false">IF(AND(A2697&lt;&gt;A2696,LEFT(A2697,1)&lt;&gt;"C"),1,0)</f>
        <v>0</v>
      </c>
    </row>
    <row r="2698" customFormat="false" ht="15" hidden="false" customHeight="false" outlineLevel="0" collapsed="false">
      <c r="A2698" s="0" t="s">
        <v>2007</v>
      </c>
      <c r="B2698" s="0" t="s">
        <v>2058</v>
      </c>
      <c r="C2698" s="0" t="s">
        <v>2059</v>
      </c>
      <c r="D2698" s="0" t="n">
        <v>12</v>
      </c>
      <c r="E2698" s="6" t="n">
        <v>40827.6194444444</v>
      </c>
      <c r="F2698" s="0" t="n">
        <v>0.79</v>
      </c>
      <c r="G2698" s="0" t="n">
        <v>12536</v>
      </c>
      <c r="H2698" s="0" t="s">
        <v>43</v>
      </c>
      <c r="I2698" s="7" t="n">
        <f aca="false">IF(AND(LEFT(A2698,1)&lt;&gt;"C",D2698&gt;0,F2698&gt;0),1,0)</f>
        <v>1</v>
      </c>
      <c r="J2698" s="7" t="n">
        <f aca="false">IF(I2698=1,D2698*F2698,0)</f>
        <v>9.48</v>
      </c>
      <c r="K2698" s="7" t="n">
        <f aca="false">YEAR(E2698)*100+MONTH(E2698)</f>
        <v>201110</v>
      </c>
      <c r="L2698" s="7" t="n">
        <f aca="false">IF(AND(A2698&lt;&gt;A2697,LEFT(A2698,1)&lt;&gt;"C"),1,0)</f>
        <v>0</v>
      </c>
    </row>
    <row r="2699" customFormat="false" ht="15" hidden="false" customHeight="false" outlineLevel="0" collapsed="false">
      <c r="A2699" s="0" t="s">
        <v>2007</v>
      </c>
      <c r="B2699" s="0" t="s">
        <v>1512</v>
      </c>
      <c r="C2699" s="0" t="s">
        <v>1513</v>
      </c>
      <c r="D2699" s="0" t="n">
        <v>2</v>
      </c>
      <c r="E2699" s="6" t="n">
        <v>40827.6194444444</v>
      </c>
      <c r="F2699" s="0" t="n">
        <v>6.75</v>
      </c>
      <c r="G2699" s="0" t="n">
        <v>12536</v>
      </c>
      <c r="H2699" s="0" t="s">
        <v>43</v>
      </c>
      <c r="I2699" s="7" t="n">
        <f aca="false">IF(AND(LEFT(A2699,1)&lt;&gt;"C",D2699&gt;0,F2699&gt;0),1,0)</f>
        <v>1</v>
      </c>
      <c r="J2699" s="7" t="n">
        <f aca="false">IF(I2699=1,D2699*F2699,0)</f>
        <v>13.5</v>
      </c>
      <c r="K2699" s="7" t="n">
        <f aca="false">YEAR(E2699)*100+MONTH(E2699)</f>
        <v>201110</v>
      </c>
      <c r="L2699" s="7" t="n">
        <f aca="false">IF(AND(A2699&lt;&gt;A2698,LEFT(A2699,1)&lt;&gt;"C"),1,0)</f>
        <v>0</v>
      </c>
    </row>
    <row r="2700" customFormat="false" ht="15" hidden="false" customHeight="false" outlineLevel="0" collapsed="false">
      <c r="A2700" s="0" t="s">
        <v>2007</v>
      </c>
      <c r="B2700" s="0" t="s">
        <v>412</v>
      </c>
      <c r="C2700" s="0" t="s">
        <v>413</v>
      </c>
      <c r="D2700" s="0" t="n">
        <v>12</v>
      </c>
      <c r="E2700" s="6" t="n">
        <v>40827.6194444444</v>
      </c>
      <c r="F2700" s="0" t="n">
        <v>1.25</v>
      </c>
      <c r="G2700" s="0" t="n">
        <v>12536</v>
      </c>
      <c r="H2700" s="0" t="s">
        <v>43</v>
      </c>
      <c r="I2700" s="7" t="n">
        <f aca="false">IF(AND(LEFT(A2700,1)&lt;&gt;"C",D2700&gt;0,F2700&gt;0),1,0)</f>
        <v>1</v>
      </c>
      <c r="J2700" s="7" t="n">
        <f aca="false">IF(I2700=1,D2700*F2700,0)</f>
        <v>15</v>
      </c>
      <c r="K2700" s="7" t="n">
        <f aca="false">YEAR(E2700)*100+MONTH(E2700)</f>
        <v>201110</v>
      </c>
      <c r="L2700" s="7" t="n">
        <f aca="false">IF(AND(A2700&lt;&gt;A2699,LEFT(A2700,1)&lt;&gt;"C"),1,0)</f>
        <v>0</v>
      </c>
    </row>
    <row r="2701" customFormat="false" ht="15" hidden="false" customHeight="false" outlineLevel="0" collapsed="false">
      <c r="A2701" s="0" t="s">
        <v>2007</v>
      </c>
      <c r="B2701" s="0" t="s">
        <v>1703</v>
      </c>
      <c r="C2701" s="0" t="s">
        <v>1704</v>
      </c>
      <c r="D2701" s="0" t="n">
        <v>24</v>
      </c>
      <c r="E2701" s="6" t="n">
        <v>40827.6194444444</v>
      </c>
      <c r="F2701" s="0" t="n">
        <v>0.42</v>
      </c>
      <c r="G2701" s="0" t="n">
        <v>12536</v>
      </c>
      <c r="H2701" s="0" t="s">
        <v>43</v>
      </c>
      <c r="I2701" s="7" t="n">
        <f aca="false">IF(AND(LEFT(A2701,1)&lt;&gt;"C",D2701&gt;0,F2701&gt;0),1,0)</f>
        <v>1</v>
      </c>
      <c r="J2701" s="7" t="n">
        <f aca="false">IF(I2701=1,D2701*F2701,0)</f>
        <v>10.08</v>
      </c>
      <c r="K2701" s="7" t="n">
        <f aca="false">YEAR(E2701)*100+MONTH(E2701)</f>
        <v>201110</v>
      </c>
      <c r="L2701" s="7" t="n">
        <f aca="false">IF(AND(A2701&lt;&gt;A2700,LEFT(A2701,1)&lt;&gt;"C"),1,0)</f>
        <v>0</v>
      </c>
    </row>
    <row r="2702" customFormat="false" ht="15" hidden="false" customHeight="false" outlineLevel="0" collapsed="false">
      <c r="A2702" s="0" t="s">
        <v>2007</v>
      </c>
      <c r="B2702" s="0" t="s">
        <v>2060</v>
      </c>
      <c r="C2702" s="0" t="s">
        <v>2061</v>
      </c>
      <c r="D2702" s="0" t="n">
        <v>24</v>
      </c>
      <c r="E2702" s="6" t="n">
        <v>40827.6194444444</v>
      </c>
      <c r="F2702" s="0" t="n">
        <v>0.42</v>
      </c>
      <c r="G2702" s="0" t="n">
        <v>12536</v>
      </c>
      <c r="H2702" s="0" t="s">
        <v>43</v>
      </c>
      <c r="I2702" s="7" t="n">
        <f aca="false">IF(AND(LEFT(A2702,1)&lt;&gt;"C",D2702&gt;0,F2702&gt;0),1,0)</f>
        <v>1</v>
      </c>
      <c r="J2702" s="7" t="n">
        <f aca="false">IF(I2702=1,D2702*F2702,0)</f>
        <v>10.08</v>
      </c>
      <c r="K2702" s="7" t="n">
        <f aca="false">YEAR(E2702)*100+MONTH(E2702)</f>
        <v>201110</v>
      </c>
      <c r="L2702" s="7" t="n">
        <f aca="false">IF(AND(A2702&lt;&gt;A2701,LEFT(A2702,1)&lt;&gt;"C"),1,0)</f>
        <v>0</v>
      </c>
    </row>
    <row r="2703" customFormat="false" ht="15" hidden="false" customHeight="false" outlineLevel="0" collapsed="false">
      <c r="A2703" s="0" t="s">
        <v>2007</v>
      </c>
      <c r="B2703" s="0" t="s">
        <v>2062</v>
      </c>
      <c r="C2703" s="0" t="s">
        <v>2063</v>
      </c>
      <c r="D2703" s="0" t="n">
        <v>10</v>
      </c>
      <c r="E2703" s="6" t="n">
        <v>40827.6194444444</v>
      </c>
      <c r="F2703" s="0" t="n">
        <v>1.65</v>
      </c>
      <c r="G2703" s="0" t="n">
        <v>12536</v>
      </c>
      <c r="H2703" s="0" t="s">
        <v>43</v>
      </c>
      <c r="I2703" s="7" t="n">
        <f aca="false">IF(AND(LEFT(A2703,1)&lt;&gt;"C",D2703&gt;0,F2703&gt;0),1,0)</f>
        <v>1</v>
      </c>
      <c r="J2703" s="7" t="n">
        <f aca="false">IF(I2703=1,D2703*F2703,0)</f>
        <v>16.5</v>
      </c>
      <c r="K2703" s="7" t="n">
        <f aca="false">YEAR(E2703)*100+MONTH(E2703)</f>
        <v>201110</v>
      </c>
      <c r="L2703" s="7" t="n">
        <f aca="false">IF(AND(A2703&lt;&gt;A2702,LEFT(A2703,1)&lt;&gt;"C"),1,0)</f>
        <v>0</v>
      </c>
    </row>
    <row r="2704" customFormat="false" ht="15" hidden="false" customHeight="false" outlineLevel="0" collapsed="false">
      <c r="A2704" s="0" t="s">
        <v>2007</v>
      </c>
      <c r="B2704" s="0" t="s">
        <v>2064</v>
      </c>
      <c r="C2704" s="0" t="s">
        <v>2065</v>
      </c>
      <c r="D2704" s="0" t="n">
        <v>12</v>
      </c>
      <c r="E2704" s="6" t="n">
        <v>40827.6194444444</v>
      </c>
      <c r="F2704" s="0" t="n">
        <v>1.25</v>
      </c>
      <c r="G2704" s="0" t="n">
        <v>12536</v>
      </c>
      <c r="H2704" s="0" t="s">
        <v>43</v>
      </c>
      <c r="I2704" s="7" t="n">
        <f aca="false">IF(AND(LEFT(A2704,1)&lt;&gt;"C",D2704&gt;0,F2704&gt;0),1,0)</f>
        <v>1</v>
      </c>
      <c r="J2704" s="7" t="n">
        <f aca="false">IF(I2704=1,D2704*F2704,0)</f>
        <v>15</v>
      </c>
      <c r="K2704" s="7" t="n">
        <f aca="false">YEAR(E2704)*100+MONTH(E2704)</f>
        <v>201110</v>
      </c>
      <c r="L2704" s="7" t="n">
        <f aca="false">IF(AND(A2704&lt;&gt;A2703,LEFT(A2704,1)&lt;&gt;"C"),1,0)</f>
        <v>0</v>
      </c>
    </row>
    <row r="2705" customFormat="false" ht="15" hidden="false" customHeight="false" outlineLevel="0" collapsed="false">
      <c r="A2705" s="0" t="s">
        <v>2007</v>
      </c>
      <c r="B2705" s="0" t="s">
        <v>2066</v>
      </c>
      <c r="C2705" s="0" t="s">
        <v>2067</v>
      </c>
      <c r="D2705" s="0" t="n">
        <v>6</v>
      </c>
      <c r="E2705" s="6" t="n">
        <v>40827.6194444444</v>
      </c>
      <c r="F2705" s="0" t="n">
        <v>3.75</v>
      </c>
      <c r="G2705" s="0" t="n">
        <v>12536</v>
      </c>
      <c r="H2705" s="0" t="s">
        <v>43</v>
      </c>
      <c r="I2705" s="7" t="n">
        <f aca="false">IF(AND(LEFT(A2705,1)&lt;&gt;"C",D2705&gt;0,F2705&gt;0),1,0)</f>
        <v>1</v>
      </c>
      <c r="J2705" s="7" t="n">
        <f aca="false">IF(I2705=1,D2705*F2705,0)</f>
        <v>22.5</v>
      </c>
      <c r="K2705" s="7" t="n">
        <f aca="false">YEAR(E2705)*100+MONTH(E2705)</f>
        <v>201110</v>
      </c>
      <c r="L2705" s="7" t="n">
        <f aca="false">IF(AND(A2705&lt;&gt;A2704,LEFT(A2705,1)&lt;&gt;"C"),1,0)</f>
        <v>0</v>
      </c>
    </row>
    <row r="2706" customFormat="false" ht="15" hidden="false" customHeight="false" outlineLevel="0" collapsed="false">
      <c r="A2706" s="0" t="s">
        <v>2007</v>
      </c>
      <c r="B2706" s="0" t="s">
        <v>2068</v>
      </c>
      <c r="C2706" s="0" t="s">
        <v>2069</v>
      </c>
      <c r="D2706" s="0" t="n">
        <v>6</v>
      </c>
      <c r="E2706" s="6" t="n">
        <v>40827.6194444444</v>
      </c>
      <c r="F2706" s="0" t="n">
        <v>3.75</v>
      </c>
      <c r="G2706" s="0" t="n">
        <v>12536</v>
      </c>
      <c r="H2706" s="0" t="s">
        <v>43</v>
      </c>
      <c r="I2706" s="7" t="n">
        <f aca="false">IF(AND(LEFT(A2706,1)&lt;&gt;"C",D2706&gt;0,F2706&gt;0),1,0)</f>
        <v>1</v>
      </c>
      <c r="J2706" s="7" t="n">
        <f aca="false">IF(I2706=1,D2706*F2706,0)</f>
        <v>22.5</v>
      </c>
      <c r="K2706" s="7" t="n">
        <f aca="false">YEAR(E2706)*100+MONTH(E2706)</f>
        <v>201110</v>
      </c>
      <c r="L2706" s="7" t="n">
        <f aca="false">IF(AND(A2706&lt;&gt;A2705,LEFT(A2706,1)&lt;&gt;"C"),1,0)</f>
        <v>0</v>
      </c>
    </row>
    <row r="2707" customFormat="false" ht="15" hidden="false" customHeight="false" outlineLevel="0" collapsed="false">
      <c r="A2707" s="0" t="s">
        <v>2007</v>
      </c>
      <c r="B2707" s="0" t="s">
        <v>2070</v>
      </c>
      <c r="C2707" s="0" t="s">
        <v>2071</v>
      </c>
      <c r="D2707" s="0" t="n">
        <v>36</v>
      </c>
      <c r="E2707" s="6" t="n">
        <v>40827.6194444444</v>
      </c>
      <c r="F2707" s="0" t="n">
        <v>0.39</v>
      </c>
      <c r="G2707" s="0" t="n">
        <v>12536</v>
      </c>
      <c r="H2707" s="0" t="s">
        <v>43</v>
      </c>
      <c r="I2707" s="7" t="n">
        <f aca="false">IF(AND(LEFT(A2707,1)&lt;&gt;"C",D2707&gt;0,F2707&gt;0),1,0)</f>
        <v>1</v>
      </c>
      <c r="J2707" s="7" t="n">
        <f aca="false">IF(I2707=1,D2707*F2707,0)</f>
        <v>14.04</v>
      </c>
      <c r="K2707" s="7" t="n">
        <f aca="false">YEAR(E2707)*100+MONTH(E2707)</f>
        <v>201110</v>
      </c>
      <c r="L2707" s="7" t="n">
        <f aca="false">IF(AND(A2707&lt;&gt;A2706,LEFT(A2707,1)&lt;&gt;"C"),1,0)</f>
        <v>0</v>
      </c>
    </row>
    <row r="2708" customFormat="false" ht="15" hidden="false" customHeight="false" outlineLevel="0" collapsed="false">
      <c r="A2708" s="0" t="s">
        <v>2007</v>
      </c>
      <c r="B2708" s="0" t="s">
        <v>1776</v>
      </c>
      <c r="C2708" s="0" t="s">
        <v>1777</v>
      </c>
      <c r="D2708" s="0" t="n">
        <v>12</v>
      </c>
      <c r="E2708" s="6" t="n">
        <v>40827.6194444444</v>
      </c>
      <c r="F2708" s="0" t="n">
        <v>0.79</v>
      </c>
      <c r="G2708" s="0" t="n">
        <v>12536</v>
      </c>
      <c r="H2708" s="0" t="s">
        <v>43</v>
      </c>
      <c r="I2708" s="7" t="n">
        <f aca="false">IF(AND(LEFT(A2708,1)&lt;&gt;"C",D2708&gt;0,F2708&gt;0),1,0)</f>
        <v>1</v>
      </c>
      <c r="J2708" s="7" t="n">
        <f aca="false">IF(I2708=1,D2708*F2708,0)</f>
        <v>9.48</v>
      </c>
      <c r="K2708" s="7" t="n">
        <f aca="false">YEAR(E2708)*100+MONTH(E2708)</f>
        <v>201110</v>
      </c>
      <c r="L2708" s="7" t="n">
        <f aca="false">IF(AND(A2708&lt;&gt;A2707,LEFT(A2708,1)&lt;&gt;"C"),1,0)</f>
        <v>0</v>
      </c>
    </row>
    <row r="2709" customFormat="false" ht="15" hidden="false" customHeight="false" outlineLevel="0" collapsed="false">
      <c r="A2709" s="0" t="s">
        <v>2007</v>
      </c>
      <c r="B2709" s="0" t="s">
        <v>602</v>
      </c>
      <c r="C2709" s="0" t="s">
        <v>603</v>
      </c>
      <c r="D2709" s="0" t="n">
        <v>6</v>
      </c>
      <c r="E2709" s="6" t="n">
        <v>40827.6194444444</v>
      </c>
      <c r="F2709" s="0" t="n">
        <v>1.95</v>
      </c>
      <c r="G2709" s="0" t="n">
        <v>12536</v>
      </c>
      <c r="H2709" s="0" t="s">
        <v>43</v>
      </c>
      <c r="I2709" s="7" t="n">
        <f aca="false">IF(AND(LEFT(A2709,1)&lt;&gt;"C",D2709&gt;0,F2709&gt;0),1,0)</f>
        <v>1</v>
      </c>
      <c r="J2709" s="7" t="n">
        <f aca="false">IF(I2709=1,D2709*F2709,0)</f>
        <v>11.7</v>
      </c>
      <c r="K2709" s="7" t="n">
        <f aca="false">YEAR(E2709)*100+MONTH(E2709)</f>
        <v>201110</v>
      </c>
      <c r="L2709" s="7" t="n">
        <f aca="false">IF(AND(A2709&lt;&gt;A2708,LEFT(A2709,1)&lt;&gt;"C"),1,0)</f>
        <v>0</v>
      </c>
    </row>
    <row r="2710" customFormat="false" ht="15" hidden="false" customHeight="false" outlineLevel="0" collapsed="false">
      <c r="A2710" s="0" t="s">
        <v>2007</v>
      </c>
      <c r="B2710" s="0" t="s">
        <v>2072</v>
      </c>
      <c r="C2710" s="0" t="s">
        <v>2073</v>
      </c>
      <c r="D2710" s="0" t="n">
        <v>24</v>
      </c>
      <c r="E2710" s="6" t="n">
        <v>40827.6194444444</v>
      </c>
      <c r="F2710" s="0" t="n">
        <v>0.85</v>
      </c>
      <c r="G2710" s="0" t="n">
        <v>12536</v>
      </c>
      <c r="H2710" s="0" t="s">
        <v>43</v>
      </c>
      <c r="I2710" s="7" t="n">
        <f aca="false">IF(AND(LEFT(A2710,1)&lt;&gt;"C",D2710&gt;0,F2710&gt;0),1,0)</f>
        <v>1</v>
      </c>
      <c r="J2710" s="7" t="n">
        <f aca="false">IF(I2710=1,D2710*F2710,0)</f>
        <v>20.4</v>
      </c>
      <c r="K2710" s="7" t="n">
        <f aca="false">YEAR(E2710)*100+MONTH(E2710)</f>
        <v>201110</v>
      </c>
      <c r="L2710" s="7" t="n">
        <f aca="false">IF(AND(A2710&lt;&gt;A2709,LEFT(A2710,1)&lt;&gt;"C"),1,0)</f>
        <v>0</v>
      </c>
    </row>
    <row r="2711" customFormat="false" ht="15" hidden="false" customHeight="false" outlineLevel="0" collapsed="false">
      <c r="A2711" s="0" t="s">
        <v>2007</v>
      </c>
      <c r="B2711" s="0" t="s">
        <v>1565</v>
      </c>
      <c r="C2711" s="0" t="s">
        <v>1566</v>
      </c>
      <c r="D2711" s="0" t="n">
        <v>12</v>
      </c>
      <c r="E2711" s="6" t="n">
        <v>40827.6194444444</v>
      </c>
      <c r="F2711" s="0" t="n">
        <v>0.85</v>
      </c>
      <c r="G2711" s="0" t="n">
        <v>12536</v>
      </c>
      <c r="H2711" s="0" t="s">
        <v>43</v>
      </c>
      <c r="I2711" s="7" t="n">
        <f aca="false">IF(AND(LEFT(A2711,1)&lt;&gt;"C",D2711&gt;0,F2711&gt;0),1,0)</f>
        <v>1</v>
      </c>
      <c r="J2711" s="7" t="n">
        <f aca="false">IF(I2711=1,D2711*F2711,0)</f>
        <v>10.2</v>
      </c>
      <c r="K2711" s="7" t="n">
        <f aca="false">YEAR(E2711)*100+MONTH(E2711)</f>
        <v>201110</v>
      </c>
      <c r="L2711" s="7" t="n">
        <f aca="false">IF(AND(A2711&lt;&gt;A2710,LEFT(A2711,1)&lt;&gt;"C"),1,0)</f>
        <v>0</v>
      </c>
    </row>
    <row r="2712" customFormat="false" ht="15" hidden="false" customHeight="false" outlineLevel="0" collapsed="false">
      <c r="A2712" s="0" t="s">
        <v>2007</v>
      </c>
      <c r="B2712" s="0" t="s">
        <v>545</v>
      </c>
      <c r="C2712" s="0" t="s">
        <v>546</v>
      </c>
      <c r="D2712" s="0" t="n">
        <v>3</v>
      </c>
      <c r="E2712" s="6" t="n">
        <v>40827.6194444444</v>
      </c>
      <c r="F2712" s="0" t="n">
        <v>4.95</v>
      </c>
      <c r="G2712" s="0" t="n">
        <v>12536</v>
      </c>
      <c r="H2712" s="0" t="s">
        <v>43</v>
      </c>
      <c r="I2712" s="7" t="n">
        <f aca="false">IF(AND(LEFT(A2712,1)&lt;&gt;"C",D2712&gt;0,F2712&gt;0),1,0)</f>
        <v>1</v>
      </c>
      <c r="J2712" s="7" t="n">
        <f aca="false">IF(I2712=1,D2712*F2712,0)</f>
        <v>14.85</v>
      </c>
      <c r="K2712" s="7" t="n">
        <f aca="false">YEAR(E2712)*100+MONTH(E2712)</f>
        <v>201110</v>
      </c>
      <c r="L2712" s="7" t="n">
        <f aca="false">IF(AND(A2712&lt;&gt;A2711,LEFT(A2712,1)&lt;&gt;"C"),1,0)</f>
        <v>0</v>
      </c>
    </row>
    <row r="2713" customFormat="false" ht="15" hidden="false" customHeight="false" outlineLevel="0" collapsed="false">
      <c r="A2713" s="0" t="s">
        <v>2007</v>
      </c>
      <c r="B2713" s="0" t="s">
        <v>1436</v>
      </c>
      <c r="C2713" s="0" t="s">
        <v>1437</v>
      </c>
      <c r="D2713" s="0" t="n">
        <v>3</v>
      </c>
      <c r="E2713" s="6" t="n">
        <v>40827.6194444444</v>
      </c>
      <c r="F2713" s="0" t="n">
        <v>4.95</v>
      </c>
      <c r="G2713" s="0" t="n">
        <v>12536</v>
      </c>
      <c r="H2713" s="0" t="s">
        <v>43</v>
      </c>
      <c r="I2713" s="7" t="n">
        <f aca="false">IF(AND(LEFT(A2713,1)&lt;&gt;"C",D2713&gt;0,F2713&gt;0),1,0)</f>
        <v>1</v>
      </c>
      <c r="J2713" s="7" t="n">
        <f aca="false">IF(I2713=1,D2713*F2713,0)</f>
        <v>14.85</v>
      </c>
      <c r="K2713" s="7" t="n">
        <f aca="false">YEAR(E2713)*100+MONTH(E2713)</f>
        <v>201110</v>
      </c>
      <c r="L2713" s="7" t="n">
        <f aca="false">IF(AND(A2713&lt;&gt;A2712,LEFT(A2713,1)&lt;&gt;"C"),1,0)</f>
        <v>0</v>
      </c>
    </row>
    <row r="2714" customFormat="false" ht="15" hidden="false" customHeight="false" outlineLevel="0" collapsed="false">
      <c r="A2714" s="0" t="s">
        <v>2007</v>
      </c>
      <c r="B2714" s="0" t="s">
        <v>1232</v>
      </c>
      <c r="C2714" s="0" t="s">
        <v>1233</v>
      </c>
      <c r="D2714" s="0" t="n">
        <v>6</v>
      </c>
      <c r="E2714" s="6" t="n">
        <v>40827.6194444444</v>
      </c>
      <c r="F2714" s="0" t="n">
        <v>2.1</v>
      </c>
      <c r="G2714" s="0" t="n">
        <v>12536</v>
      </c>
      <c r="H2714" s="0" t="s">
        <v>43</v>
      </c>
      <c r="I2714" s="7" t="n">
        <f aca="false">IF(AND(LEFT(A2714,1)&lt;&gt;"C",D2714&gt;0,F2714&gt;0),1,0)</f>
        <v>1</v>
      </c>
      <c r="J2714" s="7" t="n">
        <f aca="false">IF(I2714=1,D2714*F2714,0)</f>
        <v>12.6</v>
      </c>
      <c r="K2714" s="7" t="n">
        <f aca="false">YEAR(E2714)*100+MONTH(E2714)</f>
        <v>201110</v>
      </c>
      <c r="L2714" s="7" t="n">
        <f aca="false">IF(AND(A2714&lt;&gt;A2713,LEFT(A2714,1)&lt;&gt;"C"),1,0)</f>
        <v>0</v>
      </c>
    </row>
    <row r="2715" customFormat="false" ht="15" hidden="false" customHeight="false" outlineLevel="0" collapsed="false">
      <c r="A2715" s="0" t="s">
        <v>2007</v>
      </c>
      <c r="B2715" s="0" t="s">
        <v>2074</v>
      </c>
      <c r="C2715" s="0" t="s">
        <v>2075</v>
      </c>
      <c r="D2715" s="0" t="n">
        <v>4</v>
      </c>
      <c r="E2715" s="6" t="n">
        <v>40827.6194444444</v>
      </c>
      <c r="F2715" s="0" t="n">
        <v>9.95</v>
      </c>
      <c r="G2715" s="0" t="n">
        <v>12536</v>
      </c>
      <c r="H2715" s="0" t="s">
        <v>43</v>
      </c>
      <c r="I2715" s="7" t="n">
        <f aca="false">IF(AND(LEFT(A2715,1)&lt;&gt;"C",D2715&gt;0,F2715&gt;0),1,0)</f>
        <v>1</v>
      </c>
      <c r="J2715" s="7" t="n">
        <f aca="false">IF(I2715=1,D2715*F2715,0)</f>
        <v>39.8</v>
      </c>
      <c r="K2715" s="7" t="n">
        <f aca="false">YEAR(E2715)*100+MONTH(E2715)</f>
        <v>201110</v>
      </c>
      <c r="L2715" s="7" t="n">
        <f aca="false">IF(AND(A2715&lt;&gt;A2714,LEFT(A2715,1)&lt;&gt;"C"),1,0)</f>
        <v>0</v>
      </c>
    </row>
    <row r="2716" customFormat="false" ht="15" hidden="false" customHeight="false" outlineLevel="0" collapsed="false">
      <c r="A2716" s="0" t="s">
        <v>2007</v>
      </c>
      <c r="B2716" s="0" t="s">
        <v>2076</v>
      </c>
      <c r="C2716" s="0" t="s">
        <v>2077</v>
      </c>
      <c r="D2716" s="0" t="n">
        <v>4</v>
      </c>
      <c r="E2716" s="6" t="n">
        <v>40827.6194444444</v>
      </c>
      <c r="F2716" s="0" t="n">
        <v>4.25</v>
      </c>
      <c r="G2716" s="0" t="n">
        <v>12536</v>
      </c>
      <c r="H2716" s="0" t="s">
        <v>43</v>
      </c>
      <c r="I2716" s="7" t="n">
        <f aca="false">IF(AND(LEFT(A2716,1)&lt;&gt;"C",D2716&gt;0,F2716&gt;0),1,0)</f>
        <v>1</v>
      </c>
      <c r="J2716" s="7" t="n">
        <f aca="false">IF(I2716=1,D2716*F2716,0)</f>
        <v>17</v>
      </c>
      <c r="K2716" s="7" t="n">
        <f aca="false">YEAR(E2716)*100+MONTH(E2716)</f>
        <v>201110</v>
      </c>
      <c r="L2716" s="7" t="n">
        <f aca="false">IF(AND(A2716&lt;&gt;A2715,LEFT(A2716,1)&lt;&gt;"C"),1,0)</f>
        <v>0</v>
      </c>
    </row>
    <row r="2717" customFormat="false" ht="15" hidden="false" customHeight="false" outlineLevel="0" collapsed="false">
      <c r="A2717" s="0" t="s">
        <v>2007</v>
      </c>
      <c r="B2717" s="0" t="s">
        <v>353</v>
      </c>
      <c r="C2717" s="0" t="s">
        <v>354</v>
      </c>
      <c r="D2717" s="0" t="n">
        <v>4</v>
      </c>
      <c r="E2717" s="6" t="n">
        <v>40827.6194444444</v>
      </c>
      <c r="F2717" s="0" t="n">
        <v>4.25</v>
      </c>
      <c r="G2717" s="0" t="n">
        <v>12536</v>
      </c>
      <c r="H2717" s="0" t="s">
        <v>43</v>
      </c>
      <c r="I2717" s="7" t="n">
        <f aca="false">IF(AND(LEFT(A2717,1)&lt;&gt;"C",D2717&gt;0,F2717&gt;0),1,0)</f>
        <v>1</v>
      </c>
      <c r="J2717" s="7" t="n">
        <f aca="false">IF(I2717=1,D2717*F2717,0)</f>
        <v>17</v>
      </c>
      <c r="K2717" s="7" t="n">
        <f aca="false">YEAR(E2717)*100+MONTH(E2717)</f>
        <v>201110</v>
      </c>
      <c r="L2717" s="7" t="n">
        <f aca="false">IF(AND(A2717&lt;&gt;A2716,LEFT(A2717,1)&lt;&gt;"C"),1,0)</f>
        <v>0</v>
      </c>
    </row>
    <row r="2718" customFormat="false" ht="15" hidden="false" customHeight="false" outlineLevel="0" collapsed="false">
      <c r="A2718" s="0" t="s">
        <v>2007</v>
      </c>
      <c r="B2718" s="0" t="s">
        <v>2078</v>
      </c>
      <c r="C2718" s="0" t="s">
        <v>2079</v>
      </c>
      <c r="D2718" s="0" t="n">
        <v>4</v>
      </c>
      <c r="E2718" s="6" t="n">
        <v>40827.6194444444</v>
      </c>
      <c r="F2718" s="0" t="n">
        <v>3.75</v>
      </c>
      <c r="G2718" s="0" t="n">
        <v>12536</v>
      </c>
      <c r="H2718" s="0" t="s">
        <v>43</v>
      </c>
      <c r="I2718" s="7" t="n">
        <f aca="false">IF(AND(LEFT(A2718,1)&lt;&gt;"C",D2718&gt;0,F2718&gt;0),1,0)</f>
        <v>1</v>
      </c>
      <c r="J2718" s="7" t="n">
        <f aca="false">IF(I2718=1,D2718*F2718,0)</f>
        <v>15</v>
      </c>
      <c r="K2718" s="7" t="n">
        <f aca="false">YEAR(E2718)*100+MONTH(E2718)</f>
        <v>201110</v>
      </c>
      <c r="L2718" s="7" t="n">
        <f aca="false">IF(AND(A2718&lt;&gt;A2717,LEFT(A2718,1)&lt;&gt;"C"),1,0)</f>
        <v>0</v>
      </c>
    </row>
    <row r="2719" customFormat="false" ht="15" hidden="false" customHeight="false" outlineLevel="0" collapsed="false">
      <c r="A2719" s="0" t="s">
        <v>2007</v>
      </c>
      <c r="B2719" s="0" t="s">
        <v>2080</v>
      </c>
      <c r="C2719" s="0" t="s">
        <v>2081</v>
      </c>
      <c r="D2719" s="0" t="n">
        <v>4</v>
      </c>
      <c r="E2719" s="6" t="n">
        <v>40827.6194444444</v>
      </c>
      <c r="F2719" s="0" t="n">
        <v>3.75</v>
      </c>
      <c r="G2719" s="0" t="n">
        <v>12536</v>
      </c>
      <c r="H2719" s="0" t="s">
        <v>43</v>
      </c>
      <c r="I2719" s="7" t="n">
        <f aca="false">IF(AND(LEFT(A2719,1)&lt;&gt;"C",D2719&gt;0,F2719&gt;0),1,0)</f>
        <v>1</v>
      </c>
      <c r="J2719" s="7" t="n">
        <f aca="false">IF(I2719=1,D2719*F2719,0)</f>
        <v>15</v>
      </c>
      <c r="K2719" s="7" t="n">
        <f aca="false">YEAR(E2719)*100+MONTH(E2719)</f>
        <v>201110</v>
      </c>
      <c r="L2719" s="7" t="n">
        <f aca="false">IF(AND(A2719&lt;&gt;A2718,LEFT(A2719,1)&lt;&gt;"C"),1,0)</f>
        <v>0</v>
      </c>
    </row>
    <row r="2720" customFormat="false" ht="15" hidden="false" customHeight="false" outlineLevel="0" collapsed="false">
      <c r="A2720" s="0" t="s">
        <v>2007</v>
      </c>
      <c r="B2720" s="0" t="s">
        <v>1140</v>
      </c>
      <c r="C2720" s="0" t="s">
        <v>1141</v>
      </c>
      <c r="D2720" s="0" t="n">
        <v>4</v>
      </c>
      <c r="E2720" s="6" t="n">
        <v>40827.6194444444</v>
      </c>
      <c r="F2720" s="0" t="n">
        <v>4.25</v>
      </c>
      <c r="G2720" s="0" t="n">
        <v>12536</v>
      </c>
      <c r="H2720" s="0" t="s">
        <v>43</v>
      </c>
      <c r="I2720" s="7" t="n">
        <f aca="false">IF(AND(LEFT(A2720,1)&lt;&gt;"C",D2720&gt;0,F2720&gt;0),1,0)</f>
        <v>1</v>
      </c>
      <c r="J2720" s="7" t="n">
        <f aca="false">IF(I2720=1,D2720*F2720,0)</f>
        <v>17</v>
      </c>
      <c r="K2720" s="7" t="n">
        <f aca="false">YEAR(E2720)*100+MONTH(E2720)</f>
        <v>201110</v>
      </c>
      <c r="L2720" s="7" t="n">
        <f aca="false">IF(AND(A2720&lt;&gt;A2719,LEFT(A2720,1)&lt;&gt;"C"),1,0)</f>
        <v>0</v>
      </c>
    </row>
    <row r="2721" customFormat="false" ht="15" hidden="false" customHeight="false" outlineLevel="0" collapsed="false">
      <c r="A2721" s="0" t="s">
        <v>2007</v>
      </c>
      <c r="B2721" s="0" t="s">
        <v>2082</v>
      </c>
      <c r="C2721" s="0" t="s">
        <v>2083</v>
      </c>
      <c r="D2721" s="0" t="n">
        <v>16</v>
      </c>
      <c r="E2721" s="6" t="n">
        <v>40827.6194444444</v>
      </c>
      <c r="F2721" s="0" t="n">
        <v>0.59</v>
      </c>
      <c r="G2721" s="0" t="n">
        <v>12536</v>
      </c>
      <c r="H2721" s="0" t="s">
        <v>43</v>
      </c>
      <c r="I2721" s="7" t="n">
        <f aca="false">IF(AND(LEFT(A2721,1)&lt;&gt;"C",D2721&gt;0,F2721&gt;0),1,0)</f>
        <v>1</v>
      </c>
      <c r="J2721" s="7" t="n">
        <f aca="false">IF(I2721=1,D2721*F2721,0)</f>
        <v>9.44</v>
      </c>
      <c r="K2721" s="7" t="n">
        <f aca="false">YEAR(E2721)*100+MONTH(E2721)</f>
        <v>201110</v>
      </c>
      <c r="L2721" s="7" t="n">
        <f aca="false">IF(AND(A2721&lt;&gt;A2720,LEFT(A2721,1)&lt;&gt;"C"),1,0)</f>
        <v>0</v>
      </c>
    </row>
    <row r="2722" customFormat="false" ht="15" hidden="false" customHeight="false" outlineLevel="0" collapsed="false">
      <c r="A2722" s="0" t="s">
        <v>2007</v>
      </c>
      <c r="B2722" s="0" t="s">
        <v>525</v>
      </c>
      <c r="C2722" s="0" t="s">
        <v>526</v>
      </c>
      <c r="D2722" s="0" t="n">
        <v>6</v>
      </c>
      <c r="E2722" s="6" t="n">
        <v>40827.6194444444</v>
      </c>
      <c r="F2722" s="0" t="n">
        <v>2.95</v>
      </c>
      <c r="G2722" s="0" t="n">
        <v>12536</v>
      </c>
      <c r="H2722" s="0" t="s">
        <v>43</v>
      </c>
      <c r="I2722" s="7" t="n">
        <f aca="false">IF(AND(LEFT(A2722,1)&lt;&gt;"C",D2722&gt;0,F2722&gt;0),1,0)</f>
        <v>1</v>
      </c>
      <c r="J2722" s="7" t="n">
        <f aca="false">IF(I2722=1,D2722*F2722,0)</f>
        <v>17.7</v>
      </c>
      <c r="K2722" s="7" t="n">
        <f aca="false">YEAR(E2722)*100+MONTH(E2722)</f>
        <v>201110</v>
      </c>
      <c r="L2722" s="7" t="n">
        <f aca="false">IF(AND(A2722&lt;&gt;A2721,LEFT(A2722,1)&lt;&gt;"C"),1,0)</f>
        <v>0</v>
      </c>
    </row>
    <row r="2723" customFormat="false" ht="15" hidden="false" customHeight="false" outlineLevel="0" collapsed="false">
      <c r="A2723" s="0" t="s">
        <v>2007</v>
      </c>
      <c r="B2723" s="0" t="s">
        <v>527</v>
      </c>
      <c r="C2723" s="0" t="s">
        <v>528</v>
      </c>
      <c r="D2723" s="0" t="n">
        <v>6</v>
      </c>
      <c r="E2723" s="6" t="n">
        <v>40827.6194444444</v>
      </c>
      <c r="F2723" s="0" t="n">
        <v>2.95</v>
      </c>
      <c r="G2723" s="0" t="n">
        <v>12536</v>
      </c>
      <c r="H2723" s="0" t="s">
        <v>43</v>
      </c>
      <c r="I2723" s="7" t="n">
        <f aca="false">IF(AND(LEFT(A2723,1)&lt;&gt;"C",D2723&gt;0,F2723&gt;0),1,0)</f>
        <v>1</v>
      </c>
      <c r="J2723" s="7" t="n">
        <f aca="false">IF(I2723=1,D2723*F2723,0)</f>
        <v>17.7</v>
      </c>
      <c r="K2723" s="7" t="n">
        <f aca="false">YEAR(E2723)*100+MONTH(E2723)</f>
        <v>201110</v>
      </c>
      <c r="L2723" s="7" t="n">
        <f aca="false">IF(AND(A2723&lt;&gt;A2722,LEFT(A2723,1)&lt;&gt;"C"),1,0)</f>
        <v>0</v>
      </c>
    </row>
    <row r="2724" customFormat="false" ht="15" hidden="false" customHeight="false" outlineLevel="0" collapsed="false">
      <c r="A2724" s="0" t="s">
        <v>2007</v>
      </c>
      <c r="B2724" s="0" t="s">
        <v>2084</v>
      </c>
      <c r="C2724" s="0" t="s">
        <v>2085</v>
      </c>
      <c r="D2724" s="0" t="n">
        <v>6</v>
      </c>
      <c r="E2724" s="6" t="n">
        <v>40827.6194444444</v>
      </c>
      <c r="F2724" s="0" t="n">
        <v>2.55</v>
      </c>
      <c r="G2724" s="0" t="n">
        <v>12536</v>
      </c>
      <c r="H2724" s="0" t="s">
        <v>43</v>
      </c>
      <c r="I2724" s="7" t="n">
        <f aca="false">IF(AND(LEFT(A2724,1)&lt;&gt;"C",D2724&gt;0,F2724&gt;0),1,0)</f>
        <v>1</v>
      </c>
      <c r="J2724" s="7" t="n">
        <f aca="false">IF(I2724=1,D2724*F2724,0)</f>
        <v>15.3</v>
      </c>
      <c r="K2724" s="7" t="n">
        <f aca="false">YEAR(E2724)*100+MONTH(E2724)</f>
        <v>201110</v>
      </c>
      <c r="L2724" s="7" t="n">
        <f aca="false">IF(AND(A2724&lt;&gt;A2723,LEFT(A2724,1)&lt;&gt;"C"),1,0)</f>
        <v>0</v>
      </c>
    </row>
    <row r="2725" customFormat="false" ht="15" hidden="false" customHeight="false" outlineLevel="0" collapsed="false">
      <c r="A2725" s="0" t="s">
        <v>2007</v>
      </c>
      <c r="B2725" s="0" t="s">
        <v>612</v>
      </c>
      <c r="C2725" s="0" t="s">
        <v>613</v>
      </c>
      <c r="D2725" s="0" t="n">
        <v>12</v>
      </c>
      <c r="E2725" s="6" t="n">
        <v>40827.6194444444</v>
      </c>
      <c r="F2725" s="0" t="n">
        <v>1.25</v>
      </c>
      <c r="G2725" s="0" t="n">
        <v>12536</v>
      </c>
      <c r="H2725" s="0" t="s">
        <v>43</v>
      </c>
      <c r="I2725" s="7" t="n">
        <f aca="false">IF(AND(LEFT(A2725,1)&lt;&gt;"C",D2725&gt;0,F2725&gt;0),1,0)</f>
        <v>1</v>
      </c>
      <c r="J2725" s="7" t="n">
        <f aca="false">IF(I2725=1,D2725*F2725,0)</f>
        <v>15</v>
      </c>
      <c r="K2725" s="7" t="n">
        <f aca="false">YEAR(E2725)*100+MONTH(E2725)</f>
        <v>201110</v>
      </c>
      <c r="L2725" s="7" t="n">
        <f aca="false">IF(AND(A2725&lt;&gt;A2724,LEFT(A2725,1)&lt;&gt;"C"),1,0)</f>
        <v>0</v>
      </c>
    </row>
    <row r="2726" customFormat="false" ht="15" hidden="false" customHeight="false" outlineLevel="0" collapsed="false">
      <c r="A2726" s="0" t="s">
        <v>2007</v>
      </c>
      <c r="B2726" s="0" t="s">
        <v>2086</v>
      </c>
      <c r="C2726" s="0" t="s">
        <v>2087</v>
      </c>
      <c r="D2726" s="0" t="n">
        <v>6</v>
      </c>
      <c r="E2726" s="6" t="n">
        <v>40827.6194444444</v>
      </c>
      <c r="F2726" s="0" t="n">
        <v>2.95</v>
      </c>
      <c r="G2726" s="0" t="n">
        <v>12536</v>
      </c>
      <c r="H2726" s="0" t="s">
        <v>43</v>
      </c>
      <c r="I2726" s="7" t="n">
        <f aca="false">IF(AND(LEFT(A2726,1)&lt;&gt;"C",D2726&gt;0,F2726&gt;0),1,0)</f>
        <v>1</v>
      </c>
      <c r="J2726" s="7" t="n">
        <f aca="false">IF(I2726=1,D2726*F2726,0)</f>
        <v>17.7</v>
      </c>
      <c r="K2726" s="7" t="n">
        <f aca="false">YEAR(E2726)*100+MONTH(E2726)</f>
        <v>201110</v>
      </c>
      <c r="L2726" s="7" t="n">
        <f aca="false">IF(AND(A2726&lt;&gt;A2725,LEFT(A2726,1)&lt;&gt;"C"),1,0)</f>
        <v>0</v>
      </c>
    </row>
    <row r="2727" customFormat="false" ht="15" hidden="false" customHeight="false" outlineLevel="0" collapsed="false">
      <c r="A2727" s="0" t="s">
        <v>2007</v>
      </c>
      <c r="B2727" s="0" t="s">
        <v>1994</v>
      </c>
      <c r="C2727" s="0" t="s">
        <v>1995</v>
      </c>
      <c r="D2727" s="0" t="n">
        <v>3</v>
      </c>
      <c r="E2727" s="6" t="n">
        <v>40827.6194444444</v>
      </c>
      <c r="F2727" s="0" t="n">
        <v>5.95</v>
      </c>
      <c r="G2727" s="0" t="n">
        <v>12536</v>
      </c>
      <c r="H2727" s="0" t="s">
        <v>43</v>
      </c>
      <c r="I2727" s="7" t="n">
        <f aca="false">IF(AND(LEFT(A2727,1)&lt;&gt;"C",D2727&gt;0,F2727&gt;0),1,0)</f>
        <v>1</v>
      </c>
      <c r="J2727" s="7" t="n">
        <f aca="false">IF(I2727=1,D2727*F2727,0)</f>
        <v>17.85</v>
      </c>
      <c r="K2727" s="7" t="n">
        <f aca="false">YEAR(E2727)*100+MONTH(E2727)</f>
        <v>201110</v>
      </c>
      <c r="L2727" s="7" t="n">
        <f aca="false">IF(AND(A2727&lt;&gt;A2726,LEFT(A2727,1)&lt;&gt;"C"),1,0)</f>
        <v>0</v>
      </c>
    </row>
    <row r="2728" customFormat="false" ht="15" hidden="false" customHeight="false" outlineLevel="0" collapsed="false">
      <c r="A2728" s="0" t="s">
        <v>2007</v>
      </c>
      <c r="B2728" s="0" t="s">
        <v>351</v>
      </c>
      <c r="C2728" s="0" t="s">
        <v>352</v>
      </c>
      <c r="D2728" s="0" t="n">
        <v>12</v>
      </c>
      <c r="E2728" s="6" t="n">
        <v>40827.6194444444</v>
      </c>
      <c r="F2728" s="0" t="n">
        <v>1.95</v>
      </c>
      <c r="G2728" s="0" t="n">
        <v>12536</v>
      </c>
      <c r="H2728" s="0" t="s">
        <v>43</v>
      </c>
      <c r="I2728" s="7" t="n">
        <f aca="false">IF(AND(LEFT(A2728,1)&lt;&gt;"C",D2728&gt;0,F2728&gt;0),1,0)</f>
        <v>1</v>
      </c>
      <c r="J2728" s="7" t="n">
        <f aca="false">IF(I2728=1,D2728*F2728,0)</f>
        <v>23.4</v>
      </c>
      <c r="K2728" s="7" t="n">
        <f aca="false">YEAR(E2728)*100+MONTH(E2728)</f>
        <v>201110</v>
      </c>
      <c r="L2728" s="7" t="n">
        <f aca="false">IF(AND(A2728&lt;&gt;A2727,LEFT(A2728,1)&lt;&gt;"C"),1,0)</f>
        <v>0</v>
      </c>
    </row>
    <row r="2729" customFormat="false" ht="15" hidden="false" customHeight="false" outlineLevel="0" collapsed="false">
      <c r="A2729" s="0" t="s">
        <v>2007</v>
      </c>
      <c r="B2729" s="0" t="s">
        <v>123</v>
      </c>
      <c r="C2729" s="0" t="s">
        <v>124</v>
      </c>
      <c r="D2729" s="0" t="n">
        <v>6</v>
      </c>
      <c r="E2729" s="6" t="n">
        <v>40827.6194444444</v>
      </c>
      <c r="F2729" s="0" t="n">
        <v>2.95</v>
      </c>
      <c r="G2729" s="0" t="n">
        <v>12536</v>
      </c>
      <c r="H2729" s="0" t="s">
        <v>43</v>
      </c>
      <c r="I2729" s="7" t="n">
        <f aca="false">IF(AND(LEFT(A2729,1)&lt;&gt;"C",D2729&gt;0,F2729&gt;0),1,0)</f>
        <v>1</v>
      </c>
      <c r="J2729" s="7" t="n">
        <f aca="false">IF(I2729=1,D2729*F2729,0)</f>
        <v>17.7</v>
      </c>
      <c r="K2729" s="7" t="n">
        <f aca="false">YEAR(E2729)*100+MONTH(E2729)</f>
        <v>201110</v>
      </c>
      <c r="L2729" s="7" t="n">
        <f aca="false">IF(AND(A2729&lt;&gt;A2728,LEFT(A2729,1)&lt;&gt;"C"),1,0)</f>
        <v>0</v>
      </c>
    </row>
    <row r="2730" customFormat="false" ht="15" hidden="false" customHeight="false" outlineLevel="0" collapsed="false">
      <c r="A2730" s="0" t="s">
        <v>2007</v>
      </c>
      <c r="B2730" s="0" t="s">
        <v>610</v>
      </c>
      <c r="C2730" s="0" t="s">
        <v>611</v>
      </c>
      <c r="D2730" s="0" t="n">
        <v>6</v>
      </c>
      <c r="E2730" s="6" t="n">
        <v>40827.6194444444</v>
      </c>
      <c r="F2730" s="0" t="n">
        <v>2.95</v>
      </c>
      <c r="G2730" s="0" t="n">
        <v>12536</v>
      </c>
      <c r="H2730" s="0" t="s">
        <v>43</v>
      </c>
      <c r="I2730" s="7" t="n">
        <f aca="false">IF(AND(LEFT(A2730,1)&lt;&gt;"C",D2730&gt;0,F2730&gt;0),1,0)</f>
        <v>1</v>
      </c>
      <c r="J2730" s="7" t="n">
        <f aca="false">IF(I2730=1,D2730*F2730,0)</f>
        <v>17.7</v>
      </c>
      <c r="K2730" s="7" t="n">
        <f aca="false">YEAR(E2730)*100+MONTH(E2730)</f>
        <v>201110</v>
      </c>
      <c r="L2730" s="7" t="n">
        <f aca="false">IF(AND(A2730&lt;&gt;A2729,LEFT(A2730,1)&lt;&gt;"C"),1,0)</f>
        <v>0</v>
      </c>
    </row>
    <row r="2731" customFormat="false" ht="15" hidden="false" customHeight="false" outlineLevel="0" collapsed="false">
      <c r="A2731" s="0" t="s">
        <v>2007</v>
      </c>
      <c r="B2731" s="0" t="s">
        <v>1108</v>
      </c>
      <c r="C2731" s="0" t="s">
        <v>1109</v>
      </c>
      <c r="D2731" s="0" t="n">
        <v>12</v>
      </c>
      <c r="E2731" s="6" t="n">
        <v>40827.6194444444</v>
      </c>
      <c r="F2731" s="0" t="n">
        <v>0.85</v>
      </c>
      <c r="G2731" s="0" t="n">
        <v>12536</v>
      </c>
      <c r="H2731" s="0" t="s">
        <v>43</v>
      </c>
      <c r="I2731" s="7" t="n">
        <f aca="false">IF(AND(LEFT(A2731,1)&lt;&gt;"C",D2731&gt;0,F2731&gt;0),1,0)</f>
        <v>1</v>
      </c>
      <c r="J2731" s="7" t="n">
        <f aca="false">IF(I2731=1,D2731*F2731,0)</f>
        <v>10.2</v>
      </c>
      <c r="K2731" s="7" t="n">
        <f aca="false">YEAR(E2731)*100+MONTH(E2731)</f>
        <v>201110</v>
      </c>
      <c r="L2731" s="7" t="n">
        <f aca="false">IF(AND(A2731&lt;&gt;A2730,LEFT(A2731,1)&lt;&gt;"C"),1,0)</f>
        <v>0</v>
      </c>
    </row>
    <row r="2732" customFormat="false" ht="15" hidden="false" customHeight="false" outlineLevel="0" collapsed="false">
      <c r="A2732" s="0" t="s">
        <v>2007</v>
      </c>
      <c r="B2732" s="0" t="s">
        <v>168</v>
      </c>
      <c r="C2732" s="0" t="s">
        <v>169</v>
      </c>
      <c r="D2732" s="0" t="n">
        <v>20</v>
      </c>
      <c r="E2732" s="6" t="n">
        <v>40827.6194444444</v>
      </c>
      <c r="F2732" s="0" t="n">
        <v>0.85</v>
      </c>
      <c r="G2732" s="0" t="n">
        <v>12536</v>
      </c>
      <c r="H2732" s="0" t="s">
        <v>43</v>
      </c>
      <c r="I2732" s="7" t="n">
        <f aca="false">IF(AND(LEFT(A2732,1)&lt;&gt;"C",D2732&gt;0,F2732&gt;0),1,0)</f>
        <v>1</v>
      </c>
      <c r="J2732" s="7" t="n">
        <f aca="false">IF(I2732=1,D2732*F2732,0)</f>
        <v>17</v>
      </c>
      <c r="K2732" s="7" t="n">
        <f aca="false">YEAR(E2732)*100+MONTH(E2732)</f>
        <v>201110</v>
      </c>
      <c r="L2732" s="7" t="n">
        <f aca="false">IF(AND(A2732&lt;&gt;A2731,LEFT(A2732,1)&lt;&gt;"C"),1,0)</f>
        <v>0</v>
      </c>
    </row>
    <row r="2733" customFormat="false" ht="15" hidden="false" customHeight="false" outlineLevel="0" collapsed="false">
      <c r="A2733" s="0" t="s">
        <v>2007</v>
      </c>
      <c r="B2733" s="0" t="s">
        <v>2088</v>
      </c>
      <c r="C2733" s="0" t="s">
        <v>2089</v>
      </c>
      <c r="D2733" s="0" t="n">
        <v>4</v>
      </c>
      <c r="E2733" s="6" t="n">
        <v>40827.6194444444</v>
      </c>
      <c r="F2733" s="0" t="n">
        <v>4.25</v>
      </c>
      <c r="G2733" s="0" t="n">
        <v>12536</v>
      </c>
      <c r="H2733" s="0" t="s">
        <v>43</v>
      </c>
      <c r="I2733" s="7" t="n">
        <f aca="false">IF(AND(LEFT(A2733,1)&lt;&gt;"C",D2733&gt;0,F2733&gt;0),1,0)</f>
        <v>1</v>
      </c>
      <c r="J2733" s="7" t="n">
        <f aca="false">IF(I2733=1,D2733*F2733,0)</f>
        <v>17</v>
      </c>
      <c r="K2733" s="7" t="n">
        <f aca="false">YEAR(E2733)*100+MONTH(E2733)</f>
        <v>201110</v>
      </c>
      <c r="L2733" s="7" t="n">
        <f aca="false">IF(AND(A2733&lt;&gt;A2732,LEFT(A2733,1)&lt;&gt;"C"),1,0)</f>
        <v>0</v>
      </c>
    </row>
    <row r="2734" customFormat="false" ht="15" hidden="false" customHeight="false" outlineLevel="0" collapsed="false">
      <c r="A2734" s="0" t="s">
        <v>2007</v>
      </c>
      <c r="B2734" s="0" t="s">
        <v>267</v>
      </c>
      <c r="C2734" s="0" t="s">
        <v>268</v>
      </c>
      <c r="D2734" s="0" t="n">
        <v>4</v>
      </c>
      <c r="E2734" s="6" t="n">
        <v>40827.6194444444</v>
      </c>
      <c r="F2734" s="0" t="n">
        <v>4.25</v>
      </c>
      <c r="G2734" s="0" t="n">
        <v>12536</v>
      </c>
      <c r="H2734" s="0" t="s">
        <v>43</v>
      </c>
      <c r="I2734" s="7" t="n">
        <f aca="false">IF(AND(LEFT(A2734,1)&lt;&gt;"C",D2734&gt;0,F2734&gt;0),1,0)</f>
        <v>1</v>
      </c>
      <c r="J2734" s="7" t="n">
        <f aca="false">IF(I2734=1,D2734*F2734,0)</f>
        <v>17</v>
      </c>
      <c r="K2734" s="7" t="n">
        <f aca="false">YEAR(E2734)*100+MONTH(E2734)</f>
        <v>201110</v>
      </c>
      <c r="L2734" s="7" t="n">
        <f aca="false">IF(AND(A2734&lt;&gt;A2733,LEFT(A2734,1)&lt;&gt;"C"),1,0)</f>
        <v>0</v>
      </c>
    </row>
    <row r="2735" customFormat="false" ht="15" hidden="false" customHeight="false" outlineLevel="0" collapsed="false">
      <c r="A2735" s="0" t="s">
        <v>2007</v>
      </c>
      <c r="B2735" s="0" t="s">
        <v>269</v>
      </c>
      <c r="C2735" s="0" t="s">
        <v>270</v>
      </c>
      <c r="D2735" s="0" t="n">
        <v>4</v>
      </c>
      <c r="E2735" s="6" t="n">
        <v>40827.6194444444</v>
      </c>
      <c r="F2735" s="0" t="n">
        <v>4.25</v>
      </c>
      <c r="G2735" s="0" t="n">
        <v>12536</v>
      </c>
      <c r="H2735" s="0" t="s">
        <v>43</v>
      </c>
      <c r="I2735" s="7" t="n">
        <f aca="false">IF(AND(LEFT(A2735,1)&lt;&gt;"C",D2735&gt;0,F2735&gt;0),1,0)</f>
        <v>1</v>
      </c>
      <c r="J2735" s="7" t="n">
        <f aca="false">IF(I2735=1,D2735*F2735,0)</f>
        <v>17</v>
      </c>
      <c r="K2735" s="7" t="n">
        <f aca="false">YEAR(E2735)*100+MONTH(E2735)</f>
        <v>201110</v>
      </c>
      <c r="L2735" s="7" t="n">
        <f aca="false">IF(AND(A2735&lt;&gt;A2734,LEFT(A2735,1)&lt;&gt;"C"),1,0)</f>
        <v>0</v>
      </c>
    </row>
    <row r="2736" customFormat="false" ht="15" hidden="false" customHeight="false" outlineLevel="0" collapsed="false">
      <c r="A2736" s="0" t="s">
        <v>2007</v>
      </c>
      <c r="B2736" s="0" t="s">
        <v>2090</v>
      </c>
      <c r="C2736" s="0" t="s">
        <v>2091</v>
      </c>
      <c r="D2736" s="0" t="n">
        <v>6</v>
      </c>
      <c r="E2736" s="6" t="n">
        <v>40827.6194444444</v>
      </c>
      <c r="F2736" s="0" t="n">
        <v>2.55</v>
      </c>
      <c r="G2736" s="0" t="n">
        <v>12536</v>
      </c>
      <c r="H2736" s="0" t="s">
        <v>43</v>
      </c>
      <c r="I2736" s="7" t="n">
        <f aca="false">IF(AND(LEFT(A2736,1)&lt;&gt;"C",D2736&gt;0,F2736&gt;0),1,0)</f>
        <v>1</v>
      </c>
      <c r="J2736" s="7" t="n">
        <f aca="false">IF(I2736=1,D2736*F2736,0)</f>
        <v>15.3</v>
      </c>
      <c r="K2736" s="7" t="n">
        <f aca="false">YEAR(E2736)*100+MONTH(E2736)</f>
        <v>201110</v>
      </c>
      <c r="L2736" s="7" t="n">
        <f aca="false">IF(AND(A2736&lt;&gt;A2735,LEFT(A2736,1)&lt;&gt;"C"),1,0)</f>
        <v>0</v>
      </c>
    </row>
    <row r="2737" customFormat="false" ht="15" hidden="false" customHeight="false" outlineLevel="0" collapsed="false">
      <c r="A2737" s="0" t="s">
        <v>2007</v>
      </c>
      <c r="B2737" s="0" t="s">
        <v>2092</v>
      </c>
      <c r="C2737" s="0" t="s">
        <v>2093</v>
      </c>
      <c r="D2737" s="0" t="n">
        <v>6</v>
      </c>
      <c r="E2737" s="6" t="n">
        <v>40827.6194444444</v>
      </c>
      <c r="F2737" s="0" t="n">
        <v>2.55</v>
      </c>
      <c r="G2737" s="0" t="n">
        <v>12536</v>
      </c>
      <c r="H2737" s="0" t="s">
        <v>43</v>
      </c>
      <c r="I2737" s="7" t="n">
        <f aca="false">IF(AND(LEFT(A2737,1)&lt;&gt;"C",D2737&gt;0,F2737&gt;0),1,0)</f>
        <v>1</v>
      </c>
      <c r="J2737" s="7" t="n">
        <f aca="false">IF(I2737=1,D2737*F2737,0)</f>
        <v>15.3</v>
      </c>
      <c r="K2737" s="7" t="n">
        <f aca="false">YEAR(E2737)*100+MONTH(E2737)</f>
        <v>201110</v>
      </c>
      <c r="L2737" s="7" t="n">
        <f aca="false">IF(AND(A2737&lt;&gt;A2736,LEFT(A2737,1)&lt;&gt;"C"),1,0)</f>
        <v>0</v>
      </c>
    </row>
    <row r="2738" customFormat="false" ht="15" hidden="false" customHeight="false" outlineLevel="0" collapsed="false">
      <c r="A2738" s="0" t="s">
        <v>2007</v>
      </c>
      <c r="B2738" s="0" t="s">
        <v>1604</v>
      </c>
      <c r="C2738" s="0" t="s">
        <v>1605</v>
      </c>
      <c r="D2738" s="0" t="n">
        <v>6</v>
      </c>
      <c r="E2738" s="6" t="n">
        <v>40827.6194444444</v>
      </c>
      <c r="F2738" s="0" t="n">
        <v>2.55</v>
      </c>
      <c r="G2738" s="0" t="n">
        <v>12536</v>
      </c>
      <c r="H2738" s="0" t="s">
        <v>43</v>
      </c>
      <c r="I2738" s="7" t="n">
        <f aca="false">IF(AND(LEFT(A2738,1)&lt;&gt;"C",D2738&gt;0,F2738&gt;0),1,0)</f>
        <v>1</v>
      </c>
      <c r="J2738" s="7" t="n">
        <f aca="false">IF(I2738=1,D2738*F2738,0)</f>
        <v>15.3</v>
      </c>
      <c r="K2738" s="7" t="n">
        <f aca="false">YEAR(E2738)*100+MONTH(E2738)</f>
        <v>201110</v>
      </c>
      <c r="L2738" s="7" t="n">
        <f aca="false">IF(AND(A2738&lt;&gt;A2737,LEFT(A2738,1)&lt;&gt;"C"),1,0)</f>
        <v>0</v>
      </c>
    </row>
    <row r="2739" customFormat="false" ht="15" hidden="false" customHeight="false" outlineLevel="0" collapsed="false">
      <c r="A2739" s="0" t="s">
        <v>2007</v>
      </c>
      <c r="B2739" s="0" t="s">
        <v>1640</v>
      </c>
      <c r="C2739" s="0" t="s">
        <v>1641</v>
      </c>
      <c r="D2739" s="0" t="n">
        <v>24</v>
      </c>
      <c r="E2739" s="6" t="n">
        <v>40827.6194444444</v>
      </c>
      <c r="F2739" s="0" t="n">
        <v>0.39</v>
      </c>
      <c r="G2739" s="0" t="n">
        <v>12536</v>
      </c>
      <c r="H2739" s="0" t="s">
        <v>43</v>
      </c>
      <c r="I2739" s="7" t="n">
        <f aca="false">IF(AND(LEFT(A2739,1)&lt;&gt;"C",D2739&gt;0,F2739&gt;0),1,0)</f>
        <v>1</v>
      </c>
      <c r="J2739" s="7" t="n">
        <f aca="false">IF(I2739=1,D2739*F2739,0)</f>
        <v>9.36</v>
      </c>
      <c r="K2739" s="7" t="n">
        <f aca="false">YEAR(E2739)*100+MONTH(E2739)</f>
        <v>201110</v>
      </c>
      <c r="L2739" s="7" t="n">
        <f aca="false">IF(AND(A2739&lt;&gt;A2738,LEFT(A2739,1)&lt;&gt;"C"),1,0)</f>
        <v>0</v>
      </c>
    </row>
    <row r="2740" customFormat="false" ht="15" hidden="false" customHeight="false" outlineLevel="0" collapsed="false">
      <c r="A2740" s="0" t="s">
        <v>2007</v>
      </c>
      <c r="B2740" s="0" t="s">
        <v>649</v>
      </c>
      <c r="C2740" s="0" t="s">
        <v>650</v>
      </c>
      <c r="D2740" s="0" t="n">
        <v>24</v>
      </c>
      <c r="E2740" s="6" t="n">
        <v>40827.6194444444</v>
      </c>
      <c r="F2740" s="0" t="n">
        <v>0.39</v>
      </c>
      <c r="G2740" s="0" t="n">
        <v>12536</v>
      </c>
      <c r="H2740" s="0" t="s">
        <v>43</v>
      </c>
      <c r="I2740" s="7" t="n">
        <f aca="false">IF(AND(LEFT(A2740,1)&lt;&gt;"C",D2740&gt;0,F2740&gt;0),1,0)</f>
        <v>1</v>
      </c>
      <c r="J2740" s="7" t="n">
        <f aca="false">IF(I2740=1,D2740*F2740,0)</f>
        <v>9.36</v>
      </c>
      <c r="K2740" s="7" t="n">
        <f aca="false">YEAR(E2740)*100+MONTH(E2740)</f>
        <v>201110</v>
      </c>
      <c r="L2740" s="7" t="n">
        <f aca="false">IF(AND(A2740&lt;&gt;A2739,LEFT(A2740,1)&lt;&gt;"C"),1,0)</f>
        <v>0</v>
      </c>
    </row>
    <row r="2741" customFormat="false" ht="15" hidden="false" customHeight="false" outlineLevel="0" collapsed="false">
      <c r="A2741" s="0" t="s">
        <v>2007</v>
      </c>
      <c r="B2741" s="0" t="s">
        <v>2094</v>
      </c>
      <c r="C2741" s="0" t="s">
        <v>2095</v>
      </c>
      <c r="D2741" s="0" t="n">
        <v>24</v>
      </c>
      <c r="E2741" s="6" t="n">
        <v>40827.6194444444</v>
      </c>
      <c r="F2741" s="0" t="n">
        <v>0.39</v>
      </c>
      <c r="G2741" s="0" t="n">
        <v>12536</v>
      </c>
      <c r="H2741" s="0" t="s">
        <v>43</v>
      </c>
      <c r="I2741" s="7" t="n">
        <f aca="false">IF(AND(LEFT(A2741,1)&lt;&gt;"C",D2741&gt;0,F2741&gt;0),1,0)</f>
        <v>1</v>
      </c>
      <c r="J2741" s="7" t="n">
        <f aca="false">IF(I2741=1,D2741*F2741,0)</f>
        <v>9.36</v>
      </c>
      <c r="K2741" s="7" t="n">
        <f aca="false">YEAR(E2741)*100+MONTH(E2741)</f>
        <v>201110</v>
      </c>
      <c r="L2741" s="7" t="n">
        <f aca="false">IF(AND(A2741&lt;&gt;A2740,LEFT(A2741,1)&lt;&gt;"C"),1,0)</f>
        <v>0</v>
      </c>
    </row>
    <row r="2742" customFormat="false" ht="15" hidden="false" customHeight="false" outlineLevel="0" collapsed="false">
      <c r="A2742" s="0" t="s">
        <v>2007</v>
      </c>
      <c r="B2742" s="0" t="s">
        <v>887</v>
      </c>
      <c r="C2742" s="0" t="s">
        <v>888</v>
      </c>
      <c r="D2742" s="0" t="n">
        <v>12</v>
      </c>
      <c r="E2742" s="6" t="n">
        <v>40827.6194444444</v>
      </c>
      <c r="F2742" s="0" t="n">
        <v>0.39</v>
      </c>
      <c r="G2742" s="0" t="n">
        <v>12536</v>
      </c>
      <c r="H2742" s="0" t="s">
        <v>43</v>
      </c>
      <c r="I2742" s="7" t="n">
        <f aca="false">IF(AND(LEFT(A2742,1)&lt;&gt;"C",D2742&gt;0,F2742&gt;0),1,0)</f>
        <v>1</v>
      </c>
      <c r="J2742" s="7" t="n">
        <f aca="false">IF(I2742=1,D2742*F2742,0)</f>
        <v>4.68</v>
      </c>
      <c r="K2742" s="7" t="n">
        <f aca="false">YEAR(E2742)*100+MONTH(E2742)</f>
        <v>201110</v>
      </c>
      <c r="L2742" s="7" t="n">
        <f aca="false">IF(AND(A2742&lt;&gt;A2741,LEFT(A2742,1)&lt;&gt;"C"),1,0)</f>
        <v>0</v>
      </c>
    </row>
    <row r="2743" customFormat="false" ht="15" hidden="false" customHeight="false" outlineLevel="0" collapsed="false">
      <c r="A2743" s="0" t="s">
        <v>2007</v>
      </c>
      <c r="B2743" s="0" t="s">
        <v>2096</v>
      </c>
      <c r="C2743" s="0" t="s">
        <v>2097</v>
      </c>
      <c r="D2743" s="0" t="n">
        <v>12</v>
      </c>
      <c r="E2743" s="6" t="n">
        <v>40827.6194444444</v>
      </c>
      <c r="F2743" s="0" t="n">
        <v>1.25</v>
      </c>
      <c r="G2743" s="0" t="n">
        <v>12536</v>
      </c>
      <c r="H2743" s="0" t="s">
        <v>43</v>
      </c>
      <c r="I2743" s="7" t="n">
        <f aca="false">IF(AND(LEFT(A2743,1)&lt;&gt;"C",D2743&gt;0,F2743&gt;0),1,0)</f>
        <v>1</v>
      </c>
      <c r="J2743" s="7" t="n">
        <f aca="false">IF(I2743=1,D2743*F2743,0)</f>
        <v>15</v>
      </c>
      <c r="K2743" s="7" t="n">
        <f aca="false">YEAR(E2743)*100+MONTH(E2743)</f>
        <v>201110</v>
      </c>
      <c r="L2743" s="7" t="n">
        <f aca="false">IF(AND(A2743&lt;&gt;A2742,LEFT(A2743,1)&lt;&gt;"C"),1,0)</f>
        <v>0</v>
      </c>
    </row>
    <row r="2744" customFormat="false" ht="15" hidden="false" customHeight="false" outlineLevel="0" collapsed="false">
      <c r="A2744" s="0" t="s">
        <v>2007</v>
      </c>
      <c r="B2744" s="0" t="s">
        <v>2098</v>
      </c>
      <c r="C2744" s="0" t="s">
        <v>2099</v>
      </c>
      <c r="D2744" s="0" t="n">
        <v>6</v>
      </c>
      <c r="E2744" s="6" t="n">
        <v>40827.6194444444</v>
      </c>
      <c r="F2744" s="0" t="n">
        <v>2.95</v>
      </c>
      <c r="G2744" s="0" t="n">
        <v>12536</v>
      </c>
      <c r="H2744" s="0" t="s">
        <v>43</v>
      </c>
      <c r="I2744" s="7" t="n">
        <f aca="false">IF(AND(LEFT(A2744,1)&lt;&gt;"C",D2744&gt;0,F2744&gt;0),1,0)</f>
        <v>1</v>
      </c>
      <c r="J2744" s="7" t="n">
        <f aca="false">IF(I2744=1,D2744*F2744,0)</f>
        <v>17.7</v>
      </c>
      <c r="K2744" s="7" t="n">
        <f aca="false">YEAR(E2744)*100+MONTH(E2744)</f>
        <v>201110</v>
      </c>
      <c r="L2744" s="7" t="n">
        <f aca="false">IF(AND(A2744&lt;&gt;A2743,LEFT(A2744,1)&lt;&gt;"C"),1,0)</f>
        <v>0</v>
      </c>
    </row>
    <row r="2745" customFormat="false" ht="15" hidden="false" customHeight="false" outlineLevel="0" collapsed="false">
      <c r="A2745" s="0" t="s">
        <v>2007</v>
      </c>
      <c r="B2745" s="0" t="s">
        <v>148</v>
      </c>
      <c r="C2745" s="0" t="s">
        <v>149</v>
      </c>
      <c r="D2745" s="0" t="n">
        <v>2</v>
      </c>
      <c r="E2745" s="6" t="n">
        <v>40827.6194444444</v>
      </c>
      <c r="F2745" s="0" t="n">
        <v>12.75</v>
      </c>
      <c r="G2745" s="0" t="n">
        <v>12536</v>
      </c>
      <c r="H2745" s="0" t="s">
        <v>43</v>
      </c>
      <c r="I2745" s="7" t="n">
        <f aca="false">IF(AND(LEFT(A2745,1)&lt;&gt;"C",D2745&gt;0,F2745&gt;0),1,0)</f>
        <v>1</v>
      </c>
      <c r="J2745" s="7" t="n">
        <f aca="false">IF(I2745=1,D2745*F2745,0)</f>
        <v>25.5</v>
      </c>
      <c r="K2745" s="7" t="n">
        <f aca="false">YEAR(E2745)*100+MONTH(E2745)</f>
        <v>201110</v>
      </c>
      <c r="L2745" s="7" t="n">
        <f aca="false">IF(AND(A2745&lt;&gt;A2744,LEFT(A2745,1)&lt;&gt;"C"),1,0)</f>
        <v>0</v>
      </c>
    </row>
    <row r="2746" customFormat="false" ht="15" hidden="false" customHeight="false" outlineLevel="0" collapsed="false">
      <c r="A2746" s="0" t="s">
        <v>2007</v>
      </c>
      <c r="B2746" s="0" t="s">
        <v>2000</v>
      </c>
      <c r="C2746" s="0" t="s">
        <v>2001</v>
      </c>
      <c r="D2746" s="0" t="n">
        <v>6</v>
      </c>
      <c r="E2746" s="6" t="n">
        <v>40827.6194444444</v>
      </c>
      <c r="F2746" s="0" t="n">
        <v>2.95</v>
      </c>
      <c r="G2746" s="0" t="n">
        <v>12536</v>
      </c>
      <c r="H2746" s="0" t="s">
        <v>43</v>
      </c>
      <c r="I2746" s="7" t="n">
        <f aca="false">IF(AND(LEFT(A2746,1)&lt;&gt;"C",D2746&gt;0,F2746&gt;0),1,0)</f>
        <v>1</v>
      </c>
      <c r="J2746" s="7" t="n">
        <f aca="false">IF(I2746=1,D2746*F2746,0)</f>
        <v>17.7</v>
      </c>
      <c r="K2746" s="7" t="n">
        <f aca="false">YEAR(E2746)*100+MONTH(E2746)</f>
        <v>201110</v>
      </c>
      <c r="L2746" s="7" t="n">
        <f aca="false">IF(AND(A2746&lt;&gt;A2745,LEFT(A2746,1)&lt;&gt;"C"),1,0)</f>
        <v>0</v>
      </c>
    </row>
    <row r="2747" customFormat="false" ht="15" hidden="false" customHeight="false" outlineLevel="0" collapsed="false">
      <c r="A2747" s="0" t="s">
        <v>2007</v>
      </c>
      <c r="B2747" s="0" t="s">
        <v>841</v>
      </c>
      <c r="C2747" s="0" t="s">
        <v>842</v>
      </c>
      <c r="D2747" s="0" t="n">
        <v>6</v>
      </c>
      <c r="E2747" s="6" t="n">
        <v>40827.6194444444</v>
      </c>
      <c r="F2747" s="0" t="n">
        <v>3.35</v>
      </c>
      <c r="G2747" s="0" t="n">
        <v>12536</v>
      </c>
      <c r="H2747" s="0" t="s">
        <v>43</v>
      </c>
      <c r="I2747" s="7" t="n">
        <f aca="false">IF(AND(LEFT(A2747,1)&lt;&gt;"C",D2747&gt;0,F2747&gt;0),1,0)</f>
        <v>1</v>
      </c>
      <c r="J2747" s="7" t="n">
        <f aca="false">IF(I2747=1,D2747*F2747,0)</f>
        <v>20.1</v>
      </c>
      <c r="K2747" s="7" t="n">
        <f aca="false">YEAR(E2747)*100+MONTH(E2747)</f>
        <v>201110</v>
      </c>
      <c r="L2747" s="7" t="n">
        <f aca="false">IF(AND(A2747&lt;&gt;A2746,LEFT(A2747,1)&lt;&gt;"C"),1,0)</f>
        <v>0</v>
      </c>
    </row>
    <row r="2748" customFormat="false" ht="15" hidden="false" customHeight="false" outlineLevel="0" collapsed="false">
      <c r="A2748" s="0" t="s">
        <v>2007</v>
      </c>
      <c r="B2748" s="0" t="s">
        <v>2100</v>
      </c>
      <c r="C2748" s="0" t="s">
        <v>2101</v>
      </c>
      <c r="D2748" s="0" t="n">
        <v>6</v>
      </c>
      <c r="E2748" s="6" t="n">
        <v>40827.6194444444</v>
      </c>
      <c r="F2748" s="0" t="n">
        <v>2.95</v>
      </c>
      <c r="G2748" s="0" t="n">
        <v>12536</v>
      </c>
      <c r="H2748" s="0" t="s">
        <v>43</v>
      </c>
      <c r="I2748" s="7" t="n">
        <f aca="false">IF(AND(LEFT(A2748,1)&lt;&gt;"C",D2748&gt;0,F2748&gt;0),1,0)</f>
        <v>1</v>
      </c>
      <c r="J2748" s="7" t="n">
        <f aca="false">IF(I2748=1,D2748*F2748,0)</f>
        <v>17.7</v>
      </c>
      <c r="K2748" s="7" t="n">
        <f aca="false">YEAR(E2748)*100+MONTH(E2748)</f>
        <v>201110</v>
      </c>
      <c r="L2748" s="7" t="n">
        <f aca="false">IF(AND(A2748&lt;&gt;A2747,LEFT(A2748,1)&lt;&gt;"C"),1,0)</f>
        <v>0</v>
      </c>
    </row>
    <row r="2749" customFormat="false" ht="15" hidden="false" customHeight="false" outlineLevel="0" collapsed="false">
      <c r="A2749" s="0" t="s">
        <v>2007</v>
      </c>
      <c r="B2749" s="0" t="s">
        <v>1308</v>
      </c>
      <c r="C2749" s="0" t="s">
        <v>1309</v>
      </c>
      <c r="D2749" s="0" t="n">
        <v>2</v>
      </c>
      <c r="E2749" s="6" t="n">
        <v>40827.6194444444</v>
      </c>
      <c r="F2749" s="0" t="n">
        <v>12.75</v>
      </c>
      <c r="G2749" s="0" t="n">
        <v>12536</v>
      </c>
      <c r="H2749" s="0" t="s">
        <v>43</v>
      </c>
      <c r="I2749" s="7" t="n">
        <f aca="false">IF(AND(LEFT(A2749,1)&lt;&gt;"C",D2749&gt;0,F2749&gt;0),1,0)</f>
        <v>1</v>
      </c>
      <c r="J2749" s="7" t="n">
        <f aca="false">IF(I2749=1,D2749*F2749,0)</f>
        <v>25.5</v>
      </c>
      <c r="K2749" s="7" t="n">
        <f aca="false">YEAR(E2749)*100+MONTH(E2749)</f>
        <v>201110</v>
      </c>
      <c r="L2749" s="7" t="n">
        <f aca="false">IF(AND(A2749&lt;&gt;A2748,LEFT(A2749,1)&lt;&gt;"C"),1,0)</f>
        <v>0</v>
      </c>
    </row>
    <row r="2750" customFormat="false" ht="15" hidden="false" customHeight="false" outlineLevel="0" collapsed="false">
      <c r="A2750" s="0" t="s">
        <v>2007</v>
      </c>
      <c r="B2750" s="0" t="s">
        <v>330</v>
      </c>
      <c r="C2750" s="0" t="s">
        <v>331</v>
      </c>
      <c r="D2750" s="0" t="n">
        <v>24</v>
      </c>
      <c r="E2750" s="6" t="n">
        <v>40827.6194444444</v>
      </c>
      <c r="F2750" s="0" t="n">
        <v>0.42</v>
      </c>
      <c r="G2750" s="0" t="n">
        <v>12536</v>
      </c>
      <c r="H2750" s="0" t="s">
        <v>43</v>
      </c>
      <c r="I2750" s="7" t="n">
        <f aca="false">IF(AND(LEFT(A2750,1)&lt;&gt;"C",D2750&gt;0,F2750&gt;0),1,0)</f>
        <v>1</v>
      </c>
      <c r="J2750" s="7" t="n">
        <f aca="false">IF(I2750=1,D2750*F2750,0)</f>
        <v>10.08</v>
      </c>
      <c r="K2750" s="7" t="n">
        <f aca="false">YEAR(E2750)*100+MONTH(E2750)</f>
        <v>201110</v>
      </c>
      <c r="L2750" s="7" t="n">
        <f aca="false">IF(AND(A2750&lt;&gt;A2749,LEFT(A2750,1)&lt;&gt;"C"),1,0)</f>
        <v>0</v>
      </c>
    </row>
    <row r="2751" customFormat="false" ht="15" hidden="false" customHeight="false" outlineLevel="0" collapsed="false">
      <c r="A2751" s="0" t="s">
        <v>2007</v>
      </c>
      <c r="B2751" s="0" t="s">
        <v>2102</v>
      </c>
      <c r="C2751" s="0" t="s">
        <v>2103</v>
      </c>
      <c r="D2751" s="0" t="n">
        <v>12</v>
      </c>
      <c r="E2751" s="6" t="n">
        <v>40827.6194444444</v>
      </c>
      <c r="F2751" s="0" t="n">
        <v>0.85</v>
      </c>
      <c r="G2751" s="0" t="n">
        <v>12536</v>
      </c>
      <c r="H2751" s="0" t="s">
        <v>43</v>
      </c>
      <c r="I2751" s="7" t="n">
        <f aca="false">IF(AND(LEFT(A2751,1)&lt;&gt;"C",D2751&gt;0,F2751&gt;0),1,0)</f>
        <v>1</v>
      </c>
      <c r="J2751" s="7" t="n">
        <f aca="false">IF(I2751=1,D2751*F2751,0)</f>
        <v>10.2</v>
      </c>
      <c r="K2751" s="7" t="n">
        <f aca="false">YEAR(E2751)*100+MONTH(E2751)</f>
        <v>201110</v>
      </c>
      <c r="L2751" s="7" t="n">
        <f aca="false">IF(AND(A2751&lt;&gt;A2750,LEFT(A2751,1)&lt;&gt;"C"),1,0)</f>
        <v>0</v>
      </c>
    </row>
    <row r="2752" customFormat="false" ht="15" hidden="false" customHeight="false" outlineLevel="0" collapsed="false">
      <c r="A2752" s="0" t="s">
        <v>2007</v>
      </c>
      <c r="B2752" s="0" t="s">
        <v>2104</v>
      </c>
      <c r="C2752" s="0" t="s">
        <v>2105</v>
      </c>
      <c r="D2752" s="0" t="n">
        <v>3</v>
      </c>
      <c r="E2752" s="6" t="n">
        <v>40827.6194444444</v>
      </c>
      <c r="F2752" s="0" t="n">
        <v>5.95</v>
      </c>
      <c r="G2752" s="0" t="n">
        <v>12536</v>
      </c>
      <c r="H2752" s="0" t="s">
        <v>43</v>
      </c>
      <c r="I2752" s="7" t="n">
        <f aca="false">IF(AND(LEFT(A2752,1)&lt;&gt;"C",D2752&gt;0,F2752&gt;0),1,0)</f>
        <v>1</v>
      </c>
      <c r="J2752" s="7" t="n">
        <f aca="false">IF(I2752=1,D2752*F2752,0)</f>
        <v>17.85</v>
      </c>
      <c r="K2752" s="7" t="n">
        <f aca="false">YEAR(E2752)*100+MONTH(E2752)</f>
        <v>201110</v>
      </c>
      <c r="L2752" s="7" t="n">
        <f aca="false">IF(AND(A2752&lt;&gt;A2751,LEFT(A2752,1)&lt;&gt;"C"),1,0)</f>
        <v>0</v>
      </c>
    </row>
    <row r="2753" customFormat="false" ht="15" hidden="false" customHeight="false" outlineLevel="0" collapsed="false">
      <c r="A2753" s="0" t="s">
        <v>2007</v>
      </c>
      <c r="B2753" s="0" t="s">
        <v>1323</v>
      </c>
      <c r="C2753" s="0" t="s">
        <v>1324</v>
      </c>
      <c r="D2753" s="0" t="n">
        <v>4</v>
      </c>
      <c r="E2753" s="6" t="n">
        <v>40827.6194444444</v>
      </c>
      <c r="F2753" s="0" t="n">
        <v>4.95</v>
      </c>
      <c r="G2753" s="0" t="n">
        <v>12536</v>
      </c>
      <c r="H2753" s="0" t="s">
        <v>43</v>
      </c>
      <c r="I2753" s="7" t="n">
        <f aca="false">IF(AND(LEFT(A2753,1)&lt;&gt;"C",D2753&gt;0,F2753&gt;0),1,0)</f>
        <v>1</v>
      </c>
      <c r="J2753" s="7" t="n">
        <f aca="false">IF(I2753=1,D2753*F2753,0)</f>
        <v>19.8</v>
      </c>
      <c r="K2753" s="7" t="n">
        <f aca="false">YEAR(E2753)*100+MONTH(E2753)</f>
        <v>201110</v>
      </c>
      <c r="L2753" s="7" t="n">
        <f aca="false">IF(AND(A2753&lt;&gt;A2752,LEFT(A2753,1)&lt;&gt;"C"),1,0)</f>
        <v>0</v>
      </c>
    </row>
    <row r="2754" customFormat="false" ht="15" hidden="false" customHeight="false" outlineLevel="0" collapsed="false">
      <c r="A2754" s="0" t="s">
        <v>2007</v>
      </c>
      <c r="B2754" s="0" t="s">
        <v>273</v>
      </c>
      <c r="C2754" s="0" t="s">
        <v>274</v>
      </c>
      <c r="D2754" s="0" t="n">
        <v>4</v>
      </c>
      <c r="E2754" s="6" t="n">
        <v>40827.6194444444</v>
      </c>
      <c r="F2754" s="0" t="n">
        <v>4.95</v>
      </c>
      <c r="G2754" s="0" t="n">
        <v>12536</v>
      </c>
      <c r="H2754" s="0" t="s">
        <v>43</v>
      </c>
      <c r="I2754" s="7" t="n">
        <f aca="false">IF(AND(LEFT(A2754,1)&lt;&gt;"C",D2754&gt;0,F2754&gt;0),1,0)</f>
        <v>1</v>
      </c>
      <c r="J2754" s="7" t="n">
        <f aca="false">IF(I2754=1,D2754*F2754,0)</f>
        <v>19.8</v>
      </c>
      <c r="K2754" s="7" t="n">
        <f aca="false">YEAR(E2754)*100+MONTH(E2754)</f>
        <v>201110</v>
      </c>
      <c r="L2754" s="7" t="n">
        <f aca="false">IF(AND(A2754&lt;&gt;A2753,LEFT(A2754,1)&lt;&gt;"C"),1,0)</f>
        <v>0</v>
      </c>
    </row>
    <row r="2755" customFormat="false" ht="15" hidden="false" customHeight="false" outlineLevel="0" collapsed="false">
      <c r="A2755" s="0" t="s">
        <v>2007</v>
      </c>
      <c r="B2755" s="0" t="s">
        <v>2106</v>
      </c>
      <c r="C2755" s="0" t="s">
        <v>2107</v>
      </c>
      <c r="D2755" s="0" t="n">
        <v>4</v>
      </c>
      <c r="E2755" s="6" t="n">
        <v>40827.6194444444</v>
      </c>
      <c r="F2755" s="0" t="n">
        <v>3.75</v>
      </c>
      <c r="G2755" s="0" t="n">
        <v>12536</v>
      </c>
      <c r="H2755" s="0" t="s">
        <v>43</v>
      </c>
      <c r="I2755" s="7" t="n">
        <f aca="false">IF(AND(LEFT(A2755,1)&lt;&gt;"C",D2755&gt;0,F2755&gt;0),1,0)</f>
        <v>1</v>
      </c>
      <c r="J2755" s="7" t="n">
        <f aca="false">IF(I2755=1,D2755*F2755,0)</f>
        <v>15</v>
      </c>
      <c r="K2755" s="7" t="n">
        <f aca="false">YEAR(E2755)*100+MONTH(E2755)</f>
        <v>201110</v>
      </c>
      <c r="L2755" s="7" t="n">
        <f aca="false">IF(AND(A2755&lt;&gt;A2754,LEFT(A2755,1)&lt;&gt;"C"),1,0)</f>
        <v>0</v>
      </c>
    </row>
    <row r="2756" customFormat="false" ht="15" hidden="false" customHeight="false" outlineLevel="0" collapsed="false">
      <c r="A2756" s="0" t="s">
        <v>2007</v>
      </c>
      <c r="B2756" s="0" t="s">
        <v>541</v>
      </c>
      <c r="C2756" s="0" t="s">
        <v>542</v>
      </c>
      <c r="D2756" s="0" t="n">
        <v>24</v>
      </c>
      <c r="E2756" s="6" t="n">
        <v>40827.6194444444</v>
      </c>
      <c r="F2756" s="0" t="n">
        <v>0.42</v>
      </c>
      <c r="G2756" s="0" t="n">
        <v>12536</v>
      </c>
      <c r="H2756" s="0" t="s">
        <v>43</v>
      </c>
      <c r="I2756" s="7" t="n">
        <f aca="false">IF(AND(LEFT(A2756,1)&lt;&gt;"C",D2756&gt;0,F2756&gt;0),1,0)</f>
        <v>1</v>
      </c>
      <c r="J2756" s="7" t="n">
        <f aca="false">IF(I2756=1,D2756*F2756,0)</f>
        <v>10.08</v>
      </c>
      <c r="K2756" s="7" t="n">
        <f aca="false">YEAR(E2756)*100+MONTH(E2756)</f>
        <v>201110</v>
      </c>
      <c r="L2756" s="7" t="n">
        <f aca="false">IF(AND(A2756&lt;&gt;A2755,LEFT(A2756,1)&lt;&gt;"C"),1,0)</f>
        <v>0</v>
      </c>
    </row>
    <row r="2757" customFormat="false" ht="15" hidden="false" customHeight="false" outlineLevel="0" collapsed="false">
      <c r="A2757" s="0" t="s">
        <v>2007</v>
      </c>
      <c r="B2757" s="0" t="s">
        <v>2108</v>
      </c>
      <c r="C2757" s="0" t="s">
        <v>2109</v>
      </c>
      <c r="D2757" s="0" t="n">
        <v>24</v>
      </c>
      <c r="E2757" s="6" t="n">
        <v>40827.6194444444</v>
      </c>
      <c r="F2757" s="0" t="n">
        <v>0.42</v>
      </c>
      <c r="G2757" s="0" t="n">
        <v>12536</v>
      </c>
      <c r="H2757" s="0" t="s">
        <v>43</v>
      </c>
      <c r="I2757" s="7" t="n">
        <f aca="false">IF(AND(LEFT(A2757,1)&lt;&gt;"C",D2757&gt;0,F2757&gt;0),1,0)</f>
        <v>1</v>
      </c>
      <c r="J2757" s="7" t="n">
        <f aca="false">IF(I2757=1,D2757*F2757,0)</f>
        <v>10.08</v>
      </c>
      <c r="K2757" s="7" t="n">
        <f aca="false">YEAR(E2757)*100+MONTH(E2757)</f>
        <v>201110</v>
      </c>
      <c r="L2757" s="7" t="n">
        <f aca="false">IF(AND(A2757&lt;&gt;A2756,LEFT(A2757,1)&lt;&gt;"C"),1,0)</f>
        <v>0</v>
      </c>
    </row>
    <row r="2758" customFormat="false" ht="15" hidden="false" customHeight="false" outlineLevel="0" collapsed="false">
      <c r="A2758" s="0" t="s">
        <v>2007</v>
      </c>
      <c r="B2758" s="0" t="s">
        <v>539</v>
      </c>
      <c r="C2758" s="0" t="s">
        <v>540</v>
      </c>
      <c r="D2758" s="0" t="n">
        <v>24</v>
      </c>
      <c r="E2758" s="6" t="n">
        <v>40827.6194444444</v>
      </c>
      <c r="F2758" s="0" t="n">
        <v>0.42</v>
      </c>
      <c r="G2758" s="0" t="n">
        <v>12536</v>
      </c>
      <c r="H2758" s="0" t="s">
        <v>43</v>
      </c>
      <c r="I2758" s="7" t="n">
        <f aca="false">IF(AND(LEFT(A2758,1)&lt;&gt;"C",D2758&gt;0,F2758&gt;0),1,0)</f>
        <v>1</v>
      </c>
      <c r="J2758" s="7" t="n">
        <f aca="false">IF(I2758=1,D2758*F2758,0)</f>
        <v>10.08</v>
      </c>
      <c r="K2758" s="7" t="n">
        <f aca="false">YEAR(E2758)*100+MONTH(E2758)</f>
        <v>201110</v>
      </c>
      <c r="L2758" s="7" t="n">
        <f aca="false">IF(AND(A2758&lt;&gt;A2757,LEFT(A2758,1)&lt;&gt;"C"),1,0)</f>
        <v>0</v>
      </c>
    </row>
    <row r="2759" customFormat="false" ht="15" hidden="false" customHeight="false" outlineLevel="0" collapsed="false">
      <c r="A2759" s="0" t="s">
        <v>2007</v>
      </c>
      <c r="B2759" s="0" t="s">
        <v>2110</v>
      </c>
      <c r="C2759" s="0" t="s">
        <v>2111</v>
      </c>
      <c r="D2759" s="0" t="n">
        <v>24</v>
      </c>
      <c r="E2759" s="6" t="n">
        <v>40827.6194444444</v>
      </c>
      <c r="F2759" s="0" t="n">
        <v>0.42</v>
      </c>
      <c r="G2759" s="0" t="n">
        <v>12536</v>
      </c>
      <c r="H2759" s="0" t="s">
        <v>43</v>
      </c>
      <c r="I2759" s="7" t="n">
        <f aca="false">IF(AND(LEFT(A2759,1)&lt;&gt;"C",D2759&gt;0,F2759&gt;0),1,0)</f>
        <v>1</v>
      </c>
      <c r="J2759" s="7" t="n">
        <f aca="false">IF(I2759=1,D2759*F2759,0)</f>
        <v>10.08</v>
      </c>
      <c r="K2759" s="7" t="n">
        <f aca="false">YEAR(E2759)*100+MONTH(E2759)</f>
        <v>201110</v>
      </c>
      <c r="L2759" s="7" t="n">
        <f aca="false">IF(AND(A2759&lt;&gt;A2758,LEFT(A2759,1)&lt;&gt;"C"),1,0)</f>
        <v>0</v>
      </c>
    </row>
    <row r="2760" customFormat="false" ht="15" hidden="false" customHeight="false" outlineLevel="0" collapsed="false">
      <c r="A2760" s="0" t="s">
        <v>2007</v>
      </c>
      <c r="B2760" s="0" t="s">
        <v>2112</v>
      </c>
      <c r="C2760" s="0" t="s">
        <v>2113</v>
      </c>
      <c r="D2760" s="0" t="n">
        <v>4</v>
      </c>
      <c r="E2760" s="6" t="n">
        <v>40827.6194444444</v>
      </c>
      <c r="F2760" s="0" t="n">
        <v>3.75</v>
      </c>
      <c r="G2760" s="0" t="n">
        <v>12536</v>
      </c>
      <c r="H2760" s="0" t="s">
        <v>43</v>
      </c>
      <c r="I2760" s="7" t="n">
        <f aca="false">IF(AND(LEFT(A2760,1)&lt;&gt;"C",D2760&gt;0,F2760&gt;0),1,0)</f>
        <v>1</v>
      </c>
      <c r="J2760" s="7" t="n">
        <f aca="false">IF(I2760=1,D2760*F2760,0)</f>
        <v>15</v>
      </c>
      <c r="K2760" s="7" t="n">
        <f aca="false">YEAR(E2760)*100+MONTH(E2760)</f>
        <v>201110</v>
      </c>
      <c r="L2760" s="7" t="n">
        <f aca="false">IF(AND(A2760&lt;&gt;A2759,LEFT(A2760,1)&lt;&gt;"C"),1,0)</f>
        <v>0</v>
      </c>
    </row>
    <row r="2761" customFormat="false" ht="15" hidden="false" customHeight="false" outlineLevel="0" collapsed="false">
      <c r="A2761" s="0" t="s">
        <v>2007</v>
      </c>
      <c r="B2761" s="0" t="s">
        <v>333</v>
      </c>
      <c r="C2761" s="0" t="s">
        <v>334</v>
      </c>
      <c r="D2761" s="0" t="n">
        <v>12</v>
      </c>
      <c r="E2761" s="6" t="n">
        <v>40827.6194444444</v>
      </c>
      <c r="F2761" s="0" t="n">
        <v>1.65</v>
      </c>
      <c r="G2761" s="0" t="n">
        <v>12536</v>
      </c>
      <c r="H2761" s="0" t="s">
        <v>43</v>
      </c>
      <c r="I2761" s="7" t="n">
        <f aca="false">IF(AND(LEFT(A2761,1)&lt;&gt;"C",D2761&gt;0,F2761&gt;0),1,0)</f>
        <v>1</v>
      </c>
      <c r="J2761" s="7" t="n">
        <f aca="false">IF(I2761=1,D2761*F2761,0)</f>
        <v>19.8</v>
      </c>
      <c r="K2761" s="7" t="n">
        <f aca="false">YEAR(E2761)*100+MONTH(E2761)</f>
        <v>201110</v>
      </c>
      <c r="L2761" s="7" t="n">
        <f aca="false">IF(AND(A2761&lt;&gt;A2760,LEFT(A2761,1)&lt;&gt;"C"),1,0)</f>
        <v>0</v>
      </c>
    </row>
    <row r="2762" customFormat="false" ht="15" hidden="false" customHeight="false" outlineLevel="0" collapsed="false">
      <c r="A2762" s="0" t="s">
        <v>2007</v>
      </c>
      <c r="B2762" s="0" t="s">
        <v>335</v>
      </c>
      <c r="C2762" s="0" t="s">
        <v>336</v>
      </c>
      <c r="D2762" s="0" t="n">
        <v>12</v>
      </c>
      <c r="E2762" s="6" t="n">
        <v>40827.6194444444</v>
      </c>
      <c r="F2762" s="0" t="n">
        <v>1.65</v>
      </c>
      <c r="G2762" s="0" t="n">
        <v>12536</v>
      </c>
      <c r="H2762" s="0" t="s">
        <v>43</v>
      </c>
      <c r="I2762" s="7" t="n">
        <f aca="false">IF(AND(LEFT(A2762,1)&lt;&gt;"C",D2762&gt;0,F2762&gt;0),1,0)</f>
        <v>1</v>
      </c>
      <c r="J2762" s="7" t="n">
        <f aca="false">IF(I2762=1,D2762*F2762,0)</f>
        <v>19.8</v>
      </c>
      <c r="K2762" s="7" t="n">
        <f aca="false">YEAR(E2762)*100+MONTH(E2762)</f>
        <v>201110</v>
      </c>
      <c r="L2762" s="7" t="n">
        <f aca="false">IF(AND(A2762&lt;&gt;A2761,LEFT(A2762,1)&lt;&gt;"C"),1,0)</f>
        <v>0</v>
      </c>
    </row>
    <row r="2763" customFormat="false" ht="15" hidden="false" customHeight="false" outlineLevel="0" collapsed="false">
      <c r="A2763" s="0" t="s">
        <v>2007</v>
      </c>
      <c r="B2763" s="0" t="s">
        <v>97</v>
      </c>
      <c r="C2763" s="0" t="s">
        <v>98</v>
      </c>
      <c r="D2763" s="0" t="n">
        <v>12</v>
      </c>
      <c r="E2763" s="6" t="n">
        <v>40827.6194444444</v>
      </c>
      <c r="F2763" s="0" t="n">
        <v>1.65</v>
      </c>
      <c r="G2763" s="0" t="n">
        <v>12536</v>
      </c>
      <c r="H2763" s="0" t="s">
        <v>43</v>
      </c>
      <c r="I2763" s="7" t="n">
        <f aca="false">IF(AND(LEFT(A2763,1)&lt;&gt;"C",D2763&gt;0,F2763&gt;0),1,0)</f>
        <v>1</v>
      </c>
      <c r="J2763" s="7" t="n">
        <f aca="false">IF(I2763=1,D2763*F2763,0)</f>
        <v>19.8</v>
      </c>
      <c r="K2763" s="7" t="n">
        <f aca="false">YEAR(E2763)*100+MONTH(E2763)</f>
        <v>201110</v>
      </c>
      <c r="L2763" s="7" t="n">
        <f aca="false">IF(AND(A2763&lt;&gt;A2762,LEFT(A2763,1)&lt;&gt;"C"),1,0)</f>
        <v>0</v>
      </c>
    </row>
    <row r="2764" customFormat="false" ht="15" hidden="false" customHeight="false" outlineLevel="0" collapsed="false">
      <c r="A2764" s="0" t="s">
        <v>2007</v>
      </c>
      <c r="B2764" s="0" t="s">
        <v>471</v>
      </c>
      <c r="C2764" s="0" t="s">
        <v>472</v>
      </c>
      <c r="D2764" s="0" t="n">
        <v>12</v>
      </c>
      <c r="E2764" s="6" t="n">
        <v>40827.6194444444</v>
      </c>
      <c r="F2764" s="0" t="n">
        <v>1.65</v>
      </c>
      <c r="G2764" s="0" t="n">
        <v>12536</v>
      </c>
      <c r="H2764" s="0" t="s">
        <v>43</v>
      </c>
      <c r="I2764" s="7" t="n">
        <f aca="false">IF(AND(LEFT(A2764,1)&lt;&gt;"C",D2764&gt;0,F2764&gt;0),1,0)</f>
        <v>1</v>
      </c>
      <c r="J2764" s="7" t="n">
        <f aca="false">IF(I2764=1,D2764*F2764,0)</f>
        <v>19.8</v>
      </c>
      <c r="K2764" s="7" t="n">
        <f aca="false">YEAR(E2764)*100+MONTH(E2764)</f>
        <v>201110</v>
      </c>
      <c r="L2764" s="7" t="n">
        <f aca="false">IF(AND(A2764&lt;&gt;A2763,LEFT(A2764,1)&lt;&gt;"C"),1,0)</f>
        <v>0</v>
      </c>
    </row>
    <row r="2765" customFormat="false" ht="15" hidden="false" customHeight="false" outlineLevel="0" collapsed="false">
      <c r="A2765" s="0" t="s">
        <v>2007</v>
      </c>
      <c r="B2765" s="0" t="s">
        <v>54</v>
      </c>
      <c r="C2765" s="0" t="s">
        <v>55</v>
      </c>
      <c r="D2765" s="0" t="n">
        <v>12</v>
      </c>
      <c r="E2765" s="6" t="n">
        <v>40827.6194444444</v>
      </c>
      <c r="F2765" s="0" t="n">
        <v>1.65</v>
      </c>
      <c r="G2765" s="0" t="n">
        <v>12536</v>
      </c>
      <c r="H2765" s="0" t="s">
        <v>43</v>
      </c>
      <c r="I2765" s="7" t="n">
        <f aca="false">IF(AND(LEFT(A2765,1)&lt;&gt;"C",D2765&gt;0,F2765&gt;0),1,0)</f>
        <v>1</v>
      </c>
      <c r="J2765" s="7" t="n">
        <f aca="false">IF(I2765=1,D2765*F2765,0)</f>
        <v>19.8</v>
      </c>
      <c r="K2765" s="7" t="n">
        <f aca="false">YEAR(E2765)*100+MONTH(E2765)</f>
        <v>201110</v>
      </c>
      <c r="L2765" s="7" t="n">
        <f aca="false">IF(AND(A2765&lt;&gt;A2764,LEFT(A2765,1)&lt;&gt;"C"),1,0)</f>
        <v>0</v>
      </c>
    </row>
    <row r="2766" customFormat="false" ht="15" hidden="false" customHeight="false" outlineLevel="0" collapsed="false">
      <c r="A2766" s="0" t="s">
        <v>2007</v>
      </c>
      <c r="B2766" s="0" t="s">
        <v>2114</v>
      </c>
      <c r="C2766" s="0" t="s">
        <v>2115</v>
      </c>
      <c r="D2766" s="0" t="n">
        <v>12</v>
      </c>
      <c r="E2766" s="6" t="n">
        <v>40827.6194444444</v>
      </c>
      <c r="F2766" s="0" t="n">
        <v>1.45</v>
      </c>
      <c r="G2766" s="0" t="n">
        <v>12536</v>
      </c>
      <c r="H2766" s="0" t="s">
        <v>43</v>
      </c>
      <c r="I2766" s="7" t="n">
        <f aca="false">IF(AND(LEFT(A2766,1)&lt;&gt;"C",D2766&gt;0,F2766&gt;0),1,0)</f>
        <v>1</v>
      </c>
      <c r="J2766" s="7" t="n">
        <f aca="false">IF(I2766=1,D2766*F2766,0)</f>
        <v>17.4</v>
      </c>
      <c r="K2766" s="7" t="n">
        <f aca="false">YEAR(E2766)*100+MONTH(E2766)</f>
        <v>201110</v>
      </c>
      <c r="L2766" s="7" t="n">
        <f aca="false">IF(AND(A2766&lt;&gt;A2765,LEFT(A2766,1)&lt;&gt;"C"),1,0)</f>
        <v>0</v>
      </c>
    </row>
    <row r="2767" customFormat="false" ht="15" hidden="false" customHeight="false" outlineLevel="0" collapsed="false">
      <c r="A2767" s="0" t="s">
        <v>2007</v>
      </c>
      <c r="B2767" s="0" t="s">
        <v>705</v>
      </c>
      <c r="C2767" s="0" t="s">
        <v>706</v>
      </c>
      <c r="D2767" s="0" t="n">
        <v>12</v>
      </c>
      <c r="E2767" s="6" t="n">
        <v>40827.6194444444</v>
      </c>
      <c r="F2767" s="0" t="n">
        <v>0.85</v>
      </c>
      <c r="G2767" s="0" t="n">
        <v>12536</v>
      </c>
      <c r="H2767" s="0" t="s">
        <v>43</v>
      </c>
      <c r="I2767" s="7" t="n">
        <f aca="false">IF(AND(LEFT(A2767,1)&lt;&gt;"C",D2767&gt;0,F2767&gt;0),1,0)</f>
        <v>1</v>
      </c>
      <c r="J2767" s="7" t="n">
        <f aca="false">IF(I2767=1,D2767*F2767,0)</f>
        <v>10.2</v>
      </c>
      <c r="K2767" s="7" t="n">
        <f aca="false">YEAR(E2767)*100+MONTH(E2767)</f>
        <v>201110</v>
      </c>
      <c r="L2767" s="7" t="n">
        <f aca="false">IF(AND(A2767&lt;&gt;A2766,LEFT(A2767,1)&lt;&gt;"C"),1,0)</f>
        <v>0</v>
      </c>
    </row>
    <row r="2768" customFormat="false" ht="15" hidden="false" customHeight="false" outlineLevel="0" collapsed="false">
      <c r="A2768" s="0" t="s">
        <v>2007</v>
      </c>
      <c r="B2768" s="0" t="s">
        <v>2116</v>
      </c>
      <c r="C2768" s="0" t="s">
        <v>2117</v>
      </c>
      <c r="D2768" s="0" t="n">
        <v>12</v>
      </c>
      <c r="E2768" s="6" t="n">
        <v>40827.6194444444</v>
      </c>
      <c r="F2768" s="0" t="n">
        <v>0.85</v>
      </c>
      <c r="G2768" s="0" t="n">
        <v>12536</v>
      </c>
      <c r="H2768" s="0" t="s">
        <v>43</v>
      </c>
      <c r="I2768" s="7" t="n">
        <f aca="false">IF(AND(LEFT(A2768,1)&lt;&gt;"C",D2768&gt;0,F2768&gt;0),1,0)</f>
        <v>1</v>
      </c>
      <c r="J2768" s="7" t="n">
        <f aca="false">IF(I2768=1,D2768*F2768,0)</f>
        <v>10.2</v>
      </c>
      <c r="K2768" s="7" t="n">
        <f aca="false">YEAR(E2768)*100+MONTH(E2768)</f>
        <v>201110</v>
      </c>
      <c r="L2768" s="7" t="n">
        <f aca="false">IF(AND(A2768&lt;&gt;A2767,LEFT(A2768,1)&lt;&gt;"C"),1,0)</f>
        <v>0</v>
      </c>
    </row>
    <row r="2769" customFormat="false" ht="15" hidden="false" customHeight="false" outlineLevel="0" collapsed="false">
      <c r="A2769" s="0" t="s">
        <v>2007</v>
      </c>
      <c r="B2769" s="0" t="s">
        <v>1943</v>
      </c>
      <c r="C2769" s="0" t="s">
        <v>1944</v>
      </c>
      <c r="D2769" s="0" t="n">
        <v>36</v>
      </c>
      <c r="E2769" s="6" t="n">
        <v>40827.6194444444</v>
      </c>
      <c r="F2769" s="0" t="n">
        <v>0.19</v>
      </c>
      <c r="G2769" s="0" t="n">
        <v>12536</v>
      </c>
      <c r="H2769" s="0" t="s">
        <v>43</v>
      </c>
      <c r="I2769" s="7" t="n">
        <f aca="false">IF(AND(LEFT(A2769,1)&lt;&gt;"C",D2769&gt;0,F2769&gt;0),1,0)</f>
        <v>1</v>
      </c>
      <c r="J2769" s="7" t="n">
        <f aca="false">IF(I2769=1,D2769*F2769,0)</f>
        <v>6.84</v>
      </c>
      <c r="K2769" s="7" t="n">
        <f aca="false">YEAR(E2769)*100+MONTH(E2769)</f>
        <v>201110</v>
      </c>
      <c r="L2769" s="7" t="n">
        <f aca="false">IF(AND(A2769&lt;&gt;A2768,LEFT(A2769,1)&lt;&gt;"C"),1,0)</f>
        <v>0</v>
      </c>
    </row>
    <row r="2770" customFormat="false" ht="15" hidden="false" customHeight="false" outlineLevel="0" collapsed="false">
      <c r="A2770" s="0" t="s">
        <v>2007</v>
      </c>
      <c r="B2770" s="0" t="s">
        <v>1572</v>
      </c>
      <c r="C2770" s="0" t="s">
        <v>1573</v>
      </c>
      <c r="D2770" s="0" t="n">
        <v>36</v>
      </c>
      <c r="E2770" s="6" t="n">
        <v>40827.6194444444</v>
      </c>
      <c r="F2770" s="0" t="n">
        <v>0.19</v>
      </c>
      <c r="G2770" s="0" t="n">
        <v>12536</v>
      </c>
      <c r="H2770" s="0" t="s">
        <v>43</v>
      </c>
      <c r="I2770" s="7" t="n">
        <f aca="false">IF(AND(LEFT(A2770,1)&lt;&gt;"C",D2770&gt;0,F2770&gt;0),1,0)</f>
        <v>1</v>
      </c>
      <c r="J2770" s="7" t="n">
        <f aca="false">IF(I2770=1,D2770*F2770,0)</f>
        <v>6.84</v>
      </c>
      <c r="K2770" s="7" t="n">
        <f aca="false">YEAR(E2770)*100+MONTH(E2770)</f>
        <v>201110</v>
      </c>
      <c r="L2770" s="7" t="n">
        <f aca="false">IF(AND(A2770&lt;&gt;A2769,LEFT(A2770,1)&lt;&gt;"C"),1,0)</f>
        <v>0</v>
      </c>
    </row>
    <row r="2771" customFormat="false" ht="15" hidden="false" customHeight="false" outlineLevel="0" collapsed="false">
      <c r="A2771" s="0" t="s">
        <v>2007</v>
      </c>
      <c r="B2771" s="0" t="s">
        <v>1407</v>
      </c>
      <c r="C2771" s="0" t="s">
        <v>1408</v>
      </c>
      <c r="D2771" s="0" t="n">
        <v>24</v>
      </c>
      <c r="E2771" s="6" t="n">
        <v>40827.6194444444</v>
      </c>
      <c r="F2771" s="0" t="n">
        <v>0.39</v>
      </c>
      <c r="G2771" s="0" t="n">
        <v>12536</v>
      </c>
      <c r="H2771" s="0" t="s">
        <v>43</v>
      </c>
      <c r="I2771" s="7" t="n">
        <f aca="false">IF(AND(LEFT(A2771,1)&lt;&gt;"C",D2771&gt;0,F2771&gt;0),1,0)</f>
        <v>1</v>
      </c>
      <c r="J2771" s="7" t="n">
        <f aca="false">IF(I2771=1,D2771*F2771,0)</f>
        <v>9.36</v>
      </c>
      <c r="K2771" s="7" t="n">
        <f aca="false">YEAR(E2771)*100+MONTH(E2771)</f>
        <v>201110</v>
      </c>
      <c r="L2771" s="7" t="n">
        <f aca="false">IF(AND(A2771&lt;&gt;A2770,LEFT(A2771,1)&lt;&gt;"C"),1,0)</f>
        <v>0</v>
      </c>
    </row>
    <row r="2772" customFormat="false" ht="15" hidden="false" customHeight="false" outlineLevel="0" collapsed="false">
      <c r="A2772" s="0" t="s">
        <v>2007</v>
      </c>
      <c r="B2772" s="0" t="s">
        <v>1120</v>
      </c>
      <c r="C2772" s="0" t="s">
        <v>1121</v>
      </c>
      <c r="D2772" s="0" t="n">
        <v>4</v>
      </c>
      <c r="E2772" s="6" t="n">
        <v>40827.6194444444</v>
      </c>
      <c r="F2772" s="0" t="n">
        <v>3.75</v>
      </c>
      <c r="G2772" s="0" t="n">
        <v>12536</v>
      </c>
      <c r="H2772" s="0" t="s">
        <v>43</v>
      </c>
      <c r="I2772" s="7" t="n">
        <f aca="false">IF(AND(LEFT(A2772,1)&lt;&gt;"C",D2772&gt;0,F2772&gt;0),1,0)</f>
        <v>1</v>
      </c>
      <c r="J2772" s="7" t="n">
        <f aca="false">IF(I2772=1,D2772*F2772,0)</f>
        <v>15</v>
      </c>
      <c r="K2772" s="7" t="n">
        <f aca="false">YEAR(E2772)*100+MONTH(E2772)</f>
        <v>201110</v>
      </c>
      <c r="L2772" s="7" t="n">
        <f aca="false">IF(AND(A2772&lt;&gt;A2771,LEFT(A2772,1)&lt;&gt;"C"),1,0)</f>
        <v>0</v>
      </c>
    </row>
    <row r="2773" customFormat="false" ht="15" hidden="false" customHeight="false" outlineLevel="0" collapsed="false">
      <c r="A2773" s="0" t="s">
        <v>2007</v>
      </c>
      <c r="B2773" s="0" t="s">
        <v>241</v>
      </c>
      <c r="C2773" s="0" t="s">
        <v>242</v>
      </c>
      <c r="D2773" s="0" t="n">
        <v>12</v>
      </c>
      <c r="E2773" s="6" t="n">
        <v>40827.6194444444</v>
      </c>
      <c r="F2773" s="0" t="n">
        <v>1.45</v>
      </c>
      <c r="G2773" s="0" t="n">
        <v>12536</v>
      </c>
      <c r="H2773" s="0" t="s">
        <v>43</v>
      </c>
      <c r="I2773" s="7" t="n">
        <f aca="false">IF(AND(LEFT(A2773,1)&lt;&gt;"C",D2773&gt;0,F2773&gt;0),1,0)</f>
        <v>1</v>
      </c>
      <c r="J2773" s="7" t="n">
        <f aca="false">IF(I2773=1,D2773*F2773,0)</f>
        <v>17.4</v>
      </c>
      <c r="K2773" s="7" t="n">
        <f aca="false">YEAR(E2773)*100+MONTH(E2773)</f>
        <v>201110</v>
      </c>
      <c r="L2773" s="7" t="n">
        <f aca="false">IF(AND(A2773&lt;&gt;A2772,LEFT(A2773,1)&lt;&gt;"C"),1,0)</f>
        <v>0</v>
      </c>
    </row>
    <row r="2774" customFormat="false" ht="15" hidden="false" customHeight="false" outlineLevel="0" collapsed="false">
      <c r="A2774" s="0" t="s">
        <v>2007</v>
      </c>
      <c r="B2774" s="0" t="s">
        <v>1000</v>
      </c>
      <c r="C2774" s="0" t="s">
        <v>1001</v>
      </c>
      <c r="D2774" s="0" t="n">
        <v>4</v>
      </c>
      <c r="E2774" s="6" t="n">
        <v>40827.6194444444</v>
      </c>
      <c r="F2774" s="0" t="n">
        <v>4.95</v>
      </c>
      <c r="G2774" s="0" t="n">
        <v>12536</v>
      </c>
      <c r="H2774" s="0" t="s">
        <v>43</v>
      </c>
      <c r="I2774" s="7" t="n">
        <f aca="false">IF(AND(LEFT(A2774,1)&lt;&gt;"C",D2774&gt;0,F2774&gt;0),1,0)</f>
        <v>1</v>
      </c>
      <c r="J2774" s="7" t="n">
        <f aca="false">IF(I2774=1,D2774*F2774,0)</f>
        <v>19.8</v>
      </c>
      <c r="K2774" s="7" t="n">
        <f aca="false">YEAR(E2774)*100+MONTH(E2774)</f>
        <v>201110</v>
      </c>
      <c r="L2774" s="7" t="n">
        <f aca="false">IF(AND(A2774&lt;&gt;A2773,LEFT(A2774,1)&lt;&gt;"C"),1,0)</f>
        <v>0</v>
      </c>
    </row>
    <row r="2775" customFormat="false" ht="15" hidden="false" customHeight="false" outlineLevel="0" collapsed="false">
      <c r="A2775" s="0" t="s">
        <v>2007</v>
      </c>
      <c r="B2775" s="0" t="s">
        <v>2118</v>
      </c>
      <c r="C2775" s="0" t="s">
        <v>2119</v>
      </c>
      <c r="D2775" s="0" t="n">
        <v>12</v>
      </c>
      <c r="E2775" s="6" t="n">
        <v>40827.6194444444</v>
      </c>
      <c r="F2775" s="0" t="n">
        <v>2.1</v>
      </c>
      <c r="G2775" s="0" t="n">
        <v>12536</v>
      </c>
      <c r="H2775" s="0" t="s">
        <v>43</v>
      </c>
      <c r="I2775" s="7" t="n">
        <f aca="false">IF(AND(LEFT(A2775,1)&lt;&gt;"C",D2775&gt;0,F2775&gt;0),1,0)</f>
        <v>1</v>
      </c>
      <c r="J2775" s="7" t="n">
        <f aca="false">IF(I2775=1,D2775*F2775,0)</f>
        <v>25.2</v>
      </c>
      <c r="K2775" s="7" t="n">
        <f aca="false">YEAR(E2775)*100+MONTH(E2775)</f>
        <v>201110</v>
      </c>
      <c r="L2775" s="7" t="n">
        <f aca="false">IF(AND(A2775&lt;&gt;A2774,LEFT(A2775,1)&lt;&gt;"C"),1,0)</f>
        <v>0</v>
      </c>
    </row>
    <row r="2776" customFormat="false" ht="15" hidden="false" customHeight="false" outlineLevel="0" collapsed="false">
      <c r="A2776" s="0" t="s">
        <v>2007</v>
      </c>
      <c r="B2776" s="0" t="s">
        <v>473</v>
      </c>
      <c r="C2776" s="0" t="s">
        <v>474</v>
      </c>
      <c r="D2776" s="0" t="n">
        <v>2</v>
      </c>
      <c r="E2776" s="6" t="n">
        <v>40827.6194444444</v>
      </c>
      <c r="F2776" s="0" t="n">
        <v>9.95</v>
      </c>
      <c r="G2776" s="0" t="n">
        <v>12536</v>
      </c>
      <c r="H2776" s="0" t="s">
        <v>43</v>
      </c>
      <c r="I2776" s="7" t="n">
        <f aca="false">IF(AND(LEFT(A2776,1)&lt;&gt;"C",D2776&gt;0,F2776&gt;0),1,0)</f>
        <v>1</v>
      </c>
      <c r="J2776" s="7" t="n">
        <f aca="false">IF(I2776=1,D2776*F2776,0)</f>
        <v>19.9</v>
      </c>
      <c r="K2776" s="7" t="n">
        <f aca="false">YEAR(E2776)*100+MONTH(E2776)</f>
        <v>201110</v>
      </c>
      <c r="L2776" s="7" t="n">
        <f aca="false">IF(AND(A2776&lt;&gt;A2775,LEFT(A2776,1)&lt;&gt;"C"),1,0)</f>
        <v>0</v>
      </c>
    </row>
    <row r="2777" customFormat="false" ht="15" hidden="false" customHeight="false" outlineLevel="0" collapsed="false">
      <c r="A2777" s="0" t="s">
        <v>2007</v>
      </c>
      <c r="B2777" s="0" t="s">
        <v>475</v>
      </c>
      <c r="C2777" s="0" t="s">
        <v>476</v>
      </c>
      <c r="D2777" s="0" t="n">
        <v>2</v>
      </c>
      <c r="E2777" s="6" t="n">
        <v>40827.6194444444</v>
      </c>
      <c r="F2777" s="0" t="n">
        <v>9.95</v>
      </c>
      <c r="G2777" s="0" t="n">
        <v>12536</v>
      </c>
      <c r="H2777" s="0" t="s">
        <v>43</v>
      </c>
      <c r="I2777" s="7" t="n">
        <f aca="false">IF(AND(LEFT(A2777,1)&lt;&gt;"C",D2777&gt;0,F2777&gt;0),1,0)</f>
        <v>1</v>
      </c>
      <c r="J2777" s="7" t="n">
        <f aca="false">IF(I2777=1,D2777*F2777,0)</f>
        <v>19.9</v>
      </c>
      <c r="K2777" s="7" t="n">
        <f aca="false">YEAR(E2777)*100+MONTH(E2777)</f>
        <v>201110</v>
      </c>
      <c r="L2777" s="7" t="n">
        <f aca="false">IF(AND(A2777&lt;&gt;A2776,LEFT(A2777,1)&lt;&gt;"C"),1,0)</f>
        <v>0</v>
      </c>
    </row>
    <row r="2778" customFormat="false" ht="15" hidden="false" customHeight="false" outlineLevel="0" collapsed="false">
      <c r="A2778" s="0" t="s">
        <v>2007</v>
      </c>
      <c r="B2778" s="0" t="s">
        <v>1425</v>
      </c>
      <c r="C2778" s="0" t="s">
        <v>1426</v>
      </c>
      <c r="D2778" s="0" t="n">
        <v>2</v>
      </c>
      <c r="E2778" s="6" t="n">
        <v>40827.6194444444</v>
      </c>
      <c r="F2778" s="0" t="n">
        <v>8.5</v>
      </c>
      <c r="G2778" s="0" t="n">
        <v>12536</v>
      </c>
      <c r="H2778" s="0" t="s">
        <v>43</v>
      </c>
      <c r="I2778" s="7" t="n">
        <f aca="false">IF(AND(LEFT(A2778,1)&lt;&gt;"C",D2778&gt;0,F2778&gt;0),1,0)</f>
        <v>1</v>
      </c>
      <c r="J2778" s="7" t="n">
        <f aca="false">IF(I2778=1,D2778*F2778,0)</f>
        <v>17</v>
      </c>
      <c r="K2778" s="7" t="n">
        <f aca="false">YEAR(E2778)*100+MONTH(E2778)</f>
        <v>201110</v>
      </c>
      <c r="L2778" s="7" t="n">
        <f aca="false">IF(AND(A2778&lt;&gt;A2777,LEFT(A2778,1)&lt;&gt;"C"),1,0)</f>
        <v>0</v>
      </c>
    </row>
    <row r="2779" customFormat="false" ht="15" hidden="false" customHeight="false" outlineLevel="0" collapsed="false">
      <c r="A2779" s="0" t="s">
        <v>2007</v>
      </c>
      <c r="B2779" s="0" t="s">
        <v>72</v>
      </c>
      <c r="C2779" s="0" t="s">
        <v>73</v>
      </c>
      <c r="D2779" s="0" t="n">
        <v>12</v>
      </c>
      <c r="E2779" s="6" t="n">
        <v>40827.6194444444</v>
      </c>
      <c r="F2779" s="0" t="n">
        <v>1.95</v>
      </c>
      <c r="G2779" s="0" t="n">
        <v>12536</v>
      </c>
      <c r="H2779" s="0" t="s">
        <v>43</v>
      </c>
      <c r="I2779" s="7" t="n">
        <f aca="false">IF(AND(LEFT(A2779,1)&lt;&gt;"C",D2779&gt;0,F2779&gt;0),1,0)</f>
        <v>1</v>
      </c>
      <c r="J2779" s="7" t="n">
        <f aca="false">IF(I2779=1,D2779*F2779,0)</f>
        <v>23.4</v>
      </c>
      <c r="K2779" s="7" t="n">
        <f aca="false">YEAR(E2779)*100+MONTH(E2779)</f>
        <v>201110</v>
      </c>
      <c r="L2779" s="7" t="n">
        <f aca="false">IF(AND(A2779&lt;&gt;A2778,LEFT(A2779,1)&lt;&gt;"C"),1,0)</f>
        <v>0</v>
      </c>
    </row>
    <row r="2780" customFormat="false" ht="15" hidden="false" customHeight="false" outlineLevel="0" collapsed="false">
      <c r="A2780" s="0" t="s">
        <v>2007</v>
      </c>
      <c r="B2780" s="0" t="s">
        <v>2120</v>
      </c>
      <c r="C2780" s="0" t="s">
        <v>2121</v>
      </c>
      <c r="D2780" s="0" t="n">
        <v>2</v>
      </c>
      <c r="E2780" s="6" t="n">
        <v>40827.6194444444</v>
      </c>
      <c r="F2780" s="0" t="n">
        <v>8.25</v>
      </c>
      <c r="G2780" s="0" t="n">
        <v>12536</v>
      </c>
      <c r="H2780" s="0" t="s">
        <v>43</v>
      </c>
      <c r="I2780" s="7" t="n">
        <f aca="false">IF(AND(LEFT(A2780,1)&lt;&gt;"C",D2780&gt;0,F2780&gt;0),1,0)</f>
        <v>1</v>
      </c>
      <c r="J2780" s="7" t="n">
        <f aca="false">IF(I2780=1,D2780*F2780,0)</f>
        <v>16.5</v>
      </c>
      <c r="K2780" s="7" t="n">
        <f aca="false">YEAR(E2780)*100+MONTH(E2780)</f>
        <v>201110</v>
      </c>
      <c r="L2780" s="7" t="n">
        <f aca="false">IF(AND(A2780&lt;&gt;A2779,LEFT(A2780,1)&lt;&gt;"C"),1,0)</f>
        <v>0</v>
      </c>
    </row>
    <row r="2781" customFormat="false" ht="15" hidden="false" customHeight="false" outlineLevel="0" collapsed="false">
      <c r="A2781" s="0" t="s">
        <v>2007</v>
      </c>
      <c r="B2781" s="0" t="s">
        <v>1875</v>
      </c>
      <c r="C2781" s="0" t="s">
        <v>1876</v>
      </c>
      <c r="D2781" s="0" t="n">
        <v>2</v>
      </c>
      <c r="E2781" s="6" t="n">
        <v>40827.6194444444</v>
      </c>
      <c r="F2781" s="0" t="n">
        <v>8.25</v>
      </c>
      <c r="G2781" s="0" t="n">
        <v>12536</v>
      </c>
      <c r="H2781" s="0" t="s">
        <v>43</v>
      </c>
      <c r="I2781" s="7" t="n">
        <f aca="false">IF(AND(LEFT(A2781,1)&lt;&gt;"C",D2781&gt;0,F2781&gt;0),1,0)</f>
        <v>1</v>
      </c>
      <c r="J2781" s="7" t="n">
        <f aca="false">IF(I2781=1,D2781*F2781,0)</f>
        <v>16.5</v>
      </c>
      <c r="K2781" s="7" t="n">
        <f aca="false">YEAR(E2781)*100+MONTH(E2781)</f>
        <v>201110</v>
      </c>
      <c r="L2781" s="7" t="n">
        <f aca="false">IF(AND(A2781&lt;&gt;A2780,LEFT(A2781,1)&lt;&gt;"C"),1,0)</f>
        <v>0</v>
      </c>
    </row>
    <row r="2782" customFormat="false" ht="15" hidden="false" customHeight="false" outlineLevel="0" collapsed="false">
      <c r="A2782" s="0" t="s">
        <v>2007</v>
      </c>
      <c r="B2782" s="0" t="s">
        <v>2122</v>
      </c>
      <c r="C2782" s="0" t="s">
        <v>2123</v>
      </c>
      <c r="D2782" s="0" t="n">
        <v>6</v>
      </c>
      <c r="E2782" s="6" t="n">
        <v>40827.6194444444</v>
      </c>
      <c r="F2782" s="0" t="n">
        <v>2.1</v>
      </c>
      <c r="G2782" s="0" t="n">
        <v>12536</v>
      </c>
      <c r="H2782" s="0" t="s">
        <v>43</v>
      </c>
      <c r="I2782" s="7" t="n">
        <f aca="false">IF(AND(LEFT(A2782,1)&lt;&gt;"C",D2782&gt;0,F2782&gt;0),1,0)</f>
        <v>1</v>
      </c>
      <c r="J2782" s="7" t="n">
        <f aca="false">IF(I2782=1,D2782*F2782,0)</f>
        <v>12.6</v>
      </c>
      <c r="K2782" s="7" t="n">
        <f aca="false">YEAR(E2782)*100+MONTH(E2782)</f>
        <v>201110</v>
      </c>
      <c r="L2782" s="7" t="n">
        <f aca="false">IF(AND(A2782&lt;&gt;A2781,LEFT(A2782,1)&lt;&gt;"C"),1,0)</f>
        <v>0</v>
      </c>
    </row>
    <row r="2783" customFormat="false" ht="15" hidden="false" customHeight="false" outlineLevel="0" collapsed="false">
      <c r="A2783" s="0" t="s">
        <v>2007</v>
      </c>
      <c r="B2783" s="0" t="s">
        <v>679</v>
      </c>
      <c r="C2783" s="0" t="s">
        <v>680</v>
      </c>
      <c r="D2783" s="0" t="n">
        <v>6</v>
      </c>
      <c r="E2783" s="6" t="n">
        <v>40827.6194444444</v>
      </c>
      <c r="F2783" s="0" t="n">
        <v>2.1</v>
      </c>
      <c r="G2783" s="0" t="n">
        <v>12536</v>
      </c>
      <c r="H2783" s="0" t="s">
        <v>43</v>
      </c>
      <c r="I2783" s="7" t="n">
        <f aca="false">IF(AND(LEFT(A2783,1)&lt;&gt;"C",D2783&gt;0,F2783&gt;0),1,0)</f>
        <v>1</v>
      </c>
      <c r="J2783" s="7" t="n">
        <f aca="false">IF(I2783=1,D2783*F2783,0)</f>
        <v>12.6</v>
      </c>
      <c r="K2783" s="7" t="n">
        <f aca="false">YEAR(E2783)*100+MONTH(E2783)</f>
        <v>201110</v>
      </c>
      <c r="L2783" s="7" t="n">
        <f aca="false">IF(AND(A2783&lt;&gt;A2782,LEFT(A2783,1)&lt;&gt;"C"),1,0)</f>
        <v>0</v>
      </c>
    </row>
    <row r="2784" customFormat="false" ht="15" hidden="false" customHeight="false" outlineLevel="0" collapsed="false">
      <c r="A2784" s="0" t="s">
        <v>2007</v>
      </c>
      <c r="B2784" s="0" t="s">
        <v>1440</v>
      </c>
      <c r="C2784" s="0" t="s">
        <v>1441</v>
      </c>
      <c r="D2784" s="0" t="n">
        <v>6</v>
      </c>
      <c r="E2784" s="6" t="n">
        <v>40827.6194444444</v>
      </c>
      <c r="F2784" s="0" t="n">
        <v>2.1</v>
      </c>
      <c r="G2784" s="0" t="n">
        <v>12536</v>
      </c>
      <c r="H2784" s="0" t="s">
        <v>43</v>
      </c>
      <c r="I2784" s="7" t="n">
        <f aca="false">IF(AND(LEFT(A2784,1)&lt;&gt;"C",D2784&gt;0,F2784&gt;0),1,0)</f>
        <v>1</v>
      </c>
      <c r="J2784" s="7" t="n">
        <f aca="false">IF(I2784=1,D2784*F2784,0)</f>
        <v>12.6</v>
      </c>
      <c r="K2784" s="7" t="n">
        <f aca="false">YEAR(E2784)*100+MONTH(E2784)</f>
        <v>201110</v>
      </c>
      <c r="L2784" s="7" t="n">
        <f aca="false">IF(AND(A2784&lt;&gt;A2783,LEFT(A2784,1)&lt;&gt;"C"),1,0)</f>
        <v>0</v>
      </c>
    </row>
    <row r="2785" customFormat="false" ht="15" hidden="false" customHeight="false" outlineLevel="0" collapsed="false">
      <c r="A2785" s="0" t="s">
        <v>2007</v>
      </c>
      <c r="B2785" s="0" t="s">
        <v>1438</v>
      </c>
      <c r="C2785" s="0" t="s">
        <v>1439</v>
      </c>
      <c r="D2785" s="0" t="n">
        <v>6</v>
      </c>
      <c r="E2785" s="6" t="n">
        <v>40827.6194444444</v>
      </c>
      <c r="F2785" s="0" t="n">
        <v>2.1</v>
      </c>
      <c r="G2785" s="0" t="n">
        <v>12536</v>
      </c>
      <c r="H2785" s="0" t="s">
        <v>43</v>
      </c>
      <c r="I2785" s="7" t="n">
        <f aca="false">IF(AND(LEFT(A2785,1)&lt;&gt;"C",D2785&gt;0,F2785&gt;0),1,0)</f>
        <v>1</v>
      </c>
      <c r="J2785" s="7" t="n">
        <f aca="false">IF(I2785=1,D2785*F2785,0)</f>
        <v>12.6</v>
      </c>
      <c r="K2785" s="7" t="n">
        <f aca="false">YEAR(E2785)*100+MONTH(E2785)</f>
        <v>201110</v>
      </c>
      <c r="L2785" s="7" t="n">
        <f aca="false">IF(AND(A2785&lt;&gt;A2784,LEFT(A2785,1)&lt;&gt;"C"),1,0)</f>
        <v>0</v>
      </c>
    </row>
    <row r="2786" customFormat="false" ht="15" hidden="false" customHeight="false" outlineLevel="0" collapsed="false">
      <c r="A2786" s="0" t="s">
        <v>2007</v>
      </c>
      <c r="B2786" s="0" t="s">
        <v>677</v>
      </c>
      <c r="C2786" s="0" t="s">
        <v>678</v>
      </c>
      <c r="D2786" s="0" t="n">
        <v>6</v>
      </c>
      <c r="E2786" s="6" t="n">
        <v>40827.6194444444</v>
      </c>
      <c r="F2786" s="0" t="n">
        <v>2.1</v>
      </c>
      <c r="G2786" s="0" t="n">
        <v>12536</v>
      </c>
      <c r="H2786" s="0" t="s">
        <v>43</v>
      </c>
      <c r="I2786" s="7" t="n">
        <f aca="false">IF(AND(LEFT(A2786,1)&lt;&gt;"C",D2786&gt;0,F2786&gt;0),1,0)</f>
        <v>1</v>
      </c>
      <c r="J2786" s="7" t="n">
        <f aca="false">IF(I2786=1,D2786*F2786,0)</f>
        <v>12.6</v>
      </c>
      <c r="K2786" s="7" t="n">
        <f aca="false">YEAR(E2786)*100+MONTH(E2786)</f>
        <v>201110</v>
      </c>
      <c r="L2786" s="7" t="n">
        <f aca="false">IF(AND(A2786&lt;&gt;A2785,LEFT(A2786,1)&lt;&gt;"C"),1,0)</f>
        <v>0</v>
      </c>
    </row>
    <row r="2787" customFormat="false" ht="15" hidden="false" customHeight="false" outlineLevel="0" collapsed="false">
      <c r="A2787" s="0" t="s">
        <v>2007</v>
      </c>
      <c r="B2787" s="0" t="s">
        <v>2124</v>
      </c>
      <c r="C2787" s="0" t="s">
        <v>2125</v>
      </c>
      <c r="D2787" s="0" t="n">
        <v>4</v>
      </c>
      <c r="E2787" s="6" t="n">
        <v>40827.6194444444</v>
      </c>
      <c r="F2787" s="0" t="n">
        <v>3.75</v>
      </c>
      <c r="G2787" s="0" t="n">
        <v>12536</v>
      </c>
      <c r="H2787" s="0" t="s">
        <v>43</v>
      </c>
      <c r="I2787" s="7" t="n">
        <f aca="false">IF(AND(LEFT(A2787,1)&lt;&gt;"C",D2787&gt;0,F2787&gt;0),1,0)</f>
        <v>1</v>
      </c>
      <c r="J2787" s="7" t="n">
        <f aca="false">IF(I2787=1,D2787*F2787,0)</f>
        <v>15</v>
      </c>
      <c r="K2787" s="7" t="n">
        <f aca="false">YEAR(E2787)*100+MONTH(E2787)</f>
        <v>201110</v>
      </c>
      <c r="L2787" s="7" t="n">
        <f aca="false">IF(AND(A2787&lt;&gt;A2786,LEFT(A2787,1)&lt;&gt;"C"),1,0)</f>
        <v>0</v>
      </c>
    </row>
    <row r="2788" customFormat="false" ht="15" hidden="false" customHeight="false" outlineLevel="0" collapsed="false">
      <c r="A2788" s="0" t="s">
        <v>2007</v>
      </c>
      <c r="B2788" s="0" t="s">
        <v>655</v>
      </c>
      <c r="C2788" s="0" t="s">
        <v>656</v>
      </c>
      <c r="D2788" s="0" t="n">
        <v>4</v>
      </c>
      <c r="E2788" s="6" t="n">
        <v>40827.6194444444</v>
      </c>
      <c r="F2788" s="0" t="n">
        <v>3.75</v>
      </c>
      <c r="G2788" s="0" t="n">
        <v>12536</v>
      </c>
      <c r="H2788" s="0" t="s">
        <v>43</v>
      </c>
      <c r="I2788" s="7" t="n">
        <f aca="false">IF(AND(LEFT(A2788,1)&lt;&gt;"C",D2788&gt;0,F2788&gt;0),1,0)</f>
        <v>1</v>
      </c>
      <c r="J2788" s="7" t="n">
        <f aca="false">IF(I2788=1,D2788*F2788,0)</f>
        <v>15</v>
      </c>
      <c r="K2788" s="7" t="n">
        <f aca="false">YEAR(E2788)*100+MONTH(E2788)</f>
        <v>201110</v>
      </c>
      <c r="L2788" s="7" t="n">
        <f aca="false">IF(AND(A2788&lt;&gt;A2787,LEFT(A2788,1)&lt;&gt;"C"),1,0)</f>
        <v>0</v>
      </c>
    </row>
    <row r="2789" customFormat="false" ht="15" hidden="false" customHeight="false" outlineLevel="0" collapsed="false">
      <c r="A2789" s="0" t="s">
        <v>2007</v>
      </c>
      <c r="B2789" s="0" t="s">
        <v>1581</v>
      </c>
      <c r="C2789" s="0" t="s">
        <v>1582</v>
      </c>
      <c r="D2789" s="0" t="n">
        <v>24</v>
      </c>
      <c r="E2789" s="6" t="n">
        <v>40827.6194444444</v>
      </c>
      <c r="F2789" s="0" t="n">
        <v>1.65</v>
      </c>
      <c r="G2789" s="0" t="n">
        <v>12536</v>
      </c>
      <c r="H2789" s="0" t="s">
        <v>43</v>
      </c>
      <c r="I2789" s="7" t="n">
        <f aca="false">IF(AND(LEFT(A2789,1)&lt;&gt;"C",D2789&gt;0,F2789&gt;0),1,0)</f>
        <v>1</v>
      </c>
      <c r="J2789" s="7" t="n">
        <f aca="false">IF(I2789=1,D2789*F2789,0)</f>
        <v>39.6</v>
      </c>
      <c r="K2789" s="7" t="n">
        <f aca="false">YEAR(E2789)*100+MONTH(E2789)</f>
        <v>201110</v>
      </c>
      <c r="L2789" s="7" t="n">
        <f aca="false">IF(AND(A2789&lt;&gt;A2788,LEFT(A2789,1)&lt;&gt;"C"),1,0)</f>
        <v>0</v>
      </c>
    </row>
    <row r="2790" customFormat="false" ht="15" hidden="false" customHeight="false" outlineLevel="0" collapsed="false">
      <c r="A2790" s="0" t="s">
        <v>2007</v>
      </c>
      <c r="B2790" s="0" t="s">
        <v>2126</v>
      </c>
      <c r="C2790" s="0" t="s">
        <v>2127</v>
      </c>
      <c r="D2790" s="0" t="n">
        <v>2</v>
      </c>
      <c r="E2790" s="6" t="n">
        <v>40827.6194444444</v>
      </c>
      <c r="F2790" s="0" t="n">
        <v>9.95</v>
      </c>
      <c r="G2790" s="0" t="n">
        <v>12536</v>
      </c>
      <c r="H2790" s="0" t="s">
        <v>43</v>
      </c>
      <c r="I2790" s="7" t="n">
        <f aca="false">IF(AND(LEFT(A2790,1)&lt;&gt;"C",D2790&gt;0,F2790&gt;0),1,0)</f>
        <v>1</v>
      </c>
      <c r="J2790" s="7" t="n">
        <f aca="false">IF(I2790=1,D2790*F2790,0)</f>
        <v>19.9</v>
      </c>
      <c r="K2790" s="7" t="n">
        <f aca="false">YEAR(E2790)*100+MONTH(E2790)</f>
        <v>201110</v>
      </c>
      <c r="L2790" s="7" t="n">
        <f aca="false">IF(AND(A2790&lt;&gt;A2789,LEFT(A2790,1)&lt;&gt;"C"),1,0)</f>
        <v>0</v>
      </c>
    </row>
    <row r="2791" customFormat="false" ht="15" hidden="false" customHeight="false" outlineLevel="0" collapsed="false">
      <c r="A2791" s="0" t="s">
        <v>2007</v>
      </c>
      <c r="B2791" s="0" t="s">
        <v>2128</v>
      </c>
      <c r="C2791" s="0" t="s">
        <v>2129</v>
      </c>
      <c r="D2791" s="0" t="n">
        <v>6</v>
      </c>
      <c r="E2791" s="6" t="n">
        <v>40827.6194444444</v>
      </c>
      <c r="F2791" s="0" t="n">
        <v>2.95</v>
      </c>
      <c r="G2791" s="0" t="n">
        <v>12536</v>
      </c>
      <c r="H2791" s="0" t="s">
        <v>43</v>
      </c>
      <c r="I2791" s="7" t="n">
        <f aca="false">IF(AND(LEFT(A2791,1)&lt;&gt;"C",D2791&gt;0,F2791&gt;0),1,0)</f>
        <v>1</v>
      </c>
      <c r="J2791" s="7" t="n">
        <f aca="false">IF(I2791=1,D2791*F2791,0)</f>
        <v>17.7</v>
      </c>
      <c r="K2791" s="7" t="n">
        <f aca="false">YEAR(E2791)*100+MONTH(E2791)</f>
        <v>201110</v>
      </c>
      <c r="L2791" s="7" t="n">
        <f aca="false">IF(AND(A2791&lt;&gt;A2790,LEFT(A2791,1)&lt;&gt;"C"),1,0)</f>
        <v>0</v>
      </c>
    </row>
    <row r="2792" customFormat="false" ht="15" hidden="false" customHeight="false" outlineLevel="0" collapsed="false">
      <c r="A2792" s="0" t="s">
        <v>2007</v>
      </c>
      <c r="B2792" s="0" t="s">
        <v>2130</v>
      </c>
      <c r="C2792" s="0" t="s">
        <v>2131</v>
      </c>
      <c r="D2792" s="0" t="n">
        <v>2</v>
      </c>
      <c r="E2792" s="6" t="n">
        <v>40827.6194444444</v>
      </c>
      <c r="F2792" s="0" t="n">
        <v>7.95</v>
      </c>
      <c r="G2792" s="0" t="n">
        <v>12536</v>
      </c>
      <c r="H2792" s="0" t="s">
        <v>43</v>
      </c>
      <c r="I2792" s="7" t="n">
        <f aca="false">IF(AND(LEFT(A2792,1)&lt;&gt;"C",D2792&gt;0,F2792&gt;0),1,0)</f>
        <v>1</v>
      </c>
      <c r="J2792" s="7" t="n">
        <f aca="false">IF(I2792=1,D2792*F2792,0)</f>
        <v>15.9</v>
      </c>
      <c r="K2792" s="7" t="n">
        <f aca="false">YEAR(E2792)*100+MONTH(E2792)</f>
        <v>201110</v>
      </c>
      <c r="L2792" s="7" t="n">
        <f aca="false">IF(AND(A2792&lt;&gt;A2791,LEFT(A2792,1)&lt;&gt;"C"),1,0)</f>
        <v>0</v>
      </c>
    </row>
    <row r="2793" customFormat="false" ht="15" hidden="false" customHeight="false" outlineLevel="0" collapsed="false">
      <c r="A2793" s="0" t="s">
        <v>2007</v>
      </c>
      <c r="B2793" s="0" t="s">
        <v>488</v>
      </c>
      <c r="C2793" s="0" t="s">
        <v>489</v>
      </c>
      <c r="D2793" s="0" t="n">
        <v>2</v>
      </c>
      <c r="E2793" s="6" t="n">
        <v>40827.6194444444</v>
      </c>
      <c r="F2793" s="0" t="n">
        <v>6.75</v>
      </c>
      <c r="G2793" s="0" t="n">
        <v>12536</v>
      </c>
      <c r="H2793" s="0" t="s">
        <v>43</v>
      </c>
      <c r="I2793" s="7" t="n">
        <f aca="false">IF(AND(LEFT(A2793,1)&lt;&gt;"C",D2793&gt;0,F2793&gt;0),1,0)</f>
        <v>1</v>
      </c>
      <c r="J2793" s="7" t="n">
        <f aca="false">IF(I2793=1,D2793*F2793,0)</f>
        <v>13.5</v>
      </c>
      <c r="K2793" s="7" t="n">
        <f aca="false">YEAR(E2793)*100+MONTH(E2793)</f>
        <v>201110</v>
      </c>
      <c r="L2793" s="7" t="n">
        <f aca="false">IF(AND(A2793&lt;&gt;A2792,LEFT(A2793,1)&lt;&gt;"C"),1,0)</f>
        <v>0</v>
      </c>
    </row>
    <row r="2794" customFormat="false" ht="15" hidden="false" customHeight="false" outlineLevel="0" collapsed="false">
      <c r="A2794" s="0" t="s">
        <v>2007</v>
      </c>
      <c r="B2794" s="0" t="s">
        <v>2132</v>
      </c>
      <c r="C2794" s="0" t="s">
        <v>2133</v>
      </c>
      <c r="D2794" s="0" t="n">
        <v>2</v>
      </c>
      <c r="E2794" s="6" t="n">
        <v>40827.6194444444</v>
      </c>
      <c r="F2794" s="0" t="n">
        <v>8.5</v>
      </c>
      <c r="G2794" s="0" t="n">
        <v>12536</v>
      </c>
      <c r="H2794" s="0" t="s">
        <v>43</v>
      </c>
      <c r="I2794" s="7" t="n">
        <f aca="false">IF(AND(LEFT(A2794,1)&lt;&gt;"C",D2794&gt;0,F2794&gt;0),1,0)</f>
        <v>1</v>
      </c>
      <c r="J2794" s="7" t="n">
        <f aca="false">IF(I2794=1,D2794*F2794,0)</f>
        <v>17</v>
      </c>
      <c r="K2794" s="7" t="n">
        <f aca="false">YEAR(E2794)*100+MONTH(E2794)</f>
        <v>201110</v>
      </c>
      <c r="L2794" s="7" t="n">
        <f aca="false">IF(AND(A2794&lt;&gt;A2793,LEFT(A2794,1)&lt;&gt;"C"),1,0)</f>
        <v>0</v>
      </c>
    </row>
    <row r="2795" customFormat="false" ht="15" hidden="false" customHeight="false" outlineLevel="0" collapsed="false">
      <c r="A2795" s="0" t="s">
        <v>2007</v>
      </c>
      <c r="B2795" s="0" t="s">
        <v>1707</v>
      </c>
      <c r="C2795" s="0" t="s">
        <v>1708</v>
      </c>
      <c r="D2795" s="0" t="n">
        <v>1</v>
      </c>
      <c r="E2795" s="6" t="n">
        <v>40827.6194444444</v>
      </c>
      <c r="F2795" s="0" t="n">
        <v>16.95</v>
      </c>
      <c r="G2795" s="0" t="n">
        <v>12536</v>
      </c>
      <c r="H2795" s="0" t="s">
        <v>43</v>
      </c>
      <c r="I2795" s="7" t="n">
        <f aca="false">IF(AND(LEFT(A2795,1)&lt;&gt;"C",D2795&gt;0,F2795&gt;0),1,0)</f>
        <v>1</v>
      </c>
      <c r="J2795" s="7" t="n">
        <f aca="false">IF(I2795=1,D2795*F2795,0)</f>
        <v>16.95</v>
      </c>
      <c r="K2795" s="7" t="n">
        <f aca="false">YEAR(E2795)*100+MONTH(E2795)</f>
        <v>201110</v>
      </c>
      <c r="L2795" s="7" t="n">
        <f aca="false">IF(AND(A2795&lt;&gt;A2794,LEFT(A2795,1)&lt;&gt;"C"),1,0)</f>
        <v>0</v>
      </c>
    </row>
    <row r="2796" customFormat="false" ht="15" hidden="false" customHeight="false" outlineLevel="0" collapsed="false">
      <c r="A2796" s="0" t="s">
        <v>2007</v>
      </c>
      <c r="B2796" s="0" t="s">
        <v>1112</v>
      </c>
      <c r="C2796" s="0" t="s">
        <v>1113</v>
      </c>
      <c r="D2796" s="0" t="n">
        <v>1</v>
      </c>
      <c r="E2796" s="6" t="n">
        <v>40827.6194444444</v>
      </c>
      <c r="F2796" s="0" t="n">
        <v>16.95</v>
      </c>
      <c r="G2796" s="0" t="n">
        <v>12536</v>
      </c>
      <c r="H2796" s="0" t="s">
        <v>43</v>
      </c>
      <c r="I2796" s="7" t="n">
        <f aca="false">IF(AND(LEFT(A2796,1)&lt;&gt;"C",D2796&gt;0,F2796&gt;0),1,0)</f>
        <v>1</v>
      </c>
      <c r="J2796" s="7" t="n">
        <f aca="false">IF(I2796=1,D2796*F2796,0)</f>
        <v>16.95</v>
      </c>
      <c r="K2796" s="7" t="n">
        <f aca="false">YEAR(E2796)*100+MONTH(E2796)</f>
        <v>201110</v>
      </c>
      <c r="L2796" s="7" t="n">
        <f aca="false">IF(AND(A2796&lt;&gt;A2795,LEFT(A2796,1)&lt;&gt;"C"),1,0)</f>
        <v>0</v>
      </c>
    </row>
    <row r="2797" customFormat="false" ht="15" hidden="false" customHeight="false" outlineLevel="0" collapsed="false">
      <c r="A2797" s="0" t="s">
        <v>2007</v>
      </c>
      <c r="B2797" s="0" t="s">
        <v>2134</v>
      </c>
      <c r="C2797" s="0" t="s">
        <v>2135</v>
      </c>
      <c r="D2797" s="0" t="n">
        <v>4</v>
      </c>
      <c r="E2797" s="6" t="n">
        <v>40827.6194444444</v>
      </c>
      <c r="F2797" s="0" t="n">
        <v>4.25</v>
      </c>
      <c r="G2797" s="0" t="n">
        <v>12536</v>
      </c>
      <c r="H2797" s="0" t="s">
        <v>43</v>
      </c>
      <c r="I2797" s="7" t="n">
        <f aca="false">IF(AND(LEFT(A2797,1)&lt;&gt;"C",D2797&gt;0,F2797&gt;0),1,0)</f>
        <v>1</v>
      </c>
      <c r="J2797" s="7" t="n">
        <f aca="false">IF(I2797=1,D2797*F2797,0)</f>
        <v>17</v>
      </c>
      <c r="K2797" s="7" t="n">
        <f aca="false">YEAR(E2797)*100+MONTH(E2797)</f>
        <v>201110</v>
      </c>
      <c r="L2797" s="7" t="n">
        <f aca="false">IF(AND(A2797&lt;&gt;A2796,LEFT(A2797,1)&lt;&gt;"C"),1,0)</f>
        <v>0</v>
      </c>
    </row>
    <row r="2798" customFormat="false" ht="15" hidden="false" customHeight="false" outlineLevel="0" collapsed="false">
      <c r="A2798" s="0" t="s">
        <v>2007</v>
      </c>
      <c r="B2798" s="0" t="s">
        <v>1991</v>
      </c>
      <c r="C2798" s="0" t="s">
        <v>1992</v>
      </c>
      <c r="D2798" s="0" t="n">
        <v>6</v>
      </c>
      <c r="E2798" s="6" t="n">
        <v>40827.6194444444</v>
      </c>
      <c r="F2798" s="0" t="n">
        <v>1.65</v>
      </c>
      <c r="G2798" s="0" t="n">
        <v>12536</v>
      </c>
      <c r="H2798" s="0" t="s">
        <v>43</v>
      </c>
      <c r="I2798" s="7" t="n">
        <f aca="false">IF(AND(LEFT(A2798,1)&lt;&gt;"C",D2798&gt;0,F2798&gt;0),1,0)</f>
        <v>1</v>
      </c>
      <c r="J2798" s="7" t="n">
        <f aca="false">IF(I2798=1,D2798*F2798,0)</f>
        <v>9.9</v>
      </c>
      <c r="K2798" s="7" t="n">
        <f aca="false">YEAR(E2798)*100+MONTH(E2798)</f>
        <v>201110</v>
      </c>
      <c r="L2798" s="7" t="n">
        <f aca="false">IF(AND(A2798&lt;&gt;A2797,LEFT(A2798,1)&lt;&gt;"C"),1,0)</f>
        <v>0</v>
      </c>
    </row>
    <row r="2799" customFormat="false" ht="15" hidden="false" customHeight="false" outlineLevel="0" collapsed="false">
      <c r="A2799" s="0" t="s">
        <v>2007</v>
      </c>
      <c r="B2799" s="0" t="s">
        <v>1269</v>
      </c>
      <c r="C2799" s="0" t="s">
        <v>1270</v>
      </c>
      <c r="D2799" s="0" t="n">
        <v>12</v>
      </c>
      <c r="E2799" s="6" t="n">
        <v>40827.6194444444</v>
      </c>
      <c r="F2799" s="0" t="n">
        <v>2.1</v>
      </c>
      <c r="G2799" s="0" t="n">
        <v>12536</v>
      </c>
      <c r="H2799" s="0" t="s">
        <v>43</v>
      </c>
      <c r="I2799" s="7" t="n">
        <f aca="false">IF(AND(LEFT(A2799,1)&lt;&gt;"C",D2799&gt;0,F2799&gt;0),1,0)</f>
        <v>1</v>
      </c>
      <c r="J2799" s="7" t="n">
        <f aca="false">IF(I2799=1,D2799*F2799,0)</f>
        <v>25.2</v>
      </c>
      <c r="K2799" s="7" t="n">
        <f aca="false">YEAR(E2799)*100+MONTH(E2799)</f>
        <v>201110</v>
      </c>
      <c r="L2799" s="7" t="n">
        <f aca="false">IF(AND(A2799&lt;&gt;A2798,LEFT(A2799,1)&lt;&gt;"C"),1,0)</f>
        <v>0</v>
      </c>
    </row>
    <row r="2800" customFormat="false" ht="15" hidden="false" customHeight="false" outlineLevel="0" collapsed="false">
      <c r="A2800" s="0" t="s">
        <v>2007</v>
      </c>
      <c r="B2800" s="0" t="s">
        <v>1290</v>
      </c>
      <c r="C2800" s="0" t="s">
        <v>1291</v>
      </c>
      <c r="D2800" s="0" t="n">
        <v>6</v>
      </c>
      <c r="E2800" s="6" t="n">
        <v>40827.6194444444</v>
      </c>
      <c r="F2800" s="0" t="n">
        <v>3.25</v>
      </c>
      <c r="G2800" s="0" t="n">
        <v>12536</v>
      </c>
      <c r="H2800" s="0" t="s">
        <v>43</v>
      </c>
      <c r="I2800" s="7" t="n">
        <f aca="false">IF(AND(LEFT(A2800,1)&lt;&gt;"C",D2800&gt;0,F2800&gt;0),1,0)</f>
        <v>1</v>
      </c>
      <c r="J2800" s="7" t="n">
        <f aca="false">IF(I2800=1,D2800*F2800,0)</f>
        <v>19.5</v>
      </c>
      <c r="K2800" s="7" t="n">
        <f aca="false">YEAR(E2800)*100+MONTH(E2800)</f>
        <v>201110</v>
      </c>
      <c r="L2800" s="7" t="n">
        <f aca="false">IF(AND(A2800&lt;&gt;A2799,LEFT(A2800,1)&lt;&gt;"C"),1,0)</f>
        <v>0</v>
      </c>
    </row>
    <row r="2801" customFormat="false" ht="15" hidden="false" customHeight="false" outlineLevel="0" collapsed="false">
      <c r="A2801" s="0" t="s">
        <v>2007</v>
      </c>
      <c r="B2801" s="0" t="s">
        <v>2136</v>
      </c>
      <c r="C2801" s="0" t="s">
        <v>2137</v>
      </c>
      <c r="D2801" s="0" t="n">
        <v>12</v>
      </c>
      <c r="E2801" s="6" t="n">
        <v>40827.6194444444</v>
      </c>
      <c r="F2801" s="0" t="n">
        <v>2.1</v>
      </c>
      <c r="G2801" s="0" t="n">
        <v>12536</v>
      </c>
      <c r="H2801" s="0" t="s">
        <v>43</v>
      </c>
      <c r="I2801" s="7" t="n">
        <f aca="false">IF(AND(LEFT(A2801,1)&lt;&gt;"C",D2801&gt;0,F2801&gt;0),1,0)</f>
        <v>1</v>
      </c>
      <c r="J2801" s="7" t="n">
        <f aca="false">IF(I2801=1,D2801*F2801,0)</f>
        <v>25.2</v>
      </c>
      <c r="K2801" s="7" t="n">
        <f aca="false">YEAR(E2801)*100+MONTH(E2801)</f>
        <v>201110</v>
      </c>
      <c r="L2801" s="7" t="n">
        <f aca="false">IF(AND(A2801&lt;&gt;A2800,LEFT(A2801,1)&lt;&gt;"C"),1,0)</f>
        <v>0</v>
      </c>
    </row>
    <row r="2802" customFormat="false" ht="15" hidden="false" customHeight="false" outlineLevel="0" collapsed="false">
      <c r="A2802" s="0" t="s">
        <v>2007</v>
      </c>
      <c r="B2802" s="0" t="s">
        <v>1378</v>
      </c>
      <c r="C2802" s="0" t="s">
        <v>1379</v>
      </c>
      <c r="D2802" s="0" t="n">
        <v>12</v>
      </c>
      <c r="E2802" s="6" t="n">
        <v>40827.6194444444</v>
      </c>
      <c r="F2802" s="0" t="n">
        <v>0.85</v>
      </c>
      <c r="G2802" s="0" t="n">
        <v>12536</v>
      </c>
      <c r="H2802" s="0" t="s">
        <v>43</v>
      </c>
      <c r="I2802" s="7" t="n">
        <f aca="false">IF(AND(LEFT(A2802,1)&lt;&gt;"C",D2802&gt;0,F2802&gt;0),1,0)</f>
        <v>1</v>
      </c>
      <c r="J2802" s="7" t="n">
        <f aca="false">IF(I2802=1,D2802*F2802,0)</f>
        <v>10.2</v>
      </c>
      <c r="K2802" s="7" t="n">
        <f aca="false">YEAR(E2802)*100+MONTH(E2802)</f>
        <v>201110</v>
      </c>
      <c r="L2802" s="7" t="n">
        <f aca="false">IF(AND(A2802&lt;&gt;A2801,LEFT(A2802,1)&lt;&gt;"C"),1,0)</f>
        <v>0</v>
      </c>
    </row>
    <row r="2803" customFormat="false" ht="15" hidden="false" customHeight="false" outlineLevel="0" collapsed="false">
      <c r="A2803" s="0" t="s">
        <v>2007</v>
      </c>
      <c r="B2803" s="0" t="s">
        <v>2138</v>
      </c>
      <c r="C2803" s="0" t="s">
        <v>2139</v>
      </c>
      <c r="D2803" s="0" t="n">
        <v>25</v>
      </c>
      <c r="E2803" s="6" t="n">
        <v>40827.6194444444</v>
      </c>
      <c r="F2803" s="0" t="n">
        <v>0.42</v>
      </c>
      <c r="G2803" s="0" t="n">
        <v>12536</v>
      </c>
      <c r="H2803" s="0" t="s">
        <v>43</v>
      </c>
      <c r="I2803" s="7" t="n">
        <f aca="false">IF(AND(LEFT(A2803,1)&lt;&gt;"C",D2803&gt;0,F2803&gt;0),1,0)</f>
        <v>1</v>
      </c>
      <c r="J2803" s="7" t="n">
        <f aca="false">IF(I2803=1,D2803*F2803,0)</f>
        <v>10.5</v>
      </c>
      <c r="K2803" s="7" t="n">
        <f aca="false">YEAR(E2803)*100+MONTH(E2803)</f>
        <v>201110</v>
      </c>
      <c r="L2803" s="7" t="n">
        <f aca="false">IF(AND(A2803&lt;&gt;A2802,LEFT(A2803,1)&lt;&gt;"C"),1,0)</f>
        <v>0</v>
      </c>
    </row>
    <row r="2804" customFormat="false" ht="15" hidden="false" customHeight="false" outlineLevel="0" collapsed="false">
      <c r="A2804" s="0" t="s">
        <v>2007</v>
      </c>
      <c r="B2804" s="0" t="s">
        <v>760</v>
      </c>
      <c r="C2804" s="0" t="s">
        <v>761</v>
      </c>
      <c r="D2804" s="0" t="n">
        <v>6</v>
      </c>
      <c r="E2804" s="6" t="n">
        <v>40827.6194444444</v>
      </c>
      <c r="F2804" s="0" t="n">
        <v>4.25</v>
      </c>
      <c r="G2804" s="0" t="n">
        <v>12536</v>
      </c>
      <c r="H2804" s="0" t="s">
        <v>43</v>
      </c>
      <c r="I2804" s="7" t="n">
        <f aca="false">IF(AND(LEFT(A2804,1)&lt;&gt;"C",D2804&gt;0,F2804&gt;0),1,0)</f>
        <v>1</v>
      </c>
      <c r="J2804" s="7" t="n">
        <f aca="false">IF(I2804=1,D2804*F2804,0)</f>
        <v>25.5</v>
      </c>
      <c r="K2804" s="7" t="n">
        <f aca="false">YEAR(E2804)*100+MONTH(E2804)</f>
        <v>201110</v>
      </c>
      <c r="L2804" s="7" t="n">
        <f aca="false">IF(AND(A2804&lt;&gt;A2803,LEFT(A2804,1)&lt;&gt;"C"),1,0)</f>
        <v>0</v>
      </c>
    </row>
    <row r="2805" customFormat="false" ht="15" hidden="false" customHeight="false" outlineLevel="0" collapsed="false">
      <c r="A2805" s="0" t="s">
        <v>2007</v>
      </c>
      <c r="B2805" s="0" t="s">
        <v>1755</v>
      </c>
      <c r="C2805" s="0" t="s">
        <v>1756</v>
      </c>
      <c r="D2805" s="0" t="n">
        <v>6</v>
      </c>
      <c r="E2805" s="6" t="n">
        <v>40827.6194444444</v>
      </c>
      <c r="F2805" s="0" t="n">
        <v>2.55</v>
      </c>
      <c r="G2805" s="0" t="n">
        <v>12536</v>
      </c>
      <c r="H2805" s="0" t="s">
        <v>43</v>
      </c>
      <c r="I2805" s="7" t="n">
        <f aca="false">IF(AND(LEFT(A2805,1)&lt;&gt;"C",D2805&gt;0,F2805&gt;0),1,0)</f>
        <v>1</v>
      </c>
      <c r="J2805" s="7" t="n">
        <f aca="false">IF(I2805=1,D2805*F2805,0)</f>
        <v>15.3</v>
      </c>
      <c r="K2805" s="7" t="n">
        <f aca="false">YEAR(E2805)*100+MONTH(E2805)</f>
        <v>201110</v>
      </c>
      <c r="L2805" s="7" t="n">
        <f aca="false">IF(AND(A2805&lt;&gt;A2804,LEFT(A2805,1)&lt;&gt;"C"),1,0)</f>
        <v>0</v>
      </c>
    </row>
    <row r="2806" customFormat="false" ht="15" hidden="false" customHeight="false" outlineLevel="0" collapsed="false">
      <c r="A2806" s="0" t="s">
        <v>2007</v>
      </c>
      <c r="B2806" s="0" t="s">
        <v>1017</v>
      </c>
      <c r="C2806" s="0" t="s">
        <v>1018</v>
      </c>
      <c r="D2806" s="0" t="n">
        <v>6</v>
      </c>
      <c r="E2806" s="6" t="n">
        <v>40827.6194444444</v>
      </c>
      <c r="F2806" s="0" t="n">
        <v>2.55</v>
      </c>
      <c r="G2806" s="0" t="n">
        <v>12536</v>
      </c>
      <c r="H2806" s="0" t="s">
        <v>43</v>
      </c>
      <c r="I2806" s="7" t="n">
        <f aca="false">IF(AND(LEFT(A2806,1)&lt;&gt;"C",D2806&gt;0,F2806&gt;0),1,0)</f>
        <v>1</v>
      </c>
      <c r="J2806" s="7" t="n">
        <f aca="false">IF(I2806=1,D2806*F2806,0)</f>
        <v>15.3</v>
      </c>
      <c r="K2806" s="7" t="n">
        <f aca="false">YEAR(E2806)*100+MONTH(E2806)</f>
        <v>201110</v>
      </c>
      <c r="L2806" s="7" t="n">
        <f aca="false">IF(AND(A2806&lt;&gt;A2805,LEFT(A2806,1)&lt;&gt;"C"),1,0)</f>
        <v>0</v>
      </c>
    </row>
    <row r="2807" customFormat="false" ht="15" hidden="false" customHeight="false" outlineLevel="0" collapsed="false">
      <c r="A2807" s="0" t="s">
        <v>2007</v>
      </c>
      <c r="B2807" s="0" t="s">
        <v>1306</v>
      </c>
      <c r="C2807" s="0" t="s">
        <v>1307</v>
      </c>
      <c r="D2807" s="0" t="n">
        <v>24</v>
      </c>
      <c r="E2807" s="6" t="n">
        <v>40827.6194444444</v>
      </c>
      <c r="F2807" s="0" t="n">
        <v>1.25</v>
      </c>
      <c r="G2807" s="0" t="n">
        <v>12536</v>
      </c>
      <c r="H2807" s="0" t="s">
        <v>43</v>
      </c>
      <c r="I2807" s="7" t="n">
        <f aca="false">IF(AND(LEFT(A2807,1)&lt;&gt;"C",D2807&gt;0,F2807&gt;0),1,0)</f>
        <v>1</v>
      </c>
      <c r="J2807" s="7" t="n">
        <f aca="false">IF(I2807=1,D2807*F2807,0)</f>
        <v>30</v>
      </c>
      <c r="K2807" s="7" t="n">
        <f aca="false">YEAR(E2807)*100+MONTH(E2807)</f>
        <v>201110</v>
      </c>
      <c r="L2807" s="7" t="n">
        <f aca="false">IF(AND(A2807&lt;&gt;A2806,LEFT(A2807,1)&lt;&gt;"C"),1,0)</f>
        <v>0</v>
      </c>
    </row>
    <row r="2808" customFormat="false" ht="15" hidden="false" customHeight="false" outlineLevel="0" collapsed="false">
      <c r="A2808" s="0" t="s">
        <v>2007</v>
      </c>
      <c r="B2808" s="0" t="s">
        <v>1527</v>
      </c>
      <c r="C2808" s="0" t="s">
        <v>1528</v>
      </c>
      <c r="D2808" s="0" t="n">
        <v>6</v>
      </c>
      <c r="E2808" s="6" t="n">
        <v>40827.6194444444</v>
      </c>
      <c r="F2808" s="0" t="n">
        <v>3.25</v>
      </c>
      <c r="G2808" s="0" t="n">
        <v>12536</v>
      </c>
      <c r="H2808" s="0" t="s">
        <v>43</v>
      </c>
      <c r="I2808" s="7" t="n">
        <f aca="false">IF(AND(LEFT(A2808,1)&lt;&gt;"C",D2808&gt;0,F2808&gt;0),1,0)</f>
        <v>1</v>
      </c>
      <c r="J2808" s="7" t="n">
        <f aca="false">IF(I2808=1,D2808*F2808,0)</f>
        <v>19.5</v>
      </c>
      <c r="K2808" s="7" t="n">
        <f aca="false">YEAR(E2808)*100+MONTH(E2808)</f>
        <v>201110</v>
      </c>
      <c r="L2808" s="7" t="n">
        <f aca="false">IF(AND(A2808&lt;&gt;A2807,LEFT(A2808,1)&lt;&gt;"C"),1,0)</f>
        <v>0</v>
      </c>
    </row>
    <row r="2809" customFormat="false" ht="15" hidden="false" customHeight="false" outlineLevel="0" collapsed="false">
      <c r="A2809" s="0" t="s">
        <v>2007</v>
      </c>
      <c r="B2809" s="0" t="s">
        <v>2140</v>
      </c>
      <c r="C2809" s="0" t="s">
        <v>2141</v>
      </c>
      <c r="D2809" s="0" t="n">
        <v>24</v>
      </c>
      <c r="E2809" s="6" t="n">
        <v>40827.6194444444</v>
      </c>
      <c r="F2809" s="0" t="n">
        <v>0.42</v>
      </c>
      <c r="G2809" s="0" t="n">
        <v>12536</v>
      </c>
      <c r="H2809" s="0" t="s">
        <v>43</v>
      </c>
      <c r="I2809" s="7" t="n">
        <f aca="false">IF(AND(LEFT(A2809,1)&lt;&gt;"C",D2809&gt;0,F2809&gt;0),1,0)</f>
        <v>1</v>
      </c>
      <c r="J2809" s="7" t="n">
        <f aca="false">IF(I2809=1,D2809*F2809,0)</f>
        <v>10.08</v>
      </c>
      <c r="K2809" s="7" t="n">
        <f aca="false">YEAR(E2809)*100+MONTH(E2809)</f>
        <v>201110</v>
      </c>
      <c r="L2809" s="7" t="n">
        <f aca="false">IF(AND(A2809&lt;&gt;A2808,LEFT(A2809,1)&lt;&gt;"C"),1,0)</f>
        <v>0</v>
      </c>
    </row>
    <row r="2810" customFormat="false" ht="15" hidden="false" customHeight="false" outlineLevel="0" collapsed="false">
      <c r="A2810" s="0" t="s">
        <v>2007</v>
      </c>
      <c r="B2810" s="0" t="s">
        <v>2142</v>
      </c>
      <c r="C2810" s="0" t="s">
        <v>2143</v>
      </c>
      <c r="D2810" s="0" t="n">
        <v>24</v>
      </c>
      <c r="E2810" s="6" t="n">
        <v>40827.6194444444</v>
      </c>
      <c r="F2810" s="0" t="n">
        <v>0.42</v>
      </c>
      <c r="G2810" s="0" t="n">
        <v>12536</v>
      </c>
      <c r="H2810" s="0" t="s">
        <v>43</v>
      </c>
      <c r="I2810" s="7" t="n">
        <f aca="false">IF(AND(LEFT(A2810,1)&lt;&gt;"C",D2810&gt;0,F2810&gt;0),1,0)</f>
        <v>1</v>
      </c>
      <c r="J2810" s="7" t="n">
        <f aca="false">IF(I2810=1,D2810*F2810,0)</f>
        <v>10.08</v>
      </c>
      <c r="K2810" s="7" t="n">
        <f aca="false">YEAR(E2810)*100+MONTH(E2810)</f>
        <v>201110</v>
      </c>
      <c r="L2810" s="7" t="n">
        <f aca="false">IF(AND(A2810&lt;&gt;A2809,LEFT(A2810,1)&lt;&gt;"C"),1,0)</f>
        <v>0</v>
      </c>
    </row>
    <row r="2811" customFormat="false" ht="15" hidden="false" customHeight="false" outlineLevel="0" collapsed="false">
      <c r="A2811" s="0" t="s">
        <v>2007</v>
      </c>
      <c r="B2811" s="0" t="s">
        <v>1157</v>
      </c>
      <c r="C2811" s="0" t="s">
        <v>1158</v>
      </c>
      <c r="D2811" s="0" t="n">
        <v>24</v>
      </c>
      <c r="E2811" s="6" t="n">
        <v>40827.6194444444</v>
      </c>
      <c r="F2811" s="0" t="n">
        <v>0.42</v>
      </c>
      <c r="G2811" s="0" t="n">
        <v>12536</v>
      </c>
      <c r="H2811" s="0" t="s">
        <v>43</v>
      </c>
      <c r="I2811" s="7" t="n">
        <f aca="false">IF(AND(LEFT(A2811,1)&lt;&gt;"C",D2811&gt;0,F2811&gt;0),1,0)</f>
        <v>1</v>
      </c>
      <c r="J2811" s="7" t="n">
        <f aca="false">IF(I2811=1,D2811*F2811,0)</f>
        <v>10.08</v>
      </c>
      <c r="K2811" s="7" t="n">
        <f aca="false">YEAR(E2811)*100+MONTH(E2811)</f>
        <v>201110</v>
      </c>
      <c r="L2811" s="7" t="n">
        <f aca="false">IF(AND(A2811&lt;&gt;A2810,LEFT(A2811,1)&lt;&gt;"C"),1,0)</f>
        <v>0</v>
      </c>
    </row>
    <row r="2812" customFormat="false" ht="15" hidden="false" customHeight="false" outlineLevel="0" collapsed="false">
      <c r="A2812" s="0" t="s">
        <v>2007</v>
      </c>
      <c r="B2812" s="0" t="s">
        <v>2144</v>
      </c>
      <c r="C2812" s="0" t="s">
        <v>2145</v>
      </c>
      <c r="D2812" s="0" t="n">
        <v>24</v>
      </c>
      <c r="E2812" s="6" t="n">
        <v>40827.6194444444</v>
      </c>
      <c r="F2812" s="0" t="n">
        <v>0.42</v>
      </c>
      <c r="G2812" s="0" t="n">
        <v>12536</v>
      </c>
      <c r="H2812" s="0" t="s">
        <v>43</v>
      </c>
      <c r="I2812" s="7" t="n">
        <f aca="false">IF(AND(LEFT(A2812,1)&lt;&gt;"C",D2812&gt;0,F2812&gt;0),1,0)</f>
        <v>1</v>
      </c>
      <c r="J2812" s="7" t="n">
        <f aca="false">IF(I2812=1,D2812*F2812,0)</f>
        <v>10.08</v>
      </c>
      <c r="K2812" s="7" t="n">
        <f aca="false">YEAR(E2812)*100+MONTH(E2812)</f>
        <v>201110</v>
      </c>
      <c r="L2812" s="7" t="n">
        <f aca="false">IF(AND(A2812&lt;&gt;A2811,LEFT(A2812,1)&lt;&gt;"C"),1,0)</f>
        <v>0</v>
      </c>
    </row>
    <row r="2813" customFormat="false" ht="15" hidden="false" customHeight="false" outlineLevel="0" collapsed="false">
      <c r="A2813" s="0" t="s">
        <v>2007</v>
      </c>
      <c r="B2813" s="0" t="s">
        <v>1011</v>
      </c>
      <c r="C2813" s="0" t="s">
        <v>1012</v>
      </c>
      <c r="D2813" s="0" t="n">
        <v>3</v>
      </c>
      <c r="E2813" s="6" t="n">
        <v>40827.6194444444</v>
      </c>
      <c r="F2813" s="0" t="n">
        <v>16.95</v>
      </c>
      <c r="G2813" s="0" t="n">
        <v>12536</v>
      </c>
      <c r="H2813" s="0" t="s">
        <v>43</v>
      </c>
      <c r="I2813" s="7" t="n">
        <f aca="false">IF(AND(LEFT(A2813,1)&lt;&gt;"C",D2813&gt;0,F2813&gt;0),1,0)</f>
        <v>1</v>
      </c>
      <c r="J2813" s="7" t="n">
        <f aca="false">IF(I2813=1,D2813*F2813,0)</f>
        <v>50.85</v>
      </c>
      <c r="K2813" s="7" t="n">
        <f aca="false">YEAR(E2813)*100+MONTH(E2813)</f>
        <v>201110</v>
      </c>
      <c r="L2813" s="7" t="n">
        <f aca="false">IF(AND(A2813&lt;&gt;A2812,LEFT(A2813,1)&lt;&gt;"C"),1,0)</f>
        <v>0</v>
      </c>
    </row>
    <row r="2814" customFormat="false" ht="15" hidden="false" customHeight="false" outlineLevel="0" collapsed="false">
      <c r="A2814" s="0" t="s">
        <v>2007</v>
      </c>
      <c r="B2814" s="0" t="s">
        <v>1009</v>
      </c>
      <c r="C2814" s="0" t="s">
        <v>1010</v>
      </c>
      <c r="D2814" s="0" t="n">
        <v>3</v>
      </c>
      <c r="E2814" s="6" t="n">
        <v>40827.6194444444</v>
      </c>
      <c r="F2814" s="0" t="n">
        <v>16.95</v>
      </c>
      <c r="G2814" s="0" t="n">
        <v>12536</v>
      </c>
      <c r="H2814" s="0" t="s">
        <v>43</v>
      </c>
      <c r="I2814" s="7" t="n">
        <f aca="false">IF(AND(LEFT(A2814,1)&lt;&gt;"C",D2814&gt;0,F2814&gt;0),1,0)</f>
        <v>1</v>
      </c>
      <c r="J2814" s="7" t="n">
        <f aca="false">IF(I2814=1,D2814*F2814,0)</f>
        <v>50.85</v>
      </c>
      <c r="K2814" s="7" t="n">
        <f aca="false">YEAR(E2814)*100+MONTH(E2814)</f>
        <v>201110</v>
      </c>
      <c r="L2814" s="7" t="n">
        <f aca="false">IF(AND(A2814&lt;&gt;A2813,LEFT(A2814,1)&lt;&gt;"C"),1,0)</f>
        <v>0</v>
      </c>
    </row>
    <row r="2815" customFormat="false" ht="15" hidden="false" customHeight="false" outlineLevel="0" collapsed="false">
      <c r="A2815" s="0" t="s">
        <v>2007</v>
      </c>
      <c r="B2815" s="0" t="s">
        <v>1615</v>
      </c>
      <c r="C2815" s="0" t="s">
        <v>1616</v>
      </c>
      <c r="D2815" s="0" t="n">
        <v>1</v>
      </c>
      <c r="E2815" s="6" t="n">
        <v>40827.6194444444</v>
      </c>
      <c r="F2815" s="0" t="n">
        <v>16.95</v>
      </c>
      <c r="G2815" s="0" t="n">
        <v>12536</v>
      </c>
      <c r="H2815" s="0" t="s">
        <v>43</v>
      </c>
      <c r="I2815" s="7" t="n">
        <f aca="false">IF(AND(LEFT(A2815,1)&lt;&gt;"C",D2815&gt;0,F2815&gt;0),1,0)</f>
        <v>1</v>
      </c>
      <c r="J2815" s="7" t="n">
        <f aca="false">IF(I2815=1,D2815*F2815,0)</f>
        <v>16.95</v>
      </c>
      <c r="K2815" s="7" t="n">
        <f aca="false">YEAR(E2815)*100+MONTH(E2815)</f>
        <v>201110</v>
      </c>
      <c r="L2815" s="7" t="n">
        <f aca="false">IF(AND(A2815&lt;&gt;A2814,LEFT(A2815,1)&lt;&gt;"C"),1,0)</f>
        <v>0</v>
      </c>
    </row>
    <row r="2816" customFormat="false" ht="15" hidden="false" customHeight="false" outlineLevel="0" collapsed="false">
      <c r="A2816" s="0" t="s">
        <v>2007</v>
      </c>
      <c r="B2816" s="0" t="s">
        <v>733</v>
      </c>
      <c r="C2816" s="0" t="s">
        <v>734</v>
      </c>
      <c r="D2816" s="0" t="n">
        <v>24</v>
      </c>
      <c r="E2816" s="6" t="n">
        <v>40827.6194444444</v>
      </c>
      <c r="F2816" s="0" t="n">
        <v>1.25</v>
      </c>
      <c r="G2816" s="0" t="n">
        <v>12536</v>
      </c>
      <c r="H2816" s="0" t="s">
        <v>43</v>
      </c>
      <c r="I2816" s="7" t="n">
        <f aca="false">IF(AND(LEFT(A2816,1)&lt;&gt;"C",D2816&gt;0,F2816&gt;0),1,0)</f>
        <v>1</v>
      </c>
      <c r="J2816" s="7" t="n">
        <f aca="false">IF(I2816=1,D2816*F2816,0)</f>
        <v>30</v>
      </c>
      <c r="K2816" s="7" t="n">
        <f aca="false">YEAR(E2816)*100+MONTH(E2816)</f>
        <v>201110</v>
      </c>
      <c r="L2816" s="7" t="n">
        <f aca="false">IF(AND(A2816&lt;&gt;A2815,LEFT(A2816,1)&lt;&gt;"C"),1,0)</f>
        <v>0</v>
      </c>
    </row>
    <row r="2817" customFormat="false" ht="15" hidden="false" customHeight="false" outlineLevel="0" collapsed="false">
      <c r="A2817" s="0" t="s">
        <v>2007</v>
      </c>
      <c r="B2817" s="0" t="s">
        <v>1738</v>
      </c>
      <c r="C2817" s="0" t="s">
        <v>1739</v>
      </c>
      <c r="D2817" s="0" t="n">
        <v>20</v>
      </c>
      <c r="E2817" s="6" t="n">
        <v>40827.6194444444</v>
      </c>
      <c r="F2817" s="0" t="n">
        <v>1.25</v>
      </c>
      <c r="G2817" s="0" t="n">
        <v>12536</v>
      </c>
      <c r="H2817" s="0" t="s">
        <v>43</v>
      </c>
      <c r="I2817" s="7" t="n">
        <f aca="false">IF(AND(LEFT(A2817,1)&lt;&gt;"C",D2817&gt;0,F2817&gt;0),1,0)</f>
        <v>1</v>
      </c>
      <c r="J2817" s="7" t="n">
        <f aca="false">IF(I2817=1,D2817*F2817,0)</f>
        <v>25</v>
      </c>
      <c r="K2817" s="7" t="n">
        <f aca="false">YEAR(E2817)*100+MONTH(E2817)</f>
        <v>201110</v>
      </c>
      <c r="L2817" s="7" t="n">
        <f aca="false">IF(AND(A2817&lt;&gt;A2816,LEFT(A2817,1)&lt;&gt;"C"),1,0)</f>
        <v>0</v>
      </c>
    </row>
    <row r="2818" customFormat="false" ht="15" hidden="false" customHeight="false" outlineLevel="0" collapsed="false">
      <c r="A2818" s="0" t="s">
        <v>2007</v>
      </c>
      <c r="B2818" s="0" t="s">
        <v>410</v>
      </c>
      <c r="C2818" s="0" t="s">
        <v>411</v>
      </c>
      <c r="D2818" s="0" t="n">
        <v>24</v>
      </c>
      <c r="E2818" s="6" t="n">
        <v>40827.6194444444</v>
      </c>
      <c r="F2818" s="0" t="n">
        <v>1.25</v>
      </c>
      <c r="G2818" s="0" t="n">
        <v>12536</v>
      </c>
      <c r="H2818" s="0" t="s">
        <v>43</v>
      </c>
      <c r="I2818" s="7" t="n">
        <f aca="false">IF(AND(LEFT(A2818,1)&lt;&gt;"C",D2818&gt;0,F2818&gt;0),1,0)</f>
        <v>1</v>
      </c>
      <c r="J2818" s="7" t="n">
        <f aca="false">IF(I2818=1,D2818*F2818,0)</f>
        <v>30</v>
      </c>
      <c r="K2818" s="7" t="n">
        <f aca="false">YEAR(E2818)*100+MONTH(E2818)</f>
        <v>201110</v>
      </c>
      <c r="L2818" s="7" t="n">
        <f aca="false">IF(AND(A2818&lt;&gt;A2817,LEFT(A2818,1)&lt;&gt;"C"),1,0)</f>
        <v>0</v>
      </c>
    </row>
    <row r="2819" customFormat="false" ht="15" hidden="false" customHeight="false" outlineLevel="0" collapsed="false">
      <c r="A2819" s="0" t="s">
        <v>2007</v>
      </c>
      <c r="B2819" s="0" t="s">
        <v>653</v>
      </c>
      <c r="C2819" s="0" t="s">
        <v>654</v>
      </c>
      <c r="D2819" s="0" t="n">
        <v>2</v>
      </c>
      <c r="E2819" s="6" t="n">
        <v>40827.6194444444</v>
      </c>
      <c r="F2819" s="0" t="n">
        <v>6.25</v>
      </c>
      <c r="G2819" s="0" t="n">
        <v>12536</v>
      </c>
      <c r="H2819" s="0" t="s">
        <v>43</v>
      </c>
      <c r="I2819" s="7" t="n">
        <f aca="false">IF(AND(LEFT(A2819,1)&lt;&gt;"C",D2819&gt;0,F2819&gt;0),1,0)</f>
        <v>1</v>
      </c>
      <c r="J2819" s="7" t="n">
        <f aca="false">IF(I2819=1,D2819*F2819,0)</f>
        <v>12.5</v>
      </c>
      <c r="K2819" s="7" t="n">
        <f aca="false">YEAR(E2819)*100+MONTH(E2819)</f>
        <v>201110</v>
      </c>
      <c r="L2819" s="7" t="n">
        <f aca="false">IF(AND(A2819&lt;&gt;A2818,LEFT(A2819,1)&lt;&gt;"C"),1,0)</f>
        <v>0</v>
      </c>
    </row>
    <row r="2820" customFormat="false" ht="15" hidden="false" customHeight="false" outlineLevel="0" collapsed="false">
      <c r="A2820" s="0" t="s">
        <v>2007</v>
      </c>
      <c r="B2820" s="0" t="s">
        <v>2146</v>
      </c>
      <c r="C2820" s="0" t="s">
        <v>2147</v>
      </c>
      <c r="D2820" s="0" t="n">
        <v>12</v>
      </c>
      <c r="E2820" s="6" t="n">
        <v>40827.6194444444</v>
      </c>
      <c r="F2820" s="0" t="n">
        <v>0.83</v>
      </c>
      <c r="G2820" s="0" t="n">
        <v>12536</v>
      </c>
      <c r="H2820" s="0" t="s">
        <v>43</v>
      </c>
      <c r="I2820" s="7" t="n">
        <f aca="false">IF(AND(LEFT(A2820,1)&lt;&gt;"C",D2820&gt;0,F2820&gt;0),1,0)</f>
        <v>1</v>
      </c>
      <c r="J2820" s="7" t="n">
        <f aca="false">IF(I2820=1,D2820*F2820,0)</f>
        <v>9.96</v>
      </c>
      <c r="K2820" s="7" t="n">
        <f aca="false">YEAR(E2820)*100+MONTH(E2820)</f>
        <v>201110</v>
      </c>
      <c r="L2820" s="7" t="n">
        <f aca="false">IF(AND(A2820&lt;&gt;A2819,LEFT(A2820,1)&lt;&gt;"C"),1,0)</f>
        <v>0</v>
      </c>
    </row>
    <row r="2821" customFormat="false" ht="15" hidden="false" customHeight="false" outlineLevel="0" collapsed="false">
      <c r="A2821" s="0" t="s">
        <v>2007</v>
      </c>
      <c r="B2821" s="0" t="s">
        <v>2148</v>
      </c>
      <c r="C2821" s="0" t="s">
        <v>2149</v>
      </c>
      <c r="D2821" s="0" t="n">
        <v>12</v>
      </c>
      <c r="E2821" s="6" t="n">
        <v>40827.6194444444</v>
      </c>
      <c r="F2821" s="0" t="n">
        <v>2.08</v>
      </c>
      <c r="G2821" s="0" t="n">
        <v>12536</v>
      </c>
      <c r="H2821" s="0" t="s">
        <v>43</v>
      </c>
      <c r="I2821" s="7" t="n">
        <f aca="false">IF(AND(LEFT(A2821,1)&lt;&gt;"C",D2821&gt;0,F2821&gt;0),1,0)</f>
        <v>1</v>
      </c>
      <c r="J2821" s="7" t="n">
        <f aca="false">IF(I2821=1,D2821*F2821,0)</f>
        <v>24.96</v>
      </c>
      <c r="K2821" s="7" t="n">
        <f aca="false">YEAR(E2821)*100+MONTH(E2821)</f>
        <v>201110</v>
      </c>
      <c r="L2821" s="7" t="n">
        <f aca="false">IF(AND(A2821&lt;&gt;A2820,LEFT(A2821,1)&lt;&gt;"C"),1,0)</f>
        <v>0</v>
      </c>
    </row>
    <row r="2822" customFormat="false" ht="15" hidden="false" customHeight="false" outlineLevel="0" collapsed="false">
      <c r="A2822" s="0" t="s">
        <v>2007</v>
      </c>
      <c r="B2822" s="0" t="s">
        <v>2150</v>
      </c>
      <c r="C2822" s="0" t="s">
        <v>2151</v>
      </c>
      <c r="D2822" s="0" t="n">
        <v>12</v>
      </c>
      <c r="E2822" s="6" t="n">
        <v>40827.6194444444</v>
      </c>
      <c r="F2822" s="0" t="n">
        <v>2.08</v>
      </c>
      <c r="G2822" s="0" t="n">
        <v>12536</v>
      </c>
      <c r="H2822" s="0" t="s">
        <v>43</v>
      </c>
      <c r="I2822" s="7" t="n">
        <f aca="false">IF(AND(LEFT(A2822,1)&lt;&gt;"C",D2822&gt;0,F2822&gt;0),1,0)</f>
        <v>1</v>
      </c>
      <c r="J2822" s="7" t="n">
        <f aca="false">IF(I2822=1,D2822*F2822,0)</f>
        <v>24.96</v>
      </c>
      <c r="K2822" s="7" t="n">
        <f aca="false">YEAR(E2822)*100+MONTH(E2822)</f>
        <v>201110</v>
      </c>
      <c r="L2822" s="7" t="n">
        <f aca="false">IF(AND(A2822&lt;&gt;A2821,LEFT(A2822,1)&lt;&gt;"C"),1,0)</f>
        <v>0</v>
      </c>
    </row>
    <row r="2823" customFormat="false" ht="15" hidden="false" customHeight="false" outlineLevel="0" collapsed="false">
      <c r="A2823" s="0" t="s">
        <v>2007</v>
      </c>
      <c r="B2823" s="0" t="s">
        <v>594</v>
      </c>
      <c r="C2823" s="0" t="s">
        <v>595</v>
      </c>
      <c r="D2823" s="0" t="n">
        <v>24</v>
      </c>
      <c r="E2823" s="6" t="n">
        <v>40827.6194444444</v>
      </c>
      <c r="F2823" s="0" t="n">
        <v>2.08</v>
      </c>
      <c r="G2823" s="0" t="n">
        <v>12536</v>
      </c>
      <c r="H2823" s="0" t="s">
        <v>43</v>
      </c>
      <c r="I2823" s="7" t="n">
        <f aca="false">IF(AND(LEFT(A2823,1)&lt;&gt;"C",D2823&gt;0,F2823&gt;0),1,0)</f>
        <v>1</v>
      </c>
      <c r="J2823" s="7" t="n">
        <f aca="false">IF(I2823=1,D2823*F2823,0)</f>
        <v>49.92</v>
      </c>
      <c r="K2823" s="7" t="n">
        <f aca="false">YEAR(E2823)*100+MONTH(E2823)</f>
        <v>201110</v>
      </c>
      <c r="L2823" s="7" t="n">
        <f aca="false">IF(AND(A2823&lt;&gt;A2822,LEFT(A2823,1)&lt;&gt;"C"),1,0)</f>
        <v>0</v>
      </c>
    </row>
    <row r="2824" customFormat="false" ht="15" hidden="false" customHeight="false" outlineLevel="0" collapsed="false">
      <c r="A2824" s="0" t="s">
        <v>2007</v>
      </c>
      <c r="B2824" s="0" t="s">
        <v>663</v>
      </c>
      <c r="C2824" s="0" t="s">
        <v>664</v>
      </c>
      <c r="D2824" s="0" t="n">
        <v>12</v>
      </c>
      <c r="E2824" s="6" t="n">
        <v>40827.6194444444</v>
      </c>
      <c r="F2824" s="0" t="n">
        <v>1.65</v>
      </c>
      <c r="G2824" s="0" t="n">
        <v>12536</v>
      </c>
      <c r="H2824" s="0" t="s">
        <v>43</v>
      </c>
      <c r="I2824" s="7" t="n">
        <f aca="false">IF(AND(LEFT(A2824,1)&lt;&gt;"C",D2824&gt;0,F2824&gt;0),1,0)</f>
        <v>1</v>
      </c>
      <c r="J2824" s="7" t="n">
        <f aca="false">IF(I2824=1,D2824*F2824,0)</f>
        <v>19.8</v>
      </c>
      <c r="K2824" s="7" t="n">
        <f aca="false">YEAR(E2824)*100+MONTH(E2824)</f>
        <v>201110</v>
      </c>
      <c r="L2824" s="7" t="n">
        <f aca="false">IF(AND(A2824&lt;&gt;A2823,LEFT(A2824,1)&lt;&gt;"C"),1,0)</f>
        <v>0</v>
      </c>
    </row>
    <row r="2825" customFormat="false" ht="15" hidden="false" customHeight="false" outlineLevel="0" collapsed="false">
      <c r="A2825" s="0" t="s">
        <v>2007</v>
      </c>
      <c r="B2825" s="0" t="s">
        <v>661</v>
      </c>
      <c r="C2825" s="0" t="s">
        <v>662</v>
      </c>
      <c r="D2825" s="0" t="n">
        <v>2</v>
      </c>
      <c r="E2825" s="6" t="n">
        <v>40827.6194444444</v>
      </c>
      <c r="F2825" s="0" t="n">
        <v>9.95</v>
      </c>
      <c r="G2825" s="0" t="n">
        <v>12536</v>
      </c>
      <c r="H2825" s="0" t="s">
        <v>43</v>
      </c>
      <c r="I2825" s="7" t="n">
        <f aca="false">IF(AND(LEFT(A2825,1)&lt;&gt;"C",D2825&gt;0,F2825&gt;0),1,0)</f>
        <v>1</v>
      </c>
      <c r="J2825" s="7" t="n">
        <f aca="false">IF(I2825=1,D2825*F2825,0)</f>
        <v>19.9</v>
      </c>
      <c r="K2825" s="7" t="n">
        <f aca="false">YEAR(E2825)*100+MONTH(E2825)</f>
        <v>201110</v>
      </c>
      <c r="L2825" s="7" t="n">
        <f aca="false">IF(AND(A2825&lt;&gt;A2824,LEFT(A2825,1)&lt;&gt;"C"),1,0)</f>
        <v>0</v>
      </c>
    </row>
    <row r="2826" customFormat="false" ht="15" hidden="false" customHeight="false" outlineLevel="0" collapsed="false">
      <c r="A2826" s="0" t="s">
        <v>2007</v>
      </c>
      <c r="B2826" s="0" t="s">
        <v>1110</v>
      </c>
      <c r="C2826" s="0" t="s">
        <v>1111</v>
      </c>
      <c r="D2826" s="0" t="n">
        <v>4</v>
      </c>
      <c r="E2826" s="6" t="n">
        <v>40827.6194444444</v>
      </c>
      <c r="F2826" s="0" t="n">
        <v>4.15</v>
      </c>
      <c r="G2826" s="0" t="n">
        <v>12536</v>
      </c>
      <c r="H2826" s="0" t="s">
        <v>43</v>
      </c>
      <c r="I2826" s="7" t="n">
        <f aca="false">IF(AND(LEFT(A2826,1)&lt;&gt;"C",D2826&gt;0,F2826&gt;0),1,0)</f>
        <v>1</v>
      </c>
      <c r="J2826" s="7" t="n">
        <f aca="false">IF(I2826=1,D2826*F2826,0)</f>
        <v>16.6</v>
      </c>
      <c r="K2826" s="7" t="n">
        <f aca="false">YEAR(E2826)*100+MONTH(E2826)</f>
        <v>201110</v>
      </c>
      <c r="L2826" s="7" t="n">
        <f aca="false">IF(AND(A2826&lt;&gt;A2825,LEFT(A2826,1)&lt;&gt;"C"),1,0)</f>
        <v>0</v>
      </c>
    </row>
    <row r="2827" customFormat="false" ht="15" hidden="false" customHeight="false" outlineLevel="0" collapsed="false">
      <c r="A2827" s="0" t="s">
        <v>2007</v>
      </c>
      <c r="B2827" s="0" t="s">
        <v>766</v>
      </c>
      <c r="C2827" s="0" t="s">
        <v>767</v>
      </c>
      <c r="D2827" s="0" t="n">
        <v>8</v>
      </c>
      <c r="E2827" s="6" t="n">
        <v>40827.6194444444</v>
      </c>
      <c r="F2827" s="0" t="n">
        <v>2.25</v>
      </c>
      <c r="G2827" s="0" t="n">
        <v>12536</v>
      </c>
      <c r="H2827" s="0" t="s">
        <v>43</v>
      </c>
      <c r="I2827" s="7" t="n">
        <f aca="false">IF(AND(LEFT(A2827,1)&lt;&gt;"C",D2827&gt;0,F2827&gt;0),1,0)</f>
        <v>1</v>
      </c>
      <c r="J2827" s="7" t="n">
        <f aca="false">IF(I2827=1,D2827*F2827,0)</f>
        <v>18</v>
      </c>
      <c r="K2827" s="7" t="n">
        <f aca="false">YEAR(E2827)*100+MONTH(E2827)</f>
        <v>201110</v>
      </c>
      <c r="L2827" s="7" t="n">
        <f aca="false">IF(AND(A2827&lt;&gt;A2826,LEFT(A2827,1)&lt;&gt;"C"),1,0)</f>
        <v>0</v>
      </c>
    </row>
    <row r="2828" customFormat="false" ht="15" hidden="false" customHeight="false" outlineLevel="0" collapsed="false">
      <c r="A2828" s="0" t="s">
        <v>2007</v>
      </c>
      <c r="B2828" s="0" t="s">
        <v>639</v>
      </c>
      <c r="C2828" s="0" t="s">
        <v>640</v>
      </c>
      <c r="D2828" s="0" t="n">
        <v>12</v>
      </c>
      <c r="E2828" s="6" t="n">
        <v>40827.6194444444</v>
      </c>
      <c r="F2828" s="0" t="n">
        <v>1.65</v>
      </c>
      <c r="G2828" s="0" t="n">
        <v>12536</v>
      </c>
      <c r="H2828" s="0" t="s">
        <v>43</v>
      </c>
      <c r="I2828" s="7" t="n">
        <f aca="false">IF(AND(LEFT(A2828,1)&lt;&gt;"C",D2828&gt;0,F2828&gt;0),1,0)</f>
        <v>1</v>
      </c>
      <c r="J2828" s="7" t="n">
        <f aca="false">IF(I2828=1,D2828*F2828,0)</f>
        <v>19.8</v>
      </c>
      <c r="K2828" s="7" t="n">
        <f aca="false">YEAR(E2828)*100+MONTH(E2828)</f>
        <v>201110</v>
      </c>
      <c r="L2828" s="7" t="n">
        <f aca="false">IF(AND(A2828&lt;&gt;A2827,LEFT(A2828,1)&lt;&gt;"C"),1,0)</f>
        <v>0</v>
      </c>
    </row>
    <row r="2829" customFormat="false" ht="15" hidden="false" customHeight="false" outlineLevel="0" collapsed="false">
      <c r="A2829" s="0" t="s">
        <v>2007</v>
      </c>
      <c r="B2829" s="0" t="s">
        <v>641</v>
      </c>
      <c r="C2829" s="0" t="s">
        <v>642</v>
      </c>
      <c r="D2829" s="0" t="n">
        <v>12</v>
      </c>
      <c r="E2829" s="6" t="n">
        <v>40827.6194444444</v>
      </c>
      <c r="F2829" s="0" t="n">
        <v>1.65</v>
      </c>
      <c r="G2829" s="0" t="n">
        <v>12536</v>
      </c>
      <c r="H2829" s="0" t="s">
        <v>43</v>
      </c>
      <c r="I2829" s="7" t="n">
        <f aca="false">IF(AND(LEFT(A2829,1)&lt;&gt;"C",D2829&gt;0,F2829&gt;0),1,0)</f>
        <v>1</v>
      </c>
      <c r="J2829" s="7" t="n">
        <f aca="false">IF(I2829=1,D2829*F2829,0)</f>
        <v>19.8</v>
      </c>
      <c r="K2829" s="7" t="n">
        <f aca="false">YEAR(E2829)*100+MONTH(E2829)</f>
        <v>201110</v>
      </c>
      <c r="L2829" s="7" t="n">
        <f aca="false">IF(AND(A2829&lt;&gt;A2828,LEFT(A2829,1)&lt;&gt;"C"),1,0)</f>
        <v>0</v>
      </c>
    </row>
    <row r="2830" customFormat="false" ht="15" hidden="false" customHeight="false" outlineLevel="0" collapsed="false">
      <c r="A2830" s="0" t="s">
        <v>2007</v>
      </c>
      <c r="B2830" s="0" t="s">
        <v>406</v>
      </c>
      <c r="C2830" s="0" t="s">
        <v>407</v>
      </c>
      <c r="D2830" s="0" t="n">
        <v>8</v>
      </c>
      <c r="E2830" s="6" t="n">
        <v>40827.6194444444</v>
      </c>
      <c r="F2830" s="0" t="n">
        <v>2.25</v>
      </c>
      <c r="G2830" s="0" t="n">
        <v>12536</v>
      </c>
      <c r="H2830" s="0" t="s">
        <v>43</v>
      </c>
      <c r="I2830" s="7" t="n">
        <f aca="false">IF(AND(LEFT(A2830,1)&lt;&gt;"C",D2830&gt;0,F2830&gt;0),1,0)</f>
        <v>1</v>
      </c>
      <c r="J2830" s="7" t="n">
        <f aca="false">IF(I2830=1,D2830*F2830,0)</f>
        <v>18</v>
      </c>
      <c r="K2830" s="7" t="n">
        <f aca="false">YEAR(E2830)*100+MONTH(E2830)</f>
        <v>201110</v>
      </c>
      <c r="L2830" s="7" t="n">
        <f aca="false">IF(AND(A2830&lt;&gt;A2829,LEFT(A2830,1)&lt;&gt;"C"),1,0)</f>
        <v>0</v>
      </c>
    </row>
    <row r="2831" customFormat="false" ht="15" hidden="false" customHeight="false" outlineLevel="0" collapsed="false">
      <c r="A2831" s="0" t="s">
        <v>2007</v>
      </c>
      <c r="B2831" s="0" t="s">
        <v>140</v>
      </c>
      <c r="C2831" s="0" t="s">
        <v>141</v>
      </c>
      <c r="D2831" s="0" t="n">
        <v>12</v>
      </c>
      <c r="E2831" s="6" t="n">
        <v>40827.6194444444</v>
      </c>
      <c r="F2831" s="0" t="n">
        <v>1.45</v>
      </c>
      <c r="G2831" s="0" t="n">
        <v>12536</v>
      </c>
      <c r="H2831" s="0" t="s">
        <v>43</v>
      </c>
      <c r="I2831" s="7" t="n">
        <f aca="false">IF(AND(LEFT(A2831,1)&lt;&gt;"C",D2831&gt;0,F2831&gt;0),1,0)</f>
        <v>1</v>
      </c>
      <c r="J2831" s="7" t="n">
        <f aca="false">IF(I2831=1,D2831*F2831,0)</f>
        <v>17.4</v>
      </c>
      <c r="K2831" s="7" t="n">
        <f aca="false">YEAR(E2831)*100+MONTH(E2831)</f>
        <v>201110</v>
      </c>
      <c r="L2831" s="7" t="n">
        <f aca="false">IF(AND(A2831&lt;&gt;A2830,LEFT(A2831,1)&lt;&gt;"C"),1,0)</f>
        <v>0</v>
      </c>
    </row>
    <row r="2832" customFormat="false" ht="15" hidden="false" customHeight="false" outlineLevel="0" collapsed="false">
      <c r="A2832" s="0" t="s">
        <v>2007</v>
      </c>
      <c r="B2832" s="0" t="s">
        <v>627</v>
      </c>
      <c r="C2832" s="0" t="s">
        <v>628</v>
      </c>
      <c r="D2832" s="0" t="n">
        <v>10</v>
      </c>
      <c r="E2832" s="6" t="n">
        <v>40827.6194444444</v>
      </c>
      <c r="F2832" s="0" t="n">
        <v>0.85</v>
      </c>
      <c r="G2832" s="0" t="n">
        <v>12536</v>
      </c>
      <c r="H2832" s="0" t="s">
        <v>43</v>
      </c>
      <c r="I2832" s="7" t="n">
        <f aca="false">IF(AND(LEFT(A2832,1)&lt;&gt;"C",D2832&gt;0,F2832&gt;0),1,0)</f>
        <v>1</v>
      </c>
      <c r="J2832" s="7" t="n">
        <f aca="false">IF(I2832=1,D2832*F2832,0)</f>
        <v>8.5</v>
      </c>
      <c r="K2832" s="7" t="n">
        <f aca="false">YEAR(E2832)*100+MONTH(E2832)</f>
        <v>201110</v>
      </c>
      <c r="L2832" s="7" t="n">
        <f aca="false">IF(AND(A2832&lt;&gt;A2831,LEFT(A2832,1)&lt;&gt;"C"),1,0)</f>
        <v>0</v>
      </c>
    </row>
    <row r="2833" customFormat="false" ht="15" hidden="false" customHeight="false" outlineLevel="0" collapsed="false">
      <c r="A2833" s="0" t="s">
        <v>2007</v>
      </c>
      <c r="B2833" s="0" t="s">
        <v>2152</v>
      </c>
      <c r="C2833" s="0" t="s">
        <v>2153</v>
      </c>
      <c r="D2833" s="0" t="n">
        <v>6</v>
      </c>
      <c r="E2833" s="6" t="n">
        <v>40827.6194444444</v>
      </c>
      <c r="F2833" s="0" t="n">
        <v>2.89</v>
      </c>
      <c r="G2833" s="0" t="n">
        <v>12536</v>
      </c>
      <c r="H2833" s="0" t="s">
        <v>43</v>
      </c>
      <c r="I2833" s="7" t="n">
        <f aca="false">IF(AND(LEFT(A2833,1)&lt;&gt;"C",D2833&gt;0,F2833&gt;0),1,0)</f>
        <v>1</v>
      </c>
      <c r="J2833" s="7" t="n">
        <f aca="false">IF(I2833=1,D2833*F2833,0)</f>
        <v>17.34</v>
      </c>
      <c r="K2833" s="7" t="n">
        <f aca="false">YEAR(E2833)*100+MONTH(E2833)</f>
        <v>201110</v>
      </c>
      <c r="L2833" s="7" t="n">
        <f aca="false">IF(AND(A2833&lt;&gt;A2832,LEFT(A2833,1)&lt;&gt;"C"),1,0)</f>
        <v>0</v>
      </c>
    </row>
    <row r="2834" customFormat="false" ht="15" hidden="false" customHeight="false" outlineLevel="0" collapsed="false">
      <c r="A2834" s="0" t="s">
        <v>2007</v>
      </c>
      <c r="B2834" s="0" t="s">
        <v>146</v>
      </c>
      <c r="C2834" s="0" t="s">
        <v>147</v>
      </c>
      <c r="D2834" s="0" t="n">
        <v>6</v>
      </c>
      <c r="E2834" s="6" t="n">
        <v>40827.6194444444</v>
      </c>
      <c r="F2834" s="0" t="n">
        <v>2.89</v>
      </c>
      <c r="G2834" s="0" t="n">
        <v>12536</v>
      </c>
      <c r="H2834" s="0" t="s">
        <v>43</v>
      </c>
      <c r="I2834" s="7" t="n">
        <f aca="false">IF(AND(LEFT(A2834,1)&lt;&gt;"C",D2834&gt;0,F2834&gt;0),1,0)</f>
        <v>1</v>
      </c>
      <c r="J2834" s="7" t="n">
        <f aca="false">IF(I2834=1,D2834*F2834,0)</f>
        <v>17.34</v>
      </c>
      <c r="K2834" s="7" t="n">
        <f aca="false">YEAR(E2834)*100+MONTH(E2834)</f>
        <v>201110</v>
      </c>
      <c r="L2834" s="7" t="n">
        <f aca="false">IF(AND(A2834&lt;&gt;A2833,LEFT(A2834,1)&lt;&gt;"C"),1,0)</f>
        <v>0</v>
      </c>
    </row>
    <row r="2835" customFormat="false" ht="15" hidden="false" customHeight="false" outlineLevel="0" collapsed="false">
      <c r="A2835" s="0" t="s">
        <v>2007</v>
      </c>
      <c r="B2835" s="0" t="s">
        <v>659</v>
      </c>
      <c r="C2835" s="0" t="s">
        <v>660</v>
      </c>
      <c r="D2835" s="0" t="n">
        <v>6</v>
      </c>
      <c r="E2835" s="6" t="n">
        <v>40827.6194444444</v>
      </c>
      <c r="F2835" s="0" t="n">
        <v>4.15</v>
      </c>
      <c r="G2835" s="0" t="n">
        <v>12536</v>
      </c>
      <c r="H2835" s="0" t="s">
        <v>43</v>
      </c>
      <c r="I2835" s="7" t="n">
        <f aca="false">IF(AND(LEFT(A2835,1)&lt;&gt;"C",D2835&gt;0,F2835&gt;0),1,0)</f>
        <v>1</v>
      </c>
      <c r="J2835" s="7" t="n">
        <f aca="false">IF(I2835=1,D2835*F2835,0)</f>
        <v>24.9</v>
      </c>
      <c r="K2835" s="7" t="n">
        <f aca="false">YEAR(E2835)*100+MONTH(E2835)</f>
        <v>201110</v>
      </c>
      <c r="L2835" s="7" t="n">
        <f aca="false">IF(AND(A2835&lt;&gt;A2834,LEFT(A2835,1)&lt;&gt;"C"),1,0)</f>
        <v>0</v>
      </c>
    </row>
    <row r="2836" customFormat="false" ht="15" hidden="false" customHeight="false" outlineLevel="0" collapsed="false">
      <c r="A2836" s="0" t="s">
        <v>2007</v>
      </c>
      <c r="B2836" s="0" t="s">
        <v>138</v>
      </c>
      <c r="C2836" s="0" t="s">
        <v>139</v>
      </c>
      <c r="D2836" s="0" t="n">
        <v>6</v>
      </c>
      <c r="E2836" s="6" t="n">
        <v>40827.6194444444</v>
      </c>
      <c r="F2836" s="0" t="n">
        <v>2.08</v>
      </c>
      <c r="G2836" s="0" t="n">
        <v>12536</v>
      </c>
      <c r="H2836" s="0" t="s">
        <v>43</v>
      </c>
      <c r="I2836" s="7" t="n">
        <f aca="false">IF(AND(LEFT(A2836,1)&lt;&gt;"C",D2836&gt;0,F2836&gt;0),1,0)</f>
        <v>1</v>
      </c>
      <c r="J2836" s="7" t="n">
        <f aca="false">IF(I2836=1,D2836*F2836,0)</f>
        <v>12.48</v>
      </c>
      <c r="K2836" s="7" t="n">
        <f aca="false">YEAR(E2836)*100+MONTH(E2836)</f>
        <v>201110</v>
      </c>
      <c r="L2836" s="7" t="n">
        <f aca="false">IF(AND(A2836&lt;&gt;A2835,LEFT(A2836,1)&lt;&gt;"C"),1,0)</f>
        <v>0</v>
      </c>
    </row>
    <row r="2837" customFormat="false" ht="15" hidden="false" customHeight="false" outlineLevel="0" collapsed="false">
      <c r="A2837" s="0" t="s">
        <v>2007</v>
      </c>
      <c r="B2837" s="0" t="s">
        <v>136</v>
      </c>
      <c r="C2837" s="0" t="s">
        <v>137</v>
      </c>
      <c r="D2837" s="0" t="n">
        <v>12</v>
      </c>
      <c r="E2837" s="6" t="n">
        <v>40827.6194444444</v>
      </c>
      <c r="F2837" s="0" t="n">
        <v>4.95</v>
      </c>
      <c r="G2837" s="0" t="n">
        <v>12536</v>
      </c>
      <c r="H2837" s="0" t="s">
        <v>43</v>
      </c>
      <c r="I2837" s="7" t="n">
        <f aca="false">IF(AND(LEFT(A2837,1)&lt;&gt;"C",D2837&gt;0,F2837&gt;0),1,0)</f>
        <v>1</v>
      </c>
      <c r="J2837" s="7" t="n">
        <f aca="false">IF(I2837=1,D2837*F2837,0)</f>
        <v>59.4</v>
      </c>
      <c r="K2837" s="7" t="n">
        <f aca="false">YEAR(E2837)*100+MONTH(E2837)</f>
        <v>201110</v>
      </c>
      <c r="L2837" s="7" t="n">
        <f aca="false">IF(AND(A2837&lt;&gt;A2836,LEFT(A2837,1)&lt;&gt;"C"),1,0)</f>
        <v>0</v>
      </c>
    </row>
    <row r="2838" customFormat="false" ht="15" hidden="false" customHeight="false" outlineLevel="0" collapsed="false">
      <c r="A2838" s="0" t="s">
        <v>2007</v>
      </c>
      <c r="B2838" s="0" t="s">
        <v>895</v>
      </c>
      <c r="C2838" s="0" t="s">
        <v>896</v>
      </c>
      <c r="D2838" s="0" t="n">
        <v>6</v>
      </c>
      <c r="E2838" s="6" t="n">
        <v>40827.6194444444</v>
      </c>
      <c r="F2838" s="0" t="n">
        <v>2.89</v>
      </c>
      <c r="G2838" s="0" t="n">
        <v>12536</v>
      </c>
      <c r="H2838" s="0" t="s">
        <v>43</v>
      </c>
      <c r="I2838" s="7" t="n">
        <f aca="false">IF(AND(LEFT(A2838,1)&lt;&gt;"C",D2838&gt;0,F2838&gt;0),1,0)</f>
        <v>1</v>
      </c>
      <c r="J2838" s="7" t="n">
        <f aca="false">IF(I2838=1,D2838*F2838,0)</f>
        <v>17.34</v>
      </c>
      <c r="K2838" s="7" t="n">
        <f aca="false">YEAR(E2838)*100+MONTH(E2838)</f>
        <v>201110</v>
      </c>
      <c r="L2838" s="7" t="n">
        <f aca="false">IF(AND(A2838&lt;&gt;A2837,LEFT(A2838,1)&lt;&gt;"C"),1,0)</f>
        <v>0</v>
      </c>
    </row>
    <row r="2839" customFormat="false" ht="15" hidden="false" customHeight="false" outlineLevel="0" collapsed="false">
      <c r="A2839" s="0" t="s">
        <v>2007</v>
      </c>
      <c r="B2839" s="0" t="s">
        <v>2154</v>
      </c>
      <c r="C2839" s="0" t="s">
        <v>2155</v>
      </c>
      <c r="D2839" s="0" t="n">
        <v>2</v>
      </c>
      <c r="E2839" s="6" t="n">
        <v>40827.6194444444</v>
      </c>
      <c r="F2839" s="0" t="n">
        <v>15.95</v>
      </c>
      <c r="G2839" s="0" t="n">
        <v>12536</v>
      </c>
      <c r="H2839" s="0" t="s">
        <v>43</v>
      </c>
      <c r="I2839" s="7" t="n">
        <f aca="false">IF(AND(LEFT(A2839,1)&lt;&gt;"C",D2839&gt;0,F2839&gt;0),1,0)</f>
        <v>1</v>
      </c>
      <c r="J2839" s="7" t="n">
        <f aca="false">IF(I2839=1,D2839*F2839,0)</f>
        <v>31.9</v>
      </c>
      <c r="K2839" s="7" t="n">
        <f aca="false">YEAR(E2839)*100+MONTH(E2839)</f>
        <v>201110</v>
      </c>
      <c r="L2839" s="7" t="n">
        <f aca="false">IF(AND(A2839&lt;&gt;A2838,LEFT(A2839,1)&lt;&gt;"C"),1,0)</f>
        <v>0</v>
      </c>
    </row>
    <row r="2840" customFormat="false" ht="15" hidden="false" customHeight="false" outlineLevel="0" collapsed="false">
      <c r="A2840" s="0" t="s">
        <v>2007</v>
      </c>
      <c r="B2840" s="0" t="s">
        <v>2156</v>
      </c>
      <c r="C2840" s="0" t="s">
        <v>2157</v>
      </c>
      <c r="D2840" s="0" t="n">
        <v>12</v>
      </c>
      <c r="E2840" s="6" t="n">
        <v>40827.6194444444</v>
      </c>
      <c r="F2840" s="0" t="n">
        <v>1.25</v>
      </c>
      <c r="G2840" s="0" t="n">
        <v>12536</v>
      </c>
      <c r="H2840" s="0" t="s">
        <v>43</v>
      </c>
      <c r="I2840" s="7" t="n">
        <f aca="false">IF(AND(LEFT(A2840,1)&lt;&gt;"C",D2840&gt;0,F2840&gt;0),1,0)</f>
        <v>1</v>
      </c>
      <c r="J2840" s="7" t="n">
        <f aca="false">IF(I2840=1,D2840*F2840,0)</f>
        <v>15</v>
      </c>
      <c r="K2840" s="7" t="n">
        <f aca="false">YEAR(E2840)*100+MONTH(E2840)</f>
        <v>201110</v>
      </c>
      <c r="L2840" s="7" t="n">
        <f aca="false">IF(AND(A2840&lt;&gt;A2839,LEFT(A2840,1)&lt;&gt;"C"),1,0)</f>
        <v>0</v>
      </c>
    </row>
    <row r="2841" customFormat="false" ht="15" hidden="false" customHeight="false" outlineLevel="0" collapsed="false">
      <c r="A2841" s="0" t="s">
        <v>2007</v>
      </c>
      <c r="B2841" s="0" t="s">
        <v>2158</v>
      </c>
      <c r="C2841" s="0" t="s">
        <v>2159</v>
      </c>
      <c r="D2841" s="0" t="n">
        <v>12</v>
      </c>
      <c r="E2841" s="6" t="n">
        <v>40827.6194444444</v>
      </c>
      <c r="F2841" s="0" t="n">
        <v>1.25</v>
      </c>
      <c r="G2841" s="0" t="n">
        <v>12536</v>
      </c>
      <c r="H2841" s="0" t="s">
        <v>43</v>
      </c>
      <c r="I2841" s="7" t="n">
        <f aca="false">IF(AND(LEFT(A2841,1)&lt;&gt;"C",D2841&gt;0,F2841&gt;0),1,0)</f>
        <v>1</v>
      </c>
      <c r="J2841" s="7" t="n">
        <f aca="false">IF(I2841=1,D2841*F2841,0)</f>
        <v>15</v>
      </c>
      <c r="K2841" s="7" t="n">
        <f aca="false">YEAR(E2841)*100+MONTH(E2841)</f>
        <v>201110</v>
      </c>
      <c r="L2841" s="7" t="n">
        <f aca="false">IF(AND(A2841&lt;&gt;A2840,LEFT(A2841,1)&lt;&gt;"C"),1,0)</f>
        <v>0</v>
      </c>
    </row>
    <row r="2842" customFormat="false" ht="15" hidden="false" customHeight="false" outlineLevel="0" collapsed="false">
      <c r="A2842" s="0" t="s">
        <v>2007</v>
      </c>
      <c r="B2842" s="0" t="s">
        <v>2160</v>
      </c>
      <c r="C2842" s="0" t="s">
        <v>2161</v>
      </c>
      <c r="D2842" s="0" t="n">
        <v>12</v>
      </c>
      <c r="E2842" s="6" t="n">
        <v>40827.6194444444</v>
      </c>
      <c r="F2842" s="0" t="n">
        <v>1.45</v>
      </c>
      <c r="G2842" s="0" t="n">
        <v>12536</v>
      </c>
      <c r="H2842" s="0" t="s">
        <v>43</v>
      </c>
      <c r="I2842" s="7" t="n">
        <f aca="false">IF(AND(LEFT(A2842,1)&lt;&gt;"C",D2842&gt;0,F2842&gt;0),1,0)</f>
        <v>1</v>
      </c>
      <c r="J2842" s="7" t="n">
        <f aca="false">IF(I2842=1,D2842*F2842,0)</f>
        <v>17.4</v>
      </c>
      <c r="K2842" s="7" t="n">
        <f aca="false">YEAR(E2842)*100+MONTH(E2842)</f>
        <v>201110</v>
      </c>
      <c r="L2842" s="7" t="n">
        <f aca="false">IF(AND(A2842&lt;&gt;A2841,LEFT(A2842,1)&lt;&gt;"C"),1,0)</f>
        <v>0</v>
      </c>
    </row>
    <row r="2843" customFormat="false" ht="15" hidden="false" customHeight="false" outlineLevel="0" collapsed="false">
      <c r="A2843" s="0" t="s">
        <v>2007</v>
      </c>
      <c r="B2843" s="0" t="s">
        <v>2162</v>
      </c>
      <c r="C2843" s="0" t="s">
        <v>2163</v>
      </c>
      <c r="D2843" s="0" t="n">
        <v>12</v>
      </c>
      <c r="E2843" s="6" t="n">
        <v>40827.6194444444</v>
      </c>
      <c r="F2843" s="0" t="n">
        <v>1.45</v>
      </c>
      <c r="G2843" s="0" t="n">
        <v>12536</v>
      </c>
      <c r="H2843" s="0" t="s">
        <v>43</v>
      </c>
      <c r="I2843" s="7" t="n">
        <f aca="false">IF(AND(LEFT(A2843,1)&lt;&gt;"C",D2843&gt;0,F2843&gt;0),1,0)</f>
        <v>1</v>
      </c>
      <c r="J2843" s="7" t="n">
        <f aca="false">IF(I2843=1,D2843*F2843,0)</f>
        <v>17.4</v>
      </c>
      <c r="K2843" s="7" t="n">
        <f aca="false">YEAR(E2843)*100+MONTH(E2843)</f>
        <v>201110</v>
      </c>
      <c r="L2843" s="7" t="n">
        <f aca="false">IF(AND(A2843&lt;&gt;A2842,LEFT(A2843,1)&lt;&gt;"C"),1,0)</f>
        <v>0</v>
      </c>
    </row>
    <row r="2844" customFormat="false" ht="15" hidden="false" customHeight="false" outlineLevel="0" collapsed="false">
      <c r="A2844" s="0" t="s">
        <v>2007</v>
      </c>
      <c r="B2844" s="0" t="s">
        <v>2164</v>
      </c>
      <c r="C2844" s="0" t="s">
        <v>2165</v>
      </c>
      <c r="D2844" s="0" t="n">
        <v>12</v>
      </c>
      <c r="E2844" s="6" t="n">
        <v>40827.6194444444</v>
      </c>
      <c r="F2844" s="0" t="n">
        <v>1.25</v>
      </c>
      <c r="G2844" s="0" t="n">
        <v>12536</v>
      </c>
      <c r="H2844" s="0" t="s">
        <v>43</v>
      </c>
      <c r="I2844" s="7" t="n">
        <f aca="false">IF(AND(LEFT(A2844,1)&lt;&gt;"C",D2844&gt;0,F2844&gt;0),1,0)</f>
        <v>1</v>
      </c>
      <c r="J2844" s="7" t="n">
        <f aca="false">IF(I2844=1,D2844*F2844,0)</f>
        <v>15</v>
      </c>
      <c r="K2844" s="7" t="n">
        <f aca="false">YEAR(E2844)*100+MONTH(E2844)</f>
        <v>201110</v>
      </c>
      <c r="L2844" s="7" t="n">
        <f aca="false">IF(AND(A2844&lt;&gt;A2843,LEFT(A2844,1)&lt;&gt;"C"),1,0)</f>
        <v>0</v>
      </c>
    </row>
    <row r="2845" customFormat="false" ht="15" hidden="false" customHeight="false" outlineLevel="0" collapsed="false">
      <c r="A2845" s="0" t="s">
        <v>2007</v>
      </c>
      <c r="B2845" s="0" t="s">
        <v>719</v>
      </c>
      <c r="C2845" s="0" t="s">
        <v>720</v>
      </c>
      <c r="D2845" s="0" t="n">
        <v>8</v>
      </c>
      <c r="E2845" s="6" t="n">
        <v>40827.6194444444</v>
      </c>
      <c r="F2845" s="0" t="n">
        <v>0.85</v>
      </c>
      <c r="G2845" s="0" t="n">
        <v>12536</v>
      </c>
      <c r="H2845" s="0" t="s">
        <v>43</v>
      </c>
      <c r="I2845" s="7" t="n">
        <f aca="false">IF(AND(LEFT(A2845,1)&lt;&gt;"C",D2845&gt;0,F2845&gt;0),1,0)</f>
        <v>1</v>
      </c>
      <c r="J2845" s="7" t="n">
        <f aca="false">IF(I2845=1,D2845*F2845,0)</f>
        <v>6.8</v>
      </c>
      <c r="K2845" s="7" t="n">
        <f aca="false">YEAR(E2845)*100+MONTH(E2845)</f>
        <v>201110</v>
      </c>
      <c r="L2845" s="7" t="n">
        <f aca="false">IF(AND(A2845&lt;&gt;A2844,LEFT(A2845,1)&lt;&gt;"C"),1,0)</f>
        <v>0</v>
      </c>
    </row>
    <row r="2846" customFormat="false" ht="15" hidden="false" customHeight="false" outlineLevel="0" collapsed="false">
      <c r="A2846" s="0" t="s">
        <v>2007</v>
      </c>
      <c r="B2846" s="0" t="s">
        <v>1092</v>
      </c>
      <c r="C2846" s="0" t="s">
        <v>1093</v>
      </c>
      <c r="D2846" s="0" t="n">
        <v>8</v>
      </c>
      <c r="E2846" s="6" t="n">
        <v>40827.6194444444</v>
      </c>
      <c r="F2846" s="0" t="n">
        <v>0.85</v>
      </c>
      <c r="G2846" s="0" t="n">
        <v>12536</v>
      </c>
      <c r="H2846" s="0" t="s">
        <v>43</v>
      </c>
      <c r="I2846" s="7" t="n">
        <f aca="false">IF(AND(LEFT(A2846,1)&lt;&gt;"C",D2846&gt;0,F2846&gt;0),1,0)</f>
        <v>1</v>
      </c>
      <c r="J2846" s="7" t="n">
        <f aca="false">IF(I2846=1,D2846*F2846,0)</f>
        <v>6.8</v>
      </c>
      <c r="K2846" s="7" t="n">
        <f aca="false">YEAR(E2846)*100+MONTH(E2846)</f>
        <v>201110</v>
      </c>
      <c r="L2846" s="7" t="n">
        <f aca="false">IF(AND(A2846&lt;&gt;A2845,LEFT(A2846,1)&lt;&gt;"C"),1,0)</f>
        <v>0</v>
      </c>
    </row>
    <row r="2847" customFormat="false" ht="15" hidden="false" customHeight="false" outlineLevel="0" collapsed="false">
      <c r="A2847" s="0" t="s">
        <v>2007</v>
      </c>
      <c r="B2847" s="0" t="s">
        <v>962</v>
      </c>
      <c r="C2847" s="0" t="s">
        <v>963</v>
      </c>
      <c r="D2847" s="0" t="n">
        <v>8</v>
      </c>
      <c r="E2847" s="6" t="n">
        <v>40827.6194444444</v>
      </c>
      <c r="F2847" s="0" t="n">
        <v>0.85</v>
      </c>
      <c r="G2847" s="0" t="n">
        <v>12536</v>
      </c>
      <c r="H2847" s="0" t="s">
        <v>43</v>
      </c>
      <c r="I2847" s="7" t="n">
        <f aca="false">IF(AND(LEFT(A2847,1)&lt;&gt;"C",D2847&gt;0,F2847&gt;0),1,0)</f>
        <v>1</v>
      </c>
      <c r="J2847" s="7" t="n">
        <f aca="false">IF(I2847=1,D2847*F2847,0)</f>
        <v>6.8</v>
      </c>
      <c r="K2847" s="7" t="n">
        <f aca="false">YEAR(E2847)*100+MONTH(E2847)</f>
        <v>201110</v>
      </c>
      <c r="L2847" s="7" t="n">
        <f aca="false">IF(AND(A2847&lt;&gt;A2846,LEFT(A2847,1)&lt;&gt;"C"),1,0)</f>
        <v>0</v>
      </c>
    </row>
    <row r="2848" customFormat="false" ht="15" hidden="false" customHeight="false" outlineLevel="0" collapsed="false">
      <c r="A2848" s="0" t="s">
        <v>2007</v>
      </c>
      <c r="B2848" s="0" t="s">
        <v>1216</v>
      </c>
      <c r="C2848" s="0" t="s">
        <v>1217</v>
      </c>
      <c r="D2848" s="0" t="n">
        <v>8</v>
      </c>
      <c r="E2848" s="6" t="n">
        <v>40827.6194444444</v>
      </c>
      <c r="F2848" s="0" t="n">
        <v>0.85</v>
      </c>
      <c r="G2848" s="0" t="n">
        <v>12536</v>
      </c>
      <c r="H2848" s="0" t="s">
        <v>43</v>
      </c>
      <c r="I2848" s="7" t="n">
        <f aca="false">IF(AND(LEFT(A2848,1)&lt;&gt;"C",D2848&gt;0,F2848&gt;0),1,0)</f>
        <v>1</v>
      </c>
      <c r="J2848" s="7" t="n">
        <f aca="false">IF(I2848=1,D2848*F2848,0)</f>
        <v>6.8</v>
      </c>
      <c r="K2848" s="7" t="n">
        <f aca="false">YEAR(E2848)*100+MONTH(E2848)</f>
        <v>201110</v>
      </c>
      <c r="L2848" s="7" t="n">
        <f aca="false">IF(AND(A2848&lt;&gt;A2847,LEFT(A2848,1)&lt;&gt;"C"),1,0)</f>
        <v>0</v>
      </c>
    </row>
    <row r="2849" customFormat="false" ht="15" hidden="false" customHeight="false" outlineLevel="0" collapsed="false">
      <c r="A2849" s="0" t="s">
        <v>2007</v>
      </c>
      <c r="B2849" s="0" t="s">
        <v>1300</v>
      </c>
      <c r="C2849" s="0" t="s">
        <v>1301</v>
      </c>
      <c r="D2849" s="0" t="n">
        <v>24</v>
      </c>
      <c r="E2849" s="6" t="n">
        <v>40827.6194444444</v>
      </c>
      <c r="F2849" s="0" t="n">
        <v>0.55</v>
      </c>
      <c r="G2849" s="0" t="n">
        <v>12536</v>
      </c>
      <c r="H2849" s="0" t="s">
        <v>43</v>
      </c>
      <c r="I2849" s="7" t="n">
        <f aca="false">IF(AND(LEFT(A2849,1)&lt;&gt;"C",D2849&gt;0,F2849&gt;0),1,0)</f>
        <v>1</v>
      </c>
      <c r="J2849" s="7" t="n">
        <f aca="false">IF(I2849=1,D2849*F2849,0)</f>
        <v>13.2</v>
      </c>
      <c r="K2849" s="7" t="n">
        <f aca="false">YEAR(E2849)*100+MONTH(E2849)</f>
        <v>201110</v>
      </c>
      <c r="L2849" s="7" t="n">
        <f aca="false">IF(AND(A2849&lt;&gt;A2848,LEFT(A2849,1)&lt;&gt;"C"),1,0)</f>
        <v>0</v>
      </c>
    </row>
    <row r="2850" customFormat="false" ht="15" hidden="false" customHeight="false" outlineLevel="0" collapsed="false">
      <c r="A2850" s="0" t="s">
        <v>2007</v>
      </c>
      <c r="B2850" s="0" t="s">
        <v>2166</v>
      </c>
      <c r="C2850" s="0" t="s">
        <v>2167</v>
      </c>
      <c r="D2850" s="0" t="n">
        <v>4</v>
      </c>
      <c r="E2850" s="6" t="n">
        <v>40827.6194444444</v>
      </c>
      <c r="F2850" s="0" t="n">
        <v>4.15</v>
      </c>
      <c r="G2850" s="0" t="n">
        <v>12536</v>
      </c>
      <c r="H2850" s="0" t="s">
        <v>43</v>
      </c>
      <c r="I2850" s="7" t="n">
        <f aca="false">IF(AND(LEFT(A2850,1)&lt;&gt;"C",D2850&gt;0,F2850&gt;0),1,0)</f>
        <v>1</v>
      </c>
      <c r="J2850" s="7" t="n">
        <f aca="false">IF(I2850=1,D2850*F2850,0)</f>
        <v>16.6</v>
      </c>
      <c r="K2850" s="7" t="n">
        <f aca="false">YEAR(E2850)*100+MONTH(E2850)</f>
        <v>201110</v>
      </c>
      <c r="L2850" s="7" t="n">
        <f aca="false">IF(AND(A2850&lt;&gt;A2849,LEFT(A2850,1)&lt;&gt;"C"),1,0)</f>
        <v>0</v>
      </c>
    </row>
    <row r="2851" customFormat="false" ht="15" hidden="false" customHeight="false" outlineLevel="0" collapsed="false">
      <c r="A2851" s="0" t="s">
        <v>2007</v>
      </c>
      <c r="B2851" s="0" t="s">
        <v>1794</v>
      </c>
      <c r="C2851" s="0" t="s">
        <v>1795</v>
      </c>
      <c r="D2851" s="0" t="n">
        <v>6</v>
      </c>
      <c r="E2851" s="6" t="n">
        <v>40827.6194444444</v>
      </c>
      <c r="F2851" s="0" t="n">
        <v>2.49</v>
      </c>
      <c r="G2851" s="0" t="n">
        <v>12536</v>
      </c>
      <c r="H2851" s="0" t="s">
        <v>43</v>
      </c>
      <c r="I2851" s="7" t="n">
        <f aca="false">IF(AND(LEFT(A2851,1)&lt;&gt;"C",D2851&gt;0,F2851&gt;0),1,0)</f>
        <v>1</v>
      </c>
      <c r="J2851" s="7" t="n">
        <f aca="false">IF(I2851=1,D2851*F2851,0)</f>
        <v>14.94</v>
      </c>
      <c r="K2851" s="7" t="n">
        <f aca="false">YEAR(E2851)*100+MONTH(E2851)</f>
        <v>201110</v>
      </c>
      <c r="L2851" s="7" t="n">
        <f aca="false">IF(AND(A2851&lt;&gt;A2850,LEFT(A2851,1)&lt;&gt;"C"),1,0)</f>
        <v>0</v>
      </c>
    </row>
    <row r="2852" customFormat="false" ht="15" hidden="false" customHeight="false" outlineLevel="0" collapsed="false">
      <c r="A2852" s="0" t="s">
        <v>2007</v>
      </c>
      <c r="B2852" s="0" t="s">
        <v>478</v>
      </c>
      <c r="C2852" s="0" t="s">
        <v>479</v>
      </c>
      <c r="D2852" s="0" t="n">
        <v>12</v>
      </c>
      <c r="E2852" s="6" t="n">
        <v>40827.6194444444</v>
      </c>
      <c r="F2852" s="0" t="n">
        <v>1.65</v>
      </c>
      <c r="G2852" s="0" t="n">
        <v>12536</v>
      </c>
      <c r="H2852" s="0" t="s">
        <v>43</v>
      </c>
      <c r="I2852" s="7" t="n">
        <f aca="false">IF(AND(LEFT(A2852,1)&lt;&gt;"C",D2852&gt;0,F2852&gt;0),1,0)</f>
        <v>1</v>
      </c>
      <c r="J2852" s="7" t="n">
        <f aca="false">IF(I2852=1,D2852*F2852,0)</f>
        <v>19.8</v>
      </c>
      <c r="K2852" s="7" t="n">
        <f aca="false">YEAR(E2852)*100+MONTH(E2852)</f>
        <v>201110</v>
      </c>
      <c r="L2852" s="7" t="n">
        <f aca="false">IF(AND(A2852&lt;&gt;A2851,LEFT(A2852,1)&lt;&gt;"C"),1,0)</f>
        <v>0</v>
      </c>
    </row>
    <row r="2853" customFormat="false" ht="15" hidden="false" customHeight="false" outlineLevel="0" collapsed="false">
      <c r="A2853" s="0" t="s">
        <v>2007</v>
      </c>
      <c r="B2853" s="0" t="s">
        <v>873</v>
      </c>
      <c r="C2853" s="0" t="s">
        <v>874</v>
      </c>
      <c r="D2853" s="0" t="n">
        <v>12</v>
      </c>
      <c r="E2853" s="6" t="n">
        <v>40827.6194444444</v>
      </c>
      <c r="F2853" s="0" t="n">
        <v>0.83</v>
      </c>
      <c r="G2853" s="0" t="n">
        <v>12536</v>
      </c>
      <c r="H2853" s="0" t="s">
        <v>43</v>
      </c>
      <c r="I2853" s="7" t="n">
        <f aca="false">IF(AND(LEFT(A2853,1)&lt;&gt;"C",D2853&gt;0,F2853&gt;0),1,0)</f>
        <v>1</v>
      </c>
      <c r="J2853" s="7" t="n">
        <f aca="false">IF(I2853=1,D2853*F2853,0)</f>
        <v>9.96</v>
      </c>
      <c r="K2853" s="7" t="n">
        <f aca="false">YEAR(E2853)*100+MONTH(E2853)</f>
        <v>201110</v>
      </c>
      <c r="L2853" s="7" t="n">
        <f aca="false">IF(AND(A2853&lt;&gt;A2852,LEFT(A2853,1)&lt;&gt;"C"),1,0)</f>
        <v>0</v>
      </c>
    </row>
    <row r="2854" customFormat="false" ht="15" hidden="false" customHeight="false" outlineLevel="0" collapsed="false">
      <c r="A2854" s="0" t="s">
        <v>2007</v>
      </c>
      <c r="B2854" s="0" t="s">
        <v>1420</v>
      </c>
      <c r="C2854" s="0" t="s">
        <v>1421</v>
      </c>
      <c r="D2854" s="0" t="n">
        <v>4</v>
      </c>
      <c r="E2854" s="6" t="n">
        <v>40827.6194444444</v>
      </c>
      <c r="F2854" s="0" t="n">
        <v>4.95</v>
      </c>
      <c r="G2854" s="0" t="n">
        <v>12536</v>
      </c>
      <c r="H2854" s="0" t="s">
        <v>43</v>
      </c>
      <c r="I2854" s="7" t="n">
        <f aca="false">IF(AND(LEFT(A2854,1)&lt;&gt;"C",D2854&gt;0,F2854&gt;0),1,0)</f>
        <v>1</v>
      </c>
      <c r="J2854" s="7" t="n">
        <f aca="false">IF(I2854=1,D2854*F2854,0)</f>
        <v>19.8</v>
      </c>
      <c r="K2854" s="7" t="n">
        <f aca="false">YEAR(E2854)*100+MONTH(E2854)</f>
        <v>201110</v>
      </c>
      <c r="L2854" s="7" t="n">
        <f aca="false">IF(AND(A2854&lt;&gt;A2853,LEFT(A2854,1)&lt;&gt;"C"),1,0)</f>
        <v>0</v>
      </c>
    </row>
    <row r="2855" customFormat="false" ht="15" hidden="false" customHeight="false" outlineLevel="0" collapsed="false">
      <c r="A2855" s="0" t="s">
        <v>2007</v>
      </c>
      <c r="B2855" s="0" t="s">
        <v>1680</v>
      </c>
      <c r="C2855" s="0" t="s">
        <v>1681</v>
      </c>
      <c r="D2855" s="0" t="n">
        <v>16</v>
      </c>
      <c r="E2855" s="6" t="n">
        <v>40827.6194444444</v>
      </c>
      <c r="F2855" s="0" t="n">
        <v>0.65</v>
      </c>
      <c r="G2855" s="0" t="n">
        <v>12536</v>
      </c>
      <c r="H2855" s="0" t="s">
        <v>43</v>
      </c>
      <c r="I2855" s="7" t="n">
        <f aca="false">IF(AND(LEFT(A2855,1)&lt;&gt;"C",D2855&gt;0,F2855&gt;0),1,0)</f>
        <v>1</v>
      </c>
      <c r="J2855" s="7" t="n">
        <f aca="false">IF(I2855=1,D2855*F2855,0)</f>
        <v>10.4</v>
      </c>
      <c r="K2855" s="7" t="n">
        <f aca="false">YEAR(E2855)*100+MONTH(E2855)</f>
        <v>201110</v>
      </c>
      <c r="L2855" s="7" t="n">
        <f aca="false">IF(AND(A2855&lt;&gt;A2854,LEFT(A2855,1)&lt;&gt;"C"),1,0)</f>
        <v>0</v>
      </c>
    </row>
    <row r="2856" customFormat="false" ht="15" hidden="false" customHeight="false" outlineLevel="0" collapsed="false">
      <c r="A2856" s="0" t="s">
        <v>2007</v>
      </c>
      <c r="B2856" s="0" t="s">
        <v>1620</v>
      </c>
      <c r="C2856" s="0" t="s">
        <v>1621</v>
      </c>
      <c r="D2856" s="0" t="n">
        <v>16</v>
      </c>
      <c r="E2856" s="6" t="n">
        <v>40827.6194444444</v>
      </c>
      <c r="F2856" s="0" t="n">
        <v>0.65</v>
      </c>
      <c r="G2856" s="0" t="n">
        <v>12536</v>
      </c>
      <c r="H2856" s="0" t="s">
        <v>43</v>
      </c>
      <c r="I2856" s="7" t="n">
        <f aca="false">IF(AND(LEFT(A2856,1)&lt;&gt;"C",D2856&gt;0,F2856&gt;0),1,0)</f>
        <v>1</v>
      </c>
      <c r="J2856" s="7" t="n">
        <f aca="false">IF(I2856=1,D2856*F2856,0)</f>
        <v>10.4</v>
      </c>
      <c r="K2856" s="7" t="n">
        <f aca="false">YEAR(E2856)*100+MONTH(E2856)</f>
        <v>201110</v>
      </c>
      <c r="L2856" s="7" t="n">
        <f aca="false">IF(AND(A2856&lt;&gt;A2855,LEFT(A2856,1)&lt;&gt;"C"),1,0)</f>
        <v>0</v>
      </c>
    </row>
    <row r="2857" customFormat="false" ht="15" hidden="false" customHeight="false" outlineLevel="0" collapsed="false">
      <c r="A2857" s="0" t="s">
        <v>2007</v>
      </c>
      <c r="B2857" s="0" t="s">
        <v>1183</v>
      </c>
      <c r="C2857" s="0" t="s">
        <v>1184</v>
      </c>
      <c r="D2857" s="0" t="n">
        <v>10</v>
      </c>
      <c r="E2857" s="6" t="n">
        <v>40827.6194444444</v>
      </c>
      <c r="F2857" s="0" t="n">
        <v>0.82</v>
      </c>
      <c r="G2857" s="0" t="n">
        <v>12536</v>
      </c>
      <c r="H2857" s="0" t="s">
        <v>43</v>
      </c>
      <c r="I2857" s="7" t="n">
        <f aca="false">IF(AND(LEFT(A2857,1)&lt;&gt;"C",D2857&gt;0,F2857&gt;0),1,0)</f>
        <v>1</v>
      </c>
      <c r="J2857" s="7" t="n">
        <f aca="false">IF(I2857=1,D2857*F2857,0)</f>
        <v>8.2</v>
      </c>
      <c r="K2857" s="7" t="n">
        <f aca="false">YEAR(E2857)*100+MONTH(E2857)</f>
        <v>201110</v>
      </c>
      <c r="L2857" s="7" t="n">
        <f aca="false">IF(AND(A2857&lt;&gt;A2856,LEFT(A2857,1)&lt;&gt;"C"),1,0)</f>
        <v>0</v>
      </c>
    </row>
    <row r="2858" customFormat="false" ht="15" hidden="false" customHeight="false" outlineLevel="0" collapsed="false">
      <c r="A2858" s="0" t="s">
        <v>2007</v>
      </c>
      <c r="B2858" s="0" t="s">
        <v>1063</v>
      </c>
      <c r="C2858" s="0" t="s">
        <v>1064</v>
      </c>
      <c r="D2858" s="0" t="n">
        <v>4</v>
      </c>
      <c r="E2858" s="6" t="n">
        <v>40827.6194444444</v>
      </c>
      <c r="F2858" s="0" t="n">
        <v>4.95</v>
      </c>
      <c r="G2858" s="0" t="n">
        <v>12536</v>
      </c>
      <c r="H2858" s="0" t="s">
        <v>43</v>
      </c>
      <c r="I2858" s="7" t="n">
        <f aca="false">IF(AND(LEFT(A2858,1)&lt;&gt;"C",D2858&gt;0,F2858&gt;0),1,0)</f>
        <v>1</v>
      </c>
      <c r="J2858" s="7" t="n">
        <f aca="false">IF(I2858=1,D2858*F2858,0)</f>
        <v>19.8</v>
      </c>
      <c r="K2858" s="7" t="n">
        <f aca="false">YEAR(E2858)*100+MONTH(E2858)</f>
        <v>201110</v>
      </c>
      <c r="L2858" s="7" t="n">
        <f aca="false">IF(AND(A2858&lt;&gt;A2857,LEFT(A2858,1)&lt;&gt;"C"),1,0)</f>
        <v>0</v>
      </c>
    </row>
    <row r="2859" customFormat="false" ht="15" hidden="false" customHeight="false" outlineLevel="0" collapsed="false">
      <c r="A2859" s="0" t="s">
        <v>2007</v>
      </c>
      <c r="B2859" s="0" t="s">
        <v>1600</v>
      </c>
      <c r="C2859" s="0" t="s">
        <v>1601</v>
      </c>
      <c r="D2859" s="0" t="n">
        <v>10</v>
      </c>
      <c r="E2859" s="6" t="n">
        <v>40827.6194444444</v>
      </c>
      <c r="F2859" s="0" t="n">
        <v>1.95</v>
      </c>
      <c r="G2859" s="0" t="n">
        <v>12536</v>
      </c>
      <c r="H2859" s="0" t="s">
        <v>43</v>
      </c>
      <c r="I2859" s="7" t="n">
        <f aca="false">IF(AND(LEFT(A2859,1)&lt;&gt;"C",D2859&gt;0,F2859&gt;0),1,0)</f>
        <v>1</v>
      </c>
      <c r="J2859" s="7" t="n">
        <f aca="false">IF(I2859=1,D2859*F2859,0)</f>
        <v>19.5</v>
      </c>
      <c r="K2859" s="7" t="n">
        <f aca="false">YEAR(E2859)*100+MONTH(E2859)</f>
        <v>201110</v>
      </c>
      <c r="L2859" s="7" t="n">
        <f aca="false">IF(AND(A2859&lt;&gt;A2858,LEFT(A2859,1)&lt;&gt;"C"),1,0)</f>
        <v>0</v>
      </c>
    </row>
    <row r="2860" customFormat="false" ht="15" hidden="false" customHeight="false" outlineLevel="0" collapsed="false">
      <c r="A2860" s="0" t="s">
        <v>2007</v>
      </c>
      <c r="B2860" s="0" t="s">
        <v>1598</v>
      </c>
      <c r="C2860" s="0" t="s">
        <v>1599</v>
      </c>
      <c r="D2860" s="0" t="n">
        <v>12</v>
      </c>
      <c r="E2860" s="6" t="n">
        <v>40827.6194444444</v>
      </c>
      <c r="F2860" s="0" t="n">
        <v>1.25</v>
      </c>
      <c r="G2860" s="0" t="n">
        <v>12536</v>
      </c>
      <c r="H2860" s="0" t="s">
        <v>43</v>
      </c>
      <c r="I2860" s="7" t="n">
        <f aca="false">IF(AND(LEFT(A2860,1)&lt;&gt;"C",D2860&gt;0,F2860&gt;0),1,0)</f>
        <v>1</v>
      </c>
      <c r="J2860" s="7" t="n">
        <f aca="false">IF(I2860=1,D2860*F2860,0)</f>
        <v>15</v>
      </c>
      <c r="K2860" s="7" t="n">
        <f aca="false">YEAR(E2860)*100+MONTH(E2860)</f>
        <v>201110</v>
      </c>
      <c r="L2860" s="7" t="n">
        <f aca="false">IF(AND(A2860&lt;&gt;A2859,LEFT(A2860,1)&lt;&gt;"C"),1,0)</f>
        <v>0</v>
      </c>
    </row>
    <row r="2861" customFormat="false" ht="15" hidden="false" customHeight="false" outlineLevel="0" collapsed="false">
      <c r="A2861" s="0" t="s">
        <v>2007</v>
      </c>
      <c r="B2861" s="0" t="s">
        <v>1525</v>
      </c>
      <c r="C2861" s="0" t="s">
        <v>1526</v>
      </c>
      <c r="D2861" s="0" t="n">
        <v>25</v>
      </c>
      <c r="E2861" s="6" t="n">
        <v>40827.6194444444</v>
      </c>
      <c r="F2861" s="0" t="n">
        <v>0.42</v>
      </c>
      <c r="G2861" s="0" t="n">
        <v>12536</v>
      </c>
      <c r="H2861" s="0" t="s">
        <v>43</v>
      </c>
      <c r="I2861" s="7" t="n">
        <f aca="false">IF(AND(LEFT(A2861,1)&lt;&gt;"C",D2861&gt;0,F2861&gt;0),1,0)</f>
        <v>1</v>
      </c>
      <c r="J2861" s="7" t="n">
        <f aca="false">IF(I2861=1,D2861*F2861,0)</f>
        <v>10.5</v>
      </c>
      <c r="K2861" s="7" t="n">
        <f aca="false">YEAR(E2861)*100+MONTH(E2861)</f>
        <v>201110</v>
      </c>
      <c r="L2861" s="7" t="n">
        <f aca="false">IF(AND(A2861&lt;&gt;A2860,LEFT(A2861,1)&lt;&gt;"C"),1,0)</f>
        <v>0</v>
      </c>
    </row>
    <row r="2862" customFormat="false" ht="15" hidden="false" customHeight="false" outlineLevel="0" collapsed="false">
      <c r="A2862" s="0" t="s">
        <v>2007</v>
      </c>
      <c r="B2862" s="0" t="s">
        <v>2168</v>
      </c>
      <c r="C2862" s="0" t="s">
        <v>2169</v>
      </c>
      <c r="D2862" s="0" t="n">
        <v>24</v>
      </c>
      <c r="E2862" s="6" t="n">
        <v>40827.6194444444</v>
      </c>
      <c r="F2862" s="0" t="n">
        <v>0.39</v>
      </c>
      <c r="G2862" s="0" t="n">
        <v>12536</v>
      </c>
      <c r="H2862" s="0" t="s">
        <v>43</v>
      </c>
      <c r="I2862" s="7" t="n">
        <f aca="false">IF(AND(LEFT(A2862,1)&lt;&gt;"C",D2862&gt;0,F2862&gt;0),1,0)</f>
        <v>1</v>
      </c>
      <c r="J2862" s="7" t="n">
        <f aca="false">IF(I2862=1,D2862*F2862,0)</f>
        <v>9.36</v>
      </c>
      <c r="K2862" s="7" t="n">
        <f aca="false">YEAR(E2862)*100+MONTH(E2862)</f>
        <v>201110</v>
      </c>
      <c r="L2862" s="7" t="n">
        <f aca="false">IF(AND(A2862&lt;&gt;A2861,LEFT(A2862,1)&lt;&gt;"C"),1,0)</f>
        <v>0</v>
      </c>
    </row>
    <row r="2863" customFormat="false" ht="15" hidden="false" customHeight="false" outlineLevel="0" collapsed="false">
      <c r="A2863" s="0" t="s">
        <v>2007</v>
      </c>
      <c r="B2863" s="0" t="s">
        <v>924</v>
      </c>
      <c r="C2863" s="0" t="s">
        <v>925</v>
      </c>
      <c r="D2863" s="0" t="n">
        <v>4</v>
      </c>
      <c r="E2863" s="6" t="n">
        <v>40827.6194444444</v>
      </c>
      <c r="F2863" s="0" t="n">
        <v>3.75</v>
      </c>
      <c r="G2863" s="0" t="n">
        <v>12536</v>
      </c>
      <c r="H2863" s="0" t="s">
        <v>43</v>
      </c>
      <c r="I2863" s="7" t="n">
        <f aca="false">IF(AND(LEFT(A2863,1)&lt;&gt;"C",D2863&gt;0,F2863&gt;0),1,0)</f>
        <v>1</v>
      </c>
      <c r="J2863" s="7" t="n">
        <f aca="false">IF(I2863=1,D2863*F2863,0)</f>
        <v>15</v>
      </c>
      <c r="K2863" s="7" t="n">
        <f aca="false">YEAR(E2863)*100+MONTH(E2863)</f>
        <v>201110</v>
      </c>
      <c r="L2863" s="7" t="n">
        <f aca="false">IF(AND(A2863&lt;&gt;A2862,LEFT(A2863,1)&lt;&gt;"C"),1,0)</f>
        <v>0</v>
      </c>
    </row>
    <row r="2864" customFormat="false" ht="15" hidden="false" customHeight="false" outlineLevel="0" collapsed="false">
      <c r="A2864" s="0" t="s">
        <v>2007</v>
      </c>
      <c r="B2864" s="0" t="s">
        <v>2170</v>
      </c>
      <c r="C2864" s="0" t="s">
        <v>2171</v>
      </c>
      <c r="D2864" s="0" t="n">
        <v>10</v>
      </c>
      <c r="E2864" s="6" t="n">
        <v>40827.6194444444</v>
      </c>
      <c r="F2864" s="0" t="n">
        <v>0.85</v>
      </c>
      <c r="G2864" s="0" t="n">
        <v>12536</v>
      </c>
      <c r="H2864" s="0" t="s">
        <v>43</v>
      </c>
      <c r="I2864" s="7" t="n">
        <f aca="false">IF(AND(LEFT(A2864,1)&lt;&gt;"C",D2864&gt;0,F2864&gt;0),1,0)</f>
        <v>1</v>
      </c>
      <c r="J2864" s="7" t="n">
        <f aca="false">IF(I2864=1,D2864*F2864,0)</f>
        <v>8.5</v>
      </c>
      <c r="K2864" s="7" t="n">
        <f aca="false">YEAR(E2864)*100+MONTH(E2864)</f>
        <v>201110</v>
      </c>
      <c r="L2864" s="7" t="n">
        <f aca="false">IF(AND(A2864&lt;&gt;A2863,LEFT(A2864,1)&lt;&gt;"C"),1,0)</f>
        <v>0</v>
      </c>
    </row>
    <row r="2865" customFormat="false" ht="15" hidden="false" customHeight="false" outlineLevel="0" collapsed="false">
      <c r="A2865" s="0" t="s">
        <v>2007</v>
      </c>
      <c r="B2865" s="0" t="s">
        <v>1021</v>
      </c>
      <c r="C2865" s="0" t="s">
        <v>1022</v>
      </c>
      <c r="D2865" s="0" t="n">
        <v>2</v>
      </c>
      <c r="E2865" s="6" t="n">
        <v>40827.6194444444</v>
      </c>
      <c r="F2865" s="0" t="n">
        <v>8.25</v>
      </c>
      <c r="G2865" s="0" t="n">
        <v>12536</v>
      </c>
      <c r="H2865" s="0" t="s">
        <v>43</v>
      </c>
      <c r="I2865" s="7" t="n">
        <f aca="false">IF(AND(LEFT(A2865,1)&lt;&gt;"C",D2865&gt;0,F2865&gt;0),1,0)</f>
        <v>1</v>
      </c>
      <c r="J2865" s="7" t="n">
        <f aca="false">IF(I2865=1,D2865*F2865,0)</f>
        <v>16.5</v>
      </c>
      <c r="K2865" s="7" t="n">
        <f aca="false">YEAR(E2865)*100+MONTH(E2865)</f>
        <v>201110</v>
      </c>
      <c r="L2865" s="7" t="n">
        <f aca="false">IF(AND(A2865&lt;&gt;A2864,LEFT(A2865,1)&lt;&gt;"C"),1,0)</f>
        <v>0</v>
      </c>
    </row>
    <row r="2866" customFormat="false" ht="15" hidden="false" customHeight="false" outlineLevel="0" collapsed="false">
      <c r="A2866" s="0" t="s">
        <v>2007</v>
      </c>
      <c r="B2866" s="0" t="s">
        <v>2172</v>
      </c>
      <c r="C2866" s="0" t="s">
        <v>2173</v>
      </c>
      <c r="D2866" s="0" t="n">
        <v>2</v>
      </c>
      <c r="E2866" s="6" t="n">
        <v>40827.6194444444</v>
      </c>
      <c r="F2866" s="0" t="n">
        <v>8.25</v>
      </c>
      <c r="G2866" s="0" t="n">
        <v>12536</v>
      </c>
      <c r="H2866" s="0" t="s">
        <v>43</v>
      </c>
      <c r="I2866" s="7" t="n">
        <f aca="false">IF(AND(LEFT(A2866,1)&lt;&gt;"C",D2866&gt;0,F2866&gt;0),1,0)</f>
        <v>1</v>
      </c>
      <c r="J2866" s="7" t="n">
        <f aca="false">IF(I2866=1,D2866*F2866,0)</f>
        <v>16.5</v>
      </c>
      <c r="K2866" s="7" t="n">
        <f aca="false">YEAR(E2866)*100+MONTH(E2866)</f>
        <v>201110</v>
      </c>
      <c r="L2866" s="7" t="n">
        <f aca="false">IF(AND(A2866&lt;&gt;A2865,LEFT(A2866,1)&lt;&gt;"C"),1,0)</f>
        <v>0</v>
      </c>
    </row>
    <row r="2867" customFormat="false" ht="15" hidden="false" customHeight="false" outlineLevel="0" collapsed="false">
      <c r="A2867" s="0" t="s">
        <v>2007</v>
      </c>
      <c r="B2867" s="0" t="s">
        <v>2174</v>
      </c>
      <c r="C2867" s="0" t="s">
        <v>2175</v>
      </c>
      <c r="D2867" s="0" t="n">
        <v>12</v>
      </c>
      <c r="E2867" s="6" t="n">
        <v>40827.6194444444</v>
      </c>
      <c r="F2867" s="0" t="n">
        <v>1.65</v>
      </c>
      <c r="G2867" s="0" t="n">
        <v>12536</v>
      </c>
      <c r="H2867" s="0" t="s">
        <v>43</v>
      </c>
      <c r="I2867" s="7" t="n">
        <f aca="false">IF(AND(LEFT(A2867,1)&lt;&gt;"C",D2867&gt;0,F2867&gt;0),1,0)</f>
        <v>1</v>
      </c>
      <c r="J2867" s="7" t="n">
        <f aca="false">IF(I2867=1,D2867*F2867,0)</f>
        <v>19.8</v>
      </c>
      <c r="K2867" s="7" t="n">
        <f aca="false">YEAR(E2867)*100+MONTH(E2867)</f>
        <v>201110</v>
      </c>
      <c r="L2867" s="7" t="n">
        <f aca="false">IF(AND(A2867&lt;&gt;A2866,LEFT(A2867,1)&lt;&gt;"C"),1,0)</f>
        <v>0</v>
      </c>
    </row>
    <row r="2868" customFormat="false" ht="15" hidden="false" customHeight="false" outlineLevel="0" collapsed="false">
      <c r="A2868" s="0" t="s">
        <v>2007</v>
      </c>
      <c r="B2868" s="0" t="s">
        <v>2176</v>
      </c>
      <c r="C2868" s="0" t="s">
        <v>2177</v>
      </c>
      <c r="D2868" s="0" t="n">
        <v>36</v>
      </c>
      <c r="E2868" s="6" t="n">
        <v>40827.6194444444</v>
      </c>
      <c r="F2868" s="0" t="n">
        <v>0.42</v>
      </c>
      <c r="G2868" s="0" t="n">
        <v>12536</v>
      </c>
      <c r="H2868" s="0" t="s">
        <v>43</v>
      </c>
      <c r="I2868" s="7" t="n">
        <f aca="false">IF(AND(LEFT(A2868,1)&lt;&gt;"C",D2868&gt;0,F2868&gt;0),1,0)</f>
        <v>1</v>
      </c>
      <c r="J2868" s="7" t="n">
        <f aca="false">IF(I2868=1,D2868*F2868,0)</f>
        <v>15.12</v>
      </c>
      <c r="K2868" s="7" t="n">
        <f aca="false">YEAR(E2868)*100+MONTH(E2868)</f>
        <v>201110</v>
      </c>
      <c r="L2868" s="7" t="n">
        <f aca="false">IF(AND(A2868&lt;&gt;A2867,LEFT(A2868,1)&lt;&gt;"C"),1,0)</f>
        <v>0</v>
      </c>
    </row>
    <row r="2869" customFormat="false" ht="15" hidden="false" customHeight="false" outlineLevel="0" collapsed="false">
      <c r="A2869" s="0" t="s">
        <v>2007</v>
      </c>
      <c r="B2869" s="0" t="s">
        <v>1658</v>
      </c>
      <c r="C2869" s="0" t="s">
        <v>1659</v>
      </c>
      <c r="D2869" s="0" t="n">
        <v>6</v>
      </c>
      <c r="E2869" s="6" t="n">
        <v>40827.6194444444</v>
      </c>
      <c r="F2869" s="0" t="n">
        <v>1.65</v>
      </c>
      <c r="G2869" s="0" t="n">
        <v>12536</v>
      </c>
      <c r="H2869" s="0" t="s">
        <v>43</v>
      </c>
      <c r="I2869" s="7" t="n">
        <f aca="false">IF(AND(LEFT(A2869,1)&lt;&gt;"C",D2869&gt;0,F2869&gt;0),1,0)</f>
        <v>1</v>
      </c>
      <c r="J2869" s="7" t="n">
        <f aca="false">IF(I2869=1,D2869*F2869,0)</f>
        <v>9.9</v>
      </c>
      <c r="K2869" s="7" t="n">
        <f aca="false">YEAR(E2869)*100+MONTH(E2869)</f>
        <v>201110</v>
      </c>
      <c r="L2869" s="7" t="n">
        <f aca="false">IF(AND(A2869&lt;&gt;A2868,LEFT(A2869,1)&lt;&gt;"C"),1,0)</f>
        <v>0</v>
      </c>
    </row>
    <row r="2870" customFormat="false" ht="15" hidden="false" customHeight="false" outlineLevel="0" collapsed="false">
      <c r="A2870" s="0" t="s">
        <v>2007</v>
      </c>
      <c r="B2870" s="0" t="s">
        <v>1541</v>
      </c>
      <c r="C2870" s="0" t="s">
        <v>1542</v>
      </c>
      <c r="D2870" s="0" t="n">
        <v>48</v>
      </c>
      <c r="E2870" s="6" t="n">
        <v>40827.6194444444</v>
      </c>
      <c r="F2870" s="0" t="n">
        <v>0.29</v>
      </c>
      <c r="G2870" s="0" t="n">
        <v>12536</v>
      </c>
      <c r="H2870" s="0" t="s">
        <v>43</v>
      </c>
      <c r="I2870" s="7" t="n">
        <f aca="false">IF(AND(LEFT(A2870,1)&lt;&gt;"C",D2870&gt;0,F2870&gt;0),1,0)</f>
        <v>1</v>
      </c>
      <c r="J2870" s="7" t="n">
        <f aca="false">IF(I2870=1,D2870*F2870,0)</f>
        <v>13.92</v>
      </c>
      <c r="K2870" s="7" t="n">
        <f aca="false">YEAR(E2870)*100+MONTH(E2870)</f>
        <v>201110</v>
      </c>
      <c r="L2870" s="7" t="n">
        <f aca="false">IF(AND(A2870&lt;&gt;A2869,LEFT(A2870,1)&lt;&gt;"C"),1,0)</f>
        <v>0</v>
      </c>
    </row>
    <row r="2871" customFormat="false" ht="15" hidden="false" customHeight="false" outlineLevel="0" collapsed="false">
      <c r="A2871" s="0" t="s">
        <v>2007</v>
      </c>
      <c r="B2871" s="0" t="s">
        <v>2178</v>
      </c>
      <c r="C2871" s="0" t="s">
        <v>2179</v>
      </c>
      <c r="D2871" s="0" t="n">
        <v>4</v>
      </c>
      <c r="E2871" s="6" t="n">
        <v>40827.6194444444</v>
      </c>
      <c r="F2871" s="0" t="n">
        <v>3.75</v>
      </c>
      <c r="G2871" s="0" t="n">
        <v>12536</v>
      </c>
      <c r="H2871" s="0" t="s">
        <v>43</v>
      </c>
      <c r="I2871" s="7" t="n">
        <f aca="false">IF(AND(LEFT(A2871,1)&lt;&gt;"C",D2871&gt;0,F2871&gt;0),1,0)</f>
        <v>1</v>
      </c>
      <c r="J2871" s="7" t="n">
        <f aca="false">IF(I2871=1,D2871*F2871,0)</f>
        <v>15</v>
      </c>
      <c r="K2871" s="7" t="n">
        <f aca="false">YEAR(E2871)*100+MONTH(E2871)</f>
        <v>201110</v>
      </c>
      <c r="L2871" s="7" t="n">
        <f aca="false">IF(AND(A2871&lt;&gt;A2870,LEFT(A2871,1)&lt;&gt;"C"),1,0)</f>
        <v>0</v>
      </c>
    </row>
    <row r="2872" customFormat="false" ht="15" hidden="false" customHeight="false" outlineLevel="0" collapsed="false">
      <c r="A2872" s="0" t="s">
        <v>2007</v>
      </c>
      <c r="B2872" s="0" t="s">
        <v>1740</v>
      </c>
      <c r="C2872" s="0" t="s">
        <v>1741</v>
      </c>
      <c r="D2872" s="0" t="n">
        <v>16</v>
      </c>
      <c r="E2872" s="6" t="n">
        <v>40827.6194444444</v>
      </c>
      <c r="F2872" s="0" t="n">
        <v>0.42</v>
      </c>
      <c r="G2872" s="0" t="n">
        <v>12536</v>
      </c>
      <c r="H2872" s="0" t="s">
        <v>43</v>
      </c>
      <c r="I2872" s="7" t="n">
        <f aca="false">IF(AND(LEFT(A2872,1)&lt;&gt;"C",D2872&gt;0,F2872&gt;0),1,0)</f>
        <v>1</v>
      </c>
      <c r="J2872" s="7" t="n">
        <f aca="false">IF(I2872=1,D2872*F2872,0)</f>
        <v>6.72</v>
      </c>
      <c r="K2872" s="7" t="n">
        <f aca="false">YEAR(E2872)*100+MONTH(E2872)</f>
        <v>201110</v>
      </c>
      <c r="L2872" s="7" t="n">
        <f aca="false">IF(AND(A2872&lt;&gt;A2871,LEFT(A2872,1)&lt;&gt;"C"),1,0)</f>
        <v>0</v>
      </c>
    </row>
    <row r="2873" customFormat="false" ht="15" hidden="false" customHeight="false" outlineLevel="0" collapsed="false">
      <c r="A2873" s="0" t="s">
        <v>2007</v>
      </c>
      <c r="B2873" s="0" t="s">
        <v>2180</v>
      </c>
      <c r="C2873" s="0" t="s">
        <v>2181</v>
      </c>
      <c r="D2873" s="0" t="n">
        <v>4</v>
      </c>
      <c r="E2873" s="6" t="n">
        <v>40827.6194444444</v>
      </c>
      <c r="F2873" s="0" t="n">
        <v>3.75</v>
      </c>
      <c r="G2873" s="0" t="n">
        <v>12536</v>
      </c>
      <c r="H2873" s="0" t="s">
        <v>43</v>
      </c>
      <c r="I2873" s="7" t="n">
        <f aca="false">IF(AND(LEFT(A2873,1)&lt;&gt;"C",D2873&gt;0,F2873&gt;0),1,0)</f>
        <v>1</v>
      </c>
      <c r="J2873" s="7" t="n">
        <f aca="false">IF(I2873=1,D2873*F2873,0)</f>
        <v>15</v>
      </c>
      <c r="K2873" s="7" t="n">
        <f aca="false">YEAR(E2873)*100+MONTH(E2873)</f>
        <v>201110</v>
      </c>
      <c r="L2873" s="7" t="n">
        <f aca="false">IF(AND(A2873&lt;&gt;A2872,LEFT(A2873,1)&lt;&gt;"C"),1,0)</f>
        <v>0</v>
      </c>
    </row>
    <row r="2874" customFormat="false" ht="15" hidden="false" customHeight="false" outlineLevel="0" collapsed="false">
      <c r="A2874" s="0" t="s">
        <v>2007</v>
      </c>
      <c r="B2874" s="0" t="s">
        <v>2182</v>
      </c>
      <c r="C2874" s="0" t="s">
        <v>2183</v>
      </c>
      <c r="D2874" s="0" t="n">
        <v>12</v>
      </c>
      <c r="E2874" s="6" t="n">
        <v>40827.6194444444</v>
      </c>
      <c r="F2874" s="0" t="n">
        <v>2.1</v>
      </c>
      <c r="G2874" s="0" t="n">
        <v>12536</v>
      </c>
      <c r="H2874" s="0" t="s">
        <v>43</v>
      </c>
      <c r="I2874" s="7" t="n">
        <f aca="false">IF(AND(LEFT(A2874,1)&lt;&gt;"C",D2874&gt;0,F2874&gt;0),1,0)</f>
        <v>1</v>
      </c>
      <c r="J2874" s="7" t="n">
        <f aca="false">IF(I2874=1,D2874*F2874,0)</f>
        <v>25.2</v>
      </c>
      <c r="K2874" s="7" t="n">
        <f aca="false">YEAR(E2874)*100+MONTH(E2874)</f>
        <v>201110</v>
      </c>
      <c r="L2874" s="7" t="n">
        <f aca="false">IF(AND(A2874&lt;&gt;A2873,LEFT(A2874,1)&lt;&gt;"C"),1,0)</f>
        <v>0</v>
      </c>
    </row>
    <row r="2875" customFormat="false" ht="15" hidden="false" customHeight="false" outlineLevel="0" collapsed="false">
      <c r="A2875" s="0" t="s">
        <v>2007</v>
      </c>
      <c r="B2875" s="0" t="s">
        <v>2184</v>
      </c>
      <c r="C2875" s="0" t="s">
        <v>2185</v>
      </c>
      <c r="D2875" s="0" t="n">
        <v>3</v>
      </c>
      <c r="E2875" s="6" t="n">
        <v>40827.6194444444</v>
      </c>
      <c r="F2875" s="0" t="n">
        <v>4.25</v>
      </c>
      <c r="G2875" s="0" t="n">
        <v>12536</v>
      </c>
      <c r="H2875" s="0" t="s">
        <v>43</v>
      </c>
      <c r="I2875" s="7" t="n">
        <f aca="false">IF(AND(LEFT(A2875,1)&lt;&gt;"C",D2875&gt;0,F2875&gt;0),1,0)</f>
        <v>1</v>
      </c>
      <c r="J2875" s="7" t="n">
        <f aca="false">IF(I2875=1,D2875*F2875,0)</f>
        <v>12.75</v>
      </c>
      <c r="K2875" s="7" t="n">
        <f aca="false">YEAR(E2875)*100+MONTH(E2875)</f>
        <v>201110</v>
      </c>
      <c r="L2875" s="7" t="n">
        <f aca="false">IF(AND(A2875&lt;&gt;A2874,LEFT(A2875,1)&lt;&gt;"C"),1,0)</f>
        <v>0</v>
      </c>
    </row>
    <row r="2876" customFormat="false" ht="15" hidden="false" customHeight="false" outlineLevel="0" collapsed="false">
      <c r="A2876" s="0" t="s">
        <v>2007</v>
      </c>
      <c r="B2876" s="0" t="s">
        <v>2186</v>
      </c>
      <c r="C2876" s="0" t="s">
        <v>2187</v>
      </c>
      <c r="D2876" s="0" t="n">
        <v>12</v>
      </c>
      <c r="E2876" s="6" t="n">
        <v>40827.6194444444</v>
      </c>
      <c r="F2876" s="0" t="n">
        <v>0.85</v>
      </c>
      <c r="G2876" s="0" t="n">
        <v>12536</v>
      </c>
      <c r="H2876" s="0" t="s">
        <v>43</v>
      </c>
      <c r="I2876" s="7" t="n">
        <f aca="false">IF(AND(LEFT(A2876,1)&lt;&gt;"C",D2876&gt;0,F2876&gt;0),1,0)</f>
        <v>1</v>
      </c>
      <c r="J2876" s="7" t="n">
        <f aca="false">IF(I2876=1,D2876*F2876,0)</f>
        <v>10.2</v>
      </c>
      <c r="K2876" s="7" t="n">
        <f aca="false">YEAR(E2876)*100+MONTH(E2876)</f>
        <v>201110</v>
      </c>
      <c r="L2876" s="7" t="n">
        <f aca="false">IF(AND(A2876&lt;&gt;A2875,LEFT(A2876,1)&lt;&gt;"C"),1,0)</f>
        <v>0</v>
      </c>
    </row>
    <row r="2877" customFormat="false" ht="15" hidden="false" customHeight="false" outlineLevel="0" collapsed="false">
      <c r="A2877" s="0" t="s">
        <v>2007</v>
      </c>
      <c r="B2877" s="0" t="s">
        <v>2188</v>
      </c>
      <c r="C2877" s="0" t="s">
        <v>2189</v>
      </c>
      <c r="D2877" s="0" t="n">
        <v>12</v>
      </c>
      <c r="E2877" s="6" t="n">
        <v>40827.6194444444</v>
      </c>
      <c r="F2877" s="0" t="n">
        <v>1.25</v>
      </c>
      <c r="G2877" s="0" t="n">
        <v>12536</v>
      </c>
      <c r="H2877" s="0" t="s">
        <v>43</v>
      </c>
      <c r="I2877" s="7" t="n">
        <f aca="false">IF(AND(LEFT(A2877,1)&lt;&gt;"C",D2877&gt;0,F2877&gt;0),1,0)</f>
        <v>1</v>
      </c>
      <c r="J2877" s="7" t="n">
        <f aca="false">IF(I2877=1,D2877*F2877,0)</f>
        <v>15</v>
      </c>
      <c r="K2877" s="7" t="n">
        <f aca="false">YEAR(E2877)*100+MONTH(E2877)</f>
        <v>201110</v>
      </c>
      <c r="L2877" s="7" t="n">
        <f aca="false">IF(AND(A2877&lt;&gt;A2876,LEFT(A2877,1)&lt;&gt;"C"),1,0)</f>
        <v>0</v>
      </c>
    </row>
    <row r="2878" customFormat="false" ht="15" hidden="false" customHeight="false" outlineLevel="0" collapsed="false">
      <c r="A2878" s="0" t="s">
        <v>2007</v>
      </c>
      <c r="B2878" s="0" t="s">
        <v>388</v>
      </c>
      <c r="C2878" s="0" t="s">
        <v>389</v>
      </c>
      <c r="D2878" s="0" t="n">
        <v>8</v>
      </c>
      <c r="E2878" s="6" t="n">
        <v>40827.6194444444</v>
      </c>
      <c r="F2878" s="0" t="n">
        <v>1.69</v>
      </c>
      <c r="G2878" s="0" t="n">
        <v>12536</v>
      </c>
      <c r="H2878" s="0" t="s">
        <v>43</v>
      </c>
      <c r="I2878" s="7" t="n">
        <f aca="false">IF(AND(LEFT(A2878,1)&lt;&gt;"C",D2878&gt;0,F2878&gt;0),1,0)</f>
        <v>1</v>
      </c>
      <c r="J2878" s="7" t="n">
        <f aca="false">IF(I2878=1,D2878*F2878,0)</f>
        <v>13.52</v>
      </c>
      <c r="K2878" s="7" t="n">
        <f aca="false">YEAR(E2878)*100+MONTH(E2878)</f>
        <v>201110</v>
      </c>
      <c r="L2878" s="7" t="n">
        <f aca="false">IF(AND(A2878&lt;&gt;A2877,LEFT(A2878,1)&lt;&gt;"C"),1,0)</f>
        <v>0</v>
      </c>
    </row>
    <row r="2879" customFormat="false" ht="15" hidden="false" customHeight="false" outlineLevel="0" collapsed="false">
      <c r="A2879" s="0" t="s">
        <v>2007</v>
      </c>
      <c r="B2879" s="0" t="s">
        <v>2190</v>
      </c>
      <c r="C2879" s="0" t="s">
        <v>2191</v>
      </c>
      <c r="D2879" s="0" t="n">
        <v>4</v>
      </c>
      <c r="E2879" s="6" t="n">
        <v>40827.6194444444</v>
      </c>
      <c r="F2879" s="0" t="n">
        <v>3.75</v>
      </c>
      <c r="G2879" s="0" t="n">
        <v>12536</v>
      </c>
      <c r="H2879" s="0" t="s">
        <v>43</v>
      </c>
      <c r="I2879" s="7" t="n">
        <f aca="false">IF(AND(LEFT(A2879,1)&lt;&gt;"C",D2879&gt;0,F2879&gt;0),1,0)</f>
        <v>1</v>
      </c>
      <c r="J2879" s="7" t="n">
        <f aca="false">IF(I2879=1,D2879*F2879,0)</f>
        <v>15</v>
      </c>
      <c r="K2879" s="7" t="n">
        <f aca="false">YEAR(E2879)*100+MONTH(E2879)</f>
        <v>201110</v>
      </c>
      <c r="L2879" s="7" t="n">
        <f aca="false">IF(AND(A2879&lt;&gt;A2878,LEFT(A2879,1)&lt;&gt;"C"),1,0)</f>
        <v>0</v>
      </c>
    </row>
    <row r="2880" customFormat="false" ht="15" hidden="false" customHeight="false" outlineLevel="0" collapsed="false">
      <c r="A2880" s="0" t="s">
        <v>2007</v>
      </c>
      <c r="B2880" s="0" t="s">
        <v>891</v>
      </c>
      <c r="C2880" s="0" t="s">
        <v>892</v>
      </c>
      <c r="D2880" s="0" t="n">
        <v>24</v>
      </c>
      <c r="E2880" s="6" t="n">
        <v>40827.6194444444</v>
      </c>
      <c r="F2880" s="0" t="n">
        <v>0.19</v>
      </c>
      <c r="G2880" s="0" t="n">
        <v>12536</v>
      </c>
      <c r="H2880" s="0" t="s">
        <v>43</v>
      </c>
      <c r="I2880" s="7" t="n">
        <f aca="false">IF(AND(LEFT(A2880,1)&lt;&gt;"C",D2880&gt;0,F2880&gt;0),1,0)</f>
        <v>1</v>
      </c>
      <c r="J2880" s="7" t="n">
        <f aca="false">IF(I2880=1,D2880*F2880,0)</f>
        <v>4.56</v>
      </c>
      <c r="K2880" s="7" t="n">
        <f aca="false">YEAR(E2880)*100+MONTH(E2880)</f>
        <v>201110</v>
      </c>
      <c r="L2880" s="7" t="n">
        <f aca="false">IF(AND(A2880&lt;&gt;A2879,LEFT(A2880,1)&lt;&gt;"C"),1,0)</f>
        <v>0</v>
      </c>
    </row>
    <row r="2881" customFormat="false" ht="15" hidden="false" customHeight="false" outlineLevel="0" collapsed="false">
      <c r="A2881" s="0" t="s">
        <v>2007</v>
      </c>
      <c r="B2881" s="0" t="s">
        <v>41</v>
      </c>
      <c r="C2881" s="0" t="s">
        <v>42</v>
      </c>
      <c r="D2881" s="0" t="n">
        <v>3</v>
      </c>
      <c r="E2881" s="6" t="n">
        <v>40827.6194444444</v>
      </c>
      <c r="F2881" s="0" t="n">
        <v>5.95</v>
      </c>
      <c r="G2881" s="0" t="n">
        <v>12536</v>
      </c>
      <c r="H2881" s="0" t="s">
        <v>43</v>
      </c>
      <c r="I2881" s="7" t="n">
        <f aca="false">IF(AND(LEFT(A2881,1)&lt;&gt;"C",D2881&gt;0,F2881&gt;0),1,0)</f>
        <v>1</v>
      </c>
      <c r="J2881" s="7" t="n">
        <f aca="false">IF(I2881=1,D2881*F2881,0)</f>
        <v>17.85</v>
      </c>
      <c r="K2881" s="7" t="n">
        <f aca="false">YEAR(E2881)*100+MONTH(E2881)</f>
        <v>201110</v>
      </c>
      <c r="L2881" s="7" t="n">
        <f aca="false">IF(AND(A2881&lt;&gt;A2880,LEFT(A2881,1)&lt;&gt;"C"),1,0)</f>
        <v>0</v>
      </c>
    </row>
    <row r="2882" customFormat="false" ht="15" hidden="false" customHeight="false" outlineLevel="0" collapsed="false">
      <c r="A2882" s="0" t="s">
        <v>2007</v>
      </c>
      <c r="B2882" s="0" t="s">
        <v>2192</v>
      </c>
      <c r="C2882" s="0" t="s">
        <v>2193</v>
      </c>
      <c r="D2882" s="0" t="n">
        <v>12</v>
      </c>
      <c r="E2882" s="6" t="n">
        <v>40827.6194444444</v>
      </c>
      <c r="F2882" s="0" t="n">
        <v>1.65</v>
      </c>
      <c r="G2882" s="0" t="n">
        <v>12536</v>
      </c>
      <c r="H2882" s="0" t="s">
        <v>43</v>
      </c>
      <c r="I2882" s="7" t="n">
        <f aca="false">IF(AND(LEFT(A2882,1)&lt;&gt;"C",D2882&gt;0,F2882&gt;0),1,0)</f>
        <v>1</v>
      </c>
      <c r="J2882" s="7" t="n">
        <f aca="false">IF(I2882=1,D2882*F2882,0)</f>
        <v>19.8</v>
      </c>
      <c r="K2882" s="7" t="n">
        <f aca="false">YEAR(E2882)*100+MONTH(E2882)</f>
        <v>201110</v>
      </c>
      <c r="L2882" s="7" t="n">
        <f aca="false">IF(AND(A2882&lt;&gt;A2881,LEFT(A2882,1)&lt;&gt;"C"),1,0)</f>
        <v>0</v>
      </c>
    </row>
    <row r="2883" customFormat="false" ht="15" hidden="false" customHeight="false" outlineLevel="0" collapsed="false">
      <c r="A2883" s="0" t="s">
        <v>2007</v>
      </c>
      <c r="B2883" s="0" t="s">
        <v>2194</v>
      </c>
      <c r="C2883" s="0" t="s">
        <v>2195</v>
      </c>
      <c r="D2883" s="0" t="n">
        <v>12</v>
      </c>
      <c r="E2883" s="6" t="n">
        <v>40827.6194444444</v>
      </c>
      <c r="F2883" s="0" t="n">
        <v>1.65</v>
      </c>
      <c r="G2883" s="0" t="n">
        <v>12536</v>
      </c>
      <c r="H2883" s="0" t="s">
        <v>43</v>
      </c>
      <c r="I2883" s="7" t="n">
        <f aca="false">IF(AND(LEFT(A2883,1)&lt;&gt;"C",D2883&gt;0,F2883&gt;0),1,0)</f>
        <v>1</v>
      </c>
      <c r="J2883" s="7" t="n">
        <f aca="false">IF(I2883=1,D2883*F2883,0)</f>
        <v>19.8</v>
      </c>
      <c r="K2883" s="7" t="n">
        <f aca="false">YEAR(E2883)*100+MONTH(E2883)</f>
        <v>201110</v>
      </c>
      <c r="L2883" s="7" t="n">
        <f aca="false">IF(AND(A2883&lt;&gt;A2882,LEFT(A2883,1)&lt;&gt;"C"),1,0)</f>
        <v>0</v>
      </c>
    </row>
    <row r="2884" customFormat="false" ht="15" hidden="false" customHeight="false" outlineLevel="0" collapsed="false">
      <c r="A2884" s="0" t="s">
        <v>2007</v>
      </c>
      <c r="B2884" s="0" t="s">
        <v>2196</v>
      </c>
      <c r="C2884" s="0" t="s">
        <v>2197</v>
      </c>
      <c r="D2884" s="0" t="n">
        <v>8</v>
      </c>
      <c r="E2884" s="6" t="n">
        <v>40827.6194444444</v>
      </c>
      <c r="F2884" s="0" t="n">
        <v>1.95</v>
      </c>
      <c r="G2884" s="0" t="n">
        <v>12536</v>
      </c>
      <c r="H2884" s="0" t="s">
        <v>43</v>
      </c>
      <c r="I2884" s="7" t="n">
        <f aca="false">IF(AND(LEFT(A2884,1)&lt;&gt;"C",D2884&gt;0,F2884&gt;0),1,0)</f>
        <v>1</v>
      </c>
      <c r="J2884" s="7" t="n">
        <f aca="false">IF(I2884=1,D2884*F2884,0)</f>
        <v>15.6</v>
      </c>
      <c r="K2884" s="7" t="n">
        <f aca="false">YEAR(E2884)*100+MONTH(E2884)</f>
        <v>201110</v>
      </c>
      <c r="L2884" s="7" t="n">
        <f aca="false">IF(AND(A2884&lt;&gt;A2883,LEFT(A2884,1)&lt;&gt;"C"),1,0)</f>
        <v>0</v>
      </c>
    </row>
    <row r="2885" customFormat="false" ht="15" hidden="false" customHeight="false" outlineLevel="0" collapsed="false">
      <c r="A2885" s="0" t="s">
        <v>2007</v>
      </c>
      <c r="B2885" s="0" t="s">
        <v>1386</v>
      </c>
      <c r="C2885" s="0" t="s">
        <v>1387</v>
      </c>
      <c r="D2885" s="0" t="n">
        <v>10</v>
      </c>
      <c r="E2885" s="6" t="n">
        <v>40827.6194444444</v>
      </c>
      <c r="F2885" s="0" t="n">
        <v>2.08</v>
      </c>
      <c r="G2885" s="0" t="n">
        <v>12536</v>
      </c>
      <c r="H2885" s="0" t="s">
        <v>43</v>
      </c>
      <c r="I2885" s="7" t="n">
        <f aca="false">IF(AND(LEFT(A2885,1)&lt;&gt;"C",D2885&gt;0,F2885&gt;0),1,0)</f>
        <v>1</v>
      </c>
      <c r="J2885" s="7" t="n">
        <f aca="false">IF(I2885=1,D2885*F2885,0)</f>
        <v>20.8</v>
      </c>
      <c r="K2885" s="7" t="n">
        <f aca="false">YEAR(E2885)*100+MONTH(E2885)</f>
        <v>201110</v>
      </c>
      <c r="L2885" s="7" t="n">
        <f aca="false">IF(AND(A2885&lt;&gt;A2884,LEFT(A2885,1)&lt;&gt;"C"),1,0)</f>
        <v>0</v>
      </c>
    </row>
    <row r="2886" customFormat="false" ht="15" hidden="false" customHeight="false" outlineLevel="0" collapsed="false">
      <c r="A2886" s="0" t="s">
        <v>2007</v>
      </c>
      <c r="B2886" s="0" t="s">
        <v>2198</v>
      </c>
      <c r="C2886" s="0" t="s">
        <v>2199</v>
      </c>
      <c r="D2886" s="0" t="n">
        <v>6</v>
      </c>
      <c r="E2886" s="6" t="n">
        <v>40827.6194444444</v>
      </c>
      <c r="F2886" s="0" t="n">
        <v>2.1</v>
      </c>
      <c r="G2886" s="0" t="n">
        <v>12536</v>
      </c>
      <c r="H2886" s="0" t="s">
        <v>43</v>
      </c>
      <c r="I2886" s="7" t="n">
        <f aca="false">IF(AND(LEFT(A2886,1)&lt;&gt;"C",D2886&gt;0,F2886&gt;0),1,0)</f>
        <v>1</v>
      </c>
      <c r="J2886" s="7" t="n">
        <f aca="false">IF(I2886=1,D2886*F2886,0)</f>
        <v>12.6</v>
      </c>
      <c r="K2886" s="7" t="n">
        <f aca="false">YEAR(E2886)*100+MONTH(E2886)</f>
        <v>201110</v>
      </c>
      <c r="L2886" s="7" t="n">
        <f aca="false">IF(AND(A2886&lt;&gt;A2885,LEFT(A2886,1)&lt;&gt;"C"),1,0)</f>
        <v>0</v>
      </c>
    </row>
    <row r="2887" customFormat="false" ht="15" hidden="false" customHeight="false" outlineLevel="0" collapsed="false">
      <c r="A2887" s="0" t="s">
        <v>2007</v>
      </c>
      <c r="B2887" s="0" t="s">
        <v>2200</v>
      </c>
      <c r="C2887" s="0" t="s">
        <v>2201</v>
      </c>
      <c r="D2887" s="0" t="n">
        <v>16</v>
      </c>
      <c r="E2887" s="6" t="n">
        <v>40827.6194444444</v>
      </c>
      <c r="F2887" s="0" t="n">
        <v>0.42</v>
      </c>
      <c r="G2887" s="0" t="n">
        <v>12536</v>
      </c>
      <c r="H2887" s="0" t="s">
        <v>43</v>
      </c>
      <c r="I2887" s="7" t="n">
        <f aca="false">IF(AND(LEFT(A2887,1)&lt;&gt;"C",D2887&gt;0,F2887&gt;0),1,0)</f>
        <v>1</v>
      </c>
      <c r="J2887" s="7" t="n">
        <f aca="false">IF(I2887=1,D2887*F2887,0)</f>
        <v>6.72</v>
      </c>
      <c r="K2887" s="7" t="n">
        <f aca="false">YEAR(E2887)*100+MONTH(E2887)</f>
        <v>201110</v>
      </c>
      <c r="L2887" s="7" t="n">
        <f aca="false">IF(AND(A2887&lt;&gt;A2886,LEFT(A2887,1)&lt;&gt;"C"),1,0)</f>
        <v>0</v>
      </c>
    </row>
    <row r="2888" customFormat="false" ht="15" hidden="false" customHeight="false" outlineLevel="0" collapsed="false">
      <c r="A2888" s="0" t="s">
        <v>2007</v>
      </c>
      <c r="B2888" s="0" t="s">
        <v>985</v>
      </c>
      <c r="C2888" s="0" t="s">
        <v>986</v>
      </c>
      <c r="D2888" s="0" t="n">
        <v>16</v>
      </c>
      <c r="E2888" s="6" t="n">
        <v>40827.6194444444</v>
      </c>
      <c r="F2888" s="0" t="n">
        <v>0.42</v>
      </c>
      <c r="G2888" s="0" t="n">
        <v>12536</v>
      </c>
      <c r="H2888" s="0" t="s">
        <v>43</v>
      </c>
      <c r="I2888" s="7" t="n">
        <f aca="false">IF(AND(LEFT(A2888,1)&lt;&gt;"C",D2888&gt;0,F2888&gt;0),1,0)</f>
        <v>1</v>
      </c>
      <c r="J2888" s="7" t="n">
        <f aca="false">IF(I2888=1,D2888*F2888,0)</f>
        <v>6.72</v>
      </c>
      <c r="K2888" s="7" t="n">
        <f aca="false">YEAR(E2888)*100+MONTH(E2888)</f>
        <v>201110</v>
      </c>
      <c r="L2888" s="7" t="n">
        <f aca="false">IF(AND(A2888&lt;&gt;A2887,LEFT(A2888,1)&lt;&gt;"C"),1,0)</f>
        <v>0</v>
      </c>
    </row>
    <row r="2889" customFormat="false" ht="15" hidden="false" customHeight="false" outlineLevel="0" collapsed="false">
      <c r="A2889" s="0" t="s">
        <v>2007</v>
      </c>
      <c r="B2889" s="0" t="s">
        <v>1851</v>
      </c>
      <c r="C2889" s="0" t="s">
        <v>1852</v>
      </c>
      <c r="D2889" s="0" t="n">
        <v>12</v>
      </c>
      <c r="E2889" s="6" t="n">
        <v>40827.6194444444</v>
      </c>
      <c r="F2889" s="0" t="n">
        <v>1.25</v>
      </c>
      <c r="G2889" s="0" t="n">
        <v>12536</v>
      </c>
      <c r="H2889" s="0" t="s">
        <v>43</v>
      </c>
      <c r="I2889" s="7" t="n">
        <f aca="false">IF(AND(LEFT(A2889,1)&lt;&gt;"C",D2889&gt;0,F2889&gt;0),1,0)</f>
        <v>1</v>
      </c>
      <c r="J2889" s="7" t="n">
        <f aca="false">IF(I2889=1,D2889*F2889,0)</f>
        <v>15</v>
      </c>
      <c r="K2889" s="7" t="n">
        <f aca="false">YEAR(E2889)*100+MONTH(E2889)</f>
        <v>201110</v>
      </c>
      <c r="L2889" s="7" t="n">
        <f aca="false">IF(AND(A2889&lt;&gt;A2888,LEFT(A2889,1)&lt;&gt;"C"),1,0)</f>
        <v>0</v>
      </c>
    </row>
    <row r="2890" customFormat="false" ht="15" hidden="false" customHeight="false" outlineLevel="0" collapsed="false">
      <c r="A2890" s="0" t="s">
        <v>2007</v>
      </c>
      <c r="B2890" s="0" t="s">
        <v>2202</v>
      </c>
      <c r="C2890" s="0" t="s">
        <v>2203</v>
      </c>
      <c r="D2890" s="0" t="n">
        <v>12</v>
      </c>
      <c r="E2890" s="6" t="n">
        <v>40827.6194444444</v>
      </c>
      <c r="F2890" s="0" t="n">
        <v>0.65</v>
      </c>
      <c r="G2890" s="0" t="n">
        <v>12536</v>
      </c>
      <c r="H2890" s="0" t="s">
        <v>43</v>
      </c>
      <c r="I2890" s="7" t="n">
        <f aca="false">IF(AND(LEFT(A2890,1)&lt;&gt;"C",D2890&gt;0,F2890&gt;0),1,0)</f>
        <v>1</v>
      </c>
      <c r="J2890" s="7" t="n">
        <f aca="false">IF(I2890=1,D2890*F2890,0)</f>
        <v>7.8</v>
      </c>
      <c r="K2890" s="7" t="n">
        <f aca="false">YEAR(E2890)*100+MONTH(E2890)</f>
        <v>201110</v>
      </c>
      <c r="L2890" s="7" t="n">
        <f aca="false">IF(AND(A2890&lt;&gt;A2889,LEFT(A2890,1)&lt;&gt;"C"),1,0)</f>
        <v>0</v>
      </c>
    </row>
    <row r="2891" customFormat="false" ht="15" hidden="false" customHeight="false" outlineLevel="0" collapsed="false">
      <c r="A2891" s="0" t="s">
        <v>2007</v>
      </c>
      <c r="B2891" s="0" t="s">
        <v>2204</v>
      </c>
      <c r="C2891" s="0" t="s">
        <v>2205</v>
      </c>
      <c r="D2891" s="0" t="n">
        <v>12</v>
      </c>
      <c r="E2891" s="6" t="n">
        <v>40827.6194444444</v>
      </c>
      <c r="F2891" s="0" t="n">
        <v>0.85</v>
      </c>
      <c r="G2891" s="0" t="n">
        <v>12536</v>
      </c>
      <c r="H2891" s="0" t="s">
        <v>43</v>
      </c>
      <c r="I2891" s="7" t="n">
        <f aca="false">IF(AND(LEFT(A2891,1)&lt;&gt;"C",D2891&gt;0,F2891&gt;0),1,0)</f>
        <v>1</v>
      </c>
      <c r="J2891" s="7" t="n">
        <f aca="false">IF(I2891=1,D2891*F2891,0)</f>
        <v>10.2</v>
      </c>
      <c r="K2891" s="7" t="n">
        <f aca="false">YEAR(E2891)*100+MONTH(E2891)</f>
        <v>201110</v>
      </c>
      <c r="L2891" s="7" t="n">
        <f aca="false">IF(AND(A2891&lt;&gt;A2890,LEFT(A2891,1)&lt;&gt;"C"),1,0)</f>
        <v>0</v>
      </c>
    </row>
    <row r="2892" customFormat="false" ht="15" hidden="false" customHeight="false" outlineLevel="0" collapsed="false">
      <c r="A2892" s="0" t="s">
        <v>2206</v>
      </c>
      <c r="B2892" s="0" t="s">
        <v>1175</v>
      </c>
      <c r="C2892" s="0" t="s">
        <v>1176</v>
      </c>
      <c r="D2892" s="0" t="n">
        <v>12</v>
      </c>
      <c r="E2892" s="6" t="n">
        <v>40828.4416666667</v>
      </c>
      <c r="F2892" s="0" t="n">
        <v>2.08</v>
      </c>
      <c r="G2892" s="0" t="n">
        <v>12518</v>
      </c>
      <c r="H2892" s="0" t="s">
        <v>33</v>
      </c>
      <c r="I2892" s="7" t="n">
        <f aca="false">IF(AND(LEFT(A2892,1)&lt;&gt;"C",D2892&gt;0,F2892&gt;0),1,0)</f>
        <v>1</v>
      </c>
      <c r="J2892" s="7" t="n">
        <f aca="false">IF(I2892=1,D2892*F2892,0)</f>
        <v>24.96</v>
      </c>
      <c r="K2892" s="7" t="n">
        <f aca="false">YEAR(E2892)*100+MONTH(E2892)</f>
        <v>201110</v>
      </c>
      <c r="L2892" s="7" t="n">
        <f aca="false">IF(AND(A2892&lt;&gt;A2891,LEFT(A2892,1)&lt;&gt;"C"),1,0)</f>
        <v>1</v>
      </c>
    </row>
    <row r="2893" customFormat="false" ht="15" hidden="false" customHeight="false" outlineLevel="0" collapsed="false">
      <c r="A2893" s="0" t="s">
        <v>2206</v>
      </c>
      <c r="B2893" s="0" t="s">
        <v>991</v>
      </c>
      <c r="C2893" s="0" t="s">
        <v>992</v>
      </c>
      <c r="D2893" s="0" t="n">
        <v>24</v>
      </c>
      <c r="E2893" s="6" t="n">
        <v>40828.4416666667</v>
      </c>
      <c r="F2893" s="0" t="n">
        <v>0.42</v>
      </c>
      <c r="G2893" s="0" t="n">
        <v>12518</v>
      </c>
      <c r="H2893" s="0" t="s">
        <v>33</v>
      </c>
      <c r="I2893" s="7" t="n">
        <f aca="false">IF(AND(LEFT(A2893,1)&lt;&gt;"C",D2893&gt;0,F2893&gt;0),1,0)</f>
        <v>1</v>
      </c>
      <c r="J2893" s="7" t="n">
        <f aca="false">IF(I2893=1,D2893*F2893,0)</f>
        <v>10.08</v>
      </c>
      <c r="K2893" s="7" t="n">
        <f aca="false">YEAR(E2893)*100+MONTH(E2893)</f>
        <v>201110</v>
      </c>
      <c r="L2893" s="7" t="n">
        <f aca="false">IF(AND(A2893&lt;&gt;A2892,LEFT(A2893,1)&lt;&gt;"C"),1,0)</f>
        <v>0</v>
      </c>
    </row>
    <row r="2894" customFormat="false" ht="15" hidden="false" customHeight="false" outlineLevel="0" collapsed="false">
      <c r="A2894" s="0" t="s">
        <v>2206</v>
      </c>
      <c r="B2894" s="0" t="s">
        <v>171</v>
      </c>
      <c r="C2894" s="0" t="s">
        <v>172</v>
      </c>
      <c r="D2894" s="0" t="n">
        <v>8</v>
      </c>
      <c r="E2894" s="6" t="n">
        <v>40828.4416666667</v>
      </c>
      <c r="F2894" s="0" t="n">
        <v>1.25</v>
      </c>
      <c r="G2894" s="0" t="n">
        <v>12518</v>
      </c>
      <c r="H2894" s="0" t="s">
        <v>33</v>
      </c>
      <c r="I2894" s="7" t="n">
        <f aca="false">IF(AND(LEFT(A2894,1)&lt;&gt;"C",D2894&gt;0,F2894&gt;0),1,0)</f>
        <v>1</v>
      </c>
      <c r="J2894" s="7" t="n">
        <f aca="false">IF(I2894=1,D2894*F2894,0)</f>
        <v>10</v>
      </c>
      <c r="K2894" s="7" t="n">
        <f aca="false">YEAR(E2894)*100+MONTH(E2894)</f>
        <v>201110</v>
      </c>
      <c r="L2894" s="7" t="n">
        <f aca="false">IF(AND(A2894&lt;&gt;A2893,LEFT(A2894,1)&lt;&gt;"C"),1,0)</f>
        <v>0</v>
      </c>
    </row>
    <row r="2895" customFormat="false" ht="15" hidden="false" customHeight="false" outlineLevel="0" collapsed="false">
      <c r="A2895" s="0" t="s">
        <v>2206</v>
      </c>
      <c r="B2895" s="0" t="s">
        <v>1622</v>
      </c>
      <c r="C2895" s="0" t="s">
        <v>1623</v>
      </c>
      <c r="D2895" s="0" t="n">
        <v>24</v>
      </c>
      <c r="E2895" s="6" t="n">
        <v>40828.4416666667</v>
      </c>
      <c r="F2895" s="0" t="n">
        <v>0.42</v>
      </c>
      <c r="G2895" s="0" t="n">
        <v>12518</v>
      </c>
      <c r="H2895" s="0" t="s">
        <v>33</v>
      </c>
      <c r="I2895" s="7" t="n">
        <f aca="false">IF(AND(LEFT(A2895,1)&lt;&gt;"C",D2895&gt;0,F2895&gt;0),1,0)</f>
        <v>1</v>
      </c>
      <c r="J2895" s="7" t="n">
        <f aca="false">IF(I2895=1,D2895*F2895,0)</f>
        <v>10.08</v>
      </c>
      <c r="K2895" s="7" t="n">
        <f aca="false">YEAR(E2895)*100+MONTH(E2895)</f>
        <v>201110</v>
      </c>
      <c r="L2895" s="7" t="n">
        <f aca="false">IF(AND(A2895&lt;&gt;A2894,LEFT(A2895,1)&lt;&gt;"C"),1,0)</f>
        <v>0</v>
      </c>
    </row>
    <row r="2896" customFormat="false" ht="15" hidden="false" customHeight="false" outlineLevel="0" collapsed="false">
      <c r="A2896" s="0" t="s">
        <v>2206</v>
      </c>
      <c r="B2896" s="0" t="s">
        <v>123</v>
      </c>
      <c r="C2896" s="0" t="s">
        <v>124</v>
      </c>
      <c r="D2896" s="0" t="n">
        <v>18</v>
      </c>
      <c r="E2896" s="6" t="n">
        <v>40828.4416666667</v>
      </c>
      <c r="F2896" s="0" t="n">
        <v>2.95</v>
      </c>
      <c r="G2896" s="0" t="n">
        <v>12518</v>
      </c>
      <c r="H2896" s="0" t="s">
        <v>33</v>
      </c>
      <c r="I2896" s="7" t="n">
        <f aca="false">IF(AND(LEFT(A2896,1)&lt;&gt;"C",D2896&gt;0,F2896&gt;0),1,0)</f>
        <v>1</v>
      </c>
      <c r="J2896" s="7" t="n">
        <f aca="false">IF(I2896=1,D2896*F2896,0)</f>
        <v>53.1</v>
      </c>
      <c r="K2896" s="7" t="n">
        <f aca="false">YEAR(E2896)*100+MONTH(E2896)</f>
        <v>201110</v>
      </c>
      <c r="L2896" s="7" t="n">
        <f aca="false">IF(AND(A2896&lt;&gt;A2895,LEFT(A2896,1)&lt;&gt;"C"),1,0)</f>
        <v>0</v>
      </c>
    </row>
    <row r="2897" customFormat="false" ht="15" hidden="false" customHeight="false" outlineLevel="0" collapsed="false">
      <c r="A2897" s="0" t="s">
        <v>2206</v>
      </c>
      <c r="B2897" s="0" t="s">
        <v>2207</v>
      </c>
      <c r="C2897" s="0" t="s">
        <v>2208</v>
      </c>
      <c r="D2897" s="0" t="n">
        <v>6</v>
      </c>
      <c r="E2897" s="6" t="n">
        <v>40828.4416666667</v>
      </c>
      <c r="F2897" s="0" t="n">
        <v>2.95</v>
      </c>
      <c r="G2897" s="0" t="n">
        <v>12518</v>
      </c>
      <c r="H2897" s="0" t="s">
        <v>33</v>
      </c>
      <c r="I2897" s="7" t="n">
        <f aca="false">IF(AND(LEFT(A2897,1)&lt;&gt;"C",D2897&gt;0,F2897&gt;0),1,0)</f>
        <v>1</v>
      </c>
      <c r="J2897" s="7" t="n">
        <f aca="false">IF(I2897=1,D2897*F2897,0)</f>
        <v>17.7</v>
      </c>
      <c r="K2897" s="7" t="n">
        <f aca="false">YEAR(E2897)*100+MONTH(E2897)</f>
        <v>201110</v>
      </c>
      <c r="L2897" s="7" t="n">
        <f aca="false">IF(AND(A2897&lt;&gt;A2896,LEFT(A2897,1)&lt;&gt;"C"),1,0)</f>
        <v>0</v>
      </c>
    </row>
    <row r="2898" customFormat="false" ht="15" hidden="false" customHeight="false" outlineLevel="0" collapsed="false">
      <c r="A2898" s="0" t="s">
        <v>2206</v>
      </c>
      <c r="B2898" s="0" t="s">
        <v>1042</v>
      </c>
      <c r="C2898" s="0" t="s">
        <v>1043</v>
      </c>
      <c r="D2898" s="0" t="n">
        <v>4</v>
      </c>
      <c r="E2898" s="6" t="n">
        <v>40828.4416666667</v>
      </c>
      <c r="F2898" s="0" t="n">
        <v>4.15</v>
      </c>
      <c r="G2898" s="0" t="n">
        <v>12518</v>
      </c>
      <c r="H2898" s="0" t="s">
        <v>33</v>
      </c>
      <c r="I2898" s="7" t="n">
        <f aca="false">IF(AND(LEFT(A2898,1)&lt;&gt;"C",D2898&gt;0,F2898&gt;0),1,0)</f>
        <v>1</v>
      </c>
      <c r="J2898" s="7" t="n">
        <f aca="false">IF(I2898=1,D2898*F2898,0)</f>
        <v>16.6</v>
      </c>
      <c r="K2898" s="7" t="n">
        <f aca="false">YEAR(E2898)*100+MONTH(E2898)</f>
        <v>201110</v>
      </c>
      <c r="L2898" s="7" t="n">
        <f aca="false">IF(AND(A2898&lt;&gt;A2897,LEFT(A2898,1)&lt;&gt;"C"),1,0)</f>
        <v>0</v>
      </c>
    </row>
    <row r="2899" customFormat="false" ht="15" hidden="false" customHeight="false" outlineLevel="0" collapsed="false">
      <c r="A2899" s="0" t="s">
        <v>2206</v>
      </c>
      <c r="B2899" s="0" t="s">
        <v>1044</v>
      </c>
      <c r="C2899" s="0" t="s">
        <v>1045</v>
      </c>
      <c r="D2899" s="0" t="n">
        <v>4</v>
      </c>
      <c r="E2899" s="6" t="n">
        <v>40828.4416666667</v>
      </c>
      <c r="F2899" s="0" t="n">
        <v>4.15</v>
      </c>
      <c r="G2899" s="0" t="n">
        <v>12518</v>
      </c>
      <c r="H2899" s="0" t="s">
        <v>33</v>
      </c>
      <c r="I2899" s="7" t="n">
        <f aca="false">IF(AND(LEFT(A2899,1)&lt;&gt;"C",D2899&gt;0,F2899&gt;0),1,0)</f>
        <v>1</v>
      </c>
      <c r="J2899" s="7" t="n">
        <f aca="false">IF(I2899=1,D2899*F2899,0)</f>
        <v>16.6</v>
      </c>
      <c r="K2899" s="7" t="n">
        <f aca="false">YEAR(E2899)*100+MONTH(E2899)</f>
        <v>201110</v>
      </c>
      <c r="L2899" s="7" t="n">
        <f aca="false">IF(AND(A2899&lt;&gt;A2898,LEFT(A2899,1)&lt;&gt;"C"),1,0)</f>
        <v>0</v>
      </c>
    </row>
    <row r="2900" customFormat="false" ht="15" hidden="false" customHeight="false" outlineLevel="0" collapsed="false">
      <c r="A2900" s="0" t="s">
        <v>2206</v>
      </c>
      <c r="B2900" s="0" t="s">
        <v>747</v>
      </c>
      <c r="C2900" s="0" t="s">
        <v>748</v>
      </c>
      <c r="D2900" s="0" t="n">
        <v>12</v>
      </c>
      <c r="E2900" s="6" t="n">
        <v>40828.4416666667</v>
      </c>
      <c r="F2900" s="0" t="n">
        <v>0.42</v>
      </c>
      <c r="G2900" s="0" t="n">
        <v>12518</v>
      </c>
      <c r="H2900" s="0" t="s">
        <v>33</v>
      </c>
      <c r="I2900" s="7" t="n">
        <f aca="false">IF(AND(LEFT(A2900,1)&lt;&gt;"C",D2900&gt;0,F2900&gt;0),1,0)</f>
        <v>1</v>
      </c>
      <c r="J2900" s="7" t="n">
        <f aca="false">IF(I2900=1,D2900*F2900,0)</f>
        <v>5.04</v>
      </c>
      <c r="K2900" s="7" t="n">
        <f aca="false">YEAR(E2900)*100+MONTH(E2900)</f>
        <v>201110</v>
      </c>
      <c r="L2900" s="7" t="n">
        <f aca="false">IF(AND(A2900&lt;&gt;A2899,LEFT(A2900,1)&lt;&gt;"C"),1,0)</f>
        <v>0</v>
      </c>
    </row>
    <row r="2901" customFormat="false" ht="15" hidden="false" customHeight="false" outlineLevel="0" collapsed="false">
      <c r="A2901" s="0" t="s">
        <v>2206</v>
      </c>
      <c r="B2901" s="0" t="s">
        <v>119</v>
      </c>
      <c r="C2901" s="0" t="s">
        <v>120</v>
      </c>
      <c r="D2901" s="0" t="n">
        <v>24</v>
      </c>
      <c r="E2901" s="6" t="n">
        <v>40828.4416666667</v>
      </c>
      <c r="F2901" s="0" t="n">
        <v>0.42</v>
      </c>
      <c r="G2901" s="0" t="n">
        <v>12518</v>
      </c>
      <c r="H2901" s="0" t="s">
        <v>33</v>
      </c>
      <c r="I2901" s="7" t="n">
        <f aca="false">IF(AND(LEFT(A2901,1)&lt;&gt;"C",D2901&gt;0,F2901&gt;0),1,0)</f>
        <v>1</v>
      </c>
      <c r="J2901" s="7" t="n">
        <f aca="false">IF(I2901=1,D2901*F2901,0)</f>
        <v>10.08</v>
      </c>
      <c r="K2901" s="7" t="n">
        <f aca="false">YEAR(E2901)*100+MONTH(E2901)</f>
        <v>201110</v>
      </c>
      <c r="L2901" s="7" t="n">
        <f aca="false">IF(AND(A2901&lt;&gt;A2900,LEFT(A2901,1)&lt;&gt;"C"),1,0)</f>
        <v>0</v>
      </c>
    </row>
    <row r="2902" customFormat="false" ht="15" hidden="false" customHeight="false" outlineLevel="0" collapsed="false">
      <c r="A2902" s="0" t="s">
        <v>2206</v>
      </c>
      <c r="B2902" s="0" t="s">
        <v>183</v>
      </c>
      <c r="C2902" s="0" t="s">
        <v>184</v>
      </c>
      <c r="D2902" s="0" t="n">
        <v>12</v>
      </c>
      <c r="E2902" s="6" t="n">
        <v>40828.4416666667</v>
      </c>
      <c r="F2902" s="0" t="n">
        <v>0.42</v>
      </c>
      <c r="G2902" s="0" t="n">
        <v>12518</v>
      </c>
      <c r="H2902" s="0" t="s">
        <v>33</v>
      </c>
      <c r="I2902" s="7" t="n">
        <f aca="false">IF(AND(LEFT(A2902,1)&lt;&gt;"C",D2902&gt;0,F2902&gt;0),1,0)</f>
        <v>1</v>
      </c>
      <c r="J2902" s="7" t="n">
        <f aca="false">IF(I2902=1,D2902*F2902,0)</f>
        <v>5.04</v>
      </c>
      <c r="K2902" s="7" t="n">
        <f aca="false">YEAR(E2902)*100+MONTH(E2902)</f>
        <v>201110</v>
      </c>
      <c r="L2902" s="7" t="n">
        <f aca="false">IF(AND(A2902&lt;&gt;A2901,LEFT(A2902,1)&lt;&gt;"C"),1,0)</f>
        <v>0</v>
      </c>
    </row>
    <row r="2903" customFormat="false" ht="15" hidden="false" customHeight="false" outlineLevel="0" collapsed="false">
      <c r="A2903" s="0" t="s">
        <v>2206</v>
      </c>
      <c r="B2903" s="0" t="s">
        <v>541</v>
      </c>
      <c r="C2903" s="0" t="s">
        <v>542</v>
      </c>
      <c r="D2903" s="0" t="n">
        <v>24</v>
      </c>
      <c r="E2903" s="6" t="n">
        <v>40828.4416666667</v>
      </c>
      <c r="F2903" s="0" t="n">
        <v>0.42</v>
      </c>
      <c r="G2903" s="0" t="n">
        <v>12518</v>
      </c>
      <c r="H2903" s="0" t="s">
        <v>33</v>
      </c>
      <c r="I2903" s="7" t="n">
        <f aca="false">IF(AND(LEFT(A2903,1)&lt;&gt;"C",D2903&gt;0,F2903&gt;0),1,0)</f>
        <v>1</v>
      </c>
      <c r="J2903" s="7" t="n">
        <f aca="false">IF(I2903=1,D2903*F2903,0)</f>
        <v>10.08</v>
      </c>
      <c r="K2903" s="7" t="n">
        <f aca="false">YEAR(E2903)*100+MONTH(E2903)</f>
        <v>201110</v>
      </c>
      <c r="L2903" s="7" t="n">
        <f aca="false">IF(AND(A2903&lt;&gt;A2902,LEFT(A2903,1)&lt;&gt;"C"),1,0)</f>
        <v>0</v>
      </c>
    </row>
    <row r="2904" customFormat="false" ht="15" hidden="false" customHeight="false" outlineLevel="0" collapsed="false">
      <c r="A2904" s="0" t="s">
        <v>2206</v>
      </c>
      <c r="B2904" s="0" t="s">
        <v>539</v>
      </c>
      <c r="C2904" s="0" t="s">
        <v>540</v>
      </c>
      <c r="D2904" s="0" t="n">
        <v>24</v>
      </c>
      <c r="E2904" s="6" t="n">
        <v>40828.4416666667</v>
      </c>
      <c r="F2904" s="0" t="n">
        <v>0.42</v>
      </c>
      <c r="G2904" s="0" t="n">
        <v>12518</v>
      </c>
      <c r="H2904" s="0" t="s">
        <v>33</v>
      </c>
      <c r="I2904" s="7" t="n">
        <f aca="false">IF(AND(LEFT(A2904,1)&lt;&gt;"C",D2904&gt;0,F2904&gt;0),1,0)</f>
        <v>1</v>
      </c>
      <c r="J2904" s="7" t="n">
        <f aca="false">IF(I2904=1,D2904*F2904,0)</f>
        <v>10.08</v>
      </c>
      <c r="K2904" s="7" t="n">
        <f aca="false">YEAR(E2904)*100+MONTH(E2904)</f>
        <v>201110</v>
      </c>
      <c r="L2904" s="7" t="n">
        <f aca="false">IF(AND(A2904&lt;&gt;A2903,LEFT(A2904,1)&lt;&gt;"C"),1,0)</f>
        <v>0</v>
      </c>
    </row>
    <row r="2905" customFormat="false" ht="15" hidden="false" customHeight="false" outlineLevel="0" collapsed="false">
      <c r="A2905" s="0" t="s">
        <v>2206</v>
      </c>
      <c r="B2905" s="0" t="s">
        <v>543</v>
      </c>
      <c r="C2905" s="0" t="s">
        <v>544</v>
      </c>
      <c r="D2905" s="0" t="n">
        <v>24</v>
      </c>
      <c r="E2905" s="6" t="n">
        <v>40828.4416666667</v>
      </c>
      <c r="F2905" s="0" t="n">
        <v>0.42</v>
      </c>
      <c r="G2905" s="0" t="n">
        <v>12518</v>
      </c>
      <c r="H2905" s="0" t="s">
        <v>33</v>
      </c>
      <c r="I2905" s="7" t="n">
        <f aca="false">IF(AND(LEFT(A2905,1)&lt;&gt;"C",D2905&gt;0,F2905&gt;0),1,0)</f>
        <v>1</v>
      </c>
      <c r="J2905" s="7" t="n">
        <f aca="false">IF(I2905=1,D2905*F2905,0)</f>
        <v>10.08</v>
      </c>
      <c r="K2905" s="7" t="n">
        <f aca="false">YEAR(E2905)*100+MONTH(E2905)</f>
        <v>201110</v>
      </c>
      <c r="L2905" s="7" t="n">
        <f aca="false">IF(AND(A2905&lt;&gt;A2904,LEFT(A2905,1)&lt;&gt;"C"),1,0)</f>
        <v>0</v>
      </c>
    </row>
    <row r="2906" customFormat="false" ht="15" hidden="false" customHeight="false" outlineLevel="0" collapsed="false">
      <c r="A2906" s="0" t="s">
        <v>2206</v>
      </c>
      <c r="B2906" s="0" t="s">
        <v>1046</v>
      </c>
      <c r="C2906" s="0" t="s">
        <v>1047</v>
      </c>
      <c r="D2906" s="0" t="n">
        <v>4</v>
      </c>
      <c r="E2906" s="6" t="n">
        <v>40828.4416666667</v>
      </c>
      <c r="F2906" s="0" t="n">
        <v>4.15</v>
      </c>
      <c r="G2906" s="0" t="n">
        <v>12518</v>
      </c>
      <c r="H2906" s="0" t="s">
        <v>33</v>
      </c>
      <c r="I2906" s="7" t="n">
        <f aca="false">IF(AND(LEFT(A2906,1)&lt;&gt;"C",D2906&gt;0,F2906&gt;0),1,0)</f>
        <v>1</v>
      </c>
      <c r="J2906" s="7" t="n">
        <f aca="false">IF(I2906=1,D2906*F2906,0)</f>
        <v>16.6</v>
      </c>
      <c r="K2906" s="7" t="n">
        <f aca="false">YEAR(E2906)*100+MONTH(E2906)</f>
        <v>201110</v>
      </c>
      <c r="L2906" s="7" t="n">
        <f aca="false">IF(AND(A2906&lt;&gt;A2905,LEFT(A2906,1)&lt;&gt;"C"),1,0)</f>
        <v>0</v>
      </c>
    </row>
    <row r="2907" customFormat="false" ht="15" hidden="false" customHeight="false" outlineLevel="0" collapsed="false">
      <c r="A2907" s="0" t="s">
        <v>2206</v>
      </c>
      <c r="B2907" s="0" t="s">
        <v>741</v>
      </c>
      <c r="C2907" s="0" t="s">
        <v>742</v>
      </c>
      <c r="D2907" s="0" t="n">
        <v>12</v>
      </c>
      <c r="E2907" s="6" t="n">
        <v>40828.4416666667</v>
      </c>
      <c r="F2907" s="0" t="n">
        <v>0.42</v>
      </c>
      <c r="G2907" s="0" t="n">
        <v>12518</v>
      </c>
      <c r="H2907" s="0" t="s">
        <v>33</v>
      </c>
      <c r="I2907" s="7" t="n">
        <f aca="false">IF(AND(LEFT(A2907,1)&lt;&gt;"C",D2907&gt;0,F2907&gt;0),1,0)</f>
        <v>1</v>
      </c>
      <c r="J2907" s="7" t="n">
        <f aca="false">IF(I2907=1,D2907*F2907,0)</f>
        <v>5.04</v>
      </c>
      <c r="K2907" s="7" t="n">
        <f aca="false">YEAR(E2907)*100+MONTH(E2907)</f>
        <v>201110</v>
      </c>
      <c r="L2907" s="7" t="n">
        <f aca="false">IF(AND(A2907&lt;&gt;A2906,LEFT(A2907,1)&lt;&gt;"C"),1,0)</f>
        <v>0</v>
      </c>
    </row>
    <row r="2908" customFormat="false" ht="15" hidden="false" customHeight="false" outlineLevel="0" collapsed="false">
      <c r="A2908" s="0" t="s">
        <v>2206</v>
      </c>
      <c r="B2908" s="0" t="s">
        <v>2209</v>
      </c>
      <c r="C2908" s="0" t="s">
        <v>2210</v>
      </c>
      <c r="D2908" s="0" t="n">
        <v>25</v>
      </c>
      <c r="E2908" s="6" t="n">
        <v>40828.4416666667</v>
      </c>
      <c r="F2908" s="0" t="n">
        <v>0.42</v>
      </c>
      <c r="G2908" s="0" t="n">
        <v>12518</v>
      </c>
      <c r="H2908" s="0" t="s">
        <v>33</v>
      </c>
      <c r="I2908" s="7" t="n">
        <f aca="false">IF(AND(LEFT(A2908,1)&lt;&gt;"C",D2908&gt;0,F2908&gt;0),1,0)</f>
        <v>1</v>
      </c>
      <c r="J2908" s="7" t="n">
        <f aca="false">IF(I2908=1,D2908*F2908,0)</f>
        <v>10.5</v>
      </c>
      <c r="K2908" s="7" t="n">
        <f aca="false">YEAR(E2908)*100+MONTH(E2908)</f>
        <v>201110</v>
      </c>
      <c r="L2908" s="7" t="n">
        <f aca="false">IF(AND(A2908&lt;&gt;A2907,LEFT(A2908,1)&lt;&gt;"C"),1,0)</f>
        <v>0</v>
      </c>
    </row>
    <row r="2909" customFormat="false" ht="15" hidden="false" customHeight="false" outlineLevel="0" collapsed="false">
      <c r="A2909" s="0" t="s">
        <v>2206</v>
      </c>
      <c r="B2909" s="0" t="s">
        <v>1253</v>
      </c>
      <c r="C2909" s="0" t="s">
        <v>1254</v>
      </c>
      <c r="D2909" s="0" t="n">
        <v>25</v>
      </c>
      <c r="E2909" s="6" t="n">
        <v>40828.4416666667</v>
      </c>
      <c r="F2909" s="0" t="n">
        <v>0.42</v>
      </c>
      <c r="G2909" s="0" t="n">
        <v>12518</v>
      </c>
      <c r="H2909" s="0" t="s">
        <v>33</v>
      </c>
      <c r="I2909" s="7" t="n">
        <f aca="false">IF(AND(LEFT(A2909,1)&lt;&gt;"C",D2909&gt;0,F2909&gt;0),1,0)</f>
        <v>1</v>
      </c>
      <c r="J2909" s="7" t="n">
        <f aca="false">IF(I2909=1,D2909*F2909,0)</f>
        <v>10.5</v>
      </c>
      <c r="K2909" s="7" t="n">
        <f aca="false">YEAR(E2909)*100+MONTH(E2909)</f>
        <v>201110</v>
      </c>
      <c r="L2909" s="7" t="n">
        <f aca="false">IF(AND(A2909&lt;&gt;A2908,LEFT(A2909,1)&lt;&gt;"C"),1,0)</f>
        <v>0</v>
      </c>
    </row>
    <row r="2910" customFormat="false" ht="15" hidden="false" customHeight="false" outlineLevel="0" collapsed="false">
      <c r="A2910" s="0" t="s">
        <v>2206</v>
      </c>
      <c r="B2910" s="0" t="s">
        <v>2211</v>
      </c>
      <c r="C2910" s="0" t="s">
        <v>2212</v>
      </c>
      <c r="D2910" s="0" t="n">
        <v>12</v>
      </c>
      <c r="E2910" s="6" t="n">
        <v>40828.4416666667</v>
      </c>
      <c r="F2910" s="0" t="n">
        <v>1.25</v>
      </c>
      <c r="G2910" s="0" t="n">
        <v>12518</v>
      </c>
      <c r="H2910" s="0" t="s">
        <v>33</v>
      </c>
      <c r="I2910" s="7" t="n">
        <f aca="false">IF(AND(LEFT(A2910,1)&lt;&gt;"C",D2910&gt;0,F2910&gt;0),1,0)</f>
        <v>1</v>
      </c>
      <c r="J2910" s="7" t="n">
        <f aca="false">IF(I2910=1,D2910*F2910,0)</f>
        <v>15</v>
      </c>
      <c r="K2910" s="7" t="n">
        <f aca="false">YEAR(E2910)*100+MONTH(E2910)</f>
        <v>201110</v>
      </c>
      <c r="L2910" s="7" t="n">
        <f aca="false">IF(AND(A2910&lt;&gt;A2909,LEFT(A2910,1)&lt;&gt;"C"),1,0)</f>
        <v>0</v>
      </c>
    </row>
    <row r="2911" customFormat="false" ht="15" hidden="false" customHeight="false" outlineLevel="0" collapsed="false">
      <c r="A2911" s="0" t="s">
        <v>2206</v>
      </c>
      <c r="B2911" s="0" t="s">
        <v>1425</v>
      </c>
      <c r="C2911" s="0" t="s">
        <v>1426</v>
      </c>
      <c r="D2911" s="0" t="n">
        <v>2</v>
      </c>
      <c r="E2911" s="6" t="n">
        <v>40828.4416666667</v>
      </c>
      <c r="F2911" s="0" t="n">
        <v>8.5</v>
      </c>
      <c r="G2911" s="0" t="n">
        <v>12518</v>
      </c>
      <c r="H2911" s="0" t="s">
        <v>33</v>
      </c>
      <c r="I2911" s="7" t="n">
        <f aca="false">IF(AND(LEFT(A2911,1)&lt;&gt;"C",D2911&gt;0,F2911&gt;0),1,0)</f>
        <v>1</v>
      </c>
      <c r="J2911" s="7" t="n">
        <f aca="false">IF(I2911=1,D2911*F2911,0)</f>
        <v>17</v>
      </c>
      <c r="K2911" s="7" t="n">
        <f aca="false">YEAR(E2911)*100+MONTH(E2911)</f>
        <v>201110</v>
      </c>
      <c r="L2911" s="7" t="n">
        <f aca="false">IF(AND(A2911&lt;&gt;A2910,LEFT(A2911,1)&lt;&gt;"C"),1,0)</f>
        <v>0</v>
      </c>
    </row>
    <row r="2912" customFormat="false" ht="15" hidden="false" customHeight="false" outlineLevel="0" collapsed="false">
      <c r="A2912" s="0" t="s">
        <v>2206</v>
      </c>
      <c r="B2912" s="0" t="s">
        <v>320</v>
      </c>
      <c r="C2912" s="0" t="s">
        <v>321</v>
      </c>
      <c r="D2912" s="0" t="n">
        <v>4</v>
      </c>
      <c r="E2912" s="6" t="n">
        <v>40828.4416666667</v>
      </c>
      <c r="F2912" s="0" t="n">
        <v>3.75</v>
      </c>
      <c r="G2912" s="0" t="n">
        <v>12518</v>
      </c>
      <c r="H2912" s="0" t="s">
        <v>33</v>
      </c>
      <c r="I2912" s="7" t="n">
        <f aca="false">IF(AND(LEFT(A2912,1)&lt;&gt;"C",D2912&gt;0,F2912&gt;0),1,0)</f>
        <v>1</v>
      </c>
      <c r="J2912" s="7" t="n">
        <f aca="false">IF(I2912=1,D2912*F2912,0)</f>
        <v>15</v>
      </c>
      <c r="K2912" s="7" t="n">
        <f aca="false">YEAR(E2912)*100+MONTH(E2912)</f>
        <v>201110</v>
      </c>
      <c r="L2912" s="7" t="n">
        <f aca="false">IF(AND(A2912&lt;&gt;A2911,LEFT(A2912,1)&lt;&gt;"C"),1,0)</f>
        <v>0</v>
      </c>
    </row>
    <row r="2913" customFormat="false" ht="15" hidden="false" customHeight="false" outlineLevel="0" collapsed="false">
      <c r="A2913" s="0" t="s">
        <v>2206</v>
      </c>
      <c r="B2913" s="0" t="s">
        <v>893</v>
      </c>
      <c r="C2913" s="0" t="s">
        <v>894</v>
      </c>
      <c r="D2913" s="0" t="n">
        <v>6</v>
      </c>
      <c r="E2913" s="6" t="n">
        <v>40828.4416666667</v>
      </c>
      <c r="F2913" s="0" t="n">
        <v>2.95</v>
      </c>
      <c r="G2913" s="0" t="n">
        <v>12518</v>
      </c>
      <c r="H2913" s="0" t="s">
        <v>33</v>
      </c>
      <c r="I2913" s="7" t="n">
        <f aca="false">IF(AND(LEFT(A2913,1)&lt;&gt;"C",D2913&gt;0,F2913&gt;0),1,0)</f>
        <v>1</v>
      </c>
      <c r="J2913" s="7" t="n">
        <f aca="false">IF(I2913=1,D2913*F2913,0)</f>
        <v>17.7</v>
      </c>
      <c r="K2913" s="7" t="n">
        <f aca="false">YEAR(E2913)*100+MONTH(E2913)</f>
        <v>201110</v>
      </c>
      <c r="L2913" s="7" t="n">
        <f aca="false">IF(AND(A2913&lt;&gt;A2912,LEFT(A2913,1)&lt;&gt;"C"),1,0)</f>
        <v>0</v>
      </c>
    </row>
    <row r="2914" customFormat="false" ht="15" hidden="false" customHeight="false" outlineLevel="0" collapsed="false">
      <c r="A2914" s="0" t="s">
        <v>2206</v>
      </c>
      <c r="B2914" s="0" t="s">
        <v>127</v>
      </c>
      <c r="C2914" s="0" t="s">
        <v>128</v>
      </c>
      <c r="D2914" s="0" t="n">
        <v>8</v>
      </c>
      <c r="E2914" s="6" t="n">
        <v>40828.4416666667</v>
      </c>
      <c r="F2914" s="0" t="n">
        <v>1.65</v>
      </c>
      <c r="G2914" s="0" t="n">
        <v>12518</v>
      </c>
      <c r="H2914" s="0" t="s">
        <v>33</v>
      </c>
      <c r="I2914" s="7" t="n">
        <f aca="false">IF(AND(LEFT(A2914,1)&lt;&gt;"C",D2914&gt;0,F2914&gt;0),1,0)</f>
        <v>1</v>
      </c>
      <c r="J2914" s="7" t="n">
        <f aca="false">IF(I2914=1,D2914*F2914,0)</f>
        <v>13.2</v>
      </c>
      <c r="K2914" s="7" t="n">
        <f aca="false">YEAR(E2914)*100+MONTH(E2914)</f>
        <v>201110</v>
      </c>
      <c r="L2914" s="7" t="n">
        <f aca="false">IF(AND(A2914&lt;&gt;A2913,LEFT(A2914,1)&lt;&gt;"C"),1,0)</f>
        <v>0</v>
      </c>
    </row>
    <row r="2915" customFormat="false" ht="15" hidden="false" customHeight="false" outlineLevel="0" collapsed="false">
      <c r="A2915" s="0" t="s">
        <v>2206</v>
      </c>
      <c r="B2915" s="0" t="s">
        <v>295</v>
      </c>
      <c r="C2915" s="0" t="s">
        <v>296</v>
      </c>
      <c r="D2915" s="0" t="n">
        <v>4</v>
      </c>
      <c r="E2915" s="6" t="n">
        <v>40828.4416666667</v>
      </c>
      <c r="F2915" s="0" t="n">
        <v>3.75</v>
      </c>
      <c r="G2915" s="0" t="n">
        <v>12518</v>
      </c>
      <c r="H2915" s="0" t="s">
        <v>33</v>
      </c>
      <c r="I2915" s="7" t="n">
        <f aca="false">IF(AND(LEFT(A2915,1)&lt;&gt;"C",D2915&gt;0,F2915&gt;0),1,0)</f>
        <v>1</v>
      </c>
      <c r="J2915" s="7" t="n">
        <f aca="false">IF(I2915=1,D2915*F2915,0)</f>
        <v>15</v>
      </c>
      <c r="K2915" s="7" t="n">
        <f aca="false">YEAR(E2915)*100+MONTH(E2915)</f>
        <v>201110</v>
      </c>
      <c r="L2915" s="7" t="n">
        <f aca="false">IF(AND(A2915&lt;&gt;A2914,LEFT(A2915,1)&lt;&gt;"C"),1,0)</f>
        <v>0</v>
      </c>
    </row>
    <row r="2916" customFormat="false" ht="15" hidden="false" customHeight="false" outlineLevel="0" collapsed="false">
      <c r="A2916" s="0" t="s">
        <v>2206</v>
      </c>
      <c r="B2916" s="0" t="s">
        <v>84</v>
      </c>
      <c r="C2916" s="0" t="s">
        <v>85</v>
      </c>
      <c r="D2916" s="0" t="n">
        <v>2</v>
      </c>
      <c r="E2916" s="6" t="n">
        <v>40828.4416666667</v>
      </c>
      <c r="F2916" s="0" t="n">
        <v>18</v>
      </c>
      <c r="G2916" s="0" t="n">
        <v>12518</v>
      </c>
      <c r="H2916" s="0" t="s">
        <v>33</v>
      </c>
      <c r="I2916" s="7" t="n">
        <f aca="false">IF(AND(LEFT(A2916,1)&lt;&gt;"C",D2916&gt;0,F2916&gt;0),1,0)</f>
        <v>1</v>
      </c>
      <c r="J2916" s="7" t="n">
        <f aca="false">IF(I2916=1,D2916*F2916,0)</f>
        <v>36</v>
      </c>
      <c r="K2916" s="7" t="n">
        <f aca="false">YEAR(E2916)*100+MONTH(E2916)</f>
        <v>201110</v>
      </c>
      <c r="L2916" s="7" t="n">
        <f aca="false">IF(AND(A2916&lt;&gt;A2915,LEFT(A2916,1)&lt;&gt;"C"),1,0)</f>
        <v>0</v>
      </c>
    </row>
    <row r="2917" customFormat="false" ht="15" hidden="false" customHeight="false" outlineLevel="0" collapsed="false">
      <c r="A2917" s="0" t="s">
        <v>2213</v>
      </c>
      <c r="B2917" s="0" t="s">
        <v>2214</v>
      </c>
      <c r="C2917" s="0" t="s">
        <v>2215</v>
      </c>
      <c r="D2917" s="0" t="n">
        <v>2</v>
      </c>
      <c r="E2917" s="6" t="n">
        <v>40828.4736111111</v>
      </c>
      <c r="F2917" s="0" t="n">
        <v>11.95</v>
      </c>
      <c r="G2917" s="0" t="n">
        <v>12602</v>
      </c>
      <c r="H2917" s="0" t="s">
        <v>43</v>
      </c>
      <c r="I2917" s="7" t="n">
        <f aca="false">IF(AND(LEFT(A2917,1)&lt;&gt;"C",D2917&gt;0,F2917&gt;0),1,0)</f>
        <v>1</v>
      </c>
      <c r="J2917" s="7" t="n">
        <f aca="false">IF(I2917=1,D2917*F2917,0)</f>
        <v>23.9</v>
      </c>
      <c r="K2917" s="7" t="n">
        <f aca="false">YEAR(E2917)*100+MONTH(E2917)</f>
        <v>201110</v>
      </c>
      <c r="L2917" s="7" t="n">
        <f aca="false">IF(AND(A2917&lt;&gt;A2916,LEFT(A2917,1)&lt;&gt;"C"),1,0)</f>
        <v>1</v>
      </c>
    </row>
    <row r="2918" customFormat="false" ht="15" hidden="false" customHeight="false" outlineLevel="0" collapsed="false">
      <c r="A2918" s="0" t="s">
        <v>2213</v>
      </c>
      <c r="B2918" s="0" t="s">
        <v>1598</v>
      </c>
      <c r="C2918" s="0" t="s">
        <v>1599</v>
      </c>
      <c r="D2918" s="0" t="n">
        <v>12</v>
      </c>
      <c r="E2918" s="6" t="n">
        <v>40828.4736111111</v>
      </c>
      <c r="F2918" s="0" t="n">
        <v>1.25</v>
      </c>
      <c r="G2918" s="0" t="n">
        <v>12602</v>
      </c>
      <c r="H2918" s="0" t="s">
        <v>43</v>
      </c>
      <c r="I2918" s="7" t="n">
        <f aca="false">IF(AND(LEFT(A2918,1)&lt;&gt;"C",D2918&gt;0,F2918&gt;0),1,0)</f>
        <v>1</v>
      </c>
      <c r="J2918" s="7" t="n">
        <f aca="false">IF(I2918=1,D2918*F2918,0)</f>
        <v>15</v>
      </c>
      <c r="K2918" s="7" t="n">
        <f aca="false">YEAR(E2918)*100+MONTH(E2918)</f>
        <v>201110</v>
      </c>
      <c r="L2918" s="7" t="n">
        <f aca="false">IF(AND(A2918&lt;&gt;A2917,LEFT(A2918,1)&lt;&gt;"C"),1,0)</f>
        <v>0</v>
      </c>
    </row>
    <row r="2919" customFormat="false" ht="15" hidden="false" customHeight="false" outlineLevel="0" collapsed="false">
      <c r="A2919" s="0" t="s">
        <v>2213</v>
      </c>
      <c r="B2919" s="0" t="s">
        <v>1780</v>
      </c>
      <c r="C2919" s="0" t="s">
        <v>1781</v>
      </c>
      <c r="D2919" s="0" t="n">
        <v>12</v>
      </c>
      <c r="E2919" s="6" t="n">
        <v>40828.4736111111</v>
      </c>
      <c r="F2919" s="0" t="n">
        <v>1.25</v>
      </c>
      <c r="G2919" s="0" t="n">
        <v>12602</v>
      </c>
      <c r="H2919" s="0" t="s">
        <v>43</v>
      </c>
      <c r="I2919" s="7" t="n">
        <f aca="false">IF(AND(LEFT(A2919,1)&lt;&gt;"C",D2919&gt;0,F2919&gt;0),1,0)</f>
        <v>1</v>
      </c>
      <c r="J2919" s="7" t="n">
        <f aca="false">IF(I2919=1,D2919*F2919,0)</f>
        <v>15</v>
      </c>
      <c r="K2919" s="7" t="n">
        <f aca="false">YEAR(E2919)*100+MONTH(E2919)</f>
        <v>201110</v>
      </c>
      <c r="L2919" s="7" t="n">
        <f aca="false">IF(AND(A2919&lt;&gt;A2918,LEFT(A2919,1)&lt;&gt;"C"),1,0)</f>
        <v>0</v>
      </c>
    </row>
    <row r="2920" customFormat="false" ht="15" hidden="false" customHeight="false" outlineLevel="0" collapsed="false">
      <c r="A2920" s="0" t="s">
        <v>2213</v>
      </c>
      <c r="B2920" s="0" t="s">
        <v>1778</v>
      </c>
      <c r="C2920" s="0" t="s">
        <v>1779</v>
      </c>
      <c r="D2920" s="0" t="n">
        <v>12</v>
      </c>
      <c r="E2920" s="6" t="n">
        <v>40828.4736111111</v>
      </c>
      <c r="F2920" s="0" t="n">
        <v>1.25</v>
      </c>
      <c r="G2920" s="0" t="n">
        <v>12602</v>
      </c>
      <c r="H2920" s="0" t="s">
        <v>43</v>
      </c>
      <c r="I2920" s="7" t="n">
        <f aca="false">IF(AND(LEFT(A2920,1)&lt;&gt;"C",D2920&gt;0,F2920&gt;0),1,0)</f>
        <v>1</v>
      </c>
      <c r="J2920" s="7" t="n">
        <f aca="false">IF(I2920=1,D2920*F2920,0)</f>
        <v>15</v>
      </c>
      <c r="K2920" s="7" t="n">
        <f aca="false">YEAR(E2920)*100+MONTH(E2920)</f>
        <v>201110</v>
      </c>
      <c r="L2920" s="7" t="n">
        <f aca="false">IF(AND(A2920&lt;&gt;A2919,LEFT(A2920,1)&lt;&gt;"C"),1,0)</f>
        <v>0</v>
      </c>
    </row>
    <row r="2921" customFormat="false" ht="15" hidden="false" customHeight="false" outlineLevel="0" collapsed="false">
      <c r="A2921" s="0" t="s">
        <v>2213</v>
      </c>
      <c r="B2921" s="0" t="s">
        <v>1596</v>
      </c>
      <c r="C2921" s="0" t="s">
        <v>1597</v>
      </c>
      <c r="D2921" s="0" t="n">
        <v>20</v>
      </c>
      <c r="E2921" s="6" t="n">
        <v>40828.4736111111</v>
      </c>
      <c r="F2921" s="0" t="n">
        <v>0.42</v>
      </c>
      <c r="G2921" s="0" t="n">
        <v>12602</v>
      </c>
      <c r="H2921" s="0" t="s">
        <v>43</v>
      </c>
      <c r="I2921" s="7" t="n">
        <f aca="false">IF(AND(LEFT(A2921,1)&lt;&gt;"C",D2921&gt;0,F2921&gt;0),1,0)</f>
        <v>1</v>
      </c>
      <c r="J2921" s="7" t="n">
        <f aca="false">IF(I2921=1,D2921*F2921,0)</f>
        <v>8.4</v>
      </c>
      <c r="K2921" s="7" t="n">
        <f aca="false">YEAR(E2921)*100+MONTH(E2921)</f>
        <v>201110</v>
      </c>
      <c r="L2921" s="7" t="n">
        <f aca="false">IF(AND(A2921&lt;&gt;A2920,LEFT(A2921,1)&lt;&gt;"C"),1,0)</f>
        <v>0</v>
      </c>
    </row>
    <row r="2922" customFormat="false" ht="15" hidden="false" customHeight="false" outlineLevel="0" collapsed="false">
      <c r="A2922" s="0" t="s">
        <v>2213</v>
      </c>
      <c r="B2922" s="0" t="s">
        <v>1609</v>
      </c>
      <c r="C2922" s="0" t="s">
        <v>1610</v>
      </c>
      <c r="D2922" s="0" t="n">
        <v>20</v>
      </c>
      <c r="E2922" s="6" t="n">
        <v>40828.4736111111</v>
      </c>
      <c r="F2922" s="0" t="n">
        <v>0.42</v>
      </c>
      <c r="G2922" s="0" t="n">
        <v>12602</v>
      </c>
      <c r="H2922" s="0" t="s">
        <v>43</v>
      </c>
      <c r="I2922" s="7" t="n">
        <f aca="false">IF(AND(LEFT(A2922,1)&lt;&gt;"C",D2922&gt;0,F2922&gt;0),1,0)</f>
        <v>1</v>
      </c>
      <c r="J2922" s="7" t="n">
        <f aca="false">IF(I2922=1,D2922*F2922,0)</f>
        <v>8.4</v>
      </c>
      <c r="K2922" s="7" t="n">
        <f aca="false">YEAR(E2922)*100+MONTH(E2922)</f>
        <v>201110</v>
      </c>
      <c r="L2922" s="7" t="n">
        <f aca="false">IF(AND(A2922&lt;&gt;A2921,LEFT(A2922,1)&lt;&gt;"C"),1,0)</f>
        <v>0</v>
      </c>
    </row>
    <row r="2923" customFormat="false" ht="15" hidden="false" customHeight="false" outlineLevel="0" collapsed="false">
      <c r="A2923" s="0" t="s">
        <v>2213</v>
      </c>
      <c r="B2923" s="0" t="s">
        <v>1613</v>
      </c>
      <c r="C2923" s="0" t="s">
        <v>1614</v>
      </c>
      <c r="D2923" s="0" t="n">
        <v>20</v>
      </c>
      <c r="E2923" s="6" t="n">
        <v>40828.4736111111</v>
      </c>
      <c r="F2923" s="0" t="n">
        <v>0.42</v>
      </c>
      <c r="G2923" s="0" t="n">
        <v>12602</v>
      </c>
      <c r="H2923" s="0" t="s">
        <v>43</v>
      </c>
      <c r="I2923" s="7" t="n">
        <f aca="false">IF(AND(LEFT(A2923,1)&lt;&gt;"C",D2923&gt;0,F2923&gt;0),1,0)</f>
        <v>1</v>
      </c>
      <c r="J2923" s="7" t="n">
        <f aca="false">IF(I2923=1,D2923*F2923,0)</f>
        <v>8.4</v>
      </c>
      <c r="K2923" s="7" t="n">
        <f aca="false">YEAR(E2923)*100+MONTH(E2923)</f>
        <v>201110</v>
      </c>
      <c r="L2923" s="7" t="n">
        <f aca="false">IF(AND(A2923&lt;&gt;A2922,LEFT(A2923,1)&lt;&gt;"C"),1,0)</f>
        <v>0</v>
      </c>
    </row>
    <row r="2924" customFormat="false" ht="15" hidden="false" customHeight="false" outlineLevel="0" collapsed="false">
      <c r="A2924" s="0" t="s">
        <v>2213</v>
      </c>
      <c r="B2924" s="0" t="s">
        <v>1607</v>
      </c>
      <c r="C2924" s="0" t="s">
        <v>1608</v>
      </c>
      <c r="D2924" s="0" t="n">
        <v>20</v>
      </c>
      <c r="E2924" s="6" t="n">
        <v>40828.4736111111</v>
      </c>
      <c r="F2924" s="0" t="n">
        <v>0.42</v>
      </c>
      <c r="G2924" s="0" t="n">
        <v>12602</v>
      </c>
      <c r="H2924" s="0" t="s">
        <v>43</v>
      </c>
      <c r="I2924" s="7" t="n">
        <f aca="false">IF(AND(LEFT(A2924,1)&lt;&gt;"C",D2924&gt;0,F2924&gt;0),1,0)</f>
        <v>1</v>
      </c>
      <c r="J2924" s="7" t="n">
        <f aca="false">IF(I2924=1,D2924*F2924,0)</f>
        <v>8.4</v>
      </c>
      <c r="K2924" s="7" t="n">
        <f aca="false">YEAR(E2924)*100+MONTH(E2924)</f>
        <v>201110</v>
      </c>
      <c r="L2924" s="7" t="n">
        <f aca="false">IF(AND(A2924&lt;&gt;A2923,LEFT(A2924,1)&lt;&gt;"C"),1,0)</f>
        <v>0</v>
      </c>
    </row>
    <row r="2925" customFormat="false" ht="15" hidden="false" customHeight="false" outlineLevel="0" collapsed="false">
      <c r="A2925" s="0" t="s">
        <v>2213</v>
      </c>
      <c r="B2925" s="0" t="s">
        <v>1592</v>
      </c>
      <c r="C2925" s="0" t="s">
        <v>1593</v>
      </c>
      <c r="D2925" s="0" t="n">
        <v>6</v>
      </c>
      <c r="E2925" s="6" t="n">
        <v>40828.4736111111</v>
      </c>
      <c r="F2925" s="0" t="n">
        <v>2.89</v>
      </c>
      <c r="G2925" s="0" t="n">
        <v>12602</v>
      </c>
      <c r="H2925" s="0" t="s">
        <v>43</v>
      </c>
      <c r="I2925" s="7" t="n">
        <f aca="false">IF(AND(LEFT(A2925,1)&lt;&gt;"C",D2925&gt;0,F2925&gt;0),1,0)</f>
        <v>1</v>
      </c>
      <c r="J2925" s="7" t="n">
        <f aca="false">IF(I2925=1,D2925*F2925,0)</f>
        <v>17.34</v>
      </c>
      <c r="K2925" s="7" t="n">
        <f aca="false">YEAR(E2925)*100+MONTH(E2925)</f>
        <v>201110</v>
      </c>
      <c r="L2925" s="7" t="n">
        <f aca="false">IF(AND(A2925&lt;&gt;A2924,LEFT(A2925,1)&lt;&gt;"C"),1,0)</f>
        <v>0</v>
      </c>
    </row>
    <row r="2926" customFormat="false" ht="15" hidden="false" customHeight="false" outlineLevel="0" collapsed="false">
      <c r="A2926" s="0" t="s">
        <v>2213</v>
      </c>
      <c r="B2926" s="0" t="s">
        <v>2216</v>
      </c>
      <c r="C2926" s="0" t="s">
        <v>2217</v>
      </c>
      <c r="D2926" s="0" t="n">
        <v>6</v>
      </c>
      <c r="E2926" s="6" t="n">
        <v>40828.4736111111</v>
      </c>
      <c r="F2926" s="0" t="n">
        <v>2.08</v>
      </c>
      <c r="G2926" s="0" t="n">
        <v>12602</v>
      </c>
      <c r="H2926" s="0" t="s">
        <v>43</v>
      </c>
      <c r="I2926" s="7" t="n">
        <f aca="false">IF(AND(LEFT(A2926,1)&lt;&gt;"C",D2926&gt;0,F2926&gt;0),1,0)</f>
        <v>1</v>
      </c>
      <c r="J2926" s="7" t="n">
        <f aca="false">IF(I2926=1,D2926*F2926,0)</f>
        <v>12.48</v>
      </c>
      <c r="K2926" s="7" t="n">
        <f aca="false">YEAR(E2926)*100+MONTH(E2926)</f>
        <v>201110</v>
      </c>
      <c r="L2926" s="7" t="n">
        <f aca="false">IF(AND(A2926&lt;&gt;A2925,LEFT(A2926,1)&lt;&gt;"C"),1,0)</f>
        <v>0</v>
      </c>
    </row>
    <row r="2927" customFormat="false" ht="15" hidden="false" customHeight="false" outlineLevel="0" collapsed="false">
      <c r="A2927" s="0" t="s">
        <v>2213</v>
      </c>
      <c r="B2927" s="0" t="s">
        <v>1680</v>
      </c>
      <c r="C2927" s="0" t="s">
        <v>1681</v>
      </c>
      <c r="D2927" s="0" t="n">
        <v>16</v>
      </c>
      <c r="E2927" s="6" t="n">
        <v>40828.4736111111</v>
      </c>
      <c r="F2927" s="0" t="n">
        <v>0.65</v>
      </c>
      <c r="G2927" s="0" t="n">
        <v>12602</v>
      </c>
      <c r="H2927" s="0" t="s">
        <v>43</v>
      </c>
      <c r="I2927" s="7" t="n">
        <f aca="false">IF(AND(LEFT(A2927,1)&lt;&gt;"C",D2927&gt;0,F2927&gt;0),1,0)</f>
        <v>1</v>
      </c>
      <c r="J2927" s="7" t="n">
        <f aca="false">IF(I2927=1,D2927*F2927,0)</f>
        <v>10.4</v>
      </c>
      <c r="K2927" s="7" t="n">
        <f aca="false">YEAR(E2927)*100+MONTH(E2927)</f>
        <v>201110</v>
      </c>
      <c r="L2927" s="7" t="n">
        <f aca="false">IF(AND(A2927&lt;&gt;A2926,LEFT(A2927,1)&lt;&gt;"C"),1,0)</f>
        <v>0</v>
      </c>
    </row>
    <row r="2928" customFormat="false" ht="15" hidden="false" customHeight="false" outlineLevel="0" collapsed="false">
      <c r="A2928" s="0" t="s">
        <v>2213</v>
      </c>
      <c r="B2928" s="0" t="s">
        <v>1678</v>
      </c>
      <c r="C2928" s="0" t="s">
        <v>1679</v>
      </c>
      <c r="D2928" s="0" t="n">
        <v>16</v>
      </c>
      <c r="E2928" s="6" t="n">
        <v>40828.4736111111</v>
      </c>
      <c r="F2928" s="0" t="n">
        <v>0.65</v>
      </c>
      <c r="G2928" s="0" t="n">
        <v>12602</v>
      </c>
      <c r="H2928" s="0" t="s">
        <v>43</v>
      </c>
      <c r="I2928" s="7" t="n">
        <f aca="false">IF(AND(LEFT(A2928,1)&lt;&gt;"C",D2928&gt;0,F2928&gt;0),1,0)</f>
        <v>1</v>
      </c>
      <c r="J2928" s="7" t="n">
        <f aca="false">IF(I2928=1,D2928*F2928,0)</f>
        <v>10.4</v>
      </c>
      <c r="K2928" s="7" t="n">
        <f aca="false">YEAR(E2928)*100+MONTH(E2928)</f>
        <v>201110</v>
      </c>
      <c r="L2928" s="7" t="n">
        <f aca="false">IF(AND(A2928&lt;&gt;A2927,LEFT(A2928,1)&lt;&gt;"C"),1,0)</f>
        <v>0</v>
      </c>
    </row>
    <row r="2929" customFormat="false" ht="15" hidden="false" customHeight="false" outlineLevel="0" collapsed="false">
      <c r="A2929" s="0" t="s">
        <v>2218</v>
      </c>
      <c r="B2929" s="0" t="s">
        <v>140</v>
      </c>
      <c r="C2929" s="0" t="s">
        <v>141</v>
      </c>
      <c r="D2929" s="0" t="n">
        <v>-1</v>
      </c>
      <c r="E2929" s="6" t="n">
        <v>40828.4805555556</v>
      </c>
      <c r="F2929" s="0" t="n">
        <v>1.45</v>
      </c>
      <c r="G2929" s="0" t="n">
        <v>12471</v>
      </c>
      <c r="H2929" s="0" t="s">
        <v>33</v>
      </c>
      <c r="I2929" s="7" t="n">
        <f aca="false">IF(AND(LEFT(A2929,1)&lt;&gt;"C",D2929&gt;0,F2929&gt;0),1,0)</f>
        <v>0</v>
      </c>
      <c r="J2929" s="7" t="n">
        <f aca="false">IF(I2929=1,D2929*F2929,0)</f>
        <v>0</v>
      </c>
      <c r="K2929" s="7" t="n">
        <f aca="false">YEAR(E2929)*100+MONTH(E2929)</f>
        <v>201110</v>
      </c>
      <c r="L2929" s="7" t="n">
        <f aca="false">IF(AND(A2929&lt;&gt;A2928,LEFT(A2929,1)&lt;&gt;"C"),1,0)</f>
        <v>0</v>
      </c>
    </row>
    <row r="2930" customFormat="false" ht="15" hidden="false" customHeight="false" outlineLevel="0" collapsed="false">
      <c r="A2930" s="0" t="s">
        <v>2219</v>
      </c>
      <c r="B2930" s="0" t="s">
        <v>115</v>
      </c>
      <c r="C2930" s="0" t="s">
        <v>116</v>
      </c>
      <c r="D2930" s="0" t="n">
        <v>12</v>
      </c>
      <c r="E2930" s="6" t="n">
        <v>40828.4861111111</v>
      </c>
      <c r="F2930" s="0" t="n">
        <v>0.85</v>
      </c>
      <c r="G2930" s="0" t="n">
        <v>12633</v>
      </c>
      <c r="H2930" s="0" t="s">
        <v>33</v>
      </c>
      <c r="I2930" s="7" t="n">
        <f aca="false">IF(AND(LEFT(A2930,1)&lt;&gt;"C",D2930&gt;0,F2930&gt;0),1,0)</f>
        <v>1</v>
      </c>
      <c r="J2930" s="7" t="n">
        <f aca="false">IF(I2930=1,D2930*F2930,0)</f>
        <v>10.2</v>
      </c>
      <c r="K2930" s="7" t="n">
        <f aca="false">YEAR(E2930)*100+MONTH(E2930)</f>
        <v>201110</v>
      </c>
      <c r="L2930" s="7" t="n">
        <f aca="false">IF(AND(A2930&lt;&gt;A2929,LEFT(A2930,1)&lt;&gt;"C"),1,0)</f>
        <v>1</v>
      </c>
    </row>
    <row r="2931" customFormat="false" ht="15" hidden="false" customHeight="false" outlineLevel="0" collapsed="false">
      <c r="A2931" s="0" t="s">
        <v>2219</v>
      </c>
      <c r="B2931" s="0" t="s">
        <v>627</v>
      </c>
      <c r="C2931" s="0" t="s">
        <v>628</v>
      </c>
      <c r="D2931" s="0" t="n">
        <v>10</v>
      </c>
      <c r="E2931" s="6" t="n">
        <v>40828.4861111111</v>
      </c>
      <c r="F2931" s="0" t="n">
        <v>0.85</v>
      </c>
      <c r="G2931" s="0" t="n">
        <v>12633</v>
      </c>
      <c r="H2931" s="0" t="s">
        <v>33</v>
      </c>
      <c r="I2931" s="7" t="n">
        <f aca="false">IF(AND(LEFT(A2931,1)&lt;&gt;"C",D2931&gt;0,F2931&gt;0),1,0)</f>
        <v>1</v>
      </c>
      <c r="J2931" s="7" t="n">
        <f aca="false">IF(I2931=1,D2931*F2931,0)</f>
        <v>8.5</v>
      </c>
      <c r="K2931" s="7" t="n">
        <f aca="false">YEAR(E2931)*100+MONTH(E2931)</f>
        <v>201110</v>
      </c>
      <c r="L2931" s="7" t="n">
        <f aca="false">IF(AND(A2931&lt;&gt;A2930,LEFT(A2931,1)&lt;&gt;"C"),1,0)</f>
        <v>0</v>
      </c>
    </row>
    <row r="2932" customFormat="false" ht="15" hidden="false" customHeight="false" outlineLevel="0" collapsed="false">
      <c r="A2932" s="0" t="s">
        <v>2219</v>
      </c>
      <c r="B2932" s="0" t="s">
        <v>58</v>
      </c>
      <c r="C2932" s="0" t="s">
        <v>59</v>
      </c>
      <c r="D2932" s="0" t="n">
        <v>6</v>
      </c>
      <c r="E2932" s="6" t="n">
        <v>40828.4861111111</v>
      </c>
      <c r="F2932" s="0" t="n">
        <v>2.55</v>
      </c>
      <c r="G2932" s="0" t="n">
        <v>12633</v>
      </c>
      <c r="H2932" s="0" t="s">
        <v>33</v>
      </c>
      <c r="I2932" s="7" t="n">
        <f aca="false">IF(AND(LEFT(A2932,1)&lt;&gt;"C",D2932&gt;0,F2932&gt;0),1,0)</f>
        <v>1</v>
      </c>
      <c r="J2932" s="7" t="n">
        <f aca="false">IF(I2932=1,D2932*F2932,0)</f>
        <v>15.3</v>
      </c>
      <c r="K2932" s="7" t="n">
        <f aca="false">YEAR(E2932)*100+MONTH(E2932)</f>
        <v>201110</v>
      </c>
      <c r="L2932" s="7" t="n">
        <f aca="false">IF(AND(A2932&lt;&gt;A2931,LEFT(A2932,1)&lt;&gt;"C"),1,0)</f>
        <v>0</v>
      </c>
    </row>
    <row r="2933" customFormat="false" ht="15" hidden="false" customHeight="false" outlineLevel="0" collapsed="false">
      <c r="A2933" s="0" t="s">
        <v>2219</v>
      </c>
      <c r="B2933" s="0" t="s">
        <v>159</v>
      </c>
      <c r="C2933" s="0" t="s">
        <v>160</v>
      </c>
      <c r="D2933" s="0" t="n">
        <v>6</v>
      </c>
      <c r="E2933" s="6" t="n">
        <v>40828.4861111111</v>
      </c>
      <c r="F2933" s="0" t="n">
        <v>2.55</v>
      </c>
      <c r="G2933" s="0" t="n">
        <v>12633</v>
      </c>
      <c r="H2933" s="0" t="s">
        <v>33</v>
      </c>
      <c r="I2933" s="7" t="n">
        <f aca="false">IF(AND(LEFT(A2933,1)&lt;&gt;"C",D2933&gt;0,F2933&gt;0),1,0)</f>
        <v>1</v>
      </c>
      <c r="J2933" s="7" t="n">
        <f aca="false">IF(I2933=1,D2933*F2933,0)</f>
        <v>15.3</v>
      </c>
      <c r="K2933" s="7" t="n">
        <f aca="false">YEAR(E2933)*100+MONTH(E2933)</f>
        <v>201110</v>
      </c>
      <c r="L2933" s="7" t="n">
        <f aca="false">IF(AND(A2933&lt;&gt;A2932,LEFT(A2933,1)&lt;&gt;"C"),1,0)</f>
        <v>0</v>
      </c>
    </row>
    <row r="2934" customFormat="false" ht="15" hidden="false" customHeight="false" outlineLevel="0" collapsed="false">
      <c r="A2934" s="0" t="s">
        <v>2219</v>
      </c>
      <c r="B2934" s="0" t="s">
        <v>123</v>
      </c>
      <c r="C2934" s="0" t="s">
        <v>124</v>
      </c>
      <c r="D2934" s="0" t="n">
        <v>6</v>
      </c>
      <c r="E2934" s="6" t="n">
        <v>40828.4861111111</v>
      </c>
      <c r="F2934" s="0" t="n">
        <v>2.95</v>
      </c>
      <c r="G2934" s="0" t="n">
        <v>12633</v>
      </c>
      <c r="H2934" s="0" t="s">
        <v>33</v>
      </c>
      <c r="I2934" s="7" t="n">
        <f aca="false">IF(AND(LEFT(A2934,1)&lt;&gt;"C",D2934&gt;0,F2934&gt;0),1,0)</f>
        <v>1</v>
      </c>
      <c r="J2934" s="7" t="n">
        <f aca="false">IF(I2934=1,D2934*F2934,0)</f>
        <v>17.7</v>
      </c>
      <c r="K2934" s="7" t="n">
        <f aca="false">YEAR(E2934)*100+MONTH(E2934)</f>
        <v>201110</v>
      </c>
      <c r="L2934" s="7" t="n">
        <f aca="false">IF(AND(A2934&lt;&gt;A2933,LEFT(A2934,1)&lt;&gt;"C"),1,0)</f>
        <v>0</v>
      </c>
    </row>
    <row r="2935" customFormat="false" ht="15" hidden="false" customHeight="false" outlineLevel="0" collapsed="false">
      <c r="A2935" s="0" t="s">
        <v>2219</v>
      </c>
      <c r="B2935" s="0" t="s">
        <v>610</v>
      </c>
      <c r="C2935" s="0" t="s">
        <v>611</v>
      </c>
      <c r="D2935" s="0" t="n">
        <v>6</v>
      </c>
      <c r="E2935" s="6" t="n">
        <v>40828.4861111111</v>
      </c>
      <c r="F2935" s="0" t="n">
        <v>2.95</v>
      </c>
      <c r="G2935" s="0" t="n">
        <v>12633</v>
      </c>
      <c r="H2935" s="0" t="s">
        <v>33</v>
      </c>
      <c r="I2935" s="7" t="n">
        <f aca="false">IF(AND(LEFT(A2935,1)&lt;&gt;"C",D2935&gt;0,F2935&gt;0),1,0)</f>
        <v>1</v>
      </c>
      <c r="J2935" s="7" t="n">
        <f aca="false">IF(I2935=1,D2935*F2935,0)</f>
        <v>17.7</v>
      </c>
      <c r="K2935" s="7" t="n">
        <f aca="false">YEAR(E2935)*100+MONTH(E2935)</f>
        <v>201110</v>
      </c>
      <c r="L2935" s="7" t="n">
        <f aca="false">IF(AND(A2935&lt;&gt;A2934,LEFT(A2935,1)&lt;&gt;"C"),1,0)</f>
        <v>0</v>
      </c>
    </row>
    <row r="2936" customFormat="false" ht="15" hidden="false" customHeight="false" outlineLevel="0" collapsed="false">
      <c r="A2936" s="0" t="s">
        <v>2219</v>
      </c>
      <c r="B2936" s="0" t="s">
        <v>359</v>
      </c>
      <c r="C2936" s="0" t="s">
        <v>360</v>
      </c>
      <c r="D2936" s="0" t="n">
        <v>6</v>
      </c>
      <c r="E2936" s="6" t="n">
        <v>40828.4861111111</v>
      </c>
      <c r="F2936" s="0" t="n">
        <v>2.95</v>
      </c>
      <c r="G2936" s="0" t="n">
        <v>12633</v>
      </c>
      <c r="H2936" s="0" t="s">
        <v>33</v>
      </c>
      <c r="I2936" s="7" t="n">
        <f aca="false">IF(AND(LEFT(A2936,1)&lt;&gt;"C",D2936&gt;0,F2936&gt;0),1,0)</f>
        <v>1</v>
      </c>
      <c r="J2936" s="7" t="n">
        <f aca="false">IF(I2936=1,D2936*F2936,0)</f>
        <v>17.7</v>
      </c>
      <c r="K2936" s="7" t="n">
        <f aca="false">YEAR(E2936)*100+MONTH(E2936)</f>
        <v>201110</v>
      </c>
      <c r="L2936" s="7" t="n">
        <f aca="false">IF(AND(A2936&lt;&gt;A2935,LEFT(A2936,1)&lt;&gt;"C"),1,0)</f>
        <v>0</v>
      </c>
    </row>
    <row r="2937" customFormat="false" ht="15" hidden="false" customHeight="false" outlineLevel="0" collapsed="false">
      <c r="A2937" s="0" t="s">
        <v>2219</v>
      </c>
      <c r="B2937" s="0" t="s">
        <v>2220</v>
      </c>
      <c r="C2937" s="0" t="s">
        <v>2221</v>
      </c>
      <c r="D2937" s="0" t="n">
        <v>4</v>
      </c>
      <c r="E2937" s="6" t="n">
        <v>40828.4861111111</v>
      </c>
      <c r="F2937" s="0" t="n">
        <v>4.15</v>
      </c>
      <c r="G2937" s="0" t="n">
        <v>12633</v>
      </c>
      <c r="H2937" s="0" t="s">
        <v>33</v>
      </c>
      <c r="I2937" s="7" t="n">
        <f aca="false">IF(AND(LEFT(A2937,1)&lt;&gt;"C",D2937&gt;0,F2937&gt;0),1,0)</f>
        <v>1</v>
      </c>
      <c r="J2937" s="7" t="n">
        <f aca="false">IF(I2937=1,D2937*F2937,0)</f>
        <v>16.6</v>
      </c>
      <c r="K2937" s="7" t="n">
        <f aca="false">YEAR(E2937)*100+MONTH(E2937)</f>
        <v>201110</v>
      </c>
      <c r="L2937" s="7" t="n">
        <f aca="false">IF(AND(A2937&lt;&gt;A2936,LEFT(A2937,1)&lt;&gt;"C"),1,0)</f>
        <v>0</v>
      </c>
    </row>
    <row r="2938" customFormat="false" ht="15" hidden="false" customHeight="false" outlineLevel="0" collapsed="false">
      <c r="A2938" s="0" t="s">
        <v>2219</v>
      </c>
      <c r="B2938" s="0" t="s">
        <v>107</v>
      </c>
      <c r="C2938" s="0" t="s">
        <v>108</v>
      </c>
      <c r="D2938" s="0" t="n">
        <v>6</v>
      </c>
      <c r="E2938" s="6" t="n">
        <v>40828.4861111111</v>
      </c>
      <c r="F2938" s="0" t="n">
        <v>2.55</v>
      </c>
      <c r="G2938" s="0" t="n">
        <v>12633</v>
      </c>
      <c r="H2938" s="0" t="s">
        <v>33</v>
      </c>
      <c r="I2938" s="7" t="n">
        <f aca="false">IF(AND(LEFT(A2938,1)&lt;&gt;"C",D2938&gt;0,F2938&gt;0),1,0)</f>
        <v>1</v>
      </c>
      <c r="J2938" s="7" t="n">
        <f aca="false">IF(I2938=1,D2938*F2938,0)</f>
        <v>15.3</v>
      </c>
      <c r="K2938" s="7" t="n">
        <f aca="false">YEAR(E2938)*100+MONTH(E2938)</f>
        <v>201110</v>
      </c>
      <c r="L2938" s="7" t="n">
        <f aca="false">IF(AND(A2938&lt;&gt;A2937,LEFT(A2938,1)&lt;&gt;"C"),1,0)</f>
        <v>0</v>
      </c>
    </row>
    <row r="2939" customFormat="false" ht="15" hidden="false" customHeight="false" outlineLevel="0" collapsed="false">
      <c r="A2939" s="0" t="s">
        <v>2219</v>
      </c>
      <c r="B2939" s="0" t="s">
        <v>2222</v>
      </c>
      <c r="C2939" s="0" t="s">
        <v>2223</v>
      </c>
      <c r="D2939" s="0" t="n">
        <v>4</v>
      </c>
      <c r="E2939" s="6" t="n">
        <v>40828.4861111111</v>
      </c>
      <c r="F2939" s="0" t="n">
        <v>3.29</v>
      </c>
      <c r="G2939" s="0" t="n">
        <v>12633</v>
      </c>
      <c r="H2939" s="0" t="s">
        <v>33</v>
      </c>
      <c r="I2939" s="7" t="n">
        <f aca="false">IF(AND(LEFT(A2939,1)&lt;&gt;"C",D2939&gt;0,F2939&gt;0),1,0)</f>
        <v>1</v>
      </c>
      <c r="J2939" s="7" t="n">
        <f aca="false">IF(I2939=1,D2939*F2939,0)</f>
        <v>13.16</v>
      </c>
      <c r="K2939" s="7" t="n">
        <f aca="false">YEAR(E2939)*100+MONTH(E2939)</f>
        <v>201110</v>
      </c>
      <c r="L2939" s="7" t="n">
        <f aca="false">IF(AND(A2939&lt;&gt;A2938,LEFT(A2939,1)&lt;&gt;"C"),1,0)</f>
        <v>0</v>
      </c>
    </row>
    <row r="2940" customFormat="false" ht="15" hidden="false" customHeight="false" outlineLevel="0" collapsed="false">
      <c r="A2940" s="0" t="s">
        <v>2219</v>
      </c>
      <c r="B2940" s="0" t="s">
        <v>2224</v>
      </c>
      <c r="C2940" s="0" t="s">
        <v>2225</v>
      </c>
      <c r="D2940" s="0" t="n">
        <v>12</v>
      </c>
      <c r="E2940" s="6" t="n">
        <v>40828.4861111111</v>
      </c>
      <c r="F2940" s="0" t="n">
        <v>0.83</v>
      </c>
      <c r="G2940" s="0" t="n">
        <v>12633</v>
      </c>
      <c r="H2940" s="0" t="s">
        <v>33</v>
      </c>
      <c r="I2940" s="7" t="n">
        <f aca="false">IF(AND(LEFT(A2940,1)&lt;&gt;"C",D2940&gt;0,F2940&gt;0),1,0)</f>
        <v>1</v>
      </c>
      <c r="J2940" s="7" t="n">
        <f aca="false">IF(I2940=1,D2940*F2940,0)</f>
        <v>9.96</v>
      </c>
      <c r="K2940" s="7" t="n">
        <f aca="false">YEAR(E2940)*100+MONTH(E2940)</f>
        <v>201110</v>
      </c>
      <c r="L2940" s="7" t="n">
        <f aca="false">IF(AND(A2940&lt;&gt;A2939,LEFT(A2940,1)&lt;&gt;"C"),1,0)</f>
        <v>0</v>
      </c>
    </row>
    <row r="2941" customFormat="false" ht="15" hidden="false" customHeight="false" outlineLevel="0" collapsed="false">
      <c r="A2941" s="0" t="s">
        <v>2219</v>
      </c>
      <c r="B2941" s="0" t="s">
        <v>1652</v>
      </c>
      <c r="C2941" s="0" t="s">
        <v>1653</v>
      </c>
      <c r="D2941" s="0" t="n">
        <v>3</v>
      </c>
      <c r="E2941" s="6" t="n">
        <v>40828.4861111111</v>
      </c>
      <c r="F2941" s="0" t="n">
        <v>4.95</v>
      </c>
      <c r="G2941" s="0" t="n">
        <v>12633</v>
      </c>
      <c r="H2941" s="0" t="s">
        <v>33</v>
      </c>
      <c r="I2941" s="7" t="n">
        <f aca="false">IF(AND(LEFT(A2941,1)&lt;&gt;"C",D2941&gt;0,F2941&gt;0),1,0)</f>
        <v>1</v>
      </c>
      <c r="J2941" s="7" t="n">
        <f aca="false">IF(I2941=1,D2941*F2941,0)</f>
        <v>14.85</v>
      </c>
      <c r="K2941" s="7" t="n">
        <f aca="false">YEAR(E2941)*100+MONTH(E2941)</f>
        <v>201110</v>
      </c>
      <c r="L2941" s="7" t="n">
        <f aca="false">IF(AND(A2941&lt;&gt;A2940,LEFT(A2941,1)&lt;&gt;"C"),1,0)</f>
        <v>0</v>
      </c>
    </row>
    <row r="2942" customFormat="false" ht="15" hidden="false" customHeight="false" outlineLevel="0" collapsed="false">
      <c r="A2942" s="0" t="s">
        <v>2219</v>
      </c>
      <c r="B2942" s="0" t="s">
        <v>2226</v>
      </c>
      <c r="C2942" s="0" t="s">
        <v>2227</v>
      </c>
      <c r="D2942" s="0" t="n">
        <v>6</v>
      </c>
      <c r="E2942" s="6" t="n">
        <v>40828.4861111111</v>
      </c>
      <c r="F2942" s="0" t="n">
        <v>2.08</v>
      </c>
      <c r="G2942" s="0" t="n">
        <v>12633</v>
      </c>
      <c r="H2942" s="0" t="s">
        <v>33</v>
      </c>
      <c r="I2942" s="7" t="n">
        <f aca="false">IF(AND(LEFT(A2942,1)&lt;&gt;"C",D2942&gt;0,F2942&gt;0),1,0)</f>
        <v>1</v>
      </c>
      <c r="J2942" s="7" t="n">
        <f aca="false">IF(I2942=1,D2942*F2942,0)</f>
        <v>12.48</v>
      </c>
      <c r="K2942" s="7" t="n">
        <f aca="false">YEAR(E2942)*100+MONTH(E2942)</f>
        <v>201110</v>
      </c>
      <c r="L2942" s="7" t="n">
        <f aca="false">IF(AND(A2942&lt;&gt;A2941,LEFT(A2942,1)&lt;&gt;"C"),1,0)</f>
        <v>0</v>
      </c>
    </row>
    <row r="2943" customFormat="false" ht="15" hidden="false" customHeight="false" outlineLevel="0" collapsed="false">
      <c r="A2943" s="0" t="s">
        <v>2219</v>
      </c>
      <c r="B2943" s="0" t="s">
        <v>1590</v>
      </c>
      <c r="C2943" s="0" t="s">
        <v>1591</v>
      </c>
      <c r="D2943" s="0" t="n">
        <v>6</v>
      </c>
      <c r="E2943" s="6" t="n">
        <v>40828.4861111111</v>
      </c>
      <c r="F2943" s="0" t="n">
        <v>2.08</v>
      </c>
      <c r="G2943" s="0" t="n">
        <v>12633</v>
      </c>
      <c r="H2943" s="0" t="s">
        <v>33</v>
      </c>
      <c r="I2943" s="7" t="n">
        <f aca="false">IF(AND(LEFT(A2943,1)&lt;&gt;"C",D2943&gt;0,F2943&gt;0),1,0)</f>
        <v>1</v>
      </c>
      <c r="J2943" s="7" t="n">
        <f aca="false">IF(I2943=1,D2943*F2943,0)</f>
        <v>12.48</v>
      </c>
      <c r="K2943" s="7" t="n">
        <f aca="false">YEAR(E2943)*100+MONTH(E2943)</f>
        <v>201110</v>
      </c>
      <c r="L2943" s="7" t="n">
        <f aca="false">IF(AND(A2943&lt;&gt;A2942,LEFT(A2943,1)&lt;&gt;"C"),1,0)</f>
        <v>0</v>
      </c>
    </row>
    <row r="2944" customFormat="false" ht="15" hidden="false" customHeight="false" outlineLevel="0" collapsed="false">
      <c r="A2944" s="0" t="s">
        <v>2219</v>
      </c>
      <c r="B2944" s="0" t="s">
        <v>84</v>
      </c>
      <c r="C2944" s="0" t="s">
        <v>85</v>
      </c>
      <c r="D2944" s="0" t="n">
        <v>1</v>
      </c>
      <c r="E2944" s="6" t="n">
        <v>40828.4861111111</v>
      </c>
      <c r="F2944" s="0" t="n">
        <v>18</v>
      </c>
      <c r="G2944" s="0" t="n">
        <v>12633</v>
      </c>
      <c r="H2944" s="0" t="s">
        <v>33</v>
      </c>
      <c r="I2944" s="7" t="n">
        <f aca="false">IF(AND(LEFT(A2944,1)&lt;&gt;"C",D2944&gt;0,F2944&gt;0),1,0)</f>
        <v>1</v>
      </c>
      <c r="J2944" s="7" t="n">
        <f aca="false">IF(I2944=1,D2944*F2944,0)</f>
        <v>18</v>
      </c>
      <c r="K2944" s="7" t="n">
        <f aca="false">YEAR(E2944)*100+MONTH(E2944)</f>
        <v>201110</v>
      </c>
      <c r="L2944" s="7" t="n">
        <f aca="false">IF(AND(A2944&lt;&gt;A2943,LEFT(A2944,1)&lt;&gt;"C"),1,0)</f>
        <v>0</v>
      </c>
    </row>
    <row r="2945" customFormat="false" ht="15" hidden="false" customHeight="false" outlineLevel="0" collapsed="false">
      <c r="A2945" s="0" t="s">
        <v>2228</v>
      </c>
      <c r="B2945" s="0" t="s">
        <v>953</v>
      </c>
      <c r="C2945" s="0" t="s">
        <v>954</v>
      </c>
      <c r="D2945" s="0" t="n">
        <v>10</v>
      </c>
      <c r="E2945" s="6" t="n">
        <v>40828.4923611111</v>
      </c>
      <c r="F2945" s="0" t="n">
        <v>1.25</v>
      </c>
      <c r="G2945" s="0" t="n">
        <v>12569</v>
      </c>
      <c r="H2945" s="0" t="s">
        <v>33</v>
      </c>
      <c r="I2945" s="7" t="n">
        <f aca="false">IF(AND(LEFT(A2945,1)&lt;&gt;"C",D2945&gt;0,F2945&gt;0),1,0)</f>
        <v>1</v>
      </c>
      <c r="J2945" s="7" t="n">
        <f aca="false">IF(I2945=1,D2945*F2945,0)</f>
        <v>12.5</v>
      </c>
      <c r="K2945" s="7" t="n">
        <f aca="false">YEAR(E2945)*100+MONTH(E2945)</f>
        <v>201110</v>
      </c>
      <c r="L2945" s="7" t="n">
        <f aca="false">IF(AND(A2945&lt;&gt;A2944,LEFT(A2945,1)&lt;&gt;"C"),1,0)</f>
        <v>1</v>
      </c>
    </row>
    <row r="2946" customFormat="false" ht="15" hidden="false" customHeight="false" outlineLevel="0" collapsed="false">
      <c r="A2946" s="0" t="s">
        <v>2228</v>
      </c>
      <c r="B2946" s="0" t="s">
        <v>228</v>
      </c>
      <c r="C2946" s="0" t="s">
        <v>229</v>
      </c>
      <c r="D2946" s="0" t="n">
        <v>12</v>
      </c>
      <c r="E2946" s="6" t="n">
        <v>40828.4923611111</v>
      </c>
      <c r="F2946" s="0" t="n">
        <v>3.25</v>
      </c>
      <c r="G2946" s="0" t="n">
        <v>12569</v>
      </c>
      <c r="H2946" s="0" t="s">
        <v>33</v>
      </c>
      <c r="I2946" s="7" t="n">
        <f aca="false">IF(AND(LEFT(A2946,1)&lt;&gt;"C",D2946&gt;0,F2946&gt;0),1,0)</f>
        <v>1</v>
      </c>
      <c r="J2946" s="7" t="n">
        <f aca="false">IF(I2946=1,D2946*F2946,0)</f>
        <v>39</v>
      </c>
      <c r="K2946" s="7" t="n">
        <f aca="false">YEAR(E2946)*100+MONTH(E2946)</f>
        <v>201110</v>
      </c>
      <c r="L2946" s="7" t="n">
        <f aca="false">IF(AND(A2946&lt;&gt;A2945,LEFT(A2946,1)&lt;&gt;"C"),1,0)</f>
        <v>0</v>
      </c>
    </row>
    <row r="2947" customFormat="false" ht="15" hidden="false" customHeight="false" outlineLevel="0" collapsed="false">
      <c r="A2947" s="0" t="s">
        <v>2228</v>
      </c>
      <c r="B2947" s="0" t="s">
        <v>452</v>
      </c>
      <c r="C2947" s="0" t="s">
        <v>453</v>
      </c>
      <c r="D2947" s="0" t="n">
        <v>2</v>
      </c>
      <c r="E2947" s="6" t="n">
        <v>40828.4923611111</v>
      </c>
      <c r="F2947" s="0" t="n">
        <v>8.5</v>
      </c>
      <c r="G2947" s="0" t="n">
        <v>12569</v>
      </c>
      <c r="H2947" s="0" t="s">
        <v>33</v>
      </c>
      <c r="I2947" s="7" t="n">
        <f aca="false">IF(AND(LEFT(A2947,1)&lt;&gt;"C",D2947&gt;0,F2947&gt;0),1,0)</f>
        <v>1</v>
      </c>
      <c r="J2947" s="7" t="n">
        <f aca="false">IF(I2947=1,D2947*F2947,0)</f>
        <v>17</v>
      </c>
      <c r="K2947" s="7" t="n">
        <f aca="false">YEAR(E2947)*100+MONTH(E2947)</f>
        <v>201110</v>
      </c>
      <c r="L2947" s="7" t="n">
        <f aca="false">IF(AND(A2947&lt;&gt;A2946,LEFT(A2947,1)&lt;&gt;"C"),1,0)</f>
        <v>0</v>
      </c>
    </row>
    <row r="2948" customFormat="false" ht="15" hidden="false" customHeight="false" outlineLevel="0" collapsed="false">
      <c r="A2948" s="0" t="s">
        <v>2228</v>
      </c>
      <c r="B2948" s="0" t="s">
        <v>293</v>
      </c>
      <c r="C2948" s="0" t="s">
        <v>294</v>
      </c>
      <c r="D2948" s="0" t="n">
        <v>2</v>
      </c>
      <c r="E2948" s="6" t="n">
        <v>40828.4923611111</v>
      </c>
      <c r="F2948" s="0" t="n">
        <v>8.5</v>
      </c>
      <c r="G2948" s="0" t="n">
        <v>12569</v>
      </c>
      <c r="H2948" s="0" t="s">
        <v>33</v>
      </c>
      <c r="I2948" s="7" t="n">
        <f aca="false">IF(AND(LEFT(A2948,1)&lt;&gt;"C",D2948&gt;0,F2948&gt;0),1,0)</f>
        <v>1</v>
      </c>
      <c r="J2948" s="7" t="n">
        <f aca="false">IF(I2948=1,D2948*F2948,0)</f>
        <v>17</v>
      </c>
      <c r="K2948" s="7" t="n">
        <f aca="false">YEAR(E2948)*100+MONTH(E2948)</f>
        <v>201110</v>
      </c>
      <c r="L2948" s="7" t="n">
        <f aca="false">IF(AND(A2948&lt;&gt;A2947,LEFT(A2948,1)&lt;&gt;"C"),1,0)</f>
        <v>0</v>
      </c>
    </row>
    <row r="2949" customFormat="false" ht="15" hidden="false" customHeight="false" outlineLevel="0" collapsed="false">
      <c r="A2949" s="0" t="s">
        <v>2228</v>
      </c>
      <c r="B2949" s="0" t="s">
        <v>84</v>
      </c>
      <c r="C2949" s="0" t="s">
        <v>85</v>
      </c>
      <c r="D2949" s="0" t="n">
        <v>1</v>
      </c>
      <c r="E2949" s="6" t="n">
        <v>40828.4923611111</v>
      </c>
      <c r="F2949" s="0" t="n">
        <v>18</v>
      </c>
      <c r="G2949" s="0" t="n">
        <v>12569</v>
      </c>
      <c r="H2949" s="0" t="s">
        <v>33</v>
      </c>
      <c r="I2949" s="7" t="n">
        <f aca="false">IF(AND(LEFT(A2949,1)&lt;&gt;"C",D2949&gt;0,F2949&gt;0),1,0)</f>
        <v>1</v>
      </c>
      <c r="J2949" s="7" t="n">
        <f aca="false">IF(I2949=1,D2949*F2949,0)</f>
        <v>18</v>
      </c>
      <c r="K2949" s="7" t="n">
        <f aca="false">YEAR(E2949)*100+MONTH(E2949)</f>
        <v>201110</v>
      </c>
      <c r="L2949" s="7" t="n">
        <f aca="false">IF(AND(A2949&lt;&gt;A2948,LEFT(A2949,1)&lt;&gt;"C"),1,0)</f>
        <v>0</v>
      </c>
    </row>
    <row r="2950" customFormat="false" ht="15" hidden="false" customHeight="false" outlineLevel="0" collapsed="false">
      <c r="A2950" s="0" t="s">
        <v>2229</v>
      </c>
      <c r="B2950" s="0" t="s">
        <v>2114</v>
      </c>
      <c r="C2950" s="0" t="s">
        <v>2115</v>
      </c>
      <c r="D2950" s="0" t="n">
        <v>20</v>
      </c>
      <c r="E2950" s="6" t="n">
        <v>40828.5006944445</v>
      </c>
      <c r="F2950" s="0" t="n">
        <v>1.45</v>
      </c>
      <c r="G2950" s="0" t="n">
        <v>12709</v>
      </c>
      <c r="H2950" s="0" t="s">
        <v>33</v>
      </c>
      <c r="I2950" s="7" t="n">
        <f aca="false">IF(AND(LEFT(A2950,1)&lt;&gt;"C",D2950&gt;0,F2950&gt;0),1,0)</f>
        <v>1</v>
      </c>
      <c r="J2950" s="7" t="n">
        <f aca="false">IF(I2950=1,D2950*F2950,0)</f>
        <v>29</v>
      </c>
      <c r="K2950" s="7" t="n">
        <f aca="false">YEAR(E2950)*100+MONTH(E2950)</f>
        <v>201110</v>
      </c>
      <c r="L2950" s="7" t="n">
        <f aca="false">IF(AND(A2950&lt;&gt;A2949,LEFT(A2950,1)&lt;&gt;"C"),1,0)</f>
        <v>1</v>
      </c>
    </row>
    <row r="2951" customFormat="false" ht="15" hidden="false" customHeight="false" outlineLevel="0" collapsed="false">
      <c r="A2951" s="0" t="s">
        <v>2229</v>
      </c>
      <c r="B2951" s="0" t="s">
        <v>2230</v>
      </c>
      <c r="C2951" s="0" t="s">
        <v>2231</v>
      </c>
      <c r="D2951" s="0" t="n">
        <v>10</v>
      </c>
      <c r="E2951" s="6" t="n">
        <v>40828.5006944445</v>
      </c>
      <c r="F2951" s="0" t="n">
        <v>4.25</v>
      </c>
      <c r="G2951" s="0" t="n">
        <v>12709</v>
      </c>
      <c r="H2951" s="0" t="s">
        <v>33</v>
      </c>
      <c r="I2951" s="7" t="n">
        <f aca="false">IF(AND(LEFT(A2951,1)&lt;&gt;"C",D2951&gt;0,F2951&gt;0),1,0)</f>
        <v>1</v>
      </c>
      <c r="J2951" s="7" t="n">
        <f aca="false">IF(I2951=1,D2951*F2951,0)</f>
        <v>42.5</v>
      </c>
      <c r="K2951" s="7" t="n">
        <f aca="false">YEAR(E2951)*100+MONTH(E2951)</f>
        <v>201110</v>
      </c>
      <c r="L2951" s="7" t="n">
        <f aca="false">IF(AND(A2951&lt;&gt;A2950,LEFT(A2951,1)&lt;&gt;"C"),1,0)</f>
        <v>0</v>
      </c>
    </row>
    <row r="2952" customFormat="false" ht="15" hidden="false" customHeight="false" outlineLevel="0" collapsed="false">
      <c r="A2952" s="0" t="s">
        <v>2229</v>
      </c>
      <c r="B2952" s="0" t="s">
        <v>769</v>
      </c>
      <c r="C2952" s="0" t="s">
        <v>770</v>
      </c>
      <c r="D2952" s="0" t="n">
        <v>20</v>
      </c>
      <c r="E2952" s="6" t="n">
        <v>40828.5006944445</v>
      </c>
      <c r="F2952" s="0" t="n">
        <v>1.45</v>
      </c>
      <c r="G2952" s="0" t="n">
        <v>12709</v>
      </c>
      <c r="H2952" s="0" t="s">
        <v>33</v>
      </c>
      <c r="I2952" s="7" t="n">
        <f aca="false">IF(AND(LEFT(A2952,1)&lt;&gt;"C",D2952&gt;0,F2952&gt;0),1,0)</f>
        <v>1</v>
      </c>
      <c r="J2952" s="7" t="n">
        <f aca="false">IF(I2952=1,D2952*F2952,0)</f>
        <v>29</v>
      </c>
      <c r="K2952" s="7" t="n">
        <f aca="false">YEAR(E2952)*100+MONTH(E2952)</f>
        <v>201110</v>
      </c>
      <c r="L2952" s="7" t="n">
        <f aca="false">IF(AND(A2952&lt;&gt;A2951,LEFT(A2952,1)&lt;&gt;"C"),1,0)</f>
        <v>0</v>
      </c>
    </row>
    <row r="2953" customFormat="false" ht="15" hidden="false" customHeight="false" outlineLevel="0" collapsed="false">
      <c r="A2953" s="0" t="s">
        <v>2229</v>
      </c>
      <c r="B2953" s="0" t="s">
        <v>450</v>
      </c>
      <c r="C2953" s="0" t="s">
        <v>451</v>
      </c>
      <c r="D2953" s="0" t="n">
        <v>12</v>
      </c>
      <c r="E2953" s="6" t="n">
        <v>40828.5006944445</v>
      </c>
      <c r="F2953" s="0" t="n">
        <v>2.95</v>
      </c>
      <c r="G2953" s="0" t="n">
        <v>12709</v>
      </c>
      <c r="H2953" s="0" t="s">
        <v>33</v>
      </c>
      <c r="I2953" s="7" t="n">
        <f aca="false">IF(AND(LEFT(A2953,1)&lt;&gt;"C",D2953&gt;0,F2953&gt;0),1,0)</f>
        <v>1</v>
      </c>
      <c r="J2953" s="7" t="n">
        <f aca="false">IF(I2953=1,D2953*F2953,0)</f>
        <v>35.4</v>
      </c>
      <c r="K2953" s="7" t="n">
        <f aca="false">YEAR(E2953)*100+MONTH(E2953)</f>
        <v>201110</v>
      </c>
      <c r="L2953" s="7" t="n">
        <f aca="false">IF(AND(A2953&lt;&gt;A2952,LEFT(A2953,1)&lt;&gt;"C"),1,0)</f>
        <v>0</v>
      </c>
    </row>
    <row r="2954" customFormat="false" ht="15" hidden="false" customHeight="false" outlineLevel="0" collapsed="false">
      <c r="A2954" s="0" t="s">
        <v>2229</v>
      </c>
      <c r="B2954" s="0" t="s">
        <v>103</v>
      </c>
      <c r="C2954" s="0" t="s">
        <v>104</v>
      </c>
      <c r="D2954" s="0" t="n">
        <v>24</v>
      </c>
      <c r="E2954" s="6" t="n">
        <v>40828.5006944445</v>
      </c>
      <c r="F2954" s="0" t="n">
        <v>0.55</v>
      </c>
      <c r="G2954" s="0" t="n">
        <v>12709</v>
      </c>
      <c r="H2954" s="0" t="s">
        <v>33</v>
      </c>
      <c r="I2954" s="7" t="n">
        <f aca="false">IF(AND(LEFT(A2954,1)&lt;&gt;"C",D2954&gt;0,F2954&gt;0),1,0)</f>
        <v>1</v>
      </c>
      <c r="J2954" s="7" t="n">
        <f aca="false">IF(I2954=1,D2954*F2954,0)</f>
        <v>13.2</v>
      </c>
      <c r="K2954" s="7" t="n">
        <f aca="false">YEAR(E2954)*100+MONTH(E2954)</f>
        <v>201110</v>
      </c>
      <c r="L2954" s="7" t="n">
        <f aca="false">IF(AND(A2954&lt;&gt;A2953,LEFT(A2954,1)&lt;&gt;"C"),1,0)</f>
        <v>0</v>
      </c>
    </row>
    <row r="2955" customFormat="false" ht="15" hidden="false" customHeight="false" outlineLevel="0" collapsed="false">
      <c r="A2955" s="0" t="s">
        <v>2229</v>
      </c>
      <c r="B2955" s="0" t="s">
        <v>760</v>
      </c>
      <c r="C2955" s="0" t="s">
        <v>761</v>
      </c>
      <c r="D2955" s="0" t="n">
        <v>24</v>
      </c>
      <c r="E2955" s="6" t="n">
        <v>40828.5006944445</v>
      </c>
      <c r="F2955" s="0" t="n">
        <v>3.75</v>
      </c>
      <c r="G2955" s="0" t="n">
        <v>12709</v>
      </c>
      <c r="H2955" s="0" t="s">
        <v>33</v>
      </c>
      <c r="I2955" s="7" t="n">
        <f aca="false">IF(AND(LEFT(A2955,1)&lt;&gt;"C",D2955&gt;0,F2955&gt;0),1,0)</f>
        <v>1</v>
      </c>
      <c r="J2955" s="7" t="n">
        <f aca="false">IF(I2955=1,D2955*F2955,0)</f>
        <v>90</v>
      </c>
      <c r="K2955" s="7" t="n">
        <f aca="false">YEAR(E2955)*100+MONTH(E2955)</f>
        <v>201110</v>
      </c>
      <c r="L2955" s="7" t="n">
        <f aca="false">IF(AND(A2955&lt;&gt;A2954,LEFT(A2955,1)&lt;&gt;"C"),1,0)</f>
        <v>0</v>
      </c>
    </row>
    <row r="2956" customFormat="false" ht="15" hidden="false" customHeight="false" outlineLevel="0" collapsed="false">
      <c r="A2956" s="0" t="s">
        <v>2229</v>
      </c>
      <c r="B2956" s="0" t="s">
        <v>583</v>
      </c>
      <c r="C2956" s="0" t="s">
        <v>584</v>
      </c>
      <c r="D2956" s="0" t="n">
        <v>12</v>
      </c>
      <c r="E2956" s="6" t="n">
        <v>40828.5006944445</v>
      </c>
      <c r="F2956" s="0" t="n">
        <v>1.45</v>
      </c>
      <c r="G2956" s="0" t="n">
        <v>12709</v>
      </c>
      <c r="H2956" s="0" t="s">
        <v>33</v>
      </c>
      <c r="I2956" s="7" t="n">
        <f aca="false">IF(AND(LEFT(A2956,1)&lt;&gt;"C",D2956&gt;0,F2956&gt;0),1,0)</f>
        <v>1</v>
      </c>
      <c r="J2956" s="7" t="n">
        <f aca="false">IF(I2956=1,D2956*F2956,0)</f>
        <v>17.4</v>
      </c>
      <c r="K2956" s="7" t="n">
        <f aca="false">YEAR(E2956)*100+MONTH(E2956)</f>
        <v>201110</v>
      </c>
      <c r="L2956" s="7" t="n">
        <f aca="false">IF(AND(A2956&lt;&gt;A2955,LEFT(A2956,1)&lt;&gt;"C"),1,0)</f>
        <v>0</v>
      </c>
    </row>
    <row r="2957" customFormat="false" ht="15" hidden="false" customHeight="false" outlineLevel="0" collapsed="false">
      <c r="A2957" s="0" t="s">
        <v>2229</v>
      </c>
      <c r="B2957" s="0" t="s">
        <v>140</v>
      </c>
      <c r="C2957" s="0" t="s">
        <v>141</v>
      </c>
      <c r="D2957" s="0" t="n">
        <v>12</v>
      </c>
      <c r="E2957" s="6" t="n">
        <v>40828.5006944445</v>
      </c>
      <c r="F2957" s="0" t="n">
        <v>1.45</v>
      </c>
      <c r="G2957" s="0" t="n">
        <v>12709</v>
      </c>
      <c r="H2957" s="0" t="s">
        <v>33</v>
      </c>
      <c r="I2957" s="7" t="n">
        <f aca="false">IF(AND(LEFT(A2957,1)&lt;&gt;"C",D2957&gt;0,F2957&gt;0),1,0)</f>
        <v>1</v>
      </c>
      <c r="J2957" s="7" t="n">
        <f aca="false">IF(I2957=1,D2957*F2957,0)</f>
        <v>17.4</v>
      </c>
      <c r="K2957" s="7" t="n">
        <f aca="false">YEAR(E2957)*100+MONTH(E2957)</f>
        <v>201110</v>
      </c>
      <c r="L2957" s="7" t="n">
        <f aca="false">IF(AND(A2957&lt;&gt;A2956,LEFT(A2957,1)&lt;&gt;"C"),1,0)</f>
        <v>0</v>
      </c>
    </row>
    <row r="2958" customFormat="false" ht="15" hidden="false" customHeight="false" outlineLevel="0" collapsed="false">
      <c r="A2958" s="0" t="s">
        <v>2229</v>
      </c>
      <c r="B2958" s="0" t="s">
        <v>308</v>
      </c>
      <c r="C2958" s="0" t="s">
        <v>309</v>
      </c>
      <c r="D2958" s="0" t="n">
        <v>20</v>
      </c>
      <c r="E2958" s="6" t="n">
        <v>40828.5006944445</v>
      </c>
      <c r="F2958" s="0" t="n">
        <v>1.25</v>
      </c>
      <c r="G2958" s="0" t="n">
        <v>12709</v>
      </c>
      <c r="H2958" s="0" t="s">
        <v>33</v>
      </c>
      <c r="I2958" s="7" t="n">
        <f aca="false">IF(AND(LEFT(A2958,1)&lt;&gt;"C",D2958&gt;0,F2958&gt;0),1,0)</f>
        <v>1</v>
      </c>
      <c r="J2958" s="7" t="n">
        <f aca="false">IF(I2958=1,D2958*F2958,0)</f>
        <v>25</v>
      </c>
      <c r="K2958" s="7" t="n">
        <f aca="false">YEAR(E2958)*100+MONTH(E2958)</f>
        <v>201110</v>
      </c>
      <c r="L2958" s="7" t="n">
        <f aca="false">IF(AND(A2958&lt;&gt;A2957,LEFT(A2958,1)&lt;&gt;"C"),1,0)</f>
        <v>0</v>
      </c>
    </row>
    <row r="2959" customFormat="false" ht="15" hidden="false" customHeight="false" outlineLevel="0" collapsed="false">
      <c r="A2959" s="0" t="s">
        <v>2229</v>
      </c>
      <c r="B2959" s="0" t="s">
        <v>197</v>
      </c>
      <c r="C2959" s="0" t="s">
        <v>198</v>
      </c>
      <c r="D2959" s="0" t="n">
        <v>20</v>
      </c>
      <c r="E2959" s="6" t="n">
        <v>40828.5006944445</v>
      </c>
      <c r="F2959" s="0" t="n">
        <v>0.85</v>
      </c>
      <c r="G2959" s="0" t="n">
        <v>12709</v>
      </c>
      <c r="H2959" s="0" t="s">
        <v>33</v>
      </c>
      <c r="I2959" s="7" t="n">
        <f aca="false">IF(AND(LEFT(A2959,1)&lt;&gt;"C",D2959&gt;0,F2959&gt;0),1,0)</f>
        <v>1</v>
      </c>
      <c r="J2959" s="7" t="n">
        <f aca="false">IF(I2959=1,D2959*F2959,0)</f>
        <v>17</v>
      </c>
      <c r="K2959" s="7" t="n">
        <f aca="false">YEAR(E2959)*100+MONTH(E2959)</f>
        <v>201110</v>
      </c>
      <c r="L2959" s="7" t="n">
        <f aca="false">IF(AND(A2959&lt;&gt;A2958,LEFT(A2959,1)&lt;&gt;"C"),1,0)</f>
        <v>0</v>
      </c>
    </row>
    <row r="2960" customFormat="false" ht="15" hidden="false" customHeight="false" outlineLevel="0" collapsed="false">
      <c r="A2960" s="0" t="s">
        <v>2229</v>
      </c>
      <c r="B2960" s="0" t="s">
        <v>193</v>
      </c>
      <c r="C2960" s="0" t="s">
        <v>194</v>
      </c>
      <c r="D2960" s="0" t="n">
        <v>30</v>
      </c>
      <c r="E2960" s="6" t="n">
        <v>40828.5006944445</v>
      </c>
      <c r="F2960" s="0" t="n">
        <v>0.65</v>
      </c>
      <c r="G2960" s="0" t="n">
        <v>12709</v>
      </c>
      <c r="H2960" s="0" t="s">
        <v>33</v>
      </c>
      <c r="I2960" s="7" t="n">
        <f aca="false">IF(AND(LEFT(A2960,1)&lt;&gt;"C",D2960&gt;0,F2960&gt;0),1,0)</f>
        <v>1</v>
      </c>
      <c r="J2960" s="7" t="n">
        <f aca="false">IF(I2960=1,D2960*F2960,0)</f>
        <v>19.5</v>
      </c>
      <c r="K2960" s="7" t="n">
        <f aca="false">YEAR(E2960)*100+MONTH(E2960)</f>
        <v>201110</v>
      </c>
      <c r="L2960" s="7" t="n">
        <f aca="false">IF(AND(A2960&lt;&gt;A2959,LEFT(A2960,1)&lt;&gt;"C"),1,0)</f>
        <v>0</v>
      </c>
    </row>
    <row r="2961" customFormat="false" ht="15" hidden="false" customHeight="false" outlineLevel="0" collapsed="false">
      <c r="A2961" s="0" t="s">
        <v>2229</v>
      </c>
      <c r="B2961" s="0" t="s">
        <v>151</v>
      </c>
      <c r="C2961" s="0" t="s">
        <v>152</v>
      </c>
      <c r="D2961" s="0" t="n">
        <v>20</v>
      </c>
      <c r="E2961" s="6" t="n">
        <v>40828.5006944445</v>
      </c>
      <c r="F2961" s="0" t="n">
        <v>0.85</v>
      </c>
      <c r="G2961" s="0" t="n">
        <v>12709</v>
      </c>
      <c r="H2961" s="0" t="s">
        <v>33</v>
      </c>
      <c r="I2961" s="7" t="n">
        <f aca="false">IF(AND(LEFT(A2961,1)&lt;&gt;"C",D2961&gt;0,F2961&gt;0),1,0)</f>
        <v>1</v>
      </c>
      <c r="J2961" s="7" t="n">
        <f aca="false">IF(I2961=1,D2961*F2961,0)</f>
        <v>17</v>
      </c>
      <c r="K2961" s="7" t="n">
        <f aca="false">YEAR(E2961)*100+MONTH(E2961)</f>
        <v>201110</v>
      </c>
      <c r="L2961" s="7" t="n">
        <f aca="false">IF(AND(A2961&lt;&gt;A2960,LEFT(A2961,1)&lt;&gt;"C"),1,0)</f>
        <v>0</v>
      </c>
    </row>
    <row r="2962" customFormat="false" ht="15" hidden="false" customHeight="false" outlineLevel="0" collapsed="false">
      <c r="A2962" s="0" t="s">
        <v>2229</v>
      </c>
      <c r="B2962" s="0" t="s">
        <v>217</v>
      </c>
      <c r="C2962" s="0" t="s">
        <v>218</v>
      </c>
      <c r="D2962" s="0" t="n">
        <v>24</v>
      </c>
      <c r="E2962" s="6" t="n">
        <v>40828.5006944445</v>
      </c>
      <c r="F2962" s="0" t="n">
        <v>0.55</v>
      </c>
      <c r="G2962" s="0" t="n">
        <v>12709</v>
      </c>
      <c r="H2962" s="0" t="s">
        <v>33</v>
      </c>
      <c r="I2962" s="7" t="n">
        <f aca="false">IF(AND(LEFT(A2962,1)&lt;&gt;"C",D2962&gt;0,F2962&gt;0),1,0)</f>
        <v>1</v>
      </c>
      <c r="J2962" s="7" t="n">
        <f aca="false">IF(I2962=1,D2962*F2962,0)</f>
        <v>13.2</v>
      </c>
      <c r="K2962" s="7" t="n">
        <f aca="false">YEAR(E2962)*100+MONTH(E2962)</f>
        <v>201110</v>
      </c>
      <c r="L2962" s="7" t="n">
        <f aca="false">IF(AND(A2962&lt;&gt;A2961,LEFT(A2962,1)&lt;&gt;"C"),1,0)</f>
        <v>0</v>
      </c>
    </row>
    <row r="2963" customFormat="false" ht="15" hidden="false" customHeight="false" outlineLevel="0" collapsed="false">
      <c r="A2963" s="0" t="s">
        <v>2229</v>
      </c>
      <c r="B2963" s="0" t="s">
        <v>750</v>
      </c>
      <c r="C2963" s="0" t="s">
        <v>751</v>
      </c>
      <c r="D2963" s="0" t="n">
        <v>24</v>
      </c>
      <c r="E2963" s="6" t="n">
        <v>40828.5006944445</v>
      </c>
      <c r="F2963" s="0" t="n">
        <v>1.69</v>
      </c>
      <c r="G2963" s="0" t="n">
        <v>12709</v>
      </c>
      <c r="H2963" s="0" t="s">
        <v>33</v>
      </c>
      <c r="I2963" s="7" t="n">
        <f aca="false">IF(AND(LEFT(A2963,1)&lt;&gt;"C",D2963&gt;0,F2963&gt;0),1,0)</f>
        <v>1</v>
      </c>
      <c r="J2963" s="7" t="n">
        <f aca="false">IF(I2963=1,D2963*F2963,0)</f>
        <v>40.56</v>
      </c>
      <c r="K2963" s="7" t="n">
        <f aca="false">YEAR(E2963)*100+MONTH(E2963)</f>
        <v>201110</v>
      </c>
      <c r="L2963" s="7" t="n">
        <f aca="false">IF(AND(A2963&lt;&gt;A2962,LEFT(A2963,1)&lt;&gt;"C"),1,0)</f>
        <v>0</v>
      </c>
    </row>
    <row r="2964" customFormat="false" ht="15" hidden="false" customHeight="false" outlineLevel="0" collapsed="false">
      <c r="A2964" s="0" t="s">
        <v>2229</v>
      </c>
      <c r="B2964" s="0" t="s">
        <v>1429</v>
      </c>
      <c r="C2964" s="0" t="s">
        <v>1430</v>
      </c>
      <c r="D2964" s="0" t="n">
        <v>24</v>
      </c>
      <c r="E2964" s="6" t="n">
        <v>40828.5006944445</v>
      </c>
      <c r="F2964" s="0" t="n">
        <v>1.69</v>
      </c>
      <c r="G2964" s="0" t="n">
        <v>12709</v>
      </c>
      <c r="H2964" s="0" t="s">
        <v>33</v>
      </c>
      <c r="I2964" s="7" t="n">
        <f aca="false">IF(AND(LEFT(A2964,1)&lt;&gt;"C",D2964&gt;0,F2964&gt;0),1,0)</f>
        <v>1</v>
      </c>
      <c r="J2964" s="7" t="n">
        <f aca="false">IF(I2964=1,D2964*F2964,0)</f>
        <v>40.56</v>
      </c>
      <c r="K2964" s="7" t="n">
        <f aca="false">YEAR(E2964)*100+MONTH(E2964)</f>
        <v>201110</v>
      </c>
      <c r="L2964" s="7" t="n">
        <f aca="false">IF(AND(A2964&lt;&gt;A2963,LEFT(A2964,1)&lt;&gt;"C"),1,0)</f>
        <v>0</v>
      </c>
    </row>
    <row r="2965" customFormat="false" ht="15" hidden="false" customHeight="false" outlineLevel="0" collapsed="false">
      <c r="A2965" s="0" t="s">
        <v>2229</v>
      </c>
      <c r="B2965" s="0" t="s">
        <v>1338</v>
      </c>
      <c r="C2965" s="0" t="s">
        <v>1339</v>
      </c>
      <c r="D2965" s="0" t="n">
        <v>12</v>
      </c>
      <c r="E2965" s="6" t="n">
        <v>40828.5006944445</v>
      </c>
      <c r="F2965" s="0" t="n">
        <v>2.95</v>
      </c>
      <c r="G2965" s="0" t="n">
        <v>12709</v>
      </c>
      <c r="H2965" s="0" t="s">
        <v>33</v>
      </c>
      <c r="I2965" s="7" t="n">
        <f aca="false">IF(AND(LEFT(A2965,1)&lt;&gt;"C",D2965&gt;0,F2965&gt;0),1,0)</f>
        <v>1</v>
      </c>
      <c r="J2965" s="7" t="n">
        <f aca="false">IF(I2965=1,D2965*F2965,0)</f>
        <v>35.4</v>
      </c>
      <c r="K2965" s="7" t="n">
        <f aca="false">YEAR(E2965)*100+MONTH(E2965)</f>
        <v>201110</v>
      </c>
      <c r="L2965" s="7" t="n">
        <f aca="false">IF(AND(A2965&lt;&gt;A2964,LEFT(A2965,1)&lt;&gt;"C"),1,0)</f>
        <v>0</v>
      </c>
    </row>
    <row r="2966" customFormat="false" ht="15" hidden="false" customHeight="false" outlineLevel="0" collapsed="false">
      <c r="A2966" s="0" t="s">
        <v>2229</v>
      </c>
      <c r="B2966" s="0" t="s">
        <v>107</v>
      </c>
      <c r="C2966" s="0" t="s">
        <v>108</v>
      </c>
      <c r="D2966" s="0" t="n">
        <v>20</v>
      </c>
      <c r="E2966" s="6" t="n">
        <v>40828.5006944445</v>
      </c>
      <c r="F2966" s="0" t="n">
        <v>2.55</v>
      </c>
      <c r="G2966" s="0" t="n">
        <v>12709</v>
      </c>
      <c r="H2966" s="0" t="s">
        <v>33</v>
      </c>
      <c r="I2966" s="7" t="n">
        <f aca="false">IF(AND(LEFT(A2966,1)&lt;&gt;"C",D2966&gt;0,F2966&gt;0),1,0)</f>
        <v>1</v>
      </c>
      <c r="J2966" s="7" t="n">
        <f aca="false">IF(I2966=1,D2966*F2966,0)</f>
        <v>51</v>
      </c>
      <c r="K2966" s="7" t="n">
        <f aca="false">YEAR(E2966)*100+MONTH(E2966)</f>
        <v>201110</v>
      </c>
      <c r="L2966" s="7" t="n">
        <f aca="false">IF(AND(A2966&lt;&gt;A2965,LEFT(A2966,1)&lt;&gt;"C"),1,0)</f>
        <v>0</v>
      </c>
    </row>
    <row r="2967" customFormat="false" ht="15" hidden="false" customHeight="false" outlineLevel="0" collapsed="false">
      <c r="A2967" s="0" t="s">
        <v>2232</v>
      </c>
      <c r="B2967" s="0" t="s">
        <v>84</v>
      </c>
      <c r="C2967" s="0" t="s">
        <v>85</v>
      </c>
      <c r="D2967" s="0" t="n">
        <v>2</v>
      </c>
      <c r="E2967" s="6" t="n">
        <v>40828.5208333333</v>
      </c>
      <c r="F2967" s="0" t="n">
        <v>18</v>
      </c>
      <c r="G2967" s="0" t="n">
        <v>12679</v>
      </c>
      <c r="H2967" s="0" t="s">
        <v>43</v>
      </c>
      <c r="I2967" s="7" t="n">
        <f aca="false">IF(AND(LEFT(A2967,1)&lt;&gt;"C",D2967&gt;0,F2967&gt;0),1,0)</f>
        <v>1</v>
      </c>
      <c r="J2967" s="7" t="n">
        <f aca="false">IF(I2967=1,D2967*F2967,0)</f>
        <v>36</v>
      </c>
      <c r="K2967" s="7" t="n">
        <f aca="false">YEAR(E2967)*100+MONTH(E2967)</f>
        <v>201110</v>
      </c>
      <c r="L2967" s="7" t="n">
        <f aca="false">IF(AND(A2967&lt;&gt;A2966,LEFT(A2967,1)&lt;&gt;"C"),1,0)</f>
        <v>1</v>
      </c>
    </row>
    <row r="2968" customFormat="false" ht="15" hidden="false" customHeight="false" outlineLevel="0" collapsed="false">
      <c r="A2968" s="0" t="s">
        <v>2232</v>
      </c>
      <c r="B2968" s="0" t="s">
        <v>144</v>
      </c>
      <c r="C2968" s="0" t="s">
        <v>145</v>
      </c>
      <c r="D2968" s="0" t="n">
        <v>72</v>
      </c>
      <c r="E2968" s="6" t="n">
        <v>40828.5208333333</v>
      </c>
      <c r="F2968" s="0" t="n">
        <v>1.06</v>
      </c>
      <c r="G2968" s="0" t="n">
        <v>12679</v>
      </c>
      <c r="H2968" s="0" t="s">
        <v>43</v>
      </c>
      <c r="I2968" s="7" t="n">
        <f aca="false">IF(AND(LEFT(A2968,1)&lt;&gt;"C",D2968&gt;0,F2968&gt;0),1,0)</f>
        <v>1</v>
      </c>
      <c r="J2968" s="7" t="n">
        <f aca="false">IF(I2968=1,D2968*F2968,0)</f>
        <v>76.32</v>
      </c>
      <c r="K2968" s="7" t="n">
        <f aca="false">YEAR(E2968)*100+MONTH(E2968)</f>
        <v>201110</v>
      </c>
      <c r="L2968" s="7" t="n">
        <f aca="false">IF(AND(A2968&lt;&gt;A2967,LEFT(A2968,1)&lt;&gt;"C"),1,0)</f>
        <v>0</v>
      </c>
    </row>
    <row r="2969" customFormat="false" ht="15" hidden="false" customHeight="false" outlineLevel="0" collapsed="false">
      <c r="A2969" s="0" t="s">
        <v>2233</v>
      </c>
      <c r="B2969" s="0" t="s">
        <v>89</v>
      </c>
      <c r="C2969" s="0" t="s">
        <v>90</v>
      </c>
      <c r="D2969" s="0" t="n">
        <v>24</v>
      </c>
      <c r="E2969" s="6" t="n">
        <v>40828.5375</v>
      </c>
      <c r="F2969" s="0" t="n">
        <v>4.15</v>
      </c>
      <c r="G2969" s="0" t="n">
        <v>12691</v>
      </c>
      <c r="H2969" s="0" t="s">
        <v>43</v>
      </c>
      <c r="I2969" s="7" t="n">
        <f aca="false">IF(AND(LEFT(A2969,1)&lt;&gt;"C",D2969&gt;0,F2969&gt;0),1,0)</f>
        <v>1</v>
      </c>
      <c r="J2969" s="7" t="n">
        <f aca="false">IF(I2969=1,D2969*F2969,0)</f>
        <v>99.6</v>
      </c>
      <c r="K2969" s="7" t="n">
        <f aca="false">YEAR(E2969)*100+MONTH(E2969)</f>
        <v>201110</v>
      </c>
      <c r="L2969" s="7" t="n">
        <f aca="false">IF(AND(A2969&lt;&gt;A2968,LEFT(A2969,1)&lt;&gt;"C"),1,0)</f>
        <v>1</v>
      </c>
    </row>
    <row r="2970" customFormat="false" ht="15" hidden="false" customHeight="false" outlineLevel="0" collapsed="false">
      <c r="A2970" s="0" t="s">
        <v>2233</v>
      </c>
      <c r="B2970" s="0" t="s">
        <v>93</v>
      </c>
      <c r="C2970" s="0" t="s">
        <v>94</v>
      </c>
      <c r="D2970" s="0" t="n">
        <v>24</v>
      </c>
      <c r="E2970" s="6" t="n">
        <v>40828.5375</v>
      </c>
      <c r="F2970" s="0" t="n">
        <v>4.15</v>
      </c>
      <c r="G2970" s="0" t="n">
        <v>12691</v>
      </c>
      <c r="H2970" s="0" t="s">
        <v>43</v>
      </c>
      <c r="I2970" s="7" t="n">
        <f aca="false">IF(AND(LEFT(A2970,1)&lt;&gt;"C",D2970&gt;0,F2970&gt;0),1,0)</f>
        <v>1</v>
      </c>
      <c r="J2970" s="7" t="n">
        <f aca="false">IF(I2970=1,D2970*F2970,0)</f>
        <v>99.6</v>
      </c>
      <c r="K2970" s="7" t="n">
        <f aca="false">YEAR(E2970)*100+MONTH(E2970)</f>
        <v>201110</v>
      </c>
      <c r="L2970" s="7" t="n">
        <f aca="false">IF(AND(A2970&lt;&gt;A2969,LEFT(A2970,1)&lt;&gt;"C"),1,0)</f>
        <v>0</v>
      </c>
    </row>
    <row r="2971" customFormat="false" ht="15" hidden="false" customHeight="false" outlineLevel="0" collapsed="false">
      <c r="A2971" s="0" t="s">
        <v>2233</v>
      </c>
      <c r="B2971" s="0" t="s">
        <v>107</v>
      </c>
      <c r="C2971" s="0" t="s">
        <v>108</v>
      </c>
      <c r="D2971" s="0" t="n">
        <v>12</v>
      </c>
      <c r="E2971" s="6" t="n">
        <v>40828.5375</v>
      </c>
      <c r="F2971" s="0" t="n">
        <v>2.55</v>
      </c>
      <c r="G2971" s="0" t="n">
        <v>12691</v>
      </c>
      <c r="H2971" s="0" t="s">
        <v>43</v>
      </c>
      <c r="I2971" s="7" t="n">
        <f aca="false">IF(AND(LEFT(A2971,1)&lt;&gt;"C",D2971&gt;0,F2971&gt;0),1,0)</f>
        <v>1</v>
      </c>
      <c r="J2971" s="7" t="n">
        <f aca="false">IF(I2971=1,D2971*F2971,0)</f>
        <v>30.6</v>
      </c>
      <c r="K2971" s="7" t="n">
        <f aca="false">YEAR(E2971)*100+MONTH(E2971)</f>
        <v>201110</v>
      </c>
      <c r="L2971" s="7" t="n">
        <f aca="false">IF(AND(A2971&lt;&gt;A2970,LEFT(A2971,1)&lt;&gt;"C"),1,0)</f>
        <v>0</v>
      </c>
    </row>
    <row r="2972" customFormat="false" ht="15" hidden="false" customHeight="false" outlineLevel="0" collapsed="false">
      <c r="A2972" s="0" t="s">
        <v>2233</v>
      </c>
      <c r="B2972" s="0" t="s">
        <v>60</v>
      </c>
      <c r="C2972" s="0" t="s">
        <v>61</v>
      </c>
      <c r="D2972" s="0" t="n">
        <v>6</v>
      </c>
      <c r="E2972" s="6" t="n">
        <v>40828.5375</v>
      </c>
      <c r="F2972" s="0" t="n">
        <v>2.55</v>
      </c>
      <c r="G2972" s="0" t="n">
        <v>12691</v>
      </c>
      <c r="H2972" s="0" t="s">
        <v>43</v>
      </c>
      <c r="I2972" s="7" t="n">
        <f aca="false">IF(AND(LEFT(A2972,1)&lt;&gt;"C",D2972&gt;0,F2972&gt;0),1,0)</f>
        <v>1</v>
      </c>
      <c r="J2972" s="7" t="n">
        <f aca="false">IF(I2972=1,D2972*F2972,0)</f>
        <v>15.3</v>
      </c>
      <c r="K2972" s="7" t="n">
        <f aca="false">YEAR(E2972)*100+MONTH(E2972)</f>
        <v>201110</v>
      </c>
      <c r="L2972" s="7" t="n">
        <f aca="false">IF(AND(A2972&lt;&gt;A2971,LEFT(A2972,1)&lt;&gt;"C"),1,0)</f>
        <v>0</v>
      </c>
    </row>
    <row r="2973" customFormat="false" ht="15" hidden="false" customHeight="false" outlineLevel="0" collapsed="false">
      <c r="A2973" s="0" t="s">
        <v>2233</v>
      </c>
      <c r="B2973" s="0" t="s">
        <v>177</v>
      </c>
      <c r="C2973" s="0" t="s">
        <v>178</v>
      </c>
      <c r="D2973" s="0" t="n">
        <v>8</v>
      </c>
      <c r="E2973" s="6" t="n">
        <v>40828.5375</v>
      </c>
      <c r="F2973" s="0" t="n">
        <v>1.25</v>
      </c>
      <c r="G2973" s="0" t="n">
        <v>12691</v>
      </c>
      <c r="H2973" s="0" t="s">
        <v>43</v>
      </c>
      <c r="I2973" s="7" t="n">
        <f aca="false">IF(AND(LEFT(A2973,1)&lt;&gt;"C",D2973&gt;0,F2973&gt;0),1,0)</f>
        <v>1</v>
      </c>
      <c r="J2973" s="7" t="n">
        <f aca="false">IF(I2973=1,D2973*F2973,0)</f>
        <v>10</v>
      </c>
      <c r="K2973" s="7" t="n">
        <f aca="false">YEAR(E2973)*100+MONTH(E2973)</f>
        <v>201110</v>
      </c>
      <c r="L2973" s="7" t="n">
        <f aca="false">IF(AND(A2973&lt;&gt;A2972,LEFT(A2973,1)&lt;&gt;"C"),1,0)</f>
        <v>0</v>
      </c>
    </row>
    <row r="2974" customFormat="false" ht="15" hidden="false" customHeight="false" outlineLevel="0" collapsed="false">
      <c r="A2974" s="0" t="s">
        <v>2233</v>
      </c>
      <c r="B2974" s="0" t="s">
        <v>171</v>
      </c>
      <c r="C2974" s="0" t="s">
        <v>172</v>
      </c>
      <c r="D2974" s="0" t="n">
        <v>8</v>
      </c>
      <c r="E2974" s="6" t="n">
        <v>40828.5375</v>
      </c>
      <c r="F2974" s="0" t="n">
        <v>1.25</v>
      </c>
      <c r="G2974" s="0" t="n">
        <v>12691</v>
      </c>
      <c r="H2974" s="0" t="s">
        <v>43</v>
      </c>
      <c r="I2974" s="7" t="n">
        <f aca="false">IF(AND(LEFT(A2974,1)&lt;&gt;"C",D2974&gt;0,F2974&gt;0),1,0)</f>
        <v>1</v>
      </c>
      <c r="J2974" s="7" t="n">
        <f aca="false">IF(I2974=1,D2974*F2974,0)</f>
        <v>10</v>
      </c>
      <c r="K2974" s="7" t="n">
        <f aca="false">YEAR(E2974)*100+MONTH(E2974)</f>
        <v>201110</v>
      </c>
      <c r="L2974" s="7" t="n">
        <f aca="false">IF(AND(A2974&lt;&gt;A2973,LEFT(A2974,1)&lt;&gt;"C"),1,0)</f>
        <v>0</v>
      </c>
    </row>
    <row r="2975" customFormat="false" ht="15" hidden="false" customHeight="false" outlineLevel="0" collapsed="false">
      <c r="A2975" s="0" t="s">
        <v>2233</v>
      </c>
      <c r="B2975" s="0" t="s">
        <v>175</v>
      </c>
      <c r="C2975" s="0" t="s">
        <v>176</v>
      </c>
      <c r="D2975" s="0" t="n">
        <v>8</v>
      </c>
      <c r="E2975" s="6" t="n">
        <v>40828.5375</v>
      </c>
      <c r="F2975" s="0" t="n">
        <v>1.25</v>
      </c>
      <c r="G2975" s="0" t="n">
        <v>12691</v>
      </c>
      <c r="H2975" s="0" t="s">
        <v>43</v>
      </c>
      <c r="I2975" s="7" t="n">
        <f aca="false">IF(AND(LEFT(A2975,1)&lt;&gt;"C",D2975&gt;0,F2975&gt;0),1,0)</f>
        <v>1</v>
      </c>
      <c r="J2975" s="7" t="n">
        <f aca="false">IF(I2975=1,D2975*F2975,0)</f>
        <v>10</v>
      </c>
      <c r="K2975" s="7" t="n">
        <f aca="false">YEAR(E2975)*100+MONTH(E2975)</f>
        <v>201110</v>
      </c>
      <c r="L2975" s="7" t="n">
        <f aca="false">IF(AND(A2975&lt;&gt;A2974,LEFT(A2975,1)&lt;&gt;"C"),1,0)</f>
        <v>0</v>
      </c>
    </row>
    <row r="2976" customFormat="false" ht="15" hidden="false" customHeight="false" outlineLevel="0" collapsed="false">
      <c r="A2976" s="0" t="s">
        <v>2233</v>
      </c>
      <c r="B2976" s="0" t="s">
        <v>173</v>
      </c>
      <c r="C2976" s="0" t="s">
        <v>174</v>
      </c>
      <c r="D2976" s="0" t="n">
        <v>8</v>
      </c>
      <c r="E2976" s="6" t="n">
        <v>40828.5375</v>
      </c>
      <c r="F2976" s="0" t="n">
        <v>1.25</v>
      </c>
      <c r="G2976" s="0" t="n">
        <v>12691</v>
      </c>
      <c r="H2976" s="0" t="s">
        <v>43</v>
      </c>
      <c r="I2976" s="7" t="n">
        <f aca="false">IF(AND(LEFT(A2976,1)&lt;&gt;"C",D2976&gt;0,F2976&gt;0),1,0)</f>
        <v>1</v>
      </c>
      <c r="J2976" s="7" t="n">
        <f aca="false">IF(I2976=1,D2976*F2976,0)</f>
        <v>10</v>
      </c>
      <c r="K2976" s="7" t="n">
        <f aca="false">YEAR(E2976)*100+MONTH(E2976)</f>
        <v>201110</v>
      </c>
      <c r="L2976" s="7" t="n">
        <f aca="false">IF(AND(A2976&lt;&gt;A2975,LEFT(A2976,1)&lt;&gt;"C"),1,0)</f>
        <v>0</v>
      </c>
    </row>
    <row r="2977" customFormat="false" ht="15" hidden="false" customHeight="false" outlineLevel="0" collapsed="false">
      <c r="A2977" s="0" t="s">
        <v>2233</v>
      </c>
      <c r="B2977" s="0" t="s">
        <v>84</v>
      </c>
      <c r="C2977" s="0" t="s">
        <v>85</v>
      </c>
      <c r="D2977" s="0" t="n">
        <v>1</v>
      </c>
      <c r="E2977" s="6" t="n">
        <v>40828.5375</v>
      </c>
      <c r="F2977" s="0" t="n">
        <v>18</v>
      </c>
      <c r="G2977" s="0" t="n">
        <v>12691</v>
      </c>
      <c r="H2977" s="0" t="s">
        <v>43</v>
      </c>
      <c r="I2977" s="7" t="n">
        <f aca="false">IF(AND(LEFT(A2977,1)&lt;&gt;"C",D2977&gt;0,F2977&gt;0),1,0)</f>
        <v>1</v>
      </c>
      <c r="J2977" s="7" t="n">
        <f aca="false">IF(I2977=1,D2977*F2977,0)</f>
        <v>18</v>
      </c>
      <c r="K2977" s="7" t="n">
        <f aca="false">YEAR(E2977)*100+MONTH(E2977)</f>
        <v>201110</v>
      </c>
      <c r="L2977" s="7" t="n">
        <f aca="false">IF(AND(A2977&lt;&gt;A2976,LEFT(A2977,1)&lt;&gt;"C"),1,0)</f>
        <v>0</v>
      </c>
    </row>
    <row r="2978" customFormat="false" ht="15" hidden="false" customHeight="false" outlineLevel="0" collapsed="false">
      <c r="A2978" s="0" t="s">
        <v>2234</v>
      </c>
      <c r="B2978" s="0" t="s">
        <v>679</v>
      </c>
      <c r="C2978" s="0" t="s">
        <v>680</v>
      </c>
      <c r="D2978" s="0" t="n">
        <v>6</v>
      </c>
      <c r="E2978" s="6" t="n">
        <v>40828.5958333333</v>
      </c>
      <c r="F2978" s="0" t="n">
        <v>2.1</v>
      </c>
      <c r="G2978" s="0" t="n">
        <v>12553</v>
      </c>
      <c r="H2978" s="0" t="s">
        <v>43</v>
      </c>
      <c r="I2978" s="7" t="n">
        <f aca="false">IF(AND(LEFT(A2978,1)&lt;&gt;"C",D2978&gt;0,F2978&gt;0),1,0)</f>
        <v>1</v>
      </c>
      <c r="J2978" s="7" t="n">
        <f aca="false">IF(I2978=1,D2978*F2978,0)</f>
        <v>12.6</v>
      </c>
      <c r="K2978" s="7" t="n">
        <f aca="false">YEAR(E2978)*100+MONTH(E2978)</f>
        <v>201110</v>
      </c>
      <c r="L2978" s="7" t="n">
        <f aca="false">IF(AND(A2978&lt;&gt;A2977,LEFT(A2978,1)&lt;&gt;"C"),1,0)</f>
        <v>1</v>
      </c>
    </row>
    <row r="2979" customFormat="false" ht="15" hidden="false" customHeight="false" outlineLevel="0" collapsed="false">
      <c r="A2979" s="0" t="s">
        <v>2234</v>
      </c>
      <c r="B2979" s="0" t="s">
        <v>1090</v>
      </c>
      <c r="C2979" s="0" t="s">
        <v>1091</v>
      </c>
      <c r="D2979" s="0" t="n">
        <v>10</v>
      </c>
      <c r="E2979" s="6" t="n">
        <v>40828.5958333333</v>
      </c>
      <c r="F2979" s="0" t="n">
        <v>0.85</v>
      </c>
      <c r="G2979" s="0" t="n">
        <v>12553</v>
      </c>
      <c r="H2979" s="0" t="s">
        <v>43</v>
      </c>
      <c r="I2979" s="7" t="n">
        <f aca="false">IF(AND(LEFT(A2979,1)&lt;&gt;"C",D2979&gt;0,F2979&gt;0),1,0)</f>
        <v>1</v>
      </c>
      <c r="J2979" s="7" t="n">
        <f aca="false">IF(I2979=1,D2979*F2979,0)</f>
        <v>8.5</v>
      </c>
      <c r="K2979" s="7" t="n">
        <f aca="false">YEAR(E2979)*100+MONTH(E2979)</f>
        <v>201110</v>
      </c>
      <c r="L2979" s="7" t="n">
        <f aca="false">IF(AND(A2979&lt;&gt;A2978,LEFT(A2979,1)&lt;&gt;"C"),1,0)</f>
        <v>0</v>
      </c>
    </row>
    <row r="2980" customFormat="false" ht="15" hidden="false" customHeight="false" outlineLevel="0" collapsed="false">
      <c r="A2980" s="0" t="s">
        <v>2234</v>
      </c>
      <c r="B2980" s="0" t="s">
        <v>667</v>
      </c>
      <c r="C2980" s="0" t="s">
        <v>668</v>
      </c>
      <c r="D2980" s="0" t="n">
        <v>10</v>
      </c>
      <c r="E2980" s="6" t="n">
        <v>40828.5958333333</v>
      </c>
      <c r="F2980" s="0" t="n">
        <v>0.85</v>
      </c>
      <c r="G2980" s="0" t="n">
        <v>12553</v>
      </c>
      <c r="H2980" s="0" t="s">
        <v>43</v>
      </c>
      <c r="I2980" s="7" t="n">
        <f aca="false">IF(AND(LEFT(A2980,1)&lt;&gt;"C",D2980&gt;0,F2980&gt;0),1,0)</f>
        <v>1</v>
      </c>
      <c r="J2980" s="7" t="n">
        <f aca="false">IF(I2980=1,D2980*F2980,0)</f>
        <v>8.5</v>
      </c>
      <c r="K2980" s="7" t="n">
        <f aca="false">YEAR(E2980)*100+MONTH(E2980)</f>
        <v>201110</v>
      </c>
      <c r="L2980" s="7" t="n">
        <f aca="false">IF(AND(A2980&lt;&gt;A2979,LEFT(A2980,1)&lt;&gt;"C"),1,0)</f>
        <v>0</v>
      </c>
    </row>
    <row r="2981" customFormat="false" ht="15" hidden="false" customHeight="false" outlineLevel="0" collapsed="false">
      <c r="A2981" s="0" t="s">
        <v>2234</v>
      </c>
      <c r="B2981" s="0" t="s">
        <v>2235</v>
      </c>
      <c r="C2981" s="0" t="s">
        <v>2236</v>
      </c>
      <c r="D2981" s="0" t="n">
        <v>10</v>
      </c>
      <c r="E2981" s="6" t="n">
        <v>40828.5958333333</v>
      </c>
      <c r="F2981" s="0" t="n">
        <v>2.08</v>
      </c>
      <c r="G2981" s="0" t="n">
        <v>12553</v>
      </c>
      <c r="H2981" s="0" t="s">
        <v>43</v>
      </c>
      <c r="I2981" s="7" t="n">
        <f aca="false">IF(AND(LEFT(A2981,1)&lt;&gt;"C",D2981&gt;0,F2981&gt;0),1,0)</f>
        <v>1</v>
      </c>
      <c r="J2981" s="7" t="n">
        <f aca="false">IF(I2981=1,D2981*F2981,0)</f>
        <v>20.8</v>
      </c>
      <c r="K2981" s="7" t="n">
        <f aca="false">YEAR(E2981)*100+MONTH(E2981)</f>
        <v>201110</v>
      </c>
      <c r="L2981" s="7" t="n">
        <f aca="false">IF(AND(A2981&lt;&gt;A2980,LEFT(A2981,1)&lt;&gt;"C"),1,0)</f>
        <v>0</v>
      </c>
    </row>
    <row r="2982" customFormat="false" ht="15" hidden="false" customHeight="false" outlineLevel="0" collapsed="false">
      <c r="A2982" s="0" t="s">
        <v>2234</v>
      </c>
      <c r="B2982" s="0" t="s">
        <v>1144</v>
      </c>
      <c r="C2982" s="0" t="s">
        <v>1145</v>
      </c>
      <c r="D2982" s="0" t="n">
        <v>5</v>
      </c>
      <c r="E2982" s="6" t="n">
        <v>40828.5958333333</v>
      </c>
      <c r="F2982" s="0" t="n">
        <v>2.1</v>
      </c>
      <c r="G2982" s="0" t="n">
        <v>12553</v>
      </c>
      <c r="H2982" s="0" t="s">
        <v>43</v>
      </c>
      <c r="I2982" s="7" t="n">
        <f aca="false">IF(AND(LEFT(A2982,1)&lt;&gt;"C",D2982&gt;0,F2982&gt;0),1,0)</f>
        <v>1</v>
      </c>
      <c r="J2982" s="7" t="n">
        <f aca="false">IF(I2982=1,D2982*F2982,0)</f>
        <v>10.5</v>
      </c>
      <c r="K2982" s="7" t="n">
        <f aca="false">YEAR(E2982)*100+MONTH(E2982)</f>
        <v>201110</v>
      </c>
      <c r="L2982" s="7" t="n">
        <f aca="false">IF(AND(A2982&lt;&gt;A2981,LEFT(A2982,1)&lt;&gt;"C"),1,0)</f>
        <v>0</v>
      </c>
    </row>
    <row r="2983" customFormat="false" ht="15" hidden="false" customHeight="false" outlineLevel="0" collapsed="false">
      <c r="A2983" s="0" t="s">
        <v>2234</v>
      </c>
      <c r="B2983" s="0" t="s">
        <v>1077</v>
      </c>
      <c r="C2983" s="0" t="s">
        <v>1078</v>
      </c>
      <c r="D2983" s="0" t="n">
        <v>10</v>
      </c>
      <c r="E2983" s="6" t="n">
        <v>40828.5958333333</v>
      </c>
      <c r="F2983" s="0" t="n">
        <v>2.08</v>
      </c>
      <c r="G2983" s="0" t="n">
        <v>12553</v>
      </c>
      <c r="H2983" s="0" t="s">
        <v>43</v>
      </c>
      <c r="I2983" s="7" t="n">
        <f aca="false">IF(AND(LEFT(A2983,1)&lt;&gt;"C",D2983&gt;0,F2983&gt;0),1,0)</f>
        <v>1</v>
      </c>
      <c r="J2983" s="7" t="n">
        <f aca="false">IF(I2983=1,D2983*F2983,0)</f>
        <v>20.8</v>
      </c>
      <c r="K2983" s="7" t="n">
        <f aca="false">YEAR(E2983)*100+MONTH(E2983)</f>
        <v>201110</v>
      </c>
      <c r="L2983" s="7" t="n">
        <f aca="false">IF(AND(A2983&lt;&gt;A2982,LEFT(A2983,1)&lt;&gt;"C"),1,0)</f>
        <v>0</v>
      </c>
    </row>
    <row r="2984" customFormat="false" ht="15" hidden="false" customHeight="false" outlineLevel="0" collapsed="false">
      <c r="A2984" s="0" t="s">
        <v>2234</v>
      </c>
      <c r="B2984" s="0" t="s">
        <v>625</v>
      </c>
      <c r="C2984" s="0" t="s">
        <v>626</v>
      </c>
      <c r="D2984" s="0" t="n">
        <v>10</v>
      </c>
      <c r="E2984" s="6" t="n">
        <v>40828.5958333333</v>
      </c>
      <c r="F2984" s="0" t="n">
        <v>2.08</v>
      </c>
      <c r="G2984" s="0" t="n">
        <v>12553</v>
      </c>
      <c r="H2984" s="0" t="s">
        <v>43</v>
      </c>
      <c r="I2984" s="7" t="n">
        <f aca="false">IF(AND(LEFT(A2984,1)&lt;&gt;"C",D2984&gt;0,F2984&gt;0),1,0)</f>
        <v>1</v>
      </c>
      <c r="J2984" s="7" t="n">
        <f aca="false">IF(I2984=1,D2984*F2984,0)</f>
        <v>20.8</v>
      </c>
      <c r="K2984" s="7" t="n">
        <f aca="false">YEAR(E2984)*100+MONTH(E2984)</f>
        <v>201110</v>
      </c>
      <c r="L2984" s="7" t="n">
        <f aca="false">IF(AND(A2984&lt;&gt;A2983,LEFT(A2984,1)&lt;&gt;"C"),1,0)</f>
        <v>0</v>
      </c>
    </row>
    <row r="2985" customFormat="false" ht="15" hidden="false" customHeight="false" outlineLevel="0" collapsed="false">
      <c r="A2985" s="0" t="s">
        <v>2234</v>
      </c>
      <c r="B2985" s="0" t="s">
        <v>1386</v>
      </c>
      <c r="C2985" s="0" t="s">
        <v>1387</v>
      </c>
      <c r="D2985" s="0" t="n">
        <v>20</v>
      </c>
      <c r="E2985" s="6" t="n">
        <v>40828.5958333333</v>
      </c>
      <c r="F2985" s="0" t="n">
        <v>2.08</v>
      </c>
      <c r="G2985" s="0" t="n">
        <v>12553</v>
      </c>
      <c r="H2985" s="0" t="s">
        <v>43</v>
      </c>
      <c r="I2985" s="7" t="n">
        <f aca="false">IF(AND(LEFT(A2985,1)&lt;&gt;"C",D2985&gt;0,F2985&gt;0),1,0)</f>
        <v>1</v>
      </c>
      <c r="J2985" s="7" t="n">
        <f aca="false">IF(I2985=1,D2985*F2985,0)</f>
        <v>41.6</v>
      </c>
      <c r="K2985" s="7" t="n">
        <f aca="false">YEAR(E2985)*100+MONTH(E2985)</f>
        <v>201110</v>
      </c>
      <c r="L2985" s="7" t="n">
        <f aca="false">IF(AND(A2985&lt;&gt;A2984,LEFT(A2985,1)&lt;&gt;"C"),1,0)</f>
        <v>0</v>
      </c>
    </row>
    <row r="2986" customFormat="false" ht="15" hidden="false" customHeight="false" outlineLevel="0" collapsed="false">
      <c r="A2986" s="0" t="s">
        <v>2234</v>
      </c>
      <c r="B2986" s="0" t="s">
        <v>569</v>
      </c>
      <c r="C2986" s="0" t="s">
        <v>570</v>
      </c>
      <c r="D2986" s="0" t="n">
        <v>10</v>
      </c>
      <c r="E2986" s="6" t="n">
        <v>40828.5958333333</v>
      </c>
      <c r="F2986" s="0" t="n">
        <v>2.08</v>
      </c>
      <c r="G2986" s="0" t="n">
        <v>12553</v>
      </c>
      <c r="H2986" s="0" t="s">
        <v>43</v>
      </c>
      <c r="I2986" s="7" t="n">
        <f aca="false">IF(AND(LEFT(A2986,1)&lt;&gt;"C",D2986&gt;0,F2986&gt;0),1,0)</f>
        <v>1</v>
      </c>
      <c r="J2986" s="7" t="n">
        <f aca="false">IF(I2986=1,D2986*F2986,0)</f>
        <v>20.8</v>
      </c>
      <c r="K2986" s="7" t="n">
        <f aca="false">YEAR(E2986)*100+MONTH(E2986)</f>
        <v>201110</v>
      </c>
      <c r="L2986" s="7" t="n">
        <f aca="false">IF(AND(A2986&lt;&gt;A2985,LEFT(A2986,1)&lt;&gt;"C"),1,0)</f>
        <v>0</v>
      </c>
    </row>
    <row r="2987" customFormat="false" ht="15" hidden="false" customHeight="false" outlineLevel="0" collapsed="false">
      <c r="A2987" s="0" t="s">
        <v>2234</v>
      </c>
      <c r="B2987" s="0" t="s">
        <v>1042</v>
      </c>
      <c r="C2987" s="0" t="s">
        <v>1043</v>
      </c>
      <c r="D2987" s="0" t="n">
        <v>4</v>
      </c>
      <c r="E2987" s="6" t="n">
        <v>40828.5958333333</v>
      </c>
      <c r="F2987" s="0" t="n">
        <v>4.15</v>
      </c>
      <c r="G2987" s="0" t="n">
        <v>12553</v>
      </c>
      <c r="H2987" s="0" t="s">
        <v>43</v>
      </c>
      <c r="I2987" s="7" t="n">
        <f aca="false">IF(AND(LEFT(A2987,1)&lt;&gt;"C",D2987&gt;0,F2987&gt;0),1,0)</f>
        <v>1</v>
      </c>
      <c r="J2987" s="7" t="n">
        <f aca="false">IF(I2987=1,D2987*F2987,0)</f>
        <v>16.6</v>
      </c>
      <c r="K2987" s="7" t="n">
        <f aca="false">YEAR(E2987)*100+MONTH(E2987)</f>
        <v>201110</v>
      </c>
      <c r="L2987" s="7" t="n">
        <f aca="false">IF(AND(A2987&lt;&gt;A2986,LEFT(A2987,1)&lt;&gt;"C"),1,0)</f>
        <v>0</v>
      </c>
    </row>
    <row r="2988" customFormat="false" ht="15" hidden="false" customHeight="false" outlineLevel="0" collapsed="false">
      <c r="A2988" s="0" t="s">
        <v>2234</v>
      </c>
      <c r="B2988" s="0" t="s">
        <v>1044</v>
      </c>
      <c r="C2988" s="0" t="s">
        <v>1045</v>
      </c>
      <c r="D2988" s="0" t="n">
        <v>4</v>
      </c>
      <c r="E2988" s="6" t="n">
        <v>40828.5958333333</v>
      </c>
      <c r="F2988" s="0" t="n">
        <v>4.15</v>
      </c>
      <c r="G2988" s="0" t="n">
        <v>12553</v>
      </c>
      <c r="H2988" s="0" t="s">
        <v>43</v>
      </c>
      <c r="I2988" s="7" t="n">
        <f aca="false">IF(AND(LEFT(A2988,1)&lt;&gt;"C",D2988&gt;0,F2988&gt;0),1,0)</f>
        <v>1</v>
      </c>
      <c r="J2988" s="7" t="n">
        <f aca="false">IF(I2988=1,D2988*F2988,0)</f>
        <v>16.6</v>
      </c>
      <c r="K2988" s="7" t="n">
        <f aca="false">YEAR(E2988)*100+MONTH(E2988)</f>
        <v>201110</v>
      </c>
      <c r="L2988" s="7" t="n">
        <f aca="false">IF(AND(A2988&lt;&gt;A2987,LEFT(A2988,1)&lt;&gt;"C"),1,0)</f>
        <v>0</v>
      </c>
    </row>
    <row r="2989" customFormat="false" ht="15" hidden="false" customHeight="false" outlineLevel="0" collapsed="false">
      <c r="A2989" s="0" t="s">
        <v>2234</v>
      </c>
      <c r="B2989" s="0" t="s">
        <v>68</v>
      </c>
      <c r="C2989" s="0" t="s">
        <v>69</v>
      </c>
      <c r="D2989" s="0" t="n">
        <v>10</v>
      </c>
      <c r="E2989" s="6" t="n">
        <v>40828.5958333333</v>
      </c>
      <c r="F2989" s="0" t="n">
        <v>1.65</v>
      </c>
      <c r="G2989" s="0" t="n">
        <v>12553</v>
      </c>
      <c r="H2989" s="0" t="s">
        <v>43</v>
      </c>
      <c r="I2989" s="7" t="n">
        <f aca="false">IF(AND(LEFT(A2989,1)&lt;&gt;"C",D2989&gt;0,F2989&gt;0),1,0)</f>
        <v>1</v>
      </c>
      <c r="J2989" s="7" t="n">
        <f aca="false">IF(I2989=1,D2989*F2989,0)</f>
        <v>16.5</v>
      </c>
      <c r="K2989" s="7" t="n">
        <f aca="false">YEAR(E2989)*100+MONTH(E2989)</f>
        <v>201110</v>
      </c>
      <c r="L2989" s="7" t="n">
        <f aca="false">IF(AND(A2989&lt;&gt;A2988,LEFT(A2989,1)&lt;&gt;"C"),1,0)</f>
        <v>0</v>
      </c>
    </row>
    <row r="2990" customFormat="false" ht="15" hidden="false" customHeight="false" outlineLevel="0" collapsed="false">
      <c r="A2990" s="0" t="s">
        <v>2234</v>
      </c>
      <c r="B2990" s="0" t="s">
        <v>64</v>
      </c>
      <c r="C2990" s="0" t="s">
        <v>65</v>
      </c>
      <c r="D2990" s="0" t="n">
        <v>24</v>
      </c>
      <c r="E2990" s="6" t="n">
        <v>40828.5958333333</v>
      </c>
      <c r="F2990" s="0" t="n">
        <v>1.65</v>
      </c>
      <c r="G2990" s="0" t="n">
        <v>12553</v>
      </c>
      <c r="H2990" s="0" t="s">
        <v>43</v>
      </c>
      <c r="I2990" s="7" t="n">
        <f aca="false">IF(AND(LEFT(A2990,1)&lt;&gt;"C",D2990&gt;0,F2990&gt;0),1,0)</f>
        <v>1</v>
      </c>
      <c r="J2990" s="7" t="n">
        <f aca="false">IF(I2990=1,D2990*F2990,0)</f>
        <v>39.6</v>
      </c>
      <c r="K2990" s="7" t="n">
        <f aca="false">YEAR(E2990)*100+MONTH(E2990)</f>
        <v>201110</v>
      </c>
      <c r="L2990" s="7" t="n">
        <f aca="false">IF(AND(A2990&lt;&gt;A2989,LEFT(A2990,1)&lt;&gt;"C"),1,0)</f>
        <v>0</v>
      </c>
    </row>
    <row r="2991" customFormat="false" ht="15" hidden="false" customHeight="false" outlineLevel="0" collapsed="false">
      <c r="A2991" s="0" t="s">
        <v>2234</v>
      </c>
      <c r="B2991" s="0" t="s">
        <v>511</v>
      </c>
      <c r="C2991" s="0" t="s">
        <v>512</v>
      </c>
      <c r="D2991" s="0" t="n">
        <v>5</v>
      </c>
      <c r="E2991" s="6" t="n">
        <v>40828.5958333333</v>
      </c>
      <c r="F2991" s="0" t="n">
        <v>2.95</v>
      </c>
      <c r="G2991" s="0" t="n">
        <v>12553</v>
      </c>
      <c r="H2991" s="0" t="s">
        <v>43</v>
      </c>
      <c r="I2991" s="7" t="n">
        <f aca="false">IF(AND(LEFT(A2991,1)&lt;&gt;"C",D2991&gt;0,F2991&gt;0),1,0)</f>
        <v>1</v>
      </c>
      <c r="J2991" s="7" t="n">
        <f aca="false">IF(I2991=1,D2991*F2991,0)</f>
        <v>14.75</v>
      </c>
      <c r="K2991" s="7" t="n">
        <f aca="false">YEAR(E2991)*100+MONTH(E2991)</f>
        <v>201110</v>
      </c>
      <c r="L2991" s="7" t="n">
        <f aca="false">IF(AND(A2991&lt;&gt;A2990,LEFT(A2991,1)&lt;&gt;"C"),1,0)</f>
        <v>0</v>
      </c>
    </row>
    <row r="2992" customFormat="false" ht="15" hidden="false" customHeight="false" outlineLevel="0" collapsed="false">
      <c r="A2992" s="0" t="s">
        <v>2234</v>
      </c>
      <c r="B2992" s="0" t="s">
        <v>78</v>
      </c>
      <c r="C2992" s="0" t="s">
        <v>79</v>
      </c>
      <c r="D2992" s="0" t="n">
        <v>10</v>
      </c>
      <c r="E2992" s="6" t="n">
        <v>40828.5958333333</v>
      </c>
      <c r="F2992" s="0" t="n">
        <v>1.65</v>
      </c>
      <c r="G2992" s="0" t="n">
        <v>12553</v>
      </c>
      <c r="H2992" s="0" t="s">
        <v>43</v>
      </c>
      <c r="I2992" s="7" t="n">
        <f aca="false">IF(AND(LEFT(A2992,1)&lt;&gt;"C",D2992&gt;0,F2992&gt;0),1,0)</f>
        <v>1</v>
      </c>
      <c r="J2992" s="7" t="n">
        <f aca="false">IF(I2992=1,D2992*F2992,0)</f>
        <v>16.5</v>
      </c>
      <c r="K2992" s="7" t="n">
        <f aca="false">YEAR(E2992)*100+MONTH(E2992)</f>
        <v>201110</v>
      </c>
      <c r="L2992" s="7" t="n">
        <f aca="false">IF(AND(A2992&lt;&gt;A2991,LEFT(A2992,1)&lt;&gt;"C"),1,0)</f>
        <v>0</v>
      </c>
    </row>
    <row r="2993" customFormat="false" ht="15" hidden="false" customHeight="false" outlineLevel="0" collapsed="false">
      <c r="A2993" s="0" t="s">
        <v>2234</v>
      </c>
      <c r="B2993" s="0" t="s">
        <v>1338</v>
      </c>
      <c r="C2993" s="0" t="s">
        <v>1339</v>
      </c>
      <c r="D2993" s="0" t="n">
        <v>6</v>
      </c>
      <c r="E2993" s="6" t="n">
        <v>40828.5958333333</v>
      </c>
      <c r="F2993" s="0" t="n">
        <v>2.95</v>
      </c>
      <c r="G2993" s="0" t="n">
        <v>12553</v>
      </c>
      <c r="H2993" s="0" t="s">
        <v>43</v>
      </c>
      <c r="I2993" s="7" t="n">
        <f aca="false">IF(AND(LEFT(A2993,1)&lt;&gt;"C",D2993&gt;0,F2993&gt;0),1,0)</f>
        <v>1</v>
      </c>
      <c r="J2993" s="7" t="n">
        <f aca="false">IF(I2993=1,D2993*F2993,0)</f>
        <v>17.7</v>
      </c>
      <c r="K2993" s="7" t="n">
        <f aca="false">YEAR(E2993)*100+MONTH(E2993)</f>
        <v>201110</v>
      </c>
      <c r="L2993" s="7" t="n">
        <f aca="false">IF(AND(A2993&lt;&gt;A2992,LEFT(A2993,1)&lt;&gt;"C"),1,0)</f>
        <v>0</v>
      </c>
    </row>
    <row r="2994" customFormat="false" ht="15" hidden="false" customHeight="false" outlineLevel="0" collapsed="false">
      <c r="A2994" s="0" t="s">
        <v>2234</v>
      </c>
      <c r="B2994" s="0" t="s">
        <v>335</v>
      </c>
      <c r="C2994" s="0" t="s">
        <v>336</v>
      </c>
      <c r="D2994" s="0" t="n">
        <v>12</v>
      </c>
      <c r="E2994" s="6" t="n">
        <v>40828.5958333333</v>
      </c>
      <c r="F2994" s="0" t="n">
        <v>1.65</v>
      </c>
      <c r="G2994" s="0" t="n">
        <v>12553</v>
      </c>
      <c r="H2994" s="0" t="s">
        <v>43</v>
      </c>
      <c r="I2994" s="7" t="n">
        <f aca="false">IF(AND(LEFT(A2994,1)&lt;&gt;"C",D2994&gt;0,F2994&gt;0),1,0)</f>
        <v>1</v>
      </c>
      <c r="J2994" s="7" t="n">
        <f aca="false">IF(I2994=1,D2994*F2994,0)</f>
        <v>19.8</v>
      </c>
      <c r="K2994" s="7" t="n">
        <f aca="false">YEAR(E2994)*100+MONTH(E2994)</f>
        <v>201110</v>
      </c>
      <c r="L2994" s="7" t="n">
        <f aca="false">IF(AND(A2994&lt;&gt;A2993,LEFT(A2994,1)&lt;&gt;"C"),1,0)</f>
        <v>0</v>
      </c>
    </row>
    <row r="2995" customFormat="false" ht="15" hidden="false" customHeight="false" outlineLevel="0" collapsed="false">
      <c r="A2995" s="0" t="s">
        <v>2234</v>
      </c>
      <c r="B2995" s="0" t="s">
        <v>2214</v>
      </c>
      <c r="C2995" s="0" t="s">
        <v>2215</v>
      </c>
      <c r="D2995" s="0" t="n">
        <v>4</v>
      </c>
      <c r="E2995" s="6" t="n">
        <v>40828.5958333333</v>
      </c>
      <c r="F2995" s="0" t="n">
        <v>11.95</v>
      </c>
      <c r="G2995" s="0" t="n">
        <v>12553</v>
      </c>
      <c r="H2995" s="0" t="s">
        <v>43</v>
      </c>
      <c r="I2995" s="7" t="n">
        <f aca="false">IF(AND(LEFT(A2995,1)&lt;&gt;"C",D2995&gt;0,F2995&gt;0),1,0)</f>
        <v>1</v>
      </c>
      <c r="J2995" s="7" t="n">
        <f aca="false">IF(I2995=1,D2995*F2995,0)</f>
        <v>47.8</v>
      </c>
      <c r="K2995" s="7" t="n">
        <f aca="false">YEAR(E2995)*100+MONTH(E2995)</f>
        <v>201110</v>
      </c>
      <c r="L2995" s="7" t="n">
        <f aca="false">IF(AND(A2995&lt;&gt;A2994,LEFT(A2995,1)&lt;&gt;"C"),1,0)</f>
        <v>0</v>
      </c>
    </row>
    <row r="2996" customFormat="false" ht="15" hidden="false" customHeight="false" outlineLevel="0" collapsed="false">
      <c r="A2996" s="0" t="s">
        <v>2234</v>
      </c>
      <c r="B2996" s="0" t="s">
        <v>1208</v>
      </c>
      <c r="C2996" s="0" t="s">
        <v>1209</v>
      </c>
      <c r="D2996" s="0" t="n">
        <v>12</v>
      </c>
      <c r="E2996" s="6" t="n">
        <v>40828.5958333333</v>
      </c>
      <c r="F2996" s="0" t="n">
        <v>2.55</v>
      </c>
      <c r="G2996" s="0" t="n">
        <v>12553</v>
      </c>
      <c r="H2996" s="0" t="s">
        <v>43</v>
      </c>
      <c r="I2996" s="7" t="n">
        <f aca="false">IF(AND(LEFT(A2996,1)&lt;&gt;"C",D2996&gt;0,F2996&gt;0),1,0)</f>
        <v>1</v>
      </c>
      <c r="J2996" s="7" t="n">
        <f aca="false">IF(I2996=1,D2996*F2996,0)</f>
        <v>30.6</v>
      </c>
      <c r="K2996" s="7" t="n">
        <f aca="false">YEAR(E2996)*100+MONTH(E2996)</f>
        <v>201110</v>
      </c>
      <c r="L2996" s="7" t="n">
        <f aca="false">IF(AND(A2996&lt;&gt;A2995,LEFT(A2996,1)&lt;&gt;"C"),1,0)</f>
        <v>0</v>
      </c>
    </row>
    <row r="2997" customFormat="false" ht="15" hidden="false" customHeight="false" outlineLevel="0" collapsed="false">
      <c r="A2997" s="0" t="s">
        <v>2234</v>
      </c>
      <c r="B2997" s="0" t="s">
        <v>343</v>
      </c>
      <c r="C2997" s="0" t="s">
        <v>344</v>
      </c>
      <c r="D2997" s="0" t="n">
        <v>12</v>
      </c>
      <c r="E2997" s="6" t="n">
        <v>40828.5958333333</v>
      </c>
      <c r="F2997" s="0" t="n">
        <v>1.45</v>
      </c>
      <c r="G2997" s="0" t="n">
        <v>12553</v>
      </c>
      <c r="H2997" s="0" t="s">
        <v>43</v>
      </c>
      <c r="I2997" s="7" t="n">
        <f aca="false">IF(AND(LEFT(A2997,1)&lt;&gt;"C",D2997&gt;0,F2997&gt;0),1,0)</f>
        <v>1</v>
      </c>
      <c r="J2997" s="7" t="n">
        <f aca="false">IF(I2997=1,D2997*F2997,0)</f>
        <v>17.4</v>
      </c>
      <c r="K2997" s="7" t="n">
        <f aca="false">YEAR(E2997)*100+MONTH(E2997)</f>
        <v>201110</v>
      </c>
      <c r="L2997" s="7" t="n">
        <f aca="false">IF(AND(A2997&lt;&gt;A2996,LEFT(A2997,1)&lt;&gt;"C"),1,0)</f>
        <v>0</v>
      </c>
    </row>
    <row r="2998" customFormat="false" ht="15" hidden="false" customHeight="false" outlineLevel="0" collapsed="false">
      <c r="A2998" s="0" t="s">
        <v>2234</v>
      </c>
      <c r="B2998" s="0" t="s">
        <v>44</v>
      </c>
      <c r="C2998" s="0" t="s">
        <v>45</v>
      </c>
      <c r="D2998" s="0" t="n">
        <v>12</v>
      </c>
      <c r="E2998" s="6" t="n">
        <v>40828.5958333333</v>
      </c>
      <c r="F2998" s="0" t="n">
        <v>0.65</v>
      </c>
      <c r="G2998" s="0" t="n">
        <v>12553</v>
      </c>
      <c r="H2998" s="0" t="s">
        <v>43</v>
      </c>
      <c r="I2998" s="7" t="n">
        <f aca="false">IF(AND(LEFT(A2998,1)&lt;&gt;"C",D2998&gt;0,F2998&gt;0),1,0)</f>
        <v>1</v>
      </c>
      <c r="J2998" s="7" t="n">
        <f aca="false">IF(I2998=1,D2998*F2998,0)</f>
        <v>7.8</v>
      </c>
      <c r="K2998" s="7" t="n">
        <f aca="false">YEAR(E2998)*100+MONTH(E2998)</f>
        <v>201110</v>
      </c>
      <c r="L2998" s="7" t="n">
        <f aca="false">IF(AND(A2998&lt;&gt;A2997,LEFT(A2998,1)&lt;&gt;"C"),1,0)</f>
        <v>0</v>
      </c>
    </row>
    <row r="2999" customFormat="false" ht="15" hidden="false" customHeight="false" outlineLevel="0" collapsed="false">
      <c r="A2999" s="0" t="s">
        <v>2234</v>
      </c>
      <c r="B2999" s="0" t="s">
        <v>1533</v>
      </c>
      <c r="C2999" s="0" t="s">
        <v>1534</v>
      </c>
      <c r="D2999" s="0" t="n">
        <v>12</v>
      </c>
      <c r="E2999" s="6" t="n">
        <v>40828.5958333333</v>
      </c>
      <c r="F2999" s="0" t="n">
        <v>1.25</v>
      </c>
      <c r="G2999" s="0" t="n">
        <v>12553</v>
      </c>
      <c r="H2999" s="0" t="s">
        <v>43</v>
      </c>
      <c r="I2999" s="7" t="n">
        <f aca="false">IF(AND(LEFT(A2999,1)&lt;&gt;"C",D2999&gt;0,F2999&gt;0),1,0)</f>
        <v>1</v>
      </c>
      <c r="J2999" s="7" t="n">
        <f aca="false">IF(I2999=1,D2999*F2999,0)</f>
        <v>15</v>
      </c>
      <c r="K2999" s="7" t="n">
        <f aca="false">YEAR(E2999)*100+MONTH(E2999)</f>
        <v>201110</v>
      </c>
      <c r="L2999" s="7" t="n">
        <f aca="false">IF(AND(A2999&lt;&gt;A2998,LEFT(A2999,1)&lt;&gt;"C"),1,0)</f>
        <v>0</v>
      </c>
    </row>
    <row r="3000" customFormat="false" ht="15" hidden="false" customHeight="false" outlineLevel="0" collapsed="false">
      <c r="A3000" s="0" t="s">
        <v>2234</v>
      </c>
      <c r="B3000" s="0" t="s">
        <v>84</v>
      </c>
      <c r="C3000" s="0" t="s">
        <v>85</v>
      </c>
      <c r="D3000" s="0" t="n">
        <v>2</v>
      </c>
      <c r="E3000" s="6" t="n">
        <v>40828.5958333333</v>
      </c>
      <c r="F3000" s="0" t="n">
        <v>18</v>
      </c>
      <c r="G3000" s="0" t="n">
        <v>12553</v>
      </c>
      <c r="H3000" s="0" t="s">
        <v>43</v>
      </c>
      <c r="I3000" s="7" t="n">
        <f aca="false">IF(AND(LEFT(A3000,1)&lt;&gt;"C",D3000&gt;0,F3000&gt;0),1,0)</f>
        <v>1</v>
      </c>
      <c r="J3000" s="7" t="n">
        <f aca="false">IF(I3000=1,D3000*F3000,0)</f>
        <v>36</v>
      </c>
      <c r="K3000" s="7" t="n">
        <f aca="false">YEAR(E3000)*100+MONTH(E3000)</f>
        <v>201110</v>
      </c>
      <c r="L3000" s="7" t="n">
        <f aca="false">IF(AND(A3000&lt;&gt;A2999,LEFT(A3000,1)&lt;&gt;"C"),1,0)</f>
        <v>0</v>
      </c>
    </row>
    <row r="3001" customFormat="false" ht="15" hidden="false" customHeight="false" outlineLevel="0" collapsed="false">
      <c r="A3001" s="0" t="s">
        <v>2237</v>
      </c>
      <c r="B3001" s="0" t="s">
        <v>1042</v>
      </c>
      <c r="C3001" s="0" t="s">
        <v>1043</v>
      </c>
      <c r="D3001" s="0" t="n">
        <v>32</v>
      </c>
      <c r="E3001" s="6" t="n">
        <v>40828.6152777778</v>
      </c>
      <c r="F3001" s="0" t="n">
        <v>4.15</v>
      </c>
      <c r="G3001" s="0" t="n">
        <v>12583</v>
      </c>
      <c r="H3001" s="0" t="s">
        <v>43</v>
      </c>
      <c r="I3001" s="7" t="n">
        <f aca="false">IF(AND(LEFT(A3001,1)&lt;&gt;"C",D3001&gt;0,F3001&gt;0),1,0)</f>
        <v>1</v>
      </c>
      <c r="J3001" s="7" t="n">
        <f aca="false">IF(I3001=1,D3001*F3001,0)</f>
        <v>132.8</v>
      </c>
      <c r="K3001" s="7" t="n">
        <f aca="false">YEAR(E3001)*100+MONTH(E3001)</f>
        <v>201110</v>
      </c>
      <c r="L3001" s="7" t="n">
        <f aca="false">IF(AND(A3001&lt;&gt;A3000,LEFT(A3001,1)&lt;&gt;"C"),1,0)</f>
        <v>1</v>
      </c>
    </row>
    <row r="3002" customFormat="false" ht="15" hidden="false" customHeight="false" outlineLevel="0" collapsed="false">
      <c r="A3002" s="0" t="s">
        <v>2237</v>
      </c>
      <c r="B3002" s="0" t="s">
        <v>1048</v>
      </c>
      <c r="C3002" s="0" t="s">
        <v>1049</v>
      </c>
      <c r="D3002" s="0" t="n">
        <v>16</v>
      </c>
      <c r="E3002" s="6" t="n">
        <v>40828.6152777778</v>
      </c>
      <c r="F3002" s="0" t="n">
        <v>4.15</v>
      </c>
      <c r="G3002" s="0" t="n">
        <v>12583</v>
      </c>
      <c r="H3002" s="0" t="s">
        <v>43</v>
      </c>
      <c r="I3002" s="7" t="n">
        <f aca="false">IF(AND(LEFT(A3002,1)&lt;&gt;"C",D3002&gt;0,F3002&gt;0),1,0)</f>
        <v>1</v>
      </c>
      <c r="J3002" s="7" t="n">
        <f aca="false">IF(I3002=1,D3002*F3002,0)</f>
        <v>66.4</v>
      </c>
      <c r="K3002" s="7" t="n">
        <f aca="false">YEAR(E3002)*100+MONTH(E3002)</f>
        <v>201110</v>
      </c>
      <c r="L3002" s="7" t="n">
        <f aca="false">IF(AND(A3002&lt;&gt;A3001,LEFT(A3002,1)&lt;&gt;"C"),1,0)</f>
        <v>0</v>
      </c>
    </row>
    <row r="3003" customFormat="false" ht="15" hidden="false" customHeight="false" outlineLevel="0" collapsed="false">
      <c r="A3003" s="0" t="s">
        <v>2237</v>
      </c>
      <c r="B3003" s="0" t="s">
        <v>1044</v>
      </c>
      <c r="C3003" s="0" t="s">
        <v>1045</v>
      </c>
      <c r="D3003" s="0" t="n">
        <v>16</v>
      </c>
      <c r="E3003" s="6" t="n">
        <v>40828.6152777778</v>
      </c>
      <c r="F3003" s="0" t="n">
        <v>4.15</v>
      </c>
      <c r="G3003" s="0" t="n">
        <v>12583</v>
      </c>
      <c r="H3003" s="0" t="s">
        <v>43</v>
      </c>
      <c r="I3003" s="7" t="n">
        <f aca="false">IF(AND(LEFT(A3003,1)&lt;&gt;"C",D3003&gt;0,F3003&gt;0),1,0)</f>
        <v>1</v>
      </c>
      <c r="J3003" s="7" t="n">
        <f aca="false">IF(I3003=1,D3003*F3003,0)</f>
        <v>66.4</v>
      </c>
      <c r="K3003" s="7" t="n">
        <f aca="false">YEAR(E3003)*100+MONTH(E3003)</f>
        <v>201110</v>
      </c>
      <c r="L3003" s="7" t="n">
        <f aca="false">IF(AND(A3003&lt;&gt;A3002,LEFT(A3003,1)&lt;&gt;"C"),1,0)</f>
        <v>0</v>
      </c>
    </row>
    <row r="3004" customFormat="false" ht="15" hidden="false" customHeight="false" outlineLevel="0" collapsed="false">
      <c r="A3004" s="0" t="s">
        <v>2237</v>
      </c>
      <c r="B3004" s="0" t="s">
        <v>213</v>
      </c>
      <c r="C3004" s="0" t="s">
        <v>214</v>
      </c>
      <c r="D3004" s="0" t="n">
        <v>12</v>
      </c>
      <c r="E3004" s="6" t="n">
        <v>40828.6152777778</v>
      </c>
      <c r="F3004" s="0" t="n">
        <v>0.85</v>
      </c>
      <c r="G3004" s="0" t="n">
        <v>12583</v>
      </c>
      <c r="H3004" s="0" t="s">
        <v>43</v>
      </c>
      <c r="I3004" s="7" t="n">
        <f aca="false">IF(AND(LEFT(A3004,1)&lt;&gt;"C",D3004&gt;0,F3004&gt;0),1,0)</f>
        <v>1</v>
      </c>
      <c r="J3004" s="7" t="n">
        <f aca="false">IF(I3004=1,D3004*F3004,0)</f>
        <v>10.2</v>
      </c>
      <c r="K3004" s="7" t="n">
        <f aca="false">YEAR(E3004)*100+MONTH(E3004)</f>
        <v>201110</v>
      </c>
      <c r="L3004" s="7" t="n">
        <f aca="false">IF(AND(A3004&lt;&gt;A3003,LEFT(A3004,1)&lt;&gt;"C"),1,0)</f>
        <v>0</v>
      </c>
    </row>
    <row r="3005" customFormat="false" ht="15" hidden="false" customHeight="false" outlineLevel="0" collapsed="false">
      <c r="A3005" s="0" t="s">
        <v>2237</v>
      </c>
      <c r="B3005" s="0" t="s">
        <v>84</v>
      </c>
      <c r="C3005" s="0" t="s">
        <v>85</v>
      </c>
      <c r="D3005" s="0" t="n">
        <v>1</v>
      </c>
      <c r="E3005" s="6" t="n">
        <v>40828.6152777778</v>
      </c>
      <c r="F3005" s="0" t="n">
        <v>18</v>
      </c>
      <c r="G3005" s="0" t="n">
        <v>12583</v>
      </c>
      <c r="H3005" s="0" t="s">
        <v>43</v>
      </c>
      <c r="I3005" s="7" t="n">
        <f aca="false">IF(AND(LEFT(A3005,1)&lt;&gt;"C",D3005&gt;0,F3005&gt;0),1,0)</f>
        <v>1</v>
      </c>
      <c r="J3005" s="7" t="n">
        <f aca="false">IF(I3005=1,D3005*F3005,0)</f>
        <v>18</v>
      </c>
      <c r="K3005" s="7" t="n">
        <f aca="false">YEAR(E3005)*100+MONTH(E3005)</f>
        <v>201110</v>
      </c>
      <c r="L3005" s="7" t="n">
        <f aca="false">IF(AND(A3005&lt;&gt;A3004,LEFT(A3005,1)&lt;&gt;"C"),1,0)</f>
        <v>0</v>
      </c>
    </row>
    <row r="3006" customFormat="false" ht="15" hidden="false" customHeight="false" outlineLevel="0" collapsed="false">
      <c r="A3006" s="0" t="s">
        <v>2237</v>
      </c>
      <c r="B3006" s="0" t="s">
        <v>667</v>
      </c>
      <c r="C3006" s="0" t="s">
        <v>668</v>
      </c>
      <c r="D3006" s="0" t="n">
        <v>24</v>
      </c>
      <c r="E3006" s="6" t="n">
        <v>40828.6152777778</v>
      </c>
      <c r="F3006" s="0" t="n">
        <v>0.85</v>
      </c>
      <c r="G3006" s="0" t="n">
        <v>12583</v>
      </c>
      <c r="H3006" s="0" t="s">
        <v>43</v>
      </c>
      <c r="I3006" s="7" t="n">
        <f aca="false">IF(AND(LEFT(A3006,1)&lt;&gt;"C",D3006&gt;0,F3006&gt;0),1,0)</f>
        <v>1</v>
      </c>
      <c r="J3006" s="7" t="n">
        <f aca="false">IF(I3006=1,D3006*F3006,0)</f>
        <v>20.4</v>
      </c>
      <c r="K3006" s="7" t="n">
        <f aca="false">YEAR(E3006)*100+MONTH(E3006)</f>
        <v>201110</v>
      </c>
      <c r="L3006" s="7" t="n">
        <f aca="false">IF(AND(A3006&lt;&gt;A3005,LEFT(A3006,1)&lt;&gt;"C"),1,0)</f>
        <v>0</v>
      </c>
    </row>
    <row r="3007" customFormat="false" ht="15" hidden="false" customHeight="false" outlineLevel="0" collapsed="false">
      <c r="A3007" s="0" t="s">
        <v>2238</v>
      </c>
      <c r="B3007" s="0" t="s">
        <v>1972</v>
      </c>
      <c r="C3007" s="0" t="s">
        <v>1973</v>
      </c>
      <c r="D3007" s="0" t="n">
        <v>18</v>
      </c>
      <c r="E3007" s="6" t="n">
        <v>40829.3625</v>
      </c>
      <c r="F3007" s="0" t="n">
        <v>0.79</v>
      </c>
      <c r="G3007" s="0" t="n">
        <v>12685</v>
      </c>
      <c r="H3007" s="0" t="s">
        <v>43</v>
      </c>
      <c r="I3007" s="7" t="n">
        <f aca="false">IF(AND(LEFT(A3007,1)&lt;&gt;"C",D3007&gt;0,F3007&gt;0),1,0)</f>
        <v>1</v>
      </c>
      <c r="J3007" s="7" t="n">
        <f aca="false">IF(I3007=1,D3007*F3007,0)</f>
        <v>14.22</v>
      </c>
      <c r="K3007" s="7" t="n">
        <f aca="false">YEAR(E3007)*100+MONTH(E3007)</f>
        <v>201110</v>
      </c>
      <c r="L3007" s="7" t="n">
        <f aca="false">IF(AND(A3007&lt;&gt;A3006,LEFT(A3007,1)&lt;&gt;"C"),1,0)</f>
        <v>1</v>
      </c>
    </row>
    <row r="3008" customFormat="false" ht="15" hidden="false" customHeight="false" outlineLevel="0" collapsed="false">
      <c r="A3008" s="0" t="s">
        <v>2238</v>
      </c>
      <c r="B3008" s="0" t="s">
        <v>410</v>
      </c>
      <c r="C3008" s="0" t="s">
        <v>411</v>
      </c>
      <c r="D3008" s="0" t="n">
        <v>24</v>
      </c>
      <c r="E3008" s="6" t="n">
        <v>40829.3625</v>
      </c>
      <c r="F3008" s="0" t="n">
        <v>1.25</v>
      </c>
      <c r="G3008" s="0" t="n">
        <v>12685</v>
      </c>
      <c r="H3008" s="0" t="s">
        <v>43</v>
      </c>
      <c r="I3008" s="7" t="n">
        <f aca="false">IF(AND(LEFT(A3008,1)&lt;&gt;"C",D3008&gt;0,F3008&gt;0),1,0)</f>
        <v>1</v>
      </c>
      <c r="J3008" s="7" t="n">
        <f aca="false">IF(I3008=1,D3008*F3008,0)</f>
        <v>30</v>
      </c>
      <c r="K3008" s="7" t="n">
        <f aca="false">YEAR(E3008)*100+MONTH(E3008)</f>
        <v>201110</v>
      </c>
      <c r="L3008" s="7" t="n">
        <f aca="false">IF(AND(A3008&lt;&gt;A3007,LEFT(A3008,1)&lt;&gt;"C"),1,0)</f>
        <v>0</v>
      </c>
    </row>
    <row r="3009" customFormat="false" ht="15" hidden="false" customHeight="false" outlineLevel="0" collapsed="false">
      <c r="A3009" s="0" t="s">
        <v>2238</v>
      </c>
      <c r="B3009" s="0" t="s">
        <v>432</v>
      </c>
      <c r="C3009" s="0" t="s">
        <v>433</v>
      </c>
      <c r="D3009" s="0" t="n">
        <v>8</v>
      </c>
      <c r="E3009" s="6" t="n">
        <v>40829.3625</v>
      </c>
      <c r="F3009" s="0" t="n">
        <v>4.25</v>
      </c>
      <c r="G3009" s="0" t="n">
        <v>12685</v>
      </c>
      <c r="H3009" s="0" t="s">
        <v>43</v>
      </c>
      <c r="I3009" s="7" t="n">
        <f aca="false">IF(AND(LEFT(A3009,1)&lt;&gt;"C",D3009&gt;0,F3009&gt;0),1,0)</f>
        <v>1</v>
      </c>
      <c r="J3009" s="7" t="n">
        <f aca="false">IF(I3009=1,D3009*F3009,0)</f>
        <v>34</v>
      </c>
      <c r="K3009" s="7" t="n">
        <f aca="false">YEAR(E3009)*100+MONTH(E3009)</f>
        <v>201110</v>
      </c>
      <c r="L3009" s="7" t="n">
        <f aca="false">IF(AND(A3009&lt;&gt;A3008,LEFT(A3009,1)&lt;&gt;"C"),1,0)</f>
        <v>0</v>
      </c>
    </row>
    <row r="3010" customFormat="false" ht="15" hidden="false" customHeight="false" outlineLevel="0" collapsed="false">
      <c r="A3010" s="0" t="s">
        <v>2238</v>
      </c>
      <c r="B3010" s="0" t="s">
        <v>269</v>
      </c>
      <c r="C3010" s="0" t="s">
        <v>270</v>
      </c>
      <c r="D3010" s="0" t="n">
        <v>12</v>
      </c>
      <c r="E3010" s="6" t="n">
        <v>40829.3625</v>
      </c>
      <c r="F3010" s="0" t="n">
        <v>3.95</v>
      </c>
      <c r="G3010" s="0" t="n">
        <v>12685</v>
      </c>
      <c r="H3010" s="0" t="s">
        <v>43</v>
      </c>
      <c r="I3010" s="7" t="n">
        <f aca="false">IF(AND(LEFT(A3010,1)&lt;&gt;"C",D3010&gt;0,F3010&gt;0),1,0)</f>
        <v>1</v>
      </c>
      <c r="J3010" s="7" t="n">
        <f aca="false">IF(I3010=1,D3010*F3010,0)</f>
        <v>47.4</v>
      </c>
      <c r="K3010" s="7" t="n">
        <f aca="false">YEAR(E3010)*100+MONTH(E3010)</f>
        <v>201110</v>
      </c>
      <c r="L3010" s="7" t="n">
        <f aca="false">IF(AND(A3010&lt;&gt;A3009,LEFT(A3010,1)&lt;&gt;"C"),1,0)</f>
        <v>0</v>
      </c>
    </row>
    <row r="3011" customFormat="false" ht="15" hidden="false" customHeight="false" outlineLevel="0" collapsed="false">
      <c r="A3011" s="0" t="s">
        <v>2238</v>
      </c>
      <c r="B3011" s="0" t="s">
        <v>1457</v>
      </c>
      <c r="C3011" s="0" t="s">
        <v>1458</v>
      </c>
      <c r="D3011" s="0" t="n">
        <v>6</v>
      </c>
      <c r="E3011" s="6" t="n">
        <v>40829.3625</v>
      </c>
      <c r="F3011" s="0" t="n">
        <v>2.95</v>
      </c>
      <c r="G3011" s="0" t="n">
        <v>12685</v>
      </c>
      <c r="H3011" s="0" t="s">
        <v>43</v>
      </c>
      <c r="I3011" s="7" t="n">
        <f aca="false">IF(AND(LEFT(A3011,1)&lt;&gt;"C",D3011&gt;0,F3011&gt;0),1,0)</f>
        <v>1</v>
      </c>
      <c r="J3011" s="7" t="n">
        <f aca="false">IF(I3011=1,D3011*F3011,0)</f>
        <v>17.7</v>
      </c>
      <c r="K3011" s="7" t="n">
        <f aca="false">YEAR(E3011)*100+MONTH(E3011)</f>
        <v>201110</v>
      </c>
      <c r="L3011" s="7" t="n">
        <f aca="false">IF(AND(A3011&lt;&gt;A3010,LEFT(A3011,1)&lt;&gt;"C"),1,0)</f>
        <v>0</v>
      </c>
    </row>
    <row r="3012" customFormat="false" ht="15" hidden="false" customHeight="false" outlineLevel="0" collapsed="false">
      <c r="A3012" s="0" t="s">
        <v>2238</v>
      </c>
      <c r="B3012" s="0" t="s">
        <v>569</v>
      </c>
      <c r="C3012" s="0" t="s">
        <v>570</v>
      </c>
      <c r="D3012" s="0" t="n">
        <v>10</v>
      </c>
      <c r="E3012" s="6" t="n">
        <v>40829.3625</v>
      </c>
      <c r="F3012" s="0" t="n">
        <v>2.08</v>
      </c>
      <c r="G3012" s="0" t="n">
        <v>12685</v>
      </c>
      <c r="H3012" s="0" t="s">
        <v>43</v>
      </c>
      <c r="I3012" s="7" t="n">
        <f aca="false">IF(AND(LEFT(A3012,1)&lt;&gt;"C",D3012&gt;0,F3012&gt;0),1,0)</f>
        <v>1</v>
      </c>
      <c r="J3012" s="7" t="n">
        <f aca="false">IF(I3012=1,D3012*F3012,0)</f>
        <v>20.8</v>
      </c>
      <c r="K3012" s="7" t="n">
        <f aca="false">YEAR(E3012)*100+MONTH(E3012)</f>
        <v>201110</v>
      </c>
      <c r="L3012" s="7" t="n">
        <f aca="false">IF(AND(A3012&lt;&gt;A3011,LEFT(A3012,1)&lt;&gt;"C"),1,0)</f>
        <v>0</v>
      </c>
    </row>
    <row r="3013" customFormat="false" ht="15" hidden="false" customHeight="false" outlineLevel="0" collapsed="false">
      <c r="A3013" s="0" t="s">
        <v>2238</v>
      </c>
      <c r="B3013" s="0" t="s">
        <v>575</v>
      </c>
      <c r="C3013" s="0" t="s">
        <v>576</v>
      </c>
      <c r="D3013" s="0" t="n">
        <v>10</v>
      </c>
      <c r="E3013" s="6" t="n">
        <v>40829.3625</v>
      </c>
      <c r="F3013" s="0" t="n">
        <v>2.08</v>
      </c>
      <c r="G3013" s="0" t="n">
        <v>12685</v>
      </c>
      <c r="H3013" s="0" t="s">
        <v>43</v>
      </c>
      <c r="I3013" s="7" t="n">
        <f aca="false">IF(AND(LEFT(A3013,1)&lt;&gt;"C",D3013&gt;0,F3013&gt;0),1,0)</f>
        <v>1</v>
      </c>
      <c r="J3013" s="7" t="n">
        <f aca="false">IF(I3013=1,D3013*F3013,0)</f>
        <v>20.8</v>
      </c>
      <c r="K3013" s="7" t="n">
        <f aca="false">YEAR(E3013)*100+MONTH(E3013)</f>
        <v>201110</v>
      </c>
      <c r="L3013" s="7" t="n">
        <f aca="false">IF(AND(A3013&lt;&gt;A3012,LEFT(A3013,1)&lt;&gt;"C"),1,0)</f>
        <v>0</v>
      </c>
    </row>
    <row r="3014" customFormat="false" ht="15" hidden="false" customHeight="false" outlineLevel="0" collapsed="false">
      <c r="A3014" s="0" t="s">
        <v>2238</v>
      </c>
      <c r="B3014" s="0" t="s">
        <v>1386</v>
      </c>
      <c r="C3014" s="0" t="s">
        <v>1387</v>
      </c>
      <c r="D3014" s="0" t="n">
        <v>10</v>
      </c>
      <c r="E3014" s="6" t="n">
        <v>40829.3625</v>
      </c>
      <c r="F3014" s="0" t="n">
        <v>2.08</v>
      </c>
      <c r="G3014" s="0" t="n">
        <v>12685</v>
      </c>
      <c r="H3014" s="0" t="s">
        <v>43</v>
      </c>
      <c r="I3014" s="7" t="n">
        <f aca="false">IF(AND(LEFT(A3014,1)&lt;&gt;"C",D3014&gt;0,F3014&gt;0),1,0)</f>
        <v>1</v>
      </c>
      <c r="J3014" s="7" t="n">
        <f aca="false">IF(I3014=1,D3014*F3014,0)</f>
        <v>20.8</v>
      </c>
      <c r="K3014" s="7" t="n">
        <f aca="false">YEAR(E3014)*100+MONTH(E3014)</f>
        <v>201110</v>
      </c>
      <c r="L3014" s="7" t="n">
        <f aca="false">IF(AND(A3014&lt;&gt;A3013,LEFT(A3014,1)&lt;&gt;"C"),1,0)</f>
        <v>0</v>
      </c>
    </row>
    <row r="3015" customFormat="false" ht="15" hidden="false" customHeight="false" outlineLevel="0" collapsed="false">
      <c r="A3015" s="0" t="s">
        <v>2238</v>
      </c>
      <c r="B3015" s="0" t="s">
        <v>295</v>
      </c>
      <c r="C3015" s="0" t="s">
        <v>296</v>
      </c>
      <c r="D3015" s="0" t="n">
        <v>8</v>
      </c>
      <c r="E3015" s="6" t="n">
        <v>40829.3625</v>
      </c>
      <c r="F3015" s="0" t="n">
        <v>3.75</v>
      </c>
      <c r="G3015" s="0" t="n">
        <v>12685</v>
      </c>
      <c r="H3015" s="0" t="s">
        <v>43</v>
      </c>
      <c r="I3015" s="7" t="n">
        <f aca="false">IF(AND(LEFT(A3015,1)&lt;&gt;"C",D3015&gt;0,F3015&gt;0),1,0)</f>
        <v>1</v>
      </c>
      <c r="J3015" s="7" t="n">
        <f aca="false">IF(I3015=1,D3015*F3015,0)</f>
        <v>30</v>
      </c>
      <c r="K3015" s="7" t="n">
        <f aca="false">YEAR(E3015)*100+MONTH(E3015)</f>
        <v>201110</v>
      </c>
      <c r="L3015" s="7" t="n">
        <f aca="false">IF(AND(A3015&lt;&gt;A3014,LEFT(A3015,1)&lt;&gt;"C"),1,0)</f>
        <v>0</v>
      </c>
    </row>
    <row r="3016" customFormat="false" ht="15" hidden="false" customHeight="false" outlineLevel="0" collapsed="false">
      <c r="A3016" s="0" t="s">
        <v>2238</v>
      </c>
      <c r="B3016" s="0" t="s">
        <v>297</v>
      </c>
      <c r="C3016" s="0" t="s">
        <v>298</v>
      </c>
      <c r="D3016" s="0" t="n">
        <v>12</v>
      </c>
      <c r="E3016" s="6" t="n">
        <v>40829.3625</v>
      </c>
      <c r="F3016" s="0" t="n">
        <v>3.75</v>
      </c>
      <c r="G3016" s="0" t="n">
        <v>12685</v>
      </c>
      <c r="H3016" s="0" t="s">
        <v>43</v>
      </c>
      <c r="I3016" s="7" t="n">
        <f aca="false">IF(AND(LEFT(A3016,1)&lt;&gt;"C",D3016&gt;0,F3016&gt;0),1,0)</f>
        <v>1</v>
      </c>
      <c r="J3016" s="7" t="n">
        <f aca="false">IF(I3016=1,D3016*F3016,0)</f>
        <v>45</v>
      </c>
      <c r="K3016" s="7" t="n">
        <f aca="false">YEAR(E3016)*100+MONTH(E3016)</f>
        <v>201110</v>
      </c>
      <c r="L3016" s="7" t="n">
        <f aca="false">IF(AND(A3016&lt;&gt;A3015,LEFT(A3016,1)&lt;&gt;"C"),1,0)</f>
        <v>0</v>
      </c>
    </row>
    <row r="3017" customFormat="false" ht="15" hidden="false" customHeight="false" outlineLevel="0" collapsed="false">
      <c r="A3017" s="0" t="s">
        <v>2238</v>
      </c>
      <c r="B3017" s="0" t="s">
        <v>318</v>
      </c>
      <c r="C3017" s="0" t="s">
        <v>319</v>
      </c>
      <c r="D3017" s="0" t="n">
        <v>4</v>
      </c>
      <c r="E3017" s="6" t="n">
        <v>40829.3625</v>
      </c>
      <c r="F3017" s="0" t="n">
        <v>3.75</v>
      </c>
      <c r="G3017" s="0" t="n">
        <v>12685</v>
      </c>
      <c r="H3017" s="0" t="s">
        <v>43</v>
      </c>
      <c r="I3017" s="7" t="n">
        <f aca="false">IF(AND(LEFT(A3017,1)&lt;&gt;"C",D3017&gt;0,F3017&gt;0),1,0)</f>
        <v>1</v>
      </c>
      <c r="J3017" s="7" t="n">
        <f aca="false">IF(I3017=1,D3017*F3017,0)</f>
        <v>15</v>
      </c>
      <c r="K3017" s="7" t="n">
        <f aca="false">YEAR(E3017)*100+MONTH(E3017)</f>
        <v>201110</v>
      </c>
      <c r="L3017" s="7" t="n">
        <f aca="false">IF(AND(A3017&lt;&gt;A3016,LEFT(A3017,1)&lt;&gt;"C"),1,0)</f>
        <v>0</v>
      </c>
    </row>
    <row r="3018" customFormat="false" ht="15" hidden="false" customHeight="false" outlineLevel="0" collapsed="false">
      <c r="A3018" s="0" t="s">
        <v>2238</v>
      </c>
      <c r="B3018" s="0" t="s">
        <v>84</v>
      </c>
      <c r="C3018" s="0" t="s">
        <v>85</v>
      </c>
      <c r="D3018" s="0" t="n">
        <v>2</v>
      </c>
      <c r="E3018" s="6" t="n">
        <v>40829.3625</v>
      </c>
      <c r="F3018" s="0" t="n">
        <v>18</v>
      </c>
      <c r="G3018" s="0" t="n">
        <v>12685</v>
      </c>
      <c r="H3018" s="0" t="s">
        <v>43</v>
      </c>
      <c r="I3018" s="7" t="n">
        <f aca="false">IF(AND(LEFT(A3018,1)&lt;&gt;"C",D3018&gt;0,F3018&gt;0),1,0)</f>
        <v>1</v>
      </c>
      <c r="J3018" s="7" t="n">
        <f aca="false">IF(I3018=1,D3018*F3018,0)</f>
        <v>36</v>
      </c>
      <c r="K3018" s="7" t="n">
        <f aca="false">YEAR(E3018)*100+MONTH(E3018)</f>
        <v>201110</v>
      </c>
      <c r="L3018" s="7" t="n">
        <f aca="false">IF(AND(A3018&lt;&gt;A3017,LEFT(A3018,1)&lt;&gt;"C"),1,0)</f>
        <v>0</v>
      </c>
    </row>
    <row r="3019" customFormat="false" ht="15" hidden="false" customHeight="false" outlineLevel="0" collapsed="false">
      <c r="A3019" s="0" t="s">
        <v>2239</v>
      </c>
      <c r="B3019" s="0" t="s">
        <v>2240</v>
      </c>
      <c r="C3019" s="0" t="s">
        <v>2241</v>
      </c>
      <c r="D3019" s="0" t="n">
        <v>3</v>
      </c>
      <c r="E3019" s="6" t="n">
        <v>40829.3958333333</v>
      </c>
      <c r="F3019" s="0" t="n">
        <v>4.95</v>
      </c>
      <c r="G3019" s="0" t="n">
        <v>12498</v>
      </c>
      <c r="H3019" s="0" t="s">
        <v>33</v>
      </c>
      <c r="I3019" s="7" t="n">
        <f aca="false">IF(AND(LEFT(A3019,1)&lt;&gt;"C",D3019&gt;0,F3019&gt;0),1,0)</f>
        <v>1</v>
      </c>
      <c r="J3019" s="7" t="n">
        <f aca="false">IF(I3019=1,D3019*F3019,0)</f>
        <v>14.85</v>
      </c>
      <c r="K3019" s="7" t="n">
        <f aca="false">YEAR(E3019)*100+MONTH(E3019)</f>
        <v>201110</v>
      </c>
      <c r="L3019" s="7" t="n">
        <f aca="false">IF(AND(A3019&lt;&gt;A3018,LEFT(A3019,1)&lt;&gt;"C"),1,0)</f>
        <v>1</v>
      </c>
    </row>
    <row r="3020" customFormat="false" ht="15" hidden="false" customHeight="false" outlineLevel="0" collapsed="false">
      <c r="A3020" s="0" t="s">
        <v>2239</v>
      </c>
      <c r="B3020" s="0" t="s">
        <v>2086</v>
      </c>
      <c r="C3020" s="0" t="s">
        <v>2087</v>
      </c>
      <c r="D3020" s="0" t="n">
        <v>6</v>
      </c>
      <c r="E3020" s="6" t="n">
        <v>40829.3958333333</v>
      </c>
      <c r="F3020" s="0" t="n">
        <v>2.95</v>
      </c>
      <c r="G3020" s="0" t="n">
        <v>12498</v>
      </c>
      <c r="H3020" s="0" t="s">
        <v>33</v>
      </c>
      <c r="I3020" s="7" t="n">
        <f aca="false">IF(AND(LEFT(A3020,1)&lt;&gt;"C",D3020&gt;0,F3020&gt;0),1,0)</f>
        <v>1</v>
      </c>
      <c r="J3020" s="7" t="n">
        <f aca="false">IF(I3020=1,D3020*F3020,0)</f>
        <v>17.7</v>
      </c>
      <c r="K3020" s="7" t="n">
        <f aca="false">YEAR(E3020)*100+MONTH(E3020)</f>
        <v>201110</v>
      </c>
      <c r="L3020" s="7" t="n">
        <f aca="false">IF(AND(A3020&lt;&gt;A3019,LEFT(A3020,1)&lt;&gt;"C"),1,0)</f>
        <v>0</v>
      </c>
    </row>
    <row r="3021" customFormat="false" ht="15" hidden="false" customHeight="false" outlineLevel="0" collapsed="false">
      <c r="A3021" s="0" t="s">
        <v>2239</v>
      </c>
      <c r="B3021" s="0" t="s">
        <v>1994</v>
      </c>
      <c r="C3021" s="0" t="s">
        <v>1995</v>
      </c>
      <c r="D3021" s="0" t="n">
        <v>3</v>
      </c>
      <c r="E3021" s="6" t="n">
        <v>40829.3958333333</v>
      </c>
      <c r="F3021" s="0" t="n">
        <v>5.95</v>
      </c>
      <c r="G3021" s="0" t="n">
        <v>12498</v>
      </c>
      <c r="H3021" s="0" t="s">
        <v>33</v>
      </c>
      <c r="I3021" s="7" t="n">
        <f aca="false">IF(AND(LEFT(A3021,1)&lt;&gt;"C",D3021&gt;0,F3021&gt;0),1,0)</f>
        <v>1</v>
      </c>
      <c r="J3021" s="7" t="n">
        <f aca="false">IF(I3021=1,D3021*F3021,0)</f>
        <v>17.85</v>
      </c>
      <c r="K3021" s="7" t="n">
        <f aca="false">YEAR(E3021)*100+MONTH(E3021)</f>
        <v>201110</v>
      </c>
      <c r="L3021" s="7" t="n">
        <f aca="false">IF(AND(A3021&lt;&gt;A3020,LEFT(A3021,1)&lt;&gt;"C"),1,0)</f>
        <v>0</v>
      </c>
    </row>
    <row r="3022" customFormat="false" ht="15" hidden="false" customHeight="false" outlineLevel="0" collapsed="false">
      <c r="A3022" s="0" t="s">
        <v>2239</v>
      </c>
      <c r="B3022" s="0" t="s">
        <v>2242</v>
      </c>
      <c r="C3022" s="0" t="s">
        <v>2243</v>
      </c>
      <c r="D3022" s="0" t="n">
        <v>6</v>
      </c>
      <c r="E3022" s="6" t="n">
        <v>40829.3958333333</v>
      </c>
      <c r="F3022" s="0" t="n">
        <v>2.95</v>
      </c>
      <c r="G3022" s="0" t="n">
        <v>12498</v>
      </c>
      <c r="H3022" s="0" t="s">
        <v>33</v>
      </c>
      <c r="I3022" s="7" t="n">
        <f aca="false">IF(AND(LEFT(A3022,1)&lt;&gt;"C",D3022&gt;0,F3022&gt;0),1,0)</f>
        <v>1</v>
      </c>
      <c r="J3022" s="7" t="n">
        <f aca="false">IF(I3022=1,D3022*F3022,0)</f>
        <v>17.7</v>
      </c>
      <c r="K3022" s="7" t="n">
        <f aca="false">YEAR(E3022)*100+MONTH(E3022)</f>
        <v>201110</v>
      </c>
      <c r="L3022" s="7" t="n">
        <f aca="false">IF(AND(A3022&lt;&gt;A3021,LEFT(A3022,1)&lt;&gt;"C"),1,0)</f>
        <v>0</v>
      </c>
    </row>
    <row r="3023" customFormat="false" ht="15" hidden="false" customHeight="false" outlineLevel="0" collapsed="false">
      <c r="A3023" s="0" t="s">
        <v>2239</v>
      </c>
      <c r="B3023" s="0" t="s">
        <v>729</v>
      </c>
      <c r="C3023" s="0" t="s">
        <v>730</v>
      </c>
      <c r="D3023" s="0" t="n">
        <v>6</v>
      </c>
      <c r="E3023" s="6" t="n">
        <v>40829.3958333333</v>
      </c>
      <c r="F3023" s="0" t="n">
        <v>4.95</v>
      </c>
      <c r="G3023" s="0" t="n">
        <v>12498</v>
      </c>
      <c r="H3023" s="0" t="s">
        <v>33</v>
      </c>
      <c r="I3023" s="7" t="n">
        <f aca="false">IF(AND(LEFT(A3023,1)&lt;&gt;"C",D3023&gt;0,F3023&gt;0),1,0)</f>
        <v>1</v>
      </c>
      <c r="J3023" s="7" t="n">
        <f aca="false">IF(I3023=1,D3023*F3023,0)</f>
        <v>29.7</v>
      </c>
      <c r="K3023" s="7" t="n">
        <f aca="false">YEAR(E3023)*100+MONTH(E3023)</f>
        <v>201110</v>
      </c>
      <c r="L3023" s="7" t="n">
        <f aca="false">IF(AND(A3023&lt;&gt;A3022,LEFT(A3023,1)&lt;&gt;"C"),1,0)</f>
        <v>0</v>
      </c>
    </row>
    <row r="3024" customFormat="false" ht="15" hidden="false" customHeight="false" outlineLevel="0" collapsed="false">
      <c r="A3024" s="0" t="s">
        <v>2239</v>
      </c>
      <c r="B3024" s="0" t="s">
        <v>727</v>
      </c>
      <c r="C3024" s="0" t="s">
        <v>728</v>
      </c>
      <c r="D3024" s="0" t="n">
        <v>6</v>
      </c>
      <c r="E3024" s="6" t="n">
        <v>40829.3958333333</v>
      </c>
      <c r="F3024" s="0" t="n">
        <v>2.55</v>
      </c>
      <c r="G3024" s="0" t="n">
        <v>12498</v>
      </c>
      <c r="H3024" s="0" t="s">
        <v>33</v>
      </c>
      <c r="I3024" s="7" t="n">
        <f aca="false">IF(AND(LEFT(A3024,1)&lt;&gt;"C",D3024&gt;0,F3024&gt;0),1,0)</f>
        <v>1</v>
      </c>
      <c r="J3024" s="7" t="n">
        <f aca="false">IF(I3024=1,D3024*F3024,0)</f>
        <v>15.3</v>
      </c>
      <c r="K3024" s="7" t="n">
        <f aca="false">YEAR(E3024)*100+MONTH(E3024)</f>
        <v>201110</v>
      </c>
      <c r="L3024" s="7" t="n">
        <f aca="false">IF(AND(A3024&lt;&gt;A3023,LEFT(A3024,1)&lt;&gt;"C"),1,0)</f>
        <v>0</v>
      </c>
    </row>
    <row r="3025" customFormat="false" ht="15" hidden="false" customHeight="false" outlineLevel="0" collapsed="false">
      <c r="A3025" s="0" t="s">
        <v>2239</v>
      </c>
      <c r="B3025" s="0" t="s">
        <v>2244</v>
      </c>
      <c r="C3025" s="0" t="s">
        <v>2245</v>
      </c>
      <c r="D3025" s="0" t="n">
        <v>4</v>
      </c>
      <c r="E3025" s="6" t="n">
        <v>40829.3958333333</v>
      </c>
      <c r="F3025" s="0" t="n">
        <v>4.25</v>
      </c>
      <c r="G3025" s="0" t="n">
        <v>12498</v>
      </c>
      <c r="H3025" s="0" t="s">
        <v>33</v>
      </c>
      <c r="I3025" s="7" t="n">
        <f aca="false">IF(AND(LEFT(A3025,1)&lt;&gt;"C",D3025&gt;0,F3025&gt;0),1,0)</f>
        <v>1</v>
      </c>
      <c r="J3025" s="7" t="n">
        <f aca="false">IF(I3025=1,D3025*F3025,0)</f>
        <v>17</v>
      </c>
      <c r="K3025" s="7" t="n">
        <f aca="false">YEAR(E3025)*100+MONTH(E3025)</f>
        <v>201110</v>
      </c>
      <c r="L3025" s="7" t="n">
        <f aca="false">IF(AND(A3025&lt;&gt;A3024,LEFT(A3025,1)&lt;&gt;"C"),1,0)</f>
        <v>0</v>
      </c>
    </row>
    <row r="3026" customFormat="false" ht="15" hidden="false" customHeight="false" outlineLevel="0" collapsed="false">
      <c r="A3026" s="0" t="s">
        <v>2239</v>
      </c>
      <c r="B3026" s="0" t="s">
        <v>2246</v>
      </c>
      <c r="C3026" s="0" t="s">
        <v>2247</v>
      </c>
      <c r="D3026" s="0" t="n">
        <v>3</v>
      </c>
      <c r="E3026" s="6" t="n">
        <v>40829.3958333333</v>
      </c>
      <c r="F3026" s="0" t="n">
        <v>5.95</v>
      </c>
      <c r="G3026" s="0" t="n">
        <v>12498</v>
      </c>
      <c r="H3026" s="0" t="s">
        <v>33</v>
      </c>
      <c r="I3026" s="7" t="n">
        <f aca="false">IF(AND(LEFT(A3026,1)&lt;&gt;"C",D3026&gt;0,F3026&gt;0),1,0)</f>
        <v>1</v>
      </c>
      <c r="J3026" s="7" t="n">
        <f aca="false">IF(I3026=1,D3026*F3026,0)</f>
        <v>17.85</v>
      </c>
      <c r="K3026" s="7" t="n">
        <f aca="false">YEAR(E3026)*100+MONTH(E3026)</f>
        <v>201110</v>
      </c>
      <c r="L3026" s="7" t="n">
        <f aca="false">IF(AND(A3026&lt;&gt;A3025,LEFT(A3026,1)&lt;&gt;"C"),1,0)</f>
        <v>0</v>
      </c>
    </row>
    <row r="3027" customFormat="false" ht="15" hidden="false" customHeight="false" outlineLevel="0" collapsed="false">
      <c r="A3027" s="0" t="s">
        <v>2239</v>
      </c>
      <c r="B3027" s="0" t="s">
        <v>2248</v>
      </c>
      <c r="C3027" s="0" t="s">
        <v>2249</v>
      </c>
      <c r="D3027" s="0" t="n">
        <v>12</v>
      </c>
      <c r="E3027" s="6" t="n">
        <v>40829.3958333333</v>
      </c>
      <c r="F3027" s="0" t="n">
        <v>0.85</v>
      </c>
      <c r="G3027" s="0" t="n">
        <v>12498</v>
      </c>
      <c r="H3027" s="0" t="s">
        <v>33</v>
      </c>
      <c r="I3027" s="7" t="n">
        <f aca="false">IF(AND(LEFT(A3027,1)&lt;&gt;"C",D3027&gt;0,F3027&gt;0),1,0)</f>
        <v>1</v>
      </c>
      <c r="J3027" s="7" t="n">
        <f aca="false">IF(I3027=1,D3027*F3027,0)</f>
        <v>10.2</v>
      </c>
      <c r="K3027" s="7" t="n">
        <f aca="false">YEAR(E3027)*100+MONTH(E3027)</f>
        <v>201110</v>
      </c>
      <c r="L3027" s="7" t="n">
        <f aca="false">IF(AND(A3027&lt;&gt;A3026,LEFT(A3027,1)&lt;&gt;"C"),1,0)</f>
        <v>0</v>
      </c>
    </row>
    <row r="3028" customFormat="false" ht="15" hidden="false" customHeight="false" outlineLevel="0" collapsed="false">
      <c r="A3028" s="0" t="s">
        <v>2239</v>
      </c>
      <c r="B3028" s="0" t="s">
        <v>1432</v>
      </c>
      <c r="C3028" s="0" t="s">
        <v>1433</v>
      </c>
      <c r="D3028" s="0" t="n">
        <v>6</v>
      </c>
      <c r="E3028" s="6" t="n">
        <v>40829.3958333333</v>
      </c>
      <c r="F3028" s="0" t="n">
        <v>2.95</v>
      </c>
      <c r="G3028" s="0" t="n">
        <v>12498</v>
      </c>
      <c r="H3028" s="0" t="s">
        <v>33</v>
      </c>
      <c r="I3028" s="7" t="n">
        <f aca="false">IF(AND(LEFT(A3028,1)&lt;&gt;"C",D3028&gt;0,F3028&gt;0),1,0)</f>
        <v>1</v>
      </c>
      <c r="J3028" s="7" t="n">
        <f aca="false">IF(I3028=1,D3028*F3028,0)</f>
        <v>17.7</v>
      </c>
      <c r="K3028" s="7" t="n">
        <f aca="false">YEAR(E3028)*100+MONTH(E3028)</f>
        <v>201110</v>
      </c>
      <c r="L3028" s="7" t="n">
        <f aca="false">IF(AND(A3028&lt;&gt;A3027,LEFT(A3028,1)&lt;&gt;"C"),1,0)</f>
        <v>0</v>
      </c>
    </row>
    <row r="3029" customFormat="false" ht="15" hidden="false" customHeight="false" outlineLevel="0" collapsed="false">
      <c r="A3029" s="0" t="s">
        <v>2239</v>
      </c>
      <c r="B3029" s="0" t="s">
        <v>1434</v>
      </c>
      <c r="C3029" s="0" t="s">
        <v>1435</v>
      </c>
      <c r="D3029" s="0" t="n">
        <v>6</v>
      </c>
      <c r="E3029" s="6" t="n">
        <v>40829.3958333333</v>
      </c>
      <c r="F3029" s="0" t="n">
        <v>2.95</v>
      </c>
      <c r="G3029" s="0" t="n">
        <v>12498</v>
      </c>
      <c r="H3029" s="0" t="s">
        <v>33</v>
      </c>
      <c r="I3029" s="7" t="n">
        <f aca="false">IF(AND(LEFT(A3029,1)&lt;&gt;"C",D3029&gt;0,F3029&gt;0),1,0)</f>
        <v>1</v>
      </c>
      <c r="J3029" s="7" t="n">
        <f aca="false">IF(I3029=1,D3029*F3029,0)</f>
        <v>17.7</v>
      </c>
      <c r="K3029" s="7" t="n">
        <f aca="false">YEAR(E3029)*100+MONTH(E3029)</f>
        <v>201110</v>
      </c>
      <c r="L3029" s="7" t="n">
        <f aca="false">IF(AND(A3029&lt;&gt;A3028,LEFT(A3029,1)&lt;&gt;"C"),1,0)</f>
        <v>0</v>
      </c>
    </row>
    <row r="3030" customFormat="false" ht="15" hidden="false" customHeight="false" outlineLevel="0" collapsed="false">
      <c r="A3030" s="0" t="s">
        <v>2239</v>
      </c>
      <c r="B3030" s="0" t="s">
        <v>2100</v>
      </c>
      <c r="C3030" s="0" t="s">
        <v>2101</v>
      </c>
      <c r="D3030" s="0" t="n">
        <v>6</v>
      </c>
      <c r="E3030" s="6" t="n">
        <v>40829.3958333333</v>
      </c>
      <c r="F3030" s="0" t="n">
        <v>2.95</v>
      </c>
      <c r="G3030" s="0" t="n">
        <v>12498</v>
      </c>
      <c r="H3030" s="0" t="s">
        <v>33</v>
      </c>
      <c r="I3030" s="7" t="n">
        <f aca="false">IF(AND(LEFT(A3030,1)&lt;&gt;"C",D3030&gt;0,F3030&gt;0),1,0)</f>
        <v>1</v>
      </c>
      <c r="J3030" s="7" t="n">
        <f aca="false">IF(I3030=1,D3030*F3030,0)</f>
        <v>17.7</v>
      </c>
      <c r="K3030" s="7" t="n">
        <f aca="false">YEAR(E3030)*100+MONTH(E3030)</f>
        <v>201110</v>
      </c>
      <c r="L3030" s="7" t="n">
        <f aca="false">IF(AND(A3030&lt;&gt;A3029,LEFT(A3030,1)&lt;&gt;"C"),1,0)</f>
        <v>0</v>
      </c>
    </row>
    <row r="3031" customFormat="false" ht="15" hidden="false" customHeight="false" outlineLevel="0" collapsed="false">
      <c r="A3031" s="0" t="s">
        <v>2239</v>
      </c>
      <c r="B3031" s="0" t="s">
        <v>84</v>
      </c>
      <c r="C3031" s="0" t="s">
        <v>85</v>
      </c>
      <c r="D3031" s="0" t="n">
        <v>2</v>
      </c>
      <c r="E3031" s="6" t="n">
        <v>40829.3958333333</v>
      </c>
      <c r="F3031" s="0" t="n">
        <v>18</v>
      </c>
      <c r="G3031" s="0" t="n">
        <v>12498</v>
      </c>
      <c r="H3031" s="0" t="s">
        <v>33</v>
      </c>
      <c r="I3031" s="7" t="n">
        <f aca="false">IF(AND(LEFT(A3031,1)&lt;&gt;"C",D3031&gt;0,F3031&gt;0),1,0)</f>
        <v>1</v>
      </c>
      <c r="J3031" s="7" t="n">
        <f aca="false">IF(I3031=1,D3031*F3031,0)</f>
        <v>36</v>
      </c>
      <c r="K3031" s="7" t="n">
        <f aca="false">YEAR(E3031)*100+MONTH(E3031)</f>
        <v>201110</v>
      </c>
      <c r="L3031" s="7" t="n">
        <f aca="false">IF(AND(A3031&lt;&gt;A3030,LEFT(A3031,1)&lt;&gt;"C"),1,0)</f>
        <v>0</v>
      </c>
    </row>
    <row r="3032" customFormat="false" ht="15" hidden="false" customHeight="false" outlineLevel="0" collapsed="false">
      <c r="A3032" s="0" t="s">
        <v>2250</v>
      </c>
      <c r="B3032" s="0" t="s">
        <v>1333</v>
      </c>
      <c r="C3032" s="0" t="s">
        <v>1334</v>
      </c>
      <c r="D3032" s="0" t="n">
        <v>-1</v>
      </c>
      <c r="E3032" s="6" t="n">
        <v>40829.4923611111</v>
      </c>
      <c r="F3032" s="0" t="n">
        <v>1.25</v>
      </c>
      <c r="G3032" s="0" t="n">
        <v>13816</v>
      </c>
      <c r="H3032" s="0" t="s">
        <v>33</v>
      </c>
      <c r="I3032" s="7" t="n">
        <f aca="false">IF(AND(LEFT(A3032,1)&lt;&gt;"C",D3032&gt;0,F3032&gt;0),1,0)</f>
        <v>0</v>
      </c>
      <c r="J3032" s="7" t="n">
        <f aca="false">IF(I3032=1,D3032*F3032,0)</f>
        <v>0</v>
      </c>
      <c r="K3032" s="7" t="n">
        <f aca="false">YEAR(E3032)*100+MONTH(E3032)</f>
        <v>201110</v>
      </c>
      <c r="L3032" s="7" t="n">
        <f aca="false">IF(AND(A3032&lt;&gt;A3031,LEFT(A3032,1)&lt;&gt;"C"),1,0)</f>
        <v>0</v>
      </c>
    </row>
    <row r="3033" customFormat="false" ht="15" hidden="false" customHeight="false" outlineLevel="0" collapsed="false">
      <c r="A3033" s="0" t="s">
        <v>2250</v>
      </c>
      <c r="B3033" s="0" t="s">
        <v>1104</v>
      </c>
      <c r="C3033" s="0" t="s">
        <v>1105</v>
      </c>
      <c r="D3033" s="0" t="n">
        <v>-1</v>
      </c>
      <c r="E3033" s="6" t="n">
        <v>40829.4923611111</v>
      </c>
      <c r="F3033" s="0" t="n">
        <v>2.55</v>
      </c>
      <c r="G3033" s="0" t="n">
        <v>13816</v>
      </c>
      <c r="H3033" s="0" t="s">
        <v>33</v>
      </c>
      <c r="I3033" s="7" t="n">
        <f aca="false">IF(AND(LEFT(A3033,1)&lt;&gt;"C",D3033&gt;0,F3033&gt;0),1,0)</f>
        <v>0</v>
      </c>
      <c r="J3033" s="7" t="n">
        <f aca="false">IF(I3033=1,D3033*F3033,0)</f>
        <v>0</v>
      </c>
      <c r="K3033" s="7" t="n">
        <f aca="false">YEAR(E3033)*100+MONTH(E3033)</f>
        <v>201110</v>
      </c>
      <c r="L3033" s="7" t="n">
        <f aca="false">IF(AND(A3033&lt;&gt;A3032,LEFT(A3033,1)&lt;&gt;"C"),1,0)</f>
        <v>0</v>
      </c>
    </row>
    <row r="3034" customFormat="false" ht="15" hidden="false" customHeight="false" outlineLevel="0" collapsed="false">
      <c r="A3034" s="0" t="s">
        <v>2250</v>
      </c>
      <c r="B3034" s="0" t="s">
        <v>177</v>
      </c>
      <c r="C3034" s="0" t="s">
        <v>178</v>
      </c>
      <c r="D3034" s="0" t="n">
        <v>-2</v>
      </c>
      <c r="E3034" s="6" t="n">
        <v>40829.4923611111</v>
      </c>
      <c r="F3034" s="0" t="n">
        <v>1.25</v>
      </c>
      <c r="G3034" s="0" t="n">
        <v>13816</v>
      </c>
      <c r="H3034" s="0" t="s">
        <v>33</v>
      </c>
      <c r="I3034" s="7" t="n">
        <f aca="false">IF(AND(LEFT(A3034,1)&lt;&gt;"C",D3034&gt;0,F3034&gt;0),1,0)</f>
        <v>0</v>
      </c>
      <c r="J3034" s="7" t="n">
        <f aca="false">IF(I3034=1,D3034*F3034,0)</f>
        <v>0</v>
      </c>
      <c r="K3034" s="7" t="n">
        <f aca="false">YEAR(E3034)*100+MONTH(E3034)</f>
        <v>201110</v>
      </c>
      <c r="L3034" s="7" t="n">
        <f aca="false">IF(AND(A3034&lt;&gt;A3033,LEFT(A3034,1)&lt;&gt;"C"),1,0)</f>
        <v>0</v>
      </c>
    </row>
    <row r="3035" customFormat="false" ht="15" hidden="false" customHeight="false" outlineLevel="0" collapsed="false">
      <c r="A3035" s="0" t="s">
        <v>2250</v>
      </c>
      <c r="B3035" s="0" t="s">
        <v>693</v>
      </c>
      <c r="C3035" s="0" t="s">
        <v>694</v>
      </c>
      <c r="D3035" s="0" t="n">
        <v>-2</v>
      </c>
      <c r="E3035" s="6" t="n">
        <v>40829.4923611111</v>
      </c>
      <c r="F3035" s="0" t="n">
        <v>0.83</v>
      </c>
      <c r="G3035" s="0" t="n">
        <v>13816</v>
      </c>
      <c r="H3035" s="0" t="s">
        <v>33</v>
      </c>
      <c r="I3035" s="7" t="n">
        <f aca="false">IF(AND(LEFT(A3035,1)&lt;&gt;"C",D3035&gt;0,F3035&gt;0),1,0)</f>
        <v>0</v>
      </c>
      <c r="J3035" s="7" t="n">
        <f aca="false">IF(I3035=1,D3035*F3035,0)</f>
        <v>0</v>
      </c>
      <c r="K3035" s="7" t="n">
        <f aca="false">YEAR(E3035)*100+MONTH(E3035)</f>
        <v>201110</v>
      </c>
      <c r="L3035" s="7" t="n">
        <f aca="false">IF(AND(A3035&lt;&gt;A3034,LEFT(A3035,1)&lt;&gt;"C"),1,0)</f>
        <v>0</v>
      </c>
    </row>
    <row r="3036" customFormat="false" ht="15" hidden="false" customHeight="false" outlineLevel="0" collapsed="false">
      <c r="A3036" s="0" t="s">
        <v>2251</v>
      </c>
      <c r="B3036" s="0" t="s">
        <v>1481</v>
      </c>
      <c r="C3036" s="0" t="s">
        <v>1482</v>
      </c>
      <c r="D3036" s="0" t="n">
        <v>-4</v>
      </c>
      <c r="E3036" s="6" t="n">
        <v>40829.5083333333</v>
      </c>
      <c r="F3036" s="0" t="n">
        <v>2.95</v>
      </c>
      <c r="G3036" s="0" t="n">
        <v>12612</v>
      </c>
      <c r="H3036" s="0" t="s">
        <v>33</v>
      </c>
      <c r="I3036" s="7" t="n">
        <f aca="false">IF(AND(LEFT(A3036,1)&lt;&gt;"C",D3036&gt;0,F3036&gt;0),1,0)</f>
        <v>0</v>
      </c>
      <c r="J3036" s="7" t="n">
        <f aca="false">IF(I3036=1,D3036*F3036,0)</f>
        <v>0</v>
      </c>
      <c r="K3036" s="7" t="n">
        <f aca="false">YEAR(E3036)*100+MONTH(E3036)</f>
        <v>201110</v>
      </c>
      <c r="L3036" s="7" t="n">
        <f aca="false">IF(AND(A3036&lt;&gt;A3035,LEFT(A3036,1)&lt;&gt;"C"),1,0)</f>
        <v>0</v>
      </c>
    </row>
    <row r="3037" customFormat="false" ht="15" hidden="false" customHeight="false" outlineLevel="0" collapsed="false">
      <c r="A3037" s="0" t="s">
        <v>2251</v>
      </c>
      <c r="B3037" s="0" t="s">
        <v>1463</v>
      </c>
      <c r="C3037" s="0" t="s">
        <v>1464</v>
      </c>
      <c r="D3037" s="0" t="n">
        <v>-7</v>
      </c>
      <c r="E3037" s="6" t="n">
        <v>40829.5083333333</v>
      </c>
      <c r="F3037" s="0" t="n">
        <v>6.95</v>
      </c>
      <c r="G3037" s="0" t="n">
        <v>12612</v>
      </c>
      <c r="H3037" s="0" t="s">
        <v>33</v>
      </c>
      <c r="I3037" s="7" t="n">
        <f aca="false">IF(AND(LEFT(A3037,1)&lt;&gt;"C",D3037&gt;0,F3037&gt;0),1,0)</f>
        <v>0</v>
      </c>
      <c r="J3037" s="7" t="n">
        <f aca="false">IF(I3037=1,D3037*F3037,0)</f>
        <v>0</v>
      </c>
      <c r="K3037" s="7" t="n">
        <f aca="false">YEAR(E3037)*100+MONTH(E3037)</f>
        <v>201110</v>
      </c>
      <c r="L3037" s="7" t="n">
        <f aca="false">IF(AND(A3037&lt;&gt;A3036,LEFT(A3037,1)&lt;&gt;"C"),1,0)</f>
        <v>0</v>
      </c>
    </row>
    <row r="3038" customFormat="false" ht="15" hidden="false" customHeight="false" outlineLevel="0" collapsed="false">
      <c r="A3038" s="0" t="s">
        <v>2252</v>
      </c>
      <c r="B3038" s="0" t="s">
        <v>1676</v>
      </c>
      <c r="C3038" s="0" t="s">
        <v>1677</v>
      </c>
      <c r="D3038" s="0" t="n">
        <v>6</v>
      </c>
      <c r="E3038" s="6" t="n">
        <v>40829.6243055556</v>
      </c>
      <c r="F3038" s="0" t="n">
        <v>5.95</v>
      </c>
      <c r="G3038" s="0" t="n">
        <v>12613</v>
      </c>
      <c r="H3038" s="0" t="s">
        <v>33</v>
      </c>
      <c r="I3038" s="7" t="n">
        <f aca="false">IF(AND(LEFT(A3038,1)&lt;&gt;"C",D3038&gt;0,F3038&gt;0),1,0)</f>
        <v>1</v>
      </c>
      <c r="J3038" s="7" t="n">
        <f aca="false">IF(I3038=1,D3038*F3038,0)</f>
        <v>35.7</v>
      </c>
      <c r="K3038" s="7" t="n">
        <f aca="false">YEAR(E3038)*100+MONTH(E3038)</f>
        <v>201110</v>
      </c>
      <c r="L3038" s="7" t="n">
        <f aca="false">IF(AND(A3038&lt;&gt;A3037,LEFT(A3038,1)&lt;&gt;"C"),1,0)</f>
        <v>1</v>
      </c>
    </row>
    <row r="3039" customFormat="false" ht="15" hidden="false" customHeight="false" outlineLevel="0" collapsed="false">
      <c r="A3039" s="0" t="s">
        <v>2252</v>
      </c>
      <c r="B3039" s="0" t="s">
        <v>1600</v>
      </c>
      <c r="C3039" s="0" t="s">
        <v>1601</v>
      </c>
      <c r="D3039" s="0" t="n">
        <v>10</v>
      </c>
      <c r="E3039" s="6" t="n">
        <v>40829.6243055556</v>
      </c>
      <c r="F3039" s="0" t="n">
        <v>1.95</v>
      </c>
      <c r="G3039" s="0" t="n">
        <v>12613</v>
      </c>
      <c r="H3039" s="0" t="s">
        <v>33</v>
      </c>
      <c r="I3039" s="7" t="n">
        <f aca="false">IF(AND(LEFT(A3039,1)&lt;&gt;"C",D3039&gt;0,F3039&gt;0),1,0)</f>
        <v>1</v>
      </c>
      <c r="J3039" s="7" t="n">
        <f aca="false">IF(I3039=1,D3039*F3039,0)</f>
        <v>19.5</v>
      </c>
      <c r="K3039" s="7" t="n">
        <f aca="false">YEAR(E3039)*100+MONTH(E3039)</f>
        <v>201110</v>
      </c>
      <c r="L3039" s="7" t="n">
        <f aca="false">IF(AND(A3039&lt;&gt;A3038,LEFT(A3039,1)&lt;&gt;"C"),1,0)</f>
        <v>0</v>
      </c>
    </row>
    <row r="3040" customFormat="false" ht="15" hidden="false" customHeight="false" outlineLevel="0" collapsed="false">
      <c r="A3040" s="0" t="s">
        <v>2252</v>
      </c>
      <c r="B3040" s="0" t="s">
        <v>416</v>
      </c>
      <c r="C3040" s="0" t="s">
        <v>417</v>
      </c>
      <c r="D3040" s="0" t="n">
        <v>36</v>
      </c>
      <c r="E3040" s="6" t="n">
        <v>40829.6243055556</v>
      </c>
      <c r="F3040" s="0" t="n">
        <v>0.65</v>
      </c>
      <c r="G3040" s="0" t="n">
        <v>12613</v>
      </c>
      <c r="H3040" s="0" t="s">
        <v>33</v>
      </c>
      <c r="I3040" s="7" t="n">
        <f aca="false">IF(AND(LEFT(A3040,1)&lt;&gt;"C",D3040&gt;0,F3040&gt;0),1,0)</f>
        <v>1</v>
      </c>
      <c r="J3040" s="7" t="n">
        <f aca="false">IF(I3040=1,D3040*F3040,0)</f>
        <v>23.4</v>
      </c>
      <c r="K3040" s="7" t="n">
        <f aca="false">YEAR(E3040)*100+MONTH(E3040)</f>
        <v>201110</v>
      </c>
      <c r="L3040" s="7" t="n">
        <f aca="false">IF(AND(A3040&lt;&gt;A3039,LEFT(A3040,1)&lt;&gt;"C"),1,0)</f>
        <v>0</v>
      </c>
    </row>
    <row r="3041" customFormat="false" ht="15" hidden="false" customHeight="false" outlineLevel="0" collapsed="false">
      <c r="A3041" s="0" t="s">
        <v>2252</v>
      </c>
      <c r="B3041" s="0" t="s">
        <v>583</v>
      </c>
      <c r="C3041" s="0" t="s">
        <v>584</v>
      </c>
      <c r="D3041" s="0" t="n">
        <v>12</v>
      </c>
      <c r="E3041" s="6" t="n">
        <v>40829.6243055556</v>
      </c>
      <c r="F3041" s="0" t="n">
        <v>1.45</v>
      </c>
      <c r="G3041" s="0" t="n">
        <v>12613</v>
      </c>
      <c r="H3041" s="0" t="s">
        <v>33</v>
      </c>
      <c r="I3041" s="7" t="n">
        <f aca="false">IF(AND(LEFT(A3041,1)&lt;&gt;"C",D3041&gt;0,F3041&gt;0),1,0)</f>
        <v>1</v>
      </c>
      <c r="J3041" s="7" t="n">
        <f aca="false">IF(I3041=1,D3041*F3041,0)</f>
        <v>17.4</v>
      </c>
      <c r="K3041" s="7" t="n">
        <f aca="false">YEAR(E3041)*100+MONTH(E3041)</f>
        <v>201110</v>
      </c>
      <c r="L3041" s="7" t="n">
        <f aca="false">IF(AND(A3041&lt;&gt;A3040,LEFT(A3041,1)&lt;&gt;"C"),1,0)</f>
        <v>0</v>
      </c>
    </row>
    <row r="3042" customFormat="false" ht="15" hidden="false" customHeight="false" outlineLevel="0" collapsed="false">
      <c r="A3042" s="0" t="s">
        <v>2252</v>
      </c>
      <c r="B3042" s="0" t="s">
        <v>760</v>
      </c>
      <c r="C3042" s="0" t="s">
        <v>761</v>
      </c>
      <c r="D3042" s="0" t="n">
        <v>6</v>
      </c>
      <c r="E3042" s="6" t="n">
        <v>40829.6243055556</v>
      </c>
      <c r="F3042" s="0" t="n">
        <v>4.25</v>
      </c>
      <c r="G3042" s="0" t="n">
        <v>12613</v>
      </c>
      <c r="H3042" s="0" t="s">
        <v>33</v>
      </c>
      <c r="I3042" s="7" t="n">
        <f aca="false">IF(AND(LEFT(A3042,1)&lt;&gt;"C",D3042&gt;0,F3042&gt;0),1,0)</f>
        <v>1</v>
      </c>
      <c r="J3042" s="7" t="n">
        <f aca="false">IF(I3042=1,D3042*F3042,0)</f>
        <v>25.5</v>
      </c>
      <c r="K3042" s="7" t="n">
        <f aca="false">YEAR(E3042)*100+MONTH(E3042)</f>
        <v>201110</v>
      </c>
      <c r="L3042" s="7" t="n">
        <f aca="false">IF(AND(A3042&lt;&gt;A3041,LEFT(A3042,1)&lt;&gt;"C"),1,0)</f>
        <v>0</v>
      </c>
    </row>
    <row r="3043" customFormat="false" ht="15" hidden="false" customHeight="false" outlineLevel="0" collapsed="false">
      <c r="A3043" s="0" t="s">
        <v>2252</v>
      </c>
      <c r="B3043" s="0" t="s">
        <v>2253</v>
      </c>
      <c r="C3043" s="0" t="s">
        <v>2254</v>
      </c>
      <c r="D3043" s="0" t="n">
        <v>6</v>
      </c>
      <c r="E3043" s="6" t="n">
        <v>40829.6243055556</v>
      </c>
      <c r="F3043" s="0" t="n">
        <v>3.35</v>
      </c>
      <c r="G3043" s="0" t="n">
        <v>12613</v>
      </c>
      <c r="H3043" s="0" t="s">
        <v>33</v>
      </c>
      <c r="I3043" s="7" t="n">
        <f aca="false">IF(AND(LEFT(A3043,1)&lt;&gt;"C",D3043&gt;0,F3043&gt;0),1,0)</f>
        <v>1</v>
      </c>
      <c r="J3043" s="7" t="n">
        <f aca="false">IF(I3043=1,D3043*F3043,0)</f>
        <v>20.1</v>
      </c>
      <c r="K3043" s="7" t="n">
        <f aca="false">YEAR(E3043)*100+MONTH(E3043)</f>
        <v>201110</v>
      </c>
      <c r="L3043" s="7" t="n">
        <f aca="false">IF(AND(A3043&lt;&gt;A3042,LEFT(A3043,1)&lt;&gt;"C"),1,0)</f>
        <v>0</v>
      </c>
    </row>
    <row r="3044" customFormat="false" ht="15" hidden="false" customHeight="false" outlineLevel="0" collapsed="false">
      <c r="A3044" s="0" t="s">
        <v>2252</v>
      </c>
      <c r="B3044" s="0" t="s">
        <v>333</v>
      </c>
      <c r="C3044" s="0" t="s">
        <v>334</v>
      </c>
      <c r="D3044" s="0" t="n">
        <v>12</v>
      </c>
      <c r="E3044" s="6" t="n">
        <v>40829.6243055556</v>
      </c>
      <c r="F3044" s="0" t="n">
        <v>1.65</v>
      </c>
      <c r="G3044" s="0" t="n">
        <v>12613</v>
      </c>
      <c r="H3044" s="0" t="s">
        <v>33</v>
      </c>
      <c r="I3044" s="7" t="n">
        <f aca="false">IF(AND(LEFT(A3044,1)&lt;&gt;"C",D3044&gt;0,F3044&gt;0),1,0)</f>
        <v>1</v>
      </c>
      <c r="J3044" s="7" t="n">
        <f aca="false">IF(I3044=1,D3044*F3044,0)</f>
        <v>19.8</v>
      </c>
      <c r="K3044" s="7" t="n">
        <f aca="false">YEAR(E3044)*100+MONTH(E3044)</f>
        <v>201110</v>
      </c>
      <c r="L3044" s="7" t="n">
        <f aca="false">IF(AND(A3044&lt;&gt;A3043,LEFT(A3044,1)&lt;&gt;"C"),1,0)</f>
        <v>0</v>
      </c>
    </row>
    <row r="3045" customFormat="false" ht="15" hidden="false" customHeight="false" outlineLevel="0" collapsed="false">
      <c r="A3045" s="0" t="s">
        <v>2252</v>
      </c>
      <c r="B3045" s="0" t="s">
        <v>641</v>
      </c>
      <c r="C3045" s="0" t="s">
        <v>642</v>
      </c>
      <c r="D3045" s="0" t="n">
        <v>12</v>
      </c>
      <c r="E3045" s="6" t="n">
        <v>40829.6243055556</v>
      </c>
      <c r="F3045" s="0" t="n">
        <v>1.65</v>
      </c>
      <c r="G3045" s="0" t="n">
        <v>12613</v>
      </c>
      <c r="H3045" s="0" t="s">
        <v>33</v>
      </c>
      <c r="I3045" s="7" t="n">
        <f aca="false">IF(AND(LEFT(A3045,1)&lt;&gt;"C",D3045&gt;0,F3045&gt;0),1,0)</f>
        <v>1</v>
      </c>
      <c r="J3045" s="7" t="n">
        <f aca="false">IF(I3045=1,D3045*F3045,0)</f>
        <v>19.8</v>
      </c>
      <c r="K3045" s="7" t="n">
        <f aca="false">YEAR(E3045)*100+MONTH(E3045)</f>
        <v>201110</v>
      </c>
      <c r="L3045" s="7" t="n">
        <f aca="false">IF(AND(A3045&lt;&gt;A3044,LEFT(A3045,1)&lt;&gt;"C"),1,0)</f>
        <v>0</v>
      </c>
    </row>
    <row r="3046" customFormat="false" ht="15" hidden="false" customHeight="false" outlineLevel="0" collapsed="false">
      <c r="A3046" s="0" t="s">
        <v>2252</v>
      </c>
      <c r="B3046" s="0" t="s">
        <v>471</v>
      </c>
      <c r="C3046" s="0" t="s">
        <v>472</v>
      </c>
      <c r="D3046" s="0" t="n">
        <v>12</v>
      </c>
      <c r="E3046" s="6" t="n">
        <v>40829.6243055556</v>
      </c>
      <c r="F3046" s="0" t="n">
        <v>1.65</v>
      </c>
      <c r="G3046" s="0" t="n">
        <v>12613</v>
      </c>
      <c r="H3046" s="0" t="s">
        <v>33</v>
      </c>
      <c r="I3046" s="7" t="n">
        <f aca="false">IF(AND(LEFT(A3046,1)&lt;&gt;"C",D3046&gt;0,F3046&gt;0),1,0)</f>
        <v>1</v>
      </c>
      <c r="J3046" s="7" t="n">
        <f aca="false">IF(I3046=1,D3046*F3046,0)</f>
        <v>19.8</v>
      </c>
      <c r="K3046" s="7" t="n">
        <f aca="false">YEAR(E3046)*100+MONTH(E3046)</f>
        <v>201110</v>
      </c>
      <c r="L3046" s="7" t="n">
        <f aca="false">IF(AND(A3046&lt;&gt;A3045,LEFT(A3046,1)&lt;&gt;"C"),1,0)</f>
        <v>0</v>
      </c>
    </row>
    <row r="3047" customFormat="false" ht="15" hidden="false" customHeight="false" outlineLevel="0" collapsed="false">
      <c r="A3047" s="0" t="s">
        <v>2252</v>
      </c>
      <c r="B3047" s="0" t="s">
        <v>91</v>
      </c>
      <c r="C3047" s="0" t="s">
        <v>92</v>
      </c>
      <c r="D3047" s="0" t="n">
        <v>4</v>
      </c>
      <c r="E3047" s="6" t="n">
        <v>40829.6243055556</v>
      </c>
      <c r="F3047" s="0" t="n">
        <v>4.15</v>
      </c>
      <c r="G3047" s="0" t="n">
        <v>12613</v>
      </c>
      <c r="H3047" s="0" t="s">
        <v>33</v>
      </c>
      <c r="I3047" s="7" t="n">
        <f aca="false">IF(AND(LEFT(A3047,1)&lt;&gt;"C",D3047&gt;0,F3047&gt;0),1,0)</f>
        <v>1</v>
      </c>
      <c r="J3047" s="7" t="n">
        <f aca="false">IF(I3047=1,D3047*F3047,0)</f>
        <v>16.6</v>
      </c>
      <c r="K3047" s="7" t="n">
        <f aca="false">YEAR(E3047)*100+MONTH(E3047)</f>
        <v>201110</v>
      </c>
      <c r="L3047" s="7" t="n">
        <f aca="false">IF(AND(A3047&lt;&gt;A3046,LEFT(A3047,1)&lt;&gt;"C"),1,0)</f>
        <v>0</v>
      </c>
    </row>
    <row r="3048" customFormat="false" ht="15" hidden="false" customHeight="false" outlineLevel="0" collapsed="false">
      <c r="A3048" s="0" t="s">
        <v>2252</v>
      </c>
      <c r="B3048" s="0" t="s">
        <v>93</v>
      </c>
      <c r="C3048" s="0" t="s">
        <v>94</v>
      </c>
      <c r="D3048" s="0" t="n">
        <v>4</v>
      </c>
      <c r="E3048" s="6" t="n">
        <v>40829.6243055556</v>
      </c>
      <c r="F3048" s="0" t="n">
        <v>4.15</v>
      </c>
      <c r="G3048" s="0" t="n">
        <v>12613</v>
      </c>
      <c r="H3048" s="0" t="s">
        <v>33</v>
      </c>
      <c r="I3048" s="7" t="n">
        <f aca="false">IF(AND(LEFT(A3048,1)&lt;&gt;"C",D3048&gt;0,F3048&gt;0),1,0)</f>
        <v>1</v>
      </c>
      <c r="J3048" s="7" t="n">
        <f aca="false">IF(I3048=1,D3048*F3048,0)</f>
        <v>16.6</v>
      </c>
      <c r="K3048" s="7" t="n">
        <f aca="false">YEAR(E3048)*100+MONTH(E3048)</f>
        <v>201110</v>
      </c>
      <c r="L3048" s="7" t="n">
        <f aca="false">IF(AND(A3048&lt;&gt;A3047,LEFT(A3048,1)&lt;&gt;"C"),1,0)</f>
        <v>0</v>
      </c>
    </row>
    <row r="3049" customFormat="false" ht="15" hidden="false" customHeight="false" outlineLevel="0" collapsed="false">
      <c r="A3049" s="0" t="s">
        <v>2252</v>
      </c>
      <c r="B3049" s="0" t="s">
        <v>89</v>
      </c>
      <c r="C3049" s="0" t="s">
        <v>90</v>
      </c>
      <c r="D3049" s="0" t="n">
        <v>4</v>
      </c>
      <c r="E3049" s="6" t="n">
        <v>40829.6243055556</v>
      </c>
      <c r="F3049" s="0" t="n">
        <v>4.15</v>
      </c>
      <c r="G3049" s="0" t="n">
        <v>12613</v>
      </c>
      <c r="H3049" s="0" t="s">
        <v>33</v>
      </c>
      <c r="I3049" s="7" t="n">
        <f aca="false">IF(AND(LEFT(A3049,1)&lt;&gt;"C",D3049&gt;0,F3049&gt;0),1,0)</f>
        <v>1</v>
      </c>
      <c r="J3049" s="7" t="n">
        <f aca="false">IF(I3049=1,D3049*F3049,0)</f>
        <v>16.6</v>
      </c>
      <c r="K3049" s="7" t="n">
        <f aca="false">YEAR(E3049)*100+MONTH(E3049)</f>
        <v>201110</v>
      </c>
      <c r="L3049" s="7" t="n">
        <f aca="false">IF(AND(A3049&lt;&gt;A3048,LEFT(A3049,1)&lt;&gt;"C"),1,0)</f>
        <v>0</v>
      </c>
    </row>
    <row r="3050" customFormat="false" ht="15" hidden="false" customHeight="false" outlineLevel="0" collapsed="false">
      <c r="A3050" s="0" t="s">
        <v>2252</v>
      </c>
      <c r="B3050" s="0" t="s">
        <v>1044</v>
      </c>
      <c r="C3050" s="0" t="s">
        <v>1045</v>
      </c>
      <c r="D3050" s="0" t="n">
        <v>4</v>
      </c>
      <c r="E3050" s="6" t="n">
        <v>40829.6243055556</v>
      </c>
      <c r="F3050" s="0" t="n">
        <v>4.15</v>
      </c>
      <c r="G3050" s="0" t="n">
        <v>12613</v>
      </c>
      <c r="H3050" s="0" t="s">
        <v>33</v>
      </c>
      <c r="I3050" s="7" t="n">
        <f aca="false">IF(AND(LEFT(A3050,1)&lt;&gt;"C",D3050&gt;0,F3050&gt;0),1,0)</f>
        <v>1</v>
      </c>
      <c r="J3050" s="7" t="n">
        <f aca="false">IF(I3050=1,D3050*F3050,0)</f>
        <v>16.6</v>
      </c>
      <c r="K3050" s="7" t="n">
        <f aca="false">YEAR(E3050)*100+MONTH(E3050)</f>
        <v>201110</v>
      </c>
      <c r="L3050" s="7" t="n">
        <f aca="false">IF(AND(A3050&lt;&gt;A3049,LEFT(A3050,1)&lt;&gt;"C"),1,0)</f>
        <v>0</v>
      </c>
    </row>
    <row r="3051" customFormat="false" ht="15" hidden="false" customHeight="false" outlineLevel="0" collapsed="false">
      <c r="A3051" s="0" t="s">
        <v>2252</v>
      </c>
      <c r="B3051" s="0" t="s">
        <v>1048</v>
      </c>
      <c r="C3051" s="0" t="s">
        <v>1049</v>
      </c>
      <c r="D3051" s="0" t="n">
        <v>8</v>
      </c>
      <c r="E3051" s="6" t="n">
        <v>40829.6243055556</v>
      </c>
      <c r="F3051" s="0" t="n">
        <v>4.15</v>
      </c>
      <c r="G3051" s="0" t="n">
        <v>12613</v>
      </c>
      <c r="H3051" s="0" t="s">
        <v>33</v>
      </c>
      <c r="I3051" s="7" t="n">
        <f aca="false">IF(AND(LEFT(A3051,1)&lt;&gt;"C",D3051&gt;0,F3051&gt;0),1,0)</f>
        <v>1</v>
      </c>
      <c r="J3051" s="7" t="n">
        <f aca="false">IF(I3051=1,D3051*F3051,0)</f>
        <v>33.2</v>
      </c>
      <c r="K3051" s="7" t="n">
        <f aca="false">YEAR(E3051)*100+MONTH(E3051)</f>
        <v>201110</v>
      </c>
      <c r="L3051" s="7" t="n">
        <f aca="false">IF(AND(A3051&lt;&gt;A3050,LEFT(A3051,1)&lt;&gt;"C"),1,0)</f>
        <v>0</v>
      </c>
    </row>
    <row r="3052" customFormat="false" ht="15" hidden="false" customHeight="false" outlineLevel="0" collapsed="false">
      <c r="A3052" s="0" t="s">
        <v>2252</v>
      </c>
      <c r="B3052" s="0" t="s">
        <v>1042</v>
      </c>
      <c r="C3052" s="0" t="s">
        <v>1043</v>
      </c>
      <c r="D3052" s="0" t="n">
        <v>4</v>
      </c>
      <c r="E3052" s="6" t="n">
        <v>40829.6243055556</v>
      </c>
      <c r="F3052" s="0" t="n">
        <v>4.15</v>
      </c>
      <c r="G3052" s="0" t="n">
        <v>12613</v>
      </c>
      <c r="H3052" s="0" t="s">
        <v>33</v>
      </c>
      <c r="I3052" s="7" t="n">
        <f aca="false">IF(AND(LEFT(A3052,1)&lt;&gt;"C",D3052&gt;0,F3052&gt;0),1,0)</f>
        <v>1</v>
      </c>
      <c r="J3052" s="7" t="n">
        <f aca="false">IF(I3052=1,D3052*F3052,0)</f>
        <v>16.6</v>
      </c>
      <c r="K3052" s="7" t="n">
        <f aca="false">YEAR(E3052)*100+MONTH(E3052)</f>
        <v>201110</v>
      </c>
      <c r="L3052" s="7" t="n">
        <f aca="false">IF(AND(A3052&lt;&gt;A3051,LEFT(A3052,1)&lt;&gt;"C"),1,0)</f>
        <v>0</v>
      </c>
    </row>
    <row r="3053" customFormat="false" ht="15" hidden="false" customHeight="false" outlineLevel="0" collapsed="false">
      <c r="A3053" s="0" t="s">
        <v>2252</v>
      </c>
      <c r="B3053" s="0" t="s">
        <v>2255</v>
      </c>
      <c r="C3053" s="0" t="s">
        <v>2256</v>
      </c>
      <c r="D3053" s="0" t="n">
        <v>24</v>
      </c>
      <c r="E3053" s="6" t="n">
        <v>40829.6243055556</v>
      </c>
      <c r="F3053" s="0" t="n">
        <v>1.25</v>
      </c>
      <c r="G3053" s="0" t="n">
        <v>12613</v>
      </c>
      <c r="H3053" s="0" t="s">
        <v>33</v>
      </c>
      <c r="I3053" s="7" t="n">
        <f aca="false">IF(AND(LEFT(A3053,1)&lt;&gt;"C",D3053&gt;0,F3053&gt;0),1,0)</f>
        <v>1</v>
      </c>
      <c r="J3053" s="7" t="n">
        <f aca="false">IF(I3053=1,D3053*F3053,0)</f>
        <v>30</v>
      </c>
      <c r="K3053" s="7" t="n">
        <f aca="false">YEAR(E3053)*100+MONTH(E3053)</f>
        <v>201110</v>
      </c>
      <c r="L3053" s="7" t="n">
        <f aca="false">IF(AND(A3053&lt;&gt;A3052,LEFT(A3053,1)&lt;&gt;"C"),1,0)</f>
        <v>0</v>
      </c>
    </row>
    <row r="3054" customFormat="false" ht="15" hidden="false" customHeight="false" outlineLevel="0" collapsed="false">
      <c r="A3054" s="0" t="s">
        <v>2252</v>
      </c>
      <c r="B3054" s="0" t="s">
        <v>602</v>
      </c>
      <c r="C3054" s="0" t="s">
        <v>603</v>
      </c>
      <c r="D3054" s="0" t="n">
        <v>6</v>
      </c>
      <c r="E3054" s="6" t="n">
        <v>40829.6243055556</v>
      </c>
      <c r="F3054" s="0" t="n">
        <v>1.95</v>
      </c>
      <c r="G3054" s="0" t="n">
        <v>12613</v>
      </c>
      <c r="H3054" s="0" t="s">
        <v>33</v>
      </c>
      <c r="I3054" s="7" t="n">
        <f aca="false">IF(AND(LEFT(A3054,1)&lt;&gt;"C",D3054&gt;0,F3054&gt;0),1,0)</f>
        <v>1</v>
      </c>
      <c r="J3054" s="7" t="n">
        <f aca="false">IF(I3054=1,D3054*F3054,0)</f>
        <v>11.7</v>
      </c>
      <c r="K3054" s="7" t="n">
        <f aca="false">YEAR(E3054)*100+MONTH(E3054)</f>
        <v>201110</v>
      </c>
      <c r="L3054" s="7" t="n">
        <f aca="false">IF(AND(A3054&lt;&gt;A3053,LEFT(A3054,1)&lt;&gt;"C"),1,0)</f>
        <v>0</v>
      </c>
    </row>
    <row r="3055" customFormat="false" ht="15" hidden="false" customHeight="false" outlineLevel="0" collapsed="false">
      <c r="A3055" s="0" t="s">
        <v>2252</v>
      </c>
      <c r="B3055" s="0" t="s">
        <v>897</v>
      </c>
      <c r="C3055" s="0" t="s">
        <v>898</v>
      </c>
      <c r="D3055" s="0" t="n">
        <v>3</v>
      </c>
      <c r="E3055" s="6" t="n">
        <v>40829.6243055556</v>
      </c>
      <c r="F3055" s="0" t="n">
        <v>4.95</v>
      </c>
      <c r="G3055" s="0" t="n">
        <v>12613</v>
      </c>
      <c r="H3055" s="0" t="s">
        <v>33</v>
      </c>
      <c r="I3055" s="7" t="n">
        <f aca="false">IF(AND(LEFT(A3055,1)&lt;&gt;"C",D3055&gt;0,F3055&gt;0),1,0)</f>
        <v>1</v>
      </c>
      <c r="J3055" s="7" t="n">
        <f aca="false">IF(I3055=1,D3055*F3055,0)</f>
        <v>14.85</v>
      </c>
      <c r="K3055" s="7" t="n">
        <f aca="false">YEAR(E3055)*100+MONTH(E3055)</f>
        <v>201110</v>
      </c>
      <c r="L3055" s="7" t="n">
        <f aca="false">IF(AND(A3055&lt;&gt;A3054,LEFT(A3055,1)&lt;&gt;"C"),1,0)</f>
        <v>0</v>
      </c>
    </row>
    <row r="3056" customFormat="false" ht="15" hidden="false" customHeight="false" outlineLevel="0" collapsed="false">
      <c r="A3056" s="0" t="s">
        <v>2252</v>
      </c>
      <c r="B3056" s="0" t="s">
        <v>2257</v>
      </c>
      <c r="C3056" s="0" t="s">
        <v>2258</v>
      </c>
      <c r="D3056" s="0" t="n">
        <v>6</v>
      </c>
      <c r="E3056" s="6" t="n">
        <v>40829.6243055556</v>
      </c>
      <c r="F3056" s="0" t="n">
        <v>3.75</v>
      </c>
      <c r="G3056" s="0" t="n">
        <v>12613</v>
      </c>
      <c r="H3056" s="0" t="s">
        <v>33</v>
      </c>
      <c r="I3056" s="7" t="n">
        <f aca="false">IF(AND(LEFT(A3056,1)&lt;&gt;"C",D3056&gt;0,F3056&gt;0),1,0)</f>
        <v>1</v>
      </c>
      <c r="J3056" s="7" t="n">
        <f aca="false">IF(I3056=1,D3056*F3056,0)</f>
        <v>22.5</v>
      </c>
      <c r="K3056" s="7" t="n">
        <f aca="false">YEAR(E3056)*100+MONTH(E3056)</f>
        <v>201110</v>
      </c>
      <c r="L3056" s="7" t="n">
        <f aca="false">IF(AND(A3056&lt;&gt;A3055,LEFT(A3056,1)&lt;&gt;"C"),1,0)</f>
        <v>0</v>
      </c>
    </row>
    <row r="3057" customFormat="false" ht="15" hidden="false" customHeight="false" outlineLevel="0" collapsed="false">
      <c r="A3057" s="0" t="s">
        <v>2252</v>
      </c>
      <c r="B3057" s="0" t="s">
        <v>308</v>
      </c>
      <c r="C3057" s="0" t="s">
        <v>309</v>
      </c>
      <c r="D3057" s="0" t="n">
        <v>12</v>
      </c>
      <c r="E3057" s="6" t="n">
        <v>40829.6243055556</v>
      </c>
      <c r="F3057" s="0" t="n">
        <v>1.25</v>
      </c>
      <c r="G3057" s="0" t="n">
        <v>12613</v>
      </c>
      <c r="H3057" s="0" t="s">
        <v>33</v>
      </c>
      <c r="I3057" s="7" t="n">
        <f aca="false">IF(AND(LEFT(A3057,1)&lt;&gt;"C",D3057&gt;0,F3057&gt;0),1,0)</f>
        <v>1</v>
      </c>
      <c r="J3057" s="7" t="n">
        <f aca="false">IF(I3057=1,D3057*F3057,0)</f>
        <v>15</v>
      </c>
      <c r="K3057" s="7" t="n">
        <f aca="false">YEAR(E3057)*100+MONTH(E3057)</f>
        <v>201110</v>
      </c>
      <c r="L3057" s="7" t="n">
        <f aca="false">IF(AND(A3057&lt;&gt;A3056,LEFT(A3057,1)&lt;&gt;"C"),1,0)</f>
        <v>0</v>
      </c>
    </row>
    <row r="3058" customFormat="false" ht="15" hidden="false" customHeight="false" outlineLevel="0" collapsed="false">
      <c r="A3058" s="0" t="s">
        <v>2252</v>
      </c>
      <c r="B3058" s="0" t="s">
        <v>448</v>
      </c>
      <c r="C3058" s="0" t="s">
        <v>449</v>
      </c>
      <c r="D3058" s="0" t="n">
        <v>12</v>
      </c>
      <c r="E3058" s="6" t="n">
        <v>40829.6243055556</v>
      </c>
      <c r="F3058" s="0" t="n">
        <v>1.65</v>
      </c>
      <c r="G3058" s="0" t="n">
        <v>12613</v>
      </c>
      <c r="H3058" s="0" t="s">
        <v>33</v>
      </c>
      <c r="I3058" s="7" t="n">
        <f aca="false">IF(AND(LEFT(A3058,1)&lt;&gt;"C",D3058&gt;0,F3058&gt;0),1,0)</f>
        <v>1</v>
      </c>
      <c r="J3058" s="7" t="n">
        <f aca="false">IF(I3058=1,D3058*F3058,0)</f>
        <v>19.8</v>
      </c>
      <c r="K3058" s="7" t="n">
        <f aca="false">YEAR(E3058)*100+MONTH(E3058)</f>
        <v>201110</v>
      </c>
      <c r="L3058" s="7" t="n">
        <f aca="false">IF(AND(A3058&lt;&gt;A3057,LEFT(A3058,1)&lt;&gt;"C"),1,0)</f>
        <v>0</v>
      </c>
    </row>
    <row r="3059" customFormat="false" ht="15" hidden="false" customHeight="false" outlineLevel="0" collapsed="false">
      <c r="A3059" s="0" t="s">
        <v>2252</v>
      </c>
      <c r="B3059" s="0" t="s">
        <v>2259</v>
      </c>
      <c r="C3059" s="0" t="s">
        <v>2260</v>
      </c>
      <c r="D3059" s="0" t="n">
        <v>6</v>
      </c>
      <c r="E3059" s="6" t="n">
        <v>40829.6243055556</v>
      </c>
      <c r="F3059" s="0" t="n">
        <v>2.1</v>
      </c>
      <c r="G3059" s="0" t="n">
        <v>12613</v>
      </c>
      <c r="H3059" s="0" t="s">
        <v>33</v>
      </c>
      <c r="I3059" s="7" t="n">
        <f aca="false">IF(AND(LEFT(A3059,1)&lt;&gt;"C",D3059&gt;0,F3059&gt;0),1,0)</f>
        <v>1</v>
      </c>
      <c r="J3059" s="7" t="n">
        <f aca="false">IF(I3059=1,D3059*F3059,0)</f>
        <v>12.6</v>
      </c>
      <c r="K3059" s="7" t="n">
        <f aca="false">YEAR(E3059)*100+MONTH(E3059)</f>
        <v>201110</v>
      </c>
      <c r="L3059" s="7" t="n">
        <f aca="false">IF(AND(A3059&lt;&gt;A3058,LEFT(A3059,1)&lt;&gt;"C"),1,0)</f>
        <v>0</v>
      </c>
    </row>
    <row r="3060" customFormat="false" ht="15" hidden="false" customHeight="false" outlineLevel="0" collapsed="false">
      <c r="A3060" s="0" t="s">
        <v>2252</v>
      </c>
      <c r="B3060" s="0" t="s">
        <v>310</v>
      </c>
      <c r="C3060" s="0" t="s">
        <v>311</v>
      </c>
      <c r="D3060" s="0" t="n">
        <v>8</v>
      </c>
      <c r="E3060" s="6" t="n">
        <v>40829.6243055556</v>
      </c>
      <c r="F3060" s="0" t="n">
        <v>4.95</v>
      </c>
      <c r="G3060" s="0" t="n">
        <v>12613</v>
      </c>
      <c r="H3060" s="0" t="s">
        <v>33</v>
      </c>
      <c r="I3060" s="7" t="n">
        <f aca="false">IF(AND(LEFT(A3060,1)&lt;&gt;"C",D3060&gt;0,F3060&gt;0),1,0)</f>
        <v>1</v>
      </c>
      <c r="J3060" s="7" t="n">
        <f aca="false">IF(I3060=1,D3060*F3060,0)</f>
        <v>39.6</v>
      </c>
      <c r="K3060" s="7" t="n">
        <f aca="false">YEAR(E3060)*100+MONTH(E3060)</f>
        <v>201110</v>
      </c>
      <c r="L3060" s="7" t="n">
        <f aca="false">IF(AND(A3060&lt;&gt;A3059,LEFT(A3060,1)&lt;&gt;"C"),1,0)</f>
        <v>0</v>
      </c>
    </row>
    <row r="3061" customFormat="false" ht="15" hidden="false" customHeight="false" outlineLevel="0" collapsed="false">
      <c r="A3061" s="0" t="s">
        <v>2252</v>
      </c>
      <c r="B3061" s="0" t="s">
        <v>103</v>
      </c>
      <c r="C3061" s="0" t="s">
        <v>104</v>
      </c>
      <c r="D3061" s="0" t="n">
        <v>24</v>
      </c>
      <c r="E3061" s="6" t="n">
        <v>40829.6243055556</v>
      </c>
      <c r="F3061" s="0" t="n">
        <v>0.55</v>
      </c>
      <c r="G3061" s="0" t="n">
        <v>12613</v>
      </c>
      <c r="H3061" s="0" t="s">
        <v>33</v>
      </c>
      <c r="I3061" s="7" t="n">
        <f aca="false">IF(AND(LEFT(A3061,1)&lt;&gt;"C",D3061&gt;0,F3061&gt;0),1,0)</f>
        <v>1</v>
      </c>
      <c r="J3061" s="7" t="n">
        <f aca="false">IF(I3061=1,D3061*F3061,0)</f>
        <v>13.2</v>
      </c>
      <c r="K3061" s="7" t="n">
        <f aca="false">YEAR(E3061)*100+MONTH(E3061)</f>
        <v>201110</v>
      </c>
      <c r="L3061" s="7" t="n">
        <f aca="false">IF(AND(A3061&lt;&gt;A3060,LEFT(A3061,1)&lt;&gt;"C"),1,0)</f>
        <v>0</v>
      </c>
    </row>
    <row r="3062" customFormat="false" ht="15" hidden="false" customHeight="false" outlineLevel="0" collapsed="false">
      <c r="A3062" s="0" t="s">
        <v>2252</v>
      </c>
      <c r="B3062" s="0" t="s">
        <v>349</v>
      </c>
      <c r="C3062" s="0" t="s">
        <v>350</v>
      </c>
      <c r="D3062" s="0" t="n">
        <v>24</v>
      </c>
      <c r="E3062" s="6" t="n">
        <v>40829.6243055556</v>
      </c>
      <c r="F3062" s="0" t="n">
        <v>1.45</v>
      </c>
      <c r="G3062" s="0" t="n">
        <v>12613</v>
      </c>
      <c r="H3062" s="0" t="s">
        <v>33</v>
      </c>
      <c r="I3062" s="7" t="n">
        <f aca="false">IF(AND(LEFT(A3062,1)&lt;&gt;"C",D3062&gt;0,F3062&gt;0),1,0)</f>
        <v>1</v>
      </c>
      <c r="J3062" s="7" t="n">
        <f aca="false">IF(I3062=1,D3062*F3062,0)</f>
        <v>34.8</v>
      </c>
      <c r="K3062" s="7" t="n">
        <f aca="false">YEAR(E3062)*100+MONTH(E3062)</f>
        <v>201110</v>
      </c>
      <c r="L3062" s="7" t="n">
        <f aca="false">IF(AND(A3062&lt;&gt;A3061,LEFT(A3062,1)&lt;&gt;"C"),1,0)</f>
        <v>0</v>
      </c>
    </row>
    <row r="3063" customFormat="false" ht="15" hidden="false" customHeight="false" outlineLevel="0" collapsed="false">
      <c r="A3063" s="0" t="s">
        <v>2252</v>
      </c>
      <c r="B3063" s="0" t="s">
        <v>1296</v>
      </c>
      <c r="C3063" s="0" t="s">
        <v>1297</v>
      </c>
      <c r="D3063" s="0" t="n">
        <v>24</v>
      </c>
      <c r="E3063" s="6" t="n">
        <v>40829.6243055556</v>
      </c>
      <c r="F3063" s="0" t="n">
        <v>1.45</v>
      </c>
      <c r="G3063" s="0" t="n">
        <v>12613</v>
      </c>
      <c r="H3063" s="0" t="s">
        <v>33</v>
      </c>
      <c r="I3063" s="7" t="n">
        <f aca="false">IF(AND(LEFT(A3063,1)&lt;&gt;"C",D3063&gt;0,F3063&gt;0),1,0)</f>
        <v>1</v>
      </c>
      <c r="J3063" s="7" t="n">
        <f aca="false">IF(I3063=1,D3063*F3063,0)</f>
        <v>34.8</v>
      </c>
      <c r="K3063" s="7" t="n">
        <f aca="false">YEAR(E3063)*100+MONTH(E3063)</f>
        <v>201110</v>
      </c>
      <c r="L3063" s="7" t="n">
        <f aca="false">IF(AND(A3063&lt;&gt;A3062,LEFT(A3063,1)&lt;&gt;"C"),1,0)</f>
        <v>0</v>
      </c>
    </row>
    <row r="3064" customFormat="false" ht="15" hidden="false" customHeight="false" outlineLevel="0" collapsed="false">
      <c r="A3064" s="0" t="s">
        <v>2252</v>
      </c>
      <c r="B3064" s="0" t="s">
        <v>620</v>
      </c>
      <c r="C3064" s="0" t="s">
        <v>621</v>
      </c>
      <c r="D3064" s="0" t="n">
        <v>4</v>
      </c>
      <c r="E3064" s="6" t="n">
        <v>40829.6243055556</v>
      </c>
      <c r="F3064" s="0" t="n">
        <v>4.15</v>
      </c>
      <c r="G3064" s="0" t="n">
        <v>12613</v>
      </c>
      <c r="H3064" s="0" t="s">
        <v>33</v>
      </c>
      <c r="I3064" s="7" t="n">
        <f aca="false">IF(AND(LEFT(A3064,1)&lt;&gt;"C",D3064&gt;0,F3064&gt;0),1,0)</f>
        <v>1</v>
      </c>
      <c r="J3064" s="7" t="n">
        <f aca="false">IF(I3064=1,D3064*F3064,0)</f>
        <v>16.6</v>
      </c>
      <c r="K3064" s="7" t="n">
        <f aca="false">YEAR(E3064)*100+MONTH(E3064)</f>
        <v>201110</v>
      </c>
      <c r="L3064" s="7" t="n">
        <f aca="false">IF(AND(A3064&lt;&gt;A3063,LEFT(A3064,1)&lt;&gt;"C"),1,0)</f>
        <v>0</v>
      </c>
    </row>
    <row r="3065" customFormat="false" ht="15" hidden="false" customHeight="false" outlineLevel="0" collapsed="false">
      <c r="A3065" s="0" t="s">
        <v>2252</v>
      </c>
      <c r="B3065" s="0" t="s">
        <v>148</v>
      </c>
      <c r="C3065" s="0" t="s">
        <v>149</v>
      </c>
      <c r="D3065" s="0" t="n">
        <v>4</v>
      </c>
      <c r="E3065" s="6" t="n">
        <v>40829.6243055556</v>
      </c>
      <c r="F3065" s="0" t="n">
        <v>12.75</v>
      </c>
      <c r="G3065" s="0" t="n">
        <v>12613</v>
      </c>
      <c r="H3065" s="0" t="s">
        <v>33</v>
      </c>
      <c r="I3065" s="7" t="n">
        <f aca="false">IF(AND(LEFT(A3065,1)&lt;&gt;"C",D3065&gt;0,F3065&gt;0),1,0)</f>
        <v>1</v>
      </c>
      <c r="J3065" s="7" t="n">
        <f aca="false">IF(I3065=1,D3065*F3065,0)</f>
        <v>51</v>
      </c>
      <c r="K3065" s="7" t="n">
        <f aca="false">YEAR(E3065)*100+MONTH(E3065)</f>
        <v>201110</v>
      </c>
      <c r="L3065" s="7" t="n">
        <f aca="false">IF(AND(A3065&lt;&gt;A3064,LEFT(A3065,1)&lt;&gt;"C"),1,0)</f>
        <v>0</v>
      </c>
    </row>
    <row r="3066" customFormat="false" ht="15" hidden="false" customHeight="false" outlineLevel="0" collapsed="false">
      <c r="A3066" s="0" t="s">
        <v>2252</v>
      </c>
      <c r="B3066" s="0" t="s">
        <v>136</v>
      </c>
      <c r="C3066" s="0" t="s">
        <v>137</v>
      </c>
      <c r="D3066" s="0" t="n">
        <v>4</v>
      </c>
      <c r="E3066" s="6" t="n">
        <v>40829.6243055556</v>
      </c>
      <c r="F3066" s="0" t="n">
        <v>4.95</v>
      </c>
      <c r="G3066" s="0" t="n">
        <v>12613</v>
      </c>
      <c r="H3066" s="0" t="s">
        <v>33</v>
      </c>
      <c r="I3066" s="7" t="n">
        <f aca="false">IF(AND(LEFT(A3066,1)&lt;&gt;"C",D3066&gt;0,F3066&gt;0),1,0)</f>
        <v>1</v>
      </c>
      <c r="J3066" s="7" t="n">
        <f aca="false">IF(I3066=1,D3066*F3066,0)</f>
        <v>19.8</v>
      </c>
      <c r="K3066" s="7" t="n">
        <f aca="false">YEAR(E3066)*100+MONTH(E3066)</f>
        <v>201110</v>
      </c>
      <c r="L3066" s="7" t="n">
        <f aca="false">IF(AND(A3066&lt;&gt;A3065,LEFT(A3066,1)&lt;&gt;"C"),1,0)</f>
        <v>0</v>
      </c>
    </row>
    <row r="3067" customFormat="false" ht="15" hidden="false" customHeight="false" outlineLevel="0" collapsed="false">
      <c r="A3067" s="0" t="s">
        <v>2252</v>
      </c>
      <c r="B3067" s="0" t="s">
        <v>490</v>
      </c>
      <c r="C3067" s="0" t="s">
        <v>491</v>
      </c>
      <c r="D3067" s="0" t="n">
        <v>6</v>
      </c>
      <c r="E3067" s="6" t="n">
        <v>40829.6243055556</v>
      </c>
      <c r="F3067" s="0" t="n">
        <v>2.08</v>
      </c>
      <c r="G3067" s="0" t="n">
        <v>12613</v>
      </c>
      <c r="H3067" s="0" t="s">
        <v>33</v>
      </c>
      <c r="I3067" s="7" t="n">
        <f aca="false">IF(AND(LEFT(A3067,1)&lt;&gt;"C",D3067&gt;0,F3067&gt;0),1,0)</f>
        <v>1</v>
      </c>
      <c r="J3067" s="7" t="n">
        <f aca="false">IF(I3067=1,D3067*F3067,0)</f>
        <v>12.48</v>
      </c>
      <c r="K3067" s="7" t="n">
        <f aca="false">YEAR(E3067)*100+MONTH(E3067)</f>
        <v>201110</v>
      </c>
      <c r="L3067" s="7" t="n">
        <f aca="false">IF(AND(A3067&lt;&gt;A3066,LEFT(A3067,1)&lt;&gt;"C"),1,0)</f>
        <v>0</v>
      </c>
    </row>
    <row r="3068" customFormat="false" ht="15" hidden="false" customHeight="false" outlineLevel="0" collapsed="false">
      <c r="A3068" s="0" t="s">
        <v>2252</v>
      </c>
      <c r="B3068" s="0" t="s">
        <v>392</v>
      </c>
      <c r="C3068" s="0" t="s">
        <v>393</v>
      </c>
      <c r="D3068" s="0" t="n">
        <v>12</v>
      </c>
      <c r="E3068" s="6" t="n">
        <v>40829.6243055556</v>
      </c>
      <c r="F3068" s="0" t="n">
        <v>0.85</v>
      </c>
      <c r="G3068" s="0" t="n">
        <v>12613</v>
      </c>
      <c r="H3068" s="0" t="s">
        <v>33</v>
      </c>
      <c r="I3068" s="7" t="n">
        <f aca="false">IF(AND(LEFT(A3068,1)&lt;&gt;"C",D3068&gt;0,F3068&gt;0),1,0)</f>
        <v>1</v>
      </c>
      <c r="J3068" s="7" t="n">
        <f aca="false">IF(I3068=1,D3068*F3068,0)</f>
        <v>10.2</v>
      </c>
      <c r="K3068" s="7" t="n">
        <f aca="false">YEAR(E3068)*100+MONTH(E3068)</f>
        <v>201110</v>
      </c>
      <c r="L3068" s="7" t="n">
        <f aca="false">IF(AND(A3068&lt;&gt;A3067,LEFT(A3068,1)&lt;&gt;"C"),1,0)</f>
        <v>0</v>
      </c>
    </row>
    <row r="3069" customFormat="false" ht="15" hidden="false" customHeight="false" outlineLevel="0" collapsed="false">
      <c r="A3069" s="0" t="s">
        <v>2252</v>
      </c>
      <c r="B3069" s="0" t="s">
        <v>341</v>
      </c>
      <c r="C3069" s="0" t="s">
        <v>342</v>
      </c>
      <c r="D3069" s="0" t="n">
        <v>24</v>
      </c>
      <c r="E3069" s="6" t="n">
        <v>40829.6243055556</v>
      </c>
      <c r="F3069" s="0" t="n">
        <v>1.45</v>
      </c>
      <c r="G3069" s="0" t="n">
        <v>12613</v>
      </c>
      <c r="H3069" s="0" t="s">
        <v>33</v>
      </c>
      <c r="I3069" s="7" t="n">
        <f aca="false">IF(AND(LEFT(A3069,1)&lt;&gt;"C",D3069&gt;0,F3069&gt;0),1,0)</f>
        <v>1</v>
      </c>
      <c r="J3069" s="7" t="n">
        <f aca="false">IF(I3069=1,D3069*F3069,0)</f>
        <v>34.8</v>
      </c>
      <c r="K3069" s="7" t="n">
        <f aca="false">YEAR(E3069)*100+MONTH(E3069)</f>
        <v>201110</v>
      </c>
      <c r="L3069" s="7" t="n">
        <f aca="false">IF(AND(A3069&lt;&gt;A3068,LEFT(A3069,1)&lt;&gt;"C"),1,0)</f>
        <v>0</v>
      </c>
    </row>
    <row r="3070" customFormat="false" ht="15" hidden="false" customHeight="false" outlineLevel="0" collapsed="false">
      <c r="A3070" s="0" t="s">
        <v>2252</v>
      </c>
      <c r="B3070" s="0" t="s">
        <v>345</v>
      </c>
      <c r="C3070" s="0" t="s">
        <v>346</v>
      </c>
      <c r="D3070" s="0" t="n">
        <v>24</v>
      </c>
      <c r="E3070" s="6" t="n">
        <v>40829.6243055556</v>
      </c>
      <c r="F3070" s="0" t="n">
        <v>1.45</v>
      </c>
      <c r="G3070" s="0" t="n">
        <v>12613</v>
      </c>
      <c r="H3070" s="0" t="s">
        <v>33</v>
      </c>
      <c r="I3070" s="7" t="n">
        <f aca="false">IF(AND(LEFT(A3070,1)&lt;&gt;"C",D3070&gt;0,F3070&gt;0),1,0)</f>
        <v>1</v>
      </c>
      <c r="J3070" s="7" t="n">
        <f aca="false">IF(I3070=1,D3070*F3070,0)</f>
        <v>34.8</v>
      </c>
      <c r="K3070" s="7" t="n">
        <f aca="false">YEAR(E3070)*100+MONTH(E3070)</f>
        <v>201110</v>
      </c>
      <c r="L3070" s="7" t="n">
        <f aca="false">IF(AND(A3070&lt;&gt;A3069,LEFT(A3070,1)&lt;&gt;"C"),1,0)</f>
        <v>0</v>
      </c>
    </row>
    <row r="3071" customFormat="false" ht="15" hidden="false" customHeight="false" outlineLevel="0" collapsed="false">
      <c r="A3071" s="0" t="s">
        <v>2252</v>
      </c>
      <c r="B3071" s="0" t="s">
        <v>343</v>
      </c>
      <c r="C3071" s="0" t="s">
        <v>344</v>
      </c>
      <c r="D3071" s="0" t="n">
        <v>24</v>
      </c>
      <c r="E3071" s="6" t="n">
        <v>40829.6243055556</v>
      </c>
      <c r="F3071" s="0" t="n">
        <v>1.45</v>
      </c>
      <c r="G3071" s="0" t="n">
        <v>12613</v>
      </c>
      <c r="H3071" s="0" t="s">
        <v>33</v>
      </c>
      <c r="I3071" s="7" t="n">
        <f aca="false">IF(AND(LEFT(A3071,1)&lt;&gt;"C",D3071&gt;0,F3071&gt;0),1,0)</f>
        <v>1</v>
      </c>
      <c r="J3071" s="7" t="n">
        <f aca="false">IF(I3071=1,D3071*F3071,0)</f>
        <v>34.8</v>
      </c>
      <c r="K3071" s="7" t="n">
        <f aca="false">YEAR(E3071)*100+MONTH(E3071)</f>
        <v>201110</v>
      </c>
      <c r="L3071" s="7" t="n">
        <f aca="false">IF(AND(A3071&lt;&gt;A3070,LEFT(A3071,1)&lt;&gt;"C"),1,0)</f>
        <v>0</v>
      </c>
    </row>
    <row r="3072" customFormat="false" ht="15" hidden="false" customHeight="false" outlineLevel="0" collapsed="false">
      <c r="A3072" s="0" t="s">
        <v>2252</v>
      </c>
      <c r="B3072" s="0" t="s">
        <v>1035</v>
      </c>
      <c r="C3072" s="0" t="s">
        <v>1036</v>
      </c>
      <c r="D3072" s="0" t="n">
        <v>4</v>
      </c>
      <c r="E3072" s="6" t="n">
        <v>40829.6243055556</v>
      </c>
      <c r="F3072" s="0" t="n">
        <v>4.25</v>
      </c>
      <c r="G3072" s="0" t="n">
        <v>12613</v>
      </c>
      <c r="H3072" s="0" t="s">
        <v>33</v>
      </c>
      <c r="I3072" s="7" t="n">
        <f aca="false">IF(AND(LEFT(A3072,1)&lt;&gt;"C",D3072&gt;0,F3072&gt;0),1,0)</f>
        <v>1</v>
      </c>
      <c r="J3072" s="7" t="n">
        <f aca="false">IF(I3072=1,D3072*F3072,0)</f>
        <v>17</v>
      </c>
      <c r="K3072" s="7" t="n">
        <f aca="false">YEAR(E3072)*100+MONTH(E3072)</f>
        <v>201110</v>
      </c>
      <c r="L3072" s="7" t="n">
        <f aca="false">IF(AND(A3072&lt;&gt;A3071,LEFT(A3072,1)&lt;&gt;"C"),1,0)</f>
        <v>0</v>
      </c>
    </row>
    <row r="3073" customFormat="false" ht="15" hidden="false" customHeight="false" outlineLevel="0" collapsed="false">
      <c r="A3073" s="0" t="s">
        <v>2252</v>
      </c>
      <c r="B3073" s="0" t="s">
        <v>159</v>
      </c>
      <c r="C3073" s="0" t="s">
        <v>160</v>
      </c>
      <c r="D3073" s="0" t="n">
        <v>12</v>
      </c>
      <c r="E3073" s="6" t="n">
        <v>40829.6243055556</v>
      </c>
      <c r="F3073" s="0" t="n">
        <v>2.55</v>
      </c>
      <c r="G3073" s="0" t="n">
        <v>12613</v>
      </c>
      <c r="H3073" s="0" t="s">
        <v>33</v>
      </c>
      <c r="I3073" s="7" t="n">
        <f aca="false">IF(AND(LEFT(A3073,1)&lt;&gt;"C",D3073&gt;0,F3073&gt;0),1,0)</f>
        <v>1</v>
      </c>
      <c r="J3073" s="7" t="n">
        <f aca="false">IF(I3073=1,D3073*F3073,0)</f>
        <v>30.6</v>
      </c>
      <c r="K3073" s="7" t="n">
        <f aca="false">YEAR(E3073)*100+MONTH(E3073)</f>
        <v>201110</v>
      </c>
      <c r="L3073" s="7" t="n">
        <f aca="false">IF(AND(A3073&lt;&gt;A3072,LEFT(A3073,1)&lt;&gt;"C"),1,0)</f>
        <v>0</v>
      </c>
    </row>
    <row r="3074" customFormat="false" ht="15" hidden="false" customHeight="false" outlineLevel="0" collapsed="false">
      <c r="A3074" s="0" t="s">
        <v>2252</v>
      </c>
      <c r="B3074" s="0" t="s">
        <v>219</v>
      </c>
      <c r="C3074" s="0" t="s">
        <v>220</v>
      </c>
      <c r="D3074" s="0" t="n">
        <v>24</v>
      </c>
      <c r="E3074" s="6" t="n">
        <v>40829.6243055556</v>
      </c>
      <c r="F3074" s="0" t="n">
        <v>0.55</v>
      </c>
      <c r="G3074" s="0" t="n">
        <v>12613</v>
      </c>
      <c r="H3074" s="0" t="s">
        <v>33</v>
      </c>
      <c r="I3074" s="7" t="n">
        <f aca="false">IF(AND(LEFT(A3074,1)&lt;&gt;"C",D3074&gt;0,F3074&gt;0),1,0)</f>
        <v>1</v>
      </c>
      <c r="J3074" s="7" t="n">
        <f aca="false">IF(I3074=1,D3074*F3074,0)</f>
        <v>13.2</v>
      </c>
      <c r="K3074" s="7" t="n">
        <f aca="false">YEAR(E3074)*100+MONTH(E3074)</f>
        <v>201110</v>
      </c>
      <c r="L3074" s="7" t="n">
        <f aca="false">IF(AND(A3074&lt;&gt;A3073,LEFT(A3074,1)&lt;&gt;"C"),1,0)</f>
        <v>0</v>
      </c>
    </row>
    <row r="3075" customFormat="false" ht="15" hidden="false" customHeight="false" outlineLevel="0" collapsed="false">
      <c r="A3075" s="0" t="s">
        <v>2252</v>
      </c>
      <c r="B3075" s="0" t="s">
        <v>35</v>
      </c>
      <c r="C3075" s="0" t="s">
        <v>36</v>
      </c>
      <c r="D3075" s="0" t="n">
        <v>12</v>
      </c>
      <c r="E3075" s="6" t="n">
        <v>40829.6243055556</v>
      </c>
      <c r="F3075" s="0" t="n">
        <v>1.65</v>
      </c>
      <c r="G3075" s="0" t="n">
        <v>12613</v>
      </c>
      <c r="H3075" s="0" t="s">
        <v>33</v>
      </c>
      <c r="I3075" s="7" t="n">
        <f aca="false">IF(AND(LEFT(A3075,1)&lt;&gt;"C",D3075&gt;0,F3075&gt;0),1,0)</f>
        <v>1</v>
      </c>
      <c r="J3075" s="7" t="n">
        <f aca="false">IF(I3075=1,D3075*F3075,0)</f>
        <v>19.8</v>
      </c>
      <c r="K3075" s="7" t="n">
        <f aca="false">YEAR(E3075)*100+MONTH(E3075)</f>
        <v>201110</v>
      </c>
      <c r="L3075" s="7" t="n">
        <f aca="false">IF(AND(A3075&lt;&gt;A3074,LEFT(A3075,1)&lt;&gt;"C"),1,0)</f>
        <v>0</v>
      </c>
    </row>
    <row r="3076" customFormat="false" ht="15" hidden="false" customHeight="false" outlineLevel="0" collapsed="false">
      <c r="A3076" s="0" t="s">
        <v>2252</v>
      </c>
      <c r="B3076" s="0" t="s">
        <v>359</v>
      </c>
      <c r="C3076" s="0" t="s">
        <v>360</v>
      </c>
      <c r="D3076" s="0" t="n">
        <v>12</v>
      </c>
      <c r="E3076" s="6" t="n">
        <v>40829.6243055556</v>
      </c>
      <c r="F3076" s="0" t="n">
        <v>2.95</v>
      </c>
      <c r="G3076" s="0" t="n">
        <v>12613</v>
      </c>
      <c r="H3076" s="0" t="s">
        <v>33</v>
      </c>
      <c r="I3076" s="7" t="n">
        <f aca="false">IF(AND(LEFT(A3076,1)&lt;&gt;"C",D3076&gt;0,F3076&gt;0),1,0)</f>
        <v>1</v>
      </c>
      <c r="J3076" s="7" t="n">
        <f aca="false">IF(I3076=1,D3076*F3076,0)</f>
        <v>35.4</v>
      </c>
      <c r="K3076" s="7" t="n">
        <f aca="false">YEAR(E3076)*100+MONTH(E3076)</f>
        <v>201110</v>
      </c>
      <c r="L3076" s="7" t="n">
        <f aca="false">IF(AND(A3076&lt;&gt;A3075,LEFT(A3076,1)&lt;&gt;"C"),1,0)</f>
        <v>0</v>
      </c>
    </row>
    <row r="3077" customFormat="false" ht="15" hidden="false" customHeight="false" outlineLevel="0" collapsed="false">
      <c r="A3077" s="0" t="s">
        <v>2252</v>
      </c>
      <c r="B3077" s="0" t="s">
        <v>983</v>
      </c>
      <c r="C3077" s="0" t="s">
        <v>984</v>
      </c>
      <c r="D3077" s="0" t="n">
        <v>20</v>
      </c>
      <c r="E3077" s="6" t="n">
        <v>40829.6243055556</v>
      </c>
      <c r="F3077" s="0" t="n">
        <v>0.85</v>
      </c>
      <c r="G3077" s="0" t="n">
        <v>12613</v>
      </c>
      <c r="H3077" s="0" t="s">
        <v>33</v>
      </c>
      <c r="I3077" s="7" t="n">
        <f aca="false">IF(AND(LEFT(A3077,1)&lt;&gt;"C",D3077&gt;0,F3077&gt;0),1,0)</f>
        <v>1</v>
      </c>
      <c r="J3077" s="7" t="n">
        <f aca="false">IF(I3077=1,D3077*F3077,0)</f>
        <v>17</v>
      </c>
      <c r="K3077" s="7" t="n">
        <f aca="false">YEAR(E3077)*100+MONTH(E3077)</f>
        <v>201110</v>
      </c>
      <c r="L3077" s="7" t="n">
        <f aca="false">IF(AND(A3077&lt;&gt;A3076,LEFT(A3077,1)&lt;&gt;"C"),1,0)</f>
        <v>0</v>
      </c>
    </row>
    <row r="3078" customFormat="false" ht="15" hidden="false" customHeight="false" outlineLevel="0" collapsed="false">
      <c r="A3078" s="0" t="s">
        <v>2252</v>
      </c>
      <c r="B3078" s="0" t="s">
        <v>2261</v>
      </c>
      <c r="C3078" s="0" t="s">
        <v>2262</v>
      </c>
      <c r="D3078" s="0" t="n">
        <v>8</v>
      </c>
      <c r="E3078" s="6" t="n">
        <v>40829.6243055556</v>
      </c>
      <c r="F3078" s="0" t="n">
        <v>1.65</v>
      </c>
      <c r="G3078" s="0" t="n">
        <v>12613</v>
      </c>
      <c r="H3078" s="0" t="s">
        <v>33</v>
      </c>
      <c r="I3078" s="7" t="n">
        <f aca="false">IF(AND(LEFT(A3078,1)&lt;&gt;"C",D3078&gt;0,F3078&gt;0),1,0)</f>
        <v>1</v>
      </c>
      <c r="J3078" s="7" t="n">
        <f aca="false">IF(I3078=1,D3078*F3078,0)</f>
        <v>13.2</v>
      </c>
      <c r="K3078" s="7" t="n">
        <f aca="false">YEAR(E3078)*100+MONTH(E3078)</f>
        <v>201110</v>
      </c>
      <c r="L3078" s="7" t="n">
        <f aca="false">IF(AND(A3078&lt;&gt;A3077,LEFT(A3078,1)&lt;&gt;"C"),1,0)</f>
        <v>0</v>
      </c>
    </row>
    <row r="3079" customFormat="false" ht="15" hidden="false" customHeight="false" outlineLevel="0" collapsed="false">
      <c r="A3079" s="0" t="s">
        <v>2252</v>
      </c>
      <c r="B3079" s="0" t="s">
        <v>2263</v>
      </c>
      <c r="C3079" s="0" t="s">
        <v>2264</v>
      </c>
      <c r="D3079" s="0" t="n">
        <v>12</v>
      </c>
      <c r="E3079" s="6" t="n">
        <v>40829.6243055556</v>
      </c>
      <c r="F3079" s="0" t="n">
        <v>0.42</v>
      </c>
      <c r="G3079" s="0" t="n">
        <v>12613</v>
      </c>
      <c r="H3079" s="0" t="s">
        <v>33</v>
      </c>
      <c r="I3079" s="7" t="n">
        <f aca="false">IF(AND(LEFT(A3079,1)&lt;&gt;"C",D3079&gt;0,F3079&gt;0),1,0)</f>
        <v>1</v>
      </c>
      <c r="J3079" s="7" t="n">
        <f aca="false">IF(I3079=1,D3079*F3079,0)</f>
        <v>5.04</v>
      </c>
      <c r="K3079" s="7" t="n">
        <f aca="false">YEAR(E3079)*100+MONTH(E3079)</f>
        <v>201110</v>
      </c>
      <c r="L3079" s="7" t="n">
        <f aca="false">IF(AND(A3079&lt;&gt;A3078,LEFT(A3079,1)&lt;&gt;"C"),1,0)</f>
        <v>0</v>
      </c>
    </row>
    <row r="3080" customFormat="false" ht="15" hidden="false" customHeight="false" outlineLevel="0" collapsed="false">
      <c r="A3080" s="0" t="s">
        <v>2252</v>
      </c>
      <c r="B3080" s="0" t="s">
        <v>241</v>
      </c>
      <c r="C3080" s="0" t="s">
        <v>242</v>
      </c>
      <c r="D3080" s="0" t="n">
        <v>12</v>
      </c>
      <c r="E3080" s="6" t="n">
        <v>40829.6243055556</v>
      </c>
      <c r="F3080" s="0" t="n">
        <v>1.45</v>
      </c>
      <c r="G3080" s="0" t="n">
        <v>12613</v>
      </c>
      <c r="H3080" s="0" t="s">
        <v>33</v>
      </c>
      <c r="I3080" s="7" t="n">
        <f aca="false">IF(AND(LEFT(A3080,1)&lt;&gt;"C",D3080&gt;0,F3080&gt;0),1,0)</f>
        <v>1</v>
      </c>
      <c r="J3080" s="7" t="n">
        <f aca="false">IF(I3080=1,D3080*F3080,0)</f>
        <v>17.4</v>
      </c>
      <c r="K3080" s="7" t="n">
        <f aca="false">YEAR(E3080)*100+MONTH(E3080)</f>
        <v>201110</v>
      </c>
      <c r="L3080" s="7" t="n">
        <f aca="false">IF(AND(A3080&lt;&gt;A3079,LEFT(A3080,1)&lt;&gt;"C"),1,0)</f>
        <v>0</v>
      </c>
    </row>
    <row r="3081" customFormat="false" ht="15" hidden="false" customHeight="false" outlineLevel="0" collapsed="false">
      <c r="A3081" s="0" t="s">
        <v>2252</v>
      </c>
      <c r="B3081" s="0" t="s">
        <v>2265</v>
      </c>
      <c r="C3081" s="0" t="s">
        <v>2266</v>
      </c>
      <c r="D3081" s="0" t="n">
        <v>6</v>
      </c>
      <c r="E3081" s="6" t="n">
        <v>40829.6243055556</v>
      </c>
      <c r="F3081" s="0" t="n">
        <v>2.89</v>
      </c>
      <c r="G3081" s="0" t="n">
        <v>12613</v>
      </c>
      <c r="H3081" s="0" t="s">
        <v>33</v>
      </c>
      <c r="I3081" s="7" t="n">
        <f aca="false">IF(AND(LEFT(A3081,1)&lt;&gt;"C",D3081&gt;0,F3081&gt;0),1,0)</f>
        <v>1</v>
      </c>
      <c r="J3081" s="7" t="n">
        <f aca="false">IF(I3081=1,D3081*F3081,0)</f>
        <v>17.34</v>
      </c>
      <c r="K3081" s="7" t="n">
        <f aca="false">YEAR(E3081)*100+MONTH(E3081)</f>
        <v>201110</v>
      </c>
      <c r="L3081" s="7" t="n">
        <f aca="false">IF(AND(A3081&lt;&gt;A3080,LEFT(A3081,1)&lt;&gt;"C"),1,0)</f>
        <v>0</v>
      </c>
    </row>
    <row r="3082" customFormat="false" ht="15" hidden="false" customHeight="false" outlineLevel="0" collapsed="false">
      <c r="A3082" s="0" t="s">
        <v>2252</v>
      </c>
      <c r="B3082" s="0" t="s">
        <v>537</v>
      </c>
      <c r="C3082" s="0" t="s">
        <v>538</v>
      </c>
      <c r="D3082" s="0" t="n">
        <v>6</v>
      </c>
      <c r="E3082" s="6" t="n">
        <v>40829.6243055556</v>
      </c>
      <c r="F3082" s="0" t="n">
        <v>4.15</v>
      </c>
      <c r="G3082" s="0" t="n">
        <v>12613</v>
      </c>
      <c r="H3082" s="0" t="s">
        <v>33</v>
      </c>
      <c r="I3082" s="7" t="n">
        <f aca="false">IF(AND(LEFT(A3082,1)&lt;&gt;"C",D3082&gt;0,F3082&gt;0),1,0)</f>
        <v>1</v>
      </c>
      <c r="J3082" s="7" t="n">
        <f aca="false">IF(I3082=1,D3082*F3082,0)</f>
        <v>24.9</v>
      </c>
      <c r="K3082" s="7" t="n">
        <f aca="false">YEAR(E3082)*100+MONTH(E3082)</f>
        <v>201110</v>
      </c>
      <c r="L3082" s="7" t="n">
        <f aca="false">IF(AND(A3082&lt;&gt;A3081,LEFT(A3082,1)&lt;&gt;"C"),1,0)</f>
        <v>0</v>
      </c>
    </row>
    <row r="3083" customFormat="false" ht="15" hidden="false" customHeight="false" outlineLevel="0" collapsed="false">
      <c r="A3083" s="0" t="s">
        <v>2252</v>
      </c>
      <c r="B3083" s="0" t="s">
        <v>146</v>
      </c>
      <c r="C3083" s="0" t="s">
        <v>147</v>
      </c>
      <c r="D3083" s="0" t="n">
        <v>12</v>
      </c>
      <c r="E3083" s="6" t="n">
        <v>40829.6243055556</v>
      </c>
      <c r="F3083" s="0" t="n">
        <v>2.89</v>
      </c>
      <c r="G3083" s="0" t="n">
        <v>12613</v>
      </c>
      <c r="H3083" s="0" t="s">
        <v>33</v>
      </c>
      <c r="I3083" s="7" t="n">
        <f aca="false">IF(AND(LEFT(A3083,1)&lt;&gt;"C",D3083&gt;0,F3083&gt;0),1,0)</f>
        <v>1</v>
      </c>
      <c r="J3083" s="7" t="n">
        <f aca="false">IF(I3083=1,D3083*F3083,0)</f>
        <v>34.68</v>
      </c>
      <c r="K3083" s="7" t="n">
        <f aca="false">YEAR(E3083)*100+MONTH(E3083)</f>
        <v>201110</v>
      </c>
      <c r="L3083" s="7" t="n">
        <f aca="false">IF(AND(A3083&lt;&gt;A3082,LEFT(A3083,1)&lt;&gt;"C"),1,0)</f>
        <v>0</v>
      </c>
    </row>
    <row r="3084" customFormat="false" ht="15" hidden="false" customHeight="false" outlineLevel="0" collapsed="false">
      <c r="A3084" s="0" t="s">
        <v>2252</v>
      </c>
      <c r="B3084" s="0" t="s">
        <v>789</v>
      </c>
      <c r="C3084" s="0" t="s">
        <v>790</v>
      </c>
      <c r="D3084" s="0" t="n">
        <v>6</v>
      </c>
      <c r="E3084" s="6" t="n">
        <v>40829.6243055556</v>
      </c>
      <c r="F3084" s="0" t="n">
        <v>1.95</v>
      </c>
      <c r="G3084" s="0" t="n">
        <v>12613</v>
      </c>
      <c r="H3084" s="0" t="s">
        <v>33</v>
      </c>
      <c r="I3084" s="7" t="n">
        <f aca="false">IF(AND(LEFT(A3084,1)&lt;&gt;"C",D3084&gt;0,F3084&gt;0),1,0)</f>
        <v>1</v>
      </c>
      <c r="J3084" s="7" t="n">
        <f aca="false">IF(I3084=1,D3084*F3084,0)</f>
        <v>11.7</v>
      </c>
      <c r="K3084" s="7" t="n">
        <f aca="false">YEAR(E3084)*100+MONTH(E3084)</f>
        <v>201110</v>
      </c>
      <c r="L3084" s="7" t="n">
        <f aca="false">IF(AND(A3084&lt;&gt;A3083,LEFT(A3084,1)&lt;&gt;"C"),1,0)</f>
        <v>0</v>
      </c>
    </row>
    <row r="3085" customFormat="false" ht="15" hidden="false" customHeight="false" outlineLevel="0" collapsed="false">
      <c r="A3085" s="0" t="s">
        <v>2252</v>
      </c>
      <c r="B3085" s="0" t="s">
        <v>123</v>
      </c>
      <c r="C3085" s="0" t="s">
        <v>124</v>
      </c>
      <c r="D3085" s="0" t="n">
        <v>24</v>
      </c>
      <c r="E3085" s="6" t="n">
        <v>40829.6243055556</v>
      </c>
      <c r="F3085" s="0" t="n">
        <v>2.95</v>
      </c>
      <c r="G3085" s="0" t="n">
        <v>12613</v>
      </c>
      <c r="H3085" s="0" t="s">
        <v>33</v>
      </c>
      <c r="I3085" s="7" t="n">
        <f aca="false">IF(AND(LEFT(A3085,1)&lt;&gt;"C",D3085&gt;0,F3085&gt;0),1,0)</f>
        <v>1</v>
      </c>
      <c r="J3085" s="7" t="n">
        <f aca="false">IF(I3085=1,D3085*F3085,0)</f>
        <v>70.8</v>
      </c>
      <c r="K3085" s="7" t="n">
        <f aca="false">YEAR(E3085)*100+MONTH(E3085)</f>
        <v>201110</v>
      </c>
      <c r="L3085" s="7" t="n">
        <f aca="false">IF(AND(A3085&lt;&gt;A3084,LEFT(A3085,1)&lt;&gt;"C"),1,0)</f>
        <v>0</v>
      </c>
    </row>
    <row r="3086" customFormat="false" ht="15" hidden="false" customHeight="false" outlineLevel="0" collapsed="false">
      <c r="A3086" s="0" t="s">
        <v>2252</v>
      </c>
      <c r="B3086" s="0" t="s">
        <v>335</v>
      </c>
      <c r="C3086" s="0" t="s">
        <v>336</v>
      </c>
      <c r="D3086" s="0" t="n">
        <v>24</v>
      </c>
      <c r="E3086" s="6" t="n">
        <v>40829.6243055556</v>
      </c>
      <c r="F3086" s="0" t="n">
        <v>1.65</v>
      </c>
      <c r="G3086" s="0" t="n">
        <v>12613</v>
      </c>
      <c r="H3086" s="0" t="s">
        <v>33</v>
      </c>
      <c r="I3086" s="7" t="n">
        <f aca="false">IF(AND(LEFT(A3086,1)&lt;&gt;"C",D3086&gt;0,F3086&gt;0),1,0)</f>
        <v>1</v>
      </c>
      <c r="J3086" s="7" t="n">
        <f aca="false">IF(I3086=1,D3086*F3086,0)</f>
        <v>39.6</v>
      </c>
      <c r="K3086" s="7" t="n">
        <f aca="false">YEAR(E3086)*100+MONTH(E3086)</f>
        <v>201110</v>
      </c>
      <c r="L3086" s="7" t="n">
        <f aca="false">IF(AND(A3086&lt;&gt;A3085,LEFT(A3086,1)&lt;&gt;"C"),1,0)</f>
        <v>0</v>
      </c>
    </row>
    <row r="3087" customFormat="false" ht="15" hidden="false" customHeight="false" outlineLevel="0" collapsed="false">
      <c r="A3087" s="0" t="s">
        <v>2252</v>
      </c>
      <c r="B3087" s="0" t="s">
        <v>127</v>
      </c>
      <c r="C3087" s="0" t="s">
        <v>128</v>
      </c>
      <c r="D3087" s="0" t="n">
        <v>8</v>
      </c>
      <c r="E3087" s="6" t="n">
        <v>40829.6243055556</v>
      </c>
      <c r="F3087" s="0" t="n">
        <v>1.65</v>
      </c>
      <c r="G3087" s="0" t="n">
        <v>12613</v>
      </c>
      <c r="H3087" s="0" t="s">
        <v>33</v>
      </c>
      <c r="I3087" s="7" t="n">
        <f aca="false">IF(AND(LEFT(A3087,1)&lt;&gt;"C",D3087&gt;0,F3087&gt;0),1,0)</f>
        <v>1</v>
      </c>
      <c r="J3087" s="7" t="n">
        <f aca="false">IF(I3087=1,D3087*F3087,0)</f>
        <v>13.2</v>
      </c>
      <c r="K3087" s="7" t="n">
        <f aca="false">YEAR(E3087)*100+MONTH(E3087)</f>
        <v>201110</v>
      </c>
      <c r="L3087" s="7" t="n">
        <f aca="false">IF(AND(A3087&lt;&gt;A3086,LEFT(A3087,1)&lt;&gt;"C"),1,0)</f>
        <v>0</v>
      </c>
    </row>
    <row r="3088" customFormat="false" ht="15" hidden="false" customHeight="false" outlineLevel="0" collapsed="false">
      <c r="A3088" s="0" t="s">
        <v>2252</v>
      </c>
      <c r="B3088" s="0" t="s">
        <v>66</v>
      </c>
      <c r="C3088" s="0" t="s">
        <v>67</v>
      </c>
      <c r="D3088" s="0" t="n">
        <v>6</v>
      </c>
      <c r="E3088" s="6" t="n">
        <v>40829.6243055556</v>
      </c>
      <c r="F3088" s="0" t="n">
        <v>2.95</v>
      </c>
      <c r="G3088" s="0" t="n">
        <v>12613</v>
      </c>
      <c r="H3088" s="0" t="s">
        <v>33</v>
      </c>
      <c r="I3088" s="7" t="n">
        <f aca="false">IF(AND(LEFT(A3088,1)&lt;&gt;"C",D3088&gt;0,F3088&gt;0),1,0)</f>
        <v>1</v>
      </c>
      <c r="J3088" s="7" t="n">
        <f aca="false">IF(I3088=1,D3088*F3088,0)</f>
        <v>17.7</v>
      </c>
      <c r="K3088" s="7" t="n">
        <f aca="false">YEAR(E3088)*100+MONTH(E3088)</f>
        <v>201110</v>
      </c>
      <c r="L3088" s="7" t="n">
        <f aca="false">IF(AND(A3088&lt;&gt;A3087,LEFT(A3088,1)&lt;&gt;"C"),1,0)</f>
        <v>0</v>
      </c>
    </row>
    <row r="3089" customFormat="false" ht="15" hidden="false" customHeight="false" outlineLevel="0" collapsed="false">
      <c r="A3089" s="0" t="s">
        <v>2252</v>
      </c>
      <c r="B3089" s="0" t="s">
        <v>131</v>
      </c>
      <c r="C3089" s="0" t="s">
        <v>132</v>
      </c>
      <c r="D3089" s="0" t="n">
        <v>8</v>
      </c>
      <c r="E3089" s="6" t="n">
        <v>40829.6243055556</v>
      </c>
      <c r="F3089" s="0" t="n">
        <v>1.65</v>
      </c>
      <c r="G3089" s="0" t="n">
        <v>12613</v>
      </c>
      <c r="H3089" s="0" t="s">
        <v>33</v>
      </c>
      <c r="I3089" s="7" t="n">
        <f aca="false">IF(AND(LEFT(A3089,1)&lt;&gt;"C",D3089&gt;0,F3089&gt;0),1,0)</f>
        <v>1</v>
      </c>
      <c r="J3089" s="7" t="n">
        <f aca="false">IF(I3089=1,D3089*F3089,0)</f>
        <v>13.2</v>
      </c>
      <c r="K3089" s="7" t="n">
        <f aca="false">YEAR(E3089)*100+MONTH(E3089)</f>
        <v>201110</v>
      </c>
      <c r="L3089" s="7" t="n">
        <f aca="false">IF(AND(A3089&lt;&gt;A3088,LEFT(A3089,1)&lt;&gt;"C"),1,0)</f>
        <v>0</v>
      </c>
    </row>
    <row r="3090" customFormat="false" ht="15" hidden="false" customHeight="false" outlineLevel="0" collapsed="false">
      <c r="A3090" s="0" t="s">
        <v>2252</v>
      </c>
      <c r="B3090" s="0" t="s">
        <v>2267</v>
      </c>
      <c r="C3090" s="0" t="s">
        <v>2268</v>
      </c>
      <c r="D3090" s="0" t="n">
        <v>8</v>
      </c>
      <c r="E3090" s="6" t="n">
        <v>40829.6243055556</v>
      </c>
      <c r="F3090" s="0" t="n">
        <v>1.65</v>
      </c>
      <c r="G3090" s="0" t="n">
        <v>12613</v>
      </c>
      <c r="H3090" s="0" t="s">
        <v>33</v>
      </c>
      <c r="I3090" s="7" t="n">
        <f aca="false">IF(AND(LEFT(A3090,1)&lt;&gt;"C",D3090&gt;0,F3090&gt;0),1,0)</f>
        <v>1</v>
      </c>
      <c r="J3090" s="7" t="n">
        <f aca="false">IF(I3090=1,D3090*F3090,0)</f>
        <v>13.2</v>
      </c>
      <c r="K3090" s="7" t="n">
        <f aca="false">YEAR(E3090)*100+MONTH(E3090)</f>
        <v>201110</v>
      </c>
      <c r="L3090" s="7" t="n">
        <f aca="false">IF(AND(A3090&lt;&gt;A3089,LEFT(A3090,1)&lt;&gt;"C"),1,0)</f>
        <v>0</v>
      </c>
    </row>
    <row r="3091" customFormat="false" ht="15" hidden="false" customHeight="false" outlineLevel="0" collapsed="false">
      <c r="A3091" s="0" t="s">
        <v>2252</v>
      </c>
      <c r="B3091" s="0" t="s">
        <v>756</v>
      </c>
      <c r="C3091" s="0" t="s">
        <v>757</v>
      </c>
      <c r="D3091" s="0" t="n">
        <v>4</v>
      </c>
      <c r="E3091" s="6" t="n">
        <v>40829.6243055556</v>
      </c>
      <c r="F3091" s="0" t="n">
        <v>3.75</v>
      </c>
      <c r="G3091" s="0" t="n">
        <v>12613</v>
      </c>
      <c r="H3091" s="0" t="s">
        <v>33</v>
      </c>
      <c r="I3091" s="7" t="n">
        <f aca="false">IF(AND(LEFT(A3091,1)&lt;&gt;"C",D3091&gt;0,F3091&gt;0),1,0)</f>
        <v>1</v>
      </c>
      <c r="J3091" s="7" t="n">
        <f aca="false">IF(I3091=1,D3091*F3091,0)</f>
        <v>15</v>
      </c>
      <c r="K3091" s="7" t="n">
        <f aca="false">YEAR(E3091)*100+MONTH(E3091)</f>
        <v>201110</v>
      </c>
      <c r="L3091" s="7" t="n">
        <f aca="false">IF(AND(A3091&lt;&gt;A3090,LEFT(A3091,1)&lt;&gt;"C"),1,0)</f>
        <v>0</v>
      </c>
    </row>
    <row r="3092" customFormat="false" ht="15" hidden="false" customHeight="false" outlineLevel="0" collapsed="false">
      <c r="A3092" s="0" t="s">
        <v>2252</v>
      </c>
      <c r="B3092" s="0" t="s">
        <v>2244</v>
      </c>
      <c r="C3092" s="0" t="s">
        <v>2245</v>
      </c>
      <c r="D3092" s="0" t="n">
        <v>4</v>
      </c>
      <c r="E3092" s="6" t="n">
        <v>40829.6243055556</v>
      </c>
      <c r="F3092" s="0" t="n">
        <v>4.25</v>
      </c>
      <c r="G3092" s="0" t="n">
        <v>12613</v>
      </c>
      <c r="H3092" s="0" t="s">
        <v>33</v>
      </c>
      <c r="I3092" s="7" t="n">
        <f aca="false">IF(AND(LEFT(A3092,1)&lt;&gt;"C",D3092&gt;0,F3092&gt;0),1,0)</f>
        <v>1</v>
      </c>
      <c r="J3092" s="7" t="n">
        <f aca="false">IF(I3092=1,D3092*F3092,0)</f>
        <v>17</v>
      </c>
      <c r="K3092" s="7" t="n">
        <f aca="false">YEAR(E3092)*100+MONTH(E3092)</f>
        <v>201110</v>
      </c>
      <c r="L3092" s="7" t="n">
        <f aca="false">IF(AND(A3092&lt;&gt;A3091,LEFT(A3092,1)&lt;&gt;"C"),1,0)</f>
        <v>0</v>
      </c>
    </row>
    <row r="3093" customFormat="false" ht="15" hidden="false" customHeight="false" outlineLevel="0" collapsed="false">
      <c r="A3093" s="0" t="s">
        <v>2252</v>
      </c>
      <c r="B3093" s="0" t="s">
        <v>729</v>
      </c>
      <c r="C3093" s="0" t="s">
        <v>730</v>
      </c>
      <c r="D3093" s="0" t="n">
        <v>3</v>
      </c>
      <c r="E3093" s="6" t="n">
        <v>40829.6243055556</v>
      </c>
      <c r="F3093" s="0" t="n">
        <v>4.95</v>
      </c>
      <c r="G3093" s="0" t="n">
        <v>12613</v>
      </c>
      <c r="H3093" s="0" t="s">
        <v>33</v>
      </c>
      <c r="I3093" s="7" t="n">
        <f aca="false">IF(AND(LEFT(A3093,1)&lt;&gt;"C",D3093&gt;0,F3093&gt;0),1,0)</f>
        <v>1</v>
      </c>
      <c r="J3093" s="7" t="n">
        <f aca="false">IF(I3093=1,D3093*F3093,0)</f>
        <v>14.85</v>
      </c>
      <c r="K3093" s="7" t="n">
        <f aca="false">YEAR(E3093)*100+MONTH(E3093)</f>
        <v>201110</v>
      </c>
      <c r="L3093" s="7" t="n">
        <f aca="false">IF(AND(A3093&lt;&gt;A3092,LEFT(A3093,1)&lt;&gt;"C"),1,0)</f>
        <v>0</v>
      </c>
    </row>
    <row r="3094" customFormat="false" ht="15" hidden="false" customHeight="false" outlineLevel="0" collapsed="false">
      <c r="A3094" s="0" t="s">
        <v>2252</v>
      </c>
      <c r="B3094" s="0" t="s">
        <v>38</v>
      </c>
      <c r="C3094" s="0" t="s">
        <v>39</v>
      </c>
      <c r="D3094" s="0" t="n">
        <v>12</v>
      </c>
      <c r="E3094" s="6" t="n">
        <v>40829.6243055556</v>
      </c>
      <c r="F3094" s="0" t="n">
        <v>2.1</v>
      </c>
      <c r="G3094" s="0" t="n">
        <v>12613</v>
      </c>
      <c r="H3094" s="0" t="s">
        <v>33</v>
      </c>
      <c r="I3094" s="7" t="n">
        <f aca="false">IF(AND(LEFT(A3094,1)&lt;&gt;"C",D3094&gt;0,F3094&gt;0),1,0)</f>
        <v>1</v>
      </c>
      <c r="J3094" s="7" t="n">
        <f aca="false">IF(I3094=1,D3094*F3094,0)</f>
        <v>25.2</v>
      </c>
      <c r="K3094" s="7" t="n">
        <f aca="false">YEAR(E3094)*100+MONTH(E3094)</f>
        <v>201110</v>
      </c>
      <c r="L3094" s="7" t="n">
        <f aca="false">IF(AND(A3094&lt;&gt;A3093,LEFT(A3094,1)&lt;&gt;"C"),1,0)</f>
        <v>0</v>
      </c>
    </row>
    <row r="3095" customFormat="false" ht="15" hidden="false" customHeight="false" outlineLevel="0" collapsed="false">
      <c r="A3095" s="0" t="s">
        <v>2252</v>
      </c>
      <c r="B3095" s="0" t="s">
        <v>2269</v>
      </c>
      <c r="C3095" s="0" t="s">
        <v>2270</v>
      </c>
      <c r="D3095" s="0" t="n">
        <v>12</v>
      </c>
      <c r="E3095" s="6" t="n">
        <v>40829.6243055556</v>
      </c>
      <c r="F3095" s="0" t="n">
        <v>1.45</v>
      </c>
      <c r="G3095" s="0" t="n">
        <v>12613</v>
      </c>
      <c r="H3095" s="0" t="s">
        <v>33</v>
      </c>
      <c r="I3095" s="7" t="n">
        <f aca="false">IF(AND(LEFT(A3095,1)&lt;&gt;"C",D3095&gt;0,F3095&gt;0),1,0)</f>
        <v>1</v>
      </c>
      <c r="J3095" s="7" t="n">
        <f aca="false">IF(I3095=1,D3095*F3095,0)</f>
        <v>17.4</v>
      </c>
      <c r="K3095" s="7" t="n">
        <f aca="false">YEAR(E3095)*100+MONTH(E3095)</f>
        <v>201110</v>
      </c>
      <c r="L3095" s="7" t="n">
        <f aca="false">IF(AND(A3095&lt;&gt;A3094,LEFT(A3095,1)&lt;&gt;"C"),1,0)</f>
        <v>0</v>
      </c>
    </row>
    <row r="3096" customFormat="false" ht="15" hidden="false" customHeight="false" outlineLevel="0" collapsed="false">
      <c r="A3096" s="0" t="s">
        <v>2252</v>
      </c>
      <c r="B3096" s="0" t="s">
        <v>2271</v>
      </c>
      <c r="C3096" s="0" t="s">
        <v>2272</v>
      </c>
      <c r="D3096" s="0" t="n">
        <v>12</v>
      </c>
      <c r="E3096" s="6" t="n">
        <v>40829.6243055556</v>
      </c>
      <c r="F3096" s="0" t="n">
        <v>1.45</v>
      </c>
      <c r="G3096" s="0" t="n">
        <v>12613</v>
      </c>
      <c r="H3096" s="0" t="s">
        <v>33</v>
      </c>
      <c r="I3096" s="7" t="n">
        <f aca="false">IF(AND(LEFT(A3096,1)&lt;&gt;"C",D3096&gt;0,F3096&gt;0),1,0)</f>
        <v>1</v>
      </c>
      <c r="J3096" s="7" t="n">
        <f aca="false">IF(I3096=1,D3096*F3096,0)</f>
        <v>17.4</v>
      </c>
      <c r="K3096" s="7" t="n">
        <f aca="false">YEAR(E3096)*100+MONTH(E3096)</f>
        <v>201110</v>
      </c>
      <c r="L3096" s="7" t="n">
        <f aca="false">IF(AND(A3096&lt;&gt;A3095,LEFT(A3096,1)&lt;&gt;"C"),1,0)</f>
        <v>0</v>
      </c>
    </row>
    <row r="3097" customFormat="false" ht="15" hidden="false" customHeight="false" outlineLevel="0" collapsed="false">
      <c r="A3097" s="0" t="s">
        <v>2252</v>
      </c>
      <c r="B3097" s="0" t="s">
        <v>107</v>
      </c>
      <c r="C3097" s="0" t="s">
        <v>108</v>
      </c>
      <c r="D3097" s="0" t="n">
        <v>12</v>
      </c>
      <c r="E3097" s="6" t="n">
        <v>40829.6243055556</v>
      </c>
      <c r="F3097" s="0" t="n">
        <v>2.55</v>
      </c>
      <c r="G3097" s="0" t="n">
        <v>12613</v>
      </c>
      <c r="H3097" s="0" t="s">
        <v>33</v>
      </c>
      <c r="I3097" s="7" t="n">
        <f aca="false">IF(AND(LEFT(A3097,1)&lt;&gt;"C",D3097&gt;0,F3097&gt;0),1,0)</f>
        <v>1</v>
      </c>
      <c r="J3097" s="7" t="n">
        <f aca="false">IF(I3097=1,D3097*F3097,0)</f>
        <v>30.6</v>
      </c>
      <c r="K3097" s="7" t="n">
        <f aca="false">YEAR(E3097)*100+MONTH(E3097)</f>
        <v>201110</v>
      </c>
      <c r="L3097" s="7" t="n">
        <f aca="false">IF(AND(A3097&lt;&gt;A3096,LEFT(A3097,1)&lt;&gt;"C"),1,0)</f>
        <v>0</v>
      </c>
    </row>
    <row r="3098" customFormat="false" ht="15" hidden="false" customHeight="false" outlineLevel="0" collapsed="false">
      <c r="A3098" s="0" t="s">
        <v>2252</v>
      </c>
      <c r="B3098" s="0" t="s">
        <v>2273</v>
      </c>
      <c r="C3098" s="0" t="s">
        <v>2274</v>
      </c>
      <c r="D3098" s="0" t="n">
        <v>12</v>
      </c>
      <c r="E3098" s="6" t="n">
        <v>40829.6243055556</v>
      </c>
      <c r="F3098" s="0" t="n">
        <v>2.1</v>
      </c>
      <c r="G3098" s="0" t="n">
        <v>12613</v>
      </c>
      <c r="H3098" s="0" t="s">
        <v>33</v>
      </c>
      <c r="I3098" s="7" t="n">
        <f aca="false">IF(AND(LEFT(A3098,1)&lt;&gt;"C",D3098&gt;0,F3098&gt;0),1,0)</f>
        <v>1</v>
      </c>
      <c r="J3098" s="7" t="n">
        <f aca="false">IF(I3098=1,D3098*F3098,0)</f>
        <v>25.2</v>
      </c>
      <c r="K3098" s="7" t="n">
        <f aca="false">YEAR(E3098)*100+MONTH(E3098)</f>
        <v>201110</v>
      </c>
      <c r="L3098" s="7" t="n">
        <f aca="false">IF(AND(A3098&lt;&gt;A3097,LEFT(A3098,1)&lt;&gt;"C"),1,0)</f>
        <v>0</v>
      </c>
    </row>
    <row r="3099" customFormat="false" ht="15" hidden="false" customHeight="false" outlineLevel="0" collapsed="false">
      <c r="A3099" s="0" t="s">
        <v>2252</v>
      </c>
      <c r="B3099" s="0" t="s">
        <v>787</v>
      </c>
      <c r="C3099" s="0" t="s">
        <v>788</v>
      </c>
      <c r="D3099" s="0" t="n">
        <v>12</v>
      </c>
      <c r="E3099" s="6" t="n">
        <v>40829.6243055556</v>
      </c>
      <c r="F3099" s="0" t="n">
        <v>1.45</v>
      </c>
      <c r="G3099" s="0" t="n">
        <v>12613</v>
      </c>
      <c r="H3099" s="0" t="s">
        <v>33</v>
      </c>
      <c r="I3099" s="7" t="n">
        <f aca="false">IF(AND(LEFT(A3099,1)&lt;&gt;"C",D3099&gt;0,F3099&gt;0),1,0)</f>
        <v>1</v>
      </c>
      <c r="J3099" s="7" t="n">
        <f aca="false">IF(I3099=1,D3099*F3099,0)</f>
        <v>17.4</v>
      </c>
      <c r="K3099" s="7" t="n">
        <f aca="false">YEAR(E3099)*100+MONTH(E3099)</f>
        <v>201110</v>
      </c>
      <c r="L3099" s="7" t="n">
        <f aca="false">IF(AND(A3099&lt;&gt;A3098,LEFT(A3099,1)&lt;&gt;"C"),1,0)</f>
        <v>0</v>
      </c>
    </row>
    <row r="3100" customFormat="false" ht="15" hidden="false" customHeight="false" outlineLevel="0" collapsed="false">
      <c r="A3100" s="0" t="s">
        <v>2252</v>
      </c>
      <c r="B3100" s="0" t="s">
        <v>895</v>
      </c>
      <c r="C3100" s="0" t="s">
        <v>896</v>
      </c>
      <c r="D3100" s="0" t="n">
        <v>12</v>
      </c>
      <c r="E3100" s="6" t="n">
        <v>40829.6243055556</v>
      </c>
      <c r="F3100" s="0" t="n">
        <v>2.89</v>
      </c>
      <c r="G3100" s="0" t="n">
        <v>12613</v>
      </c>
      <c r="H3100" s="0" t="s">
        <v>33</v>
      </c>
      <c r="I3100" s="7" t="n">
        <f aca="false">IF(AND(LEFT(A3100,1)&lt;&gt;"C",D3100&gt;0,F3100&gt;0),1,0)</f>
        <v>1</v>
      </c>
      <c r="J3100" s="7" t="n">
        <f aca="false">IF(I3100=1,D3100*F3100,0)</f>
        <v>34.68</v>
      </c>
      <c r="K3100" s="7" t="n">
        <f aca="false">YEAR(E3100)*100+MONTH(E3100)</f>
        <v>201110</v>
      </c>
      <c r="L3100" s="7" t="n">
        <f aca="false">IF(AND(A3100&lt;&gt;A3099,LEFT(A3100,1)&lt;&gt;"C"),1,0)</f>
        <v>0</v>
      </c>
    </row>
    <row r="3101" customFormat="false" ht="15" hidden="false" customHeight="false" outlineLevel="0" collapsed="false">
      <c r="A3101" s="0" t="s">
        <v>2252</v>
      </c>
      <c r="B3101" s="0" t="s">
        <v>781</v>
      </c>
      <c r="C3101" s="0" t="s">
        <v>782</v>
      </c>
      <c r="D3101" s="0" t="n">
        <v>6</v>
      </c>
      <c r="E3101" s="6" t="n">
        <v>40829.6243055556</v>
      </c>
      <c r="F3101" s="0" t="n">
        <v>4.95</v>
      </c>
      <c r="G3101" s="0" t="n">
        <v>12613</v>
      </c>
      <c r="H3101" s="0" t="s">
        <v>33</v>
      </c>
      <c r="I3101" s="7" t="n">
        <f aca="false">IF(AND(LEFT(A3101,1)&lt;&gt;"C",D3101&gt;0,F3101&gt;0),1,0)</f>
        <v>1</v>
      </c>
      <c r="J3101" s="7" t="n">
        <f aca="false">IF(I3101=1,D3101*F3101,0)</f>
        <v>29.7</v>
      </c>
      <c r="K3101" s="7" t="n">
        <f aca="false">YEAR(E3101)*100+MONTH(E3101)</f>
        <v>201110</v>
      </c>
      <c r="L3101" s="7" t="n">
        <f aca="false">IF(AND(A3101&lt;&gt;A3100,LEFT(A3101,1)&lt;&gt;"C"),1,0)</f>
        <v>0</v>
      </c>
    </row>
    <row r="3102" customFormat="false" ht="15" hidden="false" customHeight="false" outlineLevel="0" collapsed="false">
      <c r="A3102" s="0" t="s">
        <v>2252</v>
      </c>
      <c r="B3102" s="0" t="s">
        <v>155</v>
      </c>
      <c r="C3102" s="0" t="s">
        <v>156</v>
      </c>
      <c r="D3102" s="0" t="n">
        <v>4</v>
      </c>
      <c r="E3102" s="6" t="n">
        <v>40829.6243055556</v>
      </c>
      <c r="F3102" s="0" t="n">
        <v>10.95</v>
      </c>
      <c r="G3102" s="0" t="n">
        <v>12613</v>
      </c>
      <c r="H3102" s="0" t="s">
        <v>33</v>
      </c>
      <c r="I3102" s="7" t="n">
        <f aca="false">IF(AND(LEFT(A3102,1)&lt;&gt;"C",D3102&gt;0,F3102&gt;0),1,0)</f>
        <v>1</v>
      </c>
      <c r="J3102" s="7" t="n">
        <f aca="false">IF(I3102=1,D3102*F3102,0)</f>
        <v>43.8</v>
      </c>
      <c r="K3102" s="7" t="n">
        <f aca="false">YEAR(E3102)*100+MONTH(E3102)</f>
        <v>201110</v>
      </c>
      <c r="L3102" s="7" t="n">
        <f aca="false">IF(AND(A3102&lt;&gt;A3101,LEFT(A3102,1)&lt;&gt;"C"),1,0)</f>
        <v>0</v>
      </c>
    </row>
    <row r="3103" customFormat="false" ht="15" hidden="false" customHeight="false" outlineLevel="0" collapsed="false">
      <c r="A3103" s="0" t="s">
        <v>2252</v>
      </c>
      <c r="B3103" s="0" t="s">
        <v>2275</v>
      </c>
      <c r="C3103" s="0" t="s">
        <v>2276</v>
      </c>
      <c r="D3103" s="0" t="n">
        <v>12</v>
      </c>
      <c r="E3103" s="6" t="n">
        <v>40829.6243055556</v>
      </c>
      <c r="F3103" s="0" t="n">
        <v>1.25</v>
      </c>
      <c r="G3103" s="0" t="n">
        <v>12613</v>
      </c>
      <c r="H3103" s="0" t="s">
        <v>33</v>
      </c>
      <c r="I3103" s="7" t="n">
        <f aca="false">IF(AND(LEFT(A3103,1)&lt;&gt;"C",D3103&gt;0,F3103&gt;0),1,0)</f>
        <v>1</v>
      </c>
      <c r="J3103" s="7" t="n">
        <f aca="false">IF(I3103=1,D3103*F3103,0)</f>
        <v>15</v>
      </c>
      <c r="K3103" s="7" t="n">
        <f aca="false">YEAR(E3103)*100+MONTH(E3103)</f>
        <v>201110</v>
      </c>
      <c r="L3103" s="7" t="n">
        <f aca="false">IF(AND(A3103&lt;&gt;A3102,LEFT(A3103,1)&lt;&gt;"C"),1,0)</f>
        <v>0</v>
      </c>
    </row>
    <row r="3104" customFormat="false" ht="15" hidden="false" customHeight="false" outlineLevel="0" collapsed="false">
      <c r="A3104" s="0" t="s">
        <v>2252</v>
      </c>
      <c r="B3104" s="0" t="s">
        <v>97</v>
      </c>
      <c r="C3104" s="0" t="s">
        <v>98</v>
      </c>
      <c r="D3104" s="0" t="n">
        <v>12</v>
      </c>
      <c r="E3104" s="6" t="n">
        <v>40829.6243055556</v>
      </c>
      <c r="F3104" s="0" t="n">
        <v>1.65</v>
      </c>
      <c r="G3104" s="0" t="n">
        <v>12613</v>
      </c>
      <c r="H3104" s="0" t="s">
        <v>33</v>
      </c>
      <c r="I3104" s="7" t="n">
        <f aca="false">IF(AND(LEFT(A3104,1)&lt;&gt;"C",D3104&gt;0,F3104&gt;0),1,0)</f>
        <v>1</v>
      </c>
      <c r="J3104" s="7" t="n">
        <f aca="false">IF(I3104=1,D3104*F3104,0)</f>
        <v>19.8</v>
      </c>
      <c r="K3104" s="7" t="n">
        <f aca="false">YEAR(E3104)*100+MONTH(E3104)</f>
        <v>201110</v>
      </c>
      <c r="L3104" s="7" t="n">
        <f aca="false">IF(AND(A3104&lt;&gt;A3103,LEFT(A3104,1)&lt;&gt;"C"),1,0)</f>
        <v>0</v>
      </c>
    </row>
    <row r="3105" customFormat="false" ht="15" hidden="false" customHeight="false" outlineLevel="0" collapsed="false">
      <c r="A3105" s="0" t="s">
        <v>2252</v>
      </c>
      <c r="B3105" s="0" t="s">
        <v>725</v>
      </c>
      <c r="C3105" s="0" t="s">
        <v>726</v>
      </c>
      <c r="D3105" s="0" t="n">
        <v>8</v>
      </c>
      <c r="E3105" s="6" t="n">
        <v>40829.6243055556</v>
      </c>
      <c r="F3105" s="0" t="n">
        <v>1.95</v>
      </c>
      <c r="G3105" s="0" t="n">
        <v>12613</v>
      </c>
      <c r="H3105" s="0" t="s">
        <v>33</v>
      </c>
      <c r="I3105" s="7" t="n">
        <f aca="false">IF(AND(LEFT(A3105,1)&lt;&gt;"C",D3105&gt;0,F3105&gt;0),1,0)</f>
        <v>1</v>
      </c>
      <c r="J3105" s="7" t="n">
        <f aca="false">IF(I3105=1,D3105*F3105,0)</f>
        <v>15.6</v>
      </c>
      <c r="K3105" s="7" t="n">
        <f aca="false">YEAR(E3105)*100+MONTH(E3105)</f>
        <v>201110</v>
      </c>
      <c r="L3105" s="7" t="n">
        <f aca="false">IF(AND(A3105&lt;&gt;A3104,LEFT(A3105,1)&lt;&gt;"C"),1,0)</f>
        <v>0</v>
      </c>
    </row>
    <row r="3106" customFormat="false" ht="15" hidden="false" customHeight="false" outlineLevel="0" collapsed="false">
      <c r="A3106" s="0" t="s">
        <v>2252</v>
      </c>
      <c r="B3106" s="0" t="s">
        <v>1336</v>
      </c>
      <c r="C3106" s="0" t="s">
        <v>1337</v>
      </c>
      <c r="D3106" s="0" t="n">
        <v>12</v>
      </c>
      <c r="E3106" s="6" t="n">
        <v>40829.6243055556</v>
      </c>
      <c r="F3106" s="0" t="n">
        <v>1.25</v>
      </c>
      <c r="G3106" s="0" t="n">
        <v>12613</v>
      </c>
      <c r="H3106" s="0" t="s">
        <v>33</v>
      </c>
      <c r="I3106" s="7" t="n">
        <f aca="false">IF(AND(LEFT(A3106,1)&lt;&gt;"C",D3106&gt;0,F3106&gt;0),1,0)</f>
        <v>1</v>
      </c>
      <c r="J3106" s="7" t="n">
        <f aca="false">IF(I3106=1,D3106*F3106,0)</f>
        <v>15</v>
      </c>
      <c r="K3106" s="7" t="n">
        <f aca="false">YEAR(E3106)*100+MONTH(E3106)</f>
        <v>201110</v>
      </c>
      <c r="L3106" s="7" t="n">
        <f aca="false">IF(AND(A3106&lt;&gt;A3105,LEFT(A3106,1)&lt;&gt;"C"),1,0)</f>
        <v>0</v>
      </c>
    </row>
    <row r="3107" customFormat="false" ht="15" hidden="false" customHeight="false" outlineLevel="0" collapsed="false">
      <c r="A3107" s="0" t="s">
        <v>2252</v>
      </c>
      <c r="B3107" s="0" t="s">
        <v>330</v>
      </c>
      <c r="C3107" s="0" t="s">
        <v>331</v>
      </c>
      <c r="D3107" s="0" t="n">
        <v>24</v>
      </c>
      <c r="E3107" s="6" t="n">
        <v>40829.6243055556</v>
      </c>
      <c r="F3107" s="0" t="n">
        <v>0.42</v>
      </c>
      <c r="G3107" s="0" t="n">
        <v>12613</v>
      </c>
      <c r="H3107" s="0" t="s">
        <v>33</v>
      </c>
      <c r="I3107" s="7" t="n">
        <f aca="false">IF(AND(LEFT(A3107,1)&lt;&gt;"C",D3107&gt;0,F3107&gt;0),1,0)</f>
        <v>1</v>
      </c>
      <c r="J3107" s="7" t="n">
        <f aca="false">IF(I3107=1,D3107*F3107,0)</f>
        <v>10.08</v>
      </c>
      <c r="K3107" s="7" t="n">
        <f aca="false">YEAR(E3107)*100+MONTH(E3107)</f>
        <v>201110</v>
      </c>
      <c r="L3107" s="7" t="n">
        <f aca="false">IF(AND(A3107&lt;&gt;A3106,LEFT(A3107,1)&lt;&gt;"C"),1,0)</f>
        <v>0</v>
      </c>
    </row>
    <row r="3108" customFormat="false" ht="15" hidden="false" customHeight="false" outlineLevel="0" collapsed="false">
      <c r="A3108" s="0" t="s">
        <v>2252</v>
      </c>
      <c r="B3108" s="0" t="s">
        <v>412</v>
      </c>
      <c r="C3108" s="0" t="s">
        <v>413</v>
      </c>
      <c r="D3108" s="0" t="n">
        <v>12</v>
      </c>
      <c r="E3108" s="6" t="n">
        <v>40829.6243055556</v>
      </c>
      <c r="F3108" s="0" t="n">
        <v>1.25</v>
      </c>
      <c r="G3108" s="0" t="n">
        <v>12613</v>
      </c>
      <c r="H3108" s="0" t="s">
        <v>33</v>
      </c>
      <c r="I3108" s="7" t="n">
        <f aca="false">IF(AND(LEFT(A3108,1)&lt;&gt;"C",D3108&gt;0,F3108&gt;0),1,0)</f>
        <v>1</v>
      </c>
      <c r="J3108" s="7" t="n">
        <f aca="false">IF(I3108=1,D3108*F3108,0)</f>
        <v>15</v>
      </c>
      <c r="K3108" s="7" t="n">
        <f aca="false">YEAR(E3108)*100+MONTH(E3108)</f>
        <v>201110</v>
      </c>
      <c r="L3108" s="7" t="n">
        <f aca="false">IF(AND(A3108&lt;&gt;A3107,LEFT(A3108,1)&lt;&gt;"C"),1,0)</f>
        <v>0</v>
      </c>
    </row>
    <row r="3109" customFormat="false" ht="15" hidden="false" customHeight="false" outlineLevel="0" collapsed="false">
      <c r="A3109" s="0" t="s">
        <v>2252</v>
      </c>
      <c r="B3109" s="0" t="s">
        <v>113</v>
      </c>
      <c r="C3109" s="0" t="s">
        <v>114</v>
      </c>
      <c r="D3109" s="0" t="n">
        <v>12</v>
      </c>
      <c r="E3109" s="6" t="n">
        <v>40829.6243055556</v>
      </c>
      <c r="F3109" s="0" t="n">
        <v>1.25</v>
      </c>
      <c r="G3109" s="0" t="n">
        <v>12613</v>
      </c>
      <c r="H3109" s="0" t="s">
        <v>33</v>
      </c>
      <c r="I3109" s="7" t="n">
        <f aca="false">IF(AND(LEFT(A3109,1)&lt;&gt;"C",D3109&gt;0,F3109&gt;0),1,0)</f>
        <v>1</v>
      </c>
      <c r="J3109" s="7" t="n">
        <f aca="false">IF(I3109=1,D3109*F3109,0)</f>
        <v>15</v>
      </c>
      <c r="K3109" s="7" t="n">
        <f aca="false">YEAR(E3109)*100+MONTH(E3109)</f>
        <v>201110</v>
      </c>
      <c r="L3109" s="7" t="n">
        <f aca="false">IF(AND(A3109&lt;&gt;A3108,LEFT(A3109,1)&lt;&gt;"C"),1,0)</f>
        <v>0</v>
      </c>
    </row>
    <row r="3110" customFormat="false" ht="15" hidden="false" customHeight="false" outlineLevel="0" collapsed="false">
      <c r="A3110" s="0" t="s">
        <v>2252</v>
      </c>
      <c r="B3110" s="0" t="s">
        <v>752</v>
      </c>
      <c r="C3110" s="0" t="s">
        <v>753</v>
      </c>
      <c r="D3110" s="0" t="n">
        <v>12</v>
      </c>
      <c r="E3110" s="6" t="n">
        <v>40829.6243055556</v>
      </c>
      <c r="F3110" s="0" t="n">
        <v>1.65</v>
      </c>
      <c r="G3110" s="0" t="n">
        <v>12613</v>
      </c>
      <c r="H3110" s="0" t="s">
        <v>33</v>
      </c>
      <c r="I3110" s="7" t="n">
        <f aca="false">IF(AND(LEFT(A3110,1)&lt;&gt;"C",D3110&gt;0,F3110&gt;0),1,0)</f>
        <v>1</v>
      </c>
      <c r="J3110" s="7" t="n">
        <f aca="false">IF(I3110=1,D3110*F3110,0)</f>
        <v>19.8</v>
      </c>
      <c r="K3110" s="7" t="n">
        <f aca="false">YEAR(E3110)*100+MONTH(E3110)</f>
        <v>201110</v>
      </c>
      <c r="L3110" s="7" t="n">
        <f aca="false">IF(AND(A3110&lt;&gt;A3109,LEFT(A3110,1)&lt;&gt;"C"),1,0)</f>
        <v>0</v>
      </c>
    </row>
    <row r="3111" customFormat="false" ht="15" hidden="false" customHeight="false" outlineLevel="0" collapsed="false">
      <c r="A3111" s="0" t="s">
        <v>2252</v>
      </c>
      <c r="B3111" s="0" t="s">
        <v>610</v>
      </c>
      <c r="C3111" s="0" t="s">
        <v>611</v>
      </c>
      <c r="D3111" s="0" t="n">
        <v>12</v>
      </c>
      <c r="E3111" s="6" t="n">
        <v>40829.6243055556</v>
      </c>
      <c r="F3111" s="0" t="n">
        <v>2.95</v>
      </c>
      <c r="G3111" s="0" t="n">
        <v>12613</v>
      </c>
      <c r="H3111" s="0" t="s">
        <v>33</v>
      </c>
      <c r="I3111" s="7" t="n">
        <f aca="false">IF(AND(LEFT(A3111,1)&lt;&gt;"C",D3111&gt;0,F3111&gt;0),1,0)</f>
        <v>1</v>
      </c>
      <c r="J3111" s="7" t="n">
        <f aca="false">IF(I3111=1,D3111*F3111,0)</f>
        <v>35.4</v>
      </c>
      <c r="K3111" s="7" t="n">
        <f aca="false">YEAR(E3111)*100+MONTH(E3111)</f>
        <v>201110</v>
      </c>
      <c r="L3111" s="7" t="n">
        <f aca="false">IF(AND(A3111&lt;&gt;A3110,LEFT(A3111,1)&lt;&gt;"C"),1,0)</f>
        <v>0</v>
      </c>
    </row>
    <row r="3112" customFormat="false" ht="15" hidden="false" customHeight="false" outlineLevel="0" collapsed="false">
      <c r="A3112" s="0" t="s">
        <v>2252</v>
      </c>
      <c r="B3112" s="0" t="s">
        <v>60</v>
      </c>
      <c r="C3112" s="0" t="s">
        <v>61</v>
      </c>
      <c r="D3112" s="0" t="n">
        <v>12</v>
      </c>
      <c r="E3112" s="6" t="n">
        <v>40829.6243055556</v>
      </c>
      <c r="F3112" s="0" t="n">
        <v>2.55</v>
      </c>
      <c r="G3112" s="0" t="n">
        <v>12613</v>
      </c>
      <c r="H3112" s="0" t="s">
        <v>33</v>
      </c>
      <c r="I3112" s="7" t="n">
        <f aca="false">IF(AND(LEFT(A3112,1)&lt;&gt;"C",D3112&gt;0,F3112&gt;0),1,0)</f>
        <v>1</v>
      </c>
      <c r="J3112" s="7" t="n">
        <f aca="false">IF(I3112=1,D3112*F3112,0)</f>
        <v>30.6</v>
      </c>
      <c r="K3112" s="7" t="n">
        <f aca="false">YEAR(E3112)*100+MONTH(E3112)</f>
        <v>201110</v>
      </c>
      <c r="L3112" s="7" t="n">
        <f aca="false">IF(AND(A3112&lt;&gt;A3111,LEFT(A3112,1)&lt;&gt;"C"),1,0)</f>
        <v>0</v>
      </c>
    </row>
    <row r="3113" customFormat="false" ht="15" hidden="false" customHeight="false" outlineLevel="0" collapsed="false">
      <c r="A3113" s="0" t="s">
        <v>2252</v>
      </c>
      <c r="B3113" s="0" t="s">
        <v>1177</v>
      </c>
      <c r="C3113" s="0" t="s">
        <v>1178</v>
      </c>
      <c r="D3113" s="0" t="n">
        <v>6</v>
      </c>
      <c r="E3113" s="6" t="n">
        <v>40829.6243055556</v>
      </c>
      <c r="F3113" s="0" t="n">
        <v>2.55</v>
      </c>
      <c r="G3113" s="0" t="n">
        <v>12613</v>
      </c>
      <c r="H3113" s="0" t="s">
        <v>33</v>
      </c>
      <c r="I3113" s="7" t="n">
        <f aca="false">IF(AND(LEFT(A3113,1)&lt;&gt;"C",D3113&gt;0,F3113&gt;0),1,0)</f>
        <v>1</v>
      </c>
      <c r="J3113" s="7" t="n">
        <f aca="false">IF(I3113=1,D3113*F3113,0)</f>
        <v>15.3</v>
      </c>
      <c r="K3113" s="7" t="n">
        <f aca="false">YEAR(E3113)*100+MONTH(E3113)</f>
        <v>201110</v>
      </c>
      <c r="L3113" s="7" t="n">
        <f aca="false">IF(AND(A3113&lt;&gt;A3112,LEFT(A3113,1)&lt;&gt;"C"),1,0)</f>
        <v>0</v>
      </c>
    </row>
    <row r="3114" customFormat="false" ht="15" hidden="false" customHeight="false" outlineLevel="0" collapsed="false">
      <c r="A3114" s="0" t="s">
        <v>2252</v>
      </c>
      <c r="B3114" s="0" t="s">
        <v>58</v>
      </c>
      <c r="C3114" s="0" t="s">
        <v>59</v>
      </c>
      <c r="D3114" s="0" t="n">
        <v>12</v>
      </c>
      <c r="E3114" s="6" t="n">
        <v>40829.6243055556</v>
      </c>
      <c r="F3114" s="0" t="n">
        <v>2.55</v>
      </c>
      <c r="G3114" s="0" t="n">
        <v>12613</v>
      </c>
      <c r="H3114" s="0" t="s">
        <v>33</v>
      </c>
      <c r="I3114" s="7" t="n">
        <f aca="false">IF(AND(LEFT(A3114,1)&lt;&gt;"C",D3114&gt;0,F3114&gt;0),1,0)</f>
        <v>1</v>
      </c>
      <c r="J3114" s="7" t="n">
        <f aca="false">IF(I3114=1,D3114*F3114,0)</f>
        <v>30.6</v>
      </c>
      <c r="K3114" s="7" t="n">
        <f aca="false">YEAR(E3114)*100+MONTH(E3114)</f>
        <v>201110</v>
      </c>
      <c r="L3114" s="7" t="n">
        <f aca="false">IF(AND(A3114&lt;&gt;A3113,LEFT(A3114,1)&lt;&gt;"C"),1,0)</f>
        <v>0</v>
      </c>
    </row>
    <row r="3115" customFormat="false" ht="15" hidden="false" customHeight="false" outlineLevel="0" collapsed="false">
      <c r="A3115" s="0" t="s">
        <v>2252</v>
      </c>
      <c r="B3115" s="0" t="s">
        <v>1065</v>
      </c>
      <c r="C3115" s="0" t="s">
        <v>1066</v>
      </c>
      <c r="D3115" s="0" t="n">
        <v>12</v>
      </c>
      <c r="E3115" s="6" t="n">
        <v>40829.6243055556</v>
      </c>
      <c r="F3115" s="0" t="n">
        <v>2.08</v>
      </c>
      <c r="G3115" s="0" t="n">
        <v>12613</v>
      </c>
      <c r="H3115" s="0" t="s">
        <v>33</v>
      </c>
      <c r="I3115" s="7" t="n">
        <f aca="false">IF(AND(LEFT(A3115,1)&lt;&gt;"C",D3115&gt;0,F3115&gt;0),1,0)</f>
        <v>1</v>
      </c>
      <c r="J3115" s="7" t="n">
        <f aca="false">IF(I3115=1,D3115*F3115,0)</f>
        <v>24.96</v>
      </c>
      <c r="K3115" s="7" t="n">
        <f aca="false">YEAR(E3115)*100+MONTH(E3115)</f>
        <v>201110</v>
      </c>
      <c r="L3115" s="7" t="n">
        <f aca="false">IF(AND(A3115&lt;&gt;A3114,LEFT(A3115,1)&lt;&gt;"C"),1,0)</f>
        <v>0</v>
      </c>
    </row>
    <row r="3116" customFormat="false" ht="15" hidden="false" customHeight="false" outlineLevel="0" collapsed="false">
      <c r="A3116" s="0" t="s">
        <v>2252</v>
      </c>
      <c r="B3116" s="0" t="s">
        <v>84</v>
      </c>
      <c r="C3116" s="0" t="s">
        <v>85</v>
      </c>
      <c r="D3116" s="0" t="n">
        <v>7</v>
      </c>
      <c r="E3116" s="6" t="n">
        <v>40829.6243055556</v>
      </c>
      <c r="F3116" s="0" t="n">
        <v>18</v>
      </c>
      <c r="G3116" s="0" t="n">
        <v>12613</v>
      </c>
      <c r="H3116" s="0" t="s">
        <v>33</v>
      </c>
      <c r="I3116" s="7" t="n">
        <f aca="false">IF(AND(LEFT(A3116,1)&lt;&gt;"C",D3116&gt;0,F3116&gt;0),1,0)</f>
        <v>1</v>
      </c>
      <c r="J3116" s="7" t="n">
        <f aca="false">IF(I3116=1,D3116*F3116,0)</f>
        <v>126</v>
      </c>
      <c r="K3116" s="7" t="n">
        <f aca="false">YEAR(E3116)*100+MONTH(E3116)</f>
        <v>201110</v>
      </c>
      <c r="L3116" s="7" t="n">
        <f aca="false">IF(AND(A3116&lt;&gt;A3115,LEFT(A3116,1)&lt;&gt;"C"),1,0)</f>
        <v>0</v>
      </c>
    </row>
    <row r="3117" customFormat="false" ht="15" hidden="false" customHeight="false" outlineLevel="0" collapsed="false">
      <c r="A3117" s="0" t="s">
        <v>2277</v>
      </c>
      <c r="B3117" s="0" t="s">
        <v>2278</v>
      </c>
      <c r="C3117" s="0" t="s">
        <v>2279</v>
      </c>
      <c r="D3117" s="0" t="n">
        <v>-1</v>
      </c>
      <c r="E3117" s="6" t="n">
        <v>40829.6284722222</v>
      </c>
      <c r="F3117" s="0" t="n">
        <v>1.06</v>
      </c>
      <c r="G3117" s="0" t="n">
        <v>12709</v>
      </c>
      <c r="H3117" s="0" t="s">
        <v>33</v>
      </c>
      <c r="I3117" s="7" t="n">
        <f aca="false">IF(AND(LEFT(A3117,1)&lt;&gt;"C",D3117&gt;0,F3117&gt;0),1,0)</f>
        <v>0</v>
      </c>
      <c r="J3117" s="7" t="n">
        <f aca="false">IF(I3117=1,D3117*F3117,0)</f>
        <v>0</v>
      </c>
      <c r="K3117" s="7" t="n">
        <f aca="false">YEAR(E3117)*100+MONTH(E3117)</f>
        <v>201110</v>
      </c>
      <c r="L3117" s="7" t="n">
        <f aca="false">IF(AND(A3117&lt;&gt;A3116,LEFT(A3117,1)&lt;&gt;"C"),1,0)</f>
        <v>0</v>
      </c>
    </row>
    <row r="3118" customFormat="false" ht="15" hidden="false" customHeight="false" outlineLevel="0" collapsed="false">
      <c r="A3118" s="0" t="s">
        <v>2277</v>
      </c>
      <c r="B3118" s="0" t="s">
        <v>493</v>
      </c>
      <c r="C3118" s="0" t="s">
        <v>494</v>
      </c>
      <c r="D3118" s="0" t="n">
        <v>-1</v>
      </c>
      <c r="E3118" s="6" t="n">
        <v>40829.6284722222</v>
      </c>
      <c r="F3118" s="0" t="n">
        <v>0.85</v>
      </c>
      <c r="G3118" s="0" t="n">
        <v>12709</v>
      </c>
      <c r="H3118" s="0" t="s">
        <v>33</v>
      </c>
      <c r="I3118" s="7" t="n">
        <f aca="false">IF(AND(LEFT(A3118,1)&lt;&gt;"C",D3118&gt;0,F3118&gt;0),1,0)</f>
        <v>0</v>
      </c>
      <c r="J3118" s="7" t="n">
        <f aca="false">IF(I3118=1,D3118*F3118,0)</f>
        <v>0</v>
      </c>
      <c r="K3118" s="7" t="n">
        <f aca="false">YEAR(E3118)*100+MONTH(E3118)</f>
        <v>201110</v>
      </c>
      <c r="L3118" s="7" t="n">
        <f aca="false">IF(AND(A3118&lt;&gt;A3117,LEFT(A3118,1)&lt;&gt;"C"),1,0)</f>
        <v>0</v>
      </c>
    </row>
    <row r="3119" customFormat="false" ht="15" hidden="false" customHeight="false" outlineLevel="0" collapsed="false">
      <c r="A3119" s="0" t="s">
        <v>2277</v>
      </c>
      <c r="B3119" s="0" t="s">
        <v>454</v>
      </c>
      <c r="C3119" s="0" t="s">
        <v>455</v>
      </c>
      <c r="D3119" s="0" t="n">
        <v>-2</v>
      </c>
      <c r="E3119" s="6" t="n">
        <v>40829.6284722222</v>
      </c>
      <c r="F3119" s="0" t="n">
        <v>3.95</v>
      </c>
      <c r="G3119" s="0" t="n">
        <v>12709</v>
      </c>
      <c r="H3119" s="0" t="s">
        <v>33</v>
      </c>
      <c r="I3119" s="7" t="n">
        <f aca="false">IF(AND(LEFT(A3119,1)&lt;&gt;"C",D3119&gt;0,F3119&gt;0),1,0)</f>
        <v>0</v>
      </c>
      <c r="J3119" s="7" t="n">
        <f aca="false">IF(I3119=1,D3119*F3119,0)</f>
        <v>0</v>
      </c>
      <c r="K3119" s="7" t="n">
        <f aca="false">YEAR(E3119)*100+MONTH(E3119)</f>
        <v>201110</v>
      </c>
      <c r="L3119" s="7" t="n">
        <f aca="false">IF(AND(A3119&lt;&gt;A3118,LEFT(A3119,1)&lt;&gt;"C"),1,0)</f>
        <v>0</v>
      </c>
    </row>
    <row r="3120" customFormat="false" ht="15" hidden="false" customHeight="false" outlineLevel="0" collapsed="false">
      <c r="A3120" s="0" t="s">
        <v>2277</v>
      </c>
      <c r="B3120" s="0" t="s">
        <v>760</v>
      </c>
      <c r="C3120" s="0" t="s">
        <v>761</v>
      </c>
      <c r="D3120" s="0" t="n">
        <v>-1</v>
      </c>
      <c r="E3120" s="6" t="n">
        <v>40829.6284722222</v>
      </c>
      <c r="F3120" s="0" t="n">
        <v>3.75</v>
      </c>
      <c r="G3120" s="0" t="n">
        <v>12709</v>
      </c>
      <c r="H3120" s="0" t="s">
        <v>33</v>
      </c>
      <c r="I3120" s="7" t="n">
        <f aca="false">IF(AND(LEFT(A3120,1)&lt;&gt;"C",D3120&gt;0,F3120&gt;0),1,0)</f>
        <v>0</v>
      </c>
      <c r="J3120" s="7" t="n">
        <f aca="false">IF(I3120=1,D3120*F3120,0)</f>
        <v>0</v>
      </c>
      <c r="K3120" s="7" t="n">
        <f aca="false">YEAR(E3120)*100+MONTH(E3120)</f>
        <v>201110</v>
      </c>
      <c r="L3120" s="7" t="n">
        <f aca="false">IF(AND(A3120&lt;&gt;A3119,LEFT(A3120,1)&lt;&gt;"C"),1,0)</f>
        <v>0</v>
      </c>
    </row>
    <row r="3121" customFormat="false" ht="15" hidden="false" customHeight="false" outlineLevel="0" collapsed="false">
      <c r="A3121" s="0" t="s">
        <v>2280</v>
      </c>
      <c r="B3121" s="0" t="s">
        <v>697</v>
      </c>
      <c r="C3121" s="0" t="s">
        <v>698</v>
      </c>
      <c r="D3121" s="0" t="n">
        <v>-36</v>
      </c>
      <c r="E3121" s="6" t="n">
        <v>40830.4173611111</v>
      </c>
      <c r="F3121" s="0" t="n">
        <v>1.69</v>
      </c>
      <c r="G3121" s="0" t="n">
        <v>12583</v>
      </c>
      <c r="H3121" s="0" t="s">
        <v>43</v>
      </c>
      <c r="I3121" s="7" t="n">
        <f aca="false">IF(AND(LEFT(A3121,1)&lt;&gt;"C",D3121&gt;0,F3121&gt;0),1,0)</f>
        <v>0</v>
      </c>
      <c r="J3121" s="7" t="n">
        <f aca="false">IF(I3121=1,D3121*F3121,0)</f>
        <v>0</v>
      </c>
      <c r="K3121" s="7" t="n">
        <f aca="false">YEAR(E3121)*100+MONTH(E3121)</f>
        <v>201110</v>
      </c>
      <c r="L3121" s="7" t="n">
        <f aca="false">IF(AND(A3121&lt;&gt;A3120,LEFT(A3121,1)&lt;&gt;"C"),1,0)</f>
        <v>0</v>
      </c>
    </row>
    <row r="3122" customFormat="false" ht="15" hidden="false" customHeight="false" outlineLevel="0" collapsed="false">
      <c r="A3122" s="0" t="s">
        <v>2281</v>
      </c>
      <c r="B3122" s="0" t="s">
        <v>2282</v>
      </c>
      <c r="C3122" s="0" t="s">
        <v>2283</v>
      </c>
      <c r="D3122" s="0" t="n">
        <v>6</v>
      </c>
      <c r="E3122" s="6" t="n">
        <v>40830.5395833333</v>
      </c>
      <c r="F3122" s="0" t="n">
        <v>16.95</v>
      </c>
      <c r="G3122" s="0" t="n">
        <v>13810</v>
      </c>
      <c r="H3122" s="0" t="s">
        <v>33</v>
      </c>
      <c r="I3122" s="7" t="n">
        <f aca="false">IF(AND(LEFT(A3122,1)&lt;&gt;"C",D3122&gt;0,F3122&gt;0),1,0)</f>
        <v>1</v>
      </c>
      <c r="J3122" s="7" t="n">
        <f aca="false">IF(I3122=1,D3122*F3122,0)</f>
        <v>101.7</v>
      </c>
      <c r="K3122" s="7" t="n">
        <f aca="false">YEAR(E3122)*100+MONTH(E3122)</f>
        <v>201110</v>
      </c>
      <c r="L3122" s="7" t="n">
        <f aca="false">IF(AND(A3122&lt;&gt;A3121,LEFT(A3122,1)&lt;&gt;"C"),1,0)</f>
        <v>1</v>
      </c>
    </row>
    <row r="3123" customFormat="false" ht="15" hidden="false" customHeight="false" outlineLevel="0" collapsed="false">
      <c r="A3123" s="0" t="s">
        <v>2281</v>
      </c>
      <c r="B3123" s="0" t="s">
        <v>1187</v>
      </c>
      <c r="C3123" s="0" t="s">
        <v>1188</v>
      </c>
      <c r="D3123" s="0" t="n">
        <v>12</v>
      </c>
      <c r="E3123" s="6" t="n">
        <v>40830.5395833333</v>
      </c>
      <c r="F3123" s="0" t="n">
        <v>5.95</v>
      </c>
      <c r="G3123" s="0" t="n">
        <v>13810</v>
      </c>
      <c r="H3123" s="0" t="s">
        <v>33</v>
      </c>
      <c r="I3123" s="7" t="n">
        <f aca="false">IF(AND(LEFT(A3123,1)&lt;&gt;"C",D3123&gt;0,F3123&gt;0),1,0)</f>
        <v>1</v>
      </c>
      <c r="J3123" s="7" t="n">
        <f aca="false">IF(I3123=1,D3123*F3123,0)</f>
        <v>71.4</v>
      </c>
      <c r="K3123" s="7" t="n">
        <f aca="false">YEAR(E3123)*100+MONTH(E3123)</f>
        <v>201110</v>
      </c>
      <c r="L3123" s="7" t="n">
        <f aca="false">IF(AND(A3123&lt;&gt;A3122,LEFT(A3123,1)&lt;&gt;"C"),1,0)</f>
        <v>0</v>
      </c>
    </row>
    <row r="3124" customFormat="false" ht="15" hidden="false" customHeight="false" outlineLevel="0" collapsed="false">
      <c r="A3124" s="0" t="s">
        <v>2281</v>
      </c>
      <c r="B3124" s="0" t="s">
        <v>285</v>
      </c>
      <c r="C3124" s="0" t="s">
        <v>286</v>
      </c>
      <c r="D3124" s="0" t="n">
        <v>6</v>
      </c>
      <c r="E3124" s="6" t="n">
        <v>40830.5395833333</v>
      </c>
      <c r="F3124" s="0" t="n">
        <v>8.5</v>
      </c>
      <c r="G3124" s="0" t="n">
        <v>13810</v>
      </c>
      <c r="H3124" s="0" t="s">
        <v>33</v>
      </c>
      <c r="I3124" s="7" t="n">
        <f aca="false">IF(AND(LEFT(A3124,1)&lt;&gt;"C",D3124&gt;0,F3124&gt;0),1,0)</f>
        <v>1</v>
      </c>
      <c r="J3124" s="7" t="n">
        <f aca="false">IF(I3124=1,D3124*F3124,0)</f>
        <v>51</v>
      </c>
      <c r="K3124" s="7" t="n">
        <f aca="false">YEAR(E3124)*100+MONTH(E3124)</f>
        <v>201110</v>
      </c>
      <c r="L3124" s="7" t="n">
        <f aca="false">IF(AND(A3124&lt;&gt;A3123,LEFT(A3124,1)&lt;&gt;"C"),1,0)</f>
        <v>0</v>
      </c>
    </row>
    <row r="3125" customFormat="false" ht="15" hidden="false" customHeight="false" outlineLevel="0" collapsed="false">
      <c r="A3125" s="0" t="s">
        <v>2281</v>
      </c>
      <c r="B3125" s="0" t="s">
        <v>1634</v>
      </c>
      <c r="C3125" s="0" t="s">
        <v>1635</v>
      </c>
      <c r="D3125" s="0" t="n">
        <v>9</v>
      </c>
      <c r="E3125" s="6" t="n">
        <v>40830.5395833333</v>
      </c>
      <c r="F3125" s="0" t="n">
        <v>4.95</v>
      </c>
      <c r="G3125" s="0" t="n">
        <v>13810</v>
      </c>
      <c r="H3125" s="0" t="s">
        <v>33</v>
      </c>
      <c r="I3125" s="7" t="n">
        <f aca="false">IF(AND(LEFT(A3125,1)&lt;&gt;"C",D3125&gt;0,F3125&gt;0),1,0)</f>
        <v>1</v>
      </c>
      <c r="J3125" s="7" t="n">
        <f aca="false">IF(I3125=1,D3125*F3125,0)</f>
        <v>44.55</v>
      </c>
      <c r="K3125" s="7" t="n">
        <f aca="false">YEAR(E3125)*100+MONTH(E3125)</f>
        <v>201110</v>
      </c>
      <c r="L3125" s="7" t="n">
        <f aca="false">IF(AND(A3125&lt;&gt;A3124,LEFT(A3125,1)&lt;&gt;"C"),1,0)</f>
        <v>0</v>
      </c>
    </row>
    <row r="3126" customFormat="false" ht="15" hidden="false" customHeight="false" outlineLevel="0" collapsed="false">
      <c r="A3126" s="0" t="s">
        <v>2281</v>
      </c>
      <c r="B3126" s="0" t="s">
        <v>316</v>
      </c>
      <c r="C3126" s="0" t="s">
        <v>317</v>
      </c>
      <c r="D3126" s="0" t="n">
        <v>9</v>
      </c>
      <c r="E3126" s="6" t="n">
        <v>40830.5395833333</v>
      </c>
      <c r="F3126" s="0" t="n">
        <v>4.95</v>
      </c>
      <c r="G3126" s="0" t="n">
        <v>13810</v>
      </c>
      <c r="H3126" s="0" t="s">
        <v>33</v>
      </c>
      <c r="I3126" s="7" t="n">
        <f aca="false">IF(AND(LEFT(A3126,1)&lt;&gt;"C",D3126&gt;0,F3126&gt;0),1,0)</f>
        <v>1</v>
      </c>
      <c r="J3126" s="7" t="n">
        <f aca="false">IF(I3126=1,D3126*F3126,0)</f>
        <v>44.55</v>
      </c>
      <c r="K3126" s="7" t="n">
        <f aca="false">YEAR(E3126)*100+MONTH(E3126)</f>
        <v>201110</v>
      </c>
      <c r="L3126" s="7" t="n">
        <f aca="false">IF(AND(A3126&lt;&gt;A3125,LEFT(A3126,1)&lt;&gt;"C"),1,0)</f>
        <v>0</v>
      </c>
    </row>
    <row r="3127" customFormat="false" ht="15" hidden="false" customHeight="false" outlineLevel="0" collapsed="false">
      <c r="A3127" s="0" t="s">
        <v>2281</v>
      </c>
      <c r="B3127" s="0" t="s">
        <v>1631</v>
      </c>
      <c r="C3127" s="0" t="s">
        <v>1632</v>
      </c>
      <c r="D3127" s="0" t="n">
        <v>10</v>
      </c>
      <c r="E3127" s="6" t="n">
        <v>40830.5395833333</v>
      </c>
      <c r="F3127" s="0" t="n">
        <v>2.95</v>
      </c>
      <c r="G3127" s="0" t="n">
        <v>13810</v>
      </c>
      <c r="H3127" s="0" t="s">
        <v>33</v>
      </c>
      <c r="I3127" s="7" t="n">
        <f aca="false">IF(AND(LEFT(A3127,1)&lt;&gt;"C",D3127&gt;0,F3127&gt;0),1,0)</f>
        <v>1</v>
      </c>
      <c r="J3127" s="7" t="n">
        <f aca="false">IF(I3127=1,D3127*F3127,0)</f>
        <v>29.5</v>
      </c>
      <c r="K3127" s="7" t="n">
        <f aca="false">YEAR(E3127)*100+MONTH(E3127)</f>
        <v>201110</v>
      </c>
      <c r="L3127" s="7" t="n">
        <f aca="false">IF(AND(A3127&lt;&gt;A3126,LEFT(A3127,1)&lt;&gt;"C"),1,0)</f>
        <v>0</v>
      </c>
    </row>
    <row r="3128" customFormat="false" ht="15" hidden="false" customHeight="false" outlineLevel="0" collapsed="false">
      <c r="A3128" s="0" t="s">
        <v>2281</v>
      </c>
      <c r="B3128" s="0" t="s">
        <v>133</v>
      </c>
      <c r="C3128" s="0" t="s">
        <v>134</v>
      </c>
      <c r="D3128" s="0" t="n">
        <v>6</v>
      </c>
      <c r="E3128" s="6" t="n">
        <v>40830.5395833333</v>
      </c>
      <c r="F3128" s="0" t="n">
        <v>3.25</v>
      </c>
      <c r="G3128" s="0" t="n">
        <v>13810</v>
      </c>
      <c r="H3128" s="0" t="s">
        <v>33</v>
      </c>
      <c r="I3128" s="7" t="n">
        <f aca="false">IF(AND(LEFT(A3128,1)&lt;&gt;"C",D3128&gt;0,F3128&gt;0),1,0)</f>
        <v>1</v>
      </c>
      <c r="J3128" s="7" t="n">
        <f aca="false">IF(I3128=1,D3128*F3128,0)</f>
        <v>19.5</v>
      </c>
      <c r="K3128" s="7" t="n">
        <f aca="false">YEAR(E3128)*100+MONTH(E3128)</f>
        <v>201110</v>
      </c>
      <c r="L3128" s="7" t="n">
        <f aca="false">IF(AND(A3128&lt;&gt;A3127,LEFT(A3128,1)&lt;&gt;"C"),1,0)</f>
        <v>0</v>
      </c>
    </row>
    <row r="3129" customFormat="false" ht="15" hidden="false" customHeight="false" outlineLevel="0" collapsed="false">
      <c r="A3129" s="0" t="s">
        <v>2281</v>
      </c>
      <c r="B3129" s="0" t="s">
        <v>1994</v>
      </c>
      <c r="C3129" s="0" t="s">
        <v>1995</v>
      </c>
      <c r="D3129" s="0" t="n">
        <v>6</v>
      </c>
      <c r="E3129" s="6" t="n">
        <v>40830.5395833333</v>
      </c>
      <c r="F3129" s="0" t="n">
        <v>5.95</v>
      </c>
      <c r="G3129" s="0" t="n">
        <v>13810</v>
      </c>
      <c r="H3129" s="0" t="s">
        <v>33</v>
      </c>
      <c r="I3129" s="7" t="n">
        <f aca="false">IF(AND(LEFT(A3129,1)&lt;&gt;"C",D3129&gt;0,F3129&gt;0),1,0)</f>
        <v>1</v>
      </c>
      <c r="J3129" s="7" t="n">
        <f aca="false">IF(I3129=1,D3129*F3129,0)</f>
        <v>35.7</v>
      </c>
      <c r="K3129" s="7" t="n">
        <f aca="false">YEAR(E3129)*100+MONTH(E3129)</f>
        <v>201110</v>
      </c>
      <c r="L3129" s="7" t="n">
        <f aca="false">IF(AND(A3129&lt;&gt;A3128,LEFT(A3129,1)&lt;&gt;"C"),1,0)</f>
        <v>0</v>
      </c>
    </row>
    <row r="3130" customFormat="false" ht="15" hidden="false" customHeight="false" outlineLevel="0" collapsed="false">
      <c r="A3130" s="0" t="s">
        <v>2281</v>
      </c>
      <c r="B3130" s="0" t="s">
        <v>467</v>
      </c>
      <c r="C3130" s="0" t="s">
        <v>468</v>
      </c>
      <c r="D3130" s="0" t="n">
        <v>8</v>
      </c>
      <c r="E3130" s="6" t="n">
        <v>40830.5395833333</v>
      </c>
      <c r="F3130" s="0" t="n">
        <v>1.95</v>
      </c>
      <c r="G3130" s="0" t="n">
        <v>13810</v>
      </c>
      <c r="H3130" s="0" t="s">
        <v>33</v>
      </c>
      <c r="I3130" s="7" t="n">
        <f aca="false">IF(AND(LEFT(A3130,1)&lt;&gt;"C",D3130&gt;0,F3130&gt;0),1,0)</f>
        <v>1</v>
      </c>
      <c r="J3130" s="7" t="n">
        <f aca="false">IF(I3130=1,D3130*F3130,0)</f>
        <v>15.6</v>
      </c>
      <c r="K3130" s="7" t="n">
        <f aca="false">YEAR(E3130)*100+MONTH(E3130)</f>
        <v>201110</v>
      </c>
      <c r="L3130" s="7" t="n">
        <f aca="false">IF(AND(A3130&lt;&gt;A3129,LEFT(A3130,1)&lt;&gt;"C"),1,0)</f>
        <v>0</v>
      </c>
    </row>
    <row r="3131" customFormat="false" ht="15" hidden="false" customHeight="false" outlineLevel="0" collapsed="false">
      <c r="A3131" s="0" t="s">
        <v>2281</v>
      </c>
      <c r="B3131" s="0" t="s">
        <v>598</v>
      </c>
      <c r="C3131" s="0" t="s">
        <v>599</v>
      </c>
      <c r="D3131" s="0" t="n">
        <v>8</v>
      </c>
      <c r="E3131" s="6" t="n">
        <v>40830.5395833333</v>
      </c>
      <c r="F3131" s="0" t="n">
        <v>1.95</v>
      </c>
      <c r="G3131" s="0" t="n">
        <v>13810</v>
      </c>
      <c r="H3131" s="0" t="s">
        <v>33</v>
      </c>
      <c r="I3131" s="7" t="n">
        <f aca="false">IF(AND(LEFT(A3131,1)&lt;&gt;"C",D3131&gt;0,F3131&gt;0),1,0)</f>
        <v>1</v>
      </c>
      <c r="J3131" s="7" t="n">
        <f aca="false">IF(I3131=1,D3131*F3131,0)</f>
        <v>15.6</v>
      </c>
      <c r="K3131" s="7" t="n">
        <f aca="false">YEAR(E3131)*100+MONTH(E3131)</f>
        <v>201110</v>
      </c>
      <c r="L3131" s="7" t="n">
        <f aca="false">IF(AND(A3131&lt;&gt;A3130,LEFT(A3131,1)&lt;&gt;"C"),1,0)</f>
        <v>0</v>
      </c>
    </row>
    <row r="3132" customFormat="false" ht="15" hidden="false" customHeight="false" outlineLevel="0" collapsed="false">
      <c r="A3132" s="0" t="s">
        <v>2281</v>
      </c>
      <c r="B3132" s="0" t="s">
        <v>783</v>
      </c>
      <c r="C3132" s="0" t="s">
        <v>784</v>
      </c>
      <c r="D3132" s="0" t="n">
        <v>12</v>
      </c>
      <c r="E3132" s="6" t="n">
        <v>40830.5395833333</v>
      </c>
      <c r="F3132" s="0" t="n">
        <v>2.1</v>
      </c>
      <c r="G3132" s="0" t="n">
        <v>13810</v>
      </c>
      <c r="H3132" s="0" t="s">
        <v>33</v>
      </c>
      <c r="I3132" s="7" t="n">
        <f aca="false">IF(AND(LEFT(A3132,1)&lt;&gt;"C",D3132&gt;0,F3132&gt;0),1,0)</f>
        <v>1</v>
      </c>
      <c r="J3132" s="7" t="n">
        <f aca="false">IF(I3132=1,D3132*F3132,0)</f>
        <v>25.2</v>
      </c>
      <c r="K3132" s="7" t="n">
        <f aca="false">YEAR(E3132)*100+MONTH(E3132)</f>
        <v>201110</v>
      </c>
      <c r="L3132" s="7" t="n">
        <f aca="false">IF(AND(A3132&lt;&gt;A3131,LEFT(A3132,1)&lt;&gt;"C"),1,0)</f>
        <v>0</v>
      </c>
    </row>
    <row r="3133" customFormat="false" ht="15" hidden="false" customHeight="false" outlineLevel="0" collapsed="false">
      <c r="A3133" s="0" t="s">
        <v>2281</v>
      </c>
      <c r="B3133" s="0" t="s">
        <v>308</v>
      </c>
      <c r="C3133" s="0" t="s">
        <v>309</v>
      </c>
      <c r="D3133" s="0" t="n">
        <v>12</v>
      </c>
      <c r="E3133" s="6" t="n">
        <v>40830.5395833333</v>
      </c>
      <c r="F3133" s="0" t="n">
        <v>1.25</v>
      </c>
      <c r="G3133" s="0" t="n">
        <v>13810</v>
      </c>
      <c r="H3133" s="0" t="s">
        <v>33</v>
      </c>
      <c r="I3133" s="7" t="n">
        <f aca="false">IF(AND(LEFT(A3133,1)&lt;&gt;"C",D3133&gt;0,F3133&gt;0),1,0)</f>
        <v>1</v>
      </c>
      <c r="J3133" s="7" t="n">
        <f aca="false">IF(I3133=1,D3133*F3133,0)</f>
        <v>15</v>
      </c>
      <c r="K3133" s="7" t="n">
        <f aca="false">YEAR(E3133)*100+MONTH(E3133)</f>
        <v>201110</v>
      </c>
      <c r="L3133" s="7" t="n">
        <f aca="false">IF(AND(A3133&lt;&gt;A3132,LEFT(A3133,1)&lt;&gt;"C"),1,0)</f>
        <v>0</v>
      </c>
    </row>
    <row r="3134" customFormat="false" ht="15" hidden="false" customHeight="false" outlineLevel="0" collapsed="false">
      <c r="A3134" s="0" t="s">
        <v>2281</v>
      </c>
      <c r="B3134" s="0" t="s">
        <v>2273</v>
      </c>
      <c r="C3134" s="0" t="s">
        <v>2274</v>
      </c>
      <c r="D3134" s="0" t="n">
        <v>12</v>
      </c>
      <c r="E3134" s="6" t="n">
        <v>40830.5395833333</v>
      </c>
      <c r="F3134" s="0" t="n">
        <v>2.1</v>
      </c>
      <c r="G3134" s="0" t="n">
        <v>13810</v>
      </c>
      <c r="H3134" s="0" t="s">
        <v>33</v>
      </c>
      <c r="I3134" s="7" t="n">
        <f aca="false">IF(AND(LEFT(A3134,1)&lt;&gt;"C",D3134&gt;0,F3134&gt;0),1,0)</f>
        <v>1</v>
      </c>
      <c r="J3134" s="7" t="n">
        <f aca="false">IF(I3134=1,D3134*F3134,0)</f>
        <v>25.2</v>
      </c>
      <c r="K3134" s="7" t="n">
        <f aca="false">YEAR(E3134)*100+MONTH(E3134)</f>
        <v>201110</v>
      </c>
      <c r="L3134" s="7" t="n">
        <f aca="false">IF(AND(A3134&lt;&gt;A3133,LEFT(A3134,1)&lt;&gt;"C"),1,0)</f>
        <v>0</v>
      </c>
    </row>
    <row r="3135" customFormat="false" ht="15" hidden="false" customHeight="false" outlineLevel="0" collapsed="false">
      <c r="A3135" s="0" t="s">
        <v>2281</v>
      </c>
      <c r="B3135" s="0" t="s">
        <v>343</v>
      </c>
      <c r="C3135" s="0" t="s">
        <v>344</v>
      </c>
      <c r="D3135" s="0" t="n">
        <v>12</v>
      </c>
      <c r="E3135" s="6" t="n">
        <v>40830.5395833333</v>
      </c>
      <c r="F3135" s="0" t="n">
        <v>1.45</v>
      </c>
      <c r="G3135" s="0" t="n">
        <v>13810</v>
      </c>
      <c r="H3135" s="0" t="s">
        <v>33</v>
      </c>
      <c r="I3135" s="7" t="n">
        <f aca="false">IF(AND(LEFT(A3135,1)&lt;&gt;"C",D3135&gt;0,F3135&gt;0),1,0)</f>
        <v>1</v>
      </c>
      <c r="J3135" s="7" t="n">
        <f aca="false">IF(I3135=1,D3135*F3135,0)</f>
        <v>17.4</v>
      </c>
      <c r="K3135" s="7" t="n">
        <f aca="false">YEAR(E3135)*100+MONTH(E3135)</f>
        <v>201110</v>
      </c>
      <c r="L3135" s="7" t="n">
        <f aca="false">IF(AND(A3135&lt;&gt;A3134,LEFT(A3135,1)&lt;&gt;"C"),1,0)</f>
        <v>0</v>
      </c>
    </row>
    <row r="3136" customFormat="false" ht="15" hidden="false" customHeight="false" outlineLevel="0" collapsed="false">
      <c r="A3136" s="0" t="s">
        <v>2281</v>
      </c>
      <c r="B3136" s="0" t="s">
        <v>1296</v>
      </c>
      <c r="C3136" s="0" t="s">
        <v>1297</v>
      </c>
      <c r="D3136" s="0" t="n">
        <v>12</v>
      </c>
      <c r="E3136" s="6" t="n">
        <v>40830.5395833333</v>
      </c>
      <c r="F3136" s="0" t="n">
        <v>1.45</v>
      </c>
      <c r="G3136" s="0" t="n">
        <v>13810</v>
      </c>
      <c r="H3136" s="0" t="s">
        <v>33</v>
      </c>
      <c r="I3136" s="7" t="n">
        <f aca="false">IF(AND(LEFT(A3136,1)&lt;&gt;"C",D3136&gt;0,F3136&gt;0),1,0)</f>
        <v>1</v>
      </c>
      <c r="J3136" s="7" t="n">
        <f aca="false">IF(I3136=1,D3136*F3136,0)</f>
        <v>17.4</v>
      </c>
      <c r="K3136" s="7" t="n">
        <f aca="false">YEAR(E3136)*100+MONTH(E3136)</f>
        <v>201110</v>
      </c>
      <c r="L3136" s="7" t="n">
        <f aca="false">IF(AND(A3136&lt;&gt;A3135,LEFT(A3136,1)&lt;&gt;"C"),1,0)</f>
        <v>0</v>
      </c>
    </row>
    <row r="3137" customFormat="false" ht="15" hidden="false" customHeight="false" outlineLevel="0" collapsed="false">
      <c r="A3137" s="0" t="s">
        <v>2281</v>
      </c>
      <c r="B3137" s="0" t="s">
        <v>341</v>
      </c>
      <c r="C3137" s="0" t="s">
        <v>342</v>
      </c>
      <c r="D3137" s="0" t="n">
        <v>12</v>
      </c>
      <c r="E3137" s="6" t="n">
        <v>40830.5395833333</v>
      </c>
      <c r="F3137" s="0" t="n">
        <v>1.45</v>
      </c>
      <c r="G3137" s="0" t="n">
        <v>13810</v>
      </c>
      <c r="H3137" s="0" t="s">
        <v>33</v>
      </c>
      <c r="I3137" s="7" t="n">
        <f aca="false">IF(AND(LEFT(A3137,1)&lt;&gt;"C",D3137&gt;0,F3137&gt;0),1,0)</f>
        <v>1</v>
      </c>
      <c r="J3137" s="7" t="n">
        <f aca="false">IF(I3137=1,D3137*F3137,0)</f>
        <v>17.4</v>
      </c>
      <c r="K3137" s="7" t="n">
        <f aca="false">YEAR(E3137)*100+MONTH(E3137)</f>
        <v>201110</v>
      </c>
      <c r="L3137" s="7" t="n">
        <f aca="false">IF(AND(A3137&lt;&gt;A3136,LEFT(A3137,1)&lt;&gt;"C"),1,0)</f>
        <v>0</v>
      </c>
    </row>
    <row r="3138" customFormat="false" ht="15" hidden="false" customHeight="false" outlineLevel="0" collapsed="false">
      <c r="A3138" s="0" t="s">
        <v>2281</v>
      </c>
      <c r="B3138" s="0" t="s">
        <v>1416</v>
      </c>
      <c r="C3138" s="0" t="s">
        <v>1417</v>
      </c>
      <c r="D3138" s="0" t="n">
        <v>12</v>
      </c>
      <c r="E3138" s="6" t="n">
        <v>40830.5395833333</v>
      </c>
      <c r="F3138" s="0" t="n">
        <v>1.45</v>
      </c>
      <c r="G3138" s="0" t="n">
        <v>13810</v>
      </c>
      <c r="H3138" s="0" t="s">
        <v>33</v>
      </c>
      <c r="I3138" s="7" t="n">
        <f aca="false">IF(AND(LEFT(A3138,1)&lt;&gt;"C",D3138&gt;0,F3138&gt;0),1,0)</f>
        <v>1</v>
      </c>
      <c r="J3138" s="7" t="n">
        <f aca="false">IF(I3138=1,D3138*F3138,0)</f>
        <v>17.4</v>
      </c>
      <c r="K3138" s="7" t="n">
        <f aca="false">YEAR(E3138)*100+MONTH(E3138)</f>
        <v>201110</v>
      </c>
      <c r="L3138" s="7" t="n">
        <f aca="false">IF(AND(A3138&lt;&gt;A3137,LEFT(A3138,1)&lt;&gt;"C"),1,0)</f>
        <v>0</v>
      </c>
    </row>
    <row r="3139" customFormat="false" ht="15" hidden="false" customHeight="false" outlineLevel="0" collapsed="false">
      <c r="A3139" s="0" t="s">
        <v>2281</v>
      </c>
      <c r="B3139" s="0" t="s">
        <v>1432</v>
      </c>
      <c r="C3139" s="0" t="s">
        <v>1433</v>
      </c>
      <c r="D3139" s="0" t="n">
        <v>6</v>
      </c>
      <c r="E3139" s="6" t="n">
        <v>40830.5395833333</v>
      </c>
      <c r="F3139" s="0" t="n">
        <v>2.95</v>
      </c>
      <c r="G3139" s="0" t="n">
        <v>13810</v>
      </c>
      <c r="H3139" s="0" t="s">
        <v>33</v>
      </c>
      <c r="I3139" s="7" t="n">
        <f aca="false">IF(AND(LEFT(A3139,1)&lt;&gt;"C",D3139&gt;0,F3139&gt;0),1,0)</f>
        <v>1</v>
      </c>
      <c r="J3139" s="7" t="n">
        <f aca="false">IF(I3139=1,D3139*F3139,0)</f>
        <v>17.7</v>
      </c>
      <c r="K3139" s="7" t="n">
        <f aca="false">YEAR(E3139)*100+MONTH(E3139)</f>
        <v>201110</v>
      </c>
      <c r="L3139" s="7" t="n">
        <f aca="false">IF(AND(A3139&lt;&gt;A3138,LEFT(A3139,1)&lt;&gt;"C"),1,0)</f>
        <v>0</v>
      </c>
    </row>
    <row r="3140" customFormat="false" ht="15" hidden="false" customHeight="false" outlineLevel="0" collapsed="false">
      <c r="A3140" s="0" t="s">
        <v>2281</v>
      </c>
      <c r="B3140" s="0" t="s">
        <v>1434</v>
      </c>
      <c r="C3140" s="0" t="s">
        <v>1435</v>
      </c>
      <c r="D3140" s="0" t="n">
        <v>6</v>
      </c>
      <c r="E3140" s="6" t="n">
        <v>40830.5395833333</v>
      </c>
      <c r="F3140" s="0" t="n">
        <v>2.95</v>
      </c>
      <c r="G3140" s="0" t="n">
        <v>13810</v>
      </c>
      <c r="H3140" s="0" t="s">
        <v>33</v>
      </c>
      <c r="I3140" s="7" t="n">
        <f aca="false">IF(AND(LEFT(A3140,1)&lt;&gt;"C",D3140&gt;0,F3140&gt;0),1,0)</f>
        <v>1</v>
      </c>
      <c r="J3140" s="7" t="n">
        <f aca="false">IF(I3140=1,D3140*F3140,0)</f>
        <v>17.7</v>
      </c>
      <c r="K3140" s="7" t="n">
        <f aca="false">YEAR(E3140)*100+MONTH(E3140)</f>
        <v>201110</v>
      </c>
      <c r="L3140" s="7" t="n">
        <f aca="false">IF(AND(A3140&lt;&gt;A3139,LEFT(A3140,1)&lt;&gt;"C"),1,0)</f>
        <v>0</v>
      </c>
    </row>
    <row r="3141" customFormat="false" ht="15" hidden="false" customHeight="false" outlineLevel="0" collapsed="false">
      <c r="A3141" s="0" t="s">
        <v>2281</v>
      </c>
      <c r="B3141" s="0" t="s">
        <v>84</v>
      </c>
      <c r="C3141" s="0" t="s">
        <v>85</v>
      </c>
      <c r="D3141" s="0" t="n">
        <v>3</v>
      </c>
      <c r="E3141" s="6" t="n">
        <v>40830.5395833333</v>
      </c>
      <c r="F3141" s="0" t="n">
        <v>18</v>
      </c>
      <c r="G3141" s="0" t="n">
        <v>13810</v>
      </c>
      <c r="H3141" s="0" t="s">
        <v>33</v>
      </c>
      <c r="I3141" s="7" t="n">
        <f aca="false">IF(AND(LEFT(A3141,1)&lt;&gt;"C",D3141&gt;0,F3141&gt;0),1,0)</f>
        <v>1</v>
      </c>
      <c r="J3141" s="7" t="n">
        <f aca="false">IF(I3141=1,D3141*F3141,0)</f>
        <v>54</v>
      </c>
      <c r="K3141" s="7" t="n">
        <f aca="false">YEAR(E3141)*100+MONTH(E3141)</f>
        <v>201110</v>
      </c>
      <c r="L3141" s="7" t="n">
        <f aca="false">IF(AND(A3141&lt;&gt;A3140,LEFT(A3141,1)&lt;&gt;"C"),1,0)</f>
        <v>0</v>
      </c>
    </row>
    <row r="3142" customFormat="false" ht="15" hidden="false" customHeight="false" outlineLevel="0" collapsed="false">
      <c r="A3142" s="0" t="s">
        <v>2284</v>
      </c>
      <c r="B3142" s="0" t="s">
        <v>2285</v>
      </c>
      <c r="C3142" s="0" t="s">
        <v>2286</v>
      </c>
      <c r="D3142" s="0" t="n">
        <v>-1</v>
      </c>
      <c r="E3142" s="6" t="n">
        <v>40830.5659722222</v>
      </c>
      <c r="F3142" s="0" t="n">
        <v>599.5</v>
      </c>
      <c r="G3142" s="0" t="n">
        <v>13810</v>
      </c>
      <c r="H3142" s="0" t="s">
        <v>33</v>
      </c>
      <c r="I3142" s="7" t="n">
        <f aca="false">IF(AND(LEFT(A3142,1)&lt;&gt;"C",D3142&gt;0,F3142&gt;0),1,0)</f>
        <v>0</v>
      </c>
      <c r="J3142" s="7" t="n">
        <f aca="false">IF(I3142=1,D3142*F3142,0)</f>
        <v>0</v>
      </c>
      <c r="K3142" s="7" t="n">
        <f aca="false">YEAR(E3142)*100+MONTH(E3142)</f>
        <v>201110</v>
      </c>
      <c r="L3142" s="7" t="n">
        <f aca="false">IF(AND(A3142&lt;&gt;A3141,LEFT(A3142,1)&lt;&gt;"C"),1,0)</f>
        <v>0</v>
      </c>
    </row>
    <row r="3143" customFormat="false" ht="15" hidden="false" customHeight="false" outlineLevel="0" collapsed="false">
      <c r="A3143" s="0" t="s">
        <v>2287</v>
      </c>
      <c r="B3143" s="0" t="s">
        <v>2285</v>
      </c>
      <c r="C3143" s="0" t="s">
        <v>2286</v>
      </c>
      <c r="D3143" s="0" t="n">
        <v>1</v>
      </c>
      <c r="E3143" s="6" t="n">
        <v>40830.5666666667</v>
      </c>
      <c r="F3143" s="0" t="n">
        <v>599.5</v>
      </c>
      <c r="G3143" s="0" t="n">
        <v>13810</v>
      </c>
      <c r="H3143" s="0" t="s">
        <v>33</v>
      </c>
      <c r="I3143" s="7" t="n">
        <f aca="false">IF(AND(LEFT(A3143,1)&lt;&gt;"C",D3143&gt;0,F3143&gt;0),1,0)</f>
        <v>1</v>
      </c>
      <c r="J3143" s="7" t="n">
        <f aca="false">IF(I3143=1,D3143*F3143,0)</f>
        <v>599.5</v>
      </c>
      <c r="K3143" s="7" t="n">
        <f aca="false">YEAR(E3143)*100+MONTH(E3143)</f>
        <v>201110</v>
      </c>
      <c r="L3143" s="7" t="n">
        <f aca="false">IF(AND(A3143&lt;&gt;A3142,LEFT(A3143,1)&lt;&gt;"C"),1,0)</f>
        <v>1</v>
      </c>
    </row>
    <row r="3144" customFormat="false" ht="15" hidden="false" customHeight="false" outlineLevel="0" collapsed="false">
      <c r="A3144" s="0" t="s">
        <v>2288</v>
      </c>
      <c r="B3144" s="0" t="s">
        <v>994</v>
      </c>
      <c r="C3144" s="0" t="s">
        <v>995</v>
      </c>
      <c r="D3144" s="0" t="n">
        <v>36</v>
      </c>
      <c r="E3144" s="6" t="n">
        <v>40830.5791666667</v>
      </c>
      <c r="F3144" s="0" t="n">
        <v>1.25</v>
      </c>
      <c r="G3144" s="0" t="n">
        <v>12477</v>
      </c>
      <c r="H3144" s="0" t="s">
        <v>33</v>
      </c>
      <c r="I3144" s="7" t="n">
        <f aca="false">IF(AND(LEFT(A3144,1)&lt;&gt;"C",D3144&gt;0,F3144&gt;0),1,0)</f>
        <v>1</v>
      </c>
      <c r="J3144" s="7" t="n">
        <f aca="false">IF(I3144=1,D3144*F3144,0)</f>
        <v>45</v>
      </c>
      <c r="K3144" s="7" t="n">
        <f aca="false">YEAR(E3144)*100+MONTH(E3144)</f>
        <v>201110</v>
      </c>
      <c r="L3144" s="7" t="n">
        <f aca="false">IF(AND(A3144&lt;&gt;A3143,LEFT(A3144,1)&lt;&gt;"C"),1,0)</f>
        <v>1</v>
      </c>
    </row>
    <row r="3145" customFormat="false" ht="15" hidden="false" customHeight="false" outlineLevel="0" collapsed="false">
      <c r="A3145" s="0" t="s">
        <v>2288</v>
      </c>
      <c r="B3145" s="0" t="s">
        <v>2242</v>
      </c>
      <c r="C3145" s="0" t="s">
        <v>2243</v>
      </c>
      <c r="D3145" s="0" t="n">
        <v>6</v>
      </c>
      <c r="E3145" s="6" t="n">
        <v>40830.5791666667</v>
      </c>
      <c r="F3145" s="0" t="n">
        <v>2.95</v>
      </c>
      <c r="G3145" s="0" t="n">
        <v>12477</v>
      </c>
      <c r="H3145" s="0" t="s">
        <v>33</v>
      </c>
      <c r="I3145" s="7" t="n">
        <f aca="false">IF(AND(LEFT(A3145,1)&lt;&gt;"C",D3145&gt;0,F3145&gt;0),1,0)</f>
        <v>1</v>
      </c>
      <c r="J3145" s="7" t="n">
        <f aca="false">IF(I3145=1,D3145*F3145,0)</f>
        <v>17.7</v>
      </c>
      <c r="K3145" s="7" t="n">
        <f aca="false">YEAR(E3145)*100+MONTH(E3145)</f>
        <v>201110</v>
      </c>
      <c r="L3145" s="7" t="n">
        <f aca="false">IF(AND(A3145&lt;&gt;A3144,LEFT(A3145,1)&lt;&gt;"C"),1,0)</f>
        <v>0</v>
      </c>
    </row>
    <row r="3146" customFormat="false" ht="15" hidden="false" customHeight="false" outlineLevel="0" collapsed="false">
      <c r="A3146" s="0" t="s">
        <v>2288</v>
      </c>
      <c r="B3146" s="0" t="s">
        <v>2289</v>
      </c>
      <c r="C3146" s="0" t="s">
        <v>2290</v>
      </c>
      <c r="D3146" s="0" t="n">
        <v>10</v>
      </c>
      <c r="E3146" s="6" t="n">
        <v>40830.5791666667</v>
      </c>
      <c r="F3146" s="0" t="n">
        <v>7.08</v>
      </c>
      <c r="G3146" s="0" t="n">
        <v>12477</v>
      </c>
      <c r="H3146" s="0" t="s">
        <v>33</v>
      </c>
      <c r="I3146" s="7" t="n">
        <f aca="false">IF(AND(LEFT(A3146,1)&lt;&gt;"C",D3146&gt;0,F3146&gt;0),1,0)</f>
        <v>1</v>
      </c>
      <c r="J3146" s="7" t="n">
        <f aca="false">IF(I3146=1,D3146*F3146,0)</f>
        <v>70.8</v>
      </c>
      <c r="K3146" s="7" t="n">
        <f aca="false">YEAR(E3146)*100+MONTH(E3146)</f>
        <v>201110</v>
      </c>
      <c r="L3146" s="7" t="n">
        <f aca="false">IF(AND(A3146&lt;&gt;A3145,LEFT(A3146,1)&lt;&gt;"C"),1,0)</f>
        <v>0</v>
      </c>
    </row>
    <row r="3147" customFormat="false" ht="15" hidden="false" customHeight="false" outlineLevel="0" collapsed="false">
      <c r="A3147" s="0" t="s">
        <v>2288</v>
      </c>
      <c r="B3147" s="0" t="s">
        <v>1248</v>
      </c>
      <c r="C3147" s="0" t="s">
        <v>1249</v>
      </c>
      <c r="D3147" s="0" t="n">
        <v>12</v>
      </c>
      <c r="E3147" s="6" t="n">
        <v>40830.5791666667</v>
      </c>
      <c r="F3147" s="0" t="n">
        <v>4.95</v>
      </c>
      <c r="G3147" s="0" t="n">
        <v>12477</v>
      </c>
      <c r="H3147" s="0" t="s">
        <v>33</v>
      </c>
      <c r="I3147" s="7" t="n">
        <f aca="false">IF(AND(LEFT(A3147,1)&lt;&gt;"C",D3147&gt;0,F3147&gt;0),1,0)</f>
        <v>1</v>
      </c>
      <c r="J3147" s="7" t="n">
        <f aca="false">IF(I3147=1,D3147*F3147,0)</f>
        <v>59.4</v>
      </c>
      <c r="K3147" s="7" t="n">
        <f aca="false">YEAR(E3147)*100+MONTH(E3147)</f>
        <v>201110</v>
      </c>
      <c r="L3147" s="7" t="n">
        <f aca="false">IF(AND(A3147&lt;&gt;A3146,LEFT(A3147,1)&lt;&gt;"C"),1,0)</f>
        <v>0</v>
      </c>
    </row>
    <row r="3148" customFormat="false" ht="15" hidden="false" customHeight="false" outlineLevel="0" collapsed="false">
      <c r="A3148" s="0" t="s">
        <v>2288</v>
      </c>
      <c r="B3148" s="0" t="s">
        <v>943</v>
      </c>
      <c r="C3148" s="0" t="s">
        <v>944</v>
      </c>
      <c r="D3148" s="0" t="n">
        <v>12</v>
      </c>
      <c r="E3148" s="6" t="n">
        <v>40830.5791666667</v>
      </c>
      <c r="F3148" s="0" t="n">
        <v>1.95</v>
      </c>
      <c r="G3148" s="0" t="n">
        <v>12477</v>
      </c>
      <c r="H3148" s="0" t="s">
        <v>33</v>
      </c>
      <c r="I3148" s="7" t="n">
        <f aca="false">IF(AND(LEFT(A3148,1)&lt;&gt;"C",D3148&gt;0,F3148&gt;0),1,0)</f>
        <v>1</v>
      </c>
      <c r="J3148" s="7" t="n">
        <f aca="false">IF(I3148=1,D3148*F3148,0)</f>
        <v>23.4</v>
      </c>
      <c r="K3148" s="7" t="n">
        <f aca="false">YEAR(E3148)*100+MONTH(E3148)</f>
        <v>201110</v>
      </c>
      <c r="L3148" s="7" t="n">
        <f aca="false">IF(AND(A3148&lt;&gt;A3147,LEFT(A3148,1)&lt;&gt;"C"),1,0)</f>
        <v>0</v>
      </c>
    </row>
    <row r="3149" customFormat="false" ht="15" hidden="false" customHeight="false" outlineLevel="0" collapsed="false">
      <c r="A3149" s="0" t="s">
        <v>2288</v>
      </c>
      <c r="B3149" s="0" t="s">
        <v>2291</v>
      </c>
      <c r="C3149" s="0" t="s">
        <v>2292</v>
      </c>
      <c r="D3149" s="0" t="n">
        <v>8</v>
      </c>
      <c r="E3149" s="6" t="n">
        <v>40830.5791666667</v>
      </c>
      <c r="F3149" s="0" t="n">
        <v>3.75</v>
      </c>
      <c r="G3149" s="0" t="n">
        <v>12477</v>
      </c>
      <c r="H3149" s="0" t="s">
        <v>33</v>
      </c>
      <c r="I3149" s="7" t="n">
        <f aca="false">IF(AND(LEFT(A3149,1)&lt;&gt;"C",D3149&gt;0,F3149&gt;0),1,0)</f>
        <v>1</v>
      </c>
      <c r="J3149" s="7" t="n">
        <f aca="false">IF(I3149=1,D3149*F3149,0)</f>
        <v>30</v>
      </c>
      <c r="K3149" s="7" t="n">
        <f aca="false">YEAR(E3149)*100+MONTH(E3149)</f>
        <v>201110</v>
      </c>
      <c r="L3149" s="7" t="n">
        <f aca="false">IF(AND(A3149&lt;&gt;A3148,LEFT(A3149,1)&lt;&gt;"C"),1,0)</f>
        <v>0</v>
      </c>
    </row>
    <row r="3150" customFormat="false" ht="15" hidden="false" customHeight="false" outlineLevel="0" collapsed="false">
      <c r="A3150" s="0" t="s">
        <v>2288</v>
      </c>
      <c r="B3150" s="0" t="s">
        <v>1097</v>
      </c>
      <c r="C3150" s="0" t="s">
        <v>1098</v>
      </c>
      <c r="D3150" s="0" t="n">
        <v>6</v>
      </c>
      <c r="E3150" s="6" t="n">
        <v>40830.5791666667</v>
      </c>
      <c r="F3150" s="0" t="n">
        <v>4.95</v>
      </c>
      <c r="G3150" s="0" t="n">
        <v>12477</v>
      </c>
      <c r="H3150" s="0" t="s">
        <v>33</v>
      </c>
      <c r="I3150" s="7" t="n">
        <f aca="false">IF(AND(LEFT(A3150,1)&lt;&gt;"C",D3150&gt;0,F3150&gt;0),1,0)</f>
        <v>1</v>
      </c>
      <c r="J3150" s="7" t="n">
        <f aca="false">IF(I3150=1,D3150*F3150,0)</f>
        <v>29.7</v>
      </c>
      <c r="K3150" s="7" t="n">
        <f aca="false">YEAR(E3150)*100+MONTH(E3150)</f>
        <v>201110</v>
      </c>
      <c r="L3150" s="7" t="n">
        <f aca="false">IF(AND(A3150&lt;&gt;A3149,LEFT(A3150,1)&lt;&gt;"C"),1,0)</f>
        <v>0</v>
      </c>
    </row>
    <row r="3151" customFormat="false" ht="15" hidden="false" customHeight="false" outlineLevel="0" collapsed="false">
      <c r="A3151" s="0" t="s">
        <v>2288</v>
      </c>
      <c r="B3151" s="0" t="s">
        <v>1964</v>
      </c>
      <c r="C3151" s="0" t="s">
        <v>1965</v>
      </c>
      <c r="D3151" s="0" t="n">
        <v>10</v>
      </c>
      <c r="E3151" s="6" t="n">
        <v>40830.5791666667</v>
      </c>
      <c r="F3151" s="0" t="n">
        <v>7.08</v>
      </c>
      <c r="G3151" s="0" t="n">
        <v>12477</v>
      </c>
      <c r="H3151" s="0" t="s">
        <v>33</v>
      </c>
      <c r="I3151" s="7" t="n">
        <f aca="false">IF(AND(LEFT(A3151,1)&lt;&gt;"C",D3151&gt;0,F3151&gt;0),1,0)</f>
        <v>1</v>
      </c>
      <c r="J3151" s="7" t="n">
        <f aca="false">IF(I3151=1,D3151*F3151,0)</f>
        <v>70.8</v>
      </c>
      <c r="K3151" s="7" t="n">
        <f aca="false">YEAR(E3151)*100+MONTH(E3151)</f>
        <v>201110</v>
      </c>
      <c r="L3151" s="7" t="n">
        <f aca="false">IF(AND(A3151&lt;&gt;A3150,LEFT(A3151,1)&lt;&gt;"C"),1,0)</f>
        <v>0</v>
      </c>
    </row>
    <row r="3152" customFormat="false" ht="15" hidden="false" customHeight="false" outlineLevel="0" collapsed="false">
      <c r="A3152" s="0" t="s">
        <v>2288</v>
      </c>
      <c r="B3152" s="0" t="s">
        <v>816</v>
      </c>
      <c r="C3152" s="0" t="s">
        <v>817</v>
      </c>
      <c r="D3152" s="0" t="n">
        <v>6</v>
      </c>
      <c r="E3152" s="6" t="n">
        <v>40830.5791666667</v>
      </c>
      <c r="F3152" s="0" t="n">
        <v>8.5</v>
      </c>
      <c r="G3152" s="0" t="n">
        <v>12477</v>
      </c>
      <c r="H3152" s="0" t="s">
        <v>33</v>
      </c>
      <c r="I3152" s="7" t="n">
        <f aca="false">IF(AND(LEFT(A3152,1)&lt;&gt;"C",D3152&gt;0,F3152&gt;0),1,0)</f>
        <v>1</v>
      </c>
      <c r="J3152" s="7" t="n">
        <f aca="false">IF(I3152=1,D3152*F3152,0)</f>
        <v>51</v>
      </c>
      <c r="K3152" s="7" t="n">
        <f aca="false">YEAR(E3152)*100+MONTH(E3152)</f>
        <v>201110</v>
      </c>
      <c r="L3152" s="7" t="n">
        <f aca="false">IF(AND(A3152&lt;&gt;A3151,LEFT(A3152,1)&lt;&gt;"C"),1,0)</f>
        <v>0</v>
      </c>
    </row>
    <row r="3153" customFormat="false" ht="15" hidden="false" customHeight="false" outlineLevel="0" collapsed="false">
      <c r="A3153" s="0" t="s">
        <v>2288</v>
      </c>
      <c r="B3153" s="0" t="s">
        <v>293</v>
      </c>
      <c r="C3153" s="0" t="s">
        <v>294</v>
      </c>
      <c r="D3153" s="0" t="n">
        <v>4</v>
      </c>
      <c r="E3153" s="6" t="n">
        <v>40830.5791666667</v>
      </c>
      <c r="F3153" s="0" t="n">
        <v>8.5</v>
      </c>
      <c r="G3153" s="0" t="n">
        <v>12477</v>
      </c>
      <c r="H3153" s="0" t="s">
        <v>33</v>
      </c>
      <c r="I3153" s="7" t="n">
        <f aca="false">IF(AND(LEFT(A3153,1)&lt;&gt;"C",D3153&gt;0,F3153&gt;0),1,0)</f>
        <v>1</v>
      </c>
      <c r="J3153" s="7" t="n">
        <f aca="false">IF(I3153=1,D3153*F3153,0)</f>
        <v>34</v>
      </c>
      <c r="K3153" s="7" t="n">
        <f aca="false">YEAR(E3153)*100+MONTH(E3153)</f>
        <v>201110</v>
      </c>
      <c r="L3153" s="7" t="n">
        <f aca="false">IF(AND(A3153&lt;&gt;A3152,LEFT(A3153,1)&lt;&gt;"C"),1,0)</f>
        <v>0</v>
      </c>
    </row>
    <row r="3154" customFormat="false" ht="15" hidden="false" customHeight="false" outlineLevel="0" collapsed="false">
      <c r="A3154" s="0" t="s">
        <v>2288</v>
      </c>
      <c r="B3154" s="0" t="s">
        <v>810</v>
      </c>
      <c r="C3154" s="0" t="s">
        <v>1891</v>
      </c>
      <c r="D3154" s="0" t="n">
        <v>4</v>
      </c>
      <c r="E3154" s="6" t="n">
        <v>40830.5791666667</v>
      </c>
      <c r="F3154" s="0" t="n">
        <v>3.75</v>
      </c>
      <c r="G3154" s="0" t="n">
        <v>12477</v>
      </c>
      <c r="H3154" s="0" t="s">
        <v>33</v>
      </c>
      <c r="I3154" s="7" t="n">
        <f aca="false">IF(AND(LEFT(A3154,1)&lt;&gt;"C",D3154&gt;0,F3154&gt;0),1,0)</f>
        <v>1</v>
      </c>
      <c r="J3154" s="7" t="n">
        <f aca="false">IF(I3154=1,D3154*F3154,0)</f>
        <v>15</v>
      </c>
      <c r="K3154" s="7" t="n">
        <f aca="false">YEAR(E3154)*100+MONTH(E3154)</f>
        <v>201110</v>
      </c>
      <c r="L3154" s="7" t="n">
        <f aca="false">IF(AND(A3154&lt;&gt;A3153,LEFT(A3154,1)&lt;&gt;"C"),1,0)</f>
        <v>0</v>
      </c>
    </row>
    <row r="3155" customFormat="false" ht="15" hidden="false" customHeight="false" outlineLevel="0" collapsed="false">
      <c r="A3155" s="0" t="s">
        <v>2288</v>
      </c>
      <c r="B3155" s="0" t="s">
        <v>812</v>
      </c>
      <c r="C3155" s="0" t="s">
        <v>813</v>
      </c>
      <c r="D3155" s="0" t="n">
        <v>4</v>
      </c>
      <c r="E3155" s="6" t="n">
        <v>40830.5791666667</v>
      </c>
      <c r="F3155" s="0" t="n">
        <v>3.75</v>
      </c>
      <c r="G3155" s="0" t="n">
        <v>12477</v>
      </c>
      <c r="H3155" s="0" t="s">
        <v>33</v>
      </c>
      <c r="I3155" s="7" t="n">
        <f aca="false">IF(AND(LEFT(A3155,1)&lt;&gt;"C",D3155&gt;0,F3155&gt;0),1,0)</f>
        <v>1</v>
      </c>
      <c r="J3155" s="7" t="n">
        <f aca="false">IF(I3155=1,D3155*F3155,0)</f>
        <v>15</v>
      </c>
      <c r="K3155" s="7" t="n">
        <f aca="false">YEAR(E3155)*100+MONTH(E3155)</f>
        <v>201110</v>
      </c>
      <c r="L3155" s="7" t="n">
        <f aca="false">IF(AND(A3155&lt;&gt;A3154,LEFT(A3155,1)&lt;&gt;"C"),1,0)</f>
        <v>0</v>
      </c>
    </row>
    <row r="3156" customFormat="false" ht="15" hidden="false" customHeight="false" outlineLevel="0" collapsed="false">
      <c r="A3156" s="0" t="s">
        <v>2288</v>
      </c>
      <c r="B3156" s="0" t="s">
        <v>2120</v>
      </c>
      <c r="C3156" s="0" t="s">
        <v>2121</v>
      </c>
      <c r="D3156" s="0" t="n">
        <v>10</v>
      </c>
      <c r="E3156" s="6" t="n">
        <v>40830.5791666667</v>
      </c>
      <c r="F3156" s="0" t="n">
        <v>7.08</v>
      </c>
      <c r="G3156" s="0" t="n">
        <v>12477</v>
      </c>
      <c r="H3156" s="0" t="s">
        <v>33</v>
      </c>
      <c r="I3156" s="7" t="n">
        <f aca="false">IF(AND(LEFT(A3156,1)&lt;&gt;"C",D3156&gt;0,F3156&gt;0),1,0)</f>
        <v>1</v>
      </c>
      <c r="J3156" s="7" t="n">
        <f aca="false">IF(I3156=1,D3156*F3156,0)</f>
        <v>70.8</v>
      </c>
      <c r="K3156" s="7" t="n">
        <f aca="false">YEAR(E3156)*100+MONTH(E3156)</f>
        <v>201110</v>
      </c>
      <c r="L3156" s="7" t="n">
        <f aca="false">IF(AND(A3156&lt;&gt;A3155,LEFT(A3156,1)&lt;&gt;"C"),1,0)</f>
        <v>0</v>
      </c>
    </row>
    <row r="3157" customFormat="false" ht="15" hidden="false" customHeight="false" outlineLevel="0" collapsed="false">
      <c r="A3157" s="0" t="s">
        <v>2288</v>
      </c>
      <c r="B3157" s="0" t="s">
        <v>2293</v>
      </c>
      <c r="C3157" s="0" t="s">
        <v>2294</v>
      </c>
      <c r="D3157" s="0" t="n">
        <v>7</v>
      </c>
      <c r="E3157" s="6" t="n">
        <v>40830.5791666667</v>
      </c>
      <c r="F3157" s="0" t="n">
        <v>2.55</v>
      </c>
      <c r="G3157" s="0" t="n">
        <v>12477</v>
      </c>
      <c r="H3157" s="0" t="s">
        <v>33</v>
      </c>
      <c r="I3157" s="7" t="n">
        <f aca="false">IF(AND(LEFT(A3157,1)&lt;&gt;"C",D3157&gt;0,F3157&gt;0),1,0)</f>
        <v>1</v>
      </c>
      <c r="J3157" s="7" t="n">
        <f aca="false">IF(I3157=1,D3157*F3157,0)</f>
        <v>17.85</v>
      </c>
      <c r="K3157" s="7" t="n">
        <f aca="false">YEAR(E3157)*100+MONTH(E3157)</f>
        <v>201110</v>
      </c>
      <c r="L3157" s="7" t="n">
        <f aca="false">IF(AND(A3157&lt;&gt;A3156,LEFT(A3157,1)&lt;&gt;"C"),1,0)</f>
        <v>0</v>
      </c>
    </row>
    <row r="3158" customFormat="false" ht="15" hidden="false" customHeight="false" outlineLevel="0" collapsed="false">
      <c r="A3158" s="0" t="s">
        <v>2288</v>
      </c>
      <c r="B3158" s="0" t="s">
        <v>58</v>
      </c>
      <c r="C3158" s="0" t="s">
        <v>59</v>
      </c>
      <c r="D3158" s="0" t="n">
        <v>12</v>
      </c>
      <c r="E3158" s="6" t="n">
        <v>40830.5791666667</v>
      </c>
      <c r="F3158" s="0" t="n">
        <v>2.55</v>
      </c>
      <c r="G3158" s="0" t="n">
        <v>12477</v>
      </c>
      <c r="H3158" s="0" t="s">
        <v>33</v>
      </c>
      <c r="I3158" s="7" t="n">
        <f aca="false">IF(AND(LEFT(A3158,1)&lt;&gt;"C",D3158&gt;0,F3158&gt;0),1,0)</f>
        <v>1</v>
      </c>
      <c r="J3158" s="7" t="n">
        <f aca="false">IF(I3158=1,D3158*F3158,0)</f>
        <v>30.6</v>
      </c>
      <c r="K3158" s="7" t="n">
        <f aca="false">YEAR(E3158)*100+MONTH(E3158)</f>
        <v>201110</v>
      </c>
      <c r="L3158" s="7" t="n">
        <f aca="false">IF(AND(A3158&lt;&gt;A3157,LEFT(A3158,1)&lt;&gt;"C"),1,0)</f>
        <v>0</v>
      </c>
    </row>
    <row r="3159" customFormat="false" ht="15" hidden="false" customHeight="false" outlineLevel="0" collapsed="false">
      <c r="A3159" s="0" t="s">
        <v>2288</v>
      </c>
      <c r="B3159" s="0" t="s">
        <v>2295</v>
      </c>
      <c r="C3159" s="0" t="s">
        <v>2296</v>
      </c>
      <c r="D3159" s="0" t="n">
        <v>12</v>
      </c>
      <c r="E3159" s="6" t="n">
        <v>40830.5791666667</v>
      </c>
      <c r="F3159" s="0" t="n">
        <v>0.42</v>
      </c>
      <c r="G3159" s="0" t="n">
        <v>12477</v>
      </c>
      <c r="H3159" s="0" t="s">
        <v>33</v>
      </c>
      <c r="I3159" s="7" t="n">
        <f aca="false">IF(AND(LEFT(A3159,1)&lt;&gt;"C",D3159&gt;0,F3159&gt;0),1,0)</f>
        <v>1</v>
      </c>
      <c r="J3159" s="7" t="n">
        <f aca="false">IF(I3159=1,D3159*F3159,0)</f>
        <v>5.04</v>
      </c>
      <c r="K3159" s="7" t="n">
        <f aca="false">YEAR(E3159)*100+MONTH(E3159)</f>
        <v>201110</v>
      </c>
      <c r="L3159" s="7" t="n">
        <f aca="false">IF(AND(A3159&lt;&gt;A3158,LEFT(A3159,1)&lt;&gt;"C"),1,0)</f>
        <v>0</v>
      </c>
    </row>
    <row r="3160" customFormat="false" ht="15" hidden="false" customHeight="false" outlineLevel="0" collapsed="false">
      <c r="A3160" s="0" t="s">
        <v>2288</v>
      </c>
      <c r="B3160" s="0" t="s">
        <v>594</v>
      </c>
      <c r="C3160" s="0" t="s">
        <v>595</v>
      </c>
      <c r="D3160" s="0" t="n">
        <v>12</v>
      </c>
      <c r="E3160" s="6" t="n">
        <v>40830.5791666667</v>
      </c>
      <c r="F3160" s="0" t="n">
        <v>2.08</v>
      </c>
      <c r="G3160" s="0" t="n">
        <v>12477</v>
      </c>
      <c r="H3160" s="0" t="s">
        <v>33</v>
      </c>
      <c r="I3160" s="7" t="n">
        <f aca="false">IF(AND(LEFT(A3160,1)&lt;&gt;"C",D3160&gt;0,F3160&gt;0),1,0)</f>
        <v>1</v>
      </c>
      <c r="J3160" s="7" t="n">
        <f aca="false">IF(I3160=1,D3160*F3160,0)</f>
        <v>24.96</v>
      </c>
      <c r="K3160" s="7" t="n">
        <f aca="false">YEAR(E3160)*100+MONTH(E3160)</f>
        <v>201110</v>
      </c>
      <c r="L3160" s="7" t="n">
        <f aca="false">IF(AND(A3160&lt;&gt;A3159,LEFT(A3160,1)&lt;&gt;"C"),1,0)</f>
        <v>0</v>
      </c>
    </row>
    <row r="3161" customFormat="false" ht="15" hidden="false" customHeight="false" outlineLevel="0" collapsed="false">
      <c r="A3161" s="0" t="s">
        <v>2288</v>
      </c>
      <c r="B3161" s="0" t="s">
        <v>2297</v>
      </c>
      <c r="C3161" s="0" t="s">
        <v>2298</v>
      </c>
      <c r="D3161" s="0" t="n">
        <v>10</v>
      </c>
      <c r="E3161" s="6" t="n">
        <v>40830.5791666667</v>
      </c>
      <c r="F3161" s="0" t="n">
        <v>7.08</v>
      </c>
      <c r="G3161" s="0" t="n">
        <v>12477</v>
      </c>
      <c r="H3161" s="0" t="s">
        <v>33</v>
      </c>
      <c r="I3161" s="7" t="n">
        <f aca="false">IF(AND(LEFT(A3161,1)&lt;&gt;"C",D3161&gt;0,F3161&gt;0),1,0)</f>
        <v>1</v>
      </c>
      <c r="J3161" s="7" t="n">
        <f aca="false">IF(I3161=1,D3161*F3161,0)</f>
        <v>70.8</v>
      </c>
      <c r="K3161" s="7" t="n">
        <f aca="false">YEAR(E3161)*100+MONTH(E3161)</f>
        <v>201110</v>
      </c>
      <c r="L3161" s="7" t="n">
        <f aca="false">IF(AND(A3161&lt;&gt;A3160,LEFT(A3161,1)&lt;&gt;"C"),1,0)</f>
        <v>0</v>
      </c>
    </row>
    <row r="3162" customFormat="false" ht="15" hidden="false" customHeight="false" outlineLevel="0" collapsed="false">
      <c r="A3162" s="0" t="s">
        <v>2288</v>
      </c>
      <c r="B3162" s="0" t="s">
        <v>2299</v>
      </c>
      <c r="C3162" s="0" t="s">
        <v>2300</v>
      </c>
      <c r="D3162" s="0" t="n">
        <v>10</v>
      </c>
      <c r="E3162" s="6" t="n">
        <v>40830.5791666667</v>
      </c>
      <c r="F3162" s="0" t="n">
        <v>7.08</v>
      </c>
      <c r="G3162" s="0" t="n">
        <v>12477</v>
      </c>
      <c r="H3162" s="0" t="s">
        <v>33</v>
      </c>
      <c r="I3162" s="7" t="n">
        <f aca="false">IF(AND(LEFT(A3162,1)&lt;&gt;"C",D3162&gt;0,F3162&gt;0),1,0)</f>
        <v>1</v>
      </c>
      <c r="J3162" s="7" t="n">
        <f aca="false">IF(I3162=1,D3162*F3162,0)</f>
        <v>70.8</v>
      </c>
      <c r="K3162" s="7" t="n">
        <f aca="false">YEAR(E3162)*100+MONTH(E3162)</f>
        <v>201110</v>
      </c>
      <c r="L3162" s="7" t="n">
        <f aca="false">IF(AND(A3162&lt;&gt;A3161,LEFT(A3162,1)&lt;&gt;"C"),1,0)</f>
        <v>0</v>
      </c>
    </row>
    <row r="3163" customFormat="false" ht="15" hidden="false" customHeight="false" outlineLevel="0" collapsed="false">
      <c r="A3163" s="0" t="s">
        <v>2288</v>
      </c>
      <c r="B3163" s="0" t="s">
        <v>301</v>
      </c>
      <c r="C3163" s="0" t="s">
        <v>302</v>
      </c>
      <c r="D3163" s="0" t="n">
        <v>6</v>
      </c>
      <c r="E3163" s="6" t="n">
        <v>40830.5791666667</v>
      </c>
      <c r="F3163" s="0" t="n">
        <v>2.55</v>
      </c>
      <c r="G3163" s="0" t="n">
        <v>12477</v>
      </c>
      <c r="H3163" s="0" t="s">
        <v>33</v>
      </c>
      <c r="I3163" s="7" t="n">
        <f aca="false">IF(AND(LEFT(A3163,1)&lt;&gt;"C",D3163&gt;0,F3163&gt;0),1,0)</f>
        <v>1</v>
      </c>
      <c r="J3163" s="7" t="n">
        <f aca="false">IF(I3163=1,D3163*F3163,0)</f>
        <v>15.3</v>
      </c>
      <c r="K3163" s="7" t="n">
        <f aca="false">YEAR(E3163)*100+MONTH(E3163)</f>
        <v>201110</v>
      </c>
      <c r="L3163" s="7" t="n">
        <f aca="false">IF(AND(A3163&lt;&gt;A3162,LEFT(A3163,1)&lt;&gt;"C"),1,0)</f>
        <v>0</v>
      </c>
    </row>
    <row r="3164" customFormat="false" ht="15" hidden="false" customHeight="false" outlineLevel="0" collapsed="false">
      <c r="A3164" s="0" t="s">
        <v>2288</v>
      </c>
      <c r="B3164" s="0" t="s">
        <v>1021</v>
      </c>
      <c r="C3164" s="0" t="s">
        <v>1022</v>
      </c>
      <c r="D3164" s="0" t="n">
        <v>10</v>
      </c>
      <c r="E3164" s="6" t="n">
        <v>40830.5791666667</v>
      </c>
      <c r="F3164" s="0" t="n">
        <v>7.08</v>
      </c>
      <c r="G3164" s="0" t="n">
        <v>12477</v>
      </c>
      <c r="H3164" s="0" t="s">
        <v>33</v>
      </c>
      <c r="I3164" s="7" t="n">
        <f aca="false">IF(AND(LEFT(A3164,1)&lt;&gt;"C",D3164&gt;0,F3164&gt;0),1,0)</f>
        <v>1</v>
      </c>
      <c r="J3164" s="7" t="n">
        <f aca="false">IF(I3164=1,D3164*F3164,0)</f>
        <v>70.8</v>
      </c>
      <c r="K3164" s="7" t="n">
        <f aca="false">YEAR(E3164)*100+MONTH(E3164)</f>
        <v>201110</v>
      </c>
      <c r="L3164" s="7" t="n">
        <f aca="false">IF(AND(A3164&lt;&gt;A3163,LEFT(A3164,1)&lt;&gt;"C"),1,0)</f>
        <v>0</v>
      </c>
    </row>
    <row r="3165" customFormat="false" ht="15" hidden="false" customHeight="false" outlineLevel="0" collapsed="false">
      <c r="A3165" s="0" t="s">
        <v>2288</v>
      </c>
      <c r="B3165" s="0" t="s">
        <v>463</v>
      </c>
      <c r="C3165" s="0" t="s">
        <v>464</v>
      </c>
      <c r="D3165" s="0" t="n">
        <v>10</v>
      </c>
      <c r="E3165" s="6" t="n">
        <v>40830.5791666667</v>
      </c>
      <c r="F3165" s="0" t="n">
        <v>7.95</v>
      </c>
      <c r="G3165" s="0" t="n">
        <v>12477</v>
      </c>
      <c r="H3165" s="0" t="s">
        <v>33</v>
      </c>
      <c r="I3165" s="7" t="n">
        <f aca="false">IF(AND(LEFT(A3165,1)&lt;&gt;"C",D3165&gt;0,F3165&gt;0),1,0)</f>
        <v>1</v>
      </c>
      <c r="J3165" s="7" t="n">
        <f aca="false">IF(I3165=1,D3165*F3165,0)</f>
        <v>79.5</v>
      </c>
      <c r="K3165" s="7" t="n">
        <f aca="false">YEAR(E3165)*100+MONTH(E3165)</f>
        <v>201110</v>
      </c>
      <c r="L3165" s="7" t="n">
        <f aca="false">IF(AND(A3165&lt;&gt;A3164,LEFT(A3165,1)&lt;&gt;"C"),1,0)</f>
        <v>0</v>
      </c>
    </row>
    <row r="3166" customFormat="false" ht="15" hidden="false" customHeight="false" outlineLevel="0" collapsed="false">
      <c r="A3166" s="0" t="s">
        <v>2288</v>
      </c>
      <c r="B3166" s="0" t="s">
        <v>2301</v>
      </c>
      <c r="C3166" s="0" t="s">
        <v>2302</v>
      </c>
      <c r="D3166" s="0" t="n">
        <v>12</v>
      </c>
      <c r="E3166" s="6" t="n">
        <v>40830.5791666667</v>
      </c>
      <c r="F3166" s="0" t="n">
        <v>1.69</v>
      </c>
      <c r="G3166" s="0" t="n">
        <v>12477</v>
      </c>
      <c r="H3166" s="0" t="s">
        <v>33</v>
      </c>
      <c r="I3166" s="7" t="n">
        <f aca="false">IF(AND(LEFT(A3166,1)&lt;&gt;"C",D3166&gt;0,F3166&gt;0),1,0)</f>
        <v>1</v>
      </c>
      <c r="J3166" s="7" t="n">
        <f aca="false">IF(I3166=1,D3166*F3166,0)</f>
        <v>20.28</v>
      </c>
      <c r="K3166" s="7" t="n">
        <f aca="false">YEAR(E3166)*100+MONTH(E3166)</f>
        <v>201110</v>
      </c>
      <c r="L3166" s="7" t="n">
        <f aca="false">IF(AND(A3166&lt;&gt;A3165,LEFT(A3166,1)&lt;&gt;"C"),1,0)</f>
        <v>0</v>
      </c>
    </row>
    <row r="3167" customFormat="false" ht="15" hidden="false" customHeight="false" outlineLevel="0" collapsed="false">
      <c r="A3167" s="0" t="s">
        <v>2288</v>
      </c>
      <c r="B3167" s="0" t="s">
        <v>781</v>
      </c>
      <c r="C3167" s="0" t="s">
        <v>782</v>
      </c>
      <c r="D3167" s="0" t="n">
        <v>15</v>
      </c>
      <c r="E3167" s="6" t="n">
        <v>40830.5791666667</v>
      </c>
      <c r="F3167" s="0" t="n">
        <v>4.95</v>
      </c>
      <c r="G3167" s="0" t="n">
        <v>12477</v>
      </c>
      <c r="H3167" s="0" t="s">
        <v>33</v>
      </c>
      <c r="I3167" s="7" t="n">
        <f aca="false">IF(AND(LEFT(A3167,1)&lt;&gt;"C",D3167&gt;0,F3167&gt;0),1,0)</f>
        <v>1</v>
      </c>
      <c r="J3167" s="7" t="n">
        <f aca="false">IF(I3167=1,D3167*F3167,0)</f>
        <v>74.25</v>
      </c>
      <c r="K3167" s="7" t="n">
        <f aca="false">YEAR(E3167)*100+MONTH(E3167)</f>
        <v>201110</v>
      </c>
      <c r="L3167" s="7" t="n">
        <f aca="false">IF(AND(A3167&lt;&gt;A3166,LEFT(A3167,1)&lt;&gt;"C"),1,0)</f>
        <v>0</v>
      </c>
    </row>
    <row r="3168" customFormat="false" ht="15" hidden="false" customHeight="false" outlineLevel="0" collapsed="false">
      <c r="A3168" s="0" t="s">
        <v>2288</v>
      </c>
      <c r="B3168" s="0" t="s">
        <v>343</v>
      </c>
      <c r="C3168" s="0" t="s">
        <v>344</v>
      </c>
      <c r="D3168" s="0" t="n">
        <v>12</v>
      </c>
      <c r="E3168" s="6" t="n">
        <v>40830.5791666667</v>
      </c>
      <c r="F3168" s="0" t="n">
        <v>1.45</v>
      </c>
      <c r="G3168" s="0" t="n">
        <v>12477</v>
      </c>
      <c r="H3168" s="0" t="s">
        <v>33</v>
      </c>
      <c r="I3168" s="7" t="n">
        <f aca="false">IF(AND(LEFT(A3168,1)&lt;&gt;"C",D3168&gt;0,F3168&gt;0),1,0)</f>
        <v>1</v>
      </c>
      <c r="J3168" s="7" t="n">
        <f aca="false">IF(I3168=1,D3168*F3168,0)</f>
        <v>17.4</v>
      </c>
      <c r="K3168" s="7" t="n">
        <f aca="false">YEAR(E3168)*100+MONTH(E3168)</f>
        <v>201110</v>
      </c>
      <c r="L3168" s="7" t="n">
        <f aca="false">IF(AND(A3168&lt;&gt;A3167,LEFT(A3168,1)&lt;&gt;"C"),1,0)</f>
        <v>0</v>
      </c>
    </row>
    <row r="3169" customFormat="false" ht="15" hidden="false" customHeight="false" outlineLevel="0" collapsed="false">
      <c r="A3169" s="0" t="s">
        <v>2288</v>
      </c>
      <c r="B3169" s="0" t="s">
        <v>2303</v>
      </c>
      <c r="C3169" s="0" t="s">
        <v>2304</v>
      </c>
      <c r="D3169" s="0" t="n">
        <v>12</v>
      </c>
      <c r="E3169" s="6" t="n">
        <v>40830.5791666667</v>
      </c>
      <c r="F3169" s="0" t="n">
        <v>2.1</v>
      </c>
      <c r="G3169" s="0" t="n">
        <v>12477</v>
      </c>
      <c r="H3169" s="0" t="s">
        <v>33</v>
      </c>
      <c r="I3169" s="7" t="n">
        <f aca="false">IF(AND(LEFT(A3169,1)&lt;&gt;"C",D3169&gt;0,F3169&gt;0),1,0)</f>
        <v>1</v>
      </c>
      <c r="J3169" s="7" t="n">
        <f aca="false">IF(I3169=1,D3169*F3169,0)</f>
        <v>25.2</v>
      </c>
      <c r="K3169" s="7" t="n">
        <f aca="false">YEAR(E3169)*100+MONTH(E3169)</f>
        <v>201110</v>
      </c>
      <c r="L3169" s="7" t="n">
        <f aca="false">IF(AND(A3169&lt;&gt;A3168,LEFT(A3169,1)&lt;&gt;"C"),1,0)</f>
        <v>0</v>
      </c>
    </row>
    <row r="3170" customFormat="false" ht="15" hidden="false" customHeight="false" outlineLevel="0" collapsed="false">
      <c r="A3170" s="0" t="s">
        <v>2288</v>
      </c>
      <c r="B3170" s="0" t="s">
        <v>2305</v>
      </c>
      <c r="C3170" s="0" t="s">
        <v>2306</v>
      </c>
      <c r="D3170" s="0" t="n">
        <v>8</v>
      </c>
      <c r="E3170" s="6" t="n">
        <v>40830.5791666667</v>
      </c>
      <c r="F3170" s="0" t="n">
        <v>4.65</v>
      </c>
      <c r="G3170" s="0" t="n">
        <v>12477</v>
      </c>
      <c r="H3170" s="0" t="s">
        <v>33</v>
      </c>
      <c r="I3170" s="7" t="n">
        <f aca="false">IF(AND(LEFT(A3170,1)&lt;&gt;"C",D3170&gt;0,F3170&gt;0),1,0)</f>
        <v>1</v>
      </c>
      <c r="J3170" s="7" t="n">
        <f aca="false">IF(I3170=1,D3170*F3170,0)</f>
        <v>37.2</v>
      </c>
      <c r="K3170" s="7" t="n">
        <f aca="false">YEAR(E3170)*100+MONTH(E3170)</f>
        <v>201110</v>
      </c>
      <c r="L3170" s="7" t="n">
        <f aca="false">IF(AND(A3170&lt;&gt;A3169,LEFT(A3170,1)&lt;&gt;"C"),1,0)</f>
        <v>0</v>
      </c>
    </row>
    <row r="3171" customFormat="false" ht="15" hidden="false" customHeight="false" outlineLevel="0" collapsed="false">
      <c r="A3171" s="0" t="s">
        <v>2288</v>
      </c>
      <c r="B3171" s="0" t="s">
        <v>328</v>
      </c>
      <c r="C3171" s="0" t="s">
        <v>329</v>
      </c>
      <c r="D3171" s="0" t="n">
        <v>10</v>
      </c>
      <c r="E3171" s="6" t="n">
        <v>40830.5791666667</v>
      </c>
      <c r="F3171" s="0" t="n">
        <v>3.75</v>
      </c>
      <c r="G3171" s="0" t="n">
        <v>12477</v>
      </c>
      <c r="H3171" s="0" t="s">
        <v>33</v>
      </c>
      <c r="I3171" s="7" t="n">
        <f aca="false">IF(AND(LEFT(A3171,1)&lt;&gt;"C",D3171&gt;0,F3171&gt;0),1,0)</f>
        <v>1</v>
      </c>
      <c r="J3171" s="7" t="n">
        <f aca="false">IF(I3171=1,D3171*F3171,0)</f>
        <v>37.5</v>
      </c>
      <c r="K3171" s="7" t="n">
        <f aca="false">YEAR(E3171)*100+MONTH(E3171)</f>
        <v>201110</v>
      </c>
      <c r="L3171" s="7" t="n">
        <f aca="false">IF(AND(A3171&lt;&gt;A3170,LEFT(A3171,1)&lt;&gt;"C"),1,0)</f>
        <v>0</v>
      </c>
    </row>
    <row r="3172" customFormat="false" ht="15" hidden="false" customHeight="false" outlineLevel="0" collapsed="false">
      <c r="A3172" s="0" t="s">
        <v>2288</v>
      </c>
      <c r="B3172" s="0" t="s">
        <v>1432</v>
      </c>
      <c r="C3172" s="0" t="s">
        <v>1433</v>
      </c>
      <c r="D3172" s="0" t="n">
        <v>12</v>
      </c>
      <c r="E3172" s="6" t="n">
        <v>40830.5791666667</v>
      </c>
      <c r="F3172" s="0" t="n">
        <v>2.95</v>
      </c>
      <c r="G3172" s="0" t="n">
        <v>12477</v>
      </c>
      <c r="H3172" s="0" t="s">
        <v>33</v>
      </c>
      <c r="I3172" s="7" t="n">
        <f aca="false">IF(AND(LEFT(A3172,1)&lt;&gt;"C",D3172&gt;0,F3172&gt;0),1,0)</f>
        <v>1</v>
      </c>
      <c r="J3172" s="7" t="n">
        <f aca="false">IF(I3172=1,D3172*F3172,0)</f>
        <v>35.4</v>
      </c>
      <c r="K3172" s="7" t="n">
        <f aca="false">YEAR(E3172)*100+MONTH(E3172)</f>
        <v>201110</v>
      </c>
      <c r="L3172" s="7" t="n">
        <f aca="false">IF(AND(A3172&lt;&gt;A3171,LEFT(A3172,1)&lt;&gt;"C"),1,0)</f>
        <v>0</v>
      </c>
    </row>
    <row r="3173" customFormat="false" ht="15" hidden="false" customHeight="false" outlineLevel="0" collapsed="false">
      <c r="A3173" s="0" t="s">
        <v>2288</v>
      </c>
      <c r="B3173" s="0" t="s">
        <v>2307</v>
      </c>
      <c r="C3173" s="0" t="s">
        <v>2308</v>
      </c>
      <c r="D3173" s="0" t="n">
        <v>6</v>
      </c>
      <c r="E3173" s="6" t="n">
        <v>40830.5791666667</v>
      </c>
      <c r="F3173" s="0" t="n">
        <v>7.95</v>
      </c>
      <c r="G3173" s="0" t="n">
        <v>12477</v>
      </c>
      <c r="H3173" s="0" t="s">
        <v>33</v>
      </c>
      <c r="I3173" s="7" t="n">
        <f aca="false">IF(AND(LEFT(A3173,1)&lt;&gt;"C",D3173&gt;0,F3173&gt;0),1,0)</f>
        <v>1</v>
      </c>
      <c r="J3173" s="7" t="n">
        <f aca="false">IF(I3173=1,D3173*F3173,0)</f>
        <v>47.7</v>
      </c>
      <c r="K3173" s="7" t="n">
        <f aca="false">YEAR(E3173)*100+MONTH(E3173)</f>
        <v>201110</v>
      </c>
      <c r="L3173" s="7" t="n">
        <f aca="false">IF(AND(A3173&lt;&gt;A3172,LEFT(A3173,1)&lt;&gt;"C"),1,0)</f>
        <v>0</v>
      </c>
    </row>
    <row r="3174" customFormat="false" ht="15" hidden="false" customHeight="false" outlineLevel="0" collapsed="false">
      <c r="A3174" s="0" t="s">
        <v>2288</v>
      </c>
      <c r="B3174" s="0" t="s">
        <v>2309</v>
      </c>
      <c r="C3174" s="0" t="s">
        <v>2310</v>
      </c>
      <c r="D3174" s="0" t="n">
        <v>6</v>
      </c>
      <c r="E3174" s="6" t="n">
        <v>40830.5791666667</v>
      </c>
      <c r="F3174" s="0" t="n">
        <v>7.65</v>
      </c>
      <c r="G3174" s="0" t="n">
        <v>12477</v>
      </c>
      <c r="H3174" s="0" t="s">
        <v>33</v>
      </c>
      <c r="I3174" s="7" t="n">
        <f aca="false">IF(AND(LEFT(A3174,1)&lt;&gt;"C",D3174&gt;0,F3174&gt;0),1,0)</f>
        <v>1</v>
      </c>
      <c r="J3174" s="7" t="n">
        <f aca="false">IF(I3174=1,D3174*F3174,0)</f>
        <v>45.9</v>
      </c>
      <c r="K3174" s="7" t="n">
        <f aca="false">YEAR(E3174)*100+MONTH(E3174)</f>
        <v>201110</v>
      </c>
      <c r="L3174" s="7" t="n">
        <f aca="false">IF(AND(A3174&lt;&gt;A3173,LEFT(A3174,1)&lt;&gt;"C"),1,0)</f>
        <v>0</v>
      </c>
    </row>
    <row r="3175" customFormat="false" ht="15" hidden="false" customHeight="false" outlineLevel="0" collapsed="false">
      <c r="A3175" s="0" t="s">
        <v>2288</v>
      </c>
      <c r="B3175" s="0" t="s">
        <v>2311</v>
      </c>
      <c r="C3175" s="0" t="s">
        <v>2312</v>
      </c>
      <c r="D3175" s="0" t="n">
        <v>6</v>
      </c>
      <c r="E3175" s="6" t="n">
        <v>40830.5791666667</v>
      </c>
      <c r="F3175" s="0" t="n">
        <v>4.95</v>
      </c>
      <c r="G3175" s="0" t="n">
        <v>12477</v>
      </c>
      <c r="H3175" s="0" t="s">
        <v>33</v>
      </c>
      <c r="I3175" s="7" t="n">
        <f aca="false">IF(AND(LEFT(A3175,1)&lt;&gt;"C",D3175&gt;0,F3175&gt;0),1,0)</f>
        <v>1</v>
      </c>
      <c r="J3175" s="7" t="n">
        <f aca="false">IF(I3175=1,D3175*F3175,0)</f>
        <v>29.7</v>
      </c>
      <c r="K3175" s="7" t="n">
        <f aca="false">YEAR(E3175)*100+MONTH(E3175)</f>
        <v>201110</v>
      </c>
      <c r="L3175" s="7" t="n">
        <f aca="false">IF(AND(A3175&lt;&gt;A3174,LEFT(A3175,1)&lt;&gt;"C"),1,0)</f>
        <v>0</v>
      </c>
    </row>
    <row r="3176" customFormat="false" ht="15" hidden="false" customHeight="false" outlineLevel="0" collapsed="false">
      <c r="A3176" s="0" t="s">
        <v>2313</v>
      </c>
      <c r="B3176" s="0" t="s">
        <v>1501</v>
      </c>
      <c r="C3176" s="0" t="s">
        <v>1502</v>
      </c>
      <c r="D3176" s="0" t="n">
        <v>16</v>
      </c>
      <c r="E3176" s="6" t="n">
        <v>40830.6215277778</v>
      </c>
      <c r="F3176" s="0" t="n">
        <v>0.65</v>
      </c>
      <c r="G3176" s="0" t="n">
        <v>12562</v>
      </c>
      <c r="H3176" s="0" t="s">
        <v>43</v>
      </c>
      <c r="I3176" s="7" t="n">
        <f aca="false">IF(AND(LEFT(A3176,1)&lt;&gt;"C",D3176&gt;0,F3176&gt;0),1,0)</f>
        <v>1</v>
      </c>
      <c r="J3176" s="7" t="n">
        <f aca="false">IF(I3176=1,D3176*F3176,0)</f>
        <v>10.4</v>
      </c>
      <c r="K3176" s="7" t="n">
        <f aca="false">YEAR(E3176)*100+MONTH(E3176)</f>
        <v>201110</v>
      </c>
      <c r="L3176" s="7" t="n">
        <f aca="false">IF(AND(A3176&lt;&gt;A3175,LEFT(A3176,1)&lt;&gt;"C"),1,0)</f>
        <v>1</v>
      </c>
    </row>
    <row r="3177" customFormat="false" ht="15" hidden="false" customHeight="false" outlineLevel="0" collapsed="false">
      <c r="A3177" s="0" t="s">
        <v>2313</v>
      </c>
      <c r="B3177" s="0" t="s">
        <v>1620</v>
      </c>
      <c r="C3177" s="0" t="s">
        <v>1621</v>
      </c>
      <c r="D3177" s="0" t="n">
        <v>16</v>
      </c>
      <c r="E3177" s="6" t="n">
        <v>40830.6215277778</v>
      </c>
      <c r="F3177" s="0" t="n">
        <v>0.65</v>
      </c>
      <c r="G3177" s="0" t="n">
        <v>12562</v>
      </c>
      <c r="H3177" s="0" t="s">
        <v>43</v>
      </c>
      <c r="I3177" s="7" t="n">
        <f aca="false">IF(AND(LEFT(A3177,1)&lt;&gt;"C",D3177&gt;0,F3177&gt;0),1,0)</f>
        <v>1</v>
      </c>
      <c r="J3177" s="7" t="n">
        <f aca="false">IF(I3177=1,D3177*F3177,0)</f>
        <v>10.4</v>
      </c>
      <c r="K3177" s="7" t="n">
        <f aca="false">YEAR(E3177)*100+MONTH(E3177)</f>
        <v>201110</v>
      </c>
      <c r="L3177" s="7" t="n">
        <f aca="false">IF(AND(A3177&lt;&gt;A3176,LEFT(A3177,1)&lt;&gt;"C"),1,0)</f>
        <v>0</v>
      </c>
    </row>
    <row r="3178" customFormat="false" ht="15" hidden="false" customHeight="false" outlineLevel="0" collapsed="false">
      <c r="A3178" s="0" t="s">
        <v>2313</v>
      </c>
      <c r="B3178" s="0" t="s">
        <v>2314</v>
      </c>
      <c r="C3178" s="0" t="s">
        <v>2315</v>
      </c>
      <c r="D3178" s="0" t="n">
        <v>4</v>
      </c>
      <c r="E3178" s="6" t="n">
        <v>40830.6215277778</v>
      </c>
      <c r="F3178" s="0" t="n">
        <v>3.75</v>
      </c>
      <c r="G3178" s="0" t="n">
        <v>12562</v>
      </c>
      <c r="H3178" s="0" t="s">
        <v>43</v>
      </c>
      <c r="I3178" s="7" t="n">
        <f aca="false">IF(AND(LEFT(A3178,1)&lt;&gt;"C",D3178&gt;0,F3178&gt;0),1,0)</f>
        <v>1</v>
      </c>
      <c r="J3178" s="7" t="n">
        <f aca="false">IF(I3178=1,D3178*F3178,0)</f>
        <v>15</v>
      </c>
      <c r="K3178" s="7" t="n">
        <f aca="false">YEAR(E3178)*100+MONTH(E3178)</f>
        <v>201110</v>
      </c>
      <c r="L3178" s="7" t="n">
        <f aca="false">IF(AND(A3178&lt;&gt;A3177,LEFT(A3178,1)&lt;&gt;"C"),1,0)</f>
        <v>0</v>
      </c>
    </row>
    <row r="3179" customFormat="false" ht="15" hidden="false" customHeight="false" outlineLevel="0" collapsed="false">
      <c r="A3179" s="0" t="s">
        <v>2313</v>
      </c>
      <c r="B3179" s="0" t="s">
        <v>1600</v>
      </c>
      <c r="C3179" s="0" t="s">
        <v>1601</v>
      </c>
      <c r="D3179" s="0" t="n">
        <v>10</v>
      </c>
      <c r="E3179" s="6" t="n">
        <v>40830.6215277778</v>
      </c>
      <c r="F3179" s="0" t="n">
        <v>1.95</v>
      </c>
      <c r="G3179" s="0" t="n">
        <v>12562</v>
      </c>
      <c r="H3179" s="0" t="s">
        <v>43</v>
      </c>
      <c r="I3179" s="7" t="n">
        <f aca="false">IF(AND(LEFT(A3179,1)&lt;&gt;"C",D3179&gt;0,F3179&gt;0),1,0)</f>
        <v>1</v>
      </c>
      <c r="J3179" s="7" t="n">
        <f aca="false">IF(I3179=1,D3179*F3179,0)</f>
        <v>19.5</v>
      </c>
      <c r="K3179" s="7" t="n">
        <f aca="false">YEAR(E3179)*100+MONTH(E3179)</f>
        <v>201110</v>
      </c>
      <c r="L3179" s="7" t="n">
        <f aca="false">IF(AND(A3179&lt;&gt;A3178,LEFT(A3179,1)&lt;&gt;"C"),1,0)</f>
        <v>0</v>
      </c>
    </row>
    <row r="3180" customFormat="false" ht="15" hidden="false" customHeight="false" outlineLevel="0" collapsed="false">
      <c r="A3180" s="0" t="s">
        <v>2313</v>
      </c>
      <c r="B3180" s="0" t="s">
        <v>68</v>
      </c>
      <c r="C3180" s="0" t="s">
        <v>69</v>
      </c>
      <c r="D3180" s="0" t="n">
        <v>10</v>
      </c>
      <c r="E3180" s="6" t="n">
        <v>40830.6215277778</v>
      </c>
      <c r="F3180" s="0" t="n">
        <v>1.65</v>
      </c>
      <c r="G3180" s="0" t="n">
        <v>12562</v>
      </c>
      <c r="H3180" s="0" t="s">
        <v>43</v>
      </c>
      <c r="I3180" s="7" t="n">
        <f aca="false">IF(AND(LEFT(A3180,1)&lt;&gt;"C",D3180&gt;0,F3180&gt;0),1,0)</f>
        <v>1</v>
      </c>
      <c r="J3180" s="7" t="n">
        <f aca="false">IF(I3180=1,D3180*F3180,0)</f>
        <v>16.5</v>
      </c>
      <c r="K3180" s="7" t="n">
        <f aca="false">YEAR(E3180)*100+MONTH(E3180)</f>
        <v>201110</v>
      </c>
      <c r="L3180" s="7" t="n">
        <f aca="false">IF(AND(A3180&lt;&gt;A3179,LEFT(A3180,1)&lt;&gt;"C"),1,0)</f>
        <v>0</v>
      </c>
    </row>
    <row r="3181" customFormat="false" ht="15" hidden="false" customHeight="false" outlineLevel="0" collapsed="false">
      <c r="A3181" s="0" t="s">
        <v>2313</v>
      </c>
      <c r="B3181" s="0" t="s">
        <v>70</v>
      </c>
      <c r="C3181" s="0" t="s">
        <v>71</v>
      </c>
      <c r="D3181" s="0" t="n">
        <v>10</v>
      </c>
      <c r="E3181" s="6" t="n">
        <v>40830.6215277778</v>
      </c>
      <c r="F3181" s="0" t="n">
        <v>1.65</v>
      </c>
      <c r="G3181" s="0" t="n">
        <v>12562</v>
      </c>
      <c r="H3181" s="0" t="s">
        <v>43</v>
      </c>
      <c r="I3181" s="7" t="n">
        <f aca="false">IF(AND(LEFT(A3181,1)&lt;&gt;"C",D3181&gt;0,F3181&gt;0),1,0)</f>
        <v>1</v>
      </c>
      <c r="J3181" s="7" t="n">
        <f aca="false">IF(I3181=1,D3181*F3181,0)</f>
        <v>16.5</v>
      </c>
      <c r="K3181" s="7" t="n">
        <f aca="false">YEAR(E3181)*100+MONTH(E3181)</f>
        <v>201110</v>
      </c>
      <c r="L3181" s="7" t="n">
        <f aca="false">IF(AND(A3181&lt;&gt;A3180,LEFT(A3181,1)&lt;&gt;"C"),1,0)</f>
        <v>0</v>
      </c>
    </row>
    <row r="3182" customFormat="false" ht="15" hidden="false" customHeight="false" outlineLevel="0" collapsed="false">
      <c r="A3182" s="0" t="s">
        <v>2313</v>
      </c>
      <c r="B3182" s="0" t="s">
        <v>56</v>
      </c>
      <c r="C3182" s="0" t="s">
        <v>57</v>
      </c>
      <c r="D3182" s="0" t="n">
        <v>10</v>
      </c>
      <c r="E3182" s="6" t="n">
        <v>40830.6215277778</v>
      </c>
      <c r="F3182" s="0" t="n">
        <v>1.65</v>
      </c>
      <c r="G3182" s="0" t="n">
        <v>12562</v>
      </c>
      <c r="H3182" s="0" t="s">
        <v>43</v>
      </c>
      <c r="I3182" s="7" t="n">
        <f aca="false">IF(AND(LEFT(A3182,1)&lt;&gt;"C",D3182&gt;0,F3182&gt;0),1,0)</f>
        <v>1</v>
      </c>
      <c r="J3182" s="7" t="n">
        <f aca="false">IF(I3182=1,D3182*F3182,0)</f>
        <v>16.5</v>
      </c>
      <c r="K3182" s="7" t="n">
        <f aca="false">YEAR(E3182)*100+MONTH(E3182)</f>
        <v>201110</v>
      </c>
      <c r="L3182" s="7" t="n">
        <f aca="false">IF(AND(A3182&lt;&gt;A3181,LEFT(A3182,1)&lt;&gt;"C"),1,0)</f>
        <v>0</v>
      </c>
    </row>
    <row r="3183" customFormat="false" ht="15" hidden="false" customHeight="false" outlineLevel="0" collapsed="false">
      <c r="A3183" s="0" t="s">
        <v>2313</v>
      </c>
      <c r="B3183" s="0" t="s">
        <v>1085</v>
      </c>
      <c r="C3183" s="0" t="s">
        <v>1086</v>
      </c>
      <c r="D3183" s="0" t="n">
        <v>10</v>
      </c>
      <c r="E3183" s="6" t="n">
        <v>40830.6215277778</v>
      </c>
      <c r="F3183" s="0" t="n">
        <v>1.65</v>
      </c>
      <c r="G3183" s="0" t="n">
        <v>12562</v>
      </c>
      <c r="H3183" s="0" t="s">
        <v>43</v>
      </c>
      <c r="I3183" s="7" t="n">
        <f aca="false">IF(AND(LEFT(A3183,1)&lt;&gt;"C",D3183&gt;0,F3183&gt;0),1,0)</f>
        <v>1</v>
      </c>
      <c r="J3183" s="7" t="n">
        <f aca="false">IF(I3183=1,D3183*F3183,0)</f>
        <v>16.5</v>
      </c>
      <c r="K3183" s="7" t="n">
        <f aca="false">YEAR(E3183)*100+MONTH(E3183)</f>
        <v>201110</v>
      </c>
      <c r="L3183" s="7" t="n">
        <f aca="false">IF(AND(A3183&lt;&gt;A3182,LEFT(A3183,1)&lt;&gt;"C"),1,0)</f>
        <v>0</v>
      </c>
    </row>
    <row r="3184" customFormat="false" ht="15" hidden="false" customHeight="false" outlineLevel="0" collapsed="false">
      <c r="A3184" s="0" t="s">
        <v>2313</v>
      </c>
      <c r="B3184" s="0" t="s">
        <v>355</v>
      </c>
      <c r="C3184" s="0" t="s">
        <v>356</v>
      </c>
      <c r="D3184" s="0" t="n">
        <v>10</v>
      </c>
      <c r="E3184" s="6" t="n">
        <v>40830.6215277778</v>
      </c>
      <c r="F3184" s="0" t="n">
        <v>1.65</v>
      </c>
      <c r="G3184" s="0" t="n">
        <v>12562</v>
      </c>
      <c r="H3184" s="0" t="s">
        <v>43</v>
      </c>
      <c r="I3184" s="7" t="n">
        <f aca="false">IF(AND(LEFT(A3184,1)&lt;&gt;"C",D3184&gt;0,F3184&gt;0),1,0)</f>
        <v>1</v>
      </c>
      <c r="J3184" s="7" t="n">
        <f aca="false">IF(I3184=1,D3184*F3184,0)</f>
        <v>16.5</v>
      </c>
      <c r="K3184" s="7" t="n">
        <f aca="false">YEAR(E3184)*100+MONTH(E3184)</f>
        <v>201110</v>
      </c>
      <c r="L3184" s="7" t="n">
        <f aca="false">IF(AND(A3184&lt;&gt;A3183,LEFT(A3184,1)&lt;&gt;"C"),1,0)</f>
        <v>0</v>
      </c>
    </row>
    <row r="3185" customFormat="false" ht="15" hidden="false" customHeight="false" outlineLevel="0" collapsed="false">
      <c r="A3185" s="0" t="s">
        <v>2313</v>
      </c>
      <c r="B3185" s="0" t="s">
        <v>567</v>
      </c>
      <c r="C3185" s="0" t="s">
        <v>568</v>
      </c>
      <c r="D3185" s="0" t="n">
        <v>10</v>
      </c>
      <c r="E3185" s="6" t="n">
        <v>40830.6215277778</v>
      </c>
      <c r="F3185" s="0" t="n">
        <v>1.65</v>
      </c>
      <c r="G3185" s="0" t="n">
        <v>12562</v>
      </c>
      <c r="H3185" s="0" t="s">
        <v>43</v>
      </c>
      <c r="I3185" s="7" t="n">
        <f aca="false">IF(AND(LEFT(A3185,1)&lt;&gt;"C",D3185&gt;0,F3185&gt;0),1,0)</f>
        <v>1</v>
      </c>
      <c r="J3185" s="7" t="n">
        <f aca="false">IF(I3185=1,D3185*F3185,0)</f>
        <v>16.5</v>
      </c>
      <c r="K3185" s="7" t="n">
        <f aca="false">YEAR(E3185)*100+MONTH(E3185)</f>
        <v>201110</v>
      </c>
      <c r="L3185" s="7" t="n">
        <f aca="false">IF(AND(A3185&lt;&gt;A3184,LEFT(A3185,1)&lt;&gt;"C"),1,0)</f>
        <v>0</v>
      </c>
    </row>
    <row r="3186" customFormat="false" ht="15" hidden="false" customHeight="false" outlineLevel="0" collapsed="false">
      <c r="A3186" s="0" t="s">
        <v>2313</v>
      </c>
      <c r="B3186" s="0" t="s">
        <v>78</v>
      </c>
      <c r="C3186" s="0" t="s">
        <v>79</v>
      </c>
      <c r="D3186" s="0" t="n">
        <v>10</v>
      </c>
      <c r="E3186" s="6" t="n">
        <v>40830.6215277778</v>
      </c>
      <c r="F3186" s="0" t="n">
        <v>1.65</v>
      </c>
      <c r="G3186" s="0" t="n">
        <v>12562</v>
      </c>
      <c r="H3186" s="0" t="s">
        <v>43</v>
      </c>
      <c r="I3186" s="7" t="n">
        <f aca="false">IF(AND(LEFT(A3186,1)&lt;&gt;"C",D3186&gt;0,F3186&gt;0),1,0)</f>
        <v>1</v>
      </c>
      <c r="J3186" s="7" t="n">
        <f aca="false">IF(I3186=1,D3186*F3186,0)</f>
        <v>16.5</v>
      </c>
      <c r="K3186" s="7" t="n">
        <f aca="false">YEAR(E3186)*100+MONTH(E3186)</f>
        <v>201110</v>
      </c>
      <c r="L3186" s="7" t="n">
        <f aca="false">IF(AND(A3186&lt;&gt;A3185,LEFT(A3186,1)&lt;&gt;"C"),1,0)</f>
        <v>0</v>
      </c>
    </row>
    <row r="3187" customFormat="false" ht="15" hidden="false" customHeight="false" outlineLevel="0" collapsed="false">
      <c r="A3187" s="0" t="s">
        <v>2313</v>
      </c>
      <c r="B3187" s="0" t="s">
        <v>651</v>
      </c>
      <c r="C3187" s="0" t="s">
        <v>652</v>
      </c>
      <c r="D3187" s="0" t="n">
        <v>10</v>
      </c>
      <c r="E3187" s="6" t="n">
        <v>40830.6215277778</v>
      </c>
      <c r="F3187" s="0" t="n">
        <v>1.65</v>
      </c>
      <c r="G3187" s="0" t="n">
        <v>12562</v>
      </c>
      <c r="H3187" s="0" t="s">
        <v>43</v>
      </c>
      <c r="I3187" s="7" t="n">
        <f aca="false">IF(AND(LEFT(A3187,1)&lt;&gt;"C",D3187&gt;0,F3187&gt;0),1,0)</f>
        <v>1</v>
      </c>
      <c r="J3187" s="7" t="n">
        <f aca="false">IF(I3187=1,D3187*F3187,0)</f>
        <v>16.5</v>
      </c>
      <c r="K3187" s="7" t="n">
        <f aca="false">YEAR(E3187)*100+MONTH(E3187)</f>
        <v>201110</v>
      </c>
      <c r="L3187" s="7" t="n">
        <f aca="false">IF(AND(A3187&lt;&gt;A3186,LEFT(A3187,1)&lt;&gt;"C"),1,0)</f>
        <v>0</v>
      </c>
    </row>
    <row r="3188" customFormat="false" ht="15" hidden="false" customHeight="false" outlineLevel="0" collapsed="false">
      <c r="A3188" s="0" t="s">
        <v>2313</v>
      </c>
      <c r="B3188" s="0" t="s">
        <v>1048</v>
      </c>
      <c r="C3188" s="0" t="s">
        <v>1049</v>
      </c>
      <c r="D3188" s="0" t="n">
        <v>8</v>
      </c>
      <c r="E3188" s="6" t="n">
        <v>40830.6215277778</v>
      </c>
      <c r="F3188" s="0" t="n">
        <v>4.15</v>
      </c>
      <c r="G3188" s="0" t="n">
        <v>12562</v>
      </c>
      <c r="H3188" s="0" t="s">
        <v>43</v>
      </c>
      <c r="I3188" s="7" t="n">
        <f aca="false">IF(AND(LEFT(A3188,1)&lt;&gt;"C",D3188&gt;0,F3188&gt;0),1,0)</f>
        <v>1</v>
      </c>
      <c r="J3188" s="7" t="n">
        <f aca="false">IF(I3188=1,D3188*F3188,0)</f>
        <v>33.2</v>
      </c>
      <c r="K3188" s="7" t="n">
        <f aca="false">YEAR(E3188)*100+MONTH(E3188)</f>
        <v>201110</v>
      </c>
      <c r="L3188" s="7" t="n">
        <f aca="false">IF(AND(A3188&lt;&gt;A3187,LEFT(A3188,1)&lt;&gt;"C"),1,0)</f>
        <v>0</v>
      </c>
    </row>
    <row r="3189" customFormat="false" ht="15" hidden="false" customHeight="false" outlineLevel="0" collapsed="false">
      <c r="A3189" s="0" t="s">
        <v>2313</v>
      </c>
      <c r="B3189" s="0" t="s">
        <v>1044</v>
      </c>
      <c r="C3189" s="0" t="s">
        <v>1045</v>
      </c>
      <c r="D3189" s="0" t="n">
        <v>4</v>
      </c>
      <c r="E3189" s="6" t="n">
        <v>40830.6215277778</v>
      </c>
      <c r="F3189" s="0" t="n">
        <v>4.15</v>
      </c>
      <c r="G3189" s="0" t="n">
        <v>12562</v>
      </c>
      <c r="H3189" s="0" t="s">
        <v>43</v>
      </c>
      <c r="I3189" s="7" t="n">
        <f aca="false">IF(AND(LEFT(A3189,1)&lt;&gt;"C",D3189&gt;0,F3189&gt;0),1,0)</f>
        <v>1</v>
      </c>
      <c r="J3189" s="7" t="n">
        <f aca="false">IF(I3189=1,D3189*F3189,0)</f>
        <v>16.6</v>
      </c>
      <c r="K3189" s="7" t="n">
        <f aca="false">YEAR(E3189)*100+MONTH(E3189)</f>
        <v>201110</v>
      </c>
      <c r="L3189" s="7" t="n">
        <f aca="false">IF(AND(A3189&lt;&gt;A3188,LEFT(A3189,1)&lt;&gt;"C"),1,0)</f>
        <v>0</v>
      </c>
    </row>
    <row r="3190" customFormat="false" ht="15" hidden="false" customHeight="false" outlineLevel="0" collapsed="false">
      <c r="A3190" s="0" t="s">
        <v>2313</v>
      </c>
      <c r="B3190" s="0" t="s">
        <v>237</v>
      </c>
      <c r="C3190" s="0" t="s">
        <v>238</v>
      </c>
      <c r="D3190" s="0" t="n">
        <v>4</v>
      </c>
      <c r="E3190" s="6" t="n">
        <v>40830.6215277778</v>
      </c>
      <c r="F3190" s="0" t="n">
        <v>2.55</v>
      </c>
      <c r="G3190" s="0" t="n">
        <v>12562</v>
      </c>
      <c r="H3190" s="0" t="s">
        <v>43</v>
      </c>
      <c r="I3190" s="7" t="n">
        <f aca="false">IF(AND(LEFT(A3190,1)&lt;&gt;"C",D3190&gt;0,F3190&gt;0),1,0)</f>
        <v>1</v>
      </c>
      <c r="J3190" s="7" t="n">
        <f aca="false">IF(I3190=1,D3190*F3190,0)</f>
        <v>10.2</v>
      </c>
      <c r="K3190" s="7" t="n">
        <f aca="false">YEAR(E3190)*100+MONTH(E3190)</f>
        <v>201110</v>
      </c>
      <c r="L3190" s="7" t="n">
        <f aca="false">IF(AND(A3190&lt;&gt;A3189,LEFT(A3190,1)&lt;&gt;"C"),1,0)</f>
        <v>0</v>
      </c>
    </row>
    <row r="3191" customFormat="false" ht="15" hidden="false" customHeight="false" outlineLevel="0" collapsed="false">
      <c r="A3191" s="0" t="s">
        <v>2313</v>
      </c>
      <c r="B3191" s="0" t="s">
        <v>1535</v>
      </c>
      <c r="C3191" s="0" t="s">
        <v>1536</v>
      </c>
      <c r="D3191" s="0" t="n">
        <v>10</v>
      </c>
      <c r="E3191" s="6" t="n">
        <v>40830.6215277778</v>
      </c>
      <c r="F3191" s="0" t="n">
        <v>2.08</v>
      </c>
      <c r="G3191" s="0" t="n">
        <v>12562</v>
      </c>
      <c r="H3191" s="0" t="s">
        <v>43</v>
      </c>
      <c r="I3191" s="7" t="n">
        <f aca="false">IF(AND(LEFT(A3191,1)&lt;&gt;"C",D3191&gt;0,F3191&gt;0),1,0)</f>
        <v>1</v>
      </c>
      <c r="J3191" s="7" t="n">
        <f aca="false">IF(I3191=1,D3191*F3191,0)</f>
        <v>20.8</v>
      </c>
      <c r="K3191" s="7" t="n">
        <f aca="false">YEAR(E3191)*100+MONTH(E3191)</f>
        <v>201110</v>
      </c>
      <c r="L3191" s="7" t="n">
        <f aca="false">IF(AND(A3191&lt;&gt;A3190,LEFT(A3191,1)&lt;&gt;"C"),1,0)</f>
        <v>0</v>
      </c>
    </row>
    <row r="3192" customFormat="false" ht="15" hidden="false" customHeight="false" outlineLevel="0" collapsed="false">
      <c r="A3192" s="0" t="s">
        <v>2313</v>
      </c>
      <c r="B3192" s="0" t="s">
        <v>569</v>
      </c>
      <c r="C3192" s="0" t="s">
        <v>570</v>
      </c>
      <c r="D3192" s="0" t="n">
        <v>10</v>
      </c>
      <c r="E3192" s="6" t="n">
        <v>40830.6215277778</v>
      </c>
      <c r="F3192" s="0" t="n">
        <v>2.08</v>
      </c>
      <c r="G3192" s="0" t="n">
        <v>12562</v>
      </c>
      <c r="H3192" s="0" t="s">
        <v>43</v>
      </c>
      <c r="I3192" s="7" t="n">
        <f aca="false">IF(AND(LEFT(A3192,1)&lt;&gt;"C",D3192&gt;0,F3192&gt;0),1,0)</f>
        <v>1</v>
      </c>
      <c r="J3192" s="7" t="n">
        <f aca="false">IF(I3192=1,D3192*F3192,0)</f>
        <v>20.8</v>
      </c>
      <c r="K3192" s="7" t="n">
        <f aca="false">YEAR(E3192)*100+MONTH(E3192)</f>
        <v>201110</v>
      </c>
      <c r="L3192" s="7" t="n">
        <f aca="false">IF(AND(A3192&lt;&gt;A3191,LEFT(A3192,1)&lt;&gt;"C"),1,0)</f>
        <v>0</v>
      </c>
    </row>
    <row r="3193" customFormat="false" ht="15" hidden="false" customHeight="false" outlineLevel="0" collapsed="false">
      <c r="A3193" s="0" t="s">
        <v>2313</v>
      </c>
      <c r="B3193" s="0" t="s">
        <v>623</v>
      </c>
      <c r="C3193" s="0" t="s">
        <v>624</v>
      </c>
      <c r="D3193" s="0" t="n">
        <v>10</v>
      </c>
      <c r="E3193" s="6" t="n">
        <v>40830.6215277778</v>
      </c>
      <c r="F3193" s="0" t="n">
        <v>2.08</v>
      </c>
      <c r="G3193" s="0" t="n">
        <v>12562</v>
      </c>
      <c r="H3193" s="0" t="s">
        <v>43</v>
      </c>
      <c r="I3193" s="7" t="n">
        <f aca="false">IF(AND(LEFT(A3193,1)&lt;&gt;"C",D3193&gt;0,F3193&gt;0),1,0)</f>
        <v>1</v>
      </c>
      <c r="J3193" s="7" t="n">
        <f aca="false">IF(I3193=1,D3193*F3193,0)</f>
        <v>20.8</v>
      </c>
      <c r="K3193" s="7" t="n">
        <f aca="false">YEAR(E3193)*100+MONTH(E3193)</f>
        <v>201110</v>
      </c>
      <c r="L3193" s="7" t="n">
        <f aca="false">IF(AND(A3193&lt;&gt;A3192,LEFT(A3193,1)&lt;&gt;"C"),1,0)</f>
        <v>0</v>
      </c>
    </row>
    <row r="3194" customFormat="false" ht="15" hidden="false" customHeight="false" outlineLevel="0" collapsed="false">
      <c r="A3194" s="0" t="s">
        <v>2313</v>
      </c>
      <c r="B3194" s="0" t="s">
        <v>575</v>
      </c>
      <c r="C3194" s="0" t="s">
        <v>576</v>
      </c>
      <c r="D3194" s="0" t="n">
        <v>10</v>
      </c>
      <c r="E3194" s="6" t="n">
        <v>40830.6215277778</v>
      </c>
      <c r="F3194" s="0" t="n">
        <v>2.08</v>
      </c>
      <c r="G3194" s="0" t="n">
        <v>12562</v>
      </c>
      <c r="H3194" s="0" t="s">
        <v>43</v>
      </c>
      <c r="I3194" s="7" t="n">
        <f aca="false">IF(AND(LEFT(A3194,1)&lt;&gt;"C",D3194&gt;0,F3194&gt;0),1,0)</f>
        <v>1</v>
      </c>
      <c r="J3194" s="7" t="n">
        <f aca="false">IF(I3194=1,D3194*F3194,0)</f>
        <v>20.8</v>
      </c>
      <c r="K3194" s="7" t="n">
        <f aca="false">YEAR(E3194)*100+MONTH(E3194)</f>
        <v>201110</v>
      </c>
      <c r="L3194" s="7" t="n">
        <f aca="false">IF(AND(A3194&lt;&gt;A3193,LEFT(A3194,1)&lt;&gt;"C"),1,0)</f>
        <v>0</v>
      </c>
    </row>
    <row r="3195" customFormat="false" ht="15" hidden="false" customHeight="false" outlineLevel="0" collapsed="false">
      <c r="A3195" s="0" t="s">
        <v>2313</v>
      </c>
      <c r="B3195" s="0" t="s">
        <v>625</v>
      </c>
      <c r="C3195" s="0" t="s">
        <v>626</v>
      </c>
      <c r="D3195" s="0" t="n">
        <v>10</v>
      </c>
      <c r="E3195" s="6" t="n">
        <v>40830.6215277778</v>
      </c>
      <c r="F3195" s="0" t="n">
        <v>2.08</v>
      </c>
      <c r="G3195" s="0" t="n">
        <v>12562</v>
      </c>
      <c r="H3195" s="0" t="s">
        <v>43</v>
      </c>
      <c r="I3195" s="7" t="n">
        <f aca="false">IF(AND(LEFT(A3195,1)&lt;&gt;"C",D3195&gt;0,F3195&gt;0),1,0)</f>
        <v>1</v>
      </c>
      <c r="J3195" s="7" t="n">
        <f aca="false">IF(I3195=1,D3195*F3195,0)</f>
        <v>20.8</v>
      </c>
      <c r="K3195" s="7" t="n">
        <f aca="false">YEAR(E3195)*100+MONTH(E3195)</f>
        <v>201110</v>
      </c>
      <c r="L3195" s="7" t="n">
        <f aca="false">IF(AND(A3195&lt;&gt;A3194,LEFT(A3195,1)&lt;&gt;"C"),1,0)</f>
        <v>0</v>
      </c>
    </row>
    <row r="3196" customFormat="false" ht="15" hidden="false" customHeight="false" outlineLevel="0" collapsed="false">
      <c r="A3196" s="0" t="s">
        <v>2313</v>
      </c>
      <c r="B3196" s="0" t="s">
        <v>517</v>
      </c>
      <c r="C3196" s="0" t="s">
        <v>518</v>
      </c>
      <c r="D3196" s="0" t="n">
        <v>10</v>
      </c>
      <c r="E3196" s="6" t="n">
        <v>40830.6215277778</v>
      </c>
      <c r="F3196" s="0" t="n">
        <v>2.08</v>
      </c>
      <c r="G3196" s="0" t="n">
        <v>12562</v>
      </c>
      <c r="H3196" s="0" t="s">
        <v>43</v>
      </c>
      <c r="I3196" s="7" t="n">
        <f aca="false">IF(AND(LEFT(A3196,1)&lt;&gt;"C",D3196&gt;0,F3196&gt;0),1,0)</f>
        <v>1</v>
      </c>
      <c r="J3196" s="7" t="n">
        <f aca="false">IF(I3196=1,D3196*F3196,0)</f>
        <v>20.8</v>
      </c>
      <c r="K3196" s="7" t="n">
        <f aca="false">YEAR(E3196)*100+MONTH(E3196)</f>
        <v>201110</v>
      </c>
      <c r="L3196" s="7" t="n">
        <f aca="false">IF(AND(A3196&lt;&gt;A3195,LEFT(A3196,1)&lt;&gt;"C"),1,0)</f>
        <v>0</v>
      </c>
    </row>
    <row r="3197" customFormat="false" ht="15" hidden="false" customHeight="false" outlineLevel="0" collapsed="false">
      <c r="A3197" s="0" t="s">
        <v>2313</v>
      </c>
      <c r="B3197" s="0" t="s">
        <v>519</v>
      </c>
      <c r="C3197" s="0" t="s">
        <v>520</v>
      </c>
      <c r="D3197" s="0" t="n">
        <v>10</v>
      </c>
      <c r="E3197" s="6" t="n">
        <v>40830.6215277778</v>
      </c>
      <c r="F3197" s="0" t="n">
        <v>2.08</v>
      </c>
      <c r="G3197" s="0" t="n">
        <v>12562</v>
      </c>
      <c r="H3197" s="0" t="s">
        <v>43</v>
      </c>
      <c r="I3197" s="7" t="n">
        <f aca="false">IF(AND(LEFT(A3197,1)&lt;&gt;"C",D3197&gt;0,F3197&gt;0),1,0)</f>
        <v>1</v>
      </c>
      <c r="J3197" s="7" t="n">
        <f aca="false">IF(I3197=1,D3197*F3197,0)</f>
        <v>20.8</v>
      </c>
      <c r="K3197" s="7" t="n">
        <f aca="false">YEAR(E3197)*100+MONTH(E3197)</f>
        <v>201110</v>
      </c>
      <c r="L3197" s="7" t="n">
        <f aca="false">IF(AND(A3197&lt;&gt;A3196,LEFT(A3197,1)&lt;&gt;"C"),1,0)</f>
        <v>0</v>
      </c>
    </row>
    <row r="3198" customFormat="false" ht="15" hidden="false" customHeight="false" outlineLevel="0" collapsed="false">
      <c r="A3198" s="0" t="s">
        <v>2313</v>
      </c>
      <c r="B3198" s="0" t="s">
        <v>1386</v>
      </c>
      <c r="C3198" s="0" t="s">
        <v>1387</v>
      </c>
      <c r="D3198" s="0" t="n">
        <v>10</v>
      </c>
      <c r="E3198" s="6" t="n">
        <v>40830.6215277778</v>
      </c>
      <c r="F3198" s="0" t="n">
        <v>2.08</v>
      </c>
      <c r="G3198" s="0" t="n">
        <v>12562</v>
      </c>
      <c r="H3198" s="0" t="s">
        <v>43</v>
      </c>
      <c r="I3198" s="7" t="n">
        <f aca="false">IF(AND(LEFT(A3198,1)&lt;&gt;"C",D3198&gt;0,F3198&gt;0),1,0)</f>
        <v>1</v>
      </c>
      <c r="J3198" s="7" t="n">
        <f aca="false">IF(I3198=1,D3198*F3198,0)</f>
        <v>20.8</v>
      </c>
      <c r="K3198" s="7" t="n">
        <f aca="false">YEAR(E3198)*100+MONTH(E3198)</f>
        <v>201110</v>
      </c>
      <c r="L3198" s="7" t="n">
        <f aca="false">IF(AND(A3198&lt;&gt;A3197,LEFT(A3198,1)&lt;&gt;"C"),1,0)</f>
        <v>0</v>
      </c>
    </row>
    <row r="3199" customFormat="false" ht="15" hidden="false" customHeight="false" outlineLevel="0" collapsed="false">
      <c r="A3199" s="0" t="s">
        <v>2313</v>
      </c>
      <c r="B3199" s="0" t="s">
        <v>1011</v>
      </c>
      <c r="C3199" s="0" t="s">
        <v>1012</v>
      </c>
      <c r="D3199" s="0" t="n">
        <v>1</v>
      </c>
      <c r="E3199" s="6" t="n">
        <v>40830.6215277778</v>
      </c>
      <c r="F3199" s="0" t="n">
        <v>16.95</v>
      </c>
      <c r="G3199" s="0" t="n">
        <v>12562</v>
      </c>
      <c r="H3199" s="0" t="s">
        <v>43</v>
      </c>
      <c r="I3199" s="7" t="n">
        <f aca="false">IF(AND(LEFT(A3199,1)&lt;&gt;"C",D3199&gt;0,F3199&gt;0),1,0)</f>
        <v>1</v>
      </c>
      <c r="J3199" s="7" t="n">
        <f aca="false">IF(I3199=1,D3199*F3199,0)</f>
        <v>16.95</v>
      </c>
      <c r="K3199" s="7" t="n">
        <f aca="false">YEAR(E3199)*100+MONTH(E3199)</f>
        <v>201110</v>
      </c>
      <c r="L3199" s="7" t="n">
        <f aca="false">IF(AND(A3199&lt;&gt;A3198,LEFT(A3199,1)&lt;&gt;"C"),1,0)</f>
        <v>0</v>
      </c>
    </row>
    <row r="3200" customFormat="false" ht="15" hidden="false" customHeight="false" outlineLevel="0" collapsed="false">
      <c r="A3200" s="0" t="s">
        <v>2313</v>
      </c>
      <c r="B3200" s="0" t="s">
        <v>1009</v>
      </c>
      <c r="C3200" s="0" t="s">
        <v>1010</v>
      </c>
      <c r="D3200" s="0" t="n">
        <v>1</v>
      </c>
      <c r="E3200" s="6" t="n">
        <v>40830.6215277778</v>
      </c>
      <c r="F3200" s="0" t="n">
        <v>16.95</v>
      </c>
      <c r="G3200" s="0" t="n">
        <v>12562</v>
      </c>
      <c r="H3200" s="0" t="s">
        <v>43</v>
      </c>
      <c r="I3200" s="7" t="n">
        <f aca="false">IF(AND(LEFT(A3200,1)&lt;&gt;"C",D3200&gt;0,F3200&gt;0),1,0)</f>
        <v>1</v>
      </c>
      <c r="J3200" s="7" t="n">
        <f aca="false">IF(I3200=1,D3200*F3200,0)</f>
        <v>16.95</v>
      </c>
      <c r="K3200" s="7" t="n">
        <f aca="false">YEAR(E3200)*100+MONTH(E3200)</f>
        <v>201110</v>
      </c>
      <c r="L3200" s="7" t="n">
        <f aca="false">IF(AND(A3200&lt;&gt;A3199,LEFT(A3200,1)&lt;&gt;"C"),1,0)</f>
        <v>0</v>
      </c>
    </row>
    <row r="3201" customFormat="false" ht="15" hidden="false" customHeight="false" outlineLevel="0" collapsed="false">
      <c r="A3201" s="0" t="s">
        <v>2313</v>
      </c>
      <c r="B3201" s="0" t="s">
        <v>320</v>
      </c>
      <c r="C3201" s="0" t="s">
        <v>321</v>
      </c>
      <c r="D3201" s="0" t="n">
        <v>4</v>
      </c>
      <c r="E3201" s="6" t="n">
        <v>40830.6215277778</v>
      </c>
      <c r="F3201" s="0" t="n">
        <v>3.75</v>
      </c>
      <c r="G3201" s="0" t="n">
        <v>12562</v>
      </c>
      <c r="H3201" s="0" t="s">
        <v>43</v>
      </c>
      <c r="I3201" s="7" t="n">
        <f aca="false">IF(AND(LEFT(A3201,1)&lt;&gt;"C",D3201&gt;0,F3201&gt;0),1,0)</f>
        <v>1</v>
      </c>
      <c r="J3201" s="7" t="n">
        <f aca="false">IF(I3201=1,D3201*F3201,0)</f>
        <v>15</v>
      </c>
      <c r="K3201" s="7" t="n">
        <f aca="false">YEAR(E3201)*100+MONTH(E3201)</f>
        <v>201110</v>
      </c>
      <c r="L3201" s="7" t="n">
        <f aca="false">IF(AND(A3201&lt;&gt;A3200,LEFT(A3201,1)&lt;&gt;"C"),1,0)</f>
        <v>0</v>
      </c>
    </row>
    <row r="3202" customFormat="false" ht="15" hidden="false" customHeight="false" outlineLevel="0" collapsed="false">
      <c r="A3202" s="0" t="s">
        <v>2313</v>
      </c>
      <c r="B3202" s="0" t="s">
        <v>295</v>
      </c>
      <c r="C3202" s="0" t="s">
        <v>296</v>
      </c>
      <c r="D3202" s="0" t="n">
        <v>4</v>
      </c>
      <c r="E3202" s="6" t="n">
        <v>40830.6215277778</v>
      </c>
      <c r="F3202" s="0" t="n">
        <v>3.75</v>
      </c>
      <c r="G3202" s="0" t="n">
        <v>12562</v>
      </c>
      <c r="H3202" s="0" t="s">
        <v>43</v>
      </c>
      <c r="I3202" s="7" t="n">
        <f aca="false">IF(AND(LEFT(A3202,1)&lt;&gt;"C",D3202&gt;0,F3202&gt;0),1,0)</f>
        <v>1</v>
      </c>
      <c r="J3202" s="7" t="n">
        <f aca="false">IF(I3202=1,D3202*F3202,0)</f>
        <v>15</v>
      </c>
      <c r="K3202" s="7" t="n">
        <f aca="false">YEAR(E3202)*100+MONTH(E3202)</f>
        <v>201110</v>
      </c>
      <c r="L3202" s="7" t="n">
        <f aca="false">IF(AND(A3202&lt;&gt;A3201,LEFT(A3202,1)&lt;&gt;"C"),1,0)</f>
        <v>0</v>
      </c>
    </row>
    <row r="3203" customFormat="false" ht="15" hidden="false" customHeight="false" outlineLevel="0" collapsed="false">
      <c r="A3203" s="0" t="s">
        <v>2313</v>
      </c>
      <c r="B3203" s="0" t="s">
        <v>84</v>
      </c>
      <c r="C3203" s="0" t="s">
        <v>85</v>
      </c>
      <c r="D3203" s="0" t="n">
        <v>2</v>
      </c>
      <c r="E3203" s="6" t="n">
        <v>40830.6215277778</v>
      </c>
      <c r="F3203" s="0" t="n">
        <v>18</v>
      </c>
      <c r="G3203" s="0" t="n">
        <v>12562</v>
      </c>
      <c r="H3203" s="0" t="s">
        <v>43</v>
      </c>
      <c r="I3203" s="7" t="n">
        <f aca="false">IF(AND(LEFT(A3203,1)&lt;&gt;"C",D3203&gt;0,F3203&gt;0),1,0)</f>
        <v>1</v>
      </c>
      <c r="J3203" s="7" t="n">
        <f aca="false">IF(I3203=1,D3203*F3203,0)</f>
        <v>36</v>
      </c>
      <c r="K3203" s="7" t="n">
        <f aca="false">YEAR(E3203)*100+MONTH(E3203)</f>
        <v>201110</v>
      </c>
      <c r="L3203" s="7" t="n">
        <f aca="false">IF(AND(A3203&lt;&gt;A3202,LEFT(A3203,1)&lt;&gt;"C"),1,0)</f>
        <v>0</v>
      </c>
    </row>
    <row r="3204" customFormat="false" ht="15" hidden="false" customHeight="false" outlineLevel="0" collapsed="false">
      <c r="A3204" s="0" t="s">
        <v>2316</v>
      </c>
      <c r="B3204" s="0" t="s">
        <v>452</v>
      </c>
      <c r="C3204" s="0" t="s">
        <v>453</v>
      </c>
      <c r="D3204" s="0" t="n">
        <v>-2</v>
      </c>
      <c r="E3204" s="6" t="n">
        <v>40830.70625</v>
      </c>
      <c r="F3204" s="0" t="n">
        <v>8.5</v>
      </c>
      <c r="G3204" s="0" t="n">
        <v>13814</v>
      </c>
      <c r="H3204" s="0" t="s">
        <v>33</v>
      </c>
      <c r="I3204" s="7" t="n">
        <f aca="false">IF(AND(LEFT(A3204,1)&lt;&gt;"C",D3204&gt;0,F3204&gt;0),1,0)</f>
        <v>0</v>
      </c>
      <c r="J3204" s="7" t="n">
        <f aca="false">IF(I3204=1,D3204*F3204,0)</f>
        <v>0</v>
      </c>
      <c r="K3204" s="7" t="n">
        <f aca="false">YEAR(E3204)*100+MONTH(E3204)</f>
        <v>201110</v>
      </c>
      <c r="L3204" s="7" t="n">
        <f aca="false">IF(AND(A3204&lt;&gt;A3203,LEFT(A3204,1)&lt;&gt;"C"),1,0)</f>
        <v>0</v>
      </c>
    </row>
    <row r="3205" customFormat="false" ht="15" hidden="false" customHeight="false" outlineLevel="0" collapsed="false">
      <c r="A3205" s="0" t="s">
        <v>2317</v>
      </c>
      <c r="B3205" s="0" t="s">
        <v>893</v>
      </c>
      <c r="C3205" s="0" t="s">
        <v>894</v>
      </c>
      <c r="D3205" s="0" t="n">
        <v>6</v>
      </c>
      <c r="E3205" s="6" t="n">
        <v>40833.4006944444</v>
      </c>
      <c r="F3205" s="0" t="n">
        <v>2.95</v>
      </c>
      <c r="G3205" s="0" t="n">
        <v>12526</v>
      </c>
      <c r="H3205" s="0" t="s">
        <v>33</v>
      </c>
      <c r="I3205" s="7" t="n">
        <f aca="false">IF(AND(LEFT(A3205,1)&lt;&gt;"C",D3205&gt;0,F3205&gt;0),1,0)</f>
        <v>1</v>
      </c>
      <c r="J3205" s="7" t="n">
        <f aca="false">IF(I3205=1,D3205*F3205,0)</f>
        <v>17.7</v>
      </c>
      <c r="K3205" s="7" t="n">
        <f aca="false">YEAR(E3205)*100+MONTH(E3205)</f>
        <v>201110</v>
      </c>
      <c r="L3205" s="7" t="n">
        <f aca="false">IF(AND(A3205&lt;&gt;A3204,LEFT(A3205,1)&lt;&gt;"C"),1,0)</f>
        <v>1</v>
      </c>
    </row>
    <row r="3206" customFormat="false" ht="15" hidden="false" customHeight="false" outlineLevel="0" collapsed="false">
      <c r="A3206" s="0" t="s">
        <v>2317</v>
      </c>
      <c r="B3206" s="0" t="s">
        <v>490</v>
      </c>
      <c r="C3206" s="0" t="s">
        <v>491</v>
      </c>
      <c r="D3206" s="0" t="n">
        <v>6</v>
      </c>
      <c r="E3206" s="6" t="n">
        <v>40833.4006944444</v>
      </c>
      <c r="F3206" s="0" t="n">
        <v>2.08</v>
      </c>
      <c r="G3206" s="0" t="n">
        <v>12526</v>
      </c>
      <c r="H3206" s="0" t="s">
        <v>33</v>
      </c>
      <c r="I3206" s="7" t="n">
        <f aca="false">IF(AND(LEFT(A3206,1)&lt;&gt;"C",D3206&gt;0,F3206&gt;0),1,0)</f>
        <v>1</v>
      </c>
      <c r="J3206" s="7" t="n">
        <f aca="false">IF(I3206=1,D3206*F3206,0)</f>
        <v>12.48</v>
      </c>
      <c r="K3206" s="7" t="n">
        <f aca="false">YEAR(E3206)*100+MONTH(E3206)</f>
        <v>201110</v>
      </c>
      <c r="L3206" s="7" t="n">
        <f aca="false">IF(AND(A3206&lt;&gt;A3205,LEFT(A3206,1)&lt;&gt;"C"),1,0)</f>
        <v>0</v>
      </c>
    </row>
    <row r="3207" customFormat="false" ht="15" hidden="false" customHeight="false" outlineLevel="0" collapsed="false">
      <c r="A3207" s="0" t="s">
        <v>2317</v>
      </c>
      <c r="B3207" s="0" t="s">
        <v>1436</v>
      </c>
      <c r="C3207" s="0" t="s">
        <v>1437</v>
      </c>
      <c r="D3207" s="0" t="n">
        <v>3</v>
      </c>
      <c r="E3207" s="6" t="n">
        <v>40833.4006944444</v>
      </c>
      <c r="F3207" s="0" t="n">
        <v>4.95</v>
      </c>
      <c r="G3207" s="0" t="n">
        <v>12526</v>
      </c>
      <c r="H3207" s="0" t="s">
        <v>33</v>
      </c>
      <c r="I3207" s="7" t="n">
        <f aca="false">IF(AND(LEFT(A3207,1)&lt;&gt;"C",D3207&gt;0,F3207&gt;0),1,0)</f>
        <v>1</v>
      </c>
      <c r="J3207" s="7" t="n">
        <f aca="false">IF(I3207=1,D3207*F3207,0)</f>
        <v>14.85</v>
      </c>
      <c r="K3207" s="7" t="n">
        <f aca="false">YEAR(E3207)*100+MONTH(E3207)</f>
        <v>201110</v>
      </c>
      <c r="L3207" s="7" t="n">
        <f aca="false">IF(AND(A3207&lt;&gt;A3206,LEFT(A3207,1)&lt;&gt;"C"),1,0)</f>
        <v>0</v>
      </c>
    </row>
    <row r="3208" customFormat="false" ht="15" hidden="false" customHeight="false" outlineLevel="0" collapsed="false">
      <c r="A3208" s="0" t="s">
        <v>2317</v>
      </c>
      <c r="B3208" s="0" t="s">
        <v>537</v>
      </c>
      <c r="C3208" s="0" t="s">
        <v>538</v>
      </c>
      <c r="D3208" s="0" t="n">
        <v>6</v>
      </c>
      <c r="E3208" s="6" t="n">
        <v>40833.4006944444</v>
      </c>
      <c r="F3208" s="0" t="n">
        <v>4.15</v>
      </c>
      <c r="G3208" s="0" t="n">
        <v>12526</v>
      </c>
      <c r="H3208" s="0" t="s">
        <v>33</v>
      </c>
      <c r="I3208" s="7" t="n">
        <f aca="false">IF(AND(LEFT(A3208,1)&lt;&gt;"C",D3208&gt;0,F3208&gt;0),1,0)</f>
        <v>1</v>
      </c>
      <c r="J3208" s="7" t="n">
        <f aca="false">IF(I3208=1,D3208*F3208,0)</f>
        <v>24.9</v>
      </c>
      <c r="K3208" s="7" t="n">
        <f aca="false">YEAR(E3208)*100+MONTH(E3208)</f>
        <v>201110</v>
      </c>
      <c r="L3208" s="7" t="n">
        <f aca="false">IF(AND(A3208&lt;&gt;A3207,LEFT(A3208,1)&lt;&gt;"C"),1,0)</f>
        <v>0</v>
      </c>
    </row>
    <row r="3209" customFormat="false" ht="15" hidden="false" customHeight="false" outlineLevel="0" collapsed="false">
      <c r="A3209" s="0" t="s">
        <v>2317</v>
      </c>
      <c r="B3209" s="0" t="s">
        <v>64</v>
      </c>
      <c r="C3209" s="0" t="s">
        <v>65</v>
      </c>
      <c r="D3209" s="0" t="n">
        <v>12</v>
      </c>
      <c r="E3209" s="6" t="n">
        <v>40833.4006944444</v>
      </c>
      <c r="F3209" s="0" t="n">
        <v>1.65</v>
      </c>
      <c r="G3209" s="0" t="n">
        <v>12526</v>
      </c>
      <c r="H3209" s="0" t="s">
        <v>33</v>
      </c>
      <c r="I3209" s="7" t="n">
        <f aca="false">IF(AND(LEFT(A3209,1)&lt;&gt;"C",D3209&gt;0,F3209&gt;0),1,0)</f>
        <v>1</v>
      </c>
      <c r="J3209" s="7" t="n">
        <f aca="false">IF(I3209=1,D3209*F3209,0)</f>
        <v>19.8</v>
      </c>
      <c r="K3209" s="7" t="n">
        <f aca="false">YEAR(E3209)*100+MONTH(E3209)</f>
        <v>201110</v>
      </c>
      <c r="L3209" s="7" t="n">
        <f aca="false">IF(AND(A3209&lt;&gt;A3208,LEFT(A3209,1)&lt;&gt;"C"),1,0)</f>
        <v>0</v>
      </c>
    </row>
    <row r="3210" customFormat="false" ht="15" hidden="false" customHeight="false" outlineLevel="0" collapsed="false">
      <c r="A3210" s="0" t="s">
        <v>2317</v>
      </c>
      <c r="B3210" s="0" t="s">
        <v>1094</v>
      </c>
      <c r="C3210" s="0" t="s">
        <v>1095</v>
      </c>
      <c r="D3210" s="0" t="n">
        <v>12</v>
      </c>
      <c r="E3210" s="6" t="n">
        <v>40833.4006944444</v>
      </c>
      <c r="F3210" s="0" t="n">
        <v>1.95</v>
      </c>
      <c r="G3210" s="0" t="n">
        <v>12526</v>
      </c>
      <c r="H3210" s="0" t="s">
        <v>33</v>
      </c>
      <c r="I3210" s="7" t="n">
        <f aca="false">IF(AND(LEFT(A3210,1)&lt;&gt;"C",D3210&gt;0,F3210&gt;0),1,0)</f>
        <v>1</v>
      </c>
      <c r="J3210" s="7" t="n">
        <f aca="false">IF(I3210=1,D3210*F3210,0)</f>
        <v>23.4</v>
      </c>
      <c r="K3210" s="7" t="n">
        <f aca="false">YEAR(E3210)*100+MONTH(E3210)</f>
        <v>201110</v>
      </c>
      <c r="L3210" s="7" t="n">
        <f aca="false">IF(AND(A3210&lt;&gt;A3209,LEFT(A3210,1)&lt;&gt;"C"),1,0)</f>
        <v>0</v>
      </c>
    </row>
    <row r="3211" customFormat="false" ht="15" hidden="false" customHeight="false" outlineLevel="0" collapsed="false">
      <c r="A3211" s="0" t="s">
        <v>2317</v>
      </c>
      <c r="B3211" s="0" t="s">
        <v>511</v>
      </c>
      <c r="C3211" s="0" t="s">
        <v>512</v>
      </c>
      <c r="D3211" s="0" t="n">
        <v>5</v>
      </c>
      <c r="E3211" s="6" t="n">
        <v>40833.4006944444</v>
      </c>
      <c r="F3211" s="0" t="n">
        <v>2.95</v>
      </c>
      <c r="G3211" s="0" t="n">
        <v>12526</v>
      </c>
      <c r="H3211" s="0" t="s">
        <v>33</v>
      </c>
      <c r="I3211" s="7" t="n">
        <f aca="false">IF(AND(LEFT(A3211,1)&lt;&gt;"C",D3211&gt;0,F3211&gt;0),1,0)</f>
        <v>1</v>
      </c>
      <c r="J3211" s="7" t="n">
        <f aca="false">IF(I3211=1,D3211*F3211,0)</f>
        <v>14.75</v>
      </c>
      <c r="K3211" s="7" t="n">
        <f aca="false">YEAR(E3211)*100+MONTH(E3211)</f>
        <v>201110</v>
      </c>
      <c r="L3211" s="7" t="n">
        <f aca="false">IF(AND(A3211&lt;&gt;A3210,LEFT(A3211,1)&lt;&gt;"C"),1,0)</f>
        <v>0</v>
      </c>
    </row>
    <row r="3212" customFormat="false" ht="15" hidden="false" customHeight="false" outlineLevel="0" collapsed="false">
      <c r="A3212" s="0" t="s">
        <v>2317</v>
      </c>
      <c r="B3212" s="0" t="s">
        <v>308</v>
      </c>
      <c r="C3212" s="0" t="s">
        <v>309</v>
      </c>
      <c r="D3212" s="0" t="n">
        <v>12</v>
      </c>
      <c r="E3212" s="6" t="n">
        <v>40833.4006944444</v>
      </c>
      <c r="F3212" s="0" t="n">
        <v>1.25</v>
      </c>
      <c r="G3212" s="0" t="n">
        <v>12526</v>
      </c>
      <c r="H3212" s="0" t="s">
        <v>33</v>
      </c>
      <c r="I3212" s="7" t="n">
        <f aca="false">IF(AND(LEFT(A3212,1)&lt;&gt;"C",D3212&gt;0,F3212&gt;0),1,0)</f>
        <v>1</v>
      </c>
      <c r="J3212" s="7" t="n">
        <f aca="false">IF(I3212=1,D3212*F3212,0)</f>
        <v>15</v>
      </c>
      <c r="K3212" s="7" t="n">
        <f aca="false">YEAR(E3212)*100+MONTH(E3212)</f>
        <v>201110</v>
      </c>
      <c r="L3212" s="7" t="n">
        <f aca="false">IF(AND(A3212&lt;&gt;A3211,LEFT(A3212,1)&lt;&gt;"C"),1,0)</f>
        <v>0</v>
      </c>
    </row>
    <row r="3213" customFormat="false" ht="15" hidden="false" customHeight="false" outlineLevel="0" collapsed="false">
      <c r="A3213" s="0" t="s">
        <v>2317</v>
      </c>
      <c r="B3213" s="0" t="s">
        <v>70</v>
      </c>
      <c r="C3213" s="0" t="s">
        <v>71</v>
      </c>
      <c r="D3213" s="0" t="n">
        <v>10</v>
      </c>
      <c r="E3213" s="6" t="n">
        <v>40833.4006944444</v>
      </c>
      <c r="F3213" s="0" t="n">
        <v>1.65</v>
      </c>
      <c r="G3213" s="0" t="n">
        <v>12526</v>
      </c>
      <c r="H3213" s="0" t="s">
        <v>33</v>
      </c>
      <c r="I3213" s="7" t="n">
        <f aca="false">IF(AND(LEFT(A3213,1)&lt;&gt;"C",D3213&gt;0,F3213&gt;0),1,0)</f>
        <v>1</v>
      </c>
      <c r="J3213" s="7" t="n">
        <f aca="false">IF(I3213=1,D3213*F3213,0)</f>
        <v>16.5</v>
      </c>
      <c r="K3213" s="7" t="n">
        <f aca="false">YEAR(E3213)*100+MONTH(E3213)</f>
        <v>201110</v>
      </c>
      <c r="L3213" s="7" t="n">
        <f aca="false">IF(AND(A3213&lt;&gt;A3212,LEFT(A3213,1)&lt;&gt;"C"),1,0)</f>
        <v>0</v>
      </c>
    </row>
    <row r="3214" customFormat="false" ht="15" hidden="false" customHeight="false" outlineLevel="0" collapsed="false">
      <c r="A3214" s="0" t="s">
        <v>2317</v>
      </c>
      <c r="B3214" s="0" t="s">
        <v>1210</v>
      </c>
      <c r="C3214" s="0" t="s">
        <v>1211</v>
      </c>
      <c r="D3214" s="0" t="n">
        <v>10</v>
      </c>
      <c r="E3214" s="6" t="n">
        <v>40833.4006944444</v>
      </c>
      <c r="F3214" s="0" t="n">
        <v>1.65</v>
      </c>
      <c r="G3214" s="0" t="n">
        <v>12526</v>
      </c>
      <c r="H3214" s="0" t="s">
        <v>33</v>
      </c>
      <c r="I3214" s="7" t="n">
        <f aca="false">IF(AND(LEFT(A3214,1)&lt;&gt;"C",D3214&gt;0,F3214&gt;0),1,0)</f>
        <v>1</v>
      </c>
      <c r="J3214" s="7" t="n">
        <f aca="false">IF(I3214=1,D3214*F3214,0)</f>
        <v>16.5</v>
      </c>
      <c r="K3214" s="7" t="n">
        <f aca="false">YEAR(E3214)*100+MONTH(E3214)</f>
        <v>201110</v>
      </c>
      <c r="L3214" s="7" t="n">
        <f aca="false">IF(AND(A3214&lt;&gt;A3213,LEFT(A3214,1)&lt;&gt;"C"),1,0)</f>
        <v>0</v>
      </c>
    </row>
    <row r="3215" customFormat="false" ht="15" hidden="false" customHeight="false" outlineLevel="0" collapsed="false">
      <c r="A3215" s="0" t="s">
        <v>2317</v>
      </c>
      <c r="B3215" s="0" t="s">
        <v>610</v>
      </c>
      <c r="C3215" s="0" t="s">
        <v>611</v>
      </c>
      <c r="D3215" s="0" t="n">
        <v>6</v>
      </c>
      <c r="E3215" s="6" t="n">
        <v>40833.4006944444</v>
      </c>
      <c r="F3215" s="0" t="n">
        <v>2.95</v>
      </c>
      <c r="G3215" s="0" t="n">
        <v>12526</v>
      </c>
      <c r="H3215" s="0" t="s">
        <v>33</v>
      </c>
      <c r="I3215" s="7" t="n">
        <f aca="false">IF(AND(LEFT(A3215,1)&lt;&gt;"C",D3215&gt;0,F3215&gt;0),1,0)</f>
        <v>1</v>
      </c>
      <c r="J3215" s="7" t="n">
        <f aca="false">IF(I3215=1,D3215*F3215,0)</f>
        <v>17.7</v>
      </c>
      <c r="K3215" s="7" t="n">
        <f aca="false">YEAR(E3215)*100+MONTH(E3215)</f>
        <v>201110</v>
      </c>
      <c r="L3215" s="7" t="n">
        <f aca="false">IF(AND(A3215&lt;&gt;A3214,LEFT(A3215,1)&lt;&gt;"C"),1,0)</f>
        <v>0</v>
      </c>
    </row>
    <row r="3216" customFormat="false" ht="15" hidden="false" customHeight="false" outlineLevel="0" collapsed="false">
      <c r="A3216" s="0" t="s">
        <v>2317</v>
      </c>
      <c r="B3216" s="0" t="s">
        <v>895</v>
      </c>
      <c r="C3216" s="0" t="s">
        <v>896</v>
      </c>
      <c r="D3216" s="0" t="n">
        <v>6</v>
      </c>
      <c r="E3216" s="6" t="n">
        <v>40833.4006944444</v>
      </c>
      <c r="F3216" s="0" t="n">
        <v>2.89</v>
      </c>
      <c r="G3216" s="0" t="n">
        <v>12526</v>
      </c>
      <c r="H3216" s="0" t="s">
        <v>33</v>
      </c>
      <c r="I3216" s="7" t="n">
        <f aca="false">IF(AND(LEFT(A3216,1)&lt;&gt;"C",D3216&gt;0,F3216&gt;0),1,0)</f>
        <v>1</v>
      </c>
      <c r="J3216" s="7" t="n">
        <f aca="false">IF(I3216=1,D3216*F3216,0)</f>
        <v>17.34</v>
      </c>
      <c r="K3216" s="7" t="n">
        <f aca="false">YEAR(E3216)*100+MONTH(E3216)</f>
        <v>201110</v>
      </c>
      <c r="L3216" s="7" t="n">
        <f aca="false">IF(AND(A3216&lt;&gt;A3215,LEFT(A3216,1)&lt;&gt;"C"),1,0)</f>
        <v>0</v>
      </c>
    </row>
    <row r="3217" customFormat="false" ht="15" hidden="false" customHeight="false" outlineLevel="0" collapsed="false">
      <c r="A3217" s="0" t="s">
        <v>2317</v>
      </c>
      <c r="B3217" s="0" t="s">
        <v>392</v>
      </c>
      <c r="C3217" s="0" t="s">
        <v>393</v>
      </c>
      <c r="D3217" s="0" t="n">
        <v>12</v>
      </c>
      <c r="E3217" s="6" t="n">
        <v>40833.4006944444</v>
      </c>
      <c r="F3217" s="0" t="n">
        <v>0.85</v>
      </c>
      <c r="G3217" s="0" t="n">
        <v>12526</v>
      </c>
      <c r="H3217" s="0" t="s">
        <v>33</v>
      </c>
      <c r="I3217" s="7" t="n">
        <f aca="false">IF(AND(LEFT(A3217,1)&lt;&gt;"C",D3217&gt;0,F3217&gt;0),1,0)</f>
        <v>1</v>
      </c>
      <c r="J3217" s="7" t="n">
        <f aca="false">IF(I3217=1,D3217*F3217,0)</f>
        <v>10.2</v>
      </c>
      <c r="K3217" s="7" t="n">
        <f aca="false">YEAR(E3217)*100+MONTH(E3217)</f>
        <v>201110</v>
      </c>
      <c r="L3217" s="7" t="n">
        <f aca="false">IF(AND(A3217&lt;&gt;A3216,LEFT(A3217,1)&lt;&gt;"C"),1,0)</f>
        <v>0</v>
      </c>
    </row>
    <row r="3218" customFormat="false" ht="15" hidden="false" customHeight="false" outlineLevel="0" collapsed="false">
      <c r="A3218" s="0" t="s">
        <v>2317</v>
      </c>
      <c r="B3218" s="0" t="s">
        <v>2318</v>
      </c>
      <c r="C3218" s="0" t="s">
        <v>2319</v>
      </c>
      <c r="D3218" s="0" t="n">
        <v>6</v>
      </c>
      <c r="E3218" s="6" t="n">
        <v>40833.4006944444</v>
      </c>
      <c r="F3218" s="0" t="n">
        <v>2.95</v>
      </c>
      <c r="G3218" s="0" t="n">
        <v>12526</v>
      </c>
      <c r="H3218" s="0" t="s">
        <v>33</v>
      </c>
      <c r="I3218" s="7" t="n">
        <f aca="false">IF(AND(LEFT(A3218,1)&lt;&gt;"C",D3218&gt;0,F3218&gt;0),1,0)</f>
        <v>1</v>
      </c>
      <c r="J3218" s="7" t="n">
        <f aca="false">IF(I3218=1,D3218*F3218,0)</f>
        <v>17.7</v>
      </c>
      <c r="K3218" s="7" t="n">
        <f aca="false">YEAR(E3218)*100+MONTH(E3218)</f>
        <v>201110</v>
      </c>
      <c r="L3218" s="7" t="n">
        <f aca="false">IF(AND(A3218&lt;&gt;A3217,LEFT(A3218,1)&lt;&gt;"C"),1,0)</f>
        <v>0</v>
      </c>
    </row>
    <row r="3219" customFormat="false" ht="15" hidden="false" customHeight="false" outlineLevel="0" collapsed="false">
      <c r="A3219" s="0" t="s">
        <v>2317</v>
      </c>
      <c r="B3219" s="0" t="s">
        <v>2320</v>
      </c>
      <c r="C3219" s="0" t="s">
        <v>2321</v>
      </c>
      <c r="D3219" s="0" t="n">
        <v>6</v>
      </c>
      <c r="E3219" s="6" t="n">
        <v>40833.4006944444</v>
      </c>
      <c r="F3219" s="0" t="n">
        <v>2.1</v>
      </c>
      <c r="G3219" s="0" t="n">
        <v>12526</v>
      </c>
      <c r="H3219" s="0" t="s">
        <v>33</v>
      </c>
      <c r="I3219" s="7" t="n">
        <f aca="false">IF(AND(LEFT(A3219,1)&lt;&gt;"C",D3219&gt;0,F3219&gt;0),1,0)</f>
        <v>1</v>
      </c>
      <c r="J3219" s="7" t="n">
        <f aca="false">IF(I3219=1,D3219*F3219,0)</f>
        <v>12.6</v>
      </c>
      <c r="K3219" s="7" t="n">
        <f aca="false">YEAR(E3219)*100+MONTH(E3219)</f>
        <v>201110</v>
      </c>
      <c r="L3219" s="7" t="n">
        <f aca="false">IF(AND(A3219&lt;&gt;A3218,LEFT(A3219,1)&lt;&gt;"C"),1,0)</f>
        <v>0</v>
      </c>
    </row>
    <row r="3220" customFormat="false" ht="15" hidden="false" customHeight="false" outlineLevel="0" collapsed="false">
      <c r="A3220" s="0" t="s">
        <v>2317</v>
      </c>
      <c r="B3220" s="0" t="s">
        <v>871</v>
      </c>
      <c r="C3220" s="0" t="s">
        <v>872</v>
      </c>
      <c r="D3220" s="0" t="n">
        <v>12</v>
      </c>
      <c r="E3220" s="6" t="n">
        <v>40833.4006944444</v>
      </c>
      <c r="F3220" s="0" t="n">
        <v>0.83</v>
      </c>
      <c r="G3220" s="0" t="n">
        <v>12526</v>
      </c>
      <c r="H3220" s="0" t="s">
        <v>33</v>
      </c>
      <c r="I3220" s="7" t="n">
        <f aca="false">IF(AND(LEFT(A3220,1)&lt;&gt;"C",D3220&gt;0,F3220&gt;0),1,0)</f>
        <v>1</v>
      </c>
      <c r="J3220" s="7" t="n">
        <f aca="false">IF(I3220=1,D3220*F3220,0)</f>
        <v>9.96</v>
      </c>
      <c r="K3220" s="7" t="n">
        <f aca="false">YEAR(E3220)*100+MONTH(E3220)</f>
        <v>201110</v>
      </c>
      <c r="L3220" s="7" t="n">
        <f aca="false">IF(AND(A3220&lt;&gt;A3219,LEFT(A3220,1)&lt;&gt;"C"),1,0)</f>
        <v>0</v>
      </c>
    </row>
    <row r="3221" customFormat="false" ht="15" hidden="false" customHeight="false" outlineLevel="0" collapsed="false">
      <c r="A3221" s="0" t="s">
        <v>2317</v>
      </c>
      <c r="B3221" s="0" t="s">
        <v>131</v>
      </c>
      <c r="C3221" s="0" t="s">
        <v>132</v>
      </c>
      <c r="D3221" s="0" t="n">
        <v>8</v>
      </c>
      <c r="E3221" s="6" t="n">
        <v>40833.4006944444</v>
      </c>
      <c r="F3221" s="0" t="n">
        <v>1.65</v>
      </c>
      <c r="G3221" s="0" t="n">
        <v>12526</v>
      </c>
      <c r="H3221" s="0" t="s">
        <v>33</v>
      </c>
      <c r="I3221" s="7" t="n">
        <f aca="false">IF(AND(LEFT(A3221,1)&lt;&gt;"C",D3221&gt;0,F3221&gt;0),1,0)</f>
        <v>1</v>
      </c>
      <c r="J3221" s="7" t="n">
        <f aca="false">IF(I3221=1,D3221*F3221,0)</f>
        <v>13.2</v>
      </c>
      <c r="K3221" s="7" t="n">
        <f aca="false">YEAR(E3221)*100+MONTH(E3221)</f>
        <v>201110</v>
      </c>
      <c r="L3221" s="7" t="n">
        <f aca="false">IF(AND(A3221&lt;&gt;A3220,LEFT(A3221,1)&lt;&gt;"C"),1,0)</f>
        <v>0</v>
      </c>
    </row>
    <row r="3222" customFormat="false" ht="15" hidden="false" customHeight="false" outlineLevel="0" collapsed="false">
      <c r="A3222" s="0" t="s">
        <v>2317</v>
      </c>
      <c r="B3222" s="0" t="s">
        <v>2267</v>
      </c>
      <c r="C3222" s="0" t="s">
        <v>2268</v>
      </c>
      <c r="D3222" s="0" t="n">
        <v>8</v>
      </c>
      <c r="E3222" s="6" t="n">
        <v>40833.4006944444</v>
      </c>
      <c r="F3222" s="0" t="n">
        <v>1.65</v>
      </c>
      <c r="G3222" s="0" t="n">
        <v>12526</v>
      </c>
      <c r="H3222" s="0" t="s">
        <v>33</v>
      </c>
      <c r="I3222" s="7" t="n">
        <f aca="false">IF(AND(LEFT(A3222,1)&lt;&gt;"C",D3222&gt;0,F3222&gt;0),1,0)</f>
        <v>1</v>
      </c>
      <c r="J3222" s="7" t="n">
        <f aca="false">IF(I3222=1,D3222*F3222,0)</f>
        <v>13.2</v>
      </c>
      <c r="K3222" s="7" t="n">
        <f aca="false">YEAR(E3222)*100+MONTH(E3222)</f>
        <v>201110</v>
      </c>
      <c r="L3222" s="7" t="n">
        <f aca="false">IF(AND(A3222&lt;&gt;A3221,LEFT(A3222,1)&lt;&gt;"C"),1,0)</f>
        <v>0</v>
      </c>
    </row>
    <row r="3223" customFormat="false" ht="15" hidden="false" customHeight="false" outlineLevel="0" collapsed="false">
      <c r="A3223" s="0" t="s">
        <v>2317</v>
      </c>
      <c r="B3223" s="0" t="s">
        <v>127</v>
      </c>
      <c r="C3223" s="0" t="s">
        <v>128</v>
      </c>
      <c r="D3223" s="0" t="n">
        <v>8</v>
      </c>
      <c r="E3223" s="6" t="n">
        <v>40833.4006944444</v>
      </c>
      <c r="F3223" s="0" t="n">
        <v>1.65</v>
      </c>
      <c r="G3223" s="0" t="n">
        <v>12526</v>
      </c>
      <c r="H3223" s="0" t="s">
        <v>33</v>
      </c>
      <c r="I3223" s="7" t="n">
        <f aca="false">IF(AND(LEFT(A3223,1)&lt;&gt;"C",D3223&gt;0,F3223&gt;0),1,0)</f>
        <v>1</v>
      </c>
      <c r="J3223" s="7" t="n">
        <f aca="false">IF(I3223=1,D3223*F3223,0)</f>
        <v>13.2</v>
      </c>
      <c r="K3223" s="7" t="n">
        <f aca="false">YEAR(E3223)*100+MONTH(E3223)</f>
        <v>201110</v>
      </c>
      <c r="L3223" s="7" t="n">
        <f aca="false">IF(AND(A3223&lt;&gt;A3222,LEFT(A3223,1)&lt;&gt;"C"),1,0)</f>
        <v>0</v>
      </c>
    </row>
    <row r="3224" customFormat="false" ht="15" hidden="false" customHeight="false" outlineLevel="0" collapsed="false">
      <c r="A3224" s="0" t="s">
        <v>2317</v>
      </c>
      <c r="B3224" s="0" t="s">
        <v>569</v>
      </c>
      <c r="C3224" s="0" t="s">
        <v>570</v>
      </c>
      <c r="D3224" s="0" t="n">
        <v>10</v>
      </c>
      <c r="E3224" s="6" t="n">
        <v>40833.4006944444</v>
      </c>
      <c r="F3224" s="0" t="n">
        <v>2.08</v>
      </c>
      <c r="G3224" s="0" t="n">
        <v>12526</v>
      </c>
      <c r="H3224" s="0" t="s">
        <v>33</v>
      </c>
      <c r="I3224" s="7" t="n">
        <f aca="false">IF(AND(LEFT(A3224,1)&lt;&gt;"C",D3224&gt;0,F3224&gt;0),1,0)</f>
        <v>1</v>
      </c>
      <c r="J3224" s="7" t="n">
        <f aca="false">IF(I3224=1,D3224*F3224,0)</f>
        <v>20.8</v>
      </c>
      <c r="K3224" s="7" t="n">
        <f aca="false">YEAR(E3224)*100+MONTH(E3224)</f>
        <v>201110</v>
      </c>
      <c r="L3224" s="7" t="n">
        <f aca="false">IF(AND(A3224&lt;&gt;A3223,LEFT(A3224,1)&lt;&gt;"C"),1,0)</f>
        <v>0</v>
      </c>
    </row>
    <row r="3225" customFormat="false" ht="15" hidden="false" customHeight="false" outlineLevel="0" collapsed="false">
      <c r="A3225" s="0" t="s">
        <v>2317</v>
      </c>
      <c r="B3225" s="0" t="s">
        <v>794</v>
      </c>
      <c r="C3225" s="0" t="s">
        <v>795</v>
      </c>
      <c r="D3225" s="0" t="n">
        <v>10</v>
      </c>
      <c r="E3225" s="6" t="n">
        <v>40833.4006944444</v>
      </c>
      <c r="F3225" s="0" t="n">
        <v>0.85</v>
      </c>
      <c r="G3225" s="0" t="n">
        <v>12526</v>
      </c>
      <c r="H3225" s="0" t="s">
        <v>33</v>
      </c>
      <c r="I3225" s="7" t="n">
        <f aca="false">IF(AND(LEFT(A3225,1)&lt;&gt;"C",D3225&gt;0,F3225&gt;0),1,0)</f>
        <v>1</v>
      </c>
      <c r="J3225" s="7" t="n">
        <f aca="false">IF(I3225=1,D3225*F3225,0)</f>
        <v>8.5</v>
      </c>
      <c r="K3225" s="7" t="n">
        <f aca="false">YEAR(E3225)*100+MONTH(E3225)</f>
        <v>201110</v>
      </c>
      <c r="L3225" s="7" t="n">
        <f aca="false">IF(AND(A3225&lt;&gt;A3224,LEFT(A3225,1)&lt;&gt;"C"),1,0)</f>
        <v>0</v>
      </c>
    </row>
    <row r="3226" customFormat="false" ht="15" hidden="false" customHeight="false" outlineLevel="0" collapsed="false">
      <c r="A3226" s="0" t="s">
        <v>2317</v>
      </c>
      <c r="B3226" s="0" t="s">
        <v>667</v>
      </c>
      <c r="C3226" s="0" t="s">
        <v>668</v>
      </c>
      <c r="D3226" s="0" t="n">
        <v>10</v>
      </c>
      <c r="E3226" s="6" t="n">
        <v>40833.4006944444</v>
      </c>
      <c r="F3226" s="0" t="n">
        <v>0.85</v>
      </c>
      <c r="G3226" s="0" t="n">
        <v>12526</v>
      </c>
      <c r="H3226" s="0" t="s">
        <v>33</v>
      </c>
      <c r="I3226" s="7" t="n">
        <f aca="false">IF(AND(LEFT(A3226,1)&lt;&gt;"C",D3226&gt;0,F3226&gt;0),1,0)</f>
        <v>1</v>
      </c>
      <c r="J3226" s="7" t="n">
        <f aca="false">IF(I3226=1,D3226*F3226,0)</f>
        <v>8.5</v>
      </c>
      <c r="K3226" s="7" t="n">
        <f aca="false">YEAR(E3226)*100+MONTH(E3226)</f>
        <v>201110</v>
      </c>
      <c r="L3226" s="7" t="n">
        <f aca="false">IF(AND(A3226&lt;&gt;A3225,LEFT(A3226,1)&lt;&gt;"C"),1,0)</f>
        <v>0</v>
      </c>
    </row>
    <row r="3227" customFormat="false" ht="15" hidden="false" customHeight="false" outlineLevel="0" collapsed="false">
      <c r="A3227" s="0" t="s">
        <v>2317</v>
      </c>
      <c r="B3227" s="0" t="s">
        <v>521</v>
      </c>
      <c r="C3227" s="0" t="s">
        <v>522</v>
      </c>
      <c r="D3227" s="0" t="n">
        <v>8</v>
      </c>
      <c r="E3227" s="6" t="n">
        <v>40833.4006944444</v>
      </c>
      <c r="F3227" s="0" t="n">
        <v>1.95</v>
      </c>
      <c r="G3227" s="0" t="n">
        <v>12526</v>
      </c>
      <c r="H3227" s="0" t="s">
        <v>33</v>
      </c>
      <c r="I3227" s="7" t="n">
        <f aca="false">IF(AND(LEFT(A3227,1)&lt;&gt;"C",D3227&gt;0,F3227&gt;0),1,0)</f>
        <v>1</v>
      </c>
      <c r="J3227" s="7" t="n">
        <f aca="false">IF(I3227=1,D3227*F3227,0)</f>
        <v>15.6</v>
      </c>
      <c r="K3227" s="7" t="n">
        <f aca="false">YEAR(E3227)*100+MONTH(E3227)</f>
        <v>201110</v>
      </c>
      <c r="L3227" s="7" t="n">
        <f aca="false">IF(AND(A3227&lt;&gt;A3226,LEFT(A3227,1)&lt;&gt;"C"),1,0)</f>
        <v>0</v>
      </c>
    </row>
    <row r="3228" customFormat="false" ht="15" hidden="false" customHeight="false" outlineLevel="0" collapsed="false">
      <c r="A3228" s="0" t="s">
        <v>2317</v>
      </c>
      <c r="B3228" s="0" t="s">
        <v>465</v>
      </c>
      <c r="C3228" s="0" t="s">
        <v>466</v>
      </c>
      <c r="D3228" s="0" t="n">
        <v>2</v>
      </c>
      <c r="E3228" s="6" t="n">
        <v>40833.4006944444</v>
      </c>
      <c r="F3228" s="0" t="n">
        <v>7.95</v>
      </c>
      <c r="G3228" s="0" t="n">
        <v>12526</v>
      </c>
      <c r="H3228" s="0" t="s">
        <v>33</v>
      </c>
      <c r="I3228" s="7" t="n">
        <f aca="false">IF(AND(LEFT(A3228,1)&lt;&gt;"C",D3228&gt;0,F3228&gt;0),1,0)</f>
        <v>1</v>
      </c>
      <c r="J3228" s="7" t="n">
        <f aca="false">IF(I3228=1,D3228*F3228,0)</f>
        <v>15.9</v>
      </c>
      <c r="K3228" s="7" t="n">
        <f aca="false">YEAR(E3228)*100+MONTH(E3228)</f>
        <v>201110</v>
      </c>
      <c r="L3228" s="7" t="n">
        <f aca="false">IF(AND(A3228&lt;&gt;A3227,LEFT(A3228,1)&lt;&gt;"C"),1,0)</f>
        <v>0</v>
      </c>
    </row>
    <row r="3229" customFormat="false" ht="15" hidden="false" customHeight="false" outlineLevel="0" collapsed="false">
      <c r="A3229" s="0" t="s">
        <v>2317</v>
      </c>
      <c r="B3229" s="0" t="s">
        <v>463</v>
      </c>
      <c r="C3229" s="0" t="s">
        <v>464</v>
      </c>
      <c r="D3229" s="0" t="n">
        <v>2</v>
      </c>
      <c r="E3229" s="6" t="n">
        <v>40833.4006944444</v>
      </c>
      <c r="F3229" s="0" t="n">
        <v>7.95</v>
      </c>
      <c r="G3229" s="0" t="n">
        <v>12526</v>
      </c>
      <c r="H3229" s="0" t="s">
        <v>33</v>
      </c>
      <c r="I3229" s="7" t="n">
        <f aca="false">IF(AND(LEFT(A3229,1)&lt;&gt;"C",D3229&gt;0,F3229&gt;0),1,0)</f>
        <v>1</v>
      </c>
      <c r="J3229" s="7" t="n">
        <f aca="false">IF(I3229=1,D3229*F3229,0)</f>
        <v>15.9</v>
      </c>
      <c r="K3229" s="7" t="n">
        <f aca="false">YEAR(E3229)*100+MONTH(E3229)</f>
        <v>201110</v>
      </c>
      <c r="L3229" s="7" t="n">
        <f aca="false">IF(AND(A3229&lt;&gt;A3228,LEFT(A3229,1)&lt;&gt;"C"),1,0)</f>
        <v>0</v>
      </c>
    </row>
    <row r="3230" customFormat="false" ht="15" hidden="false" customHeight="false" outlineLevel="0" collapsed="false">
      <c r="A3230" s="0" t="s">
        <v>2317</v>
      </c>
      <c r="B3230" s="0" t="s">
        <v>2322</v>
      </c>
      <c r="C3230" s="0" t="s">
        <v>2323</v>
      </c>
      <c r="D3230" s="0" t="n">
        <v>6</v>
      </c>
      <c r="E3230" s="6" t="n">
        <v>40833.4006944444</v>
      </c>
      <c r="F3230" s="0" t="n">
        <v>3.25</v>
      </c>
      <c r="G3230" s="0" t="n">
        <v>12526</v>
      </c>
      <c r="H3230" s="0" t="s">
        <v>33</v>
      </c>
      <c r="I3230" s="7" t="n">
        <f aca="false">IF(AND(LEFT(A3230,1)&lt;&gt;"C",D3230&gt;0,F3230&gt;0),1,0)</f>
        <v>1</v>
      </c>
      <c r="J3230" s="7" t="n">
        <f aca="false">IF(I3230=1,D3230*F3230,0)</f>
        <v>19.5</v>
      </c>
      <c r="K3230" s="7" t="n">
        <f aca="false">YEAR(E3230)*100+MONTH(E3230)</f>
        <v>201110</v>
      </c>
      <c r="L3230" s="7" t="n">
        <f aca="false">IF(AND(A3230&lt;&gt;A3229,LEFT(A3230,1)&lt;&gt;"C"),1,0)</f>
        <v>0</v>
      </c>
    </row>
    <row r="3231" customFormat="false" ht="15" hidden="false" customHeight="false" outlineLevel="0" collapsed="false">
      <c r="A3231" s="0" t="s">
        <v>2317</v>
      </c>
      <c r="B3231" s="0" t="s">
        <v>623</v>
      </c>
      <c r="C3231" s="0" t="s">
        <v>624</v>
      </c>
      <c r="D3231" s="0" t="n">
        <v>10</v>
      </c>
      <c r="E3231" s="6" t="n">
        <v>40833.4006944444</v>
      </c>
      <c r="F3231" s="0" t="n">
        <v>2.08</v>
      </c>
      <c r="G3231" s="0" t="n">
        <v>12526</v>
      </c>
      <c r="H3231" s="0" t="s">
        <v>33</v>
      </c>
      <c r="I3231" s="7" t="n">
        <f aca="false">IF(AND(LEFT(A3231,1)&lt;&gt;"C",D3231&gt;0,F3231&gt;0),1,0)</f>
        <v>1</v>
      </c>
      <c r="J3231" s="7" t="n">
        <f aca="false">IF(I3231=1,D3231*F3231,0)</f>
        <v>20.8</v>
      </c>
      <c r="K3231" s="7" t="n">
        <f aca="false">YEAR(E3231)*100+MONTH(E3231)</f>
        <v>201110</v>
      </c>
      <c r="L3231" s="7" t="n">
        <f aca="false">IF(AND(A3231&lt;&gt;A3230,LEFT(A3231,1)&lt;&gt;"C"),1,0)</f>
        <v>0</v>
      </c>
    </row>
    <row r="3232" customFormat="false" ht="15" hidden="false" customHeight="false" outlineLevel="0" collapsed="false">
      <c r="A3232" s="0" t="s">
        <v>2317</v>
      </c>
      <c r="B3232" s="0" t="s">
        <v>1390</v>
      </c>
      <c r="C3232" s="0" t="s">
        <v>1391</v>
      </c>
      <c r="D3232" s="0" t="n">
        <v>10</v>
      </c>
      <c r="E3232" s="6" t="n">
        <v>40833.4006944444</v>
      </c>
      <c r="F3232" s="0" t="n">
        <v>2.08</v>
      </c>
      <c r="G3232" s="0" t="n">
        <v>12526</v>
      </c>
      <c r="H3232" s="0" t="s">
        <v>33</v>
      </c>
      <c r="I3232" s="7" t="n">
        <f aca="false">IF(AND(LEFT(A3232,1)&lt;&gt;"C",D3232&gt;0,F3232&gt;0),1,0)</f>
        <v>1</v>
      </c>
      <c r="J3232" s="7" t="n">
        <f aca="false">IF(I3232=1,D3232*F3232,0)</f>
        <v>20.8</v>
      </c>
      <c r="K3232" s="7" t="n">
        <f aca="false">YEAR(E3232)*100+MONTH(E3232)</f>
        <v>201110</v>
      </c>
      <c r="L3232" s="7" t="n">
        <f aca="false">IF(AND(A3232&lt;&gt;A3231,LEFT(A3232,1)&lt;&gt;"C"),1,0)</f>
        <v>0</v>
      </c>
    </row>
    <row r="3233" customFormat="false" ht="15" hidden="false" customHeight="false" outlineLevel="0" collapsed="false">
      <c r="A3233" s="0" t="s">
        <v>2317</v>
      </c>
      <c r="B3233" s="0" t="s">
        <v>84</v>
      </c>
      <c r="C3233" s="0" t="s">
        <v>85</v>
      </c>
      <c r="D3233" s="0" t="n">
        <v>4</v>
      </c>
      <c r="E3233" s="6" t="n">
        <v>40833.4006944444</v>
      </c>
      <c r="F3233" s="0" t="n">
        <v>18</v>
      </c>
      <c r="G3233" s="0" t="n">
        <v>12526</v>
      </c>
      <c r="H3233" s="0" t="s">
        <v>33</v>
      </c>
      <c r="I3233" s="7" t="n">
        <f aca="false">IF(AND(LEFT(A3233,1)&lt;&gt;"C",D3233&gt;0,F3233&gt;0),1,0)</f>
        <v>1</v>
      </c>
      <c r="J3233" s="7" t="n">
        <f aca="false">IF(I3233=1,D3233*F3233,0)</f>
        <v>72</v>
      </c>
      <c r="K3233" s="7" t="n">
        <f aca="false">YEAR(E3233)*100+MONTH(E3233)</f>
        <v>201110</v>
      </c>
      <c r="L3233" s="7" t="n">
        <f aca="false">IF(AND(A3233&lt;&gt;A3232,LEFT(A3233,1)&lt;&gt;"C"),1,0)</f>
        <v>0</v>
      </c>
    </row>
    <row r="3234" customFormat="false" ht="15" hidden="false" customHeight="false" outlineLevel="0" collapsed="false">
      <c r="A3234" s="0" t="s">
        <v>2324</v>
      </c>
      <c r="B3234" s="0" t="s">
        <v>2325</v>
      </c>
      <c r="C3234" s="0" t="s">
        <v>2326</v>
      </c>
      <c r="D3234" s="0" t="n">
        <v>72</v>
      </c>
      <c r="E3234" s="6" t="n">
        <v>40833.4236111111</v>
      </c>
      <c r="F3234" s="0" t="n">
        <v>0.42</v>
      </c>
      <c r="G3234" s="0" t="n">
        <v>12475</v>
      </c>
      <c r="H3234" s="0" t="s">
        <v>33</v>
      </c>
      <c r="I3234" s="7" t="n">
        <f aca="false">IF(AND(LEFT(A3234,1)&lt;&gt;"C",D3234&gt;0,F3234&gt;0),1,0)</f>
        <v>1</v>
      </c>
      <c r="J3234" s="7" t="n">
        <f aca="false">IF(I3234=1,D3234*F3234,0)</f>
        <v>30.24</v>
      </c>
      <c r="K3234" s="7" t="n">
        <f aca="false">YEAR(E3234)*100+MONTH(E3234)</f>
        <v>201110</v>
      </c>
      <c r="L3234" s="7" t="n">
        <f aca="false">IF(AND(A3234&lt;&gt;A3233,LEFT(A3234,1)&lt;&gt;"C"),1,0)</f>
        <v>1</v>
      </c>
    </row>
    <row r="3235" customFormat="false" ht="15" hidden="false" customHeight="false" outlineLevel="0" collapsed="false">
      <c r="A3235" s="0" t="s">
        <v>2324</v>
      </c>
      <c r="B3235" s="0" t="s">
        <v>333</v>
      </c>
      <c r="C3235" s="0" t="s">
        <v>334</v>
      </c>
      <c r="D3235" s="0" t="n">
        <v>12</v>
      </c>
      <c r="E3235" s="6" t="n">
        <v>40833.4236111111</v>
      </c>
      <c r="F3235" s="0" t="n">
        <v>1.65</v>
      </c>
      <c r="G3235" s="0" t="n">
        <v>12475</v>
      </c>
      <c r="H3235" s="0" t="s">
        <v>33</v>
      </c>
      <c r="I3235" s="7" t="n">
        <f aca="false">IF(AND(LEFT(A3235,1)&lt;&gt;"C",D3235&gt;0,F3235&gt;0),1,0)</f>
        <v>1</v>
      </c>
      <c r="J3235" s="7" t="n">
        <f aca="false">IF(I3235=1,D3235*F3235,0)</f>
        <v>19.8</v>
      </c>
      <c r="K3235" s="7" t="n">
        <f aca="false">YEAR(E3235)*100+MONTH(E3235)</f>
        <v>201110</v>
      </c>
      <c r="L3235" s="7" t="n">
        <f aca="false">IF(AND(A3235&lt;&gt;A3234,LEFT(A3235,1)&lt;&gt;"C"),1,0)</f>
        <v>0</v>
      </c>
    </row>
    <row r="3236" customFormat="false" ht="15" hidden="false" customHeight="false" outlineLevel="0" collapsed="false">
      <c r="A3236" s="0" t="s">
        <v>2324</v>
      </c>
      <c r="B3236" s="0" t="s">
        <v>569</v>
      </c>
      <c r="C3236" s="0" t="s">
        <v>570</v>
      </c>
      <c r="D3236" s="0" t="n">
        <v>10</v>
      </c>
      <c r="E3236" s="6" t="n">
        <v>40833.4236111111</v>
      </c>
      <c r="F3236" s="0" t="n">
        <v>2.08</v>
      </c>
      <c r="G3236" s="0" t="n">
        <v>12475</v>
      </c>
      <c r="H3236" s="0" t="s">
        <v>33</v>
      </c>
      <c r="I3236" s="7" t="n">
        <f aca="false">IF(AND(LEFT(A3236,1)&lt;&gt;"C",D3236&gt;0,F3236&gt;0),1,0)</f>
        <v>1</v>
      </c>
      <c r="J3236" s="7" t="n">
        <f aca="false">IF(I3236=1,D3236*F3236,0)</f>
        <v>20.8</v>
      </c>
      <c r="K3236" s="7" t="n">
        <f aca="false">YEAR(E3236)*100+MONTH(E3236)</f>
        <v>201110</v>
      </c>
      <c r="L3236" s="7" t="n">
        <f aca="false">IF(AND(A3236&lt;&gt;A3235,LEFT(A3236,1)&lt;&gt;"C"),1,0)</f>
        <v>0</v>
      </c>
    </row>
    <row r="3237" customFormat="false" ht="15" hidden="false" customHeight="false" outlineLevel="0" collapsed="false">
      <c r="A3237" s="0" t="s">
        <v>2324</v>
      </c>
      <c r="B3237" s="0" t="s">
        <v>794</v>
      </c>
      <c r="C3237" s="0" t="s">
        <v>795</v>
      </c>
      <c r="D3237" s="0" t="n">
        <v>30</v>
      </c>
      <c r="E3237" s="6" t="n">
        <v>40833.4236111111</v>
      </c>
      <c r="F3237" s="0" t="n">
        <v>0.85</v>
      </c>
      <c r="G3237" s="0" t="n">
        <v>12475</v>
      </c>
      <c r="H3237" s="0" t="s">
        <v>33</v>
      </c>
      <c r="I3237" s="7" t="n">
        <f aca="false">IF(AND(LEFT(A3237,1)&lt;&gt;"C",D3237&gt;0,F3237&gt;0),1,0)</f>
        <v>1</v>
      </c>
      <c r="J3237" s="7" t="n">
        <f aca="false">IF(I3237=1,D3237*F3237,0)</f>
        <v>25.5</v>
      </c>
      <c r="K3237" s="7" t="n">
        <f aca="false">YEAR(E3237)*100+MONTH(E3237)</f>
        <v>201110</v>
      </c>
      <c r="L3237" s="7" t="n">
        <f aca="false">IF(AND(A3237&lt;&gt;A3236,LEFT(A3237,1)&lt;&gt;"C"),1,0)</f>
        <v>0</v>
      </c>
    </row>
    <row r="3238" customFormat="false" ht="15" hidden="false" customHeight="false" outlineLevel="0" collapsed="false">
      <c r="A3238" s="0" t="s">
        <v>2324</v>
      </c>
      <c r="B3238" s="0" t="s">
        <v>335</v>
      </c>
      <c r="C3238" s="0" t="s">
        <v>336</v>
      </c>
      <c r="D3238" s="0" t="n">
        <v>24</v>
      </c>
      <c r="E3238" s="6" t="n">
        <v>40833.4236111111</v>
      </c>
      <c r="F3238" s="0" t="n">
        <v>1.65</v>
      </c>
      <c r="G3238" s="0" t="n">
        <v>12475</v>
      </c>
      <c r="H3238" s="0" t="s">
        <v>33</v>
      </c>
      <c r="I3238" s="7" t="n">
        <f aca="false">IF(AND(LEFT(A3238,1)&lt;&gt;"C",D3238&gt;0,F3238&gt;0),1,0)</f>
        <v>1</v>
      </c>
      <c r="J3238" s="7" t="n">
        <f aca="false">IF(I3238=1,D3238*F3238,0)</f>
        <v>39.6</v>
      </c>
      <c r="K3238" s="7" t="n">
        <f aca="false">YEAR(E3238)*100+MONTH(E3238)</f>
        <v>201110</v>
      </c>
      <c r="L3238" s="7" t="n">
        <f aca="false">IF(AND(A3238&lt;&gt;A3237,LEFT(A3238,1)&lt;&gt;"C"),1,0)</f>
        <v>0</v>
      </c>
    </row>
    <row r="3239" customFormat="false" ht="15" hidden="false" customHeight="false" outlineLevel="0" collapsed="false">
      <c r="A3239" s="0" t="s">
        <v>2324</v>
      </c>
      <c r="B3239" s="0" t="s">
        <v>471</v>
      </c>
      <c r="C3239" s="0" t="s">
        <v>472</v>
      </c>
      <c r="D3239" s="0" t="n">
        <v>12</v>
      </c>
      <c r="E3239" s="6" t="n">
        <v>40833.4236111111</v>
      </c>
      <c r="F3239" s="0" t="n">
        <v>1.65</v>
      </c>
      <c r="G3239" s="0" t="n">
        <v>12475</v>
      </c>
      <c r="H3239" s="0" t="s">
        <v>33</v>
      </c>
      <c r="I3239" s="7" t="n">
        <f aca="false">IF(AND(LEFT(A3239,1)&lt;&gt;"C",D3239&gt;0,F3239&gt;0),1,0)</f>
        <v>1</v>
      </c>
      <c r="J3239" s="7" t="n">
        <f aca="false">IF(I3239=1,D3239*F3239,0)</f>
        <v>19.8</v>
      </c>
      <c r="K3239" s="7" t="n">
        <f aca="false">YEAR(E3239)*100+MONTH(E3239)</f>
        <v>201110</v>
      </c>
      <c r="L3239" s="7" t="n">
        <f aca="false">IF(AND(A3239&lt;&gt;A3238,LEFT(A3239,1)&lt;&gt;"C"),1,0)</f>
        <v>0</v>
      </c>
    </row>
    <row r="3240" customFormat="false" ht="15" hidden="false" customHeight="false" outlineLevel="0" collapsed="false">
      <c r="A3240" s="0" t="s">
        <v>2324</v>
      </c>
      <c r="B3240" s="0" t="s">
        <v>50</v>
      </c>
      <c r="C3240" s="0" t="s">
        <v>51</v>
      </c>
      <c r="D3240" s="0" t="n">
        <v>12</v>
      </c>
      <c r="E3240" s="6" t="n">
        <v>40833.4236111111</v>
      </c>
      <c r="F3240" s="0" t="n">
        <v>1.95</v>
      </c>
      <c r="G3240" s="0" t="n">
        <v>12475</v>
      </c>
      <c r="H3240" s="0" t="s">
        <v>33</v>
      </c>
      <c r="I3240" s="7" t="n">
        <f aca="false">IF(AND(LEFT(A3240,1)&lt;&gt;"C",D3240&gt;0,F3240&gt;0),1,0)</f>
        <v>1</v>
      </c>
      <c r="J3240" s="7" t="n">
        <f aca="false">IF(I3240=1,D3240*F3240,0)</f>
        <v>23.4</v>
      </c>
      <c r="K3240" s="7" t="n">
        <f aca="false">YEAR(E3240)*100+MONTH(E3240)</f>
        <v>201110</v>
      </c>
      <c r="L3240" s="7" t="n">
        <f aca="false">IF(AND(A3240&lt;&gt;A3239,LEFT(A3240,1)&lt;&gt;"C"),1,0)</f>
        <v>0</v>
      </c>
    </row>
    <row r="3241" customFormat="false" ht="15" hidden="false" customHeight="false" outlineLevel="0" collapsed="false">
      <c r="A3241" s="0" t="s">
        <v>2324</v>
      </c>
      <c r="B3241" s="0" t="s">
        <v>133</v>
      </c>
      <c r="C3241" s="0" t="s">
        <v>134</v>
      </c>
      <c r="D3241" s="0" t="n">
        <v>12</v>
      </c>
      <c r="E3241" s="6" t="n">
        <v>40833.4236111111</v>
      </c>
      <c r="F3241" s="0" t="n">
        <v>3.25</v>
      </c>
      <c r="G3241" s="0" t="n">
        <v>12475</v>
      </c>
      <c r="H3241" s="0" t="s">
        <v>33</v>
      </c>
      <c r="I3241" s="7" t="n">
        <f aca="false">IF(AND(LEFT(A3241,1)&lt;&gt;"C",D3241&gt;0,F3241&gt;0),1,0)</f>
        <v>1</v>
      </c>
      <c r="J3241" s="7" t="n">
        <f aca="false">IF(I3241=1,D3241*F3241,0)</f>
        <v>39</v>
      </c>
      <c r="K3241" s="7" t="n">
        <f aca="false">YEAR(E3241)*100+MONTH(E3241)</f>
        <v>201110</v>
      </c>
      <c r="L3241" s="7" t="n">
        <f aca="false">IF(AND(A3241&lt;&gt;A3240,LEFT(A3241,1)&lt;&gt;"C"),1,0)</f>
        <v>0</v>
      </c>
    </row>
    <row r="3242" customFormat="false" ht="15" hidden="false" customHeight="false" outlineLevel="0" collapsed="false">
      <c r="A3242" s="0" t="s">
        <v>2324</v>
      </c>
      <c r="B3242" s="0" t="s">
        <v>667</v>
      </c>
      <c r="C3242" s="0" t="s">
        <v>668</v>
      </c>
      <c r="D3242" s="0" t="n">
        <v>10</v>
      </c>
      <c r="E3242" s="6" t="n">
        <v>40833.4236111111</v>
      </c>
      <c r="F3242" s="0" t="n">
        <v>0.85</v>
      </c>
      <c r="G3242" s="0" t="n">
        <v>12475</v>
      </c>
      <c r="H3242" s="0" t="s">
        <v>33</v>
      </c>
      <c r="I3242" s="7" t="n">
        <f aca="false">IF(AND(LEFT(A3242,1)&lt;&gt;"C",D3242&gt;0,F3242&gt;0),1,0)</f>
        <v>1</v>
      </c>
      <c r="J3242" s="7" t="n">
        <f aca="false">IF(I3242=1,D3242*F3242,0)</f>
        <v>8.5</v>
      </c>
      <c r="K3242" s="7" t="n">
        <f aca="false">YEAR(E3242)*100+MONTH(E3242)</f>
        <v>201110</v>
      </c>
      <c r="L3242" s="7" t="n">
        <f aca="false">IF(AND(A3242&lt;&gt;A3241,LEFT(A3242,1)&lt;&gt;"C"),1,0)</f>
        <v>0</v>
      </c>
    </row>
    <row r="3243" customFormat="false" ht="15" hidden="false" customHeight="false" outlineLevel="0" collapsed="false">
      <c r="A3243" s="0" t="s">
        <v>2324</v>
      </c>
      <c r="B3243" s="0" t="s">
        <v>463</v>
      </c>
      <c r="C3243" s="0" t="s">
        <v>464</v>
      </c>
      <c r="D3243" s="0" t="n">
        <v>6</v>
      </c>
      <c r="E3243" s="6" t="n">
        <v>40833.4236111111</v>
      </c>
      <c r="F3243" s="0" t="n">
        <v>7.95</v>
      </c>
      <c r="G3243" s="0" t="n">
        <v>12475</v>
      </c>
      <c r="H3243" s="0" t="s">
        <v>33</v>
      </c>
      <c r="I3243" s="7" t="n">
        <f aca="false">IF(AND(LEFT(A3243,1)&lt;&gt;"C",D3243&gt;0,F3243&gt;0),1,0)</f>
        <v>1</v>
      </c>
      <c r="J3243" s="7" t="n">
        <f aca="false">IF(I3243=1,D3243*F3243,0)</f>
        <v>47.7</v>
      </c>
      <c r="K3243" s="7" t="n">
        <f aca="false">YEAR(E3243)*100+MONTH(E3243)</f>
        <v>201110</v>
      </c>
      <c r="L3243" s="7" t="n">
        <f aca="false">IF(AND(A3243&lt;&gt;A3242,LEFT(A3243,1)&lt;&gt;"C"),1,0)</f>
        <v>0</v>
      </c>
    </row>
    <row r="3244" customFormat="false" ht="15" hidden="false" customHeight="false" outlineLevel="0" collapsed="false">
      <c r="A3244" s="0" t="s">
        <v>2324</v>
      </c>
      <c r="B3244" s="0" t="s">
        <v>1354</v>
      </c>
      <c r="C3244" s="0" t="s">
        <v>1355</v>
      </c>
      <c r="D3244" s="0" t="n">
        <v>12</v>
      </c>
      <c r="E3244" s="6" t="n">
        <v>40833.4236111111</v>
      </c>
      <c r="F3244" s="0" t="n">
        <v>1.25</v>
      </c>
      <c r="G3244" s="0" t="n">
        <v>12475</v>
      </c>
      <c r="H3244" s="0" t="s">
        <v>33</v>
      </c>
      <c r="I3244" s="7" t="n">
        <f aca="false">IF(AND(LEFT(A3244,1)&lt;&gt;"C",D3244&gt;0,F3244&gt;0),1,0)</f>
        <v>1</v>
      </c>
      <c r="J3244" s="7" t="n">
        <f aca="false">IF(I3244=1,D3244*F3244,0)</f>
        <v>15</v>
      </c>
      <c r="K3244" s="7" t="n">
        <f aca="false">YEAR(E3244)*100+MONTH(E3244)</f>
        <v>201110</v>
      </c>
      <c r="L3244" s="7" t="n">
        <f aca="false">IF(AND(A3244&lt;&gt;A3243,LEFT(A3244,1)&lt;&gt;"C"),1,0)</f>
        <v>0</v>
      </c>
    </row>
    <row r="3245" customFormat="false" ht="15" hidden="false" customHeight="false" outlineLevel="0" collapsed="false">
      <c r="A3245" s="0" t="s">
        <v>2324</v>
      </c>
      <c r="B3245" s="0" t="s">
        <v>66</v>
      </c>
      <c r="C3245" s="0" t="s">
        <v>67</v>
      </c>
      <c r="D3245" s="0" t="n">
        <v>6</v>
      </c>
      <c r="E3245" s="6" t="n">
        <v>40833.4236111111</v>
      </c>
      <c r="F3245" s="0" t="n">
        <v>2.95</v>
      </c>
      <c r="G3245" s="0" t="n">
        <v>12475</v>
      </c>
      <c r="H3245" s="0" t="s">
        <v>33</v>
      </c>
      <c r="I3245" s="7" t="n">
        <f aca="false">IF(AND(LEFT(A3245,1)&lt;&gt;"C",D3245&gt;0,F3245&gt;0),1,0)</f>
        <v>1</v>
      </c>
      <c r="J3245" s="7" t="n">
        <f aca="false">IF(I3245=1,D3245*F3245,0)</f>
        <v>17.7</v>
      </c>
      <c r="K3245" s="7" t="n">
        <f aca="false">YEAR(E3245)*100+MONTH(E3245)</f>
        <v>201110</v>
      </c>
      <c r="L3245" s="7" t="n">
        <f aca="false">IF(AND(A3245&lt;&gt;A3244,LEFT(A3245,1)&lt;&gt;"C"),1,0)</f>
        <v>0</v>
      </c>
    </row>
    <row r="3246" customFormat="false" ht="15" hidden="false" customHeight="false" outlineLevel="0" collapsed="false">
      <c r="A3246" s="0" t="s">
        <v>2324</v>
      </c>
      <c r="B3246" s="0" t="s">
        <v>549</v>
      </c>
      <c r="C3246" s="0" t="s">
        <v>550</v>
      </c>
      <c r="D3246" s="0" t="n">
        <v>12</v>
      </c>
      <c r="E3246" s="6" t="n">
        <v>40833.4236111111</v>
      </c>
      <c r="F3246" s="0" t="n">
        <v>1.45</v>
      </c>
      <c r="G3246" s="0" t="n">
        <v>12475</v>
      </c>
      <c r="H3246" s="0" t="s">
        <v>33</v>
      </c>
      <c r="I3246" s="7" t="n">
        <f aca="false">IF(AND(LEFT(A3246,1)&lt;&gt;"C",D3246&gt;0,F3246&gt;0),1,0)</f>
        <v>1</v>
      </c>
      <c r="J3246" s="7" t="n">
        <f aca="false">IF(I3246=1,D3246*F3246,0)</f>
        <v>17.4</v>
      </c>
      <c r="K3246" s="7" t="n">
        <f aca="false">YEAR(E3246)*100+MONTH(E3246)</f>
        <v>201110</v>
      </c>
      <c r="L3246" s="7" t="n">
        <f aca="false">IF(AND(A3246&lt;&gt;A3245,LEFT(A3246,1)&lt;&gt;"C"),1,0)</f>
        <v>0</v>
      </c>
    </row>
    <row r="3247" customFormat="false" ht="15" hidden="false" customHeight="false" outlineLevel="0" collapsed="false">
      <c r="A3247" s="0" t="s">
        <v>2324</v>
      </c>
      <c r="B3247" s="0" t="s">
        <v>412</v>
      </c>
      <c r="C3247" s="0" t="s">
        <v>413</v>
      </c>
      <c r="D3247" s="0" t="n">
        <v>12</v>
      </c>
      <c r="E3247" s="6" t="n">
        <v>40833.4236111111</v>
      </c>
      <c r="F3247" s="0" t="n">
        <v>1.25</v>
      </c>
      <c r="G3247" s="0" t="n">
        <v>12475</v>
      </c>
      <c r="H3247" s="0" t="s">
        <v>33</v>
      </c>
      <c r="I3247" s="7" t="n">
        <f aca="false">IF(AND(LEFT(A3247,1)&lt;&gt;"C",D3247&gt;0,F3247&gt;0),1,0)</f>
        <v>1</v>
      </c>
      <c r="J3247" s="7" t="n">
        <f aca="false">IF(I3247=1,D3247*F3247,0)</f>
        <v>15</v>
      </c>
      <c r="K3247" s="7" t="n">
        <f aca="false">YEAR(E3247)*100+MONTH(E3247)</f>
        <v>201110</v>
      </c>
      <c r="L3247" s="7" t="n">
        <f aca="false">IF(AND(A3247&lt;&gt;A3246,LEFT(A3247,1)&lt;&gt;"C"),1,0)</f>
        <v>0</v>
      </c>
    </row>
    <row r="3248" customFormat="false" ht="15" hidden="false" customHeight="false" outlineLevel="0" collapsed="false">
      <c r="A3248" s="0" t="s">
        <v>2324</v>
      </c>
      <c r="B3248" s="0" t="s">
        <v>241</v>
      </c>
      <c r="C3248" s="0" t="s">
        <v>242</v>
      </c>
      <c r="D3248" s="0" t="n">
        <v>12</v>
      </c>
      <c r="E3248" s="6" t="n">
        <v>40833.4236111111</v>
      </c>
      <c r="F3248" s="0" t="n">
        <v>1.45</v>
      </c>
      <c r="G3248" s="0" t="n">
        <v>12475</v>
      </c>
      <c r="H3248" s="0" t="s">
        <v>33</v>
      </c>
      <c r="I3248" s="7" t="n">
        <f aca="false">IF(AND(LEFT(A3248,1)&lt;&gt;"C",D3248&gt;0,F3248&gt;0),1,0)</f>
        <v>1</v>
      </c>
      <c r="J3248" s="7" t="n">
        <f aca="false">IF(I3248=1,D3248*F3248,0)</f>
        <v>17.4</v>
      </c>
      <c r="K3248" s="7" t="n">
        <f aca="false">YEAR(E3248)*100+MONTH(E3248)</f>
        <v>201110</v>
      </c>
      <c r="L3248" s="7" t="n">
        <f aca="false">IF(AND(A3248&lt;&gt;A3247,LEFT(A3248,1)&lt;&gt;"C"),1,0)</f>
        <v>0</v>
      </c>
    </row>
    <row r="3249" customFormat="false" ht="15" hidden="false" customHeight="false" outlineLevel="0" collapsed="false">
      <c r="A3249" s="0" t="s">
        <v>2324</v>
      </c>
      <c r="B3249" s="0" t="s">
        <v>2000</v>
      </c>
      <c r="C3249" s="0" t="s">
        <v>2001</v>
      </c>
      <c r="D3249" s="0" t="n">
        <v>6</v>
      </c>
      <c r="E3249" s="6" t="n">
        <v>40833.4236111111</v>
      </c>
      <c r="F3249" s="0" t="n">
        <v>2.95</v>
      </c>
      <c r="G3249" s="0" t="n">
        <v>12475</v>
      </c>
      <c r="H3249" s="0" t="s">
        <v>33</v>
      </c>
      <c r="I3249" s="7" t="n">
        <f aca="false">IF(AND(LEFT(A3249,1)&lt;&gt;"C",D3249&gt;0,F3249&gt;0),1,0)</f>
        <v>1</v>
      </c>
      <c r="J3249" s="7" t="n">
        <f aca="false">IF(I3249=1,D3249*F3249,0)</f>
        <v>17.7</v>
      </c>
      <c r="K3249" s="7" t="n">
        <f aca="false">YEAR(E3249)*100+MONTH(E3249)</f>
        <v>201110</v>
      </c>
      <c r="L3249" s="7" t="n">
        <f aca="false">IF(AND(A3249&lt;&gt;A3248,LEFT(A3249,1)&lt;&gt;"C"),1,0)</f>
        <v>0</v>
      </c>
    </row>
    <row r="3250" customFormat="false" ht="15" hidden="false" customHeight="false" outlineLevel="0" collapsed="false">
      <c r="A3250" s="0" t="s">
        <v>2324</v>
      </c>
      <c r="B3250" s="0" t="s">
        <v>2327</v>
      </c>
      <c r="C3250" s="0" t="s">
        <v>2328</v>
      </c>
      <c r="D3250" s="0" t="n">
        <v>4</v>
      </c>
      <c r="E3250" s="6" t="n">
        <v>40833.4236111111</v>
      </c>
      <c r="F3250" s="0" t="n">
        <v>3.75</v>
      </c>
      <c r="G3250" s="0" t="n">
        <v>12475</v>
      </c>
      <c r="H3250" s="0" t="s">
        <v>33</v>
      </c>
      <c r="I3250" s="7" t="n">
        <f aca="false">IF(AND(LEFT(A3250,1)&lt;&gt;"C",D3250&gt;0,F3250&gt;0),1,0)</f>
        <v>1</v>
      </c>
      <c r="J3250" s="7" t="n">
        <f aca="false">IF(I3250=1,D3250*F3250,0)</f>
        <v>15</v>
      </c>
      <c r="K3250" s="7" t="n">
        <f aca="false">YEAR(E3250)*100+MONTH(E3250)</f>
        <v>201110</v>
      </c>
      <c r="L3250" s="7" t="n">
        <f aca="false">IF(AND(A3250&lt;&gt;A3249,LEFT(A3250,1)&lt;&gt;"C"),1,0)</f>
        <v>0</v>
      </c>
    </row>
    <row r="3251" customFormat="false" ht="15" hidden="false" customHeight="false" outlineLevel="0" collapsed="false">
      <c r="A3251" s="0" t="s">
        <v>2324</v>
      </c>
      <c r="B3251" s="0" t="s">
        <v>1448</v>
      </c>
      <c r="C3251" s="0" t="s">
        <v>1449</v>
      </c>
      <c r="D3251" s="0" t="n">
        <v>4</v>
      </c>
      <c r="E3251" s="6" t="n">
        <v>40833.4236111111</v>
      </c>
      <c r="F3251" s="0" t="n">
        <v>6.75</v>
      </c>
      <c r="G3251" s="0" t="n">
        <v>12475</v>
      </c>
      <c r="H3251" s="0" t="s">
        <v>33</v>
      </c>
      <c r="I3251" s="7" t="n">
        <f aca="false">IF(AND(LEFT(A3251,1)&lt;&gt;"C",D3251&gt;0,F3251&gt;0),1,0)</f>
        <v>1</v>
      </c>
      <c r="J3251" s="7" t="n">
        <f aca="false">IF(I3251=1,D3251*F3251,0)</f>
        <v>27</v>
      </c>
      <c r="K3251" s="7" t="n">
        <f aca="false">YEAR(E3251)*100+MONTH(E3251)</f>
        <v>201110</v>
      </c>
      <c r="L3251" s="7" t="n">
        <f aca="false">IF(AND(A3251&lt;&gt;A3250,LEFT(A3251,1)&lt;&gt;"C"),1,0)</f>
        <v>0</v>
      </c>
    </row>
    <row r="3252" customFormat="false" ht="15" hidden="false" customHeight="false" outlineLevel="0" collapsed="false">
      <c r="A3252" s="0" t="s">
        <v>2324</v>
      </c>
      <c r="B3252" s="0" t="s">
        <v>1446</v>
      </c>
      <c r="C3252" s="0" t="s">
        <v>1447</v>
      </c>
      <c r="D3252" s="0" t="n">
        <v>2</v>
      </c>
      <c r="E3252" s="6" t="n">
        <v>40833.4236111111</v>
      </c>
      <c r="F3252" s="0" t="n">
        <v>6.75</v>
      </c>
      <c r="G3252" s="0" t="n">
        <v>12475</v>
      </c>
      <c r="H3252" s="0" t="s">
        <v>33</v>
      </c>
      <c r="I3252" s="7" t="n">
        <f aca="false">IF(AND(LEFT(A3252,1)&lt;&gt;"C",D3252&gt;0,F3252&gt;0),1,0)</f>
        <v>1</v>
      </c>
      <c r="J3252" s="7" t="n">
        <f aca="false">IF(I3252=1,D3252*F3252,0)</f>
        <v>13.5</v>
      </c>
      <c r="K3252" s="7" t="n">
        <f aca="false">YEAR(E3252)*100+MONTH(E3252)</f>
        <v>201110</v>
      </c>
      <c r="L3252" s="7" t="n">
        <f aca="false">IF(AND(A3252&lt;&gt;A3251,LEFT(A3252,1)&lt;&gt;"C"),1,0)</f>
        <v>0</v>
      </c>
    </row>
    <row r="3253" customFormat="false" ht="15" hidden="false" customHeight="false" outlineLevel="0" collapsed="false">
      <c r="A3253" s="0" t="s">
        <v>2324</v>
      </c>
      <c r="B3253" s="0" t="s">
        <v>1607</v>
      </c>
      <c r="C3253" s="0" t="s">
        <v>1608</v>
      </c>
      <c r="D3253" s="0" t="n">
        <v>20</v>
      </c>
      <c r="E3253" s="6" t="n">
        <v>40833.4236111111</v>
      </c>
      <c r="F3253" s="0" t="n">
        <v>0.42</v>
      </c>
      <c r="G3253" s="0" t="n">
        <v>12475</v>
      </c>
      <c r="H3253" s="0" t="s">
        <v>33</v>
      </c>
      <c r="I3253" s="7" t="n">
        <f aca="false">IF(AND(LEFT(A3253,1)&lt;&gt;"C",D3253&gt;0,F3253&gt;0),1,0)</f>
        <v>1</v>
      </c>
      <c r="J3253" s="7" t="n">
        <f aca="false">IF(I3253=1,D3253*F3253,0)</f>
        <v>8.4</v>
      </c>
      <c r="K3253" s="7" t="n">
        <f aca="false">YEAR(E3253)*100+MONTH(E3253)</f>
        <v>201110</v>
      </c>
      <c r="L3253" s="7" t="n">
        <f aca="false">IF(AND(A3253&lt;&gt;A3252,LEFT(A3253,1)&lt;&gt;"C"),1,0)</f>
        <v>0</v>
      </c>
    </row>
    <row r="3254" customFormat="false" ht="15" hidden="false" customHeight="false" outlineLevel="0" collapsed="false">
      <c r="A3254" s="0" t="s">
        <v>2324</v>
      </c>
      <c r="B3254" s="0" t="s">
        <v>1048</v>
      </c>
      <c r="C3254" s="0" t="s">
        <v>1049</v>
      </c>
      <c r="D3254" s="0" t="n">
        <v>8</v>
      </c>
      <c r="E3254" s="6" t="n">
        <v>40833.4236111111</v>
      </c>
      <c r="F3254" s="0" t="n">
        <v>4.15</v>
      </c>
      <c r="G3254" s="0" t="n">
        <v>12475</v>
      </c>
      <c r="H3254" s="0" t="s">
        <v>33</v>
      </c>
      <c r="I3254" s="7" t="n">
        <f aca="false">IF(AND(LEFT(A3254,1)&lt;&gt;"C",D3254&gt;0,F3254&gt;0),1,0)</f>
        <v>1</v>
      </c>
      <c r="J3254" s="7" t="n">
        <f aca="false">IF(I3254=1,D3254*F3254,0)</f>
        <v>33.2</v>
      </c>
      <c r="K3254" s="7" t="n">
        <f aca="false">YEAR(E3254)*100+MONTH(E3254)</f>
        <v>201110</v>
      </c>
      <c r="L3254" s="7" t="n">
        <f aca="false">IF(AND(A3254&lt;&gt;A3253,LEFT(A3254,1)&lt;&gt;"C"),1,0)</f>
        <v>0</v>
      </c>
    </row>
    <row r="3255" customFormat="false" ht="15" hidden="false" customHeight="false" outlineLevel="0" collapsed="false">
      <c r="A3255" s="0" t="s">
        <v>2324</v>
      </c>
      <c r="B3255" s="0" t="s">
        <v>127</v>
      </c>
      <c r="C3255" s="0" t="s">
        <v>128</v>
      </c>
      <c r="D3255" s="0" t="n">
        <v>8</v>
      </c>
      <c r="E3255" s="6" t="n">
        <v>40833.4236111111</v>
      </c>
      <c r="F3255" s="0" t="n">
        <v>1.65</v>
      </c>
      <c r="G3255" s="0" t="n">
        <v>12475</v>
      </c>
      <c r="H3255" s="0" t="s">
        <v>33</v>
      </c>
      <c r="I3255" s="7" t="n">
        <f aca="false">IF(AND(LEFT(A3255,1)&lt;&gt;"C",D3255&gt;0,F3255&gt;0),1,0)</f>
        <v>1</v>
      </c>
      <c r="J3255" s="7" t="n">
        <f aca="false">IF(I3255=1,D3255*F3255,0)</f>
        <v>13.2</v>
      </c>
      <c r="K3255" s="7" t="n">
        <f aca="false">YEAR(E3255)*100+MONTH(E3255)</f>
        <v>201110</v>
      </c>
      <c r="L3255" s="7" t="n">
        <f aca="false">IF(AND(A3255&lt;&gt;A3254,LEFT(A3255,1)&lt;&gt;"C"),1,0)</f>
        <v>0</v>
      </c>
    </row>
    <row r="3256" customFormat="false" ht="15" hidden="false" customHeight="false" outlineLevel="0" collapsed="false">
      <c r="A3256" s="0" t="s">
        <v>2324</v>
      </c>
      <c r="B3256" s="0" t="s">
        <v>97</v>
      </c>
      <c r="C3256" s="0" t="s">
        <v>98</v>
      </c>
      <c r="D3256" s="0" t="n">
        <v>12</v>
      </c>
      <c r="E3256" s="6" t="n">
        <v>40833.4236111111</v>
      </c>
      <c r="F3256" s="0" t="n">
        <v>1.65</v>
      </c>
      <c r="G3256" s="0" t="n">
        <v>12475</v>
      </c>
      <c r="H3256" s="0" t="s">
        <v>33</v>
      </c>
      <c r="I3256" s="7" t="n">
        <f aca="false">IF(AND(LEFT(A3256,1)&lt;&gt;"C",D3256&gt;0,F3256&gt;0),1,0)</f>
        <v>1</v>
      </c>
      <c r="J3256" s="7" t="n">
        <f aca="false">IF(I3256=1,D3256*F3256,0)</f>
        <v>19.8</v>
      </c>
      <c r="K3256" s="7" t="n">
        <f aca="false">YEAR(E3256)*100+MONTH(E3256)</f>
        <v>201110</v>
      </c>
      <c r="L3256" s="7" t="n">
        <f aca="false">IF(AND(A3256&lt;&gt;A3255,LEFT(A3256,1)&lt;&gt;"C"),1,0)</f>
        <v>0</v>
      </c>
    </row>
    <row r="3257" customFormat="false" ht="15" hidden="false" customHeight="false" outlineLevel="0" collapsed="false">
      <c r="A3257" s="0" t="s">
        <v>2324</v>
      </c>
      <c r="B3257" s="0" t="s">
        <v>119</v>
      </c>
      <c r="C3257" s="0" t="s">
        <v>120</v>
      </c>
      <c r="D3257" s="0" t="n">
        <v>12</v>
      </c>
      <c r="E3257" s="6" t="n">
        <v>40833.4236111111</v>
      </c>
      <c r="F3257" s="0" t="n">
        <v>0.42</v>
      </c>
      <c r="G3257" s="0" t="n">
        <v>12475</v>
      </c>
      <c r="H3257" s="0" t="s">
        <v>33</v>
      </c>
      <c r="I3257" s="7" t="n">
        <f aca="false">IF(AND(LEFT(A3257,1)&lt;&gt;"C",D3257&gt;0,F3257&gt;0),1,0)</f>
        <v>1</v>
      </c>
      <c r="J3257" s="7" t="n">
        <f aca="false">IF(I3257=1,D3257*F3257,0)</f>
        <v>5.04</v>
      </c>
      <c r="K3257" s="7" t="n">
        <f aca="false">YEAR(E3257)*100+MONTH(E3257)</f>
        <v>201110</v>
      </c>
      <c r="L3257" s="7" t="n">
        <f aca="false">IF(AND(A3257&lt;&gt;A3256,LEFT(A3257,1)&lt;&gt;"C"),1,0)</f>
        <v>0</v>
      </c>
    </row>
    <row r="3258" customFormat="false" ht="15" hidden="false" customHeight="false" outlineLevel="0" collapsed="false">
      <c r="A3258" s="0" t="s">
        <v>2324</v>
      </c>
      <c r="B3258" s="0" t="s">
        <v>1042</v>
      </c>
      <c r="C3258" s="0" t="s">
        <v>1043</v>
      </c>
      <c r="D3258" s="0" t="n">
        <v>4</v>
      </c>
      <c r="E3258" s="6" t="n">
        <v>40833.4236111111</v>
      </c>
      <c r="F3258" s="0" t="n">
        <v>4.15</v>
      </c>
      <c r="G3258" s="0" t="n">
        <v>12475</v>
      </c>
      <c r="H3258" s="0" t="s">
        <v>33</v>
      </c>
      <c r="I3258" s="7" t="n">
        <f aca="false">IF(AND(LEFT(A3258,1)&lt;&gt;"C",D3258&gt;0,F3258&gt;0),1,0)</f>
        <v>1</v>
      </c>
      <c r="J3258" s="7" t="n">
        <f aca="false">IF(I3258=1,D3258*F3258,0)</f>
        <v>16.6</v>
      </c>
      <c r="K3258" s="7" t="n">
        <f aca="false">YEAR(E3258)*100+MONTH(E3258)</f>
        <v>201110</v>
      </c>
      <c r="L3258" s="7" t="n">
        <f aca="false">IF(AND(A3258&lt;&gt;A3257,LEFT(A3258,1)&lt;&gt;"C"),1,0)</f>
        <v>0</v>
      </c>
    </row>
    <row r="3259" customFormat="false" ht="15" hidden="false" customHeight="false" outlineLevel="0" collapsed="false">
      <c r="A3259" s="0" t="s">
        <v>2324</v>
      </c>
      <c r="B3259" s="0" t="s">
        <v>1981</v>
      </c>
      <c r="C3259" s="0" t="s">
        <v>1982</v>
      </c>
      <c r="D3259" s="0" t="n">
        <v>24</v>
      </c>
      <c r="E3259" s="6" t="n">
        <v>40833.4236111111</v>
      </c>
      <c r="F3259" s="0" t="n">
        <v>0.65</v>
      </c>
      <c r="G3259" s="0" t="n">
        <v>12475</v>
      </c>
      <c r="H3259" s="0" t="s">
        <v>33</v>
      </c>
      <c r="I3259" s="7" t="n">
        <f aca="false">IF(AND(LEFT(A3259,1)&lt;&gt;"C",D3259&gt;0,F3259&gt;0),1,0)</f>
        <v>1</v>
      </c>
      <c r="J3259" s="7" t="n">
        <f aca="false">IF(I3259=1,D3259*F3259,0)</f>
        <v>15.6</v>
      </c>
      <c r="K3259" s="7" t="n">
        <f aca="false">YEAR(E3259)*100+MONTH(E3259)</f>
        <v>201110</v>
      </c>
      <c r="L3259" s="7" t="n">
        <f aca="false">IF(AND(A3259&lt;&gt;A3258,LEFT(A3259,1)&lt;&gt;"C"),1,0)</f>
        <v>0</v>
      </c>
    </row>
    <row r="3260" customFormat="false" ht="15" hidden="false" customHeight="false" outlineLevel="0" collapsed="false">
      <c r="A3260" s="0" t="s">
        <v>2324</v>
      </c>
      <c r="B3260" s="0" t="s">
        <v>369</v>
      </c>
      <c r="C3260" s="0" t="s">
        <v>370</v>
      </c>
      <c r="D3260" s="0" t="n">
        <v>100</v>
      </c>
      <c r="E3260" s="6" t="n">
        <v>40833.4236111111</v>
      </c>
      <c r="F3260" s="0" t="n">
        <v>0.04</v>
      </c>
      <c r="G3260" s="0" t="n">
        <v>12475</v>
      </c>
      <c r="H3260" s="0" t="s">
        <v>33</v>
      </c>
      <c r="I3260" s="7" t="n">
        <f aca="false">IF(AND(LEFT(A3260,1)&lt;&gt;"C",D3260&gt;0,F3260&gt;0),1,0)</f>
        <v>1</v>
      </c>
      <c r="J3260" s="7" t="n">
        <f aca="false">IF(I3260=1,D3260*F3260,0)</f>
        <v>4</v>
      </c>
      <c r="K3260" s="7" t="n">
        <f aca="false">YEAR(E3260)*100+MONTH(E3260)</f>
        <v>201110</v>
      </c>
      <c r="L3260" s="7" t="n">
        <f aca="false">IF(AND(A3260&lt;&gt;A3259,LEFT(A3260,1)&lt;&gt;"C"),1,0)</f>
        <v>0</v>
      </c>
    </row>
    <row r="3261" customFormat="false" ht="15" hidden="false" customHeight="false" outlineLevel="0" collapsed="false">
      <c r="A3261" s="0" t="s">
        <v>2324</v>
      </c>
      <c r="B3261" s="0" t="s">
        <v>1928</v>
      </c>
      <c r="C3261" s="0" t="s">
        <v>1929</v>
      </c>
      <c r="D3261" s="0" t="n">
        <v>24</v>
      </c>
      <c r="E3261" s="6" t="n">
        <v>40833.4236111111</v>
      </c>
      <c r="F3261" s="0" t="n">
        <v>0.65</v>
      </c>
      <c r="G3261" s="0" t="n">
        <v>12475</v>
      </c>
      <c r="H3261" s="0" t="s">
        <v>33</v>
      </c>
      <c r="I3261" s="7" t="n">
        <f aca="false">IF(AND(LEFT(A3261,1)&lt;&gt;"C",D3261&gt;0,F3261&gt;0),1,0)</f>
        <v>1</v>
      </c>
      <c r="J3261" s="7" t="n">
        <f aca="false">IF(I3261=1,D3261*F3261,0)</f>
        <v>15.6</v>
      </c>
      <c r="K3261" s="7" t="n">
        <f aca="false">YEAR(E3261)*100+MONTH(E3261)</f>
        <v>201110</v>
      </c>
      <c r="L3261" s="7" t="n">
        <f aca="false">IF(AND(A3261&lt;&gt;A3260,LEFT(A3261,1)&lt;&gt;"C"),1,0)</f>
        <v>0</v>
      </c>
    </row>
    <row r="3262" customFormat="false" ht="15" hidden="false" customHeight="false" outlineLevel="0" collapsed="false">
      <c r="A3262" s="0" t="s">
        <v>2324</v>
      </c>
      <c r="B3262" s="0" t="s">
        <v>1501</v>
      </c>
      <c r="C3262" s="0" t="s">
        <v>1502</v>
      </c>
      <c r="D3262" s="0" t="n">
        <v>16</v>
      </c>
      <c r="E3262" s="6" t="n">
        <v>40833.4236111111</v>
      </c>
      <c r="F3262" s="0" t="n">
        <v>0.65</v>
      </c>
      <c r="G3262" s="0" t="n">
        <v>12475</v>
      </c>
      <c r="H3262" s="0" t="s">
        <v>33</v>
      </c>
      <c r="I3262" s="7" t="n">
        <f aca="false">IF(AND(LEFT(A3262,1)&lt;&gt;"C",D3262&gt;0,F3262&gt;0),1,0)</f>
        <v>1</v>
      </c>
      <c r="J3262" s="7" t="n">
        <f aca="false">IF(I3262=1,D3262*F3262,0)</f>
        <v>10.4</v>
      </c>
      <c r="K3262" s="7" t="n">
        <f aca="false">YEAR(E3262)*100+MONTH(E3262)</f>
        <v>201110</v>
      </c>
      <c r="L3262" s="7" t="n">
        <f aca="false">IF(AND(A3262&lt;&gt;A3261,LEFT(A3262,1)&lt;&gt;"C"),1,0)</f>
        <v>0</v>
      </c>
    </row>
    <row r="3263" customFormat="false" ht="15" hidden="false" customHeight="false" outlineLevel="0" collapsed="false">
      <c r="A3263" s="0" t="s">
        <v>2324</v>
      </c>
      <c r="B3263" s="0" t="s">
        <v>545</v>
      </c>
      <c r="C3263" s="0" t="s">
        <v>546</v>
      </c>
      <c r="D3263" s="0" t="n">
        <v>3</v>
      </c>
      <c r="E3263" s="6" t="n">
        <v>40833.4236111111</v>
      </c>
      <c r="F3263" s="0" t="n">
        <v>4.95</v>
      </c>
      <c r="G3263" s="0" t="n">
        <v>12475</v>
      </c>
      <c r="H3263" s="0" t="s">
        <v>33</v>
      </c>
      <c r="I3263" s="7" t="n">
        <f aca="false">IF(AND(LEFT(A3263,1)&lt;&gt;"C",D3263&gt;0,F3263&gt;0),1,0)</f>
        <v>1</v>
      </c>
      <c r="J3263" s="7" t="n">
        <f aca="false">IF(I3263=1,D3263*F3263,0)</f>
        <v>14.85</v>
      </c>
      <c r="K3263" s="7" t="n">
        <f aca="false">YEAR(E3263)*100+MONTH(E3263)</f>
        <v>201110</v>
      </c>
      <c r="L3263" s="7" t="n">
        <f aca="false">IF(AND(A3263&lt;&gt;A3262,LEFT(A3263,1)&lt;&gt;"C"),1,0)</f>
        <v>0</v>
      </c>
    </row>
    <row r="3264" customFormat="false" ht="15" hidden="false" customHeight="false" outlineLevel="0" collapsed="false">
      <c r="A3264" s="0" t="s">
        <v>2324</v>
      </c>
      <c r="B3264" s="0" t="s">
        <v>521</v>
      </c>
      <c r="C3264" s="0" t="s">
        <v>522</v>
      </c>
      <c r="D3264" s="0" t="n">
        <v>8</v>
      </c>
      <c r="E3264" s="6" t="n">
        <v>40833.4236111111</v>
      </c>
      <c r="F3264" s="0" t="n">
        <v>1.95</v>
      </c>
      <c r="G3264" s="0" t="n">
        <v>12475</v>
      </c>
      <c r="H3264" s="0" t="s">
        <v>33</v>
      </c>
      <c r="I3264" s="7" t="n">
        <f aca="false">IF(AND(LEFT(A3264,1)&lt;&gt;"C",D3264&gt;0,F3264&gt;0),1,0)</f>
        <v>1</v>
      </c>
      <c r="J3264" s="7" t="n">
        <f aca="false">IF(I3264=1,D3264*F3264,0)</f>
        <v>15.6</v>
      </c>
      <c r="K3264" s="7" t="n">
        <f aca="false">YEAR(E3264)*100+MONTH(E3264)</f>
        <v>201110</v>
      </c>
      <c r="L3264" s="7" t="n">
        <f aca="false">IF(AND(A3264&lt;&gt;A3263,LEFT(A3264,1)&lt;&gt;"C"),1,0)</f>
        <v>0</v>
      </c>
    </row>
    <row r="3265" customFormat="false" ht="15" hidden="false" customHeight="false" outlineLevel="0" collapsed="false">
      <c r="A3265" s="0" t="s">
        <v>2324</v>
      </c>
      <c r="B3265" s="0" t="s">
        <v>756</v>
      </c>
      <c r="C3265" s="0" t="s">
        <v>757</v>
      </c>
      <c r="D3265" s="0" t="n">
        <v>4</v>
      </c>
      <c r="E3265" s="6" t="n">
        <v>40833.4236111111</v>
      </c>
      <c r="F3265" s="0" t="n">
        <v>3.75</v>
      </c>
      <c r="G3265" s="0" t="n">
        <v>12475</v>
      </c>
      <c r="H3265" s="0" t="s">
        <v>33</v>
      </c>
      <c r="I3265" s="7" t="n">
        <f aca="false">IF(AND(LEFT(A3265,1)&lt;&gt;"C",D3265&gt;0,F3265&gt;0),1,0)</f>
        <v>1</v>
      </c>
      <c r="J3265" s="7" t="n">
        <f aca="false">IF(I3265=1,D3265*F3265,0)</f>
        <v>15</v>
      </c>
      <c r="K3265" s="7" t="n">
        <f aca="false">YEAR(E3265)*100+MONTH(E3265)</f>
        <v>201110</v>
      </c>
      <c r="L3265" s="7" t="n">
        <f aca="false">IF(AND(A3265&lt;&gt;A3264,LEFT(A3265,1)&lt;&gt;"C"),1,0)</f>
        <v>0</v>
      </c>
    </row>
    <row r="3266" customFormat="false" ht="15" hidden="false" customHeight="false" outlineLevel="0" collapsed="false">
      <c r="A3266" s="0" t="s">
        <v>2324</v>
      </c>
      <c r="B3266" s="0" t="s">
        <v>2329</v>
      </c>
      <c r="C3266" s="0" t="s">
        <v>2330</v>
      </c>
      <c r="D3266" s="0" t="n">
        <v>3</v>
      </c>
      <c r="E3266" s="6" t="n">
        <v>40833.4236111111</v>
      </c>
      <c r="F3266" s="0" t="n">
        <v>5.75</v>
      </c>
      <c r="G3266" s="0" t="n">
        <v>12475</v>
      </c>
      <c r="H3266" s="0" t="s">
        <v>33</v>
      </c>
      <c r="I3266" s="7" t="n">
        <f aca="false">IF(AND(LEFT(A3266,1)&lt;&gt;"C",D3266&gt;0,F3266&gt;0),1,0)</f>
        <v>1</v>
      </c>
      <c r="J3266" s="7" t="n">
        <f aca="false">IF(I3266=1,D3266*F3266,0)</f>
        <v>17.25</v>
      </c>
      <c r="K3266" s="7" t="n">
        <f aca="false">YEAR(E3266)*100+MONTH(E3266)</f>
        <v>201110</v>
      </c>
      <c r="L3266" s="7" t="n">
        <f aca="false">IF(AND(A3266&lt;&gt;A3265,LEFT(A3266,1)&lt;&gt;"C"),1,0)</f>
        <v>0</v>
      </c>
    </row>
    <row r="3267" customFormat="false" ht="15" hidden="false" customHeight="false" outlineLevel="0" collapsed="false">
      <c r="A3267" s="0" t="s">
        <v>2324</v>
      </c>
      <c r="B3267" s="0" t="s">
        <v>909</v>
      </c>
      <c r="C3267" s="0" t="s">
        <v>910</v>
      </c>
      <c r="D3267" s="0" t="n">
        <v>12</v>
      </c>
      <c r="E3267" s="6" t="n">
        <v>40833.4236111111</v>
      </c>
      <c r="F3267" s="0" t="n">
        <v>1.25</v>
      </c>
      <c r="G3267" s="0" t="n">
        <v>12475</v>
      </c>
      <c r="H3267" s="0" t="s">
        <v>33</v>
      </c>
      <c r="I3267" s="7" t="n">
        <f aca="false">IF(AND(LEFT(A3267,1)&lt;&gt;"C",D3267&gt;0,F3267&gt;0),1,0)</f>
        <v>1</v>
      </c>
      <c r="J3267" s="7" t="n">
        <f aca="false">IF(I3267=1,D3267*F3267,0)</f>
        <v>15</v>
      </c>
      <c r="K3267" s="7" t="n">
        <f aca="false">YEAR(E3267)*100+MONTH(E3267)</f>
        <v>201110</v>
      </c>
      <c r="L3267" s="7" t="n">
        <f aca="false">IF(AND(A3267&lt;&gt;A3266,LEFT(A3267,1)&lt;&gt;"C"),1,0)</f>
        <v>0</v>
      </c>
    </row>
    <row r="3268" customFormat="false" ht="15" hidden="false" customHeight="false" outlineLevel="0" collapsed="false">
      <c r="A3268" s="0" t="s">
        <v>2324</v>
      </c>
      <c r="B3268" s="0" t="s">
        <v>2331</v>
      </c>
      <c r="C3268" s="0" t="s">
        <v>2332</v>
      </c>
      <c r="D3268" s="0" t="n">
        <v>4</v>
      </c>
      <c r="E3268" s="6" t="n">
        <v>40833.4236111111</v>
      </c>
      <c r="F3268" s="0" t="n">
        <v>4.95</v>
      </c>
      <c r="G3268" s="0" t="n">
        <v>12475</v>
      </c>
      <c r="H3268" s="0" t="s">
        <v>33</v>
      </c>
      <c r="I3268" s="7" t="n">
        <f aca="false">IF(AND(LEFT(A3268,1)&lt;&gt;"C",D3268&gt;0,F3268&gt;0),1,0)</f>
        <v>1</v>
      </c>
      <c r="J3268" s="7" t="n">
        <f aca="false">IF(I3268=1,D3268*F3268,0)</f>
        <v>19.8</v>
      </c>
      <c r="K3268" s="7" t="n">
        <f aca="false">YEAR(E3268)*100+MONTH(E3268)</f>
        <v>201110</v>
      </c>
      <c r="L3268" s="7" t="n">
        <f aca="false">IF(AND(A3268&lt;&gt;A3267,LEFT(A3268,1)&lt;&gt;"C"),1,0)</f>
        <v>0</v>
      </c>
    </row>
    <row r="3269" customFormat="false" ht="15" hidden="false" customHeight="false" outlineLevel="0" collapsed="false">
      <c r="A3269" s="0" t="s">
        <v>2324</v>
      </c>
      <c r="B3269" s="0" t="s">
        <v>84</v>
      </c>
      <c r="C3269" s="0" t="s">
        <v>85</v>
      </c>
      <c r="D3269" s="0" t="n">
        <v>3</v>
      </c>
      <c r="E3269" s="6" t="n">
        <v>40833.4236111111</v>
      </c>
      <c r="F3269" s="0" t="n">
        <v>18</v>
      </c>
      <c r="G3269" s="0" t="n">
        <v>12475</v>
      </c>
      <c r="H3269" s="0" t="s">
        <v>33</v>
      </c>
      <c r="I3269" s="7" t="n">
        <f aca="false">IF(AND(LEFT(A3269,1)&lt;&gt;"C",D3269&gt;0,F3269&gt;0),1,0)</f>
        <v>1</v>
      </c>
      <c r="J3269" s="7" t="n">
        <f aca="false">IF(I3269=1,D3269*F3269,0)</f>
        <v>54</v>
      </c>
      <c r="K3269" s="7" t="n">
        <f aca="false">YEAR(E3269)*100+MONTH(E3269)</f>
        <v>201110</v>
      </c>
      <c r="L3269" s="7" t="n">
        <f aca="false">IF(AND(A3269&lt;&gt;A3268,LEFT(A3269,1)&lt;&gt;"C"),1,0)</f>
        <v>0</v>
      </c>
    </row>
    <row r="3270" customFormat="false" ht="15" hidden="false" customHeight="false" outlineLevel="0" collapsed="false">
      <c r="A3270" s="0" t="s">
        <v>2333</v>
      </c>
      <c r="B3270" s="0" t="s">
        <v>897</v>
      </c>
      <c r="C3270" s="0" t="s">
        <v>898</v>
      </c>
      <c r="D3270" s="0" t="n">
        <v>3</v>
      </c>
      <c r="E3270" s="6" t="n">
        <v>40833.4458333333</v>
      </c>
      <c r="F3270" s="0" t="n">
        <v>4.95</v>
      </c>
      <c r="G3270" s="0" t="n">
        <v>12474</v>
      </c>
      <c r="H3270" s="0" t="s">
        <v>33</v>
      </c>
      <c r="I3270" s="7" t="n">
        <f aca="false">IF(AND(LEFT(A3270,1)&lt;&gt;"C",D3270&gt;0,F3270&gt;0),1,0)</f>
        <v>1</v>
      </c>
      <c r="J3270" s="7" t="n">
        <f aca="false">IF(I3270=1,D3270*F3270,0)</f>
        <v>14.85</v>
      </c>
      <c r="K3270" s="7" t="n">
        <f aca="false">YEAR(E3270)*100+MONTH(E3270)</f>
        <v>201110</v>
      </c>
      <c r="L3270" s="7" t="n">
        <f aca="false">IF(AND(A3270&lt;&gt;A3269,LEFT(A3270,1)&lt;&gt;"C"),1,0)</f>
        <v>1</v>
      </c>
    </row>
    <row r="3271" customFormat="false" ht="15" hidden="false" customHeight="false" outlineLevel="0" collapsed="false">
      <c r="A3271" s="0" t="s">
        <v>2333</v>
      </c>
      <c r="B3271" s="0" t="s">
        <v>1318</v>
      </c>
      <c r="C3271" s="0" t="s">
        <v>1319</v>
      </c>
      <c r="D3271" s="0" t="n">
        <v>3</v>
      </c>
      <c r="E3271" s="6" t="n">
        <v>40833.4458333333</v>
      </c>
      <c r="F3271" s="0" t="n">
        <v>4.95</v>
      </c>
      <c r="G3271" s="0" t="n">
        <v>12474</v>
      </c>
      <c r="H3271" s="0" t="s">
        <v>33</v>
      </c>
      <c r="I3271" s="7" t="n">
        <f aca="false">IF(AND(LEFT(A3271,1)&lt;&gt;"C",D3271&gt;0,F3271&gt;0),1,0)</f>
        <v>1</v>
      </c>
      <c r="J3271" s="7" t="n">
        <f aca="false">IF(I3271=1,D3271*F3271,0)</f>
        <v>14.85</v>
      </c>
      <c r="K3271" s="7" t="n">
        <f aca="false">YEAR(E3271)*100+MONTH(E3271)</f>
        <v>201110</v>
      </c>
      <c r="L3271" s="7" t="n">
        <f aca="false">IF(AND(A3271&lt;&gt;A3270,LEFT(A3271,1)&lt;&gt;"C"),1,0)</f>
        <v>0</v>
      </c>
    </row>
    <row r="3272" customFormat="false" ht="15" hidden="false" customHeight="false" outlineLevel="0" collapsed="false">
      <c r="A3272" s="0" t="s">
        <v>2333</v>
      </c>
      <c r="B3272" s="0" t="s">
        <v>2265</v>
      </c>
      <c r="C3272" s="0" t="s">
        <v>2266</v>
      </c>
      <c r="D3272" s="0" t="n">
        <v>6</v>
      </c>
      <c r="E3272" s="6" t="n">
        <v>40833.4458333333</v>
      </c>
      <c r="F3272" s="0" t="n">
        <v>2.89</v>
      </c>
      <c r="G3272" s="0" t="n">
        <v>12474</v>
      </c>
      <c r="H3272" s="0" t="s">
        <v>33</v>
      </c>
      <c r="I3272" s="7" t="n">
        <f aca="false">IF(AND(LEFT(A3272,1)&lt;&gt;"C",D3272&gt;0,F3272&gt;0),1,0)</f>
        <v>1</v>
      </c>
      <c r="J3272" s="7" t="n">
        <f aca="false">IF(I3272=1,D3272*F3272,0)</f>
        <v>17.34</v>
      </c>
      <c r="K3272" s="7" t="n">
        <f aca="false">YEAR(E3272)*100+MONTH(E3272)</f>
        <v>201110</v>
      </c>
      <c r="L3272" s="7" t="n">
        <f aca="false">IF(AND(A3272&lt;&gt;A3271,LEFT(A3272,1)&lt;&gt;"C"),1,0)</f>
        <v>0</v>
      </c>
    </row>
    <row r="3273" customFormat="false" ht="15" hidden="false" customHeight="false" outlineLevel="0" collapsed="false">
      <c r="A3273" s="0" t="s">
        <v>2333</v>
      </c>
      <c r="B3273" s="0" t="s">
        <v>146</v>
      </c>
      <c r="C3273" s="0" t="s">
        <v>147</v>
      </c>
      <c r="D3273" s="0" t="n">
        <v>6</v>
      </c>
      <c r="E3273" s="6" t="n">
        <v>40833.4458333333</v>
      </c>
      <c r="F3273" s="0" t="n">
        <v>2.89</v>
      </c>
      <c r="G3273" s="0" t="n">
        <v>12474</v>
      </c>
      <c r="H3273" s="0" t="s">
        <v>33</v>
      </c>
      <c r="I3273" s="7" t="n">
        <f aca="false">IF(AND(LEFT(A3273,1)&lt;&gt;"C",D3273&gt;0,F3273&gt;0),1,0)</f>
        <v>1</v>
      </c>
      <c r="J3273" s="7" t="n">
        <f aca="false">IF(I3273=1,D3273*F3273,0)</f>
        <v>17.34</v>
      </c>
      <c r="K3273" s="7" t="n">
        <f aca="false">YEAR(E3273)*100+MONTH(E3273)</f>
        <v>201110</v>
      </c>
      <c r="L3273" s="7" t="n">
        <f aca="false">IF(AND(A3273&lt;&gt;A3272,LEFT(A3273,1)&lt;&gt;"C"),1,0)</f>
        <v>0</v>
      </c>
    </row>
    <row r="3274" customFormat="false" ht="15" hidden="false" customHeight="false" outlineLevel="0" collapsed="false">
      <c r="A3274" s="0" t="s">
        <v>2333</v>
      </c>
      <c r="B3274" s="0" t="s">
        <v>837</v>
      </c>
      <c r="C3274" s="0" t="s">
        <v>838</v>
      </c>
      <c r="D3274" s="0" t="n">
        <v>6</v>
      </c>
      <c r="E3274" s="6" t="n">
        <v>40833.4458333333</v>
      </c>
      <c r="F3274" s="0" t="n">
        <v>4.15</v>
      </c>
      <c r="G3274" s="0" t="n">
        <v>12474</v>
      </c>
      <c r="H3274" s="0" t="s">
        <v>33</v>
      </c>
      <c r="I3274" s="7" t="n">
        <f aca="false">IF(AND(LEFT(A3274,1)&lt;&gt;"C",D3274&gt;0,F3274&gt;0),1,0)</f>
        <v>1</v>
      </c>
      <c r="J3274" s="7" t="n">
        <f aca="false">IF(I3274=1,D3274*F3274,0)</f>
        <v>24.9</v>
      </c>
      <c r="K3274" s="7" t="n">
        <f aca="false">YEAR(E3274)*100+MONTH(E3274)</f>
        <v>201110</v>
      </c>
      <c r="L3274" s="7" t="n">
        <f aca="false">IF(AND(A3274&lt;&gt;A3273,LEFT(A3274,1)&lt;&gt;"C"),1,0)</f>
        <v>0</v>
      </c>
    </row>
    <row r="3275" customFormat="false" ht="15" hidden="false" customHeight="false" outlineLevel="0" collapsed="false">
      <c r="A3275" s="0" t="s">
        <v>2333</v>
      </c>
      <c r="B3275" s="0" t="s">
        <v>1808</v>
      </c>
      <c r="C3275" s="0" t="s">
        <v>1809</v>
      </c>
      <c r="D3275" s="0" t="n">
        <v>6</v>
      </c>
      <c r="E3275" s="6" t="n">
        <v>40833.4458333333</v>
      </c>
      <c r="F3275" s="0" t="n">
        <v>4.15</v>
      </c>
      <c r="G3275" s="0" t="n">
        <v>12474</v>
      </c>
      <c r="H3275" s="0" t="s">
        <v>33</v>
      </c>
      <c r="I3275" s="7" t="n">
        <f aca="false">IF(AND(LEFT(A3275,1)&lt;&gt;"C",D3275&gt;0,F3275&gt;0),1,0)</f>
        <v>1</v>
      </c>
      <c r="J3275" s="7" t="n">
        <f aca="false">IF(I3275=1,D3275*F3275,0)</f>
        <v>24.9</v>
      </c>
      <c r="K3275" s="7" t="n">
        <f aca="false">YEAR(E3275)*100+MONTH(E3275)</f>
        <v>201110</v>
      </c>
      <c r="L3275" s="7" t="n">
        <f aca="false">IF(AND(A3275&lt;&gt;A3274,LEFT(A3275,1)&lt;&gt;"C"),1,0)</f>
        <v>0</v>
      </c>
    </row>
    <row r="3276" customFormat="false" ht="15" hidden="false" customHeight="false" outlineLevel="0" collapsed="false">
      <c r="A3276" s="0" t="s">
        <v>2333</v>
      </c>
      <c r="B3276" s="0" t="s">
        <v>537</v>
      </c>
      <c r="C3276" s="0" t="s">
        <v>538</v>
      </c>
      <c r="D3276" s="0" t="n">
        <v>6</v>
      </c>
      <c r="E3276" s="6" t="n">
        <v>40833.4458333333</v>
      </c>
      <c r="F3276" s="0" t="n">
        <v>4.15</v>
      </c>
      <c r="G3276" s="0" t="n">
        <v>12474</v>
      </c>
      <c r="H3276" s="0" t="s">
        <v>33</v>
      </c>
      <c r="I3276" s="7" t="n">
        <f aca="false">IF(AND(LEFT(A3276,1)&lt;&gt;"C",D3276&gt;0,F3276&gt;0),1,0)</f>
        <v>1</v>
      </c>
      <c r="J3276" s="7" t="n">
        <f aca="false">IF(I3276=1,D3276*F3276,0)</f>
        <v>24.9</v>
      </c>
      <c r="K3276" s="7" t="n">
        <f aca="false">YEAR(E3276)*100+MONTH(E3276)</f>
        <v>201110</v>
      </c>
      <c r="L3276" s="7" t="n">
        <f aca="false">IF(AND(A3276&lt;&gt;A3275,LEFT(A3276,1)&lt;&gt;"C"),1,0)</f>
        <v>0</v>
      </c>
    </row>
    <row r="3277" customFormat="false" ht="15" hidden="false" customHeight="false" outlineLevel="0" collapsed="false">
      <c r="A3277" s="0" t="s">
        <v>2333</v>
      </c>
      <c r="B3277" s="0" t="s">
        <v>310</v>
      </c>
      <c r="C3277" s="0" t="s">
        <v>311</v>
      </c>
      <c r="D3277" s="0" t="n">
        <v>4</v>
      </c>
      <c r="E3277" s="6" t="n">
        <v>40833.4458333333</v>
      </c>
      <c r="F3277" s="0" t="n">
        <v>4.95</v>
      </c>
      <c r="G3277" s="0" t="n">
        <v>12474</v>
      </c>
      <c r="H3277" s="0" t="s">
        <v>33</v>
      </c>
      <c r="I3277" s="7" t="n">
        <f aca="false">IF(AND(LEFT(A3277,1)&lt;&gt;"C",D3277&gt;0,F3277&gt;0),1,0)</f>
        <v>1</v>
      </c>
      <c r="J3277" s="7" t="n">
        <f aca="false">IF(I3277=1,D3277*F3277,0)</f>
        <v>19.8</v>
      </c>
      <c r="K3277" s="7" t="n">
        <f aca="false">YEAR(E3277)*100+MONTH(E3277)</f>
        <v>201110</v>
      </c>
      <c r="L3277" s="7" t="n">
        <f aca="false">IF(AND(A3277&lt;&gt;A3276,LEFT(A3277,1)&lt;&gt;"C"),1,0)</f>
        <v>0</v>
      </c>
    </row>
    <row r="3278" customFormat="false" ht="15" hidden="false" customHeight="false" outlineLevel="0" collapsed="false">
      <c r="A3278" s="0" t="s">
        <v>2333</v>
      </c>
      <c r="B3278" s="0" t="s">
        <v>789</v>
      </c>
      <c r="C3278" s="0" t="s">
        <v>790</v>
      </c>
      <c r="D3278" s="0" t="n">
        <v>6</v>
      </c>
      <c r="E3278" s="6" t="n">
        <v>40833.4458333333</v>
      </c>
      <c r="F3278" s="0" t="n">
        <v>1.95</v>
      </c>
      <c r="G3278" s="0" t="n">
        <v>12474</v>
      </c>
      <c r="H3278" s="0" t="s">
        <v>33</v>
      </c>
      <c r="I3278" s="7" t="n">
        <f aca="false">IF(AND(LEFT(A3278,1)&lt;&gt;"C",D3278&gt;0,F3278&gt;0),1,0)</f>
        <v>1</v>
      </c>
      <c r="J3278" s="7" t="n">
        <f aca="false">IF(I3278=1,D3278*F3278,0)</f>
        <v>11.7</v>
      </c>
      <c r="K3278" s="7" t="n">
        <f aca="false">YEAR(E3278)*100+MONTH(E3278)</f>
        <v>201110</v>
      </c>
      <c r="L3278" s="7" t="n">
        <f aca="false">IF(AND(A3278&lt;&gt;A3277,LEFT(A3278,1)&lt;&gt;"C"),1,0)</f>
        <v>0</v>
      </c>
    </row>
    <row r="3279" customFormat="false" ht="15" hidden="false" customHeight="false" outlineLevel="0" collapsed="false">
      <c r="A3279" s="0" t="s">
        <v>2333</v>
      </c>
      <c r="B3279" s="0" t="s">
        <v>136</v>
      </c>
      <c r="C3279" s="0" t="s">
        <v>137</v>
      </c>
      <c r="D3279" s="0" t="n">
        <v>4</v>
      </c>
      <c r="E3279" s="6" t="n">
        <v>40833.4458333333</v>
      </c>
      <c r="F3279" s="0" t="n">
        <v>4.95</v>
      </c>
      <c r="G3279" s="0" t="n">
        <v>12474</v>
      </c>
      <c r="H3279" s="0" t="s">
        <v>33</v>
      </c>
      <c r="I3279" s="7" t="n">
        <f aca="false">IF(AND(LEFT(A3279,1)&lt;&gt;"C",D3279&gt;0,F3279&gt;0),1,0)</f>
        <v>1</v>
      </c>
      <c r="J3279" s="7" t="n">
        <f aca="false">IF(I3279=1,D3279*F3279,0)</f>
        <v>19.8</v>
      </c>
      <c r="K3279" s="7" t="n">
        <f aca="false">YEAR(E3279)*100+MONTH(E3279)</f>
        <v>201110</v>
      </c>
      <c r="L3279" s="7" t="n">
        <f aca="false">IF(AND(A3279&lt;&gt;A3278,LEFT(A3279,1)&lt;&gt;"C"),1,0)</f>
        <v>0</v>
      </c>
    </row>
    <row r="3280" customFormat="false" ht="15" hidden="false" customHeight="false" outlineLevel="0" collapsed="false">
      <c r="A3280" s="0" t="s">
        <v>2333</v>
      </c>
      <c r="B3280" s="0" t="s">
        <v>369</v>
      </c>
      <c r="C3280" s="0" t="s">
        <v>370</v>
      </c>
      <c r="D3280" s="0" t="n">
        <v>100</v>
      </c>
      <c r="E3280" s="6" t="n">
        <v>40833.4458333333</v>
      </c>
      <c r="F3280" s="0" t="n">
        <v>0.04</v>
      </c>
      <c r="G3280" s="0" t="n">
        <v>12474</v>
      </c>
      <c r="H3280" s="0" t="s">
        <v>33</v>
      </c>
      <c r="I3280" s="7" t="n">
        <f aca="false">IF(AND(LEFT(A3280,1)&lt;&gt;"C",D3280&gt;0,F3280&gt;0),1,0)</f>
        <v>1</v>
      </c>
      <c r="J3280" s="7" t="n">
        <f aca="false">IF(I3280=1,D3280*F3280,0)</f>
        <v>4</v>
      </c>
      <c r="K3280" s="7" t="n">
        <f aca="false">YEAR(E3280)*100+MONTH(E3280)</f>
        <v>201110</v>
      </c>
      <c r="L3280" s="7" t="n">
        <f aca="false">IF(AND(A3280&lt;&gt;A3279,LEFT(A3280,1)&lt;&gt;"C"),1,0)</f>
        <v>0</v>
      </c>
    </row>
    <row r="3281" customFormat="false" ht="15" hidden="false" customHeight="false" outlineLevel="0" collapsed="false">
      <c r="A3281" s="0" t="s">
        <v>2333</v>
      </c>
      <c r="B3281" s="0" t="s">
        <v>2334</v>
      </c>
      <c r="C3281" s="0" t="s">
        <v>2335</v>
      </c>
      <c r="D3281" s="0" t="n">
        <v>36</v>
      </c>
      <c r="E3281" s="6" t="n">
        <v>40833.4458333333</v>
      </c>
      <c r="F3281" s="0" t="n">
        <v>0.12</v>
      </c>
      <c r="G3281" s="0" t="n">
        <v>12474</v>
      </c>
      <c r="H3281" s="0" t="s">
        <v>33</v>
      </c>
      <c r="I3281" s="7" t="n">
        <f aca="false">IF(AND(LEFT(A3281,1)&lt;&gt;"C",D3281&gt;0,F3281&gt;0),1,0)</f>
        <v>1</v>
      </c>
      <c r="J3281" s="7" t="n">
        <f aca="false">IF(I3281=1,D3281*F3281,0)</f>
        <v>4.32</v>
      </c>
      <c r="K3281" s="7" t="n">
        <f aca="false">YEAR(E3281)*100+MONTH(E3281)</f>
        <v>201110</v>
      </c>
      <c r="L3281" s="7" t="n">
        <f aca="false">IF(AND(A3281&lt;&gt;A3280,LEFT(A3281,1)&lt;&gt;"C"),1,0)</f>
        <v>0</v>
      </c>
    </row>
    <row r="3282" customFormat="false" ht="15" hidden="false" customHeight="false" outlineLevel="0" collapsed="false">
      <c r="A3282" s="0" t="s">
        <v>2333</v>
      </c>
      <c r="B3282" s="0" t="s">
        <v>2336</v>
      </c>
      <c r="C3282" s="0" t="s">
        <v>2337</v>
      </c>
      <c r="D3282" s="0" t="n">
        <v>24</v>
      </c>
      <c r="E3282" s="6" t="n">
        <v>40833.4458333333</v>
      </c>
      <c r="F3282" s="0" t="n">
        <v>0.12</v>
      </c>
      <c r="G3282" s="0" t="n">
        <v>12474</v>
      </c>
      <c r="H3282" s="0" t="s">
        <v>33</v>
      </c>
      <c r="I3282" s="7" t="n">
        <f aca="false">IF(AND(LEFT(A3282,1)&lt;&gt;"C",D3282&gt;0,F3282&gt;0),1,0)</f>
        <v>1</v>
      </c>
      <c r="J3282" s="7" t="n">
        <f aca="false">IF(I3282=1,D3282*F3282,0)</f>
        <v>2.88</v>
      </c>
      <c r="K3282" s="7" t="n">
        <f aca="false">YEAR(E3282)*100+MONTH(E3282)</f>
        <v>201110</v>
      </c>
      <c r="L3282" s="7" t="n">
        <f aca="false">IF(AND(A3282&lt;&gt;A3281,LEFT(A3282,1)&lt;&gt;"C"),1,0)</f>
        <v>0</v>
      </c>
    </row>
    <row r="3283" customFormat="false" ht="15" hidden="false" customHeight="false" outlineLevel="0" collapsed="false">
      <c r="A3283" s="0" t="s">
        <v>2333</v>
      </c>
      <c r="B3283" s="0" t="s">
        <v>251</v>
      </c>
      <c r="C3283" s="0" t="s">
        <v>252</v>
      </c>
      <c r="D3283" s="0" t="n">
        <v>25</v>
      </c>
      <c r="E3283" s="6" t="n">
        <v>40833.4458333333</v>
      </c>
      <c r="F3283" s="0" t="n">
        <v>0.42</v>
      </c>
      <c r="G3283" s="0" t="n">
        <v>12474</v>
      </c>
      <c r="H3283" s="0" t="s">
        <v>33</v>
      </c>
      <c r="I3283" s="7" t="n">
        <f aca="false">IF(AND(LEFT(A3283,1)&lt;&gt;"C",D3283&gt;0,F3283&gt;0),1,0)</f>
        <v>1</v>
      </c>
      <c r="J3283" s="7" t="n">
        <f aca="false">IF(I3283=1,D3283*F3283,0)</f>
        <v>10.5</v>
      </c>
      <c r="K3283" s="7" t="n">
        <f aca="false">YEAR(E3283)*100+MONTH(E3283)</f>
        <v>201110</v>
      </c>
      <c r="L3283" s="7" t="n">
        <f aca="false">IF(AND(A3283&lt;&gt;A3282,LEFT(A3283,1)&lt;&gt;"C"),1,0)</f>
        <v>0</v>
      </c>
    </row>
    <row r="3284" customFormat="false" ht="15" hidden="false" customHeight="false" outlineLevel="0" collapsed="false">
      <c r="A3284" s="0" t="s">
        <v>2333</v>
      </c>
      <c r="B3284" s="0" t="s">
        <v>1187</v>
      </c>
      <c r="C3284" s="0" t="s">
        <v>1188</v>
      </c>
      <c r="D3284" s="0" t="n">
        <v>3</v>
      </c>
      <c r="E3284" s="6" t="n">
        <v>40833.4458333333</v>
      </c>
      <c r="F3284" s="0" t="n">
        <v>5.95</v>
      </c>
      <c r="G3284" s="0" t="n">
        <v>12474</v>
      </c>
      <c r="H3284" s="0" t="s">
        <v>33</v>
      </c>
      <c r="I3284" s="7" t="n">
        <f aca="false">IF(AND(LEFT(A3284,1)&lt;&gt;"C",D3284&gt;0,F3284&gt;0),1,0)</f>
        <v>1</v>
      </c>
      <c r="J3284" s="7" t="n">
        <f aca="false">IF(I3284=1,D3284*F3284,0)</f>
        <v>17.85</v>
      </c>
      <c r="K3284" s="7" t="n">
        <f aca="false">YEAR(E3284)*100+MONTH(E3284)</f>
        <v>201110</v>
      </c>
      <c r="L3284" s="7" t="n">
        <f aca="false">IF(AND(A3284&lt;&gt;A3283,LEFT(A3284,1)&lt;&gt;"C"),1,0)</f>
        <v>0</v>
      </c>
    </row>
    <row r="3285" customFormat="false" ht="15" hidden="false" customHeight="false" outlineLevel="0" collapsed="false">
      <c r="A3285" s="0" t="s">
        <v>2333</v>
      </c>
      <c r="B3285" s="0" t="s">
        <v>2338</v>
      </c>
      <c r="C3285" s="0" t="s">
        <v>2339</v>
      </c>
      <c r="D3285" s="0" t="n">
        <v>12</v>
      </c>
      <c r="E3285" s="6" t="n">
        <v>40833.4458333333</v>
      </c>
      <c r="F3285" s="0" t="n">
        <v>0.42</v>
      </c>
      <c r="G3285" s="0" t="n">
        <v>12474</v>
      </c>
      <c r="H3285" s="0" t="s">
        <v>33</v>
      </c>
      <c r="I3285" s="7" t="n">
        <f aca="false">IF(AND(LEFT(A3285,1)&lt;&gt;"C",D3285&gt;0,F3285&gt;0),1,0)</f>
        <v>1</v>
      </c>
      <c r="J3285" s="7" t="n">
        <f aca="false">IF(I3285=1,D3285*F3285,0)</f>
        <v>5.04</v>
      </c>
      <c r="K3285" s="7" t="n">
        <f aca="false">YEAR(E3285)*100+MONTH(E3285)</f>
        <v>201110</v>
      </c>
      <c r="L3285" s="7" t="n">
        <f aca="false">IF(AND(A3285&lt;&gt;A3284,LEFT(A3285,1)&lt;&gt;"C"),1,0)</f>
        <v>0</v>
      </c>
    </row>
    <row r="3286" customFormat="false" ht="15" hidden="false" customHeight="false" outlineLevel="0" collapsed="false">
      <c r="A3286" s="0" t="s">
        <v>2333</v>
      </c>
      <c r="B3286" s="0" t="s">
        <v>2340</v>
      </c>
      <c r="C3286" s="0" t="s">
        <v>2341</v>
      </c>
      <c r="D3286" s="0" t="n">
        <v>12</v>
      </c>
      <c r="E3286" s="6" t="n">
        <v>40833.4458333333</v>
      </c>
      <c r="F3286" s="0" t="n">
        <v>0.42</v>
      </c>
      <c r="G3286" s="0" t="n">
        <v>12474</v>
      </c>
      <c r="H3286" s="0" t="s">
        <v>33</v>
      </c>
      <c r="I3286" s="7" t="n">
        <f aca="false">IF(AND(LEFT(A3286,1)&lt;&gt;"C",D3286&gt;0,F3286&gt;0),1,0)</f>
        <v>1</v>
      </c>
      <c r="J3286" s="7" t="n">
        <f aca="false">IF(I3286=1,D3286*F3286,0)</f>
        <v>5.04</v>
      </c>
      <c r="K3286" s="7" t="n">
        <f aca="false">YEAR(E3286)*100+MONTH(E3286)</f>
        <v>201110</v>
      </c>
      <c r="L3286" s="7" t="n">
        <f aca="false">IF(AND(A3286&lt;&gt;A3285,LEFT(A3286,1)&lt;&gt;"C"),1,0)</f>
        <v>0</v>
      </c>
    </row>
    <row r="3287" customFormat="false" ht="15" hidden="false" customHeight="false" outlineLevel="0" collapsed="false">
      <c r="A3287" s="0" t="s">
        <v>2333</v>
      </c>
      <c r="B3287" s="0" t="s">
        <v>1804</v>
      </c>
      <c r="C3287" s="0" t="s">
        <v>1805</v>
      </c>
      <c r="D3287" s="0" t="n">
        <v>12</v>
      </c>
      <c r="E3287" s="6" t="n">
        <v>40833.4458333333</v>
      </c>
      <c r="F3287" s="0" t="n">
        <v>0.42</v>
      </c>
      <c r="G3287" s="0" t="n">
        <v>12474</v>
      </c>
      <c r="H3287" s="0" t="s">
        <v>33</v>
      </c>
      <c r="I3287" s="7" t="n">
        <f aca="false">IF(AND(LEFT(A3287,1)&lt;&gt;"C",D3287&gt;0,F3287&gt;0),1,0)</f>
        <v>1</v>
      </c>
      <c r="J3287" s="7" t="n">
        <f aca="false">IF(I3287=1,D3287*F3287,0)</f>
        <v>5.04</v>
      </c>
      <c r="K3287" s="7" t="n">
        <f aca="false">YEAR(E3287)*100+MONTH(E3287)</f>
        <v>201110</v>
      </c>
      <c r="L3287" s="7" t="n">
        <f aca="false">IF(AND(A3287&lt;&gt;A3286,LEFT(A3287,1)&lt;&gt;"C"),1,0)</f>
        <v>0</v>
      </c>
    </row>
    <row r="3288" customFormat="false" ht="15" hidden="false" customHeight="false" outlineLevel="0" collapsed="false">
      <c r="A3288" s="0" t="s">
        <v>2333</v>
      </c>
      <c r="B3288" s="0" t="s">
        <v>2342</v>
      </c>
      <c r="C3288" s="0" t="s">
        <v>2343</v>
      </c>
      <c r="D3288" s="0" t="n">
        <v>12</v>
      </c>
      <c r="E3288" s="6" t="n">
        <v>40833.4458333333</v>
      </c>
      <c r="F3288" s="0" t="n">
        <v>0.19</v>
      </c>
      <c r="G3288" s="0" t="n">
        <v>12474</v>
      </c>
      <c r="H3288" s="0" t="s">
        <v>33</v>
      </c>
      <c r="I3288" s="7" t="n">
        <f aca="false">IF(AND(LEFT(A3288,1)&lt;&gt;"C",D3288&gt;0,F3288&gt;0),1,0)</f>
        <v>1</v>
      </c>
      <c r="J3288" s="7" t="n">
        <f aca="false">IF(I3288=1,D3288*F3288,0)</f>
        <v>2.28</v>
      </c>
      <c r="K3288" s="7" t="n">
        <f aca="false">YEAR(E3288)*100+MONTH(E3288)</f>
        <v>201110</v>
      </c>
      <c r="L3288" s="7" t="n">
        <f aca="false">IF(AND(A3288&lt;&gt;A3287,LEFT(A3288,1)&lt;&gt;"C"),1,0)</f>
        <v>0</v>
      </c>
    </row>
    <row r="3289" customFormat="false" ht="15" hidden="false" customHeight="false" outlineLevel="0" collapsed="false">
      <c r="A3289" s="0" t="s">
        <v>2333</v>
      </c>
      <c r="B3289" s="0" t="s">
        <v>1455</v>
      </c>
      <c r="C3289" s="0" t="s">
        <v>1456</v>
      </c>
      <c r="D3289" s="0" t="n">
        <v>24</v>
      </c>
      <c r="E3289" s="6" t="n">
        <v>40833.4458333333</v>
      </c>
      <c r="F3289" s="0" t="n">
        <v>0.65</v>
      </c>
      <c r="G3289" s="0" t="n">
        <v>12474</v>
      </c>
      <c r="H3289" s="0" t="s">
        <v>33</v>
      </c>
      <c r="I3289" s="7" t="n">
        <f aca="false">IF(AND(LEFT(A3289,1)&lt;&gt;"C",D3289&gt;0,F3289&gt;0),1,0)</f>
        <v>1</v>
      </c>
      <c r="J3289" s="7" t="n">
        <f aca="false">IF(I3289=1,D3289*F3289,0)</f>
        <v>15.6</v>
      </c>
      <c r="K3289" s="7" t="n">
        <f aca="false">YEAR(E3289)*100+MONTH(E3289)</f>
        <v>201110</v>
      </c>
      <c r="L3289" s="7" t="n">
        <f aca="false">IF(AND(A3289&lt;&gt;A3288,LEFT(A3289,1)&lt;&gt;"C"),1,0)</f>
        <v>0</v>
      </c>
    </row>
    <row r="3290" customFormat="false" ht="15" hidden="false" customHeight="false" outlineLevel="0" collapsed="false">
      <c r="A3290" s="0" t="s">
        <v>2333</v>
      </c>
      <c r="B3290" s="0" t="s">
        <v>398</v>
      </c>
      <c r="C3290" s="0" t="s">
        <v>399</v>
      </c>
      <c r="D3290" s="0" t="n">
        <v>12</v>
      </c>
      <c r="E3290" s="6" t="n">
        <v>40833.4458333333</v>
      </c>
      <c r="F3290" s="0" t="n">
        <v>1.25</v>
      </c>
      <c r="G3290" s="0" t="n">
        <v>12474</v>
      </c>
      <c r="H3290" s="0" t="s">
        <v>33</v>
      </c>
      <c r="I3290" s="7" t="n">
        <f aca="false">IF(AND(LEFT(A3290,1)&lt;&gt;"C",D3290&gt;0,F3290&gt;0),1,0)</f>
        <v>1</v>
      </c>
      <c r="J3290" s="7" t="n">
        <f aca="false">IF(I3290=1,D3290*F3290,0)</f>
        <v>15</v>
      </c>
      <c r="K3290" s="7" t="n">
        <f aca="false">YEAR(E3290)*100+MONTH(E3290)</f>
        <v>201110</v>
      </c>
      <c r="L3290" s="7" t="n">
        <f aca="false">IF(AND(A3290&lt;&gt;A3289,LEFT(A3290,1)&lt;&gt;"C"),1,0)</f>
        <v>0</v>
      </c>
    </row>
    <row r="3291" customFormat="false" ht="15" hidden="false" customHeight="false" outlineLevel="0" collapsed="false">
      <c r="A3291" s="0" t="s">
        <v>2333</v>
      </c>
      <c r="B3291" s="0" t="s">
        <v>2344</v>
      </c>
      <c r="C3291" s="0" t="s">
        <v>2345</v>
      </c>
      <c r="D3291" s="0" t="n">
        <v>12</v>
      </c>
      <c r="E3291" s="6" t="n">
        <v>40833.4458333333</v>
      </c>
      <c r="F3291" s="0" t="n">
        <v>1.25</v>
      </c>
      <c r="G3291" s="0" t="n">
        <v>12474</v>
      </c>
      <c r="H3291" s="0" t="s">
        <v>33</v>
      </c>
      <c r="I3291" s="7" t="n">
        <f aca="false">IF(AND(LEFT(A3291,1)&lt;&gt;"C",D3291&gt;0,F3291&gt;0),1,0)</f>
        <v>1</v>
      </c>
      <c r="J3291" s="7" t="n">
        <f aca="false">IF(I3291=1,D3291*F3291,0)</f>
        <v>15</v>
      </c>
      <c r="K3291" s="7" t="n">
        <f aca="false">YEAR(E3291)*100+MONTH(E3291)</f>
        <v>201110</v>
      </c>
      <c r="L3291" s="7" t="n">
        <f aca="false">IF(AND(A3291&lt;&gt;A3290,LEFT(A3291,1)&lt;&gt;"C"),1,0)</f>
        <v>0</v>
      </c>
    </row>
    <row r="3292" customFormat="false" ht="15" hidden="false" customHeight="false" outlineLevel="0" collapsed="false">
      <c r="A3292" s="0" t="s">
        <v>2333</v>
      </c>
      <c r="B3292" s="0" t="s">
        <v>52</v>
      </c>
      <c r="C3292" s="0" t="s">
        <v>53</v>
      </c>
      <c r="D3292" s="0" t="n">
        <v>12</v>
      </c>
      <c r="E3292" s="6" t="n">
        <v>40833.4458333333</v>
      </c>
      <c r="F3292" s="0" t="n">
        <v>1.95</v>
      </c>
      <c r="G3292" s="0" t="n">
        <v>12474</v>
      </c>
      <c r="H3292" s="0" t="s">
        <v>33</v>
      </c>
      <c r="I3292" s="7" t="n">
        <f aca="false">IF(AND(LEFT(A3292,1)&lt;&gt;"C",D3292&gt;0,F3292&gt;0),1,0)</f>
        <v>1</v>
      </c>
      <c r="J3292" s="7" t="n">
        <f aca="false">IF(I3292=1,D3292*F3292,0)</f>
        <v>23.4</v>
      </c>
      <c r="K3292" s="7" t="n">
        <f aca="false">YEAR(E3292)*100+MONTH(E3292)</f>
        <v>201110</v>
      </c>
      <c r="L3292" s="7" t="n">
        <f aca="false">IF(AND(A3292&lt;&gt;A3291,LEFT(A3292,1)&lt;&gt;"C"),1,0)</f>
        <v>0</v>
      </c>
    </row>
    <row r="3293" customFormat="false" ht="15" hidden="false" customHeight="false" outlineLevel="0" collapsed="false">
      <c r="A3293" s="0" t="s">
        <v>2333</v>
      </c>
      <c r="B3293" s="0" t="s">
        <v>2346</v>
      </c>
      <c r="C3293" s="0" t="s">
        <v>2347</v>
      </c>
      <c r="D3293" s="0" t="n">
        <v>12</v>
      </c>
      <c r="E3293" s="6" t="n">
        <v>40833.4458333333</v>
      </c>
      <c r="F3293" s="0" t="n">
        <v>0.83</v>
      </c>
      <c r="G3293" s="0" t="n">
        <v>12474</v>
      </c>
      <c r="H3293" s="0" t="s">
        <v>33</v>
      </c>
      <c r="I3293" s="7" t="n">
        <f aca="false">IF(AND(LEFT(A3293,1)&lt;&gt;"C",D3293&gt;0,F3293&gt;0),1,0)</f>
        <v>1</v>
      </c>
      <c r="J3293" s="7" t="n">
        <f aca="false">IF(I3293=1,D3293*F3293,0)</f>
        <v>9.96</v>
      </c>
      <c r="K3293" s="7" t="n">
        <f aca="false">YEAR(E3293)*100+MONTH(E3293)</f>
        <v>201110</v>
      </c>
      <c r="L3293" s="7" t="n">
        <f aca="false">IF(AND(A3293&lt;&gt;A3292,LEFT(A3293,1)&lt;&gt;"C"),1,0)</f>
        <v>0</v>
      </c>
    </row>
    <row r="3294" customFormat="false" ht="15" hidden="false" customHeight="false" outlineLevel="0" collapsed="false">
      <c r="A3294" s="0" t="s">
        <v>2333</v>
      </c>
      <c r="B3294" s="0" t="s">
        <v>531</v>
      </c>
      <c r="C3294" s="0" t="s">
        <v>532</v>
      </c>
      <c r="D3294" s="0" t="n">
        <v>12</v>
      </c>
      <c r="E3294" s="6" t="n">
        <v>40833.4458333333</v>
      </c>
      <c r="F3294" s="0" t="n">
        <v>0.83</v>
      </c>
      <c r="G3294" s="0" t="n">
        <v>12474</v>
      </c>
      <c r="H3294" s="0" t="s">
        <v>33</v>
      </c>
      <c r="I3294" s="7" t="n">
        <f aca="false">IF(AND(LEFT(A3294,1)&lt;&gt;"C",D3294&gt;0,F3294&gt;0),1,0)</f>
        <v>1</v>
      </c>
      <c r="J3294" s="7" t="n">
        <f aca="false">IF(I3294=1,D3294*F3294,0)</f>
        <v>9.96</v>
      </c>
      <c r="K3294" s="7" t="n">
        <f aca="false">YEAR(E3294)*100+MONTH(E3294)</f>
        <v>201110</v>
      </c>
      <c r="L3294" s="7" t="n">
        <f aca="false">IF(AND(A3294&lt;&gt;A3293,LEFT(A3294,1)&lt;&gt;"C"),1,0)</f>
        <v>0</v>
      </c>
    </row>
    <row r="3295" customFormat="false" ht="15" hidden="false" customHeight="false" outlineLevel="0" collapsed="false">
      <c r="A3295" s="0" t="s">
        <v>2333</v>
      </c>
      <c r="B3295" s="0" t="s">
        <v>2348</v>
      </c>
      <c r="C3295" s="0" t="s">
        <v>2349</v>
      </c>
      <c r="D3295" s="0" t="n">
        <v>12</v>
      </c>
      <c r="E3295" s="6" t="n">
        <v>40833.4458333333</v>
      </c>
      <c r="F3295" s="0" t="n">
        <v>0.83</v>
      </c>
      <c r="G3295" s="0" t="n">
        <v>12474</v>
      </c>
      <c r="H3295" s="0" t="s">
        <v>33</v>
      </c>
      <c r="I3295" s="7" t="n">
        <f aca="false">IF(AND(LEFT(A3295,1)&lt;&gt;"C",D3295&gt;0,F3295&gt;0),1,0)</f>
        <v>1</v>
      </c>
      <c r="J3295" s="7" t="n">
        <f aca="false">IF(I3295=1,D3295*F3295,0)</f>
        <v>9.96</v>
      </c>
      <c r="K3295" s="7" t="n">
        <f aca="false">YEAR(E3295)*100+MONTH(E3295)</f>
        <v>201110</v>
      </c>
      <c r="L3295" s="7" t="n">
        <f aca="false">IF(AND(A3295&lt;&gt;A3294,LEFT(A3295,1)&lt;&gt;"C"),1,0)</f>
        <v>0</v>
      </c>
    </row>
    <row r="3296" customFormat="false" ht="15" hidden="false" customHeight="false" outlineLevel="0" collapsed="false">
      <c r="A3296" s="0" t="s">
        <v>2333</v>
      </c>
      <c r="B3296" s="0" t="s">
        <v>639</v>
      </c>
      <c r="C3296" s="0" t="s">
        <v>640</v>
      </c>
      <c r="D3296" s="0" t="n">
        <v>12</v>
      </c>
      <c r="E3296" s="6" t="n">
        <v>40833.4458333333</v>
      </c>
      <c r="F3296" s="0" t="n">
        <v>1.65</v>
      </c>
      <c r="G3296" s="0" t="n">
        <v>12474</v>
      </c>
      <c r="H3296" s="0" t="s">
        <v>33</v>
      </c>
      <c r="I3296" s="7" t="n">
        <f aca="false">IF(AND(LEFT(A3296,1)&lt;&gt;"C",D3296&gt;0,F3296&gt;0),1,0)</f>
        <v>1</v>
      </c>
      <c r="J3296" s="7" t="n">
        <f aca="false">IF(I3296=1,D3296*F3296,0)</f>
        <v>19.8</v>
      </c>
      <c r="K3296" s="7" t="n">
        <f aca="false">YEAR(E3296)*100+MONTH(E3296)</f>
        <v>201110</v>
      </c>
      <c r="L3296" s="7" t="n">
        <f aca="false">IF(AND(A3296&lt;&gt;A3295,LEFT(A3296,1)&lt;&gt;"C"),1,0)</f>
        <v>0</v>
      </c>
    </row>
    <row r="3297" customFormat="false" ht="15" hidden="false" customHeight="false" outlineLevel="0" collapsed="false">
      <c r="A3297" s="0" t="s">
        <v>2333</v>
      </c>
      <c r="B3297" s="0" t="s">
        <v>404</v>
      </c>
      <c r="C3297" s="0" t="s">
        <v>405</v>
      </c>
      <c r="D3297" s="0" t="n">
        <v>12</v>
      </c>
      <c r="E3297" s="6" t="n">
        <v>40833.4458333333</v>
      </c>
      <c r="F3297" s="0" t="n">
        <v>1.65</v>
      </c>
      <c r="G3297" s="0" t="n">
        <v>12474</v>
      </c>
      <c r="H3297" s="0" t="s">
        <v>33</v>
      </c>
      <c r="I3297" s="7" t="n">
        <f aca="false">IF(AND(LEFT(A3297,1)&lt;&gt;"C",D3297&gt;0,F3297&gt;0),1,0)</f>
        <v>1</v>
      </c>
      <c r="J3297" s="7" t="n">
        <f aca="false">IF(I3297=1,D3297*F3297,0)</f>
        <v>19.8</v>
      </c>
      <c r="K3297" s="7" t="n">
        <f aca="false">YEAR(E3297)*100+MONTH(E3297)</f>
        <v>201110</v>
      </c>
      <c r="L3297" s="7" t="n">
        <f aca="false">IF(AND(A3297&lt;&gt;A3296,LEFT(A3297,1)&lt;&gt;"C"),1,0)</f>
        <v>0</v>
      </c>
    </row>
    <row r="3298" customFormat="false" ht="15" hidden="false" customHeight="false" outlineLevel="0" collapsed="false">
      <c r="A3298" s="0" t="s">
        <v>2333</v>
      </c>
      <c r="B3298" s="0" t="s">
        <v>641</v>
      </c>
      <c r="C3298" s="0" t="s">
        <v>642</v>
      </c>
      <c r="D3298" s="0" t="n">
        <v>12</v>
      </c>
      <c r="E3298" s="6" t="n">
        <v>40833.4458333333</v>
      </c>
      <c r="F3298" s="0" t="n">
        <v>1.65</v>
      </c>
      <c r="G3298" s="0" t="n">
        <v>12474</v>
      </c>
      <c r="H3298" s="0" t="s">
        <v>33</v>
      </c>
      <c r="I3298" s="7" t="n">
        <f aca="false">IF(AND(LEFT(A3298,1)&lt;&gt;"C",D3298&gt;0,F3298&gt;0),1,0)</f>
        <v>1</v>
      </c>
      <c r="J3298" s="7" t="n">
        <f aca="false">IF(I3298=1,D3298*F3298,0)</f>
        <v>19.8</v>
      </c>
      <c r="K3298" s="7" t="n">
        <f aca="false">YEAR(E3298)*100+MONTH(E3298)</f>
        <v>201110</v>
      </c>
      <c r="L3298" s="7" t="n">
        <f aca="false">IF(AND(A3298&lt;&gt;A3297,LEFT(A3298,1)&lt;&gt;"C"),1,0)</f>
        <v>0</v>
      </c>
    </row>
    <row r="3299" customFormat="false" ht="15" hidden="false" customHeight="false" outlineLevel="0" collapsed="false">
      <c r="A3299" s="0" t="s">
        <v>2333</v>
      </c>
      <c r="B3299" s="0" t="s">
        <v>847</v>
      </c>
      <c r="C3299" s="0" t="s">
        <v>848</v>
      </c>
      <c r="D3299" s="0" t="n">
        <v>12</v>
      </c>
      <c r="E3299" s="6" t="n">
        <v>40833.4458333333</v>
      </c>
      <c r="F3299" s="0" t="n">
        <v>1.45</v>
      </c>
      <c r="G3299" s="0" t="n">
        <v>12474</v>
      </c>
      <c r="H3299" s="0" t="s">
        <v>33</v>
      </c>
      <c r="I3299" s="7" t="n">
        <f aca="false">IF(AND(LEFT(A3299,1)&lt;&gt;"C",D3299&gt;0,F3299&gt;0),1,0)</f>
        <v>1</v>
      </c>
      <c r="J3299" s="7" t="n">
        <f aca="false">IF(I3299=1,D3299*F3299,0)</f>
        <v>17.4</v>
      </c>
      <c r="K3299" s="7" t="n">
        <f aca="false">YEAR(E3299)*100+MONTH(E3299)</f>
        <v>201110</v>
      </c>
      <c r="L3299" s="7" t="n">
        <f aca="false">IF(AND(A3299&lt;&gt;A3298,LEFT(A3299,1)&lt;&gt;"C"),1,0)</f>
        <v>0</v>
      </c>
    </row>
    <row r="3300" customFormat="false" ht="15" hidden="false" customHeight="false" outlineLevel="0" collapsed="false">
      <c r="A3300" s="0" t="s">
        <v>2333</v>
      </c>
      <c r="B3300" s="0" t="s">
        <v>2350</v>
      </c>
      <c r="C3300" s="0" t="s">
        <v>2351</v>
      </c>
      <c r="D3300" s="0" t="n">
        <v>12</v>
      </c>
      <c r="E3300" s="6" t="n">
        <v>40833.4458333333</v>
      </c>
      <c r="F3300" s="0" t="n">
        <v>0.85</v>
      </c>
      <c r="G3300" s="0" t="n">
        <v>12474</v>
      </c>
      <c r="H3300" s="0" t="s">
        <v>33</v>
      </c>
      <c r="I3300" s="7" t="n">
        <f aca="false">IF(AND(LEFT(A3300,1)&lt;&gt;"C",D3300&gt;0,F3300&gt;0),1,0)</f>
        <v>1</v>
      </c>
      <c r="J3300" s="7" t="n">
        <f aca="false">IF(I3300=1,D3300*F3300,0)</f>
        <v>10.2</v>
      </c>
      <c r="K3300" s="7" t="n">
        <f aca="false">YEAR(E3300)*100+MONTH(E3300)</f>
        <v>201110</v>
      </c>
      <c r="L3300" s="7" t="n">
        <f aca="false">IF(AND(A3300&lt;&gt;A3299,LEFT(A3300,1)&lt;&gt;"C"),1,0)</f>
        <v>0</v>
      </c>
    </row>
    <row r="3301" customFormat="false" ht="15" hidden="false" customHeight="false" outlineLevel="0" collapsed="false">
      <c r="A3301" s="0" t="s">
        <v>2333</v>
      </c>
      <c r="B3301" s="0" t="s">
        <v>2352</v>
      </c>
      <c r="C3301" s="0" t="s">
        <v>2353</v>
      </c>
      <c r="D3301" s="0" t="n">
        <v>4</v>
      </c>
      <c r="E3301" s="6" t="n">
        <v>40833.4458333333</v>
      </c>
      <c r="F3301" s="0" t="n">
        <v>3.75</v>
      </c>
      <c r="G3301" s="0" t="n">
        <v>12474</v>
      </c>
      <c r="H3301" s="0" t="s">
        <v>33</v>
      </c>
      <c r="I3301" s="7" t="n">
        <f aca="false">IF(AND(LEFT(A3301,1)&lt;&gt;"C",D3301&gt;0,F3301&gt;0),1,0)</f>
        <v>1</v>
      </c>
      <c r="J3301" s="7" t="n">
        <f aca="false">IF(I3301=1,D3301*F3301,0)</f>
        <v>15</v>
      </c>
      <c r="K3301" s="7" t="n">
        <f aca="false">YEAR(E3301)*100+MONTH(E3301)</f>
        <v>201110</v>
      </c>
      <c r="L3301" s="7" t="n">
        <f aca="false">IF(AND(A3301&lt;&gt;A3300,LEFT(A3301,1)&lt;&gt;"C"),1,0)</f>
        <v>0</v>
      </c>
    </row>
    <row r="3302" customFormat="false" ht="15" hidden="false" customHeight="false" outlineLevel="0" collapsed="false">
      <c r="A3302" s="0" t="s">
        <v>2333</v>
      </c>
      <c r="B3302" s="0" t="s">
        <v>2354</v>
      </c>
      <c r="C3302" s="0" t="s">
        <v>2355</v>
      </c>
      <c r="D3302" s="0" t="n">
        <v>6</v>
      </c>
      <c r="E3302" s="6" t="n">
        <v>40833.4458333333</v>
      </c>
      <c r="F3302" s="0" t="n">
        <v>2.55</v>
      </c>
      <c r="G3302" s="0" t="n">
        <v>12474</v>
      </c>
      <c r="H3302" s="0" t="s">
        <v>33</v>
      </c>
      <c r="I3302" s="7" t="n">
        <f aca="false">IF(AND(LEFT(A3302,1)&lt;&gt;"C",D3302&gt;0,F3302&gt;0),1,0)</f>
        <v>1</v>
      </c>
      <c r="J3302" s="7" t="n">
        <f aca="false">IF(I3302=1,D3302*F3302,0)</f>
        <v>15.3</v>
      </c>
      <c r="K3302" s="7" t="n">
        <f aca="false">YEAR(E3302)*100+MONTH(E3302)</f>
        <v>201110</v>
      </c>
      <c r="L3302" s="7" t="n">
        <f aca="false">IF(AND(A3302&lt;&gt;A3301,LEFT(A3302,1)&lt;&gt;"C"),1,0)</f>
        <v>0</v>
      </c>
    </row>
    <row r="3303" customFormat="false" ht="15" hidden="false" customHeight="false" outlineLevel="0" collapsed="false">
      <c r="A3303" s="0" t="s">
        <v>2333</v>
      </c>
      <c r="B3303" s="0" t="s">
        <v>1740</v>
      </c>
      <c r="C3303" s="0" t="s">
        <v>1741</v>
      </c>
      <c r="D3303" s="0" t="n">
        <v>16</v>
      </c>
      <c r="E3303" s="6" t="n">
        <v>40833.4458333333</v>
      </c>
      <c r="F3303" s="0" t="n">
        <v>0.42</v>
      </c>
      <c r="G3303" s="0" t="n">
        <v>12474</v>
      </c>
      <c r="H3303" s="0" t="s">
        <v>33</v>
      </c>
      <c r="I3303" s="7" t="n">
        <f aca="false">IF(AND(LEFT(A3303,1)&lt;&gt;"C",D3303&gt;0,F3303&gt;0),1,0)</f>
        <v>1</v>
      </c>
      <c r="J3303" s="7" t="n">
        <f aca="false">IF(I3303=1,D3303*F3303,0)</f>
        <v>6.72</v>
      </c>
      <c r="K3303" s="7" t="n">
        <f aca="false">YEAR(E3303)*100+MONTH(E3303)</f>
        <v>201110</v>
      </c>
      <c r="L3303" s="7" t="n">
        <f aca="false">IF(AND(A3303&lt;&gt;A3302,LEFT(A3303,1)&lt;&gt;"C"),1,0)</f>
        <v>0</v>
      </c>
    </row>
    <row r="3304" customFormat="false" ht="15" hidden="false" customHeight="false" outlineLevel="0" collapsed="false">
      <c r="A3304" s="0" t="s">
        <v>2333</v>
      </c>
      <c r="B3304" s="0" t="s">
        <v>1393</v>
      </c>
      <c r="C3304" s="0" t="s">
        <v>1394</v>
      </c>
      <c r="D3304" s="0" t="n">
        <v>8</v>
      </c>
      <c r="E3304" s="6" t="n">
        <v>40833.4458333333</v>
      </c>
      <c r="F3304" s="0" t="n">
        <v>3.75</v>
      </c>
      <c r="G3304" s="0" t="n">
        <v>12474</v>
      </c>
      <c r="H3304" s="0" t="s">
        <v>33</v>
      </c>
      <c r="I3304" s="7" t="n">
        <f aca="false">IF(AND(LEFT(A3304,1)&lt;&gt;"C",D3304&gt;0,F3304&gt;0),1,0)</f>
        <v>1</v>
      </c>
      <c r="J3304" s="7" t="n">
        <f aca="false">IF(I3304=1,D3304*F3304,0)</f>
        <v>30</v>
      </c>
      <c r="K3304" s="7" t="n">
        <f aca="false">YEAR(E3304)*100+MONTH(E3304)</f>
        <v>201110</v>
      </c>
      <c r="L3304" s="7" t="n">
        <f aca="false">IF(AND(A3304&lt;&gt;A3303,LEFT(A3304,1)&lt;&gt;"C"),1,0)</f>
        <v>0</v>
      </c>
    </row>
    <row r="3305" customFormat="false" ht="15" hidden="false" customHeight="false" outlineLevel="0" collapsed="false">
      <c r="A3305" s="0" t="s">
        <v>2333</v>
      </c>
      <c r="B3305" s="0" t="s">
        <v>84</v>
      </c>
      <c r="C3305" s="0" t="s">
        <v>85</v>
      </c>
      <c r="D3305" s="0" t="n">
        <v>4</v>
      </c>
      <c r="E3305" s="6" t="n">
        <v>40833.4458333333</v>
      </c>
      <c r="F3305" s="0" t="n">
        <v>18</v>
      </c>
      <c r="G3305" s="0" t="n">
        <v>12474</v>
      </c>
      <c r="H3305" s="0" t="s">
        <v>33</v>
      </c>
      <c r="I3305" s="7" t="n">
        <f aca="false">IF(AND(LEFT(A3305,1)&lt;&gt;"C",D3305&gt;0,F3305&gt;0),1,0)</f>
        <v>1</v>
      </c>
      <c r="J3305" s="7" t="n">
        <f aca="false">IF(I3305=1,D3305*F3305,0)</f>
        <v>72</v>
      </c>
      <c r="K3305" s="7" t="n">
        <f aca="false">YEAR(E3305)*100+MONTH(E3305)</f>
        <v>201110</v>
      </c>
      <c r="L3305" s="7" t="n">
        <f aca="false">IF(AND(A3305&lt;&gt;A3304,LEFT(A3305,1)&lt;&gt;"C"),1,0)</f>
        <v>0</v>
      </c>
    </row>
    <row r="3306" customFormat="false" ht="15" hidden="false" customHeight="false" outlineLevel="0" collapsed="false">
      <c r="A3306" s="0" t="s">
        <v>2356</v>
      </c>
      <c r="B3306" s="0" t="s">
        <v>2357</v>
      </c>
      <c r="C3306" s="0" t="s">
        <v>2358</v>
      </c>
      <c r="D3306" s="0" t="n">
        <v>12</v>
      </c>
      <c r="E3306" s="6" t="n">
        <v>40833.4770833333</v>
      </c>
      <c r="F3306" s="0" t="n">
        <v>0.85</v>
      </c>
      <c r="G3306" s="0" t="n">
        <v>12473</v>
      </c>
      <c r="H3306" s="0" t="s">
        <v>33</v>
      </c>
      <c r="I3306" s="7" t="n">
        <f aca="false">IF(AND(LEFT(A3306,1)&lt;&gt;"C",D3306&gt;0,F3306&gt;0),1,0)</f>
        <v>1</v>
      </c>
      <c r="J3306" s="7" t="n">
        <f aca="false">IF(I3306=1,D3306*F3306,0)</f>
        <v>10.2</v>
      </c>
      <c r="K3306" s="7" t="n">
        <f aca="false">YEAR(E3306)*100+MONTH(E3306)</f>
        <v>201110</v>
      </c>
      <c r="L3306" s="7" t="n">
        <f aca="false">IF(AND(A3306&lt;&gt;A3305,LEFT(A3306,1)&lt;&gt;"C"),1,0)</f>
        <v>1</v>
      </c>
    </row>
    <row r="3307" customFormat="false" ht="15" hidden="false" customHeight="false" outlineLevel="0" collapsed="false">
      <c r="A3307" s="0" t="s">
        <v>2356</v>
      </c>
      <c r="B3307" s="0" t="s">
        <v>1951</v>
      </c>
      <c r="C3307" s="0" t="s">
        <v>1952</v>
      </c>
      <c r="D3307" s="0" t="n">
        <v>24</v>
      </c>
      <c r="E3307" s="6" t="n">
        <v>40833.4770833333</v>
      </c>
      <c r="F3307" s="0" t="n">
        <v>0.29</v>
      </c>
      <c r="G3307" s="0" t="n">
        <v>12473</v>
      </c>
      <c r="H3307" s="0" t="s">
        <v>33</v>
      </c>
      <c r="I3307" s="7" t="n">
        <f aca="false">IF(AND(LEFT(A3307,1)&lt;&gt;"C",D3307&gt;0,F3307&gt;0),1,0)</f>
        <v>1</v>
      </c>
      <c r="J3307" s="7" t="n">
        <f aca="false">IF(I3307=1,D3307*F3307,0)</f>
        <v>6.96</v>
      </c>
      <c r="K3307" s="7" t="n">
        <f aca="false">YEAR(E3307)*100+MONTH(E3307)</f>
        <v>201110</v>
      </c>
      <c r="L3307" s="7" t="n">
        <f aca="false">IF(AND(A3307&lt;&gt;A3306,LEFT(A3307,1)&lt;&gt;"C"),1,0)</f>
        <v>0</v>
      </c>
    </row>
    <row r="3308" customFormat="false" ht="15" hidden="false" customHeight="false" outlineLevel="0" collapsed="false">
      <c r="A3308" s="0" t="s">
        <v>2356</v>
      </c>
      <c r="B3308" s="0" t="s">
        <v>2116</v>
      </c>
      <c r="C3308" s="0" t="s">
        <v>2117</v>
      </c>
      <c r="D3308" s="0" t="n">
        <v>24</v>
      </c>
      <c r="E3308" s="6" t="n">
        <v>40833.4770833333</v>
      </c>
      <c r="F3308" s="0" t="n">
        <v>0.85</v>
      </c>
      <c r="G3308" s="0" t="n">
        <v>12473</v>
      </c>
      <c r="H3308" s="0" t="s">
        <v>33</v>
      </c>
      <c r="I3308" s="7" t="n">
        <f aca="false">IF(AND(LEFT(A3308,1)&lt;&gt;"C",D3308&gt;0,F3308&gt;0),1,0)</f>
        <v>1</v>
      </c>
      <c r="J3308" s="7" t="n">
        <f aca="false">IF(I3308=1,D3308*F3308,0)</f>
        <v>20.4</v>
      </c>
      <c r="K3308" s="7" t="n">
        <f aca="false">YEAR(E3308)*100+MONTH(E3308)</f>
        <v>201110</v>
      </c>
      <c r="L3308" s="7" t="n">
        <f aca="false">IF(AND(A3308&lt;&gt;A3307,LEFT(A3308,1)&lt;&gt;"C"),1,0)</f>
        <v>0</v>
      </c>
    </row>
    <row r="3309" customFormat="false" ht="15" hidden="false" customHeight="false" outlineLevel="0" collapsed="false">
      <c r="A3309" s="0" t="s">
        <v>2356</v>
      </c>
      <c r="B3309" s="0" t="s">
        <v>701</v>
      </c>
      <c r="C3309" s="0" t="s">
        <v>702</v>
      </c>
      <c r="D3309" s="0" t="n">
        <v>12</v>
      </c>
      <c r="E3309" s="6" t="n">
        <v>40833.4770833333</v>
      </c>
      <c r="F3309" s="0" t="n">
        <v>1.25</v>
      </c>
      <c r="G3309" s="0" t="n">
        <v>12473</v>
      </c>
      <c r="H3309" s="0" t="s">
        <v>33</v>
      </c>
      <c r="I3309" s="7" t="n">
        <f aca="false">IF(AND(LEFT(A3309,1)&lt;&gt;"C",D3309&gt;0,F3309&gt;0),1,0)</f>
        <v>1</v>
      </c>
      <c r="J3309" s="7" t="n">
        <f aca="false">IF(I3309=1,D3309*F3309,0)</f>
        <v>15</v>
      </c>
      <c r="K3309" s="7" t="n">
        <f aca="false">YEAR(E3309)*100+MONTH(E3309)</f>
        <v>201110</v>
      </c>
      <c r="L3309" s="7" t="n">
        <f aca="false">IF(AND(A3309&lt;&gt;A3308,LEFT(A3309,1)&lt;&gt;"C"),1,0)</f>
        <v>0</v>
      </c>
    </row>
    <row r="3310" customFormat="false" ht="15" hidden="false" customHeight="false" outlineLevel="0" collapsed="false">
      <c r="A3310" s="0" t="s">
        <v>2356</v>
      </c>
      <c r="B3310" s="0" t="s">
        <v>2359</v>
      </c>
      <c r="C3310" s="0" t="s">
        <v>2360</v>
      </c>
      <c r="D3310" s="0" t="n">
        <v>12</v>
      </c>
      <c r="E3310" s="6" t="n">
        <v>40833.4770833333</v>
      </c>
      <c r="F3310" s="0" t="n">
        <v>0.38</v>
      </c>
      <c r="G3310" s="0" t="n">
        <v>12473</v>
      </c>
      <c r="H3310" s="0" t="s">
        <v>33</v>
      </c>
      <c r="I3310" s="7" t="n">
        <f aca="false">IF(AND(LEFT(A3310,1)&lt;&gt;"C",D3310&gt;0,F3310&gt;0),1,0)</f>
        <v>1</v>
      </c>
      <c r="J3310" s="7" t="n">
        <f aca="false">IF(I3310=1,D3310*F3310,0)</f>
        <v>4.56</v>
      </c>
      <c r="K3310" s="7" t="n">
        <f aca="false">YEAR(E3310)*100+MONTH(E3310)</f>
        <v>201110</v>
      </c>
      <c r="L3310" s="7" t="n">
        <f aca="false">IF(AND(A3310&lt;&gt;A3309,LEFT(A3310,1)&lt;&gt;"C"),1,0)</f>
        <v>0</v>
      </c>
    </row>
    <row r="3311" customFormat="false" ht="15" hidden="false" customHeight="false" outlineLevel="0" collapsed="false">
      <c r="A3311" s="0" t="s">
        <v>2356</v>
      </c>
      <c r="B3311" s="0" t="s">
        <v>705</v>
      </c>
      <c r="C3311" s="0" t="s">
        <v>706</v>
      </c>
      <c r="D3311" s="0" t="n">
        <v>12</v>
      </c>
      <c r="E3311" s="6" t="n">
        <v>40833.4770833333</v>
      </c>
      <c r="F3311" s="0" t="n">
        <v>0.85</v>
      </c>
      <c r="G3311" s="0" t="n">
        <v>12473</v>
      </c>
      <c r="H3311" s="0" t="s">
        <v>33</v>
      </c>
      <c r="I3311" s="7" t="n">
        <f aca="false">IF(AND(LEFT(A3311,1)&lt;&gt;"C",D3311&gt;0,F3311&gt;0),1,0)</f>
        <v>1</v>
      </c>
      <c r="J3311" s="7" t="n">
        <f aca="false">IF(I3311=1,D3311*F3311,0)</f>
        <v>10.2</v>
      </c>
      <c r="K3311" s="7" t="n">
        <f aca="false">YEAR(E3311)*100+MONTH(E3311)</f>
        <v>201110</v>
      </c>
      <c r="L3311" s="7" t="n">
        <f aca="false">IF(AND(A3311&lt;&gt;A3310,LEFT(A3311,1)&lt;&gt;"C"),1,0)</f>
        <v>0</v>
      </c>
    </row>
    <row r="3312" customFormat="false" ht="15" hidden="false" customHeight="false" outlineLevel="0" collapsed="false">
      <c r="A3312" s="0" t="s">
        <v>2356</v>
      </c>
      <c r="B3312" s="0" t="s">
        <v>861</v>
      </c>
      <c r="C3312" s="0" t="s">
        <v>862</v>
      </c>
      <c r="D3312" s="0" t="n">
        <v>6</v>
      </c>
      <c r="E3312" s="6" t="n">
        <v>40833.4770833333</v>
      </c>
      <c r="F3312" s="0" t="n">
        <v>2.55</v>
      </c>
      <c r="G3312" s="0" t="n">
        <v>12473</v>
      </c>
      <c r="H3312" s="0" t="s">
        <v>33</v>
      </c>
      <c r="I3312" s="7" t="n">
        <f aca="false">IF(AND(LEFT(A3312,1)&lt;&gt;"C",D3312&gt;0,F3312&gt;0),1,0)</f>
        <v>1</v>
      </c>
      <c r="J3312" s="7" t="n">
        <f aca="false">IF(I3312=1,D3312*F3312,0)</f>
        <v>15.3</v>
      </c>
      <c r="K3312" s="7" t="n">
        <f aca="false">YEAR(E3312)*100+MONTH(E3312)</f>
        <v>201110</v>
      </c>
      <c r="L3312" s="7" t="n">
        <f aca="false">IF(AND(A3312&lt;&gt;A3311,LEFT(A3312,1)&lt;&gt;"C"),1,0)</f>
        <v>0</v>
      </c>
    </row>
    <row r="3313" customFormat="false" ht="15" hidden="false" customHeight="false" outlineLevel="0" collapsed="false">
      <c r="A3313" s="0" t="s">
        <v>2356</v>
      </c>
      <c r="B3313" s="0" t="s">
        <v>2361</v>
      </c>
      <c r="C3313" s="0" t="s">
        <v>2362</v>
      </c>
      <c r="D3313" s="0" t="n">
        <v>12</v>
      </c>
      <c r="E3313" s="6" t="n">
        <v>40833.4770833333</v>
      </c>
      <c r="F3313" s="0" t="n">
        <v>1.25</v>
      </c>
      <c r="G3313" s="0" t="n">
        <v>12473</v>
      </c>
      <c r="H3313" s="0" t="s">
        <v>33</v>
      </c>
      <c r="I3313" s="7" t="n">
        <f aca="false">IF(AND(LEFT(A3313,1)&lt;&gt;"C",D3313&gt;0,F3313&gt;0),1,0)</f>
        <v>1</v>
      </c>
      <c r="J3313" s="7" t="n">
        <f aca="false">IF(I3313=1,D3313*F3313,0)</f>
        <v>15</v>
      </c>
      <c r="K3313" s="7" t="n">
        <f aca="false">YEAR(E3313)*100+MONTH(E3313)</f>
        <v>201110</v>
      </c>
      <c r="L3313" s="7" t="n">
        <f aca="false">IF(AND(A3313&lt;&gt;A3312,LEFT(A3313,1)&lt;&gt;"C"),1,0)</f>
        <v>0</v>
      </c>
    </row>
    <row r="3314" customFormat="false" ht="15" hidden="false" customHeight="false" outlineLevel="0" collapsed="false">
      <c r="A3314" s="0" t="s">
        <v>2356</v>
      </c>
      <c r="B3314" s="0" t="s">
        <v>2363</v>
      </c>
      <c r="C3314" s="0" t="s">
        <v>2364</v>
      </c>
      <c r="D3314" s="0" t="n">
        <v>12</v>
      </c>
      <c r="E3314" s="6" t="n">
        <v>40833.4770833333</v>
      </c>
      <c r="F3314" s="0" t="n">
        <v>1.06</v>
      </c>
      <c r="G3314" s="0" t="n">
        <v>12473</v>
      </c>
      <c r="H3314" s="0" t="s">
        <v>33</v>
      </c>
      <c r="I3314" s="7" t="n">
        <f aca="false">IF(AND(LEFT(A3314,1)&lt;&gt;"C",D3314&gt;0,F3314&gt;0),1,0)</f>
        <v>1</v>
      </c>
      <c r="J3314" s="7" t="n">
        <f aca="false">IF(I3314=1,D3314*F3314,0)</f>
        <v>12.72</v>
      </c>
      <c r="K3314" s="7" t="n">
        <f aca="false">YEAR(E3314)*100+MONTH(E3314)</f>
        <v>201110</v>
      </c>
      <c r="L3314" s="7" t="n">
        <f aca="false">IF(AND(A3314&lt;&gt;A3313,LEFT(A3314,1)&lt;&gt;"C"),1,0)</f>
        <v>0</v>
      </c>
    </row>
    <row r="3315" customFormat="false" ht="15" hidden="false" customHeight="false" outlineLevel="0" collapsed="false">
      <c r="A3315" s="0" t="s">
        <v>2356</v>
      </c>
      <c r="B3315" s="0" t="s">
        <v>2365</v>
      </c>
      <c r="C3315" s="0" t="s">
        <v>2366</v>
      </c>
      <c r="D3315" s="0" t="n">
        <v>12</v>
      </c>
      <c r="E3315" s="6" t="n">
        <v>40833.4770833333</v>
      </c>
      <c r="F3315" s="0" t="n">
        <v>0.85</v>
      </c>
      <c r="G3315" s="0" t="n">
        <v>12473</v>
      </c>
      <c r="H3315" s="0" t="s">
        <v>33</v>
      </c>
      <c r="I3315" s="7" t="n">
        <f aca="false">IF(AND(LEFT(A3315,1)&lt;&gt;"C",D3315&gt;0,F3315&gt;0),1,0)</f>
        <v>1</v>
      </c>
      <c r="J3315" s="7" t="n">
        <f aca="false">IF(I3315=1,D3315*F3315,0)</f>
        <v>10.2</v>
      </c>
      <c r="K3315" s="7" t="n">
        <f aca="false">YEAR(E3315)*100+MONTH(E3315)</f>
        <v>201110</v>
      </c>
      <c r="L3315" s="7" t="n">
        <f aca="false">IF(AND(A3315&lt;&gt;A3314,LEFT(A3315,1)&lt;&gt;"C"),1,0)</f>
        <v>0</v>
      </c>
    </row>
    <row r="3316" customFormat="false" ht="15" hidden="false" customHeight="false" outlineLevel="0" collapsed="false">
      <c r="A3316" s="0" t="s">
        <v>2356</v>
      </c>
      <c r="B3316" s="0" t="s">
        <v>2367</v>
      </c>
      <c r="C3316" s="0" t="s">
        <v>2368</v>
      </c>
      <c r="D3316" s="0" t="n">
        <v>16</v>
      </c>
      <c r="E3316" s="6" t="n">
        <v>40833.4770833333</v>
      </c>
      <c r="F3316" s="0" t="n">
        <v>0.83</v>
      </c>
      <c r="G3316" s="0" t="n">
        <v>12473</v>
      </c>
      <c r="H3316" s="0" t="s">
        <v>33</v>
      </c>
      <c r="I3316" s="7" t="n">
        <f aca="false">IF(AND(LEFT(A3316,1)&lt;&gt;"C",D3316&gt;0,F3316&gt;0),1,0)</f>
        <v>1</v>
      </c>
      <c r="J3316" s="7" t="n">
        <f aca="false">IF(I3316=1,D3316*F3316,0)</f>
        <v>13.28</v>
      </c>
      <c r="K3316" s="7" t="n">
        <f aca="false">YEAR(E3316)*100+MONTH(E3316)</f>
        <v>201110</v>
      </c>
      <c r="L3316" s="7" t="n">
        <f aca="false">IF(AND(A3316&lt;&gt;A3315,LEFT(A3316,1)&lt;&gt;"C"),1,0)</f>
        <v>0</v>
      </c>
    </row>
    <row r="3317" customFormat="false" ht="15" hidden="false" customHeight="false" outlineLevel="0" collapsed="false">
      <c r="A3317" s="0" t="s">
        <v>2356</v>
      </c>
      <c r="B3317" s="0" t="s">
        <v>418</v>
      </c>
      <c r="C3317" s="0" t="s">
        <v>419</v>
      </c>
      <c r="D3317" s="0" t="n">
        <v>6</v>
      </c>
      <c r="E3317" s="6" t="n">
        <v>40833.4770833333</v>
      </c>
      <c r="F3317" s="0" t="n">
        <v>3.25</v>
      </c>
      <c r="G3317" s="0" t="n">
        <v>12473</v>
      </c>
      <c r="H3317" s="0" t="s">
        <v>33</v>
      </c>
      <c r="I3317" s="7" t="n">
        <f aca="false">IF(AND(LEFT(A3317,1)&lt;&gt;"C",D3317&gt;0,F3317&gt;0),1,0)</f>
        <v>1</v>
      </c>
      <c r="J3317" s="7" t="n">
        <f aca="false">IF(I3317=1,D3317*F3317,0)</f>
        <v>19.5</v>
      </c>
      <c r="K3317" s="7" t="n">
        <f aca="false">YEAR(E3317)*100+MONTH(E3317)</f>
        <v>201110</v>
      </c>
      <c r="L3317" s="7" t="n">
        <f aca="false">IF(AND(A3317&lt;&gt;A3316,LEFT(A3317,1)&lt;&gt;"C"),1,0)</f>
        <v>0</v>
      </c>
    </row>
    <row r="3318" customFormat="false" ht="15" hidden="false" customHeight="false" outlineLevel="0" collapsed="false">
      <c r="A3318" s="0" t="s">
        <v>2356</v>
      </c>
      <c r="B3318" s="0" t="s">
        <v>649</v>
      </c>
      <c r="C3318" s="0" t="s">
        <v>650</v>
      </c>
      <c r="D3318" s="0" t="n">
        <v>24</v>
      </c>
      <c r="E3318" s="6" t="n">
        <v>40833.4770833333</v>
      </c>
      <c r="F3318" s="0" t="n">
        <v>0.39</v>
      </c>
      <c r="G3318" s="0" t="n">
        <v>12473</v>
      </c>
      <c r="H3318" s="0" t="s">
        <v>33</v>
      </c>
      <c r="I3318" s="7" t="n">
        <f aca="false">IF(AND(LEFT(A3318,1)&lt;&gt;"C",D3318&gt;0,F3318&gt;0),1,0)</f>
        <v>1</v>
      </c>
      <c r="J3318" s="7" t="n">
        <f aca="false">IF(I3318=1,D3318*F3318,0)</f>
        <v>9.36</v>
      </c>
      <c r="K3318" s="7" t="n">
        <f aca="false">YEAR(E3318)*100+MONTH(E3318)</f>
        <v>201110</v>
      </c>
      <c r="L3318" s="7" t="n">
        <f aca="false">IF(AND(A3318&lt;&gt;A3317,LEFT(A3318,1)&lt;&gt;"C"),1,0)</f>
        <v>0</v>
      </c>
    </row>
    <row r="3319" customFormat="false" ht="15" hidden="false" customHeight="false" outlineLevel="0" collapsed="false">
      <c r="A3319" s="0" t="s">
        <v>2356</v>
      </c>
      <c r="B3319" s="0" t="s">
        <v>2369</v>
      </c>
      <c r="C3319" s="0" t="s">
        <v>2370</v>
      </c>
      <c r="D3319" s="0" t="n">
        <v>12</v>
      </c>
      <c r="E3319" s="6" t="n">
        <v>40833.4770833333</v>
      </c>
      <c r="F3319" s="0" t="n">
        <v>0.39</v>
      </c>
      <c r="G3319" s="0" t="n">
        <v>12473</v>
      </c>
      <c r="H3319" s="0" t="s">
        <v>33</v>
      </c>
      <c r="I3319" s="7" t="n">
        <f aca="false">IF(AND(LEFT(A3319,1)&lt;&gt;"C",D3319&gt;0,F3319&gt;0),1,0)</f>
        <v>1</v>
      </c>
      <c r="J3319" s="7" t="n">
        <f aca="false">IF(I3319=1,D3319*F3319,0)</f>
        <v>4.68</v>
      </c>
      <c r="K3319" s="7" t="n">
        <f aca="false">YEAR(E3319)*100+MONTH(E3319)</f>
        <v>201110</v>
      </c>
      <c r="L3319" s="7" t="n">
        <f aca="false">IF(AND(A3319&lt;&gt;A3318,LEFT(A3319,1)&lt;&gt;"C"),1,0)</f>
        <v>0</v>
      </c>
    </row>
    <row r="3320" customFormat="false" ht="15" hidden="false" customHeight="false" outlineLevel="0" collapsed="false">
      <c r="A3320" s="0" t="s">
        <v>2356</v>
      </c>
      <c r="B3320" s="0" t="s">
        <v>887</v>
      </c>
      <c r="C3320" s="0" t="s">
        <v>888</v>
      </c>
      <c r="D3320" s="0" t="n">
        <v>12</v>
      </c>
      <c r="E3320" s="6" t="n">
        <v>40833.4770833333</v>
      </c>
      <c r="F3320" s="0" t="n">
        <v>0.39</v>
      </c>
      <c r="G3320" s="0" t="n">
        <v>12473</v>
      </c>
      <c r="H3320" s="0" t="s">
        <v>33</v>
      </c>
      <c r="I3320" s="7" t="n">
        <f aca="false">IF(AND(LEFT(A3320,1)&lt;&gt;"C",D3320&gt;0,F3320&gt;0),1,0)</f>
        <v>1</v>
      </c>
      <c r="J3320" s="7" t="n">
        <f aca="false">IF(I3320=1,D3320*F3320,0)</f>
        <v>4.68</v>
      </c>
      <c r="K3320" s="7" t="n">
        <f aca="false">YEAR(E3320)*100+MONTH(E3320)</f>
        <v>201110</v>
      </c>
      <c r="L3320" s="7" t="n">
        <f aca="false">IF(AND(A3320&lt;&gt;A3319,LEFT(A3320,1)&lt;&gt;"C"),1,0)</f>
        <v>0</v>
      </c>
    </row>
    <row r="3321" customFormat="false" ht="15" hidden="false" customHeight="false" outlineLevel="0" collapsed="false">
      <c r="A3321" s="0" t="s">
        <v>2356</v>
      </c>
      <c r="B3321" s="0" t="s">
        <v>2371</v>
      </c>
      <c r="C3321" s="0" t="s">
        <v>2372</v>
      </c>
      <c r="D3321" s="0" t="n">
        <v>12</v>
      </c>
      <c r="E3321" s="6" t="n">
        <v>40833.4770833333</v>
      </c>
      <c r="F3321" s="0" t="n">
        <v>0.79</v>
      </c>
      <c r="G3321" s="0" t="n">
        <v>12473</v>
      </c>
      <c r="H3321" s="0" t="s">
        <v>33</v>
      </c>
      <c r="I3321" s="7" t="n">
        <f aca="false">IF(AND(LEFT(A3321,1)&lt;&gt;"C",D3321&gt;0,F3321&gt;0),1,0)</f>
        <v>1</v>
      </c>
      <c r="J3321" s="7" t="n">
        <f aca="false">IF(I3321=1,D3321*F3321,0)</f>
        <v>9.48</v>
      </c>
      <c r="K3321" s="7" t="n">
        <f aca="false">YEAR(E3321)*100+MONTH(E3321)</f>
        <v>201110</v>
      </c>
      <c r="L3321" s="7" t="n">
        <f aca="false">IF(AND(A3321&lt;&gt;A3320,LEFT(A3321,1)&lt;&gt;"C"),1,0)</f>
        <v>0</v>
      </c>
    </row>
    <row r="3322" customFormat="false" ht="15" hidden="false" customHeight="false" outlineLevel="0" collapsed="false">
      <c r="A3322" s="0" t="s">
        <v>2356</v>
      </c>
      <c r="B3322" s="0" t="s">
        <v>2373</v>
      </c>
      <c r="C3322" s="0" t="s">
        <v>2374</v>
      </c>
      <c r="D3322" s="0" t="n">
        <v>48</v>
      </c>
      <c r="E3322" s="6" t="n">
        <v>40833.4770833333</v>
      </c>
      <c r="F3322" s="0" t="n">
        <v>0.39</v>
      </c>
      <c r="G3322" s="0" t="n">
        <v>12473</v>
      </c>
      <c r="H3322" s="0" t="s">
        <v>33</v>
      </c>
      <c r="I3322" s="7" t="n">
        <f aca="false">IF(AND(LEFT(A3322,1)&lt;&gt;"C",D3322&gt;0,F3322&gt;0),1,0)</f>
        <v>1</v>
      </c>
      <c r="J3322" s="7" t="n">
        <f aca="false">IF(I3322=1,D3322*F3322,0)</f>
        <v>18.72</v>
      </c>
      <c r="K3322" s="7" t="n">
        <f aca="false">YEAR(E3322)*100+MONTH(E3322)</f>
        <v>201110</v>
      </c>
      <c r="L3322" s="7" t="n">
        <f aca="false">IF(AND(A3322&lt;&gt;A3321,LEFT(A3322,1)&lt;&gt;"C"),1,0)</f>
        <v>0</v>
      </c>
    </row>
    <row r="3323" customFormat="false" ht="15" hidden="false" customHeight="false" outlineLevel="0" collapsed="false">
      <c r="A3323" s="0" t="s">
        <v>2356</v>
      </c>
      <c r="B3323" s="0" t="s">
        <v>2375</v>
      </c>
      <c r="C3323" s="0" t="s">
        <v>2376</v>
      </c>
      <c r="D3323" s="0" t="n">
        <v>24</v>
      </c>
      <c r="E3323" s="6" t="n">
        <v>40833.4770833333</v>
      </c>
      <c r="F3323" s="0" t="n">
        <v>0.29</v>
      </c>
      <c r="G3323" s="0" t="n">
        <v>12473</v>
      </c>
      <c r="H3323" s="0" t="s">
        <v>33</v>
      </c>
      <c r="I3323" s="7" t="n">
        <f aca="false">IF(AND(LEFT(A3323,1)&lt;&gt;"C",D3323&gt;0,F3323&gt;0),1,0)</f>
        <v>1</v>
      </c>
      <c r="J3323" s="7" t="n">
        <f aca="false">IF(I3323=1,D3323*F3323,0)</f>
        <v>6.96</v>
      </c>
      <c r="K3323" s="7" t="n">
        <f aca="false">YEAR(E3323)*100+MONTH(E3323)</f>
        <v>201110</v>
      </c>
      <c r="L3323" s="7" t="n">
        <f aca="false">IF(AND(A3323&lt;&gt;A3322,LEFT(A3323,1)&lt;&gt;"C"),1,0)</f>
        <v>0</v>
      </c>
    </row>
    <row r="3324" customFormat="false" ht="15" hidden="false" customHeight="false" outlineLevel="0" collapsed="false">
      <c r="A3324" s="0" t="s">
        <v>2356</v>
      </c>
      <c r="B3324" s="0" t="s">
        <v>1455</v>
      </c>
      <c r="C3324" s="0" t="s">
        <v>1456</v>
      </c>
      <c r="D3324" s="0" t="n">
        <v>24</v>
      </c>
      <c r="E3324" s="6" t="n">
        <v>40833.4770833333</v>
      </c>
      <c r="F3324" s="0" t="n">
        <v>0.65</v>
      </c>
      <c r="G3324" s="0" t="n">
        <v>12473</v>
      </c>
      <c r="H3324" s="0" t="s">
        <v>33</v>
      </c>
      <c r="I3324" s="7" t="n">
        <f aca="false">IF(AND(LEFT(A3324,1)&lt;&gt;"C",D3324&gt;0,F3324&gt;0),1,0)</f>
        <v>1</v>
      </c>
      <c r="J3324" s="7" t="n">
        <f aca="false">IF(I3324=1,D3324*F3324,0)</f>
        <v>15.6</v>
      </c>
      <c r="K3324" s="7" t="n">
        <f aca="false">YEAR(E3324)*100+MONTH(E3324)</f>
        <v>201110</v>
      </c>
      <c r="L3324" s="7" t="n">
        <f aca="false">IF(AND(A3324&lt;&gt;A3323,LEFT(A3324,1)&lt;&gt;"C"),1,0)</f>
        <v>0</v>
      </c>
    </row>
    <row r="3325" customFormat="false" ht="15" hidden="false" customHeight="false" outlineLevel="0" collapsed="false">
      <c r="A3325" s="0" t="s">
        <v>2356</v>
      </c>
      <c r="B3325" s="0" t="s">
        <v>2377</v>
      </c>
      <c r="C3325" s="0" t="s">
        <v>2378</v>
      </c>
      <c r="D3325" s="0" t="n">
        <v>12</v>
      </c>
      <c r="E3325" s="6" t="n">
        <v>40833.4770833333</v>
      </c>
      <c r="F3325" s="0" t="n">
        <v>0.65</v>
      </c>
      <c r="G3325" s="0" t="n">
        <v>12473</v>
      </c>
      <c r="H3325" s="0" t="s">
        <v>33</v>
      </c>
      <c r="I3325" s="7" t="n">
        <f aca="false">IF(AND(LEFT(A3325,1)&lt;&gt;"C",D3325&gt;0,F3325&gt;0),1,0)</f>
        <v>1</v>
      </c>
      <c r="J3325" s="7" t="n">
        <f aca="false">IF(I3325=1,D3325*F3325,0)</f>
        <v>7.8</v>
      </c>
      <c r="K3325" s="7" t="n">
        <f aca="false">YEAR(E3325)*100+MONTH(E3325)</f>
        <v>201110</v>
      </c>
      <c r="L3325" s="7" t="n">
        <f aca="false">IF(AND(A3325&lt;&gt;A3324,LEFT(A3325,1)&lt;&gt;"C"),1,0)</f>
        <v>0</v>
      </c>
    </row>
    <row r="3326" customFormat="false" ht="15" hidden="false" customHeight="false" outlineLevel="0" collapsed="false">
      <c r="A3326" s="0" t="s">
        <v>2356</v>
      </c>
      <c r="B3326" s="0" t="s">
        <v>2379</v>
      </c>
      <c r="C3326" s="0" t="s">
        <v>2380</v>
      </c>
      <c r="D3326" s="0" t="n">
        <v>12</v>
      </c>
      <c r="E3326" s="6" t="n">
        <v>40833.4770833333</v>
      </c>
      <c r="F3326" s="0" t="n">
        <v>0.65</v>
      </c>
      <c r="G3326" s="0" t="n">
        <v>12473</v>
      </c>
      <c r="H3326" s="0" t="s">
        <v>33</v>
      </c>
      <c r="I3326" s="7" t="n">
        <f aca="false">IF(AND(LEFT(A3326,1)&lt;&gt;"C",D3326&gt;0,F3326&gt;0),1,0)</f>
        <v>1</v>
      </c>
      <c r="J3326" s="7" t="n">
        <f aca="false">IF(I3326=1,D3326*F3326,0)</f>
        <v>7.8</v>
      </c>
      <c r="K3326" s="7" t="n">
        <f aca="false">YEAR(E3326)*100+MONTH(E3326)</f>
        <v>201110</v>
      </c>
      <c r="L3326" s="7" t="n">
        <f aca="false">IF(AND(A3326&lt;&gt;A3325,LEFT(A3326,1)&lt;&gt;"C"),1,0)</f>
        <v>0</v>
      </c>
    </row>
    <row r="3327" customFormat="false" ht="15" hidden="false" customHeight="false" outlineLevel="0" collapsed="false">
      <c r="A3327" s="0" t="s">
        <v>2356</v>
      </c>
      <c r="B3327" s="0" t="s">
        <v>2381</v>
      </c>
      <c r="C3327" s="0" t="s">
        <v>2382</v>
      </c>
      <c r="D3327" s="0" t="n">
        <v>24</v>
      </c>
      <c r="E3327" s="6" t="n">
        <v>40833.4770833333</v>
      </c>
      <c r="F3327" s="0" t="n">
        <v>0.79</v>
      </c>
      <c r="G3327" s="0" t="n">
        <v>12473</v>
      </c>
      <c r="H3327" s="0" t="s">
        <v>33</v>
      </c>
      <c r="I3327" s="7" t="n">
        <f aca="false">IF(AND(LEFT(A3327,1)&lt;&gt;"C",D3327&gt;0,F3327&gt;0),1,0)</f>
        <v>1</v>
      </c>
      <c r="J3327" s="7" t="n">
        <f aca="false">IF(I3327=1,D3327*F3327,0)</f>
        <v>18.96</v>
      </c>
      <c r="K3327" s="7" t="n">
        <f aca="false">YEAR(E3327)*100+MONTH(E3327)</f>
        <v>201110</v>
      </c>
      <c r="L3327" s="7" t="n">
        <f aca="false">IF(AND(A3327&lt;&gt;A3326,LEFT(A3327,1)&lt;&gt;"C"),1,0)</f>
        <v>0</v>
      </c>
    </row>
    <row r="3328" customFormat="false" ht="15" hidden="false" customHeight="false" outlineLevel="0" collapsed="false">
      <c r="A3328" s="0" t="s">
        <v>2356</v>
      </c>
      <c r="B3328" s="0" t="s">
        <v>1333</v>
      </c>
      <c r="C3328" s="0" t="s">
        <v>1334</v>
      </c>
      <c r="D3328" s="0" t="n">
        <v>12</v>
      </c>
      <c r="E3328" s="6" t="n">
        <v>40833.4770833333</v>
      </c>
      <c r="F3328" s="0" t="n">
        <v>1.25</v>
      </c>
      <c r="G3328" s="0" t="n">
        <v>12473</v>
      </c>
      <c r="H3328" s="0" t="s">
        <v>33</v>
      </c>
      <c r="I3328" s="7" t="n">
        <f aca="false">IF(AND(LEFT(A3328,1)&lt;&gt;"C",D3328&gt;0,F3328&gt;0),1,0)</f>
        <v>1</v>
      </c>
      <c r="J3328" s="7" t="n">
        <f aca="false">IF(I3328=1,D3328*F3328,0)</f>
        <v>15</v>
      </c>
      <c r="K3328" s="7" t="n">
        <f aca="false">YEAR(E3328)*100+MONTH(E3328)</f>
        <v>201110</v>
      </c>
      <c r="L3328" s="7" t="n">
        <f aca="false">IF(AND(A3328&lt;&gt;A3327,LEFT(A3328,1)&lt;&gt;"C"),1,0)</f>
        <v>0</v>
      </c>
    </row>
    <row r="3329" customFormat="false" ht="15" hidden="false" customHeight="false" outlineLevel="0" collapsed="false">
      <c r="A3329" s="0" t="s">
        <v>2356</v>
      </c>
      <c r="B3329" s="0" t="s">
        <v>1851</v>
      </c>
      <c r="C3329" s="0" t="s">
        <v>1852</v>
      </c>
      <c r="D3329" s="0" t="n">
        <v>12</v>
      </c>
      <c r="E3329" s="6" t="n">
        <v>40833.4770833333</v>
      </c>
      <c r="F3329" s="0" t="n">
        <v>1.25</v>
      </c>
      <c r="G3329" s="0" t="n">
        <v>12473</v>
      </c>
      <c r="H3329" s="0" t="s">
        <v>33</v>
      </c>
      <c r="I3329" s="7" t="n">
        <f aca="false">IF(AND(LEFT(A3329,1)&lt;&gt;"C",D3329&gt;0,F3329&gt;0),1,0)</f>
        <v>1</v>
      </c>
      <c r="J3329" s="7" t="n">
        <f aca="false">IF(I3329=1,D3329*F3329,0)</f>
        <v>15</v>
      </c>
      <c r="K3329" s="7" t="n">
        <f aca="false">YEAR(E3329)*100+MONTH(E3329)</f>
        <v>201110</v>
      </c>
      <c r="L3329" s="7" t="n">
        <f aca="false">IF(AND(A3329&lt;&gt;A3328,LEFT(A3329,1)&lt;&gt;"C"),1,0)</f>
        <v>0</v>
      </c>
    </row>
    <row r="3330" customFormat="false" ht="15" hidden="false" customHeight="false" outlineLevel="0" collapsed="false">
      <c r="A3330" s="0" t="s">
        <v>2356</v>
      </c>
      <c r="B3330" s="0" t="s">
        <v>2036</v>
      </c>
      <c r="C3330" s="0" t="s">
        <v>2037</v>
      </c>
      <c r="D3330" s="0" t="n">
        <v>6</v>
      </c>
      <c r="E3330" s="6" t="n">
        <v>40833.4770833333</v>
      </c>
      <c r="F3330" s="0" t="n">
        <v>2.25</v>
      </c>
      <c r="G3330" s="0" t="n">
        <v>12473</v>
      </c>
      <c r="H3330" s="0" t="s">
        <v>33</v>
      </c>
      <c r="I3330" s="7" t="n">
        <f aca="false">IF(AND(LEFT(A3330,1)&lt;&gt;"C",D3330&gt;0,F3330&gt;0),1,0)</f>
        <v>1</v>
      </c>
      <c r="J3330" s="7" t="n">
        <f aca="false">IF(I3330=1,D3330*F3330,0)</f>
        <v>13.5</v>
      </c>
      <c r="K3330" s="7" t="n">
        <f aca="false">YEAR(E3330)*100+MONTH(E3330)</f>
        <v>201110</v>
      </c>
      <c r="L3330" s="7" t="n">
        <f aca="false">IF(AND(A3330&lt;&gt;A3329,LEFT(A3330,1)&lt;&gt;"C"),1,0)</f>
        <v>0</v>
      </c>
    </row>
    <row r="3331" customFormat="false" ht="15" hidden="false" customHeight="false" outlineLevel="0" collapsed="false">
      <c r="A3331" s="0" t="s">
        <v>2356</v>
      </c>
      <c r="B3331" s="0" t="s">
        <v>363</v>
      </c>
      <c r="C3331" s="0" t="s">
        <v>364</v>
      </c>
      <c r="D3331" s="0" t="n">
        <v>6</v>
      </c>
      <c r="E3331" s="6" t="n">
        <v>40833.4770833333</v>
      </c>
      <c r="F3331" s="0" t="n">
        <v>2.25</v>
      </c>
      <c r="G3331" s="0" t="n">
        <v>12473</v>
      </c>
      <c r="H3331" s="0" t="s">
        <v>33</v>
      </c>
      <c r="I3331" s="7" t="n">
        <f aca="false">IF(AND(LEFT(A3331,1)&lt;&gt;"C",D3331&gt;0,F3331&gt;0),1,0)</f>
        <v>1</v>
      </c>
      <c r="J3331" s="7" t="n">
        <f aca="false">IF(I3331=1,D3331*F3331,0)</f>
        <v>13.5</v>
      </c>
      <c r="K3331" s="7" t="n">
        <f aca="false">YEAR(E3331)*100+MONTH(E3331)</f>
        <v>201110</v>
      </c>
      <c r="L3331" s="7" t="n">
        <f aca="false">IF(AND(A3331&lt;&gt;A3330,LEFT(A3331,1)&lt;&gt;"C"),1,0)</f>
        <v>0</v>
      </c>
    </row>
    <row r="3332" customFormat="false" ht="15" hidden="false" customHeight="false" outlineLevel="0" collapsed="false">
      <c r="A3332" s="0" t="s">
        <v>2356</v>
      </c>
      <c r="B3332" s="0" t="s">
        <v>1208</v>
      </c>
      <c r="C3332" s="0" t="s">
        <v>1209</v>
      </c>
      <c r="D3332" s="0" t="n">
        <v>6</v>
      </c>
      <c r="E3332" s="6" t="n">
        <v>40833.4770833333</v>
      </c>
      <c r="F3332" s="0" t="n">
        <v>2.55</v>
      </c>
      <c r="G3332" s="0" t="n">
        <v>12473</v>
      </c>
      <c r="H3332" s="0" t="s">
        <v>33</v>
      </c>
      <c r="I3332" s="7" t="n">
        <f aca="false">IF(AND(LEFT(A3332,1)&lt;&gt;"C",D3332&gt;0,F3332&gt;0),1,0)</f>
        <v>1</v>
      </c>
      <c r="J3332" s="7" t="n">
        <f aca="false">IF(I3332=1,D3332*F3332,0)</f>
        <v>15.3</v>
      </c>
      <c r="K3332" s="7" t="n">
        <f aca="false">YEAR(E3332)*100+MONTH(E3332)</f>
        <v>201110</v>
      </c>
      <c r="L3332" s="7" t="n">
        <f aca="false">IF(AND(A3332&lt;&gt;A3331,LEFT(A3332,1)&lt;&gt;"C"),1,0)</f>
        <v>0</v>
      </c>
    </row>
    <row r="3333" customFormat="false" ht="15" hidden="false" customHeight="false" outlineLevel="0" collapsed="false">
      <c r="A3333" s="0" t="s">
        <v>2356</v>
      </c>
      <c r="B3333" s="0" t="s">
        <v>2383</v>
      </c>
      <c r="C3333" s="0" t="s">
        <v>2384</v>
      </c>
      <c r="D3333" s="0" t="n">
        <v>12</v>
      </c>
      <c r="E3333" s="6" t="n">
        <v>40833.4770833333</v>
      </c>
      <c r="F3333" s="0" t="n">
        <v>1.25</v>
      </c>
      <c r="G3333" s="0" t="n">
        <v>12473</v>
      </c>
      <c r="H3333" s="0" t="s">
        <v>33</v>
      </c>
      <c r="I3333" s="7" t="n">
        <f aca="false">IF(AND(LEFT(A3333,1)&lt;&gt;"C",D3333&gt;0,F3333&gt;0),1,0)</f>
        <v>1</v>
      </c>
      <c r="J3333" s="7" t="n">
        <f aca="false">IF(I3333=1,D3333*F3333,0)</f>
        <v>15</v>
      </c>
      <c r="K3333" s="7" t="n">
        <f aca="false">YEAR(E3333)*100+MONTH(E3333)</f>
        <v>201110</v>
      </c>
      <c r="L3333" s="7" t="n">
        <f aca="false">IF(AND(A3333&lt;&gt;A3332,LEFT(A3333,1)&lt;&gt;"C"),1,0)</f>
        <v>0</v>
      </c>
    </row>
    <row r="3334" customFormat="false" ht="15" hidden="false" customHeight="false" outlineLevel="0" collapsed="false">
      <c r="A3334" s="0" t="s">
        <v>2356</v>
      </c>
      <c r="B3334" s="0" t="s">
        <v>2385</v>
      </c>
      <c r="C3334" s="0" t="s">
        <v>2386</v>
      </c>
      <c r="D3334" s="0" t="n">
        <v>10</v>
      </c>
      <c r="E3334" s="6" t="n">
        <v>40833.4770833333</v>
      </c>
      <c r="F3334" s="0" t="n">
        <v>1.65</v>
      </c>
      <c r="G3334" s="0" t="n">
        <v>12473</v>
      </c>
      <c r="H3334" s="0" t="s">
        <v>33</v>
      </c>
      <c r="I3334" s="7" t="n">
        <f aca="false">IF(AND(LEFT(A3334,1)&lt;&gt;"C",D3334&gt;0,F3334&gt;0),1,0)</f>
        <v>1</v>
      </c>
      <c r="J3334" s="7" t="n">
        <f aca="false">IF(I3334=1,D3334*F3334,0)</f>
        <v>16.5</v>
      </c>
      <c r="K3334" s="7" t="n">
        <f aca="false">YEAR(E3334)*100+MONTH(E3334)</f>
        <v>201110</v>
      </c>
      <c r="L3334" s="7" t="n">
        <f aca="false">IF(AND(A3334&lt;&gt;A3333,LEFT(A3334,1)&lt;&gt;"C"),1,0)</f>
        <v>0</v>
      </c>
    </row>
    <row r="3335" customFormat="false" ht="15" hidden="false" customHeight="false" outlineLevel="0" collapsed="false">
      <c r="A3335" s="0" t="s">
        <v>2356</v>
      </c>
      <c r="B3335" s="0" t="s">
        <v>2387</v>
      </c>
      <c r="C3335" s="0" t="s">
        <v>2388</v>
      </c>
      <c r="D3335" s="0" t="n">
        <v>4</v>
      </c>
      <c r="E3335" s="6" t="n">
        <v>40833.4770833333</v>
      </c>
      <c r="F3335" s="0" t="n">
        <v>4.25</v>
      </c>
      <c r="G3335" s="0" t="n">
        <v>12473</v>
      </c>
      <c r="H3335" s="0" t="s">
        <v>33</v>
      </c>
      <c r="I3335" s="7" t="n">
        <f aca="false">IF(AND(LEFT(A3335,1)&lt;&gt;"C",D3335&gt;0,F3335&gt;0),1,0)</f>
        <v>1</v>
      </c>
      <c r="J3335" s="7" t="n">
        <f aca="false">IF(I3335=1,D3335*F3335,0)</f>
        <v>17</v>
      </c>
      <c r="K3335" s="7" t="n">
        <f aca="false">YEAR(E3335)*100+MONTH(E3335)</f>
        <v>201110</v>
      </c>
      <c r="L3335" s="7" t="n">
        <f aca="false">IF(AND(A3335&lt;&gt;A3334,LEFT(A3335,1)&lt;&gt;"C"),1,0)</f>
        <v>0</v>
      </c>
    </row>
    <row r="3336" customFormat="false" ht="15" hidden="false" customHeight="false" outlineLevel="0" collapsed="false">
      <c r="A3336" s="0" t="s">
        <v>2356</v>
      </c>
      <c r="B3336" s="0" t="s">
        <v>351</v>
      </c>
      <c r="C3336" s="0" t="s">
        <v>352</v>
      </c>
      <c r="D3336" s="0" t="n">
        <v>12</v>
      </c>
      <c r="E3336" s="6" t="n">
        <v>40833.4770833333</v>
      </c>
      <c r="F3336" s="0" t="n">
        <v>1.95</v>
      </c>
      <c r="G3336" s="0" t="n">
        <v>12473</v>
      </c>
      <c r="H3336" s="0" t="s">
        <v>33</v>
      </c>
      <c r="I3336" s="7" t="n">
        <f aca="false">IF(AND(LEFT(A3336,1)&lt;&gt;"C",D3336&gt;0,F3336&gt;0),1,0)</f>
        <v>1</v>
      </c>
      <c r="J3336" s="7" t="n">
        <f aca="false">IF(I3336=1,D3336*F3336,0)</f>
        <v>23.4</v>
      </c>
      <c r="K3336" s="7" t="n">
        <f aca="false">YEAR(E3336)*100+MONTH(E3336)</f>
        <v>201110</v>
      </c>
      <c r="L3336" s="7" t="n">
        <f aca="false">IF(AND(A3336&lt;&gt;A3335,LEFT(A3336,1)&lt;&gt;"C"),1,0)</f>
        <v>0</v>
      </c>
    </row>
    <row r="3337" customFormat="false" ht="15" hidden="false" customHeight="false" outlineLevel="0" collapsed="false">
      <c r="A3337" s="0" t="s">
        <v>2356</v>
      </c>
      <c r="B3337" s="0" t="s">
        <v>168</v>
      </c>
      <c r="C3337" s="0" t="s">
        <v>169</v>
      </c>
      <c r="D3337" s="0" t="n">
        <v>10</v>
      </c>
      <c r="E3337" s="6" t="n">
        <v>40833.4770833333</v>
      </c>
      <c r="F3337" s="0" t="n">
        <v>0.85</v>
      </c>
      <c r="G3337" s="0" t="n">
        <v>12473</v>
      </c>
      <c r="H3337" s="0" t="s">
        <v>33</v>
      </c>
      <c r="I3337" s="7" t="n">
        <f aca="false">IF(AND(LEFT(A3337,1)&lt;&gt;"C",D3337&gt;0,F3337&gt;0),1,0)</f>
        <v>1</v>
      </c>
      <c r="J3337" s="7" t="n">
        <f aca="false">IF(I3337=1,D3337*F3337,0)</f>
        <v>8.5</v>
      </c>
      <c r="K3337" s="7" t="n">
        <f aca="false">YEAR(E3337)*100+MONTH(E3337)</f>
        <v>201110</v>
      </c>
      <c r="L3337" s="7" t="n">
        <f aca="false">IF(AND(A3337&lt;&gt;A3336,LEFT(A3337,1)&lt;&gt;"C"),1,0)</f>
        <v>0</v>
      </c>
    </row>
    <row r="3338" customFormat="false" ht="15" hidden="false" customHeight="false" outlineLevel="0" collapsed="false">
      <c r="A3338" s="0" t="s">
        <v>2356</v>
      </c>
      <c r="B3338" s="0" t="s">
        <v>2389</v>
      </c>
      <c r="C3338" s="0" t="s">
        <v>2390</v>
      </c>
      <c r="D3338" s="0" t="n">
        <v>4</v>
      </c>
      <c r="E3338" s="6" t="n">
        <v>40833.4770833333</v>
      </c>
      <c r="F3338" s="0" t="n">
        <v>4.65</v>
      </c>
      <c r="G3338" s="0" t="n">
        <v>12473</v>
      </c>
      <c r="H3338" s="0" t="s">
        <v>33</v>
      </c>
      <c r="I3338" s="7" t="n">
        <f aca="false">IF(AND(LEFT(A3338,1)&lt;&gt;"C",D3338&gt;0,F3338&gt;0),1,0)</f>
        <v>1</v>
      </c>
      <c r="J3338" s="7" t="n">
        <f aca="false">IF(I3338=1,D3338*F3338,0)</f>
        <v>18.6</v>
      </c>
      <c r="K3338" s="7" t="n">
        <f aca="false">YEAR(E3338)*100+MONTH(E3338)</f>
        <v>201110</v>
      </c>
      <c r="L3338" s="7" t="n">
        <f aca="false">IF(AND(A3338&lt;&gt;A3337,LEFT(A3338,1)&lt;&gt;"C"),1,0)</f>
        <v>0</v>
      </c>
    </row>
    <row r="3339" customFormat="false" ht="15" hidden="false" customHeight="false" outlineLevel="0" collapsed="false">
      <c r="A3339" s="0" t="s">
        <v>2356</v>
      </c>
      <c r="B3339" s="0" t="s">
        <v>2391</v>
      </c>
      <c r="C3339" s="0" t="s">
        <v>2392</v>
      </c>
      <c r="D3339" s="0" t="n">
        <v>6</v>
      </c>
      <c r="E3339" s="6" t="n">
        <v>40833.4770833333</v>
      </c>
      <c r="F3339" s="0" t="n">
        <v>2.55</v>
      </c>
      <c r="G3339" s="0" t="n">
        <v>12473</v>
      </c>
      <c r="H3339" s="0" t="s">
        <v>33</v>
      </c>
      <c r="I3339" s="7" t="n">
        <f aca="false">IF(AND(LEFT(A3339,1)&lt;&gt;"C",D3339&gt;0,F3339&gt;0),1,0)</f>
        <v>1</v>
      </c>
      <c r="J3339" s="7" t="n">
        <f aca="false">IF(I3339=1,D3339*F3339,0)</f>
        <v>15.3</v>
      </c>
      <c r="K3339" s="7" t="n">
        <f aca="false">YEAR(E3339)*100+MONTH(E3339)</f>
        <v>201110</v>
      </c>
      <c r="L3339" s="7" t="n">
        <f aca="false">IF(AND(A3339&lt;&gt;A3338,LEFT(A3339,1)&lt;&gt;"C"),1,0)</f>
        <v>0</v>
      </c>
    </row>
    <row r="3340" customFormat="false" ht="15" hidden="false" customHeight="false" outlineLevel="0" collapsed="false">
      <c r="A3340" s="0" t="s">
        <v>2356</v>
      </c>
      <c r="B3340" s="0" t="s">
        <v>1802</v>
      </c>
      <c r="C3340" s="0" t="s">
        <v>1803</v>
      </c>
      <c r="D3340" s="0" t="n">
        <v>12</v>
      </c>
      <c r="E3340" s="6" t="n">
        <v>40833.4770833333</v>
      </c>
      <c r="F3340" s="0" t="n">
        <v>0.65</v>
      </c>
      <c r="G3340" s="0" t="n">
        <v>12473</v>
      </c>
      <c r="H3340" s="0" t="s">
        <v>33</v>
      </c>
      <c r="I3340" s="7" t="n">
        <f aca="false">IF(AND(LEFT(A3340,1)&lt;&gt;"C",D3340&gt;0,F3340&gt;0),1,0)</f>
        <v>1</v>
      </c>
      <c r="J3340" s="7" t="n">
        <f aca="false">IF(I3340=1,D3340*F3340,0)</f>
        <v>7.8</v>
      </c>
      <c r="K3340" s="7" t="n">
        <f aca="false">YEAR(E3340)*100+MONTH(E3340)</f>
        <v>201110</v>
      </c>
      <c r="L3340" s="7" t="n">
        <f aca="false">IF(AND(A3340&lt;&gt;A3339,LEFT(A3340,1)&lt;&gt;"C"),1,0)</f>
        <v>0</v>
      </c>
    </row>
    <row r="3341" customFormat="false" ht="15" hidden="false" customHeight="false" outlineLevel="0" collapsed="false">
      <c r="A3341" s="0" t="s">
        <v>2356</v>
      </c>
      <c r="B3341" s="0" t="s">
        <v>1983</v>
      </c>
      <c r="C3341" s="0" t="s">
        <v>1984</v>
      </c>
      <c r="D3341" s="0" t="n">
        <v>12</v>
      </c>
      <c r="E3341" s="6" t="n">
        <v>40833.4770833333</v>
      </c>
      <c r="F3341" s="0" t="n">
        <v>1.25</v>
      </c>
      <c r="G3341" s="0" t="n">
        <v>12473</v>
      </c>
      <c r="H3341" s="0" t="s">
        <v>33</v>
      </c>
      <c r="I3341" s="7" t="n">
        <f aca="false">IF(AND(LEFT(A3341,1)&lt;&gt;"C",D3341&gt;0,F3341&gt;0),1,0)</f>
        <v>1</v>
      </c>
      <c r="J3341" s="7" t="n">
        <f aca="false">IF(I3341=1,D3341*F3341,0)</f>
        <v>15</v>
      </c>
      <c r="K3341" s="7" t="n">
        <f aca="false">YEAR(E3341)*100+MONTH(E3341)</f>
        <v>201110</v>
      </c>
      <c r="L3341" s="7" t="n">
        <f aca="false">IF(AND(A3341&lt;&gt;A3340,LEFT(A3341,1)&lt;&gt;"C"),1,0)</f>
        <v>0</v>
      </c>
    </row>
    <row r="3342" customFormat="false" ht="15" hidden="false" customHeight="false" outlineLevel="0" collapsed="false">
      <c r="A3342" s="0" t="s">
        <v>2356</v>
      </c>
      <c r="B3342" s="0" t="s">
        <v>1427</v>
      </c>
      <c r="C3342" s="0" t="s">
        <v>1428</v>
      </c>
      <c r="D3342" s="0" t="n">
        <v>1</v>
      </c>
      <c r="E3342" s="6" t="n">
        <v>40833.4770833333</v>
      </c>
      <c r="F3342" s="0" t="n">
        <v>9.95</v>
      </c>
      <c r="G3342" s="0" t="n">
        <v>12473</v>
      </c>
      <c r="H3342" s="0" t="s">
        <v>33</v>
      </c>
      <c r="I3342" s="7" t="n">
        <f aca="false">IF(AND(LEFT(A3342,1)&lt;&gt;"C",D3342&gt;0,F3342&gt;0),1,0)</f>
        <v>1</v>
      </c>
      <c r="J3342" s="7" t="n">
        <f aca="false">IF(I3342=1,D3342*F3342,0)</f>
        <v>9.95</v>
      </c>
      <c r="K3342" s="7" t="n">
        <f aca="false">YEAR(E3342)*100+MONTH(E3342)</f>
        <v>201110</v>
      </c>
      <c r="L3342" s="7" t="n">
        <f aca="false">IF(AND(A3342&lt;&gt;A3341,LEFT(A3342,1)&lt;&gt;"C"),1,0)</f>
        <v>0</v>
      </c>
    </row>
    <row r="3343" customFormat="false" ht="15" hidden="false" customHeight="false" outlineLevel="0" collapsed="false">
      <c r="A3343" s="0" t="s">
        <v>2356</v>
      </c>
      <c r="B3343" s="0" t="s">
        <v>975</v>
      </c>
      <c r="C3343" s="0" t="s">
        <v>976</v>
      </c>
      <c r="D3343" s="0" t="n">
        <v>10</v>
      </c>
      <c r="E3343" s="6" t="n">
        <v>40833.4770833333</v>
      </c>
      <c r="F3343" s="0" t="n">
        <v>1.65</v>
      </c>
      <c r="G3343" s="0" t="n">
        <v>12473</v>
      </c>
      <c r="H3343" s="0" t="s">
        <v>33</v>
      </c>
      <c r="I3343" s="7" t="n">
        <f aca="false">IF(AND(LEFT(A3343,1)&lt;&gt;"C",D3343&gt;0,F3343&gt;0),1,0)</f>
        <v>1</v>
      </c>
      <c r="J3343" s="7" t="n">
        <f aca="false">IF(I3343=1,D3343*F3343,0)</f>
        <v>16.5</v>
      </c>
      <c r="K3343" s="7" t="n">
        <f aca="false">YEAR(E3343)*100+MONTH(E3343)</f>
        <v>201110</v>
      </c>
      <c r="L3343" s="7" t="n">
        <f aca="false">IF(AND(A3343&lt;&gt;A3342,LEFT(A3343,1)&lt;&gt;"C"),1,0)</f>
        <v>0</v>
      </c>
    </row>
    <row r="3344" customFormat="false" ht="15" hidden="false" customHeight="false" outlineLevel="0" collapsed="false">
      <c r="A3344" s="0" t="s">
        <v>2356</v>
      </c>
      <c r="B3344" s="0" t="s">
        <v>977</v>
      </c>
      <c r="C3344" s="0" t="s">
        <v>978</v>
      </c>
      <c r="D3344" s="0" t="n">
        <v>10</v>
      </c>
      <c r="E3344" s="6" t="n">
        <v>40833.4770833333</v>
      </c>
      <c r="F3344" s="0" t="n">
        <v>1.65</v>
      </c>
      <c r="G3344" s="0" t="n">
        <v>12473</v>
      </c>
      <c r="H3344" s="0" t="s">
        <v>33</v>
      </c>
      <c r="I3344" s="7" t="n">
        <f aca="false">IF(AND(LEFT(A3344,1)&lt;&gt;"C",D3344&gt;0,F3344&gt;0),1,0)</f>
        <v>1</v>
      </c>
      <c r="J3344" s="7" t="n">
        <f aca="false">IF(I3344=1,D3344*F3344,0)</f>
        <v>16.5</v>
      </c>
      <c r="K3344" s="7" t="n">
        <f aca="false">YEAR(E3344)*100+MONTH(E3344)</f>
        <v>201110</v>
      </c>
      <c r="L3344" s="7" t="n">
        <f aca="false">IF(AND(A3344&lt;&gt;A3343,LEFT(A3344,1)&lt;&gt;"C"),1,0)</f>
        <v>0</v>
      </c>
    </row>
    <row r="3345" customFormat="false" ht="15" hidden="false" customHeight="false" outlineLevel="0" collapsed="false">
      <c r="A3345" s="0" t="s">
        <v>2356</v>
      </c>
      <c r="B3345" s="0" t="s">
        <v>2393</v>
      </c>
      <c r="C3345" s="0" t="s">
        <v>2394</v>
      </c>
      <c r="D3345" s="0" t="n">
        <v>12</v>
      </c>
      <c r="E3345" s="6" t="n">
        <v>40833.4770833333</v>
      </c>
      <c r="F3345" s="0" t="n">
        <v>1.25</v>
      </c>
      <c r="G3345" s="0" t="n">
        <v>12473</v>
      </c>
      <c r="H3345" s="0" t="s">
        <v>33</v>
      </c>
      <c r="I3345" s="7" t="n">
        <f aca="false">IF(AND(LEFT(A3345,1)&lt;&gt;"C",D3345&gt;0,F3345&gt;0),1,0)</f>
        <v>1</v>
      </c>
      <c r="J3345" s="7" t="n">
        <f aca="false">IF(I3345=1,D3345*F3345,0)</f>
        <v>15</v>
      </c>
      <c r="K3345" s="7" t="n">
        <f aca="false">YEAR(E3345)*100+MONTH(E3345)</f>
        <v>201110</v>
      </c>
      <c r="L3345" s="7" t="n">
        <f aca="false">IF(AND(A3345&lt;&gt;A3344,LEFT(A3345,1)&lt;&gt;"C"),1,0)</f>
        <v>0</v>
      </c>
    </row>
    <row r="3346" customFormat="false" ht="15" hidden="false" customHeight="false" outlineLevel="0" collapsed="false">
      <c r="A3346" s="0" t="s">
        <v>2356</v>
      </c>
      <c r="B3346" s="0" t="s">
        <v>1418</v>
      </c>
      <c r="C3346" s="0" t="s">
        <v>1419</v>
      </c>
      <c r="D3346" s="0" t="n">
        <v>12</v>
      </c>
      <c r="E3346" s="6" t="n">
        <v>40833.4770833333</v>
      </c>
      <c r="F3346" s="0" t="n">
        <v>1.25</v>
      </c>
      <c r="G3346" s="0" t="n">
        <v>12473</v>
      </c>
      <c r="H3346" s="0" t="s">
        <v>33</v>
      </c>
      <c r="I3346" s="7" t="n">
        <f aca="false">IF(AND(LEFT(A3346,1)&lt;&gt;"C",D3346&gt;0,F3346&gt;0),1,0)</f>
        <v>1</v>
      </c>
      <c r="J3346" s="7" t="n">
        <f aca="false">IF(I3346=1,D3346*F3346,0)</f>
        <v>15</v>
      </c>
      <c r="K3346" s="7" t="n">
        <f aca="false">YEAR(E3346)*100+MONTH(E3346)</f>
        <v>201110</v>
      </c>
      <c r="L3346" s="7" t="n">
        <f aca="false">IF(AND(A3346&lt;&gt;A3345,LEFT(A3346,1)&lt;&gt;"C"),1,0)</f>
        <v>0</v>
      </c>
    </row>
    <row r="3347" customFormat="false" ht="15" hidden="false" customHeight="false" outlineLevel="0" collapsed="false">
      <c r="A3347" s="0" t="s">
        <v>2356</v>
      </c>
      <c r="B3347" s="0" t="s">
        <v>2395</v>
      </c>
      <c r="C3347" s="0" t="s">
        <v>2396</v>
      </c>
      <c r="D3347" s="0" t="n">
        <v>12</v>
      </c>
      <c r="E3347" s="6" t="n">
        <v>40833.4770833333</v>
      </c>
      <c r="F3347" s="0" t="n">
        <v>1.25</v>
      </c>
      <c r="G3347" s="0" t="n">
        <v>12473</v>
      </c>
      <c r="H3347" s="0" t="s">
        <v>33</v>
      </c>
      <c r="I3347" s="7" t="n">
        <f aca="false">IF(AND(LEFT(A3347,1)&lt;&gt;"C",D3347&gt;0,F3347&gt;0),1,0)</f>
        <v>1</v>
      </c>
      <c r="J3347" s="7" t="n">
        <f aca="false">IF(I3347=1,D3347*F3347,0)</f>
        <v>15</v>
      </c>
      <c r="K3347" s="7" t="n">
        <f aca="false">YEAR(E3347)*100+MONTH(E3347)</f>
        <v>201110</v>
      </c>
      <c r="L3347" s="7" t="n">
        <f aca="false">IF(AND(A3347&lt;&gt;A3346,LEFT(A3347,1)&lt;&gt;"C"),1,0)</f>
        <v>0</v>
      </c>
    </row>
    <row r="3348" customFormat="false" ht="15" hidden="false" customHeight="false" outlineLevel="0" collapsed="false">
      <c r="A3348" s="0" t="s">
        <v>2356</v>
      </c>
      <c r="B3348" s="0" t="s">
        <v>445</v>
      </c>
      <c r="C3348" s="0" t="s">
        <v>446</v>
      </c>
      <c r="D3348" s="0" t="n">
        <v>4</v>
      </c>
      <c r="E3348" s="6" t="n">
        <v>40833.4770833333</v>
      </c>
      <c r="F3348" s="0" t="n">
        <v>7.95</v>
      </c>
      <c r="G3348" s="0" t="n">
        <v>12473</v>
      </c>
      <c r="H3348" s="0" t="s">
        <v>33</v>
      </c>
      <c r="I3348" s="7" t="n">
        <f aca="false">IF(AND(LEFT(A3348,1)&lt;&gt;"C",D3348&gt;0,F3348&gt;0),1,0)</f>
        <v>1</v>
      </c>
      <c r="J3348" s="7" t="n">
        <f aca="false">IF(I3348=1,D3348*F3348,0)</f>
        <v>31.8</v>
      </c>
      <c r="K3348" s="7" t="n">
        <f aca="false">YEAR(E3348)*100+MONTH(E3348)</f>
        <v>201110</v>
      </c>
      <c r="L3348" s="7" t="n">
        <f aca="false">IF(AND(A3348&lt;&gt;A3347,LEFT(A3348,1)&lt;&gt;"C"),1,0)</f>
        <v>0</v>
      </c>
    </row>
    <row r="3349" customFormat="false" ht="15" hidden="false" customHeight="false" outlineLevel="0" collapsed="false">
      <c r="A3349" s="0" t="s">
        <v>2356</v>
      </c>
      <c r="B3349" s="0" t="s">
        <v>2397</v>
      </c>
      <c r="C3349" s="0" t="s">
        <v>2398</v>
      </c>
      <c r="D3349" s="0" t="n">
        <v>12</v>
      </c>
      <c r="E3349" s="6" t="n">
        <v>40833.4770833333</v>
      </c>
      <c r="F3349" s="0" t="n">
        <v>1.65</v>
      </c>
      <c r="G3349" s="0" t="n">
        <v>12473</v>
      </c>
      <c r="H3349" s="0" t="s">
        <v>33</v>
      </c>
      <c r="I3349" s="7" t="n">
        <f aca="false">IF(AND(LEFT(A3349,1)&lt;&gt;"C",D3349&gt;0,F3349&gt;0),1,0)</f>
        <v>1</v>
      </c>
      <c r="J3349" s="7" t="n">
        <f aca="false">IF(I3349=1,D3349*F3349,0)</f>
        <v>19.8</v>
      </c>
      <c r="K3349" s="7" t="n">
        <f aca="false">YEAR(E3349)*100+MONTH(E3349)</f>
        <v>201110</v>
      </c>
      <c r="L3349" s="7" t="n">
        <f aca="false">IF(AND(A3349&lt;&gt;A3348,LEFT(A3349,1)&lt;&gt;"C"),1,0)</f>
        <v>0</v>
      </c>
    </row>
    <row r="3350" customFormat="false" ht="15" hidden="false" customHeight="false" outlineLevel="0" collapsed="false">
      <c r="A3350" s="0" t="s">
        <v>2356</v>
      </c>
      <c r="B3350" s="0" t="s">
        <v>2271</v>
      </c>
      <c r="C3350" s="0" t="s">
        <v>2272</v>
      </c>
      <c r="D3350" s="0" t="n">
        <v>12</v>
      </c>
      <c r="E3350" s="6" t="n">
        <v>40833.4770833333</v>
      </c>
      <c r="F3350" s="0" t="n">
        <v>1.45</v>
      </c>
      <c r="G3350" s="0" t="n">
        <v>12473</v>
      </c>
      <c r="H3350" s="0" t="s">
        <v>33</v>
      </c>
      <c r="I3350" s="7" t="n">
        <f aca="false">IF(AND(LEFT(A3350,1)&lt;&gt;"C",D3350&gt;0,F3350&gt;0),1,0)</f>
        <v>1</v>
      </c>
      <c r="J3350" s="7" t="n">
        <f aca="false">IF(I3350=1,D3350*F3350,0)</f>
        <v>17.4</v>
      </c>
      <c r="K3350" s="7" t="n">
        <f aca="false">YEAR(E3350)*100+MONTH(E3350)</f>
        <v>201110</v>
      </c>
      <c r="L3350" s="7" t="n">
        <f aca="false">IF(AND(A3350&lt;&gt;A3349,LEFT(A3350,1)&lt;&gt;"C"),1,0)</f>
        <v>0</v>
      </c>
    </row>
    <row r="3351" customFormat="false" ht="15" hidden="false" customHeight="false" outlineLevel="0" collapsed="false">
      <c r="A3351" s="0" t="s">
        <v>2356</v>
      </c>
      <c r="B3351" s="0" t="s">
        <v>2399</v>
      </c>
      <c r="C3351" s="0" t="s">
        <v>2400</v>
      </c>
      <c r="D3351" s="0" t="n">
        <v>6</v>
      </c>
      <c r="E3351" s="6" t="n">
        <v>40833.4770833333</v>
      </c>
      <c r="F3351" s="0" t="n">
        <v>1.45</v>
      </c>
      <c r="G3351" s="0" t="n">
        <v>12473</v>
      </c>
      <c r="H3351" s="0" t="s">
        <v>33</v>
      </c>
      <c r="I3351" s="7" t="n">
        <f aca="false">IF(AND(LEFT(A3351,1)&lt;&gt;"C",D3351&gt;0,F3351&gt;0),1,0)</f>
        <v>1</v>
      </c>
      <c r="J3351" s="7" t="n">
        <f aca="false">IF(I3351=1,D3351*F3351,0)</f>
        <v>8.7</v>
      </c>
      <c r="K3351" s="7" t="n">
        <f aca="false">YEAR(E3351)*100+MONTH(E3351)</f>
        <v>201110</v>
      </c>
      <c r="L3351" s="7" t="n">
        <f aca="false">IF(AND(A3351&lt;&gt;A3350,LEFT(A3351,1)&lt;&gt;"C"),1,0)</f>
        <v>0</v>
      </c>
    </row>
    <row r="3352" customFormat="false" ht="15" hidden="false" customHeight="false" outlineLevel="0" collapsed="false">
      <c r="A3352" s="0" t="s">
        <v>2356</v>
      </c>
      <c r="B3352" s="0" t="s">
        <v>2269</v>
      </c>
      <c r="C3352" s="0" t="s">
        <v>2270</v>
      </c>
      <c r="D3352" s="0" t="n">
        <v>18</v>
      </c>
      <c r="E3352" s="6" t="n">
        <v>40833.4770833333</v>
      </c>
      <c r="F3352" s="0" t="n">
        <v>1.45</v>
      </c>
      <c r="G3352" s="0" t="n">
        <v>12473</v>
      </c>
      <c r="H3352" s="0" t="s">
        <v>33</v>
      </c>
      <c r="I3352" s="7" t="n">
        <f aca="false">IF(AND(LEFT(A3352,1)&lt;&gt;"C",D3352&gt;0,F3352&gt;0),1,0)</f>
        <v>1</v>
      </c>
      <c r="J3352" s="7" t="n">
        <f aca="false">IF(I3352=1,D3352*F3352,0)</f>
        <v>26.1</v>
      </c>
      <c r="K3352" s="7" t="n">
        <f aca="false">YEAR(E3352)*100+MONTH(E3352)</f>
        <v>201110</v>
      </c>
      <c r="L3352" s="7" t="n">
        <f aca="false">IF(AND(A3352&lt;&gt;A3351,LEFT(A3352,1)&lt;&gt;"C"),1,0)</f>
        <v>0</v>
      </c>
    </row>
    <row r="3353" customFormat="false" ht="15" hidden="false" customHeight="false" outlineLevel="0" collapsed="false">
      <c r="A3353" s="0" t="s">
        <v>2356</v>
      </c>
      <c r="B3353" s="0" t="s">
        <v>388</v>
      </c>
      <c r="C3353" s="0" t="s">
        <v>389</v>
      </c>
      <c r="D3353" s="0" t="n">
        <v>16</v>
      </c>
      <c r="E3353" s="6" t="n">
        <v>40833.4770833333</v>
      </c>
      <c r="F3353" s="0" t="n">
        <v>1.69</v>
      </c>
      <c r="G3353" s="0" t="n">
        <v>12473</v>
      </c>
      <c r="H3353" s="0" t="s">
        <v>33</v>
      </c>
      <c r="I3353" s="7" t="n">
        <f aca="false">IF(AND(LEFT(A3353,1)&lt;&gt;"C",D3353&gt;0,F3353&gt;0),1,0)</f>
        <v>1</v>
      </c>
      <c r="J3353" s="7" t="n">
        <f aca="false">IF(I3353=1,D3353*F3353,0)</f>
        <v>27.04</v>
      </c>
      <c r="K3353" s="7" t="n">
        <f aca="false">YEAR(E3353)*100+MONTH(E3353)</f>
        <v>201110</v>
      </c>
      <c r="L3353" s="7" t="n">
        <f aca="false">IF(AND(A3353&lt;&gt;A3352,LEFT(A3353,1)&lt;&gt;"C"),1,0)</f>
        <v>0</v>
      </c>
    </row>
    <row r="3354" customFormat="false" ht="15" hidden="false" customHeight="false" outlineLevel="0" collapsed="false">
      <c r="A3354" s="0" t="s">
        <v>2356</v>
      </c>
      <c r="B3354" s="0" t="s">
        <v>2401</v>
      </c>
      <c r="C3354" s="0" t="s">
        <v>2402</v>
      </c>
      <c r="D3354" s="0" t="n">
        <v>6</v>
      </c>
      <c r="E3354" s="6" t="n">
        <v>40833.4770833333</v>
      </c>
      <c r="F3354" s="0" t="n">
        <v>2.95</v>
      </c>
      <c r="G3354" s="0" t="n">
        <v>12473</v>
      </c>
      <c r="H3354" s="0" t="s">
        <v>33</v>
      </c>
      <c r="I3354" s="7" t="n">
        <f aca="false">IF(AND(LEFT(A3354,1)&lt;&gt;"C",D3354&gt;0,F3354&gt;0),1,0)</f>
        <v>1</v>
      </c>
      <c r="J3354" s="7" t="n">
        <f aca="false">IF(I3354=1,D3354*F3354,0)</f>
        <v>17.7</v>
      </c>
      <c r="K3354" s="7" t="n">
        <f aca="false">YEAR(E3354)*100+MONTH(E3354)</f>
        <v>201110</v>
      </c>
      <c r="L3354" s="7" t="n">
        <f aca="false">IF(AND(A3354&lt;&gt;A3353,LEFT(A3354,1)&lt;&gt;"C"),1,0)</f>
        <v>0</v>
      </c>
    </row>
    <row r="3355" customFormat="false" ht="15" hidden="false" customHeight="false" outlineLevel="0" collapsed="false">
      <c r="A3355" s="0" t="s">
        <v>2356</v>
      </c>
      <c r="B3355" s="0" t="s">
        <v>2403</v>
      </c>
      <c r="C3355" s="0" t="s">
        <v>2404</v>
      </c>
      <c r="D3355" s="0" t="n">
        <v>4</v>
      </c>
      <c r="E3355" s="6" t="n">
        <v>40833.4770833333</v>
      </c>
      <c r="F3355" s="0" t="n">
        <v>4.15</v>
      </c>
      <c r="G3355" s="0" t="n">
        <v>12473</v>
      </c>
      <c r="H3355" s="0" t="s">
        <v>33</v>
      </c>
      <c r="I3355" s="7" t="n">
        <f aca="false">IF(AND(LEFT(A3355,1)&lt;&gt;"C",D3355&gt;0,F3355&gt;0),1,0)</f>
        <v>1</v>
      </c>
      <c r="J3355" s="7" t="n">
        <f aca="false">IF(I3355=1,D3355*F3355,0)</f>
        <v>16.6</v>
      </c>
      <c r="K3355" s="7" t="n">
        <f aca="false">YEAR(E3355)*100+MONTH(E3355)</f>
        <v>201110</v>
      </c>
      <c r="L3355" s="7" t="n">
        <f aca="false">IF(AND(A3355&lt;&gt;A3354,LEFT(A3355,1)&lt;&gt;"C"),1,0)</f>
        <v>0</v>
      </c>
    </row>
    <row r="3356" customFormat="false" ht="15" hidden="false" customHeight="false" outlineLevel="0" collapsed="false">
      <c r="A3356" s="0" t="s">
        <v>2356</v>
      </c>
      <c r="B3356" s="0" t="s">
        <v>123</v>
      </c>
      <c r="C3356" s="0" t="s">
        <v>124</v>
      </c>
      <c r="D3356" s="0" t="n">
        <v>6</v>
      </c>
      <c r="E3356" s="6" t="n">
        <v>40833.4770833333</v>
      </c>
      <c r="F3356" s="0" t="n">
        <v>2.95</v>
      </c>
      <c r="G3356" s="0" t="n">
        <v>12473</v>
      </c>
      <c r="H3356" s="0" t="s">
        <v>33</v>
      </c>
      <c r="I3356" s="7" t="n">
        <f aca="false">IF(AND(LEFT(A3356,1)&lt;&gt;"C",D3356&gt;0,F3356&gt;0),1,0)</f>
        <v>1</v>
      </c>
      <c r="J3356" s="7" t="n">
        <f aca="false">IF(I3356=1,D3356*F3356,0)</f>
        <v>17.7</v>
      </c>
      <c r="K3356" s="7" t="n">
        <f aca="false">YEAR(E3356)*100+MONTH(E3356)</f>
        <v>201110</v>
      </c>
      <c r="L3356" s="7" t="n">
        <f aca="false">IF(AND(A3356&lt;&gt;A3355,LEFT(A3356,1)&lt;&gt;"C"),1,0)</f>
        <v>0</v>
      </c>
    </row>
    <row r="3357" customFormat="false" ht="15" hidden="false" customHeight="false" outlineLevel="0" collapsed="false">
      <c r="A3357" s="0" t="s">
        <v>2356</v>
      </c>
      <c r="B3357" s="0" t="s">
        <v>610</v>
      </c>
      <c r="C3357" s="0" t="s">
        <v>611</v>
      </c>
      <c r="D3357" s="0" t="n">
        <v>6</v>
      </c>
      <c r="E3357" s="6" t="n">
        <v>40833.4770833333</v>
      </c>
      <c r="F3357" s="0" t="n">
        <v>2.95</v>
      </c>
      <c r="G3357" s="0" t="n">
        <v>12473</v>
      </c>
      <c r="H3357" s="0" t="s">
        <v>33</v>
      </c>
      <c r="I3357" s="7" t="n">
        <f aca="false">IF(AND(LEFT(A3357,1)&lt;&gt;"C",D3357&gt;0,F3357&gt;0),1,0)</f>
        <v>1</v>
      </c>
      <c r="J3357" s="7" t="n">
        <f aca="false">IF(I3357=1,D3357*F3357,0)</f>
        <v>17.7</v>
      </c>
      <c r="K3357" s="7" t="n">
        <f aca="false">YEAR(E3357)*100+MONTH(E3357)</f>
        <v>201110</v>
      </c>
      <c r="L3357" s="7" t="n">
        <f aca="false">IF(AND(A3357&lt;&gt;A3356,LEFT(A3357,1)&lt;&gt;"C"),1,0)</f>
        <v>0</v>
      </c>
    </row>
    <row r="3358" customFormat="false" ht="15" hidden="false" customHeight="false" outlineLevel="0" collapsed="false">
      <c r="A3358" s="0" t="s">
        <v>2356</v>
      </c>
      <c r="B3358" s="0" t="s">
        <v>347</v>
      </c>
      <c r="C3358" s="0" t="s">
        <v>348</v>
      </c>
      <c r="D3358" s="0" t="n">
        <v>12</v>
      </c>
      <c r="E3358" s="6" t="n">
        <v>40833.4770833333</v>
      </c>
      <c r="F3358" s="0" t="n">
        <v>1.65</v>
      </c>
      <c r="G3358" s="0" t="n">
        <v>12473</v>
      </c>
      <c r="H3358" s="0" t="s">
        <v>33</v>
      </c>
      <c r="I3358" s="7" t="n">
        <f aca="false">IF(AND(LEFT(A3358,1)&lt;&gt;"C",D3358&gt;0,F3358&gt;0),1,0)</f>
        <v>1</v>
      </c>
      <c r="J3358" s="7" t="n">
        <f aca="false">IF(I3358=1,D3358*F3358,0)</f>
        <v>19.8</v>
      </c>
      <c r="K3358" s="7" t="n">
        <f aca="false">YEAR(E3358)*100+MONTH(E3358)</f>
        <v>201110</v>
      </c>
      <c r="L3358" s="7" t="n">
        <f aca="false">IF(AND(A3358&lt;&gt;A3357,LEFT(A3358,1)&lt;&gt;"C"),1,0)</f>
        <v>0</v>
      </c>
    </row>
    <row r="3359" customFormat="false" ht="15" hidden="false" customHeight="false" outlineLevel="0" collapsed="false">
      <c r="A3359" s="0" t="s">
        <v>2356</v>
      </c>
      <c r="B3359" s="0" t="s">
        <v>78</v>
      </c>
      <c r="C3359" s="0" t="s">
        <v>79</v>
      </c>
      <c r="D3359" s="0" t="n">
        <v>10</v>
      </c>
      <c r="E3359" s="6" t="n">
        <v>40833.4770833333</v>
      </c>
      <c r="F3359" s="0" t="n">
        <v>1.65</v>
      </c>
      <c r="G3359" s="0" t="n">
        <v>12473</v>
      </c>
      <c r="H3359" s="0" t="s">
        <v>33</v>
      </c>
      <c r="I3359" s="7" t="n">
        <f aca="false">IF(AND(LEFT(A3359,1)&lt;&gt;"C",D3359&gt;0,F3359&gt;0),1,0)</f>
        <v>1</v>
      </c>
      <c r="J3359" s="7" t="n">
        <f aca="false">IF(I3359=1,D3359*F3359,0)</f>
        <v>16.5</v>
      </c>
      <c r="K3359" s="7" t="n">
        <f aca="false">YEAR(E3359)*100+MONTH(E3359)</f>
        <v>201110</v>
      </c>
      <c r="L3359" s="7" t="n">
        <f aca="false">IF(AND(A3359&lt;&gt;A3358,LEFT(A3359,1)&lt;&gt;"C"),1,0)</f>
        <v>0</v>
      </c>
    </row>
    <row r="3360" customFormat="false" ht="15" hidden="false" customHeight="false" outlineLevel="0" collapsed="false">
      <c r="A3360" s="0" t="s">
        <v>2356</v>
      </c>
      <c r="B3360" s="0" t="s">
        <v>76</v>
      </c>
      <c r="C3360" s="0" t="s">
        <v>77</v>
      </c>
      <c r="D3360" s="0" t="n">
        <v>12</v>
      </c>
      <c r="E3360" s="6" t="n">
        <v>40833.4770833333</v>
      </c>
      <c r="F3360" s="0" t="n">
        <v>1.95</v>
      </c>
      <c r="G3360" s="0" t="n">
        <v>12473</v>
      </c>
      <c r="H3360" s="0" t="s">
        <v>33</v>
      </c>
      <c r="I3360" s="7" t="n">
        <f aca="false">IF(AND(LEFT(A3360,1)&lt;&gt;"C",D3360&gt;0,F3360&gt;0),1,0)</f>
        <v>1</v>
      </c>
      <c r="J3360" s="7" t="n">
        <f aca="false">IF(I3360=1,D3360*F3360,0)</f>
        <v>23.4</v>
      </c>
      <c r="K3360" s="7" t="n">
        <f aca="false">YEAR(E3360)*100+MONTH(E3360)</f>
        <v>201110</v>
      </c>
      <c r="L3360" s="7" t="n">
        <f aca="false">IF(AND(A3360&lt;&gt;A3359,LEFT(A3360,1)&lt;&gt;"C"),1,0)</f>
        <v>0</v>
      </c>
    </row>
    <row r="3361" customFormat="false" ht="15" hidden="false" customHeight="false" outlineLevel="0" collapsed="false">
      <c r="A3361" s="0" t="s">
        <v>2356</v>
      </c>
      <c r="B3361" s="0" t="s">
        <v>68</v>
      </c>
      <c r="C3361" s="0" t="s">
        <v>69</v>
      </c>
      <c r="D3361" s="0" t="n">
        <v>10</v>
      </c>
      <c r="E3361" s="6" t="n">
        <v>40833.4770833333</v>
      </c>
      <c r="F3361" s="0" t="n">
        <v>1.65</v>
      </c>
      <c r="G3361" s="0" t="n">
        <v>12473</v>
      </c>
      <c r="H3361" s="0" t="s">
        <v>33</v>
      </c>
      <c r="I3361" s="7" t="n">
        <f aca="false">IF(AND(LEFT(A3361,1)&lt;&gt;"C",D3361&gt;0,F3361&gt;0),1,0)</f>
        <v>1</v>
      </c>
      <c r="J3361" s="7" t="n">
        <f aca="false">IF(I3361=1,D3361*F3361,0)</f>
        <v>16.5</v>
      </c>
      <c r="K3361" s="7" t="n">
        <f aca="false">YEAR(E3361)*100+MONTH(E3361)</f>
        <v>201110</v>
      </c>
      <c r="L3361" s="7" t="n">
        <f aca="false">IF(AND(A3361&lt;&gt;A3360,LEFT(A3361,1)&lt;&gt;"C"),1,0)</f>
        <v>0</v>
      </c>
    </row>
    <row r="3362" customFormat="false" ht="15" hidden="false" customHeight="false" outlineLevel="0" collapsed="false">
      <c r="A3362" s="0" t="s">
        <v>2356</v>
      </c>
      <c r="B3362" s="0" t="s">
        <v>70</v>
      </c>
      <c r="C3362" s="0" t="s">
        <v>71</v>
      </c>
      <c r="D3362" s="0" t="n">
        <v>10</v>
      </c>
      <c r="E3362" s="6" t="n">
        <v>40833.4770833333</v>
      </c>
      <c r="F3362" s="0" t="n">
        <v>1.65</v>
      </c>
      <c r="G3362" s="0" t="n">
        <v>12473</v>
      </c>
      <c r="H3362" s="0" t="s">
        <v>33</v>
      </c>
      <c r="I3362" s="7" t="n">
        <f aca="false">IF(AND(LEFT(A3362,1)&lt;&gt;"C",D3362&gt;0,F3362&gt;0),1,0)</f>
        <v>1</v>
      </c>
      <c r="J3362" s="7" t="n">
        <f aca="false">IF(I3362=1,D3362*F3362,0)</f>
        <v>16.5</v>
      </c>
      <c r="K3362" s="7" t="n">
        <f aca="false">YEAR(E3362)*100+MONTH(E3362)</f>
        <v>201110</v>
      </c>
      <c r="L3362" s="7" t="n">
        <f aca="false">IF(AND(A3362&lt;&gt;A3361,LEFT(A3362,1)&lt;&gt;"C"),1,0)</f>
        <v>0</v>
      </c>
    </row>
    <row r="3363" customFormat="false" ht="15" hidden="false" customHeight="false" outlineLevel="0" collapsed="false">
      <c r="A3363" s="0" t="s">
        <v>2356</v>
      </c>
      <c r="B3363" s="0" t="s">
        <v>151</v>
      </c>
      <c r="C3363" s="0" t="s">
        <v>152</v>
      </c>
      <c r="D3363" s="0" t="n">
        <v>12</v>
      </c>
      <c r="E3363" s="6" t="n">
        <v>40833.4770833333</v>
      </c>
      <c r="F3363" s="0" t="n">
        <v>0.85</v>
      </c>
      <c r="G3363" s="0" t="n">
        <v>12473</v>
      </c>
      <c r="H3363" s="0" t="s">
        <v>33</v>
      </c>
      <c r="I3363" s="7" t="n">
        <f aca="false">IF(AND(LEFT(A3363,1)&lt;&gt;"C",D3363&gt;0,F3363&gt;0),1,0)</f>
        <v>1</v>
      </c>
      <c r="J3363" s="7" t="n">
        <f aca="false">IF(I3363=1,D3363*F3363,0)</f>
        <v>10.2</v>
      </c>
      <c r="K3363" s="7" t="n">
        <f aca="false">YEAR(E3363)*100+MONTH(E3363)</f>
        <v>201110</v>
      </c>
      <c r="L3363" s="7" t="n">
        <f aca="false">IF(AND(A3363&lt;&gt;A3362,LEFT(A3363,1)&lt;&gt;"C"),1,0)</f>
        <v>0</v>
      </c>
    </row>
    <row r="3364" customFormat="false" ht="15" hidden="false" customHeight="false" outlineLevel="0" collapsed="false">
      <c r="A3364" s="0" t="s">
        <v>2356</v>
      </c>
      <c r="B3364" s="0" t="s">
        <v>115</v>
      </c>
      <c r="C3364" s="0" t="s">
        <v>116</v>
      </c>
      <c r="D3364" s="0" t="n">
        <v>12</v>
      </c>
      <c r="E3364" s="6" t="n">
        <v>40833.4770833333</v>
      </c>
      <c r="F3364" s="0" t="n">
        <v>0.85</v>
      </c>
      <c r="G3364" s="0" t="n">
        <v>12473</v>
      </c>
      <c r="H3364" s="0" t="s">
        <v>33</v>
      </c>
      <c r="I3364" s="7" t="n">
        <f aca="false">IF(AND(LEFT(A3364,1)&lt;&gt;"C",D3364&gt;0,F3364&gt;0),1,0)</f>
        <v>1</v>
      </c>
      <c r="J3364" s="7" t="n">
        <f aca="false">IF(I3364=1,D3364*F3364,0)</f>
        <v>10.2</v>
      </c>
      <c r="K3364" s="7" t="n">
        <f aca="false">YEAR(E3364)*100+MONTH(E3364)</f>
        <v>201110</v>
      </c>
      <c r="L3364" s="7" t="n">
        <f aca="false">IF(AND(A3364&lt;&gt;A3363,LEFT(A3364,1)&lt;&gt;"C"),1,0)</f>
        <v>0</v>
      </c>
    </row>
    <row r="3365" customFormat="false" ht="15" hidden="false" customHeight="false" outlineLevel="0" collapsed="false">
      <c r="A3365" s="0" t="s">
        <v>2356</v>
      </c>
      <c r="B3365" s="0" t="s">
        <v>335</v>
      </c>
      <c r="C3365" s="0" t="s">
        <v>336</v>
      </c>
      <c r="D3365" s="0" t="n">
        <v>12</v>
      </c>
      <c r="E3365" s="6" t="n">
        <v>40833.4770833333</v>
      </c>
      <c r="F3365" s="0" t="n">
        <v>1.65</v>
      </c>
      <c r="G3365" s="0" t="n">
        <v>12473</v>
      </c>
      <c r="H3365" s="0" t="s">
        <v>33</v>
      </c>
      <c r="I3365" s="7" t="n">
        <f aca="false">IF(AND(LEFT(A3365,1)&lt;&gt;"C",D3365&gt;0,F3365&gt;0),1,0)</f>
        <v>1</v>
      </c>
      <c r="J3365" s="7" t="n">
        <f aca="false">IF(I3365=1,D3365*F3365,0)</f>
        <v>19.8</v>
      </c>
      <c r="K3365" s="7" t="n">
        <f aca="false">YEAR(E3365)*100+MONTH(E3365)</f>
        <v>201110</v>
      </c>
      <c r="L3365" s="7" t="n">
        <f aca="false">IF(AND(A3365&lt;&gt;A3364,LEFT(A3365,1)&lt;&gt;"C"),1,0)</f>
        <v>0</v>
      </c>
    </row>
    <row r="3366" customFormat="false" ht="15" hidden="false" customHeight="false" outlineLevel="0" collapsed="false">
      <c r="A3366" s="0" t="s">
        <v>2356</v>
      </c>
      <c r="B3366" s="0" t="s">
        <v>1933</v>
      </c>
      <c r="C3366" s="0" t="s">
        <v>1934</v>
      </c>
      <c r="D3366" s="0" t="n">
        <v>24</v>
      </c>
      <c r="E3366" s="6" t="n">
        <v>40833.4770833333</v>
      </c>
      <c r="F3366" s="0" t="n">
        <v>1.65</v>
      </c>
      <c r="G3366" s="0" t="n">
        <v>12473</v>
      </c>
      <c r="H3366" s="0" t="s">
        <v>33</v>
      </c>
      <c r="I3366" s="7" t="n">
        <f aca="false">IF(AND(LEFT(A3366,1)&lt;&gt;"C",D3366&gt;0,F3366&gt;0),1,0)</f>
        <v>1</v>
      </c>
      <c r="J3366" s="7" t="n">
        <f aca="false">IF(I3366=1,D3366*F3366,0)</f>
        <v>39.6</v>
      </c>
      <c r="K3366" s="7" t="n">
        <f aca="false">YEAR(E3366)*100+MONTH(E3366)</f>
        <v>201110</v>
      </c>
      <c r="L3366" s="7" t="n">
        <f aca="false">IF(AND(A3366&lt;&gt;A3365,LEFT(A3366,1)&lt;&gt;"C"),1,0)</f>
        <v>0</v>
      </c>
    </row>
    <row r="3367" customFormat="false" ht="15" hidden="false" customHeight="false" outlineLevel="0" collapsed="false">
      <c r="A3367" s="0" t="s">
        <v>2356</v>
      </c>
      <c r="B3367" s="0" t="s">
        <v>2174</v>
      </c>
      <c r="C3367" s="0" t="s">
        <v>2175</v>
      </c>
      <c r="D3367" s="0" t="n">
        <v>12</v>
      </c>
      <c r="E3367" s="6" t="n">
        <v>40833.4770833333</v>
      </c>
      <c r="F3367" s="0" t="n">
        <v>1.65</v>
      </c>
      <c r="G3367" s="0" t="n">
        <v>12473</v>
      </c>
      <c r="H3367" s="0" t="s">
        <v>33</v>
      </c>
      <c r="I3367" s="7" t="n">
        <f aca="false">IF(AND(LEFT(A3367,1)&lt;&gt;"C",D3367&gt;0,F3367&gt;0),1,0)</f>
        <v>1</v>
      </c>
      <c r="J3367" s="7" t="n">
        <f aca="false">IF(I3367=1,D3367*F3367,0)</f>
        <v>19.8</v>
      </c>
      <c r="K3367" s="7" t="n">
        <f aca="false">YEAR(E3367)*100+MONTH(E3367)</f>
        <v>201110</v>
      </c>
      <c r="L3367" s="7" t="n">
        <f aca="false">IF(AND(A3367&lt;&gt;A3366,LEFT(A3367,1)&lt;&gt;"C"),1,0)</f>
        <v>0</v>
      </c>
    </row>
    <row r="3368" customFormat="false" ht="15" hidden="false" customHeight="false" outlineLevel="0" collapsed="false">
      <c r="A3368" s="0" t="s">
        <v>2356</v>
      </c>
      <c r="B3368" s="0" t="s">
        <v>725</v>
      </c>
      <c r="C3368" s="0" t="s">
        <v>726</v>
      </c>
      <c r="D3368" s="0" t="n">
        <v>8</v>
      </c>
      <c r="E3368" s="6" t="n">
        <v>40833.4770833333</v>
      </c>
      <c r="F3368" s="0" t="n">
        <v>1.95</v>
      </c>
      <c r="G3368" s="0" t="n">
        <v>12473</v>
      </c>
      <c r="H3368" s="0" t="s">
        <v>33</v>
      </c>
      <c r="I3368" s="7" t="n">
        <f aca="false">IF(AND(LEFT(A3368,1)&lt;&gt;"C",D3368&gt;0,F3368&gt;0),1,0)</f>
        <v>1</v>
      </c>
      <c r="J3368" s="7" t="n">
        <f aca="false">IF(I3368=1,D3368*F3368,0)</f>
        <v>15.6</v>
      </c>
      <c r="K3368" s="7" t="n">
        <f aca="false">YEAR(E3368)*100+MONTH(E3368)</f>
        <v>201110</v>
      </c>
      <c r="L3368" s="7" t="n">
        <f aca="false">IF(AND(A3368&lt;&gt;A3367,LEFT(A3368,1)&lt;&gt;"C"),1,0)</f>
        <v>0</v>
      </c>
    </row>
    <row r="3369" customFormat="false" ht="15" hidden="false" customHeight="false" outlineLevel="0" collapsed="false">
      <c r="A3369" s="0" t="s">
        <v>2356</v>
      </c>
      <c r="B3369" s="0" t="s">
        <v>2405</v>
      </c>
      <c r="C3369" s="0" t="s">
        <v>2406</v>
      </c>
      <c r="D3369" s="0" t="n">
        <v>20</v>
      </c>
      <c r="E3369" s="6" t="n">
        <v>40833.4770833333</v>
      </c>
      <c r="F3369" s="0" t="n">
        <v>0.65</v>
      </c>
      <c r="G3369" s="0" t="n">
        <v>12473</v>
      </c>
      <c r="H3369" s="0" t="s">
        <v>33</v>
      </c>
      <c r="I3369" s="7" t="n">
        <f aca="false">IF(AND(LEFT(A3369,1)&lt;&gt;"C",D3369&gt;0,F3369&gt;0),1,0)</f>
        <v>1</v>
      </c>
      <c r="J3369" s="7" t="n">
        <f aca="false">IF(I3369=1,D3369*F3369,0)</f>
        <v>13</v>
      </c>
      <c r="K3369" s="7" t="n">
        <f aca="false">YEAR(E3369)*100+MONTH(E3369)</f>
        <v>201110</v>
      </c>
      <c r="L3369" s="7" t="n">
        <f aca="false">IF(AND(A3369&lt;&gt;A3368,LEFT(A3369,1)&lt;&gt;"C"),1,0)</f>
        <v>0</v>
      </c>
    </row>
    <row r="3370" customFormat="false" ht="15" hidden="false" customHeight="false" outlineLevel="0" collapsed="false">
      <c r="A3370" s="0" t="s">
        <v>2356</v>
      </c>
      <c r="B3370" s="0" t="s">
        <v>1366</v>
      </c>
      <c r="C3370" s="0" t="s">
        <v>1367</v>
      </c>
      <c r="D3370" s="0" t="n">
        <v>48</v>
      </c>
      <c r="E3370" s="6" t="n">
        <v>40833.4770833333</v>
      </c>
      <c r="F3370" s="0" t="n">
        <v>0.85</v>
      </c>
      <c r="G3370" s="0" t="n">
        <v>12473</v>
      </c>
      <c r="H3370" s="0" t="s">
        <v>33</v>
      </c>
      <c r="I3370" s="7" t="n">
        <f aca="false">IF(AND(LEFT(A3370,1)&lt;&gt;"C",D3370&gt;0,F3370&gt;0),1,0)</f>
        <v>1</v>
      </c>
      <c r="J3370" s="7" t="n">
        <f aca="false">IF(I3370=1,D3370*F3370,0)</f>
        <v>40.8</v>
      </c>
      <c r="K3370" s="7" t="n">
        <f aca="false">YEAR(E3370)*100+MONTH(E3370)</f>
        <v>201110</v>
      </c>
      <c r="L3370" s="7" t="n">
        <f aca="false">IF(AND(A3370&lt;&gt;A3369,LEFT(A3370,1)&lt;&gt;"C"),1,0)</f>
        <v>0</v>
      </c>
    </row>
    <row r="3371" customFormat="false" ht="15" hidden="false" customHeight="false" outlineLevel="0" collapsed="false">
      <c r="A3371" s="0" t="s">
        <v>2356</v>
      </c>
      <c r="B3371" s="0" t="s">
        <v>1928</v>
      </c>
      <c r="C3371" s="0" t="s">
        <v>1929</v>
      </c>
      <c r="D3371" s="0" t="n">
        <v>24</v>
      </c>
      <c r="E3371" s="6" t="n">
        <v>40833.4770833333</v>
      </c>
      <c r="F3371" s="0" t="n">
        <v>0.65</v>
      </c>
      <c r="G3371" s="0" t="n">
        <v>12473</v>
      </c>
      <c r="H3371" s="0" t="s">
        <v>33</v>
      </c>
      <c r="I3371" s="7" t="n">
        <f aca="false">IF(AND(LEFT(A3371,1)&lt;&gt;"C",D3371&gt;0,F3371&gt;0),1,0)</f>
        <v>1</v>
      </c>
      <c r="J3371" s="7" t="n">
        <f aca="false">IF(I3371=1,D3371*F3371,0)</f>
        <v>15.6</v>
      </c>
      <c r="K3371" s="7" t="n">
        <f aca="false">YEAR(E3371)*100+MONTH(E3371)</f>
        <v>201110</v>
      </c>
      <c r="L3371" s="7" t="n">
        <f aca="false">IF(AND(A3371&lt;&gt;A3370,LEFT(A3371,1)&lt;&gt;"C"),1,0)</f>
        <v>0</v>
      </c>
    </row>
    <row r="3372" customFormat="false" ht="15" hidden="false" customHeight="false" outlineLevel="0" collapsed="false">
      <c r="A3372" s="0" t="s">
        <v>2356</v>
      </c>
      <c r="B3372" s="0" t="s">
        <v>330</v>
      </c>
      <c r="C3372" s="0" t="s">
        <v>331</v>
      </c>
      <c r="D3372" s="0" t="n">
        <v>24</v>
      </c>
      <c r="E3372" s="6" t="n">
        <v>40833.4770833333</v>
      </c>
      <c r="F3372" s="0" t="n">
        <v>0.42</v>
      </c>
      <c r="G3372" s="0" t="n">
        <v>12473</v>
      </c>
      <c r="H3372" s="0" t="s">
        <v>33</v>
      </c>
      <c r="I3372" s="7" t="n">
        <f aca="false">IF(AND(LEFT(A3372,1)&lt;&gt;"C",D3372&gt;0,F3372&gt;0),1,0)</f>
        <v>1</v>
      </c>
      <c r="J3372" s="7" t="n">
        <f aca="false">IF(I3372=1,D3372*F3372,0)</f>
        <v>10.08</v>
      </c>
      <c r="K3372" s="7" t="n">
        <f aca="false">YEAR(E3372)*100+MONTH(E3372)</f>
        <v>201110</v>
      </c>
      <c r="L3372" s="7" t="n">
        <f aca="false">IF(AND(A3372&lt;&gt;A3371,LEFT(A3372,1)&lt;&gt;"C"),1,0)</f>
        <v>0</v>
      </c>
    </row>
    <row r="3373" customFormat="false" ht="15" hidden="false" customHeight="false" outlineLevel="0" collapsed="false">
      <c r="A3373" s="0" t="s">
        <v>2356</v>
      </c>
      <c r="B3373" s="0" t="s">
        <v>1581</v>
      </c>
      <c r="C3373" s="0" t="s">
        <v>1582</v>
      </c>
      <c r="D3373" s="0" t="n">
        <v>12</v>
      </c>
      <c r="E3373" s="6" t="n">
        <v>40833.4770833333</v>
      </c>
      <c r="F3373" s="0" t="n">
        <v>1.65</v>
      </c>
      <c r="G3373" s="0" t="n">
        <v>12473</v>
      </c>
      <c r="H3373" s="0" t="s">
        <v>33</v>
      </c>
      <c r="I3373" s="7" t="n">
        <f aca="false">IF(AND(LEFT(A3373,1)&lt;&gt;"C",D3373&gt;0,F3373&gt;0),1,0)</f>
        <v>1</v>
      </c>
      <c r="J3373" s="7" t="n">
        <f aca="false">IF(I3373=1,D3373*F3373,0)</f>
        <v>19.8</v>
      </c>
      <c r="K3373" s="7" t="n">
        <f aca="false">YEAR(E3373)*100+MONTH(E3373)</f>
        <v>201110</v>
      </c>
      <c r="L3373" s="7" t="n">
        <f aca="false">IF(AND(A3373&lt;&gt;A3372,LEFT(A3373,1)&lt;&gt;"C"),1,0)</f>
        <v>0</v>
      </c>
    </row>
    <row r="3374" customFormat="false" ht="15" hidden="false" customHeight="false" outlineLevel="0" collapsed="false">
      <c r="A3374" s="0" t="s">
        <v>2356</v>
      </c>
      <c r="B3374" s="0" t="s">
        <v>2407</v>
      </c>
      <c r="C3374" s="0" t="s">
        <v>2408</v>
      </c>
      <c r="D3374" s="0" t="n">
        <v>24</v>
      </c>
      <c r="E3374" s="6" t="n">
        <v>40833.4770833333</v>
      </c>
      <c r="F3374" s="0" t="n">
        <v>0.21</v>
      </c>
      <c r="G3374" s="0" t="n">
        <v>12473</v>
      </c>
      <c r="H3374" s="0" t="s">
        <v>33</v>
      </c>
      <c r="I3374" s="7" t="n">
        <f aca="false">IF(AND(LEFT(A3374,1)&lt;&gt;"C",D3374&gt;0,F3374&gt;0),1,0)</f>
        <v>1</v>
      </c>
      <c r="J3374" s="7" t="n">
        <f aca="false">IF(I3374=1,D3374*F3374,0)</f>
        <v>5.04</v>
      </c>
      <c r="K3374" s="7" t="n">
        <f aca="false">YEAR(E3374)*100+MONTH(E3374)</f>
        <v>201110</v>
      </c>
      <c r="L3374" s="7" t="n">
        <f aca="false">IF(AND(A3374&lt;&gt;A3373,LEFT(A3374,1)&lt;&gt;"C"),1,0)</f>
        <v>0</v>
      </c>
    </row>
    <row r="3375" customFormat="false" ht="15" hidden="false" customHeight="false" outlineLevel="0" collapsed="false">
      <c r="A3375" s="0" t="s">
        <v>2356</v>
      </c>
      <c r="B3375" s="0" t="s">
        <v>2409</v>
      </c>
      <c r="C3375" s="0" t="s">
        <v>2410</v>
      </c>
      <c r="D3375" s="0" t="n">
        <v>12</v>
      </c>
      <c r="E3375" s="6" t="n">
        <v>40833.4770833333</v>
      </c>
      <c r="F3375" s="0" t="n">
        <v>0.85</v>
      </c>
      <c r="G3375" s="0" t="n">
        <v>12473</v>
      </c>
      <c r="H3375" s="0" t="s">
        <v>33</v>
      </c>
      <c r="I3375" s="7" t="n">
        <f aca="false">IF(AND(LEFT(A3375,1)&lt;&gt;"C",D3375&gt;0,F3375&gt;0),1,0)</f>
        <v>1</v>
      </c>
      <c r="J3375" s="7" t="n">
        <f aca="false">IF(I3375=1,D3375*F3375,0)</f>
        <v>10.2</v>
      </c>
      <c r="K3375" s="7" t="n">
        <f aca="false">YEAR(E3375)*100+MONTH(E3375)</f>
        <v>201110</v>
      </c>
      <c r="L3375" s="7" t="n">
        <f aca="false">IF(AND(A3375&lt;&gt;A3374,LEFT(A3375,1)&lt;&gt;"C"),1,0)</f>
        <v>0</v>
      </c>
    </row>
    <row r="3376" customFormat="false" ht="15" hidden="false" customHeight="false" outlineLevel="0" collapsed="false">
      <c r="A3376" s="0" t="s">
        <v>2356</v>
      </c>
      <c r="B3376" s="0" t="s">
        <v>2411</v>
      </c>
      <c r="C3376" s="0" t="s">
        <v>2412</v>
      </c>
      <c r="D3376" s="0" t="n">
        <v>60</v>
      </c>
      <c r="E3376" s="6" t="n">
        <v>40833.4770833333</v>
      </c>
      <c r="F3376" s="0" t="n">
        <v>0.21</v>
      </c>
      <c r="G3376" s="0" t="n">
        <v>12473</v>
      </c>
      <c r="H3376" s="0" t="s">
        <v>33</v>
      </c>
      <c r="I3376" s="7" t="n">
        <f aca="false">IF(AND(LEFT(A3376,1)&lt;&gt;"C",D3376&gt;0,F3376&gt;0),1,0)</f>
        <v>1</v>
      </c>
      <c r="J3376" s="7" t="n">
        <f aca="false">IF(I3376=1,D3376*F3376,0)</f>
        <v>12.6</v>
      </c>
      <c r="K3376" s="7" t="n">
        <f aca="false">YEAR(E3376)*100+MONTH(E3376)</f>
        <v>201110</v>
      </c>
      <c r="L3376" s="7" t="n">
        <f aca="false">IF(AND(A3376&lt;&gt;A3375,LEFT(A3376,1)&lt;&gt;"C"),1,0)</f>
        <v>0</v>
      </c>
    </row>
    <row r="3377" customFormat="false" ht="15" hidden="false" customHeight="false" outlineLevel="0" collapsed="false">
      <c r="A3377" s="0" t="s">
        <v>2356</v>
      </c>
      <c r="B3377" s="0" t="s">
        <v>1724</v>
      </c>
      <c r="C3377" s="0" t="s">
        <v>1725</v>
      </c>
      <c r="D3377" s="0" t="n">
        <v>28</v>
      </c>
      <c r="E3377" s="6" t="n">
        <v>40833.4770833333</v>
      </c>
      <c r="F3377" s="0" t="n">
        <v>0.21</v>
      </c>
      <c r="G3377" s="0" t="n">
        <v>12473</v>
      </c>
      <c r="H3377" s="0" t="s">
        <v>33</v>
      </c>
      <c r="I3377" s="7" t="n">
        <f aca="false">IF(AND(LEFT(A3377,1)&lt;&gt;"C",D3377&gt;0,F3377&gt;0),1,0)</f>
        <v>1</v>
      </c>
      <c r="J3377" s="7" t="n">
        <f aca="false">IF(I3377=1,D3377*F3377,0)</f>
        <v>5.88</v>
      </c>
      <c r="K3377" s="7" t="n">
        <f aca="false">YEAR(E3377)*100+MONTH(E3377)</f>
        <v>201110</v>
      </c>
      <c r="L3377" s="7" t="n">
        <f aca="false">IF(AND(A3377&lt;&gt;A3376,LEFT(A3377,1)&lt;&gt;"C"),1,0)</f>
        <v>0</v>
      </c>
    </row>
    <row r="3378" customFormat="false" ht="15" hidden="false" customHeight="false" outlineLevel="0" collapsed="false">
      <c r="A3378" s="0" t="s">
        <v>2356</v>
      </c>
      <c r="B3378" s="0" t="s">
        <v>1617</v>
      </c>
      <c r="C3378" s="0" t="s">
        <v>1618</v>
      </c>
      <c r="D3378" s="0" t="n">
        <v>20</v>
      </c>
      <c r="E3378" s="6" t="n">
        <v>40833.4770833333</v>
      </c>
      <c r="F3378" s="0" t="n">
        <v>0.85</v>
      </c>
      <c r="G3378" s="0" t="n">
        <v>12473</v>
      </c>
      <c r="H3378" s="0" t="s">
        <v>33</v>
      </c>
      <c r="I3378" s="7" t="n">
        <f aca="false">IF(AND(LEFT(A3378,1)&lt;&gt;"C",D3378&gt;0,F3378&gt;0),1,0)</f>
        <v>1</v>
      </c>
      <c r="J3378" s="7" t="n">
        <f aca="false">IF(I3378=1,D3378*F3378,0)</f>
        <v>17</v>
      </c>
      <c r="K3378" s="7" t="n">
        <f aca="false">YEAR(E3378)*100+MONTH(E3378)</f>
        <v>201110</v>
      </c>
      <c r="L3378" s="7" t="n">
        <f aca="false">IF(AND(A3378&lt;&gt;A3377,LEFT(A3378,1)&lt;&gt;"C"),1,0)</f>
        <v>0</v>
      </c>
    </row>
    <row r="3379" customFormat="false" ht="15" hidden="false" customHeight="false" outlineLevel="0" collapsed="false">
      <c r="A3379" s="0" t="s">
        <v>2356</v>
      </c>
      <c r="B3379" s="0" t="s">
        <v>44</v>
      </c>
      <c r="C3379" s="0" t="s">
        <v>45</v>
      </c>
      <c r="D3379" s="0" t="n">
        <v>12</v>
      </c>
      <c r="E3379" s="6" t="n">
        <v>40833.4770833333</v>
      </c>
      <c r="F3379" s="0" t="n">
        <v>0.65</v>
      </c>
      <c r="G3379" s="0" t="n">
        <v>12473</v>
      </c>
      <c r="H3379" s="0" t="s">
        <v>33</v>
      </c>
      <c r="I3379" s="7" t="n">
        <f aca="false">IF(AND(LEFT(A3379,1)&lt;&gt;"C",D3379&gt;0,F3379&gt;0),1,0)</f>
        <v>1</v>
      </c>
      <c r="J3379" s="7" t="n">
        <f aca="false">IF(I3379=1,D3379*F3379,0)</f>
        <v>7.8</v>
      </c>
      <c r="K3379" s="7" t="n">
        <f aca="false">YEAR(E3379)*100+MONTH(E3379)</f>
        <v>201110</v>
      </c>
      <c r="L3379" s="7" t="n">
        <f aca="false">IF(AND(A3379&lt;&gt;A3378,LEFT(A3379,1)&lt;&gt;"C"),1,0)</f>
        <v>0</v>
      </c>
    </row>
    <row r="3380" customFormat="false" ht="15" hidden="false" customHeight="false" outlineLevel="0" collapsed="false">
      <c r="A3380" s="0" t="s">
        <v>2356</v>
      </c>
      <c r="B3380" s="0" t="s">
        <v>48</v>
      </c>
      <c r="C3380" s="0" t="s">
        <v>49</v>
      </c>
      <c r="D3380" s="0" t="n">
        <v>12</v>
      </c>
      <c r="E3380" s="6" t="n">
        <v>40833.4770833333</v>
      </c>
      <c r="F3380" s="0" t="n">
        <v>0.65</v>
      </c>
      <c r="G3380" s="0" t="n">
        <v>12473</v>
      </c>
      <c r="H3380" s="0" t="s">
        <v>33</v>
      </c>
      <c r="I3380" s="7" t="n">
        <f aca="false">IF(AND(LEFT(A3380,1)&lt;&gt;"C",D3380&gt;0,F3380&gt;0),1,0)</f>
        <v>1</v>
      </c>
      <c r="J3380" s="7" t="n">
        <f aca="false">IF(I3380=1,D3380*F3380,0)</f>
        <v>7.8</v>
      </c>
      <c r="K3380" s="7" t="n">
        <f aca="false">YEAR(E3380)*100+MONTH(E3380)</f>
        <v>201110</v>
      </c>
      <c r="L3380" s="7" t="n">
        <f aca="false">IF(AND(A3380&lt;&gt;A3379,LEFT(A3380,1)&lt;&gt;"C"),1,0)</f>
        <v>0</v>
      </c>
    </row>
    <row r="3381" customFormat="false" ht="15" hidden="false" customHeight="false" outlineLevel="0" collapsed="false">
      <c r="A3381" s="0" t="s">
        <v>2356</v>
      </c>
      <c r="B3381" s="0" t="s">
        <v>1432</v>
      </c>
      <c r="C3381" s="0" t="s">
        <v>1433</v>
      </c>
      <c r="D3381" s="0" t="n">
        <v>6</v>
      </c>
      <c r="E3381" s="6" t="n">
        <v>40833.4770833333</v>
      </c>
      <c r="F3381" s="0" t="n">
        <v>2.95</v>
      </c>
      <c r="G3381" s="0" t="n">
        <v>12473</v>
      </c>
      <c r="H3381" s="0" t="s">
        <v>33</v>
      </c>
      <c r="I3381" s="7" t="n">
        <f aca="false">IF(AND(LEFT(A3381,1)&lt;&gt;"C",D3381&gt;0,F3381&gt;0),1,0)</f>
        <v>1</v>
      </c>
      <c r="J3381" s="7" t="n">
        <f aca="false">IF(I3381=1,D3381*F3381,0)</f>
        <v>17.7</v>
      </c>
      <c r="K3381" s="7" t="n">
        <f aca="false">YEAR(E3381)*100+MONTH(E3381)</f>
        <v>201110</v>
      </c>
      <c r="L3381" s="7" t="n">
        <f aca="false">IF(AND(A3381&lt;&gt;A3380,LEFT(A3381,1)&lt;&gt;"C"),1,0)</f>
        <v>0</v>
      </c>
    </row>
    <row r="3382" customFormat="false" ht="15" hidden="false" customHeight="false" outlineLevel="0" collapsed="false">
      <c r="A3382" s="0" t="s">
        <v>2356</v>
      </c>
      <c r="B3382" s="0" t="s">
        <v>1434</v>
      </c>
      <c r="C3382" s="0" t="s">
        <v>1435</v>
      </c>
      <c r="D3382" s="0" t="n">
        <v>6</v>
      </c>
      <c r="E3382" s="6" t="n">
        <v>40833.4770833333</v>
      </c>
      <c r="F3382" s="0" t="n">
        <v>2.95</v>
      </c>
      <c r="G3382" s="0" t="n">
        <v>12473</v>
      </c>
      <c r="H3382" s="0" t="s">
        <v>33</v>
      </c>
      <c r="I3382" s="7" t="n">
        <f aca="false">IF(AND(LEFT(A3382,1)&lt;&gt;"C",D3382&gt;0,F3382&gt;0),1,0)</f>
        <v>1</v>
      </c>
      <c r="J3382" s="7" t="n">
        <f aca="false">IF(I3382=1,D3382*F3382,0)</f>
        <v>17.7</v>
      </c>
      <c r="K3382" s="7" t="n">
        <f aca="false">YEAR(E3382)*100+MONTH(E3382)</f>
        <v>201110</v>
      </c>
      <c r="L3382" s="7" t="n">
        <f aca="false">IF(AND(A3382&lt;&gt;A3381,LEFT(A3382,1)&lt;&gt;"C"),1,0)</f>
        <v>0</v>
      </c>
    </row>
    <row r="3383" customFormat="false" ht="15" hidden="false" customHeight="false" outlineLevel="0" collapsed="false">
      <c r="A3383" s="0" t="s">
        <v>2356</v>
      </c>
      <c r="B3383" s="0" t="s">
        <v>2204</v>
      </c>
      <c r="C3383" s="0" t="s">
        <v>2205</v>
      </c>
      <c r="D3383" s="0" t="n">
        <v>12</v>
      </c>
      <c r="E3383" s="6" t="n">
        <v>40833.4770833333</v>
      </c>
      <c r="F3383" s="0" t="n">
        <v>0.85</v>
      </c>
      <c r="G3383" s="0" t="n">
        <v>12473</v>
      </c>
      <c r="H3383" s="0" t="s">
        <v>33</v>
      </c>
      <c r="I3383" s="7" t="n">
        <f aca="false">IF(AND(LEFT(A3383,1)&lt;&gt;"C",D3383&gt;0,F3383&gt;0),1,0)</f>
        <v>1</v>
      </c>
      <c r="J3383" s="7" t="n">
        <f aca="false">IF(I3383=1,D3383*F3383,0)</f>
        <v>10.2</v>
      </c>
      <c r="K3383" s="7" t="n">
        <f aca="false">YEAR(E3383)*100+MONTH(E3383)</f>
        <v>201110</v>
      </c>
      <c r="L3383" s="7" t="n">
        <f aca="false">IF(AND(A3383&lt;&gt;A3382,LEFT(A3383,1)&lt;&gt;"C"),1,0)</f>
        <v>0</v>
      </c>
    </row>
    <row r="3384" customFormat="false" ht="15" hidden="false" customHeight="false" outlineLevel="0" collapsed="false">
      <c r="A3384" s="0" t="s">
        <v>2356</v>
      </c>
      <c r="B3384" s="0" t="s">
        <v>1296</v>
      </c>
      <c r="C3384" s="0" t="s">
        <v>1297</v>
      </c>
      <c r="D3384" s="0" t="n">
        <v>12</v>
      </c>
      <c r="E3384" s="6" t="n">
        <v>40833.4770833333</v>
      </c>
      <c r="F3384" s="0" t="n">
        <v>1.45</v>
      </c>
      <c r="G3384" s="0" t="n">
        <v>12473</v>
      </c>
      <c r="H3384" s="0" t="s">
        <v>33</v>
      </c>
      <c r="I3384" s="7" t="n">
        <f aca="false">IF(AND(LEFT(A3384,1)&lt;&gt;"C",D3384&gt;0,F3384&gt;0),1,0)</f>
        <v>1</v>
      </c>
      <c r="J3384" s="7" t="n">
        <f aca="false">IF(I3384=1,D3384*F3384,0)</f>
        <v>17.4</v>
      </c>
      <c r="K3384" s="7" t="n">
        <f aca="false">YEAR(E3384)*100+MONTH(E3384)</f>
        <v>201110</v>
      </c>
      <c r="L3384" s="7" t="n">
        <f aca="false">IF(AND(A3384&lt;&gt;A3383,LEFT(A3384,1)&lt;&gt;"C"),1,0)</f>
        <v>0</v>
      </c>
    </row>
    <row r="3385" customFormat="false" ht="15" hidden="false" customHeight="false" outlineLevel="0" collapsed="false">
      <c r="A3385" s="0" t="s">
        <v>2356</v>
      </c>
      <c r="B3385" s="0" t="s">
        <v>101</v>
      </c>
      <c r="C3385" s="0" t="s">
        <v>102</v>
      </c>
      <c r="D3385" s="0" t="n">
        <v>12</v>
      </c>
      <c r="E3385" s="6" t="n">
        <v>40833.4770833333</v>
      </c>
      <c r="F3385" s="0" t="n">
        <v>0.85</v>
      </c>
      <c r="G3385" s="0" t="n">
        <v>12473</v>
      </c>
      <c r="H3385" s="0" t="s">
        <v>33</v>
      </c>
      <c r="I3385" s="7" t="n">
        <f aca="false">IF(AND(LEFT(A3385,1)&lt;&gt;"C",D3385&gt;0,F3385&gt;0),1,0)</f>
        <v>1</v>
      </c>
      <c r="J3385" s="7" t="n">
        <f aca="false">IF(I3385=1,D3385*F3385,0)</f>
        <v>10.2</v>
      </c>
      <c r="K3385" s="7" t="n">
        <f aca="false">YEAR(E3385)*100+MONTH(E3385)</f>
        <v>201110</v>
      </c>
      <c r="L3385" s="7" t="n">
        <f aca="false">IF(AND(A3385&lt;&gt;A3384,LEFT(A3385,1)&lt;&gt;"C"),1,0)</f>
        <v>0</v>
      </c>
    </row>
    <row r="3386" customFormat="false" ht="15" hidden="false" customHeight="false" outlineLevel="0" collapsed="false">
      <c r="A3386" s="0" t="s">
        <v>2356</v>
      </c>
      <c r="B3386" s="0" t="s">
        <v>2413</v>
      </c>
      <c r="C3386" s="0" t="s">
        <v>2414</v>
      </c>
      <c r="D3386" s="0" t="n">
        <v>12</v>
      </c>
      <c r="E3386" s="6" t="n">
        <v>40833.4770833333</v>
      </c>
      <c r="F3386" s="0" t="n">
        <v>0.95</v>
      </c>
      <c r="G3386" s="0" t="n">
        <v>12473</v>
      </c>
      <c r="H3386" s="0" t="s">
        <v>33</v>
      </c>
      <c r="I3386" s="7" t="n">
        <f aca="false">IF(AND(LEFT(A3386,1)&lt;&gt;"C",D3386&gt;0,F3386&gt;0),1,0)</f>
        <v>1</v>
      </c>
      <c r="J3386" s="7" t="n">
        <f aca="false">IF(I3386=1,D3386*F3386,0)</f>
        <v>11.4</v>
      </c>
      <c r="K3386" s="7" t="n">
        <f aca="false">YEAR(E3386)*100+MONTH(E3386)</f>
        <v>201110</v>
      </c>
      <c r="L3386" s="7" t="n">
        <f aca="false">IF(AND(A3386&lt;&gt;A3385,LEFT(A3386,1)&lt;&gt;"C"),1,0)</f>
        <v>0</v>
      </c>
    </row>
    <row r="3387" customFormat="false" ht="15" hidden="false" customHeight="false" outlineLevel="0" collapsed="false">
      <c r="A3387" s="0" t="s">
        <v>2356</v>
      </c>
      <c r="B3387" s="0" t="s">
        <v>1555</v>
      </c>
      <c r="C3387" s="0" t="s">
        <v>1556</v>
      </c>
      <c r="D3387" s="0" t="n">
        <v>24</v>
      </c>
      <c r="E3387" s="6" t="n">
        <v>40833.4770833333</v>
      </c>
      <c r="F3387" s="0" t="n">
        <v>0.42</v>
      </c>
      <c r="G3387" s="0" t="n">
        <v>12473</v>
      </c>
      <c r="H3387" s="0" t="s">
        <v>33</v>
      </c>
      <c r="I3387" s="7" t="n">
        <f aca="false">IF(AND(LEFT(A3387,1)&lt;&gt;"C",D3387&gt;0,F3387&gt;0),1,0)</f>
        <v>1</v>
      </c>
      <c r="J3387" s="7" t="n">
        <f aca="false">IF(I3387=1,D3387*F3387,0)</f>
        <v>10.08</v>
      </c>
      <c r="K3387" s="7" t="n">
        <f aca="false">YEAR(E3387)*100+MONTH(E3387)</f>
        <v>201110</v>
      </c>
      <c r="L3387" s="7" t="n">
        <f aca="false">IF(AND(A3387&lt;&gt;A3386,LEFT(A3387,1)&lt;&gt;"C"),1,0)</f>
        <v>0</v>
      </c>
    </row>
    <row r="3388" customFormat="false" ht="15" hidden="false" customHeight="false" outlineLevel="0" collapsed="false">
      <c r="A3388" s="0" t="s">
        <v>2356</v>
      </c>
      <c r="B3388" s="0" t="s">
        <v>2415</v>
      </c>
      <c r="C3388" s="0" t="s">
        <v>2416</v>
      </c>
      <c r="D3388" s="0" t="n">
        <v>48</v>
      </c>
      <c r="E3388" s="6" t="n">
        <v>40833.4770833333</v>
      </c>
      <c r="F3388" s="0" t="n">
        <v>0.19</v>
      </c>
      <c r="G3388" s="0" t="n">
        <v>12473</v>
      </c>
      <c r="H3388" s="0" t="s">
        <v>33</v>
      </c>
      <c r="I3388" s="7" t="n">
        <f aca="false">IF(AND(LEFT(A3388,1)&lt;&gt;"C",D3388&gt;0,F3388&gt;0),1,0)</f>
        <v>1</v>
      </c>
      <c r="J3388" s="7" t="n">
        <f aca="false">IF(I3388=1,D3388*F3388,0)</f>
        <v>9.12</v>
      </c>
      <c r="K3388" s="7" t="n">
        <f aca="false">YEAR(E3388)*100+MONTH(E3388)</f>
        <v>201110</v>
      </c>
      <c r="L3388" s="7" t="n">
        <f aca="false">IF(AND(A3388&lt;&gt;A3387,LEFT(A3388,1)&lt;&gt;"C"),1,0)</f>
        <v>0</v>
      </c>
    </row>
    <row r="3389" customFormat="false" ht="15" hidden="false" customHeight="false" outlineLevel="0" collapsed="false">
      <c r="A3389" s="0" t="s">
        <v>2356</v>
      </c>
      <c r="B3389" s="0" t="s">
        <v>970</v>
      </c>
      <c r="C3389" s="0" t="s">
        <v>971</v>
      </c>
      <c r="D3389" s="0" t="n">
        <v>10</v>
      </c>
      <c r="E3389" s="6" t="n">
        <v>40833.4770833333</v>
      </c>
      <c r="F3389" s="0" t="n">
        <v>1.65</v>
      </c>
      <c r="G3389" s="0" t="n">
        <v>12473</v>
      </c>
      <c r="H3389" s="0" t="s">
        <v>33</v>
      </c>
      <c r="I3389" s="7" t="n">
        <f aca="false">IF(AND(LEFT(A3389,1)&lt;&gt;"C",D3389&gt;0,F3389&gt;0),1,0)</f>
        <v>1</v>
      </c>
      <c r="J3389" s="7" t="n">
        <f aca="false">IF(I3389=1,D3389*F3389,0)</f>
        <v>16.5</v>
      </c>
      <c r="K3389" s="7" t="n">
        <f aca="false">YEAR(E3389)*100+MONTH(E3389)</f>
        <v>201110</v>
      </c>
      <c r="L3389" s="7" t="n">
        <f aca="false">IF(AND(A3389&lt;&gt;A3388,LEFT(A3389,1)&lt;&gt;"C"),1,0)</f>
        <v>0</v>
      </c>
    </row>
    <row r="3390" customFormat="false" ht="15" hidden="false" customHeight="false" outlineLevel="0" collapsed="false">
      <c r="A3390" s="0" t="s">
        <v>2356</v>
      </c>
      <c r="B3390" s="0" t="s">
        <v>1189</v>
      </c>
      <c r="C3390" s="0" t="s">
        <v>1190</v>
      </c>
      <c r="D3390" s="0" t="n">
        <v>12</v>
      </c>
      <c r="E3390" s="6" t="n">
        <v>40833.4770833333</v>
      </c>
      <c r="F3390" s="0" t="n">
        <v>2.89</v>
      </c>
      <c r="G3390" s="0" t="n">
        <v>12473</v>
      </c>
      <c r="H3390" s="0" t="s">
        <v>33</v>
      </c>
      <c r="I3390" s="7" t="n">
        <f aca="false">IF(AND(LEFT(A3390,1)&lt;&gt;"C",D3390&gt;0,F3390&gt;0),1,0)</f>
        <v>1</v>
      </c>
      <c r="J3390" s="7" t="n">
        <f aca="false">IF(I3390=1,D3390*F3390,0)</f>
        <v>34.68</v>
      </c>
      <c r="K3390" s="7" t="n">
        <f aca="false">YEAR(E3390)*100+MONTH(E3390)</f>
        <v>201110</v>
      </c>
      <c r="L3390" s="7" t="n">
        <f aca="false">IF(AND(A3390&lt;&gt;A3389,LEFT(A3390,1)&lt;&gt;"C"),1,0)</f>
        <v>0</v>
      </c>
    </row>
    <row r="3391" customFormat="false" ht="15" hidden="false" customHeight="false" outlineLevel="0" collapsed="false">
      <c r="A3391" s="0" t="s">
        <v>2356</v>
      </c>
      <c r="B3391" s="0" t="s">
        <v>2417</v>
      </c>
      <c r="C3391" s="0" t="s">
        <v>2418</v>
      </c>
      <c r="D3391" s="0" t="n">
        <v>24</v>
      </c>
      <c r="E3391" s="6" t="n">
        <v>40833.4770833333</v>
      </c>
      <c r="F3391" s="0" t="n">
        <v>1.25</v>
      </c>
      <c r="G3391" s="0" t="n">
        <v>12473</v>
      </c>
      <c r="H3391" s="0" t="s">
        <v>33</v>
      </c>
      <c r="I3391" s="7" t="n">
        <f aca="false">IF(AND(LEFT(A3391,1)&lt;&gt;"C",D3391&gt;0,F3391&gt;0),1,0)</f>
        <v>1</v>
      </c>
      <c r="J3391" s="7" t="n">
        <f aca="false">IF(I3391=1,D3391*F3391,0)</f>
        <v>30</v>
      </c>
      <c r="K3391" s="7" t="n">
        <f aca="false">YEAR(E3391)*100+MONTH(E3391)</f>
        <v>201110</v>
      </c>
      <c r="L3391" s="7" t="n">
        <f aca="false">IF(AND(A3391&lt;&gt;A3390,LEFT(A3391,1)&lt;&gt;"C"),1,0)</f>
        <v>0</v>
      </c>
    </row>
    <row r="3392" customFormat="false" ht="15" hidden="false" customHeight="false" outlineLevel="0" collapsed="false">
      <c r="A3392" s="0" t="s">
        <v>2356</v>
      </c>
      <c r="B3392" s="0" t="s">
        <v>2419</v>
      </c>
      <c r="C3392" s="0" t="s">
        <v>2420</v>
      </c>
      <c r="D3392" s="0" t="n">
        <v>18</v>
      </c>
      <c r="E3392" s="6" t="n">
        <v>40833.4770833333</v>
      </c>
      <c r="F3392" s="0" t="n">
        <v>1.25</v>
      </c>
      <c r="G3392" s="0" t="n">
        <v>12473</v>
      </c>
      <c r="H3392" s="0" t="s">
        <v>33</v>
      </c>
      <c r="I3392" s="7" t="n">
        <f aca="false">IF(AND(LEFT(A3392,1)&lt;&gt;"C",D3392&gt;0,F3392&gt;0),1,0)</f>
        <v>1</v>
      </c>
      <c r="J3392" s="7" t="n">
        <f aca="false">IF(I3392=1,D3392*F3392,0)</f>
        <v>22.5</v>
      </c>
      <c r="K3392" s="7" t="n">
        <f aca="false">YEAR(E3392)*100+MONTH(E3392)</f>
        <v>201110</v>
      </c>
      <c r="L3392" s="7" t="n">
        <f aca="false">IF(AND(A3392&lt;&gt;A3391,LEFT(A3392,1)&lt;&gt;"C"),1,0)</f>
        <v>0</v>
      </c>
    </row>
    <row r="3393" customFormat="false" ht="15" hidden="false" customHeight="false" outlineLevel="0" collapsed="false">
      <c r="A3393" s="0" t="s">
        <v>2356</v>
      </c>
      <c r="B3393" s="0" t="s">
        <v>2421</v>
      </c>
      <c r="C3393" s="0" t="s">
        <v>2422</v>
      </c>
      <c r="D3393" s="0" t="n">
        <v>18</v>
      </c>
      <c r="E3393" s="6" t="n">
        <v>40833.4770833333</v>
      </c>
      <c r="F3393" s="0" t="n">
        <v>1.25</v>
      </c>
      <c r="G3393" s="0" t="n">
        <v>12473</v>
      </c>
      <c r="H3393" s="0" t="s">
        <v>33</v>
      </c>
      <c r="I3393" s="7" t="n">
        <f aca="false">IF(AND(LEFT(A3393,1)&lt;&gt;"C",D3393&gt;0,F3393&gt;0),1,0)</f>
        <v>1</v>
      </c>
      <c r="J3393" s="7" t="n">
        <f aca="false">IF(I3393=1,D3393*F3393,0)</f>
        <v>22.5</v>
      </c>
      <c r="K3393" s="7" t="n">
        <f aca="false">YEAR(E3393)*100+MONTH(E3393)</f>
        <v>201110</v>
      </c>
      <c r="L3393" s="7" t="n">
        <f aca="false">IF(AND(A3393&lt;&gt;A3392,LEFT(A3393,1)&lt;&gt;"C"),1,0)</f>
        <v>0</v>
      </c>
    </row>
    <row r="3394" customFormat="false" ht="15" hidden="false" customHeight="false" outlineLevel="0" collapsed="false">
      <c r="A3394" s="0" t="s">
        <v>2356</v>
      </c>
      <c r="B3394" s="0" t="s">
        <v>2423</v>
      </c>
      <c r="C3394" s="0" t="s">
        <v>2424</v>
      </c>
      <c r="D3394" s="0" t="n">
        <v>25</v>
      </c>
      <c r="E3394" s="6" t="n">
        <v>40833.4770833333</v>
      </c>
      <c r="F3394" s="0" t="n">
        <v>0.19</v>
      </c>
      <c r="G3394" s="0" t="n">
        <v>12473</v>
      </c>
      <c r="H3394" s="0" t="s">
        <v>33</v>
      </c>
      <c r="I3394" s="7" t="n">
        <f aca="false">IF(AND(LEFT(A3394,1)&lt;&gt;"C",D3394&gt;0,F3394&gt;0),1,0)</f>
        <v>1</v>
      </c>
      <c r="J3394" s="7" t="n">
        <f aca="false">IF(I3394=1,D3394*F3394,0)</f>
        <v>4.75</v>
      </c>
      <c r="K3394" s="7" t="n">
        <f aca="false">YEAR(E3394)*100+MONTH(E3394)</f>
        <v>201110</v>
      </c>
      <c r="L3394" s="7" t="n">
        <f aca="false">IF(AND(A3394&lt;&gt;A3393,LEFT(A3394,1)&lt;&gt;"C"),1,0)</f>
        <v>0</v>
      </c>
    </row>
    <row r="3395" customFormat="false" ht="15" hidden="false" customHeight="false" outlineLevel="0" collapsed="false">
      <c r="A3395" s="0" t="s">
        <v>2356</v>
      </c>
      <c r="B3395" s="0" t="s">
        <v>792</v>
      </c>
      <c r="C3395" s="0" t="s">
        <v>793</v>
      </c>
      <c r="D3395" s="0" t="n">
        <v>24</v>
      </c>
      <c r="E3395" s="6" t="n">
        <v>40833.4770833333</v>
      </c>
      <c r="F3395" s="0" t="n">
        <v>1.95</v>
      </c>
      <c r="G3395" s="0" t="n">
        <v>12473</v>
      </c>
      <c r="H3395" s="0" t="s">
        <v>33</v>
      </c>
      <c r="I3395" s="7" t="n">
        <f aca="false">IF(AND(LEFT(A3395,1)&lt;&gt;"C",D3395&gt;0,F3395&gt;0),1,0)</f>
        <v>1</v>
      </c>
      <c r="J3395" s="7" t="n">
        <f aca="false">IF(I3395=1,D3395*F3395,0)</f>
        <v>46.8</v>
      </c>
      <c r="K3395" s="7" t="n">
        <f aca="false">YEAR(E3395)*100+MONTH(E3395)</f>
        <v>201110</v>
      </c>
      <c r="L3395" s="7" t="n">
        <f aca="false">IF(AND(A3395&lt;&gt;A3394,LEFT(A3395,1)&lt;&gt;"C"),1,0)</f>
        <v>0</v>
      </c>
    </row>
    <row r="3396" customFormat="false" ht="15" hidden="false" customHeight="false" outlineLevel="0" collapsed="false">
      <c r="A3396" s="0" t="s">
        <v>2356</v>
      </c>
      <c r="B3396" s="0" t="s">
        <v>1364</v>
      </c>
      <c r="C3396" s="0" t="s">
        <v>1365</v>
      </c>
      <c r="D3396" s="0" t="n">
        <v>12</v>
      </c>
      <c r="E3396" s="6" t="n">
        <v>40833.4770833333</v>
      </c>
      <c r="F3396" s="0" t="n">
        <v>1.95</v>
      </c>
      <c r="G3396" s="0" t="n">
        <v>12473</v>
      </c>
      <c r="H3396" s="0" t="s">
        <v>33</v>
      </c>
      <c r="I3396" s="7" t="n">
        <f aca="false">IF(AND(LEFT(A3396,1)&lt;&gt;"C",D3396&gt;0,F3396&gt;0),1,0)</f>
        <v>1</v>
      </c>
      <c r="J3396" s="7" t="n">
        <f aca="false">IF(I3396=1,D3396*F3396,0)</f>
        <v>23.4</v>
      </c>
      <c r="K3396" s="7" t="n">
        <f aca="false">YEAR(E3396)*100+MONTH(E3396)</f>
        <v>201110</v>
      </c>
      <c r="L3396" s="7" t="n">
        <f aca="false">IF(AND(A3396&lt;&gt;A3395,LEFT(A3396,1)&lt;&gt;"C"),1,0)</f>
        <v>0</v>
      </c>
    </row>
    <row r="3397" customFormat="false" ht="15" hidden="false" customHeight="false" outlineLevel="0" collapsed="false">
      <c r="A3397" s="0" t="s">
        <v>2356</v>
      </c>
      <c r="B3397" s="0" t="s">
        <v>1187</v>
      </c>
      <c r="C3397" s="0" t="s">
        <v>1188</v>
      </c>
      <c r="D3397" s="0" t="n">
        <v>6</v>
      </c>
      <c r="E3397" s="6" t="n">
        <v>40833.4770833333</v>
      </c>
      <c r="F3397" s="0" t="n">
        <v>5.95</v>
      </c>
      <c r="G3397" s="0" t="n">
        <v>12473</v>
      </c>
      <c r="H3397" s="0" t="s">
        <v>33</v>
      </c>
      <c r="I3397" s="7" t="n">
        <f aca="false">IF(AND(LEFT(A3397,1)&lt;&gt;"C",D3397&gt;0,F3397&gt;0),1,0)</f>
        <v>1</v>
      </c>
      <c r="J3397" s="7" t="n">
        <f aca="false">IF(I3397=1,D3397*F3397,0)</f>
        <v>35.7</v>
      </c>
      <c r="K3397" s="7" t="n">
        <f aca="false">YEAR(E3397)*100+MONTH(E3397)</f>
        <v>201110</v>
      </c>
      <c r="L3397" s="7" t="n">
        <f aca="false">IF(AND(A3397&lt;&gt;A3396,LEFT(A3397,1)&lt;&gt;"C"),1,0)</f>
        <v>0</v>
      </c>
    </row>
    <row r="3398" customFormat="false" ht="15" hidden="false" customHeight="false" outlineLevel="0" collapsed="false">
      <c r="A3398" s="0" t="s">
        <v>2356</v>
      </c>
      <c r="B3398" s="0" t="s">
        <v>2168</v>
      </c>
      <c r="C3398" s="0" t="s">
        <v>2169</v>
      </c>
      <c r="D3398" s="0" t="n">
        <v>48</v>
      </c>
      <c r="E3398" s="6" t="n">
        <v>40833.4770833333</v>
      </c>
      <c r="F3398" s="0" t="n">
        <v>0.39</v>
      </c>
      <c r="G3398" s="0" t="n">
        <v>12473</v>
      </c>
      <c r="H3398" s="0" t="s">
        <v>33</v>
      </c>
      <c r="I3398" s="7" t="n">
        <f aca="false">IF(AND(LEFT(A3398,1)&lt;&gt;"C",D3398&gt;0,F3398&gt;0),1,0)</f>
        <v>1</v>
      </c>
      <c r="J3398" s="7" t="n">
        <f aca="false">IF(I3398=1,D3398*F3398,0)</f>
        <v>18.72</v>
      </c>
      <c r="K3398" s="7" t="n">
        <f aca="false">YEAR(E3398)*100+MONTH(E3398)</f>
        <v>201110</v>
      </c>
      <c r="L3398" s="7" t="n">
        <f aca="false">IF(AND(A3398&lt;&gt;A3397,LEFT(A3398,1)&lt;&gt;"C"),1,0)</f>
        <v>0</v>
      </c>
    </row>
    <row r="3399" customFormat="false" ht="15" hidden="false" customHeight="false" outlineLevel="0" collapsed="false">
      <c r="A3399" s="0" t="s">
        <v>2356</v>
      </c>
      <c r="B3399" s="0" t="s">
        <v>2425</v>
      </c>
      <c r="C3399" s="0" t="s">
        <v>2426</v>
      </c>
      <c r="D3399" s="0" t="n">
        <v>12</v>
      </c>
      <c r="E3399" s="6" t="n">
        <v>40833.4770833333</v>
      </c>
      <c r="F3399" s="0" t="n">
        <v>1.65</v>
      </c>
      <c r="G3399" s="0" t="n">
        <v>12473</v>
      </c>
      <c r="H3399" s="0" t="s">
        <v>33</v>
      </c>
      <c r="I3399" s="7" t="n">
        <f aca="false">IF(AND(LEFT(A3399,1)&lt;&gt;"C",D3399&gt;0,F3399&gt;0),1,0)</f>
        <v>1</v>
      </c>
      <c r="J3399" s="7" t="n">
        <f aca="false">IF(I3399=1,D3399*F3399,0)</f>
        <v>19.8</v>
      </c>
      <c r="K3399" s="7" t="n">
        <f aca="false">YEAR(E3399)*100+MONTH(E3399)</f>
        <v>201110</v>
      </c>
      <c r="L3399" s="7" t="n">
        <f aca="false">IF(AND(A3399&lt;&gt;A3398,LEFT(A3399,1)&lt;&gt;"C"),1,0)</f>
        <v>0</v>
      </c>
    </row>
    <row r="3400" customFormat="false" ht="15" hidden="false" customHeight="false" outlineLevel="0" collapsed="false">
      <c r="A3400" s="0" t="s">
        <v>2356</v>
      </c>
      <c r="B3400" s="0" t="s">
        <v>2427</v>
      </c>
      <c r="C3400" s="0" t="s">
        <v>2428</v>
      </c>
      <c r="D3400" s="0" t="n">
        <v>24</v>
      </c>
      <c r="E3400" s="6" t="n">
        <v>40833.4770833333</v>
      </c>
      <c r="F3400" s="0" t="n">
        <v>0.65</v>
      </c>
      <c r="G3400" s="0" t="n">
        <v>12473</v>
      </c>
      <c r="H3400" s="0" t="s">
        <v>33</v>
      </c>
      <c r="I3400" s="7" t="n">
        <f aca="false">IF(AND(LEFT(A3400,1)&lt;&gt;"C",D3400&gt;0,F3400&gt;0),1,0)</f>
        <v>1</v>
      </c>
      <c r="J3400" s="7" t="n">
        <f aca="false">IF(I3400=1,D3400*F3400,0)</f>
        <v>15.6</v>
      </c>
      <c r="K3400" s="7" t="n">
        <f aca="false">YEAR(E3400)*100+MONTH(E3400)</f>
        <v>201110</v>
      </c>
      <c r="L3400" s="7" t="n">
        <f aca="false">IF(AND(A3400&lt;&gt;A3399,LEFT(A3400,1)&lt;&gt;"C"),1,0)</f>
        <v>0</v>
      </c>
    </row>
    <row r="3401" customFormat="false" ht="15" hidden="false" customHeight="false" outlineLevel="0" collapsed="false">
      <c r="A3401" s="0" t="s">
        <v>2356</v>
      </c>
      <c r="B3401" s="0" t="s">
        <v>2429</v>
      </c>
      <c r="C3401" s="0" t="s">
        <v>2430</v>
      </c>
      <c r="D3401" s="0" t="n">
        <v>96</v>
      </c>
      <c r="E3401" s="6" t="n">
        <v>40833.4770833333</v>
      </c>
      <c r="F3401" s="0" t="n">
        <v>0.19</v>
      </c>
      <c r="G3401" s="0" t="n">
        <v>12473</v>
      </c>
      <c r="H3401" s="0" t="s">
        <v>33</v>
      </c>
      <c r="I3401" s="7" t="n">
        <f aca="false">IF(AND(LEFT(A3401,1)&lt;&gt;"C",D3401&gt;0,F3401&gt;0),1,0)</f>
        <v>1</v>
      </c>
      <c r="J3401" s="7" t="n">
        <f aca="false">IF(I3401=1,D3401*F3401,0)</f>
        <v>18.24</v>
      </c>
      <c r="K3401" s="7" t="n">
        <f aca="false">YEAR(E3401)*100+MONTH(E3401)</f>
        <v>201110</v>
      </c>
      <c r="L3401" s="7" t="n">
        <f aca="false">IF(AND(A3401&lt;&gt;A3400,LEFT(A3401,1)&lt;&gt;"C"),1,0)</f>
        <v>0</v>
      </c>
    </row>
    <row r="3402" customFormat="false" ht="15" hidden="false" customHeight="false" outlineLevel="0" collapsed="false">
      <c r="A3402" s="0" t="s">
        <v>2356</v>
      </c>
      <c r="B3402" s="0" t="s">
        <v>1037</v>
      </c>
      <c r="C3402" s="0" t="s">
        <v>1038</v>
      </c>
      <c r="D3402" s="0" t="n">
        <v>12</v>
      </c>
      <c r="E3402" s="6" t="n">
        <v>40833.4770833333</v>
      </c>
      <c r="F3402" s="0" t="n">
        <v>0.83</v>
      </c>
      <c r="G3402" s="0" t="n">
        <v>12473</v>
      </c>
      <c r="H3402" s="0" t="s">
        <v>33</v>
      </c>
      <c r="I3402" s="7" t="n">
        <f aca="false">IF(AND(LEFT(A3402,1)&lt;&gt;"C",D3402&gt;0,F3402&gt;0),1,0)</f>
        <v>1</v>
      </c>
      <c r="J3402" s="7" t="n">
        <f aca="false">IF(I3402=1,D3402*F3402,0)</f>
        <v>9.96</v>
      </c>
      <c r="K3402" s="7" t="n">
        <f aca="false">YEAR(E3402)*100+MONTH(E3402)</f>
        <v>201110</v>
      </c>
      <c r="L3402" s="7" t="n">
        <f aca="false">IF(AND(A3402&lt;&gt;A3401,LEFT(A3402,1)&lt;&gt;"C"),1,0)</f>
        <v>0</v>
      </c>
    </row>
    <row r="3403" customFormat="false" ht="15" hidden="false" customHeight="false" outlineLevel="0" collapsed="false">
      <c r="A3403" s="0" t="s">
        <v>2356</v>
      </c>
      <c r="B3403" s="0" t="s">
        <v>697</v>
      </c>
      <c r="C3403" s="0" t="s">
        <v>698</v>
      </c>
      <c r="D3403" s="0" t="n">
        <v>12</v>
      </c>
      <c r="E3403" s="6" t="n">
        <v>40833.4770833333</v>
      </c>
      <c r="F3403" s="0" t="n">
        <v>1.69</v>
      </c>
      <c r="G3403" s="0" t="n">
        <v>12473</v>
      </c>
      <c r="H3403" s="0" t="s">
        <v>33</v>
      </c>
      <c r="I3403" s="7" t="n">
        <f aca="false">IF(AND(LEFT(A3403,1)&lt;&gt;"C",D3403&gt;0,F3403&gt;0),1,0)</f>
        <v>1</v>
      </c>
      <c r="J3403" s="7" t="n">
        <f aca="false">IF(I3403=1,D3403*F3403,0)</f>
        <v>20.28</v>
      </c>
      <c r="K3403" s="7" t="n">
        <f aca="false">YEAR(E3403)*100+MONTH(E3403)</f>
        <v>201110</v>
      </c>
      <c r="L3403" s="7" t="n">
        <f aca="false">IF(AND(A3403&lt;&gt;A3402,LEFT(A3403,1)&lt;&gt;"C"),1,0)</f>
        <v>0</v>
      </c>
    </row>
    <row r="3404" customFormat="false" ht="15" hidden="false" customHeight="false" outlineLevel="0" collapsed="false">
      <c r="A3404" s="0" t="s">
        <v>2356</v>
      </c>
      <c r="B3404" s="0" t="s">
        <v>84</v>
      </c>
      <c r="C3404" s="0" t="s">
        <v>85</v>
      </c>
      <c r="D3404" s="0" t="n">
        <v>7</v>
      </c>
      <c r="E3404" s="6" t="n">
        <v>40833.4770833333</v>
      </c>
      <c r="F3404" s="0" t="n">
        <v>18</v>
      </c>
      <c r="G3404" s="0" t="n">
        <v>12473</v>
      </c>
      <c r="H3404" s="0" t="s">
        <v>33</v>
      </c>
      <c r="I3404" s="7" t="n">
        <f aca="false">IF(AND(LEFT(A3404,1)&lt;&gt;"C",D3404&gt;0,F3404&gt;0),1,0)</f>
        <v>1</v>
      </c>
      <c r="J3404" s="7" t="n">
        <f aca="false">IF(I3404=1,D3404*F3404,0)</f>
        <v>126</v>
      </c>
      <c r="K3404" s="7" t="n">
        <f aca="false">YEAR(E3404)*100+MONTH(E3404)</f>
        <v>201110</v>
      </c>
      <c r="L3404" s="7" t="n">
        <f aca="false">IF(AND(A3404&lt;&gt;A3403,LEFT(A3404,1)&lt;&gt;"C"),1,0)</f>
        <v>0</v>
      </c>
    </row>
    <row r="3405" customFormat="false" ht="15" hidden="false" customHeight="false" outlineLevel="0" collapsed="false">
      <c r="A3405" s="0" t="s">
        <v>2431</v>
      </c>
      <c r="B3405" s="0" t="s">
        <v>144</v>
      </c>
      <c r="C3405" s="0" t="s">
        <v>145</v>
      </c>
      <c r="D3405" s="0" t="n">
        <v>-3</v>
      </c>
      <c r="E3405" s="6" t="n">
        <v>40833.6097222222</v>
      </c>
      <c r="F3405" s="0" t="n">
        <v>1.06</v>
      </c>
      <c r="G3405" s="0" t="n">
        <v>12679</v>
      </c>
      <c r="H3405" s="0" t="s">
        <v>43</v>
      </c>
      <c r="I3405" s="7" t="n">
        <f aca="false">IF(AND(LEFT(A3405,1)&lt;&gt;"C",D3405&gt;0,F3405&gt;0),1,0)</f>
        <v>0</v>
      </c>
      <c r="J3405" s="7" t="n">
        <f aca="false">IF(I3405=1,D3405*F3405,0)</f>
        <v>0</v>
      </c>
      <c r="K3405" s="7" t="n">
        <f aca="false">YEAR(E3405)*100+MONTH(E3405)</f>
        <v>201110</v>
      </c>
      <c r="L3405" s="7" t="n">
        <f aca="false">IF(AND(A3405&lt;&gt;A3404,LEFT(A3405,1)&lt;&gt;"C"),1,0)</f>
        <v>0</v>
      </c>
    </row>
    <row r="3406" customFormat="false" ht="15" hidden="false" customHeight="false" outlineLevel="0" collapsed="false">
      <c r="A3406" s="0" t="s">
        <v>2432</v>
      </c>
      <c r="B3406" s="0" t="s">
        <v>1238</v>
      </c>
      <c r="C3406" s="0" t="s">
        <v>1239</v>
      </c>
      <c r="D3406" s="0" t="n">
        <v>25</v>
      </c>
      <c r="E3406" s="6" t="n">
        <v>40834.3916666667</v>
      </c>
      <c r="F3406" s="0" t="n">
        <v>0.42</v>
      </c>
      <c r="G3406" s="0" t="n">
        <v>12662</v>
      </c>
      <c r="H3406" s="0" t="s">
        <v>33</v>
      </c>
      <c r="I3406" s="7" t="n">
        <f aca="false">IF(AND(LEFT(A3406,1)&lt;&gt;"C",D3406&gt;0,F3406&gt;0),1,0)</f>
        <v>1</v>
      </c>
      <c r="J3406" s="7" t="n">
        <f aca="false">IF(I3406=1,D3406*F3406,0)</f>
        <v>10.5</v>
      </c>
      <c r="K3406" s="7" t="n">
        <f aca="false">YEAR(E3406)*100+MONTH(E3406)</f>
        <v>201110</v>
      </c>
      <c r="L3406" s="7" t="n">
        <f aca="false">IF(AND(A3406&lt;&gt;A3405,LEFT(A3406,1)&lt;&gt;"C"),1,0)</f>
        <v>1</v>
      </c>
    </row>
    <row r="3407" customFormat="false" ht="15" hidden="false" customHeight="false" outlineLevel="0" collapsed="false">
      <c r="A3407" s="0" t="s">
        <v>2432</v>
      </c>
      <c r="B3407" s="0" t="s">
        <v>569</v>
      </c>
      <c r="C3407" s="0" t="s">
        <v>570</v>
      </c>
      <c r="D3407" s="0" t="n">
        <v>10</v>
      </c>
      <c r="E3407" s="6" t="n">
        <v>40834.3916666667</v>
      </c>
      <c r="F3407" s="0" t="n">
        <v>2.08</v>
      </c>
      <c r="G3407" s="0" t="n">
        <v>12662</v>
      </c>
      <c r="H3407" s="0" t="s">
        <v>33</v>
      </c>
      <c r="I3407" s="7" t="n">
        <f aca="false">IF(AND(LEFT(A3407,1)&lt;&gt;"C",D3407&gt;0,F3407&gt;0),1,0)</f>
        <v>1</v>
      </c>
      <c r="J3407" s="7" t="n">
        <f aca="false">IF(I3407=1,D3407*F3407,0)</f>
        <v>20.8</v>
      </c>
      <c r="K3407" s="7" t="n">
        <f aca="false">YEAR(E3407)*100+MONTH(E3407)</f>
        <v>201110</v>
      </c>
      <c r="L3407" s="7" t="n">
        <f aca="false">IF(AND(A3407&lt;&gt;A3406,LEFT(A3407,1)&lt;&gt;"C"),1,0)</f>
        <v>0</v>
      </c>
    </row>
    <row r="3408" customFormat="false" ht="15" hidden="false" customHeight="false" outlineLevel="0" collapsed="false">
      <c r="A3408" s="0" t="s">
        <v>2432</v>
      </c>
      <c r="B3408" s="0" t="s">
        <v>625</v>
      </c>
      <c r="C3408" s="0" t="s">
        <v>626</v>
      </c>
      <c r="D3408" s="0" t="n">
        <v>10</v>
      </c>
      <c r="E3408" s="6" t="n">
        <v>40834.3916666667</v>
      </c>
      <c r="F3408" s="0" t="n">
        <v>2.08</v>
      </c>
      <c r="G3408" s="0" t="n">
        <v>12662</v>
      </c>
      <c r="H3408" s="0" t="s">
        <v>33</v>
      </c>
      <c r="I3408" s="7" t="n">
        <f aca="false">IF(AND(LEFT(A3408,1)&lt;&gt;"C",D3408&gt;0,F3408&gt;0),1,0)</f>
        <v>1</v>
      </c>
      <c r="J3408" s="7" t="n">
        <f aca="false">IF(I3408=1,D3408*F3408,0)</f>
        <v>20.8</v>
      </c>
      <c r="K3408" s="7" t="n">
        <f aca="false">YEAR(E3408)*100+MONTH(E3408)</f>
        <v>201110</v>
      </c>
      <c r="L3408" s="7" t="n">
        <f aca="false">IF(AND(A3408&lt;&gt;A3407,LEFT(A3408,1)&lt;&gt;"C"),1,0)</f>
        <v>0</v>
      </c>
    </row>
    <row r="3409" customFormat="false" ht="15" hidden="false" customHeight="false" outlineLevel="0" collapsed="false">
      <c r="A3409" s="0" t="s">
        <v>2432</v>
      </c>
      <c r="B3409" s="0" t="s">
        <v>1048</v>
      </c>
      <c r="C3409" s="0" t="s">
        <v>1049</v>
      </c>
      <c r="D3409" s="0" t="n">
        <v>4</v>
      </c>
      <c r="E3409" s="6" t="n">
        <v>40834.3916666667</v>
      </c>
      <c r="F3409" s="0" t="n">
        <v>4.15</v>
      </c>
      <c r="G3409" s="0" t="n">
        <v>12662</v>
      </c>
      <c r="H3409" s="0" t="s">
        <v>33</v>
      </c>
      <c r="I3409" s="7" t="n">
        <f aca="false">IF(AND(LEFT(A3409,1)&lt;&gt;"C",D3409&gt;0,F3409&gt;0),1,0)</f>
        <v>1</v>
      </c>
      <c r="J3409" s="7" t="n">
        <f aca="false">IF(I3409=1,D3409*F3409,0)</f>
        <v>16.6</v>
      </c>
      <c r="K3409" s="7" t="n">
        <f aca="false">YEAR(E3409)*100+MONTH(E3409)</f>
        <v>201110</v>
      </c>
      <c r="L3409" s="7" t="n">
        <f aca="false">IF(AND(A3409&lt;&gt;A3408,LEFT(A3409,1)&lt;&gt;"C"),1,0)</f>
        <v>0</v>
      </c>
    </row>
    <row r="3410" customFormat="false" ht="15" hidden="false" customHeight="false" outlineLevel="0" collapsed="false">
      <c r="A3410" s="0" t="s">
        <v>2432</v>
      </c>
      <c r="B3410" s="0" t="s">
        <v>875</v>
      </c>
      <c r="C3410" s="0" t="s">
        <v>876</v>
      </c>
      <c r="D3410" s="0" t="n">
        <v>12</v>
      </c>
      <c r="E3410" s="6" t="n">
        <v>40834.3916666667</v>
      </c>
      <c r="F3410" s="0" t="n">
        <v>0.83</v>
      </c>
      <c r="G3410" s="0" t="n">
        <v>12662</v>
      </c>
      <c r="H3410" s="0" t="s">
        <v>33</v>
      </c>
      <c r="I3410" s="7" t="n">
        <f aca="false">IF(AND(LEFT(A3410,1)&lt;&gt;"C",D3410&gt;0,F3410&gt;0),1,0)</f>
        <v>1</v>
      </c>
      <c r="J3410" s="7" t="n">
        <f aca="false">IF(I3410=1,D3410*F3410,0)</f>
        <v>9.96</v>
      </c>
      <c r="K3410" s="7" t="n">
        <f aca="false">YEAR(E3410)*100+MONTH(E3410)</f>
        <v>201110</v>
      </c>
      <c r="L3410" s="7" t="n">
        <f aca="false">IF(AND(A3410&lt;&gt;A3409,LEFT(A3410,1)&lt;&gt;"C"),1,0)</f>
        <v>0</v>
      </c>
    </row>
    <row r="3411" customFormat="false" ht="15" hidden="false" customHeight="false" outlineLevel="0" collapsed="false">
      <c r="A3411" s="0" t="s">
        <v>2432</v>
      </c>
      <c r="B3411" s="0" t="s">
        <v>877</v>
      </c>
      <c r="C3411" s="0" t="s">
        <v>878</v>
      </c>
      <c r="D3411" s="0" t="n">
        <v>12</v>
      </c>
      <c r="E3411" s="6" t="n">
        <v>40834.3916666667</v>
      </c>
      <c r="F3411" s="0" t="n">
        <v>0.83</v>
      </c>
      <c r="G3411" s="0" t="n">
        <v>12662</v>
      </c>
      <c r="H3411" s="0" t="s">
        <v>33</v>
      </c>
      <c r="I3411" s="7" t="n">
        <f aca="false">IF(AND(LEFT(A3411,1)&lt;&gt;"C",D3411&gt;0,F3411&gt;0),1,0)</f>
        <v>1</v>
      </c>
      <c r="J3411" s="7" t="n">
        <f aca="false">IF(I3411=1,D3411*F3411,0)</f>
        <v>9.96</v>
      </c>
      <c r="K3411" s="7" t="n">
        <f aca="false">YEAR(E3411)*100+MONTH(E3411)</f>
        <v>201110</v>
      </c>
      <c r="L3411" s="7" t="n">
        <f aca="false">IF(AND(A3411&lt;&gt;A3410,LEFT(A3411,1)&lt;&gt;"C"),1,0)</f>
        <v>0</v>
      </c>
    </row>
    <row r="3412" customFormat="false" ht="15" hidden="false" customHeight="false" outlineLevel="0" collapsed="false">
      <c r="A3412" s="0" t="s">
        <v>2432</v>
      </c>
      <c r="B3412" s="0" t="s">
        <v>1583</v>
      </c>
      <c r="C3412" s="0" t="s">
        <v>1584</v>
      </c>
      <c r="D3412" s="0" t="n">
        <v>12</v>
      </c>
      <c r="E3412" s="6" t="n">
        <v>40834.3916666667</v>
      </c>
      <c r="F3412" s="0" t="n">
        <v>2.1</v>
      </c>
      <c r="G3412" s="0" t="n">
        <v>12662</v>
      </c>
      <c r="H3412" s="0" t="s">
        <v>33</v>
      </c>
      <c r="I3412" s="7" t="n">
        <f aca="false">IF(AND(LEFT(A3412,1)&lt;&gt;"C",D3412&gt;0,F3412&gt;0),1,0)</f>
        <v>1</v>
      </c>
      <c r="J3412" s="7" t="n">
        <f aca="false">IF(I3412=1,D3412*F3412,0)</f>
        <v>25.2</v>
      </c>
      <c r="K3412" s="7" t="n">
        <f aca="false">YEAR(E3412)*100+MONTH(E3412)</f>
        <v>201110</v>
      </c>
      <c r="L3412" s="7" t="n">
        <f aca="false">IF(AND(A3412&lt;&gt;A3411,LEFT(A3412,1)&lt;&gt;"C"),1,0)</f>
        <v>0</v>
      </c>
    </row>
    <row r="3413" customFormat="false" ht="15" hidden="false" customHeight="false" outlineLevel="0" collapsed="false">
      <c r="A3413" s="0" t="s">
        <v>2432</v>
      </c>
      <c r="B3413" s="0" t="s">
        <v>2433</v>
      </c>
      <c r="C3413" s="0" t="s">
        <v>2434</v>
      </c>
      <c r="D3413" s="0" t="n">
        <v>1</v>
      </c>
      <c r="E3413" s="6" t="n">
        <v>40834.3916666667</v>
      </c>
      <c r="F3413" s="0" t="n">
        <v>29.95</v>
      </c>
      <c r="G3413" s="0" t="n">
        <v>12662</v>
      </c>
      <c r="H3413" s="0" t="s">
        <v>33</v>
      </c>
      <c r="I3413" s="7" t="n">
        <f aca="false">IF(AND(LEFT(A3413,1)&lt;&gt;"C",D3413&gt;0,F3413&gt;0),1,0)</f>
        <v>1</v>
      </c>
      <c r="J3413" s="7" t="n">
        <f aca="false">IF(I3413=1,D3413*F3413,0)</f>
        <v>29.95</v>
      </c>
      <c r="K3413" s="7" t="n">
        <f aca="false">YEAR(E3413)*100+MONTH(E3413)</f>
        <v>201110</v>
      </c>
      <c r="L3413" s="7" t="n">
        <f aca="false">IF(AND(A3413&lt;&gt;A3412,LEFT(A3413,1)&lt;&gt;"C"),1,0)</f>
        <v>0</v>
      </c>
    </row>
    <row r="3414" customFormat="false" ht="15" hidden="false" customHeight="false" outlineLevel="0" collapsed="false">
      <c r="A3414" s="0" t="s">
        <v>2432</v>
      </c>
      <c r="B3414" s="0" t="s">
        <v>316</v>
      </c>
      <c r="C3414" s="0" t="s">
        <v>317</v>
      </c>
      <c r="D3414" s="0" t="n">
        <v>3</v>
      </c>
      <c r="E3414" s="6" t="n">
        <v>40834.3916666667</v>
      </c>
      <c r="F3414" s="0" t="n">
        <v>4.95</v>
      </c>
      <c r="G3414" s="0" t="n">
        <v>12662</v>
      </c>
      <c r="H3414" s="0" t="s">
        <v>33</v>
      </c>
      <c r="I3414" s="7" t="n">
        <f aca="false">IF(AND(LEFT(A3414,1)&lt;&gt;"C",D3414&gt;0,F3414&gt;0),1,0)</f>
        <v>1</v>
      </c>
      <c r="J3414" s="7" t="n">
        <f aca="false">IF(I3414=1,D3414*F3414,0)</f>
        <v>14.85</v>
      </c>
      <c r="K3414" s="7" t="n">
        <f aca="false">YEAR(E3414)*100+MONTH(E3414)</f>
        <v>201110</v>
      </c>
      <c r="L3414" s="7" t="n">
        <f aca="false">IF(AND(A3414&lt;&gt;A3413,LEFT(A3414,1)&lt;&gt;"C"),1,0)</f>
        <v>0</v>
      </c>
    </row>
    <row r="3415" customFormat="false" ht="15" hidden="false" customHeight="false" outlineLevel="0" collapsed="false">
      <c r="A3415" s="0" t="s">
        <v>2432</v>
      </c>
      <c r="B3415" s="0" t="s">
        <v>2086</v>
      </c>
      <c r="C3415" s="0" t="s">
        <v>2087</v>
      </c>
      <c r="D3415" s="0" t="n">
        <v>6</v>
      </c>
      <c r="E3415" s="6" t="n">
        <v>40834.3916666667</v>
      </c>
      <c r="F3415" s="0" t="n">
        <v>2.95</v>
      </c>
      <c r="G3415" s="0" t="n">
        <v>12662</v>
      </c>
      <c r="H3415" s="0" t="s">
        <v>33</v>
      </c>
      <c r="I3415" s="7" t="n">
        <f aca="false">IF(AND(LEFT(A3415,1)&lt;&gt;"C",D3415&gt;0,F3415&gt;0),1,0)</f>
        <v>1</v>
      </c>
      <c r="J3415" s="7" t="n">
        <f aca="false">IF(I3415=1,D3415*F3415,0)</f>
        <v>17.7</v>
      </c>
      <c r="K3415" s="7" t="n">
        <f aca="false">YEAR(E3415)*100+MONTH(E3415)</f>
        <v>201110</v>
      </c>
      <c r="L3415" s="7" t="n">
        <f aca="false">IF(AND(A3415&lt;&gt;A3414,LEFT(A3415,1)&lt;&gt;"C"),1,0)</f>
        <v>0</v>
      </c>
    </row>
    <row r="3416" customFormat="false" ht="15" hidden="false" customHeight="false" outlineLevel="0" collapsed="false">
      <c r="A3416" s="0" t="s">
        <v>2432</v>
      </c>
      <c r="B3416" s="0" t="s">
        <v>2435</v>
      </c>
      <c r="C3416" s="0" t="s">
        <v>2436</v>
      </c>
      <c r="D3416" s="0" t="n">
        <v>6</v>
      </c>
      <c r="E3416" s="6" t="n">
        <v>40834.3916666667</v>
      </c>
      <c r="F3416" s="0" t="n">
        <v>2.55</v>
      </c>
      <c r="G3416" s="0" t="n">
        <v>12662</v>
      </c>
      <c r="H3416" s="0" t="s">
        <v>33</v>
      </c>
      <c r="I3416" s="7" t="n">
        <f aca="false">IF(AND(LEFT(A3416,1)&lt;&gt;"C",D3416&gt;0,F3416&gt;0),1,0)</f>
        <v>1</v>
      </c>
      <c r="J3416" s="7" t="n">
        <f aca="false">IF(I3416=1,D3416*F3416,0)</f>
        <v>15.3</v>
      </c>
      <c r="K3416" s="7" t="n">
        <f aca="false">YEAR(E3416)*100+MONTH(E3416)</f>
        <v>201110</v>
      </c>
      <c r="L3416" s="7" t="n">
        <f aca="false">IF(AND(A3416&lt;&gt;A3415,LEFT(A3416,1)&lt;&gt;"C"),1,0)</f>
        <v>0</v>
      </c>
    </row>
    <row r="3417" customFormat="false" ht="15" hidden="false" customHeight="false" outlineLevel="0" collapsed="false">
      <c r="A3417" s="0" t="s">
        <v>2432</v>
      </c>
      <c r="B3417" s="0" t="s">
        <v>1559</v>
      </c>
      <c r="C3417" s="0" t="s">
        <v>1560</v>
      </c>
      <c r="D3417" s="0" t="n">
        <v>6</v>
      </c>
      <c r="E3417" s="6" t="n">
        <v>40834.3916666667</v>
      </c>
      <c r="F3417" s="0" t="n">
        <v>2.1</v>
      </c>
      <c r="G3417" s="0" t="n">
        <v>12662</v>
      </c>
      <c r="H3417" s="0" t="s">
        <v>33</v>
      </c>
      <c r="I3417" s="7" t="n">
        <f aca="false">IF(AND(LEFT(A3417,1)&lt;&gt;"C",D3417&gt;0,F3417&gt;0),1,0)</f>
        <v>1</v>
      </c>
      <c r="J3417" s="7" t="n">
        <f aca="false">IF(I3417=1,D3417*F3417,0)</f>
        <v>12.6</v>
      </c>
      <c r="K3417" s="7" t="n">
        <f aca="false">YEAR(E3417)*100+MONTH(E3417)</f>
        <v>201110</v>
      </c>
      <c r="L3417" s="7" t="n">
        <f aca="false">IF(AND(A3417&lt;&gt;A3416,LEFT(A3417,1)&lt;&gt;"C"),1,0)</f>
        <v>0</v>
      </c>
    </row>
    <row r="3418" customFormat="false" ht="15" hidden="false" customHeight="false" outlineLevel="0" collapsed="false">
      <c r="A3418" s="0" t="s">
        <v>2432</v>
      </c>
      <c r="B3418" s="0" t="s">
        <v>463</v>
      </c>
      <c r="C3418" s="0" t="s">
        <v>464</v>
      </c>
      <c r="D3418" s="0" t="n">
        <v>4</v>
      </c>
      <c r="E3418" s="6" t="n">
        <v>40834.3916666667</v>
      </c>
      <c r="F3418" s="0" t="n">
        <v>7.95</v>
      </c>
      <c r="G3418" s="0" t="n">
        <v>12662</v>
      </c>
      <c r="H3418" s="0" t="s">
        <v>33</v>
      </c>
      <c r="I3418" s="7" t="n">
        <f aca="false">IF(AND(LEFT(A3418,1)&lt;&gt;"C",D3418&gt;0,F3418&gt;0),1,0)</f>
        <v>1</v>
      </c>
      <c r="J3418" s="7" t="n">
        <f aca="false">IF(I3418=1,D3418*F3418,0)</f>
        <v>31.8</v>
      </c>
      <c r="K3418" s="7" t="n">
        <f aca="false">YEAR(E3418)*100+MONTH(E3418)</f>
        <v>201110</v>
      </c>
      <c r="L3418" s="7" t="n">
        <f aca="false">IF(AND(A3418&lt;&gt;A3417,LEFT(A3418,1)&lt;&gt;"C"),1,0)</f>
        <v>0</v>
      </c>
    </row>
    <row r="3419" customFormat="false" ht="15" hidden="false" customHeight="false" outlineLevel="0" collapsed="false">
      <c r="A3419" s="0" t="s">
        <v>2432</v>
      </c>
      <c r="B3419" s="0" t="s">
        <v>2411</v>
      </c>
      <c r="C3419" s="0" t="s">
        <v>2412</v>
      </c>
      <c r="D3419" s="0" t="n">
        <v>60</v>
      </c>
      <c r="E3419" s="6" t="n">
        <v>40834.3916666667</v>
      </c>
      <c r="F3419" s="0" t="n">
        <v>0.21</v>
      </c>
      <c r="G3419" s="0" t="n">
        <v>12662</v>
      </c>
      <c r="H3419" s="0" t="s">
        <v>33</v>
      </c>
      <c r="I3419" s="7" t="n">
        <f aca="false">IF(AND(LEFT(A3419,1)&lt;&gt;"C",D3419&gt;0,F3419&gt;0),1,0)</f>
        <v>1</v>
      </c>
      <c r="J3419" s="7" t="n">
        <f aca="false">IF(I3419=1,D3419*F3419,0)</f>
        <v>12.6</v>
      </c>
      <c r="K3419" s="7" t="n">
        <f aca="false">YEAR(E3419)*100+MONTH(E3419)</f>
        <v>201110</v>
      </c>
      <c r="L3419" s="7" t="n">
        <f aca="false">IF(AND(A3419&lt;&gt;A3418,LEFT(A3419,1)&lt;&gt;"C"),1,0)</f>
        <v>0</v>
      </c>
    </row>
    <row r="3420" customFormat="false" ht="15" hidden="false" customHeight="false" outlineLevel="0" collapsed="false">
      <c r="A3420" s="0" t="s">
        <v>2432</v>
      </c>
      <c r="B3420" s="0" t="s">
        <v>1081</v>
      </c>
      <c r="C3420" s="0" t="s">
        <v>1082</v>
      </c>
      <c r="D3420" s="0" t="n">
        <v>10</v>
      </c>
      <c r="E3420" s="6" t="n">
        <v>40834.3916666667</v>
      </c>
      <c r="F3420" s="0" t="n">
        <v>1.25</v>
      </c>
      <c r="G3420" s="0" t="n">
        <v>12662</v>
      </c>
      <c r="H3420" s="0" t="s">
        <v>33</v>
      </c>
      <c r="I3420" s="7" t="n">
        <f aca="false">IF(AND(LEFT(A3420,1)&lt;&gt;"C",D3420&gt;0,F3420&gt;0),1,0)</f>
        <v>1</v>
      </c>
      <c r="J3420" s="7" t="n">
        <f aca="false">IF(I3420=1,D3420*F3420,0)</f>
        <v>12.5</v>
      </c>
      <c r="K3420" s="7" t="n">
        <f aca="false">YEAR(E3420)*100+MONTH(E3420)</f>
        <v>201110</v>
      </c>
      <c r="L3420" s="7" t="n">
        <f aca="false">IF(AND(A3420&lt;&gt;A3419,LEFT(A3420,1)&lt;&gt;"C"),1,0)</f>
        <v>0</v>
      </c>
    </row>
    <row r="3421" customFormat="false" ht="15" hidden="false" customHeight="false" outlineLevel="0" collapsed="false">
      <c r="A3421" s="0" t="s">
        <v>2432</v>
      </c>
      <c r="B3421" s="0" t="s">
        <v>861</v>
      </c>
      <c r="C3421" s="0" t="s">
        <v>862</v>
      </c>
      <c r="D3421" s="0" t="n">
        <v>6</v>
      </c>
      <c r="E3421" s="6" t="n">
        <v>40834.3916666667</v>
      </c>
      <c r="F3421" s="0" t="n">
        <v>2.55</v>
      </c>
      <c r="G3421" s="0" t="n">
        <v>12662</v>
      </c>
      <c r="H3421" s="0" t="s">
        <v>33</v>
      </c>
      <c r="I3421" s="7" t="n">
        <f aca="false">IF(AND(LEFT(A3421,1)&lt;&gt;"C",D3421&gt;0,F3421&gt;0),1,0)</f>
        <v>1</v>
      </c>
      <c r="J3421" s="7" t="n">
        <f aca="false">IF(I3421=1,D3421*F3421,0)</f>
        <v>15.3</v>
      </c>
      <c r="K3421" s="7" t="n">
        <f aca="false">YEAR(E3421)*100+MONTH(E3421)</f>
        <v>201110</v>
      </c>
      <c r="L3421" s="7" t="n">
        <f aca="false">IF(AND(A3421&lt;&gt;A3420,LEFT(A3421,1)&lt;&gt;"C"),1,0)</f>
        <v>0</v>
      </c>
    </row>
    <row r="3422" customFormat="false" ht="15" hidden="false" customHeight="false" outlineLevel="0" collapsed="false">
      <c r="A3422" s="0" t="s">
        <v>2432</v>
      </c>
      <c r="B3422" s="0" t="s">
        <v>70</v>
      </c>
      <c r="C3422" s="0" t="s">
        <v>71</v>
      </c>
      <c r="D3422" s="0" t="n">
        <v>10</v>
      </c>
      <c r="E3422" s="6" t="n">
        <v>40834.3916666667</v>
      </c>
      <c r="F3422" s="0" t="n">
        <v>1.65</v>
      </c>
      <c r="G3422" s="0" t="n">
        <v>12662</v>
      </c>
      <c r="H3422" s="0" t="s">
        <v>33</v>
      </c>
      <c r="I3422" s="7" t="n">
        <f aca="false">IF(AND(LEFT(A3422,1)&lt;&gt;"C",D3422&gt;0,F3422&gt;0),1,0)</f>
        <v>1</v>
      </c>
      <c r="J3422" s="7" t="n">
        <f aca="false">IF(I3422=1,D3422*F3422,0)</f>
        <v>16.5</v>
      </c>
      <c r="K3422" s="7" t="n">
        <f aca="false">YEAR(E3422)*100+MONTH(E3422)</f>
        <v>201110</v>
      </c>
      <c r="L3422" s="7" t="n">
        <f aca="false">IF(AND(A3422&lt;&gt;A3421,LEFT(A3422,1)&lt;&gt;"C"),1,0)</f>
        <v>0</v>
      </c>
    </row>
    <row r="3423" customFormat="false" ht="15" hidden="false" customHeight="false" outlineLevel="0" collapsed="false">
      <c r="A3423" s="0" t="s">
        <v>2432</v>
      </c>
      <c r="B3423" s="0" t="s">
        <v>123</v>
      </c>
      <c r="C3423" s="0" t="s">
        <v>124</v>
      </c>
      <c r="D3423" s="0" t="n">
        <v>12</v>
      </c>
      <c r="E3423" s="6" t="n">
        <v>40834.3916666667</v>
      </c>
      <c r="F3423" s="0" t="n">
        <v>2.95</v>
      </c>
      <c r="G3423" s="0" t="n">
        <v>12662</v>
      </c>
      <c r="H3423" s="0" t="s">
        <v>33</v>
      </c>
      <c r="I3423" s="7" t="n">
        <f aca="false">IF(AND(LEFT(A3423,1)&lt;&gt;"C",D3423&gt;0,F3423&gt;0),1,0)</f>
        <v>1</v>
      </c>
      <c r="J3423" s="7" t="n">
        <f aca="false">IF(I3423=1,D3423*F3423,0)</f>
        <v>35.4</v>
      </c>
      <c r="K3423" s="7" t="n">
        <f aca="false">YEAR(E3423)*100+MONTH(E3423)</f>
        <v>201110</v>
      </c>
      <c r="L3423" s="7" t="n">
        <f aca="false">IF(AND(A3423&lt;&gt;A3422,LEFT(A3423,1)&lt;&gt;"C"),1,0)</f>
        <v>0</v>
      </c>
    </row>
    <row r="3424" customFormat="false" ht="15" hidden="false" customHeight="false" outlineLevel="0" collapsed="false">
      <c r="A3424" s="0" t="s">
        <v>2432</v>
      </c>
      <c r="B3424" s="0" t="s">
        <v>671</v>
      </c>
      <c r="C3424" s="0" t="s">
        <v>672</v>
      </c>
      <c r="D3424" s="0" t="n">
        <v>12</v>
      </c>
      <c r="E3424" s="6" t="n">
        <v>40834.3916666667</v>
      </c>
      <c r="F3424" s="0" t="n">
        <v>0.85</v>
      </c>
      <c r="G3424" s="0" t="n">
        <v>12662</v>
      </c>
      <c r="H3424" s="0" t="s">
        <v>33</v>
      </c>
      <c r="I3424" s="7" t="n">
        <f aca="false">IF(AND(LEFT(A3424,1)&lt;&gt;"C",D3424&gt;0,F3424&gt;0),1,0)</f>
        <v>1</v>
      </c>
      <c r="J3424" s="7" t="n">
        <f aca="false">IF(I3424=1,D3424*F3424,0)</f>
        <v>10.2</v>
      </c>
      <c r="K3424" s="7" t="n">
        <f aca="false">YEAR(E3424)*100+MONTH(E3424)</f>
        <v>201110</v>
      </c>
      <c r="L3424" s="7" t="n">
        <f aca="false">IF(AND(A3424&lt;&gt;A3423,LEFT(A3424,1)&lt;&gt;"C"),1,0)</f>
        <v>0</v>
      </c>
    </row>
    <row r="3425" customFormat="false" ht="15" hidden="false" customHeight="false" outlineLevel="0" collapsed="false">
      <c r="A3425" s="0" t="s">
        <v>2432</v>
      </c>
      <c r="B3425" s="0" t="s">
        <v>2437</v>
      </c>
      <c r="C3425" s="0" t="s">
        <v>2438</v>
      </c>
      <c r="D3425" s="0" t="n">
        <v>4</v>
      </c>
      <c r="E3425" s="6" t="n">
        <v>40834.3916666667</v>
      </c>
      <c r="F3425" s="0" t="n">
        <v>4.15</v>
      </c>
      <c r="G3425" s="0" t="n">
        <v>12662</v>
      </c>
      <c r="H3425" s="0" t="s">
        <v>33</v>
      </c>
      <c r="I3425" s="7" t="n">
        <f aca="false">IF(AND(LEFT(A3425,1)&lt;&gt;"C",D3425&gt;0,F3425&gt;0),1,0)</f>
        <v>1</v>
      </c>
      <c r="J3425" s="7" t="n">
        <f aca="false">IF(I3425=1,D3425*F3425,0)</f>
        <v>16.6</v>
      </c>
      <c r="K3425" s="7" t="n">
        <f aca="false">YEAR(E3425)*100+MONTH(E3425)</f>
        <v>201110</v>
      </c>
      <c r="L3425" s="7" t="n">
        <f aca="false">IF(AND(A3425&lt;&gt;A3424,LEFT(A3425,1)&lt;&gt;"C"),1,0)</f>
        <v>0</v>
      </c>
    </row>
    <row r="3426" customFormat="false" ht="15" hidden="false" customHeight="false" outlineLevel="0" collapsed="false">
      <c r="A3426" s="0" t="s">
        <v>2432</v>
      </c>
      <c r="B3426" s="0" t="s">
        <v>493</v>
      </c>
      <c r="C3426" s="0" t="s">
        <v>494</v>
      </c>
      <c r="D3426" s="0" t="n">
        <v>8</v>
      </c>
      <c r="E3426" s="6" t="n">
        <v>40834.3916666667</v>
      </c>
      <c r="F3426" s="0" t="n">
        <v>0.85</v>
      </c>
      <c r="G3426" s="0" t="n">
        <v>12662</v>
      </c>
      <c r="H3426" s="0" t="s">
        <v>33</v>
      </c>
      <c r="I3426" s="7" t="n">
        <f aca="false">IF(AND(LEFT(A3426,1)&lt;&gt;"C",D3426&gt;0,F3426&gt;0),1,0)</f>
        <v>1</v>
      </c>
      <c r="J3426" s="7" t="n">
        <f aca="false">IF(I3426=1,D3426*F3426,0)</f>
        <v>6.8</v>
      </c>
      <c r="K3426" s="7" t="n">
        <f aca="false">YEAR(E3426)*100+MONTH(E3426)</f>
        <v>201110</v>
      </c>
      <c r="L3426" s="7" t="n">
        <f aca="false">IF(AND(A3426&lt;&gt;A3425,LEFT(A3426,1)&lt;&gt;"C"),1,0)</f>
        <v>0</v>
      </c>
    </row>
    <row r="3427" customFormat="false" ht="15" hidden="false" customHeight="false" outlineLevel="0" collapsed="false">
      <c r="A3427" s="0" t="s">
        <v>2432</v>
      </c>
      <c r="B3427" s="0" t="s">
        <v>166</v>
      </c>
      <c r="C3427" s="0" t="s">
        <v>167</v>
      </c>
      <c r="D3427" s="0" t="n">
        <v>8</v>
      </c>
      <c r="E3427" s="6" t="n">
        <v>40834.3916666667</v>
      </c>
      <c r="F3427" s="0" t="n">
        <v>1.25</v>
      </c>
      <c r="G3427" s="0" t="n">
        <v>12662</v>
      </c>
      <c r="H3427" s="0" t="s">
        <v>33</v>
      </c>
      <c r="I3427" s="7" t="n">
        <f aca="false">IF(AND(LEFT(A3427,1)&lt;&gt;"C",D3427&gt;0,F3427&gt;0),1,0)</f>
        <v>1</v>
      </c>
      <c r="J3427" s="7" t="n">
        <f aca="false">IF(I3427=1,D3427*F3427,0)</f>
        <v>10</v>
      </c>
      <c r="K3427" s="7" t="n">
        <f aca="false">YEAR(E3427)*100+MONTH(E3427)</f>
        <v>201110</v>
      </c>
      <c r="L3427" s="7" t="n">
        <f aca="false">IF(AND(A3427&lt;&gt;A3426,LEFT(A3427,1)&lt;&gt;"C"),1,0)</f>
        <v>0</v>
      </c>
    </row>
    <row r="3428" customFormat="false" ht="15" hidden="false" customHeight="false" outlineLevel="0" collapsed="false">
      <c r="A3428" s="0" t="s">
        <v>2432</v>
      </c>
      <c r="B3428" s="0" t="s">
        <v>1212</v>
      </c>
      <c r="C3428" s="0" t="s">
        <v>1213</v>
      </c>
      <c r="D3428" s="0" t="n">
        <v>8</v>
      </c>
      <c r="E3428" s="6" t="n">
        <v>40834.3916666667</v>
      </c>
      <c r="F3428" s="0" t="n">
        <v>1.25</v>
      </c>
      <c r="G3428" s="0" t="n">
        <v>12662</v>
      </c>
      <c r="H3428" s="0" t="s">
        <v>33</v>
      </c>
      <c r="I3428" s="7" t="n">
        <f aca="false">IF(AND(LEFT(A3428,1)&lt;&gt;"C",D3428&gt;0,F3428&gt;0),1,0)</f>
        <v>1</v>
      </c>
      <c r="J3428" s="7" t="n">
        <f aca="false">IF(I3428=1,D3428*F3428,0)</f>
        <v>10</v>
      </c>
      <c r="K3428" s="7" t="n">
        <f aca="false">YEAR(E3428)*100+MONTH(E3428)</f>
        <v>201110</v>
      </c>
      <c r="L3428" s="7" t="n">
        <f aca="false">IF(AND(A3428&lt;&gt;A3427,LEFT(A3428,1)&lt;&gt;"C"),1,0)</f>
        <v>0</v>
      </c>
    </row>
    <row r="3429" customFormat="false" ht="15" hidden="false" customHeight="false" outlineLevel="0" collapsed="false">
      <c r="A3429" s="0" t="s">
        <v>2432</v>
      </c>
      <c r="B3429" s="0" t="s">
        <v>627</v>
      </c>
      <c r="C3429" s="0" t="s">
        <v>628</v>
      </c>
      <c r="D3429" s="0" t="n">
        <v>10</v>
      </c>
      <c r="E3429" s="6" t="n">
        <v>40834.3916666667</v>
      </c>
      <c r="F3429" s="0" t="n">
        <v>0.85</v>
      </c>
      <c r="G3429" s="0" t="n">
        <v>12662</v>
      </c>
      <c r="H3429" s="0" t="s">
        <v>33</v>
      </c>
      <c r="I3429" s="7" t="n">
        <f aca="false">IF(AND(LEFT(A3429,1)&lt;&gt;"C",D3429&gt;0,F3429&gt;0),1,0)</f>
        <v>1</v>
      </c>
      <c r="J3429" s="7" t="n">
        <f aca="false">IF(I3429=1,D3429*F3429,0)</f>
        <v>8.5</v>
      </c>
      <c r="K3429" s="7" t="n">
        <f aca="false">YEAR(E3429)*100+MONTH(E3429)</f>
        <v>201110</v>
      </c>
      <c r="L3429" s="7" t="n">
        <f aca="false">IF(AND(A3429&lt;&gt;A3428,LEFT(A3429,1)&lt;&gt;"C"),1,0)</f>
        <v>0</v>
      </c>
    </row>
    <row r="3430" customFormat="false" ht="15" hidden="false" customHeight="false" outlineLevel="0" collapsed="false">
      <c r="A3430" s="0" t="s">
        <v>2432</v>
      </c>
      <c r="B3430" s="0" t="s">
        <v>1432</v>
      </c>
      <c r="C3430" s="0" t="s">
        <v>1433</v>
      </c>
      <c r="D3430" s="0" t="n">
        <v>6</v>
      </c>
      <c r="E3430" s="6" t="n">
        <v>40834.3916666667</v>
      </c>
      <c r="F3430" s="0" t="n">
        <v>2.95</v>
      </c>
      <c r="G3430" s="0" t="n">
        <v>12662</v>
      </c>
      <c r="H3430" s="0" t="s">
        <v>33</v>
      </c>
      <c r="I3430" s="7" t="n">
        <f aca="false">IF(AND(LEFT(A3430,1)&lt;&gt;"C",D3430&gt;0,F3430&gt;0),1,0)</f>
        <v>1</v>
      </c>
      <c r="J3430" s="7" t="n">
        <f aca="false">IF(I3430=1,D3430*F3430,0)</f>
        <v>17.7</v>
      </c>
      <c r="K3430" s="7" t="n">
        <f aca="false">YEAR(E3430)*100+MONTH(E3430)</f>
        <v>201110</v>
      </c>
      <c r="L3430" s="7" t="n">
        <f aca="false">IF(AND(A3430&lt;&gt;A3429,LEFT(A3430,1)&lt;&gt;"C"),1,0)</f>
        <v>0</v>
      </c>
    </row>
    <row r="3431" customFormat="false" ht="15" hidden="false" customHeight="false" outlineLevel="0" collapsed="false">
      <c r="A3431" s="0" t="s">
        <v>2432</v>
      </c>
      <c r="B3431" s="0" t="s">
        <v>1434</v>
      </c>
      <c r="C3431" s="0" t="s">
        <v>1435</v>
      </c>
      <c r="D3431" s="0" t="n">
        <v>6</v>
      </c>
      <c r="E3431" s="6" t="n">
        <v>40834.3916666667</v>
      </c>
      <c r="F3431" s="0" t="n">
        <v>2.95</v>
      </c>
      <c r="G3431" s="0" t="n">
        <v>12662</v>
      </c>
      <c r="H3431" s="0" t="s">
        <v>33</v>
      </c>
      <c r="I3431" s="7" t="n">
        <f aca="false">IF(AND(LEFT(A3431,1)&lt;&gt;"C",D3431&gt;0,F3431&gt;0),1,0)</f>
        <v>1</v>
      </c>
      <c r="J3431" s="7" t="n">
        <f aca="false">IF(I3431=1,D3431*F3431,0)</f>
        <v>17.7</v>
      </c>
      <c r="K3431" s="7" t="n">
        <f aca="false">YEAR(E3431)*100+MONTH(E3431)</f>
        <v>201110</v>
      </c>
      <c r="L3431" s="7" t="n">
        <f aca="false">IF(AND(A3431&lt;&gt;A3430,LEFT(A3431,1)&lt;&gt;"C"),1,0)</f>
        <v>0</v>
      </c>
    </row>
    <row r="3432" customFormat="false" ht="15" hidden="false" customHeight="false" outlineLevel="0" collapsed="false">
      <c r="A3432" s="0" t="s">
        <v>2432</v>
      </c>
      <c r="B3432" s="0" t="s">
        <v>1450</v>
      </c>
      <c r="C3432" s="0" t="s">
        <v>1451</v>
      </c>
      <c r="D3432" s="0" t="n">
        <v>4</v>
      </c>
      <c r="E3432" s="6" t="n">
        <v>40834.3916666667</v>
      </c>
      <c r="F3432" s="0" t="n">
        <v>4.25</v>
      </c>
      <c r="G3432" s="0" t="n">
        <v>12662</v>
      </c>
      <c r="H3432" s="0" t="s">
        <v>33</v>
      </c>
      <c r="I3432" s="7" t="n">
        <f aca="false">IF(AND(LEFT(A3432,1)&lt;&gt;"C",D3432&gt;0,F3432&gt;0),1,0)</f>
        <v>1</v>
      </c>
      <c r="J3432" s="7" t="n">
        <f aca="false">IF(I3432=1,D3432*F3432,0)</f>
        <v>17</v>
      </c>
      <c r="K3432" s="7" t="n">
        <f aca="false">YEAR(E3432)*100+MONTH(E3432)</f>
        <v>201110</v>
      </c>
      <c r="L3432" s="7" t="n">
        <f aca="false">IF(AND(A3432&lt;&gt;A3431,LEFT(A3432,1)&lt;&gt;"C"),1,0)</f>
        <v>0</v>
      </c>
    </row>
    <row r="3433" customFormat="false" ht="15" hidden="false" customHeight="false" outlineLevel="0" collapsed="false">
      <c r="A3433" s="0" t="s">
        <v>2432</v>
      </c>
      <c r="B3433" s="0" t="s">
        <v>653</v>
      </c>
      <c r="C3433" s="0" t="s">
        <v>654</v>
      </c>
      <c r="D3433" s="0" t="n">
        <v>2</v>
      </c>
      <c r="E3433" s="6" t="n">
        <v>40834.3916666667</v>
      </c>
      <c r="F3433" s="0" t="n">
        <v>6.25</v>
      </c>
      <c r="G3433" s="0" t="n">
        <v>12662</v>
      </c>
      <c r="H3433" s="0" t="s">
        <v>33</v>
      </c>
      <c r="I3433" s="7" t="n">
        <f aca="false">IF(AND(LEFT(A3433,1)&lt;&gt;"C",D3433&gt;0,F3433&gt;0),1,0)</f>
        <v>1</v>
      </c>
      <c r="J3433" s="7" t="n">
        <f aca="false">IF(I3433=1,D3433*F3433,0)</f>
        <v>12.5</v>
      </c>
      <c r="K3433" s="7" t="n">
        <f aca="false">YEAR(E3433)*100+MONTH(E3433)</f>
        <v>201110</v>
      </c>
      <c r="L3433" s="7" t="n">
        <f aca="false">IF(AND(A3433&lt;&gt;A3432,LEFT(A3433,1)&lt;&gt;"C"),1,0)</f>
        <v>0</v>
      </c>
    </row>
    <row r="3434" customFormat="false" ht="15" hidden="false" customHeight="false" outlineLevel="0" collapsed="false">
      <c r="A3434" s="0" t="s">
        <v>2432</v>
      </c>
      <c r="B3434" s="0" t="s">
        <v>2439</v>
      </c>
      <c r="C3434" s="0" t="s">
        <v>2440</v>
      </c>
      <c r="D3434" s="0" t="n">
        <v>6</v>
      </c>
      <c r="E3434" s="6" t="n">
        <v>40834.3916666667</v>
      </c>
      <c r="F3434" s="0" t="n">
        <v>3.75</v>
      </c>
      <c r="G3434" s="0" t="n">
        <v>12662</v>
      </c>
      <c r="H3434" s="0" t="s">
        <v>33</v>
      </c>
      <c r="I3434" s="7" t="n">
        <f aca="false">IF(AND(LEFT(A3434,1)&lt;&gt;"C",D3434&gt;0,F3434&gt;0),1,0)</f>
        <v>1</v>
      </c>
      <c r="J3434" s="7" t="n">
        <f aca="false">IF(I3434=1,D3434*F3434,0)</f>
        <v>22.5</v>
      </c>
      <c r="K3434" s="7" t="n">
        <f aca="false">YEAR(E3434)*100+MONTH(E3434)</f>
        <v>201110</v>
      </c>
      <c r="L3434" s="7" t="n">
        <f aca="false">IF(AND(A3434&lt;&gt;A3433,LEFT(A3434,1)&lt;&gt;"C"),1,0)</f>
        <v>0</v>
      </c>
    </row>
    <row r="3435" customFormat="false" ht="15" hidden="false" customHeight="false" outlineLevel="0" collapsed="false">
      <c r="A3435" s="0" t="s">
        <v>2432</v>
      </c>
      <c r="B3435" s="0" t="s">
        <v>1545</v>
      </c>
      <c r="C3435" s="0" t="s">
        <v>1546</v>
      </c>
      <c r="D3435" s="0" t="n">
        <v>12</v>
      </c>
      <c r="E3435" s="6" t="n">
        <v>40834.3916666667</v>
      </c>
      <c r="F3435" s="0" t="n">
        <v>0.65</v>
      </c>
      <c r="G3435" s="0" t="n">
        <v>12662</v>
      </c>
      <c r="H3435" s="0" t="s">
        <v>33</v>
      </c>
      <c r="I3435" s="7" t="n">
        <f aca="false">IF(AND(LEFT(A3435,1)&lt;&gt;"C",D3435&gt;0,F3435&gt;0),1,0)</f>
        <v>1</v>
      </c>
      <c r="J3435" s="7" t="n">
        <f aca="false">IF(I3435=1,D3435*F3435,0)</f>
        <v>7.8</v>
      </c>
      <c r="K3435" s="7" t="n">
        <f aca="false">YEAR(E3435)*100+MONTH(E3435)</f>
        <v>201110</v>
      </c>
      <c r="L3435" s="7" t="n">
        <f aca="false">IF(AND(A3435&lt;&gt;A3434,LEFT(A3435,1)&lt;&gt;"C"),1,0)</f>
        <v>0</v>
      </c>
    </row>
    <row r="3436" customFormat="false" ht="15" hidden="false" customHeight="false" outlineLevel="0" collapsed="false">
      <c r="A3436" s="0" t="s">
        <v>2432</v>
      </c>
      <c r="B3436" s="0" t="s">
        <v>84</v>
      </c>
      <c r="C3436" s="0" t="s">
        <v>85</v>
      </c>
      <c r="D3436" s="0" t="n">
        <v>2</v>
      </c>
      <c r="E3436" s="6" t="n">
        <v>40834.3916666667</v>
      </c>
      <c r="F3436" s="0" t="n">
        <v>18</v>
      </c>
      <c r="G3436" s="0" t="n">
        <v>12662</v>
      </c>
      <c r="H3436" s="0" t="s">
        <v>33</v>
      </c>
      <c r="I3436" s="7" t="n">
        <f aca="false">IF(AND(LEFT(A3436,1)&lt;&gt;"C",D3436&gt;0,F3436&gt;0),1,0)</f>
        <v>1</v>
      </c>
      <c r="J3436" s="7" t="n">
        <f aca="false">IF(I3436=1,D3436*F3436,0)</f>
        <v>36</v>
      </c>
      <c r="K3436" s="7" t="n">
        <f aca="false">YEAR(E3436)*100+MONTH(E3436)</f>
        <v>201110</v>
      </c>
      <c r="L3436" s="7" t="n">
        <f aca="false">IF(AND(A3436&lt;&gt;A3435,LEFT(A3436,1)&lt;&gt;"C"),1,0)</f>
        <v>0</v>
      </c>
    </row>
    <row r="3437" customFormat="false" ht="15" hidden="false" customHeight="false" outlineLevel="0" collapsed="false">
      <c r="A3437" s="0" t="s">
        <v>2441</v>
      </c>
      <c r="B3437" s="0" t="s">
        <v>155</v>
      </c>
      <c r="C3437" s="0" t="s">
        <v>156</v>
      </c>
      <c r="D3437" s="0" t="n">
        <v>2</v>
      </c>
      <c r="E3437" s="6" t="n">
        <v>40834.4291666667</v>
      </c>
      <c r="F3437" s="0" t="n">
        <v>10.95</v>
      </c>
      <c r="G3437" s="0" t="n">
        <v>12720</v>
      </c>
      <c r="H3437" s="0" t="s">
        <v>33</v>
      </c>
      <c r="I3437" s="7" t="n">
        <f aca="false">IF(AND(LEFT(A3437,1)&lt;&gt;"C",D3437&gt;0,F3437&gt;0),1,0)</f>
        <v>1</v>
      </c>
      <c r="J3437" s="7" t="n">
        <f aca="false">IF(I3437=1,D3437*F3437,0)</f>
        <v>21.9</v>
      </c>
      <c r="K3437" s="7" t="n">
        <f aca="false">YEAR(E3437)*100+MONTH(E3437)</f>
        <v>201110</v>
      </c>
      <c r="L3437" s="7" t="n">
        <f aca="false">IF(AND(A3437&lt;&gt;A3436,LEFT(A3437,1)&lt;&gt;"C"),1,0)</f>
        <v>1</v>
      </c>
    </row>
    <row r="3438" customFormat="false" ht="15" hidden="false" customHeight="false" outlineLevel="0" collapsed="false">
      <c r="A3438" s="0" t="s">
        <v>2441</v>
      </c>
      <c r="B3438" s="0" t="s">
        <v>1375</v>
      </c>
      <c r="C3438" s="0" t="s">
        <v>1376</v>
      </c>
      <c r="D3438" s="0" t="n">
        <v>12</v>
      </c>
      <c r="E3438" s="6" t="n">
        <v>40834.4291666667</v>
      </c>
      <c r="F3438" s="0" t="n">
        <v>1.45</v>
      </c>
      <c r="G3438" s="0" t="n">
        <v>12720</v>
      </c>
      <c r="H3438" s="0" t="s">
        <v>33</v>
      </c>
      <c r="I3438" s="7" t="n">
        <f aca="false">IF(AND(LEFT(A3438,1)&lt;&gt;"C",D3438&gt;0,F3438&gt;0),1,0)</f>
        <v>1</v>
      </c>
      <c r="J3438" s="7" t="n">
        <f aca="false">IF(I3438=1,D3438*F3438,0)</f>
        <v>17.4</v>
      </c>
      <c r="K3438" s="7" t="n">
        <f aca="false">YEAR(E3438)*100+MONTH(E3438)</f>
        <v>201110</v>
      </c>
      <c r="L3438" s="7" t="n">
        <f aca="false">IF(AND(A3438&lt;&gt;A3437,LEFT(A3438,1)&lt;&gt;"C"),1,0)</f>
        <v>0</v>
      </c>
    </row>
    <row r="3439" customFormat="false" ht="15" hidden="false" customHeight="false" outlineLevel="0" collapsed="false">
      <c r="A3439" s="0" t="s">
        <v>2441</v>
      </c>
      <c r="B3439" s="0" t="s">
        <v>1858</v>
      </c>
      <c r="C3439" s="0" t="s">
        <v>1859</v>
      </c>
      <c r="D3439" s="0" t="n">
        <v>12</v>
      </c>
      <c r="E3439" s="6" t="n">
        <v>40834.4291666667</v>
      </c>
      <c r="F3439" s="0" t="n">
        <v>1.45</v>
      </c>
      <c r="G3439" s="0" t="n">
        <v>12720</v>
      </c>
      <c r="H3439" s="0" t="s">
        <v>33</v>
      </c>
      <c r="I3439" s="7" t="n">
        <f aca="false">IF(AND(LEFT(A3439,1)&lt;&gt;"C",D3439&gt;0,F3439&gt;0),1,0)</f>
        <v>1</v>
      </c>
      <c r="J3439" s="7" t="n">
        <f aca="false">IF(I3439=1,D3439*F3439,0)</f>
        <v>17.4</v>
      </c>
      <c r="K3439" s="7" t="n">
        <f aca="false">YEAR(E3439)*100+MONTH(E3439)</f>
        <v>201110</v>
      </c>
      <c r="L3439" s="7" t="n">
        <f aca="false">IF(AND(A3439&lt;&gt;A3438,LEFT(A3439,1)&lt;&gt;"C"),1,0)</f>
        <v>0</v>
      </c>
    </row>
    <row r="3440" customFormat="false" ht="15" hidden="false" customHeight="false" outlineLevel="0" collapsed="false">
      <c r="A3440" s="0" t="s">
        <v>2441</v>
      </c>
      <c r="B3440" s="0" t="s">
        <v>1676</v>
      </c>
      <c r="C3440" s="0" t="s">
        <v>1677</v>
      </c>
      <c r="D3440" s="0" t="n">
        <v>6</v>
      </c>
      <c r="E3440" s="6" t="n">
        <v>40834.4291666667</v>
      </c>
      <c r="F3440" s="0" t="n">
        <v>5.95</v>
      </c>
      <c r="G3440" s="0" t="n">
        <v>12720</v>
      </c>
      <c r="H3440" s="0" t="s">
        <v>33</v>
      </c>
      <c r="I3440" s="7" t="n">
        <f aca="false">IF(AND(LEFT(A3440,1)&lt;&gt;"C",D3440&gt;0,F3440&gt;0),1,0)</f>
        <v>1</v>
      </c>
      <c r="J3440" s="7" t="n">
        <f aca="false">IF(I3440=1,D3440*F3440,0)</f>
        <v>35.7</v>
      </c>
      <c r="K3440" s="7" t="n">
        <f aca="false">YEAR(E3440)*100+MONTH(E3440)</f>
        <v>201110</v>
      </c>
      <c r="L3440" s="7" t="n">
        <f aca="false">IF(AND(A3440&lt;&gt;A3439,LEFT(A3440,1)&lt;&gt;"C"),1,0)</f>
        <v>0</v>
      </c>
    </row>
    <row r="3441" customFormat="false" ht="15" hidden="false" customHeight="false" outlineLevel="0" collapsed="false">
      <c r="A3441" s="0" t="s">
        <v>2441</v>
      </c>
      <c r="B3441" s="0" t="s">
        <v>1686</v>
      </c>
      <c r="C3441" s="0" t="s">
        <v>1687</v>
      </c>
      <c r="D3441" s="0" t="n">
        <v>12</v>
      </c>
      <c r="E3441" s="6" t="n">
        <v>40834.4291666667</v>
      </c>
      <c r="F3441" s="0" t="n">
        <v>0.85</v>
      </c>
      <c r="G3441" s="0" t="n">
        <v>12720</v>
      </c>
      <c r="H3441" s="0" t="s">
        <v>33</v>
      </c>
      <c r="I3441" s="7" t="n">
        <f aca="false">IF(AND(LEFT(A3441,1)&lt;&gt;"C",D3441&gt;0,F3441&gt;0),1,0)</f>
        <v>1</v>
      </c>
      <c r="J3441" s="7" t="n">
        <f aca="false">IF(I3441=1,D3441*F3441,0)</f>
        <v>10.2</v>
      </c>
      <c r="K3441" s="7" t="n">
        <f aca="false">YEAR(E3441)*100+MONTH(E3441)</f>
        <v>201110</v>
      </c>
      <c r="L3441" s="7" t="n">
        <f aca="false">IF(AND(A3441&lt;&gt;A3440,LEFT(A3441,1)&lt;&gt;"C"),1,0)</f>
        <v>0</v>
      </c>
    </row>
    <row r="3442" customFormat="false" ht="15" hidden="false" customHeight="false" outlineLevel="0" collapsed="false">
      <c r="A3442" s="0" t="s">
        <v>2441</v>
      </c>
      <c r="B3442" s="0" t="s">
        <v>219</v>
      </c>
      <c r="C3442" s="0" t="s">
        <v>220</v>
      </c>
      <c r="D3442" s="0" t="n">
        <v>24</v>
      </c>
      <c r="E3442" s="6" t="n">
        <v>40834.4291666667</v>
      </c>
      <c r="F3442" s="0" t="n">
        <v>0.55</v>
      </c>
      <c r="G3442" s="0" t="n">
        <v>12720</v>
      </c>
      <c r="H3442" s="0" t="s">
        <v>33</v>
      </c>
      <c r="I3442" s="7" t="n">
        <f aca="false">IF(AND(LEFT(A3442,1)&lt;&gt;"C",D3442&gt;0,F3442&gt;0),1,0)</f>
        <v>1</v>
      </c>
      <c r="J3442" s="7" t="n">
        <f aca="false">IF(I3442=1,D3442*F3442,0)</f>
        <v>13.2</v>
      </c>
      <c r="K3442" s="7" t="n">
        <f aca="false">YEAR(E3442)*100+MONTH(E3442)</f>
        <v>201110</v>
      </c>
      <c r="L3442" s="7" t="n">
        <f aca="false">IF(AND(A3442&lt;&gt;A3441,LEFT(A3442,1)&lt;&gt;"C"),1,0)</f>
        <v>0</v>
      </c>
    </row>
    <row r="3443" customFormat="false" ht="15" hidden="false" customHeight="false" outlineLevel="0" collapsed="false">
      <c r="A3443" s="0" t="s">
        <v>2441</v>
      </c>
      <c r="B3443" s="0" t="s">
        <v>189</v>
      </c>
      <c r="C3443" s="0" t="s">
        <v>190</v>
      </c>
      <c r="D3443" s="0" t="n">
        <v>6</v>
      </c>
      <c r="E3443" s="6" t="n">
        <v>40834.4291666667</v>
      </c>
      <c r="F3443" s="0" t="n">
        <v>2.95</v>
      </c>
      <c r="G3443" s="0" t="n">
        <v>12720</v>
      </c>
      <c r="H3443" s="0" t="s">
        <v>33</v>
      </c>
      <c r="I3443" s="7" t="n">
        <f aca="false">IF(AND(LEFT(A3443,1)&lt;&gt;"C",D3443&gt;0,F3443&gt;0),1,0)</f>
        <v>1</v>
      </c>
      <c r="J3443" s="7" t="n">
        <f aca="false">IF(I3443=1,D3443*F3443,0)</f>
        <v>17.7</v>
      </c>
      <c r="K3443" s="7" t="n">
        <f aca="false">YEAR(E3443)*100+MONTH(E3443)</f>
        <v>201110</v>
      </c>
      <c r="L3443" s="7" t="n">
        <f aca="false">IF(AND(A3443&lt;&gt;A3442,LEFT(A3443,1)&lt;&gt;"C"),1,0)</f>
        <v>0</v>
      </c>
    </row>
    <row r="3444" customFormat="false" ht="15" hidden="false" customHeight="false" outlineLevel="0" collapsed="false">
      <c r="A3444" s="0" t="s">
        <v>2441</v>
      </c>
      <c r="B3444" s="0" t="s">
        <v>326</v>
      </c>
      <c r="C3444" s="0" t="s">
        <v>327</v>
      </c>
      <c r="D3444" s="0" t="n">
        <v>2</v>
      </c>
      <c r="E3444" s="6" t="n">
        <v>40834.4291666667</v>
      </c>
      <c r="F3444" s="0" t="n">
        <v>8.5</v>
      </c>
      <c r="G3444" s="0" t="n">
        <v>12720</v>
      </c>
      <c r="H3444" s="0" t="s">
        <v>33</v>
      </c>
      <c r="I3444" s="7" t="n">
        <f aca="false">IF(AND(LEFT(A3444,1)&lt;&gt;"C",D3444&gt;0,F3444&gt;0),1,0)</f>
        <v>1</v>
      </c>
      <c r="J3444" s="7" t="n">
        <f aca="false">IF(I3444=1,D3444*F3444,0)</f>
        <v>17</v>
      </c>
      <c r="K3444" s="7" t="n">
        <f aca="false">YEAR(E3444)*100+MONTH(E3444)</f>
        <v>201110</v>
      </c>
      <c r="L3444" s="7" t="n">
        <f aca="false">IF(AND(A3444&lt;&gt;A3443,LEFT(A3444,1)&lt;&gt;"C"),1,0)</f>
        <v>0</v>
      </c>
    </row>
    <row r="3445" customFormat="false" ht="15" hidden="false" customHeight="false" outlineLevel="0" collapsed="false">
      <c r="A3445" s="0" t="s">
        <v>2441</v>
      </c>
      <c r="B3445" s="0" t="s">
        <v>2320</v>
      </c>
      <c r="C3445" s="0" t="s">
        <v>2321</v>
      </c>
      <c r="D3445" s="0" t="n">
        <v>6</v>
      </c>
      <c r="E3445" s="6" t="n">
        <v>40834.4291666667</v>
      </c>
      <c r="F3445" s="0" t="n">
        <v>2.1</v>
      </c>
      <c r="G3445" s="0" t="n">
        <v>12720</v>
      </c>
      <c r="H3445" s="0" t="s">
        <v>33</v>
      </c>
      <c r="I3445" s="7" t="n">
        <f aca="false">IF(AND(LEFT(A3445,1)&lt;&gt;"C",D3445&gt;0,F3445&gt;0),1,0)</f>
        <v>1</v>
      </c>
      <c r="J3445" s="7" t="n">
        <f aca="false">IF(I3445=1,D3445*F3445,0)</f>
        <v>12.6</v>
      </c>
      <c r="K3445" s="7" t="n">
        <f aca="false">YEAR(E3445)*100+MONTH(E3445)</f>
        <v>201110</v>
      </c>
      <c r="L3445" s="7" t="n">
        <f aca="false">IF(AND(A3445&lt;&gt;A3444,LEFT(A3445,1)&lt;&gt;"C"),1,0)</f>
        <v>0</v>
      </c>
    </row>
    <row r="3446" customFormat="false" ht="15" hidden="false" customHeight="false" outlineLevel="0" collapsed="false">
      <c r="A3446" s="0" t="s">
        <v>2442</v>
      </c>
      <c r="B3446" s="0" t="s">
        <v>2314</v>
      </c>
      <c r="C3446" s="0" t="s">
        <v>2315</v>
      </c>
      <c r="D3446" s="0" t="n">
        <v>8</v>
      </c>
      <c r="E3446" s="6" t="n">
        <v>40834.5333333333</v>
      </c>
      <c r="F3446" s="0" t="n">
        <v>3.75</v>
      </c>
      <c r="G3446" s="0" t="n">
        <v>12621</v>
      </c>
      <c r="H3446" s="0" t="s">
        <v>33</v>
      </c>
      <c r="I3446" s="7" t="n">
        <f aca="false">IF(AND(LEFT(A3446,1)&lt;&gt;"C",D3446&gt;0,F3446&gt;0),1,0)</f>
        <v>1</v>
      </c>
      <c r="J3446" s="7" t="n">
        <f aca="false">IF(I3446=1,D3446*F3446,0)</f>
        <v>30</v>
      </c>
      <c r="K3446" s="7" t="n">
        <f aca="false">YEAR(E3446)*100+MONTH(E3446)</f>
        <v>201110</v>
      </c>
      <c r="L3446" s="7" t="n">
        <f aca="false">IF(AND(A3446&lt;&gt;A3445,LEFT(A3446,1)&lt;&gt;"C"),1,0)</f>
        <v>1</v>
      </c>
    </row>
    <row r="3447" customFormat="false" ht="15" hidden="false" customHeight="false" outlineLevel="0" collapsed="false">
      <c r="A3447" s="0" t="s">
        <v>2442</v>
      </c>
      <c r="B3447" s="0" t="s">
        <v>1600</v>
      </c>
      <c r="C3447" s="0" t="s">
        <v>1601</v>
      </c>
      <c r="D3447" s="0" t="n">
        <v>10</v>
      </c>
      <c r="E3447" s="6" t="n">
        <v>40834.5333333333</v>
      </c>
      <c r="F3447" s="0" t="n">
        <v>1.95</v>
      </c>
      <c r="G3447" s="0" t="n">
        <v>12621</v>
      </c>
      <c r="H3447" s="0" t="s">
        <v>33</v>
      </c>
      <c r="I3447" s="7" t="n">
        <f aca="false">IF(AND(LEFT(A3447,1)&lt;&gt;"C",D3447&gt;0,F3447&gt;0),1,0)</f>
        <v>1</v>
      </c>
      <c r="J3447" s="7" t="n">
        <f aca="false">IF(I3447=1,D3447*F3447,0)</f>
        <v>19.5</v>
      </c>
      <c r="K3447" s="7" t="n">
        <f aca="false">YEAR(E3447)*100+MONTH(E3447)</f>
        <v>201110</v>
      </c>
      <c r="L3447" s="7" t="n">
        <f aca="false">IF(AND(A3447&lt;&gt;A3446,LEFT(A3447,1)&lt;&gt;"C"),1,0)</f>
        <v>0</v>
      </c>
    </row>
    <row r="3448" customFormat="false" ht="15" hidden="false" customHeight="false" outlineLevel="0" collapsed="false">
      <c r="A3448" s="0" t="s">
        <v>2442</v>
      </c>
      <c r="B3448" s="0" t="s">
        <v>1676</v>
      </c>
      <c r="C3448" s="0" t="s">
        <v>1677</v>
      </c>
      <c r="D3448" s="0" t="n">
        <v>3</v>
      </c>
      <c r="E3448" s="6" t="n">
        <v>40834.5333333333</v>
      </c>
      <c r="F3448" s="0" t="n">
        <v>5.95</v>
      </c>
      <c r="G3448" s="0" t="n">
        <v>12621</v>
      </c>
      <c r="H3448" s="0" t="s">
        <v>33</v>
      </c>
      <c r="I3448" s="7" t="n">
        <f aca="false">IF(AND(LEFT(A3448,1)&lt;&gt;"C",D3448&gt;0,F3448&gt;0),1,0)</f>
        <v>1</v>
      </c>
      <c r="J3448" s="7" t="n">
        <f aca="false">IF(I3448=1,D3448*F3448,0)</f>
        <v>17.85</v>
      </c>
      <c r="K3448" s="7" t="n">
        <f aca="false">YEAR(E3448)*100+MONTH(E3448)</f>
        <v>201110</v>
      </c>
      <c r="L3448" s="7" t="n">
        <f aca="false">IF(AND(A3448&lt;&gt;A3447,LEFT(A3448,1)&lt;&gt;"C"),1,0)</f>
        <v>0</v>
      </c>
    </row>
    <row r="3449" customFormat="false" ht="15" hidden="false" customHeight="false" outlineLevel="0" collapsed="false">
      <c r="A3449" s="0" t="s">
        <v>2442</v>
      </c>
      <c r="B3449" s="0" t="s">
        <v>1611</v>
      </c>
      <c r="C3449" s="0" t="s">
        <v>1612</v>
      </c>
      <c r="D3449" s="0" t="n">
        <v>20</v>
      </c>
      <c r="E3449" s="6" t="n">
        <v>40834.5333333333</v>
      </c>
      <c r="F3449" s="0" t="n">
        <v>0.42</v>
      </c>
      <c r="G3449" s="0" t="n">
        <v>12621</v>
      </c>
      <c r="H3449" s="0" t="s">
        <v>33</v>
      </c>
      <c r="I3449" s="7" t="n">
        <f aca="false">IF(AND(LEFT(A3449,1)&lt;&gt;"C",D3449&gt;0,F3449&gt;0),1,0)</f>
        <v>1</v>
      </c>
      <c r="J3449" s="7" t="n">
        <f aca="false">IF(I3449=1,D3449*F3449,0)</f>
        <v>8.4</v>
      </c>
      <c r="K3449" s="7" t="n">
        <f aca="false">YEAR(E3449)*100+MONTH(E3449)</f>
        <v>201110</v>
      </c>
      <c r="L3449" s="7" t="n">
        <f aca="false">IF(AND(A3449&lt;&gt;A3448,LEFT(A3449,1)&lt;&gt;"C"),1,0)</f>
        <v>0</v>
      </c>
    </row>
    <row r="3450" customFormat="false" ht="15" hidden="false" customHeight="false" outlineLevel="0" collapsed="false">
      <c r="A3450" s="0" t="s">
        <v>2442</v>
      </c>
      <c r="B3450" s="0" t="s">
        <v>217</v>
      </c>
      <c r="C3450" s="0" t="s">
        <v>218</v>
      </c>
      <c r="D3450" s="0" t="n">
        <v>24</v>
      </c>
      <c r="E3450" s="6" t="n">
        <v>40834.5333333333</v>
      </c>
      <c r="F3450" s="0" t="n">
        <v>0.55</v>
      </c>
      <c r="G3450" s="0" t="n">
        <v>12621</v>
      </c>
      <c r="H3450" s="0" t="s">
        <v>33</v>
      </c>
      <c r="I3450" s="7" t="n">
        <f aca="false">IF(AND(LEFT(A3450,1)&lt;&gt;"C",D3450&gt;0,F3450&gt;0),1,0)</f>
        <v>1</v>
      </c>
      <c r="J3450" s="7" t="n">
        <f aca="false">IF(I3450=1,D3450*F3450,0)</f>
        <v>13.2</v>
      </c>
      <c r="K3450" s="7" t="n">
        <f aca="false">YEAR(E3450)*100+MONTH(E3450)</f>
        <v>201110</v>
      </c>
      <c r="L3450" s="7" t="n">
        <f aca="false">IF(AND(A3450&lt;&gt;A3449,LEFT(A3450,1)&lt;&gt;"C"),1,0)</f>
        <v>0</v>
      </c>
    </row>
    <row r="3451" customFormat="false" ht="15" hidden="false" customHeight="false" outlineLevel="0" collapsed="false">
      <c r="A3451" s="0" t="s">
        <v>2442</v>
      </c>
      <c r="B3451" s="0" t="s">
        <v>148</v>
      </c>
      <c r="C3451" s="0" t="s">
        <v>149</v>
      </c>
      <c r="D3451" s="0" t="n">
        <v>16</v>
      </c>
      <c r="E3451" s="6" t="n">
        <v>40834.5333333333</v>
      </c>
      <c r="F3451" s="0" t="n">
        <v>10.95</v>
      </c>
      <c r="G3451" s="0" t="n">
        <v>12621</v>
      </c>
      <c r="H3451" s="0" t="s">
        <v>33</v>
      </c>
      <c r="I3451" s="7" t="n">
        <f aca="false">IF(AND(LEFT(A3451,1)&lt;&gt;"C",D3451&gt;0,F3451&gt;0),1,0)</f>
        <v>1</v>
      </c>
      <c r="J3451" s="7" t="n">
        <f aca="false">IF(I3451=1,D3451*F3451,0)</f>
        <v>175.2</v>
      </c>
      <c r="K3451" s="7" t="n">
        <f aca="false">YEAR(E3451)*100+MONTH(E3451)</f>
        <v>201110</v>
      </c>
      <c r="L3451" s="7" t="n">
        <f aca="false">IF(AND(A3451&lt;&gt;A3450,LEFT(A3451,1)&lt;&gt;"C"),1,0)</f>
        <v>0</v>
      </c>
    </row>
    <row r="3452" customFormat="false" ht="15" hidden="false" customHeight="false" outlineLevel="0" collapsed="false">
      <c r="A3452" s="0" t="s">
        <v>2442</v>
      </c>
      <c r="B3452" s="0" t="s">
        <v>1221</v>
      </c>
      <c r="C3452" s="0" t="s">
        <v>1222</v>
      </c>
      <c r="D3452" s="0" t="n">
        <v>12</v>
      </c>
      <c r="E3452" s="6" t="n">
        <v>40834.5333333333</v>
      </c>
      <c r="F3452" s="0" t="n">
        <v>1.65</v>
      </c>
      <c r="G3452" s="0" t="n">
        <v>12621</v>
      </c>
      <c r="H3452" s="0" t="s">
        <v>33</v>
      </c>
      <c r="I3452" s="7" t="n">
        <f aca="false">IF(AND(LEFT(A3452,1)&lt;&gt;"C",D3452&gt;0,F3452&gt;0),1,0)</f>
        <v>1</v>
      </c>
      <c r="J3452" s="7" t="n">
        <f aca="false">IF(I3452=1,D3452*F3452,0)</f>
        <v>19.8</v>
      </c>
      <c r="K3452" s="7" t="n">
        <f aca="false">YEAR(E3452)*100+MONTH(E3452)</f>
        <v>201110</v>
      </c>
      <c r="L3452" s="7" t="n">
        <f aca="false">IF(AND(A3452&lt;&gt;A3451,LEFT(A3452,1)&lt;&gt;"C"),1,0)</f>
        <v>0</v>
      </c>
    </row>
    <row r="3453" customFormat="false" ht="15" hidden="false" customHeight="false" outlineLevel="0" collapsed="false">
      <c r="A3453" s="0" t="s">
        <v>2442</v>
      </c>
      <c r="B3453" s="0" t="s">
        <v>537</v>
      </c>
      <c r="C3453" s="0" t="s">
        <v>538</v>
      </c>
      <c r="D3453" s="0" t="n">
        <v>12</v>
      </c>
      <c r="E3453" s="6" t="n">
        <v>40834.5333333333</v>
      </c>
      <c r="F3453" s="0" t="n">
        <v>4.15</v>
      </c>
      <c r="G3453" s="0" t="n">
        <v>12621</v>
      </c>
      <c r="H3453" s="0" t="s">
        <v>33</v>
      </c>
      <c r="I3453" s="7" t="n">
        <f aca="false">IF(AND(LEFT(A3453,1)&lt;&gt;"C",D3453&gt;0,F3453&gt;0),1,0)</f>
        <v>1</v>
      </c>
      <c r="J3453" s="7" t="n">
        <f aca="false">IF(I3453=1,D3453*F3453,0)</f>
        <v>49.8</v>
      </c>
      <c r="K3453" s="7" t="n">
        <f aca="false">YEAR(E3453)*100+MONTH(E3453)</f>
        <v>201110</v>
      </c>
      <c r="L3453" s="7" t="n">
        <f aca="false">IF(AND(A3453&lt;&gt;A3452,LEFT(A3453,1)&lt;&gt;"C"),1,0)</f>
        <v>0</v>
      </c>
    </row>
    <row r="3454" customFormat="false" ht="15" hidden="false" customHeight="false" outlineLevel="0" collapsed="false">
      <c r="A3454" s="0" t="s">
        <v>2442</v>
      </c>
      <c r="B3454" s="0" t="s">
        <v>873</v>
      </c>
      <c r="C3454" s="0" t="s">
        <v>874</v>
      </c>
      <c r="D3454" s="0" t="n">
        <v>24</v>
      </c>
      <c r="E3454" s="6" t="n">
        <v>40834.5333333333</v>
      </c>
      <c r="F3454" s="0" t="n">
        <v>0.83</v>
      </c>
      <c r="G3454" s="0" t="n">
        <v>12621</v>
      </c>
      <c r="H3454" s="0" t="s">
        <v>33</v>
      </c>
      <c r="I3454" s="7" t="n">
        <f aca="false">IF(AND(LEFT(A3454,1)&lt;&gt;"C",D3454&gt;0,F3454&gt;0),1,0)</f>
        <v>1</v>
      </c>
      <c r="J3454" s="7" t="n">
        <f aca="false">IF(I3454=1,D3454*F3454,0)</f>
        <v>19.92</v>
      </c>
      <c r="K3454" s="7" t="n">
        <f aca="false">YEAR(E3454)*100+MONTH(E3454)</f>
        <v>201110</v>
      </c>
      <c r="L3454" s="7" t="n">
        <f aca="false">IF(AND(A3454&lt;&gt;A3453,LEFT(A3454,1)&lt;&gt;"C"),1,0)</f>
        <v>0</v>
      </c>
    </row>
    <row r="3455" customFormat="false" ht="15" hidden="false" customHeight="false" outlineLevel="0" collapsed="false">
      <c r="A3455" s="0" t="s">
        <v>2442</v>
      </c>
      <c r="B3455" s="0" t="s">
        <v>1983</v>
      </c>
      <c r="C3455" s="0" t="s">
        <v>1984</v>
      </c>
      <c r="D3455" s="0" t="n">
        <v>12</v>
      </c>
      <c r="E3455" s="6" t="n">
        <v>40834.5333333333</v>
      </c>
      <c r="F3455" s="0" t="n">
        <v>1.25</v>
      </c>
      <c r="G3455" s="0" t="n">
        <v>12621</v>
      </c>
      <c r="H3455" s="0" t="s">
        <v>33</v>
      </c>
      <c r="I3455" s="7" t="n">
        <f aca="false">IF(AND(LEFT(A3455,1)&lt;&gt;"C",D3455&gt;0,F3455&gt;0),1,0)</f>
        <v>1</v>
      </c>
      <c r="J3455" s="7" t="n">
        <f aca="false">IF(I3455=1,D3455*F3455,0)</f>
        <v>15</v>
      </c>
      <c r="K3455" s="7" t="n">
        <f aca="false">YEAR(E3455)*100+MONTH(E3455)</f>
        <v>201110</v>
      </c>
      <c r="L3455" s="7" t="n">
        <f aca="false">IF(AND(A3455&lt;&gt;A3454,LEFT(A3455,1)&lt;&gt;"C"),1,0)</f>
        <v>0</v>
      </c>
    </row>
    <row r="3456" customFormat="false" ht="15" hidden="false" customHeight="false" outlineLevel="0" collapsed="false">
      <c r="A3456" s="0" t="s">
        <v>2442</v>
      </c>
      <c r="B3456" s="0" t="s">
        <v>871</v>
      </c>
      <c r="C3456" s="0" t="s">
        <v>872</v>
      </c>
      <c r="D3456" s="0" t="n">
        <v>12</v>
      </c>
      <c r="E3456" s="6" t="n">
        <v>40834.5333333333</v>
      </c>
      <c r="F3456" s="0" t="n">
        <v>0.83</v>
      </c>
      <c r="G3456" s="0" t="n">
        <v>12621</v>
      </c>
      <c r="H3456" s="0" t="s">
        <v>33</v>
      </c>
      <c r="I3456" s="7" t="n">
        <f aca="false">IF(AND(LEFT(A3456,1)&lt;&gt;"C",D3456&gt;0,F3456&gt;0),1,0)</f>
        <v>1</v>
      </c>
      <c r="J3456" s="7" t="n">
        <f aca="false">IF(I3456=1,D3456*F3456,0)</f>
        <v>9.96</v>
      </c>
      <c r="K3456" s="7" t="n">
        <f aca="false">YEAR(E3456)*100+MONTH(E3456)</f>
        <v>201110</v>
      </c>
      <c r="L3456" s="7" t="n">
        <f aca="false">IF(AND(A3456&lt;&gt;A3455,LEFT(A3456,1)&lt;&gt;"C"),1,0)</f>
        <v>0</v>
      </c>
    </row>
    <row r="3457" customFormat="false" ht="15" hidden="false" customHeight="false" outlineLevel="0" collapsed="false">
      <c r="A3457" s="0" t="s">
        <v>2442</v>
      </c>
      <c r="B3457" s="0" t="s">
        <v>1559</v>
      </c>
      <c r="C3457" s="0" t="s">
        <v>1560</v>
      </c>
      <c r="D3457" s="0" t="n">
        <v>6</v>
      </c>
      <c r="E3457" s="6" t="n">
        <v>40834.5333333333</v>
      </c>
      <c r="F3457" s="0" t="n">
        <v>2.1</v>
      </c>
      <c r="G3457" s="0" t="n">
        <v>12621</v>
      </c>
      <c r="H3457" s="0" t="s">
        <v>33</v>
      </c>
      <c r="I3457" s="7" t="n">
        <f aca="false">IF(AND(LEFT(A3457,1)&lt;&gt;"C",D3457&gt;0,F3457&gt;0),1,0)</f>
        <v>1</v>
      </c>
      <c r="J3457" s="7" t="n">
        <f aca="false">IF(I3457=1,D3457*F3457,0)</f>
        <v>12.6</v>
      </c>
      <c r="K3457" s="7" t="n">
        <f aca="false">YEAR(E3457)*100+MONTH(E3457)</f>
        <v>201110</v>
      </c>
      <c r="L3457" s="7" t="n">
        <f aca="false">IF(AND(A3457&lt;&gt;A3456,LEFT(A3457,1)&lt;&gt;"C"),1,0)</f>
        <v>0</v>
      </c>
    </row>
    <row r="3458" customFormat="false" ht="15" hidden="false" customHeight="false" outlineLevel="0" collapsed="false">
      <c r="A3458" s="0" t="s">
        <v>2442</v>
      </c>
      <c r="B3458" s="0" t="s">
        <v>430</v>
      </c>
      <c r="C3458" s="0" t="s">
        <v>431</v>
      </c>
      <c r="D3458" s="0" t="n">
        <v>12</v>
      </c>
      <c r="E3458" s="6" t="n">
        <v>40834.5333333333</v>
      </c>
      <c r="F3458" s="0" t="n">
        <v>1.65</v>
      </c>
      <c r="G3458" s="0" t="n">
        <v>12621</v>
      </c>
      <c r="H3458" s="0" t="s">
        <v>33</v>
      </c>
      <c r="I3458" s="7" t="n">
        <f aca="false">IF(AND(LEFT(A3458,1)&lt;&gt;"C",D3458&gt;0,F3458&gt;0),1,0)</f>
        <v>1</v>
      </c>
      <c r="J3458" s="7" t="n">
        <f aca="false">IF(I3458=1,D3458*F3458,0)</f>
        <v>19.8</v>
      </c>
      <c r="K3458" s="7" t="n">
        <f aca="false">YEAR(E3458)*100+MONTH(E3458)</f>
        <v>201110</v>
      </c>
      <c r="L3458" s="7" t="n">
        <f aca="false">IF(AND(A3458&lt;&gt;A3457,LEFT(A3458,1)&lt;&gt;"C"),1,0)</f>
        <v>0</v>
      </c>
    </row>
    <row r="3459" customFormat="false" ht="15" hidden="false" customHeight="false" outlineLevel="0" collapsed="false">
      <c r="A3459" s="0" t="s">
        <v>2442</v>
      </c>
      <c r="B3459" s="0" t="s">
        <v>794</v>
      </c>
      <c r="C3459" s="0" t="s">
        <v>795</v>
      </c>
      <c r="D3459" s="0" t="n">
        <v>20</v>
      </c>
      <c r="E3459" s="6" t="n">
        <v>40834.5333333333</v>
      </c>
      <c r="F3459" s="0" t="n">
        <v>0.85</v>
      </c>
      <c r="G3459" s="0" t="n">
        <v>12621</v>
      </c>
      <c r="H3459" s="0" t="s">
        <v>33</v>
      </c>
      <c r="I3459" s="7" t="n">
        <f aca="false">IF(AND(LEFT(A3459,1)&lt;&gt;"C",D3459&gt;0,F3459&gt;0),1,0)</f>
        <v>1</v>
      </c>
      <c r="J3459" s="7" t="n">
        <f aca="false">IF(I3459=1,D3459*F3459,0)</f>
        <v>17</v>
      </c>
      <c r="K3459" s="7" t="n">
        <f aca="false">YEAR(E3459)*100+MONTH(E3459)</f>
        <v>201110</v>
      </c>
      <c r="L3459" s="7" t="n">
        <f aca="false">IF(AND(A3459&lt;&gt;A3458,LEFT(A3459,1)&lt;&gt;"C"),1,0)</f>
        <v>0</v>
      </c>
    </row>
    <row r="3460" customFormat="false" ht="15" hidden="false" customHeight="false" outlineLevel="0" collapsed="false">
      <c r="A3460" s="0" t="s">
        <v>2442</v>
      </c>
      <c r="B3460" s="0" t="s">
        <v>1090</v>
      </c>
      <c r="C3460" s="0" t="s">
        <v>1091</v>
      </c>
      <c r="D3460" s="0" t="n">
        <v>20</v>
      </c>
      <c r="E3460" s="6" t="n">
        <v>40834.5333333333</v>
      </c>
      <c r="F3460" s="0" t="n">
        <v>0.85</v>
      </c>
      <c r="G3460" s="0" t="n">
        <v>12621</v>
      </c>
      <c r="H3460" s="0" t="s">
        <v>33</v>
      </c>
      <c r="I3460" s="7" t="n">
        <f aca="false">IF(AND(LEFT(A3460,1)&lt;&gt;"C",D3460&gt;0,F3460&gt;0),1,0)</f>
        <v>1</v>
      </c>
      <c r="J3460" s="7" t="n">
        <f aca="false">IF(I3460=1,D3460*F3460,0)</f>
        <v>17</v>
      </c>
      <c r="K3460" s="7" t="n">
        <f aca="false">YEAR(E3460)*100+MONTH(E3460)</f>
        <v>201110</v>
      </c>
      <c r="L3460" s="7" t="n">
        <f aca="false">IF(AND(A3460&lt;&gt;A3459,LEFT(A3460,1)&lt;&gt;"C"),1,0)</f>
        <v>0</v>
      </c>
    </row>
    <row r="3461" customFormat="false" ht="15" hidden="false" customHeight="false" outlineLevel="0" collapsed="false">
      <c r="A3461" s="0" t="s">
        <v>2442</v>
      </c>
      <c r="B3461" s="0" t="s">
        <v>2443</v>
      </c>
      <c r="C3461" s="0" t="s">
        <v>2444</v>
      </c>
      <c r="D3461" s="0" t="n">
        <v>12</v>
      </c>
      <c r="E3461" s="6" t="n">
        <v>40834.5333333333</v>
      </c>
      <c r="F3461" s="0" t="n">
        <v>2.1</v>
      </c>
      <c r="G3461" s="0" t="n">
        <v>12621</v>
      </c>
      <c r="H3461" s="0" t="s">
        <v>33</v>
      </c>
      <c r="I3461" s="7" t="n">
        <f aca="false">IF(AND(LEFT(A3461,1)&lt;&gt;"C",D3461&gt;0,F3461&gt;0),1,0)</f>
        <v>1</v>
      </c>
      <c r="J3461" s="7" t="n">
        <f aca="false">IF(I3461=1,D3461*F3461,0)</f>
        <v>25.2</v>
      </c>
      <c r="K3461" s="7" t="n">
        <f aca="false">YEAR(E3461)*100+MONTH(E3461)</f>
        <v>201110</v>
      </c>
      <c r="L3461" s="7" t="n">
        <f aca="false">IF(AND(A3461&lt;&gt;A3460,LEFT(A3461,1)&lt;&gt;"C"),1,0)</f>
        <v>0</v>
      </c>
    </row>
    <row r="3462" customFormat="false" ht="15" hidden="false" customHeight="false" outlineLevel="0" collapsed="false">
      <c r="A3462" s="0" t="s">
        <v>2442</v>
      </c>
      <c r="B3462" s="0" t="s">
        <v>1583</v>
      </c>
      <c r="C3462" s="0" t="s">
        <v>1584</v>
      </c>
      <c r="D3462" s="0" t="n">
        <v>12</v>
      </c>
      <c r="E3462" s="6" t="n">
        <v>40834.5333333333</v>
      </c>
      <c r="F3462" s="0" t="n">
        <v>2.1</v>
      </c>
      <c r="G3462" s="0" t="n">
        <v>12621</v>
      </c>
      <c r="H3462" s="0" t="s">
        <v>33</v>
      </c>
      <c r="I3462" s="7" t="n">
        <f aca="false">IF(AND(LEFT(A3462,1)&lt;&gt;"C",D3462&gt;0,F3462&gt;0),1,0)</f>
        <v>1</v>
      </c>
      <c r="J3462" s="7" t="n">
        <f aca="false">IF(I3462=1,D3462*F3462,0)</f>
        <v>25.2</v>
      </c>
      <c r="K3462" s="7" t="n">
        <f aca="false">YEAR(E3462)*100+MONTH(E3462)</f>
        <v>201110</v>
      </c>
      <c r="L3462" s="7" t="n">
        <f aca="false">IF(AND(A3462&lt;&gt;A3461,LEFT(A3462,1)&lt;&gt;"C"),1,0)</f>
        <v>0</v>
      </c>
    </row>
    <row r="3463" customFormat="false" ht="15" hidden="false" customHeight="false" outlineLevel="0" collapsed="false">
      <c r="A3463" s="0" t="s">
        <v>2442</v>
      </c>
      <c r="B3463" s="0" t="s">
        <v>1981</v>
      </c>
      <c r="C3463" s="0" t="s">
        <v>1982</v>
      </c>
      <c r="D3463" s="0" t="n">
        <v>48</v>
      </c>
      <c r="E3463" s="6" t="n">
        <v>40834.5333333333</v>
      </c>
      <c r="F3463" s="0" t="n">
        <v>0.65</v>
      </c>
      <c r="G3463" s="0" t="n">
        <v>12621</v>
      </c>
      <c r="H3463" s="0" t="s">
        <v>33</v>
      </c>
      <c r="I3463" s="7" t="n">
        <f aca="false">IF(AND(LEFT(A3463,1)&lt;&gt;"C",D3463&gt;0,F3463&gt;0),1,0)</f>
        <v>1</v>
      </c>
      <c r="J3463" s="7" t="n">
        <f aca="false">IF(I3463=1,D3463*F3463,0)</f>
        <v>31.2</v>
      </c>
      <c r="K3463" s="7" t="n">
        <f aca="false">YEAR(E3463)*100+MONTH(E3463)</f>
        <v>201110</v>
      </c>
      <c r="L3463" s="7" t="n">
        <f aca="false">IF(AND(A3463&lt;&gt;A3462,LEFT(A3463,1)&lt;&gt;"C"),1,0)</f>
        <v>0</v>
      </c>
    </row>
    <row r="3464" customFormat="false" ht="15" hidden="false" customHeight="false" outlineLevel="0" collapsed="false">
      <c r="A3464" s="0" t="s">
        <v>2442</v>
      </c>
      <c r="B3464" s="0" t="s">
        <v>1841</v>
      </c>
      <c r="C3464" s="0" t="s">
        <v>1842</v>
      </c>
      <c r="D3464" s="0" t="n">
        <v>36</v>
      </c>
      <c r="E3464" s="6" t="n">
        <v>40834.5333333333</v>
      </c>
      <c r="F3464" s="0" t="n">
        <v>0.42</v>
      </c>
      <c r="G3464" s="0" t="n">
        <v>12621</v>
      </c>
      <c r="H3464" s="0" t="s">
        <v>33</v>
      </c>
      <c r="I3464" s="7" t="n">
        <f aca="false">IF(AND(LEFT(A3464,1)&lt;&gt;"C",D3464&gt;0,F3464&gt;0),1,0)</f>
        <v>1</v>
      </c>
      <c r="J3464" s="7" t="n">
        <f aca="false">IF(I3464=1,D3464*F3464,0)</f>
        <v>15.12</v>
      </c>
      <c r="K3464" s="7" t="n">
        <f aca="false">YEAR(E3464)*100+MONTH(E3464)</f>
        <v>201110</v>
      </c>
      <c r="L3464" s="7" t="n">
        <f aca="false">IF(AND(A3464&lt;&gt;A3463,LEFT(A3464,1)&lt;&gt;"C"),1,0)</f>
        <v>0</v>
      </c>
    </row>
    <row r="3465" customFormat="false" ht="15" hidden="false" customHeight="false" outlineLevel="0" collapsed="false">
      <c r="A3465" s="0" t="s">
        <v>2442</v>
      </c>
      <c r="B3465" s="0" t="s">
        <v>64</v>
      </c>
      <c r="C3465" s="0" t="s">
        <v>65</v>
      </c>
      <c r="D3465" s="0" t="n">
        <v>12</v>
      </c>
      <c r="E3465" s="6" t="n">
        <v>40834.5333333333</v>
      </c>
      <c r="F3465" s="0" t="n">
        <v>1.65</v>
      </c>
      <c r="G3465" s="0" t="n">
        <v>12621</v>
      </c>
      <c r="H3465" s="0" t="s">
        <v>33</v>
      </c>
      <c r="I3465" s="7" t="n">
        <f aca="false">IF(AND(LEFT(A3465,1)&lt;&gt;"C",D3465&gt;0,F3465&gt;0),1,0)</f>
        <v>1</v>
      </c>
      <c r="J3465" s="7" t="n">
        <f aca="false">IF(I3465=1,D3465*F3465,0)</f>
        <v>19.8</v>
      </c>
      <c r="K3465" s="7" t="n">
        <f aca="false">YEAR(E3465)*100+MONTH(E3465)</f>
        <v>201110</v>
      </c>
      <c r="L3465" s="7" t="n">
        <f aca="false">IF(AND(A3465&lt;&gt;A3464,LEFT(A3465,1)&lt;&gt;"C"),1,0)</f>
        <v>0</v>
      </c>
    </row>
    <row r="3466" customFormat="false" ht="15" hidden="false" customHeight="false" outlineLevel="0" collapsed="false">
      <c r="A3466" s="0" t="s">
        <v>2442</v>
      </c>
      <c r="B3466" s="0" t="s">
        <v>523</v>
      </c>
      <c r="C3466" s="0" t="s">
        <v>524</v>
      </c>
      <c r="D3466" s="0" t="n">
        <v>12</v>
      </c>
      <c r="E3466" s="6" t="n">
        <v>40834.5333333333</v>
      </c>
      <c r="F3466" s="0" t="n">
        <v>1.25</v>
      </c>
      <c r="G3466" s="0" t="n">
        <v>12621</v>
      </c>
      <c r="H3466" s="0" t="s">
        <v>33</v>
      </c>
      <c r="I3466" s="7" t="n">
        <f aca="false">IF(AND(LEFT(A3466,1)&lt;&gt;"C",D3466&gt;0,F3466&gt;0),1,0)</f>
        <v>1</v>
      </c>
      <c r="J3466" s="7" t="n">
        <f aca="false">IF(I3466=1,D3466*F3466,0)</f>
        <v>15</v>
      </c>
      <c r="K3466" s="7" t="n">
        <f aca="false">YEAR(E3466)*100+MONTH(E3466)</f>
        <v>201110</v>
      </c>
      <c r="L3466" s="7" t="n">
        <f aca="false">IF(AND(A3466&lt;&gt;A3465,LEFT(A3466,1)&lt;&gt;"C"),1,0)</f>
        <v>0</v>
      </c>
    </row>
    <row r="3467" customFormat="false" ht="15" hidden="false" customHeight="false" outlineLevel="0" collapsed="false">
      <c r="A3467" s="0" t="s">
        <v>2442</v>
      </c>
      <c r="B3467" s="0" t="s">
        <v>84</v>
      </c>
      <c r="C3467" s="0" t="s">
        <v>85</v>
      </c>
      <c r="D3467" s="0" t="n">
        <v>3</v>
      </c>
      <c r="E3467" s="6" t="n">
        <v>40834.5333333333</v>
      </c>
      <c r="F3467" s="0" t="n">
        <v>18</v>
      </c>
      <c r="G3467" s="0" t="n">
        <v>12621</v>
      </c>
      <c r="H3467" s="0" t="s">
        <v>33</v>
      </c>
      <c r="I3467" s="7" t="n">
        <f aca="false">IF(AND(LEFT(A3467,1)&lt;&gt;"C",D3467&gt;0,F3467&gt;0),1,0)</f>
        <v>1</v>
      </c>
      <c r="J3467" s="7" t="n">
        <f aca="false">IF(I3467=1,D3467*F3467,0)</f>
        <v>54</v>
      </c>
      <c r="K3467" s="7" t="n">
        <f aca="false">YEAR(E3467)*100+MONTH(E3467)</f>
        <v>201110</v>
      </c>
      <c r="L3467" s="7" t="n">
        <f aca="false">IF(AND(A3467&lt;&gt;A3466,LEFT(A3467,1)&lt;&gt;"C"),1,0)</f>
        <v>0</v>
      </c>
    </row>
    <row r="3468" customFormat="false" ht="15" hidden="false" customHeight="false" outlineLevel="0" collapsed="false">
      <c r="A3468" s="0" t="s">
        <v>2445</v>
      </c>
      <c r="B3468" s="0" t="s">
        <v>144</v>
      </c>
      <c r="C3468" s="0" t="s">
        <v>145</v>
      </c>
      <c r="D3468" s="0" t="n">
        <v>-1</v>
      </c>
      <c r="E3468" s="6" t="n">
        <v>40834.5645833333</v>
      </c>
      <c r="F3468" s="0" t="n">
        <v>1.06</v>
      </c>
      <c r="G3468" s="0" t="n">
        <v>12679</v>
      </c>
      <c r="H3468" s="0" t="s">
        <v>43</v>
      </c>
      <c r="I3468" s="7" t="n">
        <f aca="false">IF(AND(LEFT(A3468,1)&lt;&gt;"C",D3468&gt;0,F3468&gt;0),1,0)</f>
        <v>0</v>
      </c>
      <c r="J3468" s="7" t="n">
        <f aca="false">IF(I3468=1,D3468*F3468,0)</f>
        <v>0</v>
      </c>
      <c r="K3468" s="7" t="n">
        <f aca="false">YEAR(E3468)*100+MONTH(E3468)</f>
        <v>201110</v>
      </c>
      <c r="L3468" s="7" t="n">
        <f aca="false">IF(AND(A3468&lt;&gt;A3467,LEFT(A3468,1)&lt;&gt;"C"),1,0)</f>
        <v>0</v>
      </c>
    </row>
    <row r="3469" customFormat="false" ht="15" hidden="false" customHeight="false" outlineLevel="0" collapsed="false">
      <c r="A3469" s="0" t="s">
        <v>2446</v>
      </c>
      <c r="B3469" s="0" t="s">
        <v>144</v>
      </c>
      <c r="C3469" s="0" t="s">
        <v>145</v>
      </c>
      <c r="D3469" s="0" t="n">
        <v>-1</v>
      </c>
      <c r="E3469" s="6" t="n">
        <v>40834.5715277778</v>
      </c>
      <c r="F3469" s="0" t="n">
        <v>1.06</v>
      </c>
      <c r="G3469" s="0" t="n">
        <v>12679</v>
      </c>
      <c r="H3469" s="0" t="s">
        <v>43</v>
      </c>
      <c r="I3469" s="7" t="n">
        <f aca="false">IF(AND(LEFT(A3469,1)&lt;&gt;"C",D3469&gt;0,F3469&gt;0),1,0)</f>
        <v>0</v>
      </c>
      <c r="J3469" s="7" t="n">
        <f aca="false">IF(I3469=1,D3469*F3469,0)</f>
        <v>0</v>
      </c>
      <c r="K3469" s="7" t="n">
        <f aca="false">YEAR(E3469)*100+MONTH(E3469)</f>
        <v>201110</v>
      </c>
      <c r="L3469" s="7" t="n">
        <f aca="false">IF(AND(A3469&lt;&gt;A3468,LEFT(A3469,1)&lt;&gt;"C"),1,0)</f>
        <v>0</v>
      </c>
    </row>
    <row r="3470" customFormat="false" ht="15" hidden="false" customHeight="false" outlineLevel="0" collapsed="false">
      <c r="A3470" s="0" t="s">
        <v>2447</v>
      </c>
      <c r="B3470" s="0" t="s">
        <v>1829</v>
      </c>
      <c r="C3470" s="0" t="s">
        <v>1830</v>
      </c>
      <c r="D3470" s="0" t="n">
        <v>12</v>
      </c>
      <c r="E3470" s="6" t="n">
        <v>40835.3472222222</v>
      </c>
      <c r="F3470" s="0" t="n">
        <v>1.95</v>
      </c>
      <c r="G3470" s="0" t="n">
        <v>12572</v>
      </c>
      <c r="H3470" s="0" t="s">
        <v>33</v>
      </c>
      <c r="I3470" s="7" t="n">
        <f aca="false">IF(AND(LEFT(A3470,1)&lt;&gt;"C",D3470&gt;0,F3470&gt;0),1,0)</f>
        <v>1</v>
      </c>
      <c r="J3470" s="7" t="n">
        <f aca="false">IF(I3470=1,D3470*F3470,0)</f>
        <v>23.4</v>
      </c>
      <c r="K3470" s="7" t="n">
        <f aca="false">YEAR(E3470)*100+MONTH(E3470)</f>
        <v>201110</v>
      </c>
      <c r="L3470" s="7" t="n">
        <f aca="false">IF(AND(A3470&lt;&gt;A3469,LEFT(A3470,1)&lt;&gt;"C"),1,0)</f>
        <v>1</v>
      </c>
    </row>
    <row r="3471" customFormat="false" ht="15" hidden="false" customHeight="false" outlineLevel="0" collapsed="false">
      <c r="A3471" s="0" t="s">
        <v>2447</v>
      </c>
      <c r="B3471" s="0" t="s">
        <v>2448</v>
      </c>
      <c r="C3471" s="0" t="s">
        <v>2449</v>
      </c>
      <c r="D3471" s="0" t="n">
        <v>6</v>
      </c>
      <c r="E3471" s="6" t="n">
        <v>40835.3472222222</v>
      </c>
      <c r="F3471" s="0" t="n">
        <v>2.55</v>
      </c>
      <c r="G3471" s="0" t="n">
        <v>12572</v>
      </c>
      <c r="H3471" s="0" t="s">
        <v>33</v>
      </c>
      <c r="I3471" s="7" t="n">
        <f aca="false">IF(AND(LEFT(A3471,1)&lt;&gt;"C",D3471&gt;0,F3471&gt;0),1,0)</f>
        <v>1</v>
      </c>
      <c r="J3471" s="7" t="n">
        <f aca="false">IF(I3471=1,D3471*F3471,0)</f>
        <v>15.3</v>
      </c>
      <c r="K3471" s="7" t="n">
        <f aca="false">YEAR(E3471)*100+MONTH(E3471)</f>
        <v>201110</v>
      </c>
      <c r="L3471" s="7" t="n">
        <f aca="false">IF(AND(A3471&lt;&gt;A3470,LEFT(A3471,1)&lt;&gt;"C"),1,0)</f>
        <v>0</v>
      </c>
    </row>
    <row r="3472" customFormat="false" ht="15" hidden="false" customHeight="false" outlineLevel="0" collapsed="false">
      <c r="A3472" s="0" t="s">
        <v>2447</v>
      </c>
      <c r="B3472" s="0" t="s">
        <v>2338</v>
      </c>
      <c r="C3472" s="0" t="s">
        <v>2339</v>
      </c>
      <c r="D3472" s="0" t="n">
        <v>12</v>
      </c>
      <c r="E3472" s="6" t="n">
        <v>40835.3472222222</v>
      </c>
      <c r="F3472" s="0" t="n">
        <v>0.42</v>
      </c>
      <c r="G3472" s="0" t="n">
        <v>12572</v>
      </c>
      <c r="H3472" s="0" t="s">
        <v>33</v>
      </c>
      <c r="I3472" s="7" t="n">
        <f aca="false">IF(AND(LEFT(A3472,1)&lt;&gt;"C",D3472&gt;0,F3472&gt;0),1,0)</f>
        <v>1</v>
      </c>
      <c r="J3472" s="7" t="n">
        <f aca="false">IF(I3472=1,D3472*F3472,0)</f>
        <v>5.04</v>
      </c>
      <c r="K3472" s="7" t="n">
        <f aca="false">YEAR(E3472)*100+MONTH(E3472)</f>
        <v>201110</v>
      </c>
      <c r="L3472" s="7" t="n">
        <f aca="false">IF(AND(A3472&lt;&gt;A3471,LEFT(A3472,1)&lt;&gt;"C"),1,0)</f>
        <v>0</v>
      </c>
    </row>
    <row r="3473" customFormat="false" ht="15" hidden="false" customHeight="false" outlineLevel="0" collapsed="false">
      <c r="A3473" s="0" t="s">
        <v>2447</v>
      </c>
      <c r="B3473" s="0" t="s">
        <v>1257</v>
      </c>
      <c r="C3473" s="0" t="s">
        <v>1258</v>
      </c>
      <c r="D3473" s="0" t="n">
        <v>25</v>
      </c>
      <c r="E3473" s="6" t="n">
        <v>40835.3472222222</v>
      </c>
      <c r="F3473" s="0" t="n">
        <v>0.42</v>
      </c>
      <c r="G3473" s="0" t="n">
        <v>12572</v>
      </c>
      <c r="H3473" s="0" t="s">
        <v>33</v>
      </c>
      <c r="I3473" s="7" t="n">
        <f aca="false">IF(AND(LEFT(A3473,1)&lt;&gt;"C",D3473&gt;0,F3473&gt;0),1,0)</f>
        <v>1</v>
      </c>
      <c r="J3473" s="7" t="n">
        <f aca="false">IF(I3473=1,D3473*F3473,0)</f>
        <v>10.5</v>
      </c>
      <c r="K3473" s="7" t="n">
        <f aca="false">YEAR(E3473)*100+MONTH(E3473)</f>
        <v>201110</v>
      </c>
      <c r="L3473" s="7" t="n">
        <f aca="false">IF(AND(A3473&lt;&gt;A3472,LEFT(A3473,1)&lt;&gt;"C"),1,0)</f>
        <v>0</v>
      </c>
    </row>
    <row r="3474" customFormat="false" ht="15" hidden="false" customHeight="false" outlineLevel="0" collapsed="false">
      <c r="A3474" s="0" t="s">
        <v>2447</v>
      </c>
      <c r="B3474" s="0" t="s">
        <v>2450</v>
      </c>
      <c r="C3474" s="0" t="s">
        <v>2451</v>
      </c>
      <c r="D3474" s="0" t="n">
        <v>2</v>
      </c>
      <c r="E3474" s="6" t="n">
        <v>40835.3472222222</v>
      </c>
      <c r="F3474" s="0" t="n">
        <v>16.95</v>
      </c>
      <c r="G3474" s="0" t="n">
        <v>12572</v>
      </c>
      <c r="H3474" s="0" t="s">
        <v>33</v>
      </c>
      <c r="I3474" s="7" t="n">
        <f aca="false">IF(AND(LEFT(A3474,1)&lt;&gt;"C",D3474&gt;0,F3474&gt;0),1,0)</f>
        <v>1</v>
      </c>
      <c r="J3474" s="7" t="n">
        <f aca="false">IF(I3474=1,D3474*F3474,0)</f>
        <v>33.9</v>
      </c>
      <c r="K3474" s="7" t="n">
        <f aca="false">YEAR(E3474)*100+MONTH(E3474)</f>
        <v>201110</v>
      </c>
      <c r="L3474" s="7" t="n">
        <f aca="false">IF(AND(A3474&lt;&gt;A3473,LEFT(A3474,1)&lt;&gt;"C"),1,0)</f>
        <v>0</v>
      </c>
    </row>
    <row r="3475" customFormat="false" ht="15" hidden="false" customHeight="false" outlineLevel="0" collapsed="false">
      <c r="A3475" s="0" t="s">
        <v>2447</v>
      </c>
      <c r="B3475" s="0" t="s">
        <v>1187</v>
      </c>
      <c r="C3475" s="0" t="s">
        <v>1188</v>
      </c>
      <c r="D3475" s="0" t="n">
        <v>3</v>
      </c>
      <c r="E3475" s="6" t="n">
        <v>40835.3472222222</v>
      </c>
      <c r="F3475" s="0" t="n">
        <v>5.95</v>
      </c>
      <c r="G3475" s="0" t="n">
        <v>12572</v>
      </c>
      <c r="H3475" s="0" t="s">
        <v>33</v>
      </c>
      <c r="I3475" s="7" t="n">
        <f aca="false">IF(AND(LEFT(A3475,1)&lt;&gt;"C",D3475&gt;0,F3475&gt;0),1,0)</f>
        <v>1</v>
      </c>
      <c r="J3475" s="7" t="n">
        <f aca="false">IF(I3475=1,D3475*F3475,0)</f>
        <v>17.85</v>
      </c>
      <c r="K3475" s="7" t="n">
        <f aca="false">YEAR(E3475)*100+MONTH(E3475)</f>
        <v>201110</v>
      </c>
      <c r="L3475" s="7" t="n">
        <f aca="false">IF(AND(A3475&lt;&gt;A3474,LEFT(A3475,1)&lt;&gt;"C"),1,0)</f>
        <v>0</v>
      </c>
    </row>
    <row r="3476" customFormat="false" ht="15" hidden="false" customHeight="false" outlineLevel="0" collapsed="false">
      <c r="A3476" s="0" t="s">
        <v>2447</v>
      </c>
      <c r="B3476" s="0" t="s">
        <v>1189</v>
      </c>
      <c r="C3476" s="0" t="s">
        <v>1190</v>
      </c>
      <c r="D3476" s="0" t="n">
        <v>6</v>
      </c>
      <c r="E3476" s="6" t="n">
        <v>40835.3472222222</v>
      </c>
      <c r="F3476" s="0" t="n">
        <v>2.89</v>
      </c>
      <c r="G3476" s="0" t="n">
        <v>12572</v>
      </c>
      <c r="H3476" s="0" t="s">
        <v>33</v>
      </c>
      <c r="I3476" s="7" t="n">
        <f aca="false">IF(AND(LEFT(A3476,1)&lt;&gt;"C",D3476&gt;0,F3476&gt;0),1,0)</f>
        <v>1</v>
      </c>
      <c r="J3476" s="7" t="n">
        <f aca="false">IF(I3476=1,D3476*F3476,0)</f>
        <v>17.34</v>
      </c>
      <c r="K3476" s="7" t="n">
        <f aca="false">YEAR(E3476)*100+MONTH(E3476)</f>
        <v>201110</v>
      </c>
      <c r="L3476" s="7" t="n">
        <f aca="false">IF(AND(A3476&lt;&gt;A3475,LEFT(A3476,1)&lt;&gt;"C"),1,0)</f>
        <v>0</v>
      </c>
    </row>
    <row r="3477" customFormat="false" ht="15" hidden="false" customHeight="false" outlineLevel="0" collapsed="false">
      <c r="A3477" s="0" t="s">
        <v>2447</v>
      </c>
      <c r="B3477" s="0" t="s">
        <v>2452</v>
      </c>
      <c r="C3477" s="0" t="s">
        <v>2453</v>
      </c>
      <c r="D3477" s="0" t="n">
        <v>2</v>
      </c>
      <c r="E3477" s="6" t="n">
        <v>40835.3472222222</v>
      </c>
      <c r="F3477" s="0" t="n">
        <v>8.15</v>
      </c>
      <c r="G3477" s="0" t="n">
        <v>12572</v>
      </c>
      <c r="H3477" s="0" t="s">
        <v>33</v>
      </c>
      <c r="I3477" s="7" t="n">
        <f aca="false">IF(AND(LEFT(A3477,1)&lt;&gt;"C",D3477&gt;0,F3477&gt;0),1,0)</f>
        <v>1</v>
      </c>
      <c r="J3477" s="7" t="n">
        <f aca="false">IF(I3477=1,D3477*F3477,0)</f>
        <v>16.3</v>
      </c>
      <c r="K3477" s="7" t="n">
        <f aca="false">YEAR(E3477)*100+MONTH(E3477)</f>
        <v>201110</v>
      </c>
      <c r="L3477" s="7" t="n">
        <f aca="false">IF(AND(A3477&lt;&gt;A3476,LEFT(A3477,1)&lt;&gt;"C"),1,0)</f>
        <v>0</v>
      </c>
    </row>
    <row r="3478" customFormat="false" ht="15" hidden="false" customHeight="false" outlineLevel="0" collapsed="false">
      <c r="A3478" s="0" t="s">
        <v>2447</v>
      </c>
      <c r="B3478" s="0" t="s">
        <v>758</v>
      </c>
      <c r="C3478" s="0" t="s">
        <v>759</v>
      </c>
      <c r="D3478" s="0" t="n">
        <v>2</v>
      </c>
      <c r="E3478" s="6" t="n">
        <v>40835.3472222222</v>
      </c>
      <c r="F3478" s="0" t="n">
        <v>8.25</v>
      </c>
      <c r="G3478" s="0" t="n">
        <v>12572</v>
      </c>
      <c r="H3478" s="0" t="s">
        <v>33</v>
      </c>
      <c r="I3478" s="7" t="n">
        <f aca="false">IF(AND(LEFT(A3478,1)&lt;&gt;"C",D3478&gt;0,F3478&gt;0),1,0)</f>
        <v>1</v>
      </c>
      <c r="J3478" s="7" t="n">
        <f aca="false">IF(I3478=1,D3478*F3478,0)</f>
        <v>16.5</v>
      </c>
      <c r="K3478" s="7" t="n">
        <f aca="false">YEAR(E3478)*100+MONTH(E3478)</f>
        <v>201110</v>
      </c>
      <c r="L3478" s="7" t="n">
        <f aca="false">IF(AND(A3478&lt;&gt;A3477,LEFT(A3478,1)&lt;&gt;"C"),1,0)</f>
        <v>0</v>
      </c>
    </row>
    <row r="3479" customFormat="false" ht="15" hidden="false" customHeight="false" outlineLevel="0" collapsed="false">
      <c r="A3479" s="0" t="s">
        <v>2447</v>
      </c>
      <c r="B3479" s="0" t="s">
        <v>1883</v>
      </c>
      <c r="C3479" s="0" t="s">
        <v>1884</v>
      </c>
      <c r="D3479" s="0" t="n">
        <v>2</v>
      </c>
      <c r="E3479" s="6" t="n">
        <v>40835.3472222222</v>
      </c>
      <c r="F3479" s="0" t="n">
        <v>8.25</v>
      </c>
      <c r="G3479" s="0" t="n">
        <v>12572</v>
      </c>
      <c r="H3479" s="0" t="s">
        <v>33</v>
      </c>
      <c r="I3479" s="7" t="n">
        <f aca="false">IF(AND(LEFT(A3479,1)&lt;&gt;"C",D3479&gt;0,F3479&gt;0),1,0)</f>
        <v>1</v>
      </c>
      <c r="J3479" s="7" t="n">
        <f aca="false">IF(I3479=1,D3479*F3479,0)</f>
        <v>16.5</v>
      </c>
      <c r="K3479" s="7" t="n">
        <f aca="false">YEAR(E3479)*100+MONTH(E3479)</f>
        <v>201110</v>
      </c>
      <c r="L3479" s="7" t="n">
        <f aca="false">IF(AND(A3479&lt;&gt;A3478,LEFT(A3479,1)&lt;&gt;"C"),1,0)</f>
        <v>0</v>
      </c>
    </row>
    <row r="3480" customFormat="false" ht="15" hidden="false" customHeight="false" outlineLevel="0" collapsed="false">
      <c r="A3480" s="0" t="s">
        <v>2447</v>
      </c>
      <c r="B3480" s="0" t="s">
        <v>318</v>
      </c>
      <c r="C3480" s="0" t="s">
        <v>319</v>
      </c>
      <c r="D3480" s="0" t="n">
        <v>4</v>
      </c>
      <c r="E3480" s="6" t="n">
        <v>40835.3472222222</v>
      </c>
      <c r="F3480" s="0" t="n">
        <v>3.75</v>
      </c>
      <c r="G3480" s="0" t="n">
        <v>12572</v>
      </c>
      <c r="H3480" s="0" t="s">
        <v>33</v>
      </c>
      <c r="I3480" s="7" t="n">
        <f aca="false">IF(AND(LEFT(A3480,1)&lt;&gt;"C",D3480&gt;0,F3480&gt;0),1,0)</f>
        <v>1</v>
      </c>
      <c r="J3480" s="7" t="n">
        <f aca="false">IF(I3480=1,D3480*F3480,0)</f>
        <v>15</v>
      </c>
      <c r="K3480" s="7" t="n">
        <f aca="false">YEAR(E3480)*100+MONTH(E3480)</f>
        <v>201110</v>
      </c>
      <c r="L3480" s="7" t="n">
        <f aca="false">IF(AND(A3480&lt;&gt;A3479,LEFT(A3480,1)&lt;&gt;"C"),1,0)</f>
        <v>0</v>
      </c>
    </row>
    <row r="3481" customFormat="false" ht="15" hidden="false" customHeight="false" outlineLevel="0" collapsed="false">
      <c r="A3481" s="0" t="s">
        <v>2447</v>
      </c>
      <c r="B3481" s="0" t="s">
        <v>297</v>
      </c>
      <c r="C3481" s="0" t="s">
        <v>298</v>
      </c>
      <c r="D3481" s="0" t="n">
        <v>4</v>
      </c>
      <c r="E3481" s="6" t="n">
        <v>40835.3472222222</v>
      </c>
      <c r="F3481" s="0" t="n">
        <v>3.75</v>
      </c>
      <c r="G3481" s="0" t="n">
        <v>12572</v>
      </c>
      <c r="H3481" s="0" t="s">
        <v>33</v>
      </c>
      <c r="I3481" s="7" t="n">
        <f aca="false">IF(AND(LEFT(A3481,1)&lt;&gt;"C",D3481&gt;0,F3481&gt;0),1,0)</f>
        <v>1</v>
      </c>
      <c r="J3481" s="7" t="n">
        <f aca="false">IF(I3481=1,D3481*F3481,0)</f>
        <v>15</v>
      </c>
      <c r="K3481" s="7" t="n">
        <f aca="false">YEAR(E3481)*100+MONTH(E3481)</f>
        <v>201110</v>
      </c>
      <c r="L3481" s="7" t="n">
        <f aca="false">IF(AND(A3481&lt;&gt;A3480,LEFT(A3481,1)&lt;&gt;"C"),1,0)</f>
        <v>0</v>
      </c>
    </row>
    <row r="3482" customFormat="false" ht="15" hidden="false" customHeight="false" outlineLevel="0" collapsed="false">
      <c r="A3482" s="0" t="s">
        <v>2447</v>
      </c>
      <c r="B3482" s="0" t="s">
        <v>123</v>
      </c>
      <c r="C3482" s="0" t="s">
        <v>124</v>
      </c>
      <c r="D3482" s="0" t="n">
        <v>6</v>
      </c>
      <c r="E3482" s="6" t="n">
        <v>40835.3472222222</v>
      </c>
      <c r="F3482" s="0" t="n">
        <v>2.95</v>
      </c>
      <c r="G3482" s="0" t="n">
        <v>12572</v>
      </c>
      <c r="H3482" s="0" t="s">
        <v>33</v>
      </c>
      <c r="I3482" s="7" t="n">
        <f aca="false">IF(AND(LEFT(A3482,1)&lt;&gt;"C",D3482&gt;0,F3482&gt;0),1,0)</f>
        <v>1</v>
      </c>
      <c r="J3482" s="7" t="n">
        <f aca="false">IF(I3482=1,D3482*F3482,0)</f>
        <v>17.7</v>
      </c>
      <c r="K3482" s="7" t="n">
        <f aca="false">YEAR(E3482)*100+MONTH(E3482)</f>
        <v>201110</v>
      </c>
      <c r="L3482" s="7" t="n">
        <f aca="false">IF(AND(A3482&lt;&gt;A3481,LEFT(A3482,1)&lt;&gt;"C"),1,0)</f>
        <v>0</v>
      </c>
    </row>
    <row r="3483" customFormat="false" ht="15" hidden="false" customHeight="false" outlineLevel="0" collapsed="false">
      <c r="A3483" s="0" t="s">
        <v>2447</v>
      </c>
      <c r="B3483" s="0" t="s">
        <v>2295</v>
      </c>
      <c r="C3483" s="0" t="s">
        <v>2296</v>
      </c>
      <c r="D3483" s="0" t="n">
        <v>12</v>
      </c>
      <c r="E3483" s="6" t="n">
        <v>40835.3472222222</v>
      </c>
      <c r="F3483" s="0" t="n">
        <v>0.42</v>
      </c>
      <c r="G3483" s="0" t="n">
        <v>12572</v>
      </c>
      <c r="H3483" s="0" t="s">
        <v>33</v>
      </c>
      <c r="I3483" s="7" t="n">
        <f aca="false">IF(AND(LEFT(A3483,1)&lt;&gt;"C",D3483&gt;0,F3483&gt;0),1,0)</f>
        <v>1</v>
      </c>
      <c r="J3483" s="7" t="n">
        <f aca="false">IF(I3483=1,D3483*F3483,0)</f>
        <v>5.04</v>
      </c>
      <c r="K3483" s="7" t="n">
        <f aca="false">YEAR(E3483)*100+MONTH(E3483)</f>
        <v>201110</v>
      </c>
      <c r="L3483" s="7" t="n">
        <f aca="false">IF(AND(A3483&lt;&gt;A3482,LEFT(A3483,1)&lt;&gt;"C"),1,0)</f>
        <v>0</v>
      </c>
    </row>
    <row r="3484" customFormat="false" ht="15" hidden="false" customHeight="false" outlineLevel="0" collapsed="false">
      <c r="A3484" s="0" t="s">
        <v>2447</v>
      </c>
      <c r="B3484" s="0" t="s">
        <v>2454</v>
      </c>
      <c r="C3484" s="0" t="s">
        <v>2455</v>
      </c>
      <c r="D3484" s="0" t="n">
        <v>12</v>
      </c>
      <c r="E3484" s="6" t="n">
        <v>40835.3472222222</v>
      </c>
      <c r="F3484" s="0" t="n">
        <v>0.42</v>
      </c>
      <c r="G3484" s="0" t="n">
        <v>12572</v>
      </c>
      <c r="H3484" s="0" t="s">
        <v>33</v>
      </c>
      <c r="I3484" s="7" t="n">
        <f aca="false">IF(AND(LEFT(A3484,1)&lt;&gt;"C",D3484&gt;0,F3484&gt;0),1,0)</f>
        <v>1</v>
      </c>
      <c r="J3484" s="7" t="n">
        <f aca="false">IF(I3484=1,D3484*F3484,0)</f>
        <v>5.04</v>
      </c>
      <c r="K3484" s="7" t="n">
        <f aca="false">YEAR(E3484)*100+MONTH(E3484)</f>
        <v>201110</v>
      </c>
      <c r="L3484" s="7" t="n">
        <f aca="false">IF(AND(A3484&lt;&gt;A3483,LEFT(A3484,1)&lt;&gt;"C"),1,0)</f>
        <v>0</v>
      </c>
    </row>
    <row r="3485" customFormat="false" ht="15" hidden="false" customHeight="false" outlineLevel="0" collapsed="false">
      <c r="A3485" s="0" t="s">
        <v>2447</v>
      </c>
      <c r="B3485" s="0" t="s">
        <v>441</v>
      </c>
      <c r="C3485" s="0" t="s">
        <v>442</v>
      </c>
      <c r="D3485" s="0" t="n">
        <v>2</v>
      </c>
      <c r="E3485" s="6" t="n">
        <v>40835.3472222222</v>
      </c>
      <c r="F3485" s="0" t="n">
        <v>8.5</v>
      </c>
      <c r="G3485" s="0" t="n">
        <v>12572</v>
      </c>
      <c r="H3485" s="0" t="s">
        <v>33</v>
      </c>
      <c r="I3485" s="7" t="n">
        <f aca="false">IF(AND(LEFT(A3485,1)&lt;&gt;"C",D3485&gt;0,F3485&gt;0),1,0)</f>
        <v>1</v>
      </c>
      <c r="J3485" s="7" t="n">
        <f aca="false">IF(I3485=1,D3485*F3485,0)</f>
        <v>17</v>
      </c>
      <c r="K3485" s="7" t="n">
        <f aca="false">YEAR(E3485)*100+MONTH(E3485)</f>
        <v>201110</v>
      </c>
      <c r="L3485" s="7" t="n">
        <f aca="false">IF(AND(A3485&lt;&gt;A3484,LEFT(A3485,1)&lt;&gt;"C"),1,0)</f>
        <v>0</v>
      </c>
    </row>
    <row r="3486" customFormat="false" ht="15" hidden="false" customHeight="false" outlineLevel="0" collapsed="false">
      <c r="A3486" s="0" t="s">
        <v>2447</v>
      </c>
      <c r="B3486" s="0" t="s">
        <v>430</v>
      </c>
      <c r="C3486" s="0" t="s">
        <v>431</v>
      </c>
      <c r="D3486" s="0" t="n">
        <v>12</v>
      </c>
      <c r="E3486" s="6" t="n">
        <v>40835.3472222222</v>
      </c>
      <c r="F3486" s="0" t="n">
        <v>1.65</v>
      </c>
      <c r="G3486" s="0" t="n">
        <v>12572</v>
      </c>
      <c r="H3486" s="0" t="s">
        <v>33</v>
      </c>
      <c r="I3486" s="7" t="n">
        <f aca="false">IF(AND(LEFT(A3486,1)&lt;&gt;"C",D3486&gt;0,F3486&gt;0),1,0)</f>
        <v>1</v>
      </c>
      <c r="J3486" s="7" t="n">
        <f aca="false">IF(I3486=1,D3486*F3486,0)</f>
        <v>19.8</v>
      </c>
      <c r="K3486" s="7" t="n">
        <f aca="false">YEAR(E3486)*100+MONTH(E3486)</f>
        <v>201110</v>
      </c>
      <c r="L3486" s="7" t="n">
        <f aca="false">IF(AND(A3486&lt;&gt;A3485,LEFT(A3486,1)&lt;&gt;"C"),1,0)</f>
        <v>0</v>
      </c>
    </row>
    <row r="3487" customFormat="false" ht="15" hidden="false" customHeight="false" outlineLevel="0" collapsed="false">
      <c r="A3487" s="0" t="s">
        <v>2447</v>
      </c>
      <c r="B3487" s="0" t="s">
        <v>1002</v>
      </c>
      <c r="C3487" s="0" t="s">
        <v>1003</v>
      </c>
      <c r="D3487" s="0" t="n">
        <v>12</v>
      </c>
      <c r="E3487" s="6" t="n">
        <v>40835.3472222222</v>
      </c>
      <c r="F3487" s="0" t="n">
        <v>0.42</v>
      </c>
      <c r="G3487" s="0" t="n">
        <v>12572</v>
      </c>
      <c r="H3487" s="0" t="s">
        <v>33</v>
      </c>
      <c r="I3487" s="7" t="n">
        <f aca="false">IF(AND(LEFT(A3487,1)&lt;&gt;"C",D3487&gt;0,F3487&gt;0),1,0)</f>
        <v>1</v>
      </c>
      <c r="J3487" s="7" t="n">
        <f aca="false">IF(I3487=1,D3487*F3487,0)</f>
        <v>5.04</v>
      </c>
      <c r="K3487" s="7" t="n">
        <f aca="false">YEAR(E3487)*100+MONTH(E3487)</f>
        <v>201110</v>
      </c>
      <c r="L3487" s="7" t="n">
        <f aca="false">IF(AND(A3487&lt;&gt;A3486,LEFT(A3487,1)&lt;&gt;"C"),1,0)</f>
        <v>0</v>
      </c>
    </row>
    <row r="3488" customFormat="false" ht="15" hidden="false" customHeight="false" outlineLevel="0" collapsed="false">
      <c r="A3488" s="0" t="s">
        <v>2447</v>
      </c>
      <c r="B3488" s="0" t="s">
        <v>2204</v>
      </c>
      <c r="C3488" s="0" t="s">
        <v>2205</v>
      </c>
      <c r="D3488" s="0" t="n">
        <v>12</v>
      </c>
      <c r="E3488" s="6" t="n">
        <v>40835.3472222222</v>
      </c>
      <c r="F3488" s="0" t="n">
        <v>0.85</v>
      </c>
      <c r="G3488" s="0" t="n">
        <v>12572</v>
      </c>
      <c r="H3488" s="0" t="s">
        <v>33</v>
      </c>
      <c r="I3488" s="7" t="n">
        <f aca="false">IF(AND(LEFT(A3488,1)&lt;&gt;"C",D3488&gt;0,F3488&gt;0),1,0)</f>
        <v>1</v>
      </c>
      <c r="J3488" s="7" t="n">
        <f aca="false">IF(I3488=1,D3488*F3488,0)</f>
        <v>10.2</v>
      </c>
      <c r="K3488" s="7" t="n">
        <f aca="false">YEAR(E3488)*100+MONTH(E3488)</f>
        <v>201110</v>
      </c>
      <c r="L3488" s="7" t="n">
        <f aca="false">IF(AND(A3488&lt;&gt;A3487,LEFT(A3488,1)&lt;&gt;"C"),1,0)</f>
        <v>0</v>
      </c>
    </row>
    <row r="3489" customFormat="false" ht="15" hidden="false" customHeight="false" outlineLevel="0" collapsed="false">
      <c r="A3489" s="0" t="s">
        <v>2447</v>
      </c>
      <c r="B3489" s="0" t="s">
        <v>84</v>
      </c>
      <c r="C3489" s="0" t="s">
        <v>85</v>
      </c>
      <c r="D3489" s="0" t="n">
        <v>3</v>
      </c>
      <c r="E3489" s="6" t="n">
        <v>40835.3472222222</v>
      </c>
      <c r="F3489" s="0" t="n">
        <v>18</v>
      </c>
      <c r="G3489" s="0" t="n">
        <v>12572</v>
      </c>
      <c r="H3489" s="0" t="s">
        <v>33</v>
      </c>
      <c r="I3489" s="7" t="n">
        <f aca="false">IF(AND(LEFT(A3489,1)&lt;&gt;"C",D3489&gt;0,F3489&gt;0),1,0)</f>
        <v>1</v>
      </c>
      <c r="J3489" s="7" t="n">
        <f aca="false">IF(I3489=1,D3489*F3489,0)</f>
        <v>54</v>
      </c>
      <c r="K3489" s="7" t="n">
        <f aca="false">YEAR(E3489)*100+MONTH(E3489)</f>
        <v>201110</v>
      </c>
      <c r="L3489" s="7" t="n">
        <f aca="false">IF(AND(A3489&lt;&gt;A3488,LEFT(A3489,1)&lt;&gt;"C"),1,0)</f>
        <v>0</v>
      </c>
    </row>
    <row r="3490" customFormat="false" ht="15" hidden="false" customHeight="false" outlineLevel="0" collapsed="false">
      <c r="A3490" s="0" t="s">
        <v>2447</v>
      </c>
      <c r="B3490" s="0" t="s">
        <v>2456</v>
      </c>
      <c r="C3490" s="0" t="s">
        <v>2457</v>
      </c>
      <c r="D3490" s="0" t="n">
        <v>25</v>
      </c>
      <c r="E3490" s="6" t="n">
        <v>40835.3472222222</v>
      </c>
      <c r="F3490" s="0" t="n">
        <v>0.1</v>
      </c>
      <c r="G3490" s="0" t="n">
        <v>12572</v>
      </c>
      <c r="H3490" s="0" t="s">
        <v>33</v>
      </c>
      <c r="I3490" s="7" t="n">
        <f aca="false">IF(AND(LEFT(A3490,1)&lt;&gt;"C",D3490&gt;0,F3490&gt;0),1,0)</f>
        <v>1</v>
      </c>
      <c r="J3490" s="7" t="n">
        <f aca="false">IF(I3490=1,D3490*F3490,0)</f>
        <v>2.5</v>
      </c>
      <c r="K3490" s="7" t="n">
        <f aca="false">YEAR(E3490)*100+MONTH(E3490)</f>
        <v>201110</v>
      </c>
      <c r="L3490" s="7" t="n">
        <f aca="false">IF(AND(A3490&lt;&gt;A3489,LEFT(A3490,1)&lt;&gt;"C"),1,0)</f>
        <v>0</v>
      </c>
    </row>
    <row r="3491" customFormat="false" ht="15" hidden="false" customHeight="false" outlineLevel="0" collapsed="false">
      <c r="A3491" s="0" t="s">
        <v>2447</v>
      </c>
      <c r="B3491" s="0" t="s">
        <v>1640</v>
      </c>
      <c r="C3491" s="0" t="s">
        <v>1641</v>
      </c>
      <c r="D3491" s="0" t="n">
        <v>12</v>
      </c>
      <c r="E3491" s="6" t="n">
        <v>40835.3472222222</v>
      </c>
      <c r="F3491" s="0" t="n">
        <v>0.39</v>
      </c>
      <c r="G3491" s="0" t="n">
        <v>12572</v>
      </c>
      <c r="H3491" s="0" t="s">
        <v>33</v>
      </c>
      <c r="I3491" s="7" t="n">
        <f aca="false">IF(AND(LEFT(A3491,1)&lt;&gt;"C",D3491&gt;0,F3491&gt;0),1,0)</f>
        <v>1</v>
      </c>
      <c r="J3491" s="7" t="n">
        <f aca="false">IF(I3491=1,D3491*F3491,0)</f>
        <v>4.68</v>
      </c>
      <c r="K3491" s="7" t="n">
        <f aca="false">YEAR(E3491)*100+MONTH(E3491)</f>
        <v>201110</v>
      </c>
      <c r="L3491" s="7" t="n">
        <f aca="false">IF(AND(A3491&lt;&gt;A3490,LEFT(A3491,1)&lt;&gt;"C"),1,0)</f>
        <v>0</v>
      </c>
    </row>
    <row r="3492" customFormat="false" ht="15" hidden="false" customHeight="false" outlineLevel="0" collapsed="false">
      <c r="A3492" s="0" t="s">
        <v>2447</v>
      </c>
      <c r="B3492" s="0" t="s">
        <v>649</v>
      </c>
      <c r="C3492" s="0" t="s">
        <v>650</v>
      </c>
      <c r="D3492" s="0" t="n">
        <v>12</v>
      </c>
      <c r="E3492" s="6" t="n">
        <v>40835.3472222222</v>
      </c>
      <c r="F3492" s="0" t="n">
        <v>0.39</v>
      </c>
      <c r="G3492" s="0" t="n">
        <v>12572</v>
      </c>
      <c r="H3492" s="0" t="s">
        <v>33</v>
      </c>
      <c r="I3492" s="7" t="n">
        <f aca="false">IF(AND(LEFT(A3492,1)&lt;&gt;"C",D3492&gt;0,F3492&gt;0),1,0)</f>
        <v>1</v>
      </c>
      <c r="J3492" s="7" t="n">
        <f aca="false">IF(I3492=1,D3492*F3492,0)</f>
        <v>4.68</v>
      </c>
      <c r="K3492" s="7" t="n">
        <f aca="false">YEAR(E3492)*100+MONTH(E3492)</f>
        <v>201110</v>
      </c>
      <c r="L3492" s="7" t="n">
        <f aca="false">IF(AND(A3492&lt;&gt;A3491,LEFT(A3492,1)&lt;&gt;"C"),1,0)</f>
        <v>0</v>
      </c>
    </row>
    <row r="3493" customFormat="false" ht="15" hidden="false" customHeight="false" outlineLevel="0" collapsed="false">
      <c r="A3493" s="0" t="s">
        <v>2447</v>
      </c>
      <c r="B3493" s="0" t="s">
        <v>887</v>
      </c>
      <c r="C3493" s="0" t="s">
        <v>888</v>
      </c>
      <c r="D3493" s="0" t="n">
        <v>12</v>
      </c>
      <c r="E3493" s="6" t="n">
        <v>40835.3472222222</v>
      </c>
      <c r="F3493" s="0" t="n">
        <v>0.39</v>
      </c>
      <c r="G3493" s="0" t="n">
        <v>12572</v>
      </c>
      <c r="H3493" s="0" t="s">
        <v>33</v>
      </c>
      <c r="I3493" s="7" t="n">
        <f aca="false">IF(AND(LEFT(A3493,1)&lt;&gt;"C",D3493&gt;0,F3493&gt;0),1,0)</f>
        <v>1</v>
      </c>
      <c r="J3493" s="7" t="n">
        <f aca="false">IF(I3493=1,D3493*F3493,0)</f>
        <v>4.68</v>
      </c>
      <c r="K3493" s="7" t="n">
        <f aca="false">YEAR(E3493)*100+MONTH(E3493)</f>
        <v>201110</v>
      </c>
      <c r="L3493" s="7" t="n">
        <f aca="false">IF(AND(A3493&lt;&gt;A3492,LEFT(A3493,1)&lt;&gt;"C"),1,0)</f>
        <v>0</v>
      </c>
    </row>
    <row r="3494" customFormat="false" ht="15" hidden="false" customHeight="false" outlineLevel="0" collapsed="false">
      <c r="A3494" s="0" t="s">
        <v>2447</v>
      </c>
      <c r="B3494" s="0" t="s">
        <v>2094</v>
      </c>
      <c r="C3494" s="0" t="s">
        <v>2095</v>
      </c>
      <c r="D3494" s="0" t="n">
        <v>12</v>
      </c>
      <c r="E3494" s="6" t="n">
        <v>40835.3472222222</v>
      </c>
      <c r="F3494" s="0" t="n">
        <v>0.39</v>
      </c>
      <c r="G3494" s="0" t="n">
        <v>12572</v>
      </c>
      <c r="H3494" s="0" t="s">
        <v>33</v>
      </c>
      <c r="I3494" s="7" t="n">
        <f aca="false">IF(AND(LEFT(A3494,1)&lt;&gt;"C",D3494&gt;0,F3494&gt;0),1,0)</f>
        <v>1</v>
      </c>
      <c r="J3494" s="7" t="n">
        <f aca="false">IF(I3494=1,D3494*F3494,0)</f>
        <v>4.68</v>
      </c>
      <c r="K3494" s="7" t="n">
        <f aca="false">YEAR(E3494)*100+MONTH(E3494)</f>
        <v>201110</v>
      </c>
      <c r="L3494" s="7" t="n">
        <f aca="false">IF(AND(A3494&lt;&gt;A3493,LEFT(A3494,1)&lt;&gt;"C"),1,0)</f>
        <v>0</v>
      </c>
    </row>
    <row r="3495" customFormat="false" ht="15" hidden="false" customHeight="false" outlineLevel="0" collapsed="false">
      <c r="A3495" s="0" t="s">
        <v>2447</v>
      </c>
      <c r="B3495" s="0" t="s">
        <v>2369</v>
      </c>
      <c r="C3495" s="0" t="s">
        <v>2370</v>
      </c>
      <c r="D3495" s="0" t="n">
        <v>12</v>
      </c>
      <c r="E3495" s="6" t="n">
        <v>40835.3472222222</v>
      </c>
      <c r="F3495" s="0" t="n">
        <v>0.39</v>
      </c>
      <c r="G3495" s="0" t="n">
        <v>12572</v>
      </c>
      <c r="H3495" s="0" t="s">
        <v>33</v>
      </c>
      <c r="I3495" s="7" t="n">
        <f aca="false">IF(AND(LEFT(A3495,1)&lt;&gt;"C",D3495&gt;0,F3495&gt;0),1,0)</f>
        <v>1</v>
      </c>
      <c r="J3495" s="7" t="n">
        <f aca="false">IF(I3495=1,D3495*F3495,0)</f>
        <v>4.68</v>
      </c>
      <c r="K3495" s="7" t="n">
        <f aca="false">YEAR(E3495)*100+MONTH(E3495)</f>
        <v>201110</v>
      </c>
      <c r="L3495" s="7" t="n">
        <f aca="false">IF(AND(A3495&lt;&gt;A3494,LEFT(A3495,1)&lt;&gt;"C"),1,0)</f>
        <v>0</v>
      </c>
    </row>
    <row r="3496" customFormat="false" ht="15" hidden="false" customHeight="false" outlineLevel="0" collapsed="false">
      <c r="A3496" s="0" t="s">
        <v>2447</v>
      </c>
      <c r="B3496" s="0" t="s">
        <v>2379</v>
      </c>
      <c r="C3496" s="0" t="s">
        <v>2380</v>
      </c>
      <c r="D3496" s="0" t="n">
        <v>12</v>
      </c>
      <c r="E3496" s="6" t="n">
        <v>40835.3472222222</v>
      </c>
      <c r="F3496" s="0" t="n">
        <v>0.65</v>
      </c>
      <c r="G3496" s="0" t="n">
        <v>12572</v>
      </c>
      <c r="H3496" s="0" t="s">
        <v>33</v>
      </c>
      <c r="I3496" s="7" t="n">
        <f aca="false">IF(AND(LEFT(A3496,1)&lt;&gt;"C",D3496&gt;0,F3496&gt;0),1,0)</f>
        <v>1</v>
      </c>
      <c r="J3496" s="7" t="n">
        <f aca="false">IF(I3496=1,D3496*F3496,0)</f>
        <v>7.8</v>
      </c>
      <c r="K3496" s="7" t="n">
        <f aca="false">YEAR(E3496)*100+MONTH(E3496)</f>
        <v>201110</v>
      </c>
      <c r="L3496" s="7" t="n">
        <f aca="false">IF(AND(A3496&lt;&gt;A3495,LEFT(A3496,1)&lt;&gt;"C"),1,0)</f>
        <v>0</v>
      </c>
    </row>
    <row r="3497" customFormat="false" ht="15" hidden="false" customHeight="false" outlineLevel="0" collapsed="false">
      <c r="A3497" s="0" t="s">
        <v>2447</v>
      </c>
      <c r="B3497" s="0" t="s">
        <v>2458</v>
      </c>
      <c r="C3497" s="0" t="s">
        <v>2459</v>
      </c>
      <c r="D3497" s="0" t="n">
        <v>12</v>
      </c>
      <c r="E3497" s="6" t="n">
        <v>40835.3472222222</v>
      </c>
      <c r="F3497" s="0" t="n">
        <v>0.42</v>
      </c>
      <c r="G3497" s="0" t="n">
        <v>12572</v>
      </c>
      <c r="H3497" s="0" t="s">
        <v>33</v>
      </c>
      <c r="I3497" s="7" t="n">
        <f aca="false">IF(AND(LEFT(A3497,1)&lt;&gt;"C",D3497&gt;0,F3497&gt;0),1,0)</f>
        <v>1</v>
      </c>
      <c r="J3497" s="7" t="n">
        <f aca="false">IF(I3497=1,D3497*F3497,0)</f>
        <v>5.04</v>
      </c>
      <c r="K3497" s="7" t="n">
        <f aca="false">YEAR(E3497)*100+MONTH(E3497)</f>
        <v>201110</v>
      </c>
      <c r="L3497" s="7" t="n">
        <f aca="false">IF(AND(A3497&lt;&gt;A3496,LEFT(A3497,1)&lt;&gt;"C"),1,0)</f>
        <v>0</v>
      </c>
    </row>
    <row r="3498" customFormat="false" ht="15" hidden="false" customHeight="false" outlineLevel="0" collapsed="false">
      <c r="A3498" s="0" t="s">
        <v>2447</v>
      </c>
      <c r="B3498" s="0" t="s">
        <v>148</v>
      </c>
      <c r="C3498" s="0" t="s">
        <v>149</v>
      </c>
      <c r="D3498" s="0" t="n">
        <v>3</v>
      </c>
      <c r="E3498" s="6" t="n">
        <v>40835.3472222222</v>
      </c>
      <c r="F3498" s="0" t="n">
        <v>12.75</v>
      </c>
      <c r="G3498" s="0" t="n">
        <v>12572</v>
      </c>
      <c r="H3498" s="0" t="s">
        <v>33</v>
      </c>
      <c r="I3498" s="7" t="n">
        <f aca="false">IF(AND(LEFT(A3498,1)&lt;&gt;"C",D3498&gt;0,F3498&gt;0),1,0)</f>
        <v>1</v>
      </c>
      <c r="J3498" s="7" t="n">
        <f aca="false">IF(I3498=1,D3498*F3498,0)</f>
        <v>38.25</v>
      </c>
      <c r="K3498" s="7" t="n">
        <f aca="false">YEAR(E3498)*100+MONTH(E3498)</f>
        <v>201110</v>
      </c>
      <c r="L3498" s="7" t="n">
        <f aca="false">IF(AND(A3498&lt;&gt;A3497,LEFT(A3498,1)&lt;&gt;"C"),1,0)</f>
        <v>0</v>
      </c>
    </row>
    <row r="3499" customFormat="false" ht="15" hidden="false" customHeight="false" outlineLevel="0" collapsed="false">
      <c r="A3499" s="0" t="s">
        <v>2447</v>
      </c>
      <c r="B3499" s="0" t="s">
        <v>1208</v>
      </c>
      <c r="C3499" s="0" t="s">
        <v>1209</v>
      </c>
      <c r="D3499" s="0" t="n">
        <v>6</v>
      </c>
      <c r="E3499" s="6" t="n">
        <v>40835.3472222222</v>
      </c>
      <c r="F3499" s="0" t="n">
        <v>2.55</v>
      </c>
      <c r="G3499" s="0" t="n">
        <v>12572</v>
      </c>
      <c r="H3499" s="0" t="s">
        <v>33</v>
      </c>
      <c r="I3499" s="7" t="n">
        <f aca="false">IF(AND(LEFT(A3499,1)&lt;&gt;"C",D3499&gt;0,F3499&gt;0),1,0)</f>
        <v>1</v>
      </c>
      <c r="J3499" s="7" t="n">
        <f aca="false">IF(I3499=1,D3499*F3499,0)</f>
        <v>15.3</v>
      </c>
      <c r="K3499" s="7" t="n">
        <f aca="false">YEAR(E3499)*100+MONTH(E3499)</f>
        <v>201110</v>
      </c>
      <c r="L3499" s="7" t="n">
        <f aca="false">IF(AND(A3499&lt;&gt;A3498,LEFT(A3499,1)&lt;&gt;"C"),1,0)</f>
        <v>0</v>
      </c>
    </row>
    <row r="3500" customFormat="false" ht="15" hidden="false" customHeight="false" outlineLevel="0" collapsed="false">
      <c r="A3500" s="0" t="s">
        <v>2447</v>
      </c>
      <c r="B3500" s="0" t="s">
        <v>735</v>
      </c>
      <c r="C3500" s="0" t="s">
        <v>736</v>
      </c>
      <c r="D3500" s="0" t="n">
        <v>4</v>
      </c>
      <c r="E3500" s="6" t="n">
        <v>40835.3472222222</v>
      </c>
      <c r="F3500" s="0" t="n">
        <v>4.95</v>
      </c>
      <c r="G3500" s="0" t="n">
        <v>12572</v>
      </c>
      <c r="H3500" s="0" t="s">
        <v>33</v>
      </c>
      <c r="I3500" s="7" t="n">
        <f aca="false">IF(AND(LEFT(A3500,1)&lt;&gt;"C",D3500&gt;0,F3500&gt;0),1,0)</f>
        <v>1</v>
      </c>
      <c r="J3500" s="7" t="n">
        <f aca="false">IF(I3500=1,D3500*F3500,0)</f>
        <v>19.8</v>
      </c>
      <c r="K3500" s="7" t="n">
        <f aca="false">YEAR(E3500)*100+MONTH(E3500)</f>
        <v>201110</v>
      </c>
      <c r="L3500" s="7" t="n">
        <f aca="false">IF(AND(A3500&lt;&gt;A3499,LEFT(A3500,1)&lt;&gt;"C"),1,0)</f>
        <v>0</v>
      </c>
    </row>
    <row r="3501" customFormat="false" ht="15" hidden="false" customHeight="false" outlineLevel="0" collapsed="false">
      <c r="A3501" s="0" t="s">
        <v>2447</v>
      </c>
      <c r="B3501" s="0" t="s">
        <v>737</v>
      </c>
      <c r="C3501" s="0" t="s">
        <v>738</v>
      </c>
      <c r="D3501" s="0" t="n">
        <v>4</v>
      </c>
      <c r="E3501" s="6" t="n">
        <v>40835.3472222222</v>
      </c>
      <c r="F3501" s="0" t="n">
        <v>4.95</v>
      </c>
      <c r="G3501" s="0" t="n">
        <v>12572</v>
      </c>
      <c r="H3501" s="0" t="s">
        <v>33</v>
      </c>
      <c r="I3501" s="7" t="n">
        <f aca="false">IF(AND(LEFT(A3501,1)&lt;&gt;"C",D3501&gt;0,F3501&gt;0),1,0)</f>
        <v>1</v>
      </c>
      <c r="J3501" s="7" t="n">
        <f aca="false">IF(I3501=1,D3501*F3501,0)</f>
        <v>19.8</v>
      </c>
      <c r="K3501" s="7" t="n">
        <f aca="false">YEAR(E3501)*100+MONTH(E3501)</f>
        <v>201110</v>
      </c>
      <c r="L3501" s="7" t="n">
        <f aca="false">IF(AND(A3501&lt;&gt;A3500,LEFT(A3501,1)&lt;&gt;"C"),1,0)</f>
        <v>0</v>
      </c>
    </row>
    <row r="3502" customFormat="false" ht="15" hidden="false" customHeight="false" outlineLevel="0" collapsed="false">
      <c r="A3502" s="0" t="s">
        <v>2447</v>
      </c>
      <c r="B3502" s="0" t="s">
        <v>1248</v>
      </c>
      <c r="C3502" s="0" t="s">
        <v>1249</v>
      </c>
      <c r="D3502" s="0" t="n">
        <v>3</v>
      </c>
      <c r="E3502" s="6" t="n">
        <v>40835.3472222222</v>
      </c>
      <c r="F3502" s="0" t="n">
        <v>4.95</v>
      </c>
      <c r="G3502" s="0" t="n">
        <v>12572</v>
      </c>
      <c r="H3502" s="0" t="s">
        <v>33</v>
      </c>
      <c r="I3502" s="7" t="n">
        <f aca="false">IF(AND(LEFT(A3502,1)&lt;&gt;"C",D3502&gt;0,F3502&gt;0),1,0)</f>
        <v>1</v>
      </c>
      <c r="J3502" s="7" t="n">
        <f aca="false">IF(I3502=1,D3502*F3502,0)</f>
        <v>14.85</v>
      </c>
      <c r="K3502" s="7" t="n">
        <f aca="false">YEAR(E3502)*100+MONTH(E3502)</f>
        <v>201110</v>
      </c>
      <c r="L3502" s="7" t="n">
        <f aca="false">IF(AND(A3502&lt;&gt;A3501,LEFT(A3502,1)&lt;&gt;"C"),1,0)</f>
        <v>0</v>
      </c>
    </row>
    <row r="3503" customFormat="false" ht="15" hidden="false" customHeight="false" outlineLevel="0" collapsed="false">
      <c r="A3503" s="0" t="s">
        <v>2447</v>
      </c>
      <c r="B3503" s="0" t="s">
        <v>729</v>
      </c>
      <c r="C3503" s="0" t="s">
        <v>730</v>
      </c>
      <c r="D3503" s="0" t="n">
        <v>3</v>
      </c>
      <c r="E3503" s="6" t="n">
        <v>40835.3472222222</v>
      </c>
      <c r="F3503" s="0" t="n">
        <v>4.95</v>
      </c>
      <c r="G3503" s="0" t="n">
        <v>12572</v>
      </c>
      <c r="H3503" s="0" t="s">
        <v>33</v>
      </c>
      <c r="I3503" s="7" t="n">
        <f aca="false">IF(AND(LEFT(A3503,1)&lt;&gt;"C",D3503&gt;0,F3503&gt;0),1,0)</f>
        <v>1</v>
      </c>
      <c r="J3503" s="7" t="n">
        <f aca="false">IF(I3503=1,D3503*F3503,0)</f>
        <v>14.85</v>
      </c>
      <c r="K3503" s="7" t="n">
        <f aca="false">YEAR(E3503)*100+MONTH(E3503)</f>
        <v>201110</v>
      </c>
      <c r="L3503" s="7" t="n">
        <f aca="false">IF(AND(A3503&lt;&gt;A3502,LEFT(A3503,1)&lt;&gt;"C"),1,0)</f>
        <v>0</v>
      </c>
    </row>
    <row r="3504" customFormat="false" ht="15" hidden="false" customHeight="false" outlineLevel="0" collapsed="false">
      <c r="A3504" s="0" t="s">
        <v>2447</v>
      </c>
      <c r="B3504" s="0" t="s">
        <v>1031</v>
      </c>
      <c r="C3504" s="0" t="s">
        <v>1032</v>
      </c>
      <c r="D3504" s="0" t="n">
        <v>4</v>
      </c>
      <c r="E3504" s="6" t="n">
        <v>40835.3472222222</v>
      </c>
      <c r="F3504" s="0" t="n">
        <v>4.25</v>
      </c>
      <c r="G3504" s="0" t="n">
        <v>12572</v>
      </c>
      <c r="H3504" s="0" t="s">
        <v>33</v>
      </c>
      <c r="I3504" s="7" t="n">
        <f aca="false">IF(AND(LEFT(A3504,1)&lt;&gt;"C",D3504&gt;0,F3504&gt;0),1,0)</f>
        <v>1</v>
      </c>
      <c r="J3504" s="7" t="n">
        <f aca="false">IF(I3504=1,D3504*F3504,0)</f>
        <v>17</v>
      </c>
      <c r="K3504" s="7" t="n">
        <f aca="false">YEAR(E3504)*100+MONTH(E3504)</f>
        <v>201110</v>
      </c>
      <c r="L3504" s="7" t="n">
        <f aca="false">IF(AND(A3504&lt;&gt;A3503,LEFT(A3504,1)&lt;&gt;"C"),1,0)</f>
        <v>0</v>
      </c>
    </row>
    <row r="3505" customFormat="false" ht="15" hidden="false" customHeight="false" outlineLevel="0" collapsed="false">
      <c r="A3505" s="0" t="s">
        <v>2447</v>
      </c>
      <c r="B3505" s="0" t="s">
        <v>2460</v>
      </c>
      <c r="C3505" s="0" t="s">
        <v>2461</v>
      </c>
      <c r="D3505" s="0" t="n">
        <v>6</v>
      </c>
      <c r="E3505" s="6" t="n">
        <v>40835.3472222222</v>
      </c>
      <c r="F3505" s="0" t="n">
        <v>2.95</v>
      </c>
      <c r="G3505" s="0" t="n">
        <v>12572</v>
      </c>
      <c r="H3505" s="0" t="s">
        <v>33</v>
      </c>
      <c r="I3505" s="7" t="n">
        <f aca="false">IF(AND(LEFT(A3505,1)&lt;&gt;"C",D3505&gt;0,F3505&gt;0),1,0)</f>
        <v>1</v>
      </c>
      <c r="J3505" s="7" t="n">
        <f aca="false">IF(I3505=1,D3505*F3505,0)</f>
        <v>17.7</v>
      </c>
      <c r="K3505" s="7" t="n">
        <f aca="false">YEAR(E3505)*100+MONTH(E3505)</f>
        <v>201110</v>
      </c>
      <c r="L3505" s="7" t="n">
        <f aca="false">IF(AND(A3505&lt;&gt;A3504,LEFT(A3505,1)&lt;&gt;"C"),1,0)</f>
        <v>0</v>
      </c>
    </row>
    <row r="3506" customFormat="false" ht="15" hidden="false" customHeight="false" outlineLevel="0" collapsed="false">
      <c r="A3506" s="0" t="s">
        <v>2462</v>
      </c>
      <c r="B3506" s="0" t="s">
        <v>2463</v>
      </c>
      <c r="C3506" s="0" t="s">
        <v>2464</v>
      </c>
      <c r="D3506" s="0" t="n">
        <v>144</v>
      </c>
      <c r="E3506" s="6" t="n">
        <v>40835.4048611111</v>
      </c>
      <c r="F3506" s="0" t="n">
        <v>1.04</v>
      </c>
      <c r="G3506" s="0" t="n">
        <v>12500</v>
      </c>
      <c r="H3506" s="0" t="s">
        <v>33</v>
      </c>
      <c r="I3506" s="7" t="n">
        <f aca="false">IF(AND(LEFT(A3506,1)&lt;&gt;"C",D3506&gt;0,F3506&gt;0),1,0)</f>
        <v>1</v>
      </c>
      <c r="J3506" s="7" t="n">
        <f aca="false">IF(I3506=1,D3506*F3506,0)</f>
        <v>149.76</v>
      </c>
      <c r="K3506" s="7" t="n">
        <f aca="false">YEAR(E3506)*100+MONTH(E3506)</f>
        <v>201110</v>
      </c>
      <c r="L3506" s="7" t="n">
        <f aca="false">IF(AND(A3506&lt;&gt;A3505,LEFT(A3506,1)&lt;&gt;"C"),1,0)</f>
        <v>1</v>
      </c>
    </row>
    <row r="3507" customFormat="false" ht="15" hidden="false" customHeight="false" outlineLevel="0" collapsed="false">
      <c r="A3507" s="0" t="s">
        <v>2462</v>
      </c>
      <c r="B3507" s="0" t="s">
        <v>2465</v>
      </c>
      <c r="C3507" s="0" t="s">
        <v>2466</v>
      </c>
      <c r="D3507" s="0" t="n">
        <v>144</v>
      </c>
      <c r="E3507" s="6" t="n">
        <v>40835.4048611111</v>
      </c>
      <c r="F3507" s="0" t="n">
        <v>1.04</v>
      </c>
      <c r="G3507" s="0" t="n">
        <v>12500</v>
      </c>
      <c r="H3507" s="0" t="s">
        <v>33</v>
      </c>
      <c r="I3507" s="7" t="n">
        <f aca="false">IF(AND(LEFT(A3507,1)&lt;&gt;"C",D3507&gt;0,F3507&gt;0),1,0)</f>
        <v>1</v>
      </c>
      <c r="J3507" s="7" t="n">
        <f aca="false">IF(I3507=1,D3507*F3507,0)</f>
        <v>149.76</v>
      </c>
      <c r="K3507" s="7" t="n">
        <f aca="false">YEAR(E3507)*100+MONTH(E3507)</f>
        <v>201110</v>
      </c>
      <c r="L3507" s="7" t="n">
        <f aca="false">IF(AND(A3507&lt;&gt;A3506,LEFT(A3507,1)&lt;&gt;"C"),1,0)</f>
        <v>0</v>
      </c>
    </row>
    <row r="3508" customFormat="false" ht="15" hidden="false" customHeight="false" outlineLevel="0" collapsed="false">
      <c r="A3508" s="0" t="s">
        <v>2462</v>
      </c>
      <c r="B3508" s="0" t="s">
        <v>2467</v>
      </c>
      <c r="C3508" s="0" t="s">
        <v>2468</v>
      </c>
      <c r="D3508" s="0" t="n">
        <v>144</v>
      </c>
      <c r="E3508" s="6" t="n">
        <v>40835.4048611111</v>
      </c>
      <c r="F3508" s="0" t="n">
        <v>1.04</v>
      </c>
      <c r="G3508" s="0" t="n">
        <v>12500</v>
      </c>
      <c r="H3508" s="0" t="s">
        <v>33</v>
      </c>
      <c r="I3508" s="7" t="n">
        <f aca="false">IF(AND(LEFT(A3508,1)&lt;&gt;"C",D3508&gt;0,F3508&gt;0),1,0)</f>
        <v>1</v>
      </c>
      <c r="J3508" s="7" t="n">
        <f aca="false">IF(I3508=1,D3508*F3508,0)</f>
        <v>149.76</v>
      </c>
      <c r="K3508" s="7" t="n">
        <f aca="false">YEAR(E3508)*100+MONTH(E3508)</f>
        <v>201110</v>
      </c>
      <c r="L3508" s="7" t="n">
        <f aca="false">IF(AND(A3508&lt;&gt;A3507,LEFT(A3508,1)&lt;&gt;"C"),1,0)</f>
        <v>0</v>
      </c>
    </row>
    <row r="3509" customFormat="false" ht="15" hidden="false" customHeight="false" outlineLevel="0" collapsed="false">
      <c r="A3509" s="0" t="s">
        <v>2462</v>
      </c>
      <c r="B3509" s="0" t="s">
        <v>699</v>
      </c>
      <c r="C3509" s="0" t="s">
        <v>700</v>
      </c>
      <c r="D3509" s="0" t="n">
        <v>144</v>
      </c>
      <c r="E3509" s="6" t="n">
        <v>40835.4048611111</v>
      </c>
      <c r="F3509" s="0" t="n">
        <v>1.04</v>
      </c>
      <c r="G3509" s="0" t="n">
        <v>12500</v>
      </c>
      <c r="H3509" s="0" t="s">
        <v>33</v>
      </c>
      <c r="I3509" s="7" t="n">
        <f aca="false">IF(AND(LEFT(A3509,1)&lt;&gt;"C",D3509&gt;0,F3509&gt;0),1,0)</f>
        <v>1</v>
      </c>
      <c r="J3509" s="7" t="n">
        <f aca="false">IF(I3509=1,D3509*F3509,0)</f>
        <v>149.76</v>
      </c>
      <c r="K3509" s="7" t="n">
        <f aca="false">YEAR(E3509)*100+MONTH(E3509)</f>
        <v>201110</v>
      </c>
      <c r="L3509" s="7" t="n">
        <f aca="false">IF(AND(A3509&lt;&gt;A3508,LEFT(A3509,1)&lt;&gt;"C"),1,0)</f>
        <v>0</v>
      </c>
    </row>
    <row r="3510" customFormat="false" ht="15" hidden="false" customHeight="false" outlineLevel="0" collapsed="false">
      <c r="A3510" s="0" t="s">
        <v>2462</v>
      </c>
      <c r="B3510" s="0" t="s">
        <v>84</v>
      </c>
      <c r="C3510" s="0" t="s">
        <v>85</v>
      </c>
      <c r="D3510" s="0" t="n">
        <v>1</v>
      </c>
      <c r="E3510" s="6" t="n">
        <v>40835.4048611111</v>
      </c>
      <c r="F3510" s="0" t="n">
        <v>18</v>
      </c>
      <c r="G3510" s="0" t="n">
        <v>12500</v>
      </c>
      <c r="H3510" s="0" t="s">
        <v>33</v>
      </c>
      <c r="I3510" s="7" t="n">
        <f aca="false">IF(AND(LEFT(A3510,1)&lt;&gt;"C",D3510&gt;0,F3510&gt;0),1,0)</f>
        <v>1</v>
      </c>
      <c r="J3510" s="7" t="n">
        <f aca="false">IF(I3510=1,D3510*F3510,0)</f>
        <v>18</v>
      </c>
      <c r="K3510" s="7" t="n">
        <f aca="false">YEAR(E3510)*100+MONTH(E3510)</f>
        <v>201110</v>
      </c>
      <c r="L3510" s="7" t="n">
        <f aca="false">IF(AND(A3510&lt;&gt;A3509,LEFT(A3510,1)&lt;&gt;"C"),1,0)</f>
        <v>0</v>
      </c>
    </row>
    <row r="3511" customFormat="false" ht="15" hidden="false" customHeight="false" outlineLevel="0" collapsed="false">
      <c r="A3511" s="0" t="s">
        <v>2469</v>
      </c>
      <c r="B3511" s="0" t="s">
        <v>2470</v>
      </c>
      <c r="C3511" s="0" t="s">
        <v>2471</v>
      </c>
      <c r="D3511" s="0" t="n">
        <v>1</v>
      </c>
      <c r="E3511" s="6" t="n">
        <v>40835.4395833333</v>
      </c>
      <c r="F3511" s="0" t="n">
        <v>3</v>
      </c>
      <c r="G3511" s="0" t="n">
        <v>12500</v>
      </c>
      <c r="H3511" s="0" t="s">
        <v>33</v>
      </c>
      <c r="I3511" s="7" t="n">
        <f aca="false">IF(AND(LEFT(A3511,1)&lt;&gt;"C",D3511&gt;0,F3511&gt;0),1,0)</f>
        <v>1</v>
      </c>
      <c r="J3511" s="7" t="n">
        <f aca="false">IF(I3511=1,D3511*F3511,0)</f>
        <v>3</v>
      </c>
      <c r="K3511" s="7" t="n">
        <f aca="false">YEAR(E3511)*100+MONTH(E3511)</f>
        <v>201110</v>
      </c>
      <c r="L3511" s="7" t="n">
        <f aca="false">IF(AND(A3511&lt;&gt;A3510,LEFT(A3511,1)&lt;&gt;"C"),1,0)</f>
        <v>1</v>
      </c>
    </row>
    <row r="3512" customFormat="false" ht="15" hidden="false" customHeight="false" outlineLevel="0" collapsed="false">
      <c r="A3512" s="0" t="s">
        <v>2472</v>
      </c>
      <c r="B3512" s="0" t="s">
        <v>1600</v>
      </c>
      <c r="C3512" s="0" t="s">
        <v>1601</v>
      </c>
      <c r="D3512" s="0" t="n">
        <v>10</v>
      </c>
      <c r="E3512" s="6" t="n">
        <v>40835.4923611111</v>
      </c>
      <c r="F3512" s="0" t="n">
        <v>1.95</v>
      </c>
      <c r="G3512" s="0" t="n">
        <v>12472</v>
      </c>
      <c r="H3512" s="0" t="s">
        <v>33</v>
      </c>
      <c r="I3512" s="7" t="n">
        <f aca="false">IF(AND(LEFT(A3512,1)&lt;&gt;"C",D3512&gt;0,F3512&gt;0),1,0)</f>
        <v>1</v>
      </c>
      <c r="J3512" s="7" t="n">
        <f aca="false">IF(I3512=1,D3512*F3512,0)</f>
        <v>19.5</v>
      </c>
      <c r="K3512" s="7" t="n">
        <f aca="false">YEAR(E3512)*100+MONTH(E3512)</f>
        <v>201110</v>
      </c>
      <c r="L3512" s="7" t="n">
        <f aca="false">IF(AND(A3512&lt;&gt;A3511,LEFT(A3512,1)&lt;&gt;"C"),1,0)</f>
        <v>1</v>
      </c>
    </row>
    <row r="3513" customFormat="false" ht="15" hidden="false" customHeight="false" outlineLevel="0" collapsed="false">
      <c r="A3513" s="0" t="s">
        <v>2472</v>
      </c>
      <c r="B3513" s="0" t="s">
        <v>1676</v>
      </c>
      <c r="C3513" s="0" t="s">
        <v>1677</v>
      </c>
      <c r="D3513" s="0" t="n">
        <v>3</v>
      </c>
      <c r="E3513" s="6" t="n">
        <v>40835.4923611111</v>
      </c>
      <c r="F3513" s="0" t="n">
        <v>5.95</v>
      </c>
      <c r="G3513" s="0" t="n">
        <v>12472</v>
      </c>
      <c r="H3513" s="0" t="s">
        <v>33</v>
      </c>
      <c r="I3513" s="7" t="n">
        <f aca="false">IF(AND(LEFT(A3513,1)&lt;&gt;"C",D3513&gt;0,F3513&gt;0),1,0)</f>
        <v>1</v>
      </c>
      <c r="J3513" s="7" t="n">
        <f aca="false">IF(I3513=1,D3513*F3513,0)</f>
        <v>17.85</v>
      </c>
      <c r="K3513" s="7" t="n">
        <f aca="false">YEAR(E3513)*100+MONTH(E3513)</f>
        <v>201110</v>
      </c>
      <c r="L3513" s="7" t="n">
        <f aca="false">IF(AND(A3513&lt;&gt;A3512,LEFT(A3513,1)&lt;&gt;"C"),1,0)</f>
        <v>0</v>
      </c>
    </row>
    <row r="3514" customFormat="false" ht="15" hidden="false" customHeight="false" outlineLevel="0" collapsed="false">
      <c r="A3514" s="0" t="s">
        <v>2472</v>
      </c>
      <c r="B3514" s="0" t="s">
        <v>2226</v>
      </c>
      <c r="C3514" s="0" t="s">
        <v>2227</v>
      </c>
      <c r="D3514" s="0" t="n">
        <v>6</v>
      </c>
      <c r="E3514" s="6" t="n">
        <v>40835.4923611111</v>
      </c>
      <c r="F3514" s="0" t="n">
        <v>2.08</v>
      </c>
      <c r="G3514" s="0" t="n">
        <v>12472</v>
      </c>
      <c r="H3514" s="0" t="s">
        <v>33</v>
      </c>
      <c r="I3514" s="7" t="n">
        <f aca="false">IF(AND(LEFT(A3514,1)&lt;&gt;"C",D3514&gt;0,F3514&gt;0),1,0)</f>
        <v>1</v>
      </c>
      <c r="J3514" s="7" t="n">
        <f aca="false">IF(I3514=1,D3514*F3514,0)</f>
        <v>12.48</v>
      </c>
      <c r="K3514" s="7" t="n">
        <f aca="false">YEAR(E3514)*100+MONTH(E3514)</f>
        <v>201110</v>
      </c>
      <c r="L3514" s="7" t="n">
        <f aca="false">IF(AND(A3514&lt;&gt;A3513,LEFT(A3514,1)&lt;&gt;"C"),1,0)</f>
        <v>0</v>
      </c>
    </row>
    <row r="3515" customFormat="false" ht="15" hidden="false" customHeight="false" outlineLevel="0" collapsed="false">
      <c r="A3515" s="0" t="s">
        <v>2472</v>
      </c>
      <c r="B3515" s="0" t="s">
        <v>2473</v>
      </c>
      <c r="C3515" s="0" t="s">
        <v>2474</v>
      </c>
      <c r="D3515" s="0" t="n">
        <v>6</v>
      </c>
      <c r="E3515" s="6" t="n">
        <v>40835.4923611111</v>
      </c>
      <c r="F3515" s="0" t="n">
        <v>2.08</v>
      </c>
      <c r="G3515" s="0" t="n">
        <v>12472</v>
      </c>
      <c r="H3515" s="0" t="s">
        <v>33</v>
      </c>
      <c r="I3515" s="7" t="n">
        <f aca="false">IF(AND(LEFT(A3515,1)&lt;&gt;"C",D3515&gt;0,F3515&gt;0),1,0)</f>
        <v>1</v>
      </c>
      <c r="J3515" s="7" t="n">
        <f aca="false">IF(I3515=1,D3515*F3515,0)</f>
        <v>12.48</v>
      </c>
      <c r="K3515" s="7" t="n">
        <f aca="false">YEAR(E3515)*100+MONTH(E3515)</f>
        <v>201110</v>
      </c>
      <c r="L3515" s="7" t="n">
        <f aca="false">IF(AND(A3515&lt;&gt;A3514,LEFT(A3515,1)&lt;&gt;"C"),1,0)</f>
        <v>0</v>
      </c>
    </row>
    <row r="3516" customFormat="false" ht="15" hidden="false" customHeight="false" outlineLevel="0" collapsed="false">
      <c r="A3516" s="0" t="s">
        <v>2472</v>
      </c>
      <c r="B3516" s="0" t="s">
        <v>1590</v>
      </c>
      <c r="C3516" s="0" t="s">
        <v>1591</v>
      </c>
      <c r="D3516" s="0" t="n">
        <v>6</v>
      </c>
      <c r="E3516" s="6" t="n">
        <v>40835.4923611111</v>
      </c>
      <c r="F3516" s="0" t="n">
        <v>2.08</v>
      </c>
      <c r="G3516" s="0" t="n">
        <v>12472</v>
      </c>
      <c r="H3516" s="0" t="s">
        <v>33</v>
      </c>
      <c r="I3516" s="7" t="n">
        <f aca="false">IF(AND(LEFT(A3516,1)&lt;&gt;"C",D3516&gt;0,F3516&gt;0),1,0)</f>
        <v>1</v>
      </c>
      <c r="J3516" s="7" t="n">
        <f aca="false">IF(I3516=1,D3516*F3516,0)</f>
        <v>12.48</v>
      </c>
      <c r="K3516" s="7" t="n">
        <f aca="false">YEAR(E3516)*100+MONTH(E3516)</f>
        <v>201110</v>
      </c>
      <c r="L3516" s="7" t="n">
        <f aca="false">IF(AND(A3516&lt;&gt;A3515,LEFT(A3516,1)&lt;&gt;"C"),1,0)</f>
        <v>0</v>
      </c>
    </row>
    <row r="3517" customFormat="false" ht="15" hidden="false" customHeight="false" outlineLevel="0" collapsed="false">
      <c r="A3517" s="0" t="s">
        <v>2472</v>
      </c>
      <c r="B3517" s="0" t="s">
        <v>2216</v>
      </c>
      <c r="C3517" s="0" t="s">
        <v>2217</v>
      </c>
      <c r="D3517" s="0" t="n">
        <v>6</v>
      </c>
      <c r="E3517" s="6" t="n">
        <v>40835.4923611111</v>
      </c>
      <c r="F3517" s="0" t="n">
        <v>2.08</v>
      </c>
      <c r="G3517" s="0" t="n">
        <v>12472</v>
      </c>
      <c r="H3517" s="0" t="s">
        <v>33</v>
      </c>
      <c r="I3517" s="7" t="n">
        <f aca="false">IF(AND(LEFT(A3517,1)&lt;&gt;"C",D3517&gt;0,F3517&gt;0),1,0)</f>
        <v>1</v>
      </c>
      <c r="J3517" s="7" t="n">
        <f aca="false">IF(I3517=1,D3517*F3517,0)</f>
        <v>12.48</v>
      </c>
      <c r="K3517" s="7" t="n">
        <f aca="false">YEAR(E3517)*100+MONTH(E3517)</f>
        <v>201110</v>
      </c>
      <c r="L3517" s="7" t="n">
        <f aca="false">IF(AND(A3517&lt;&gt;A3516,LEFT(A3517,1)&lt;&gt;"C"),1,0)</f>
        <v>0</v>
      </c>
    </row>
    <row r="3518" customFormat="false" ht="15" hidden="false" customHeight="false" outlineLevel="0" collapsed="false">
      <c r="A3518" s="0" t="s">
        <v>2472</v>
      </c>
      <c r="B3518" s="0" t="s">
        <v>1586</v>
      </c>
      <c r="C3518" s="0" t="s">
        <v>1587</v>
      </c>
      <c r="D3518" s="0" t="n">
        <v>6</v>
      </c>
      <c r="E3518" s="6" t="n">
        <v>40835.4923611111</v>
      </c>
      <c r="F3518" s="0" t="n">
        <v>2.08</v>
      </c>
      <c r="G3518" s="0" t="n">
        <v>12472</v>
      </c>
      <c r="H3518" s="0" t="s">
        <v>33</v>
      </c>
      <c r="I3518" s="7" t="n">
        <f aca="false">IF(AND(LEFT(A3518,1)&lt;&gt;"C",D3518&gt;0,F3518&gt;0),1,0)</f>
        <v>1</v>
      </c>
      <c r="J3518" s="7" t="n">
        <f aca="false">IF(I3518=1,D3518*F3518,0)</f>
        <v>12.48</v>
      </c>
      <c r="K3518" s="7" t="n">
        <f aca="false">YEAR(E3518)*100+MONTH(E3518)</f>
        <v>201110</v>
      </c>
      <c r="L3518" s="7" t="n">
        <f aca="false">IF(AND(A3518&lt;&gt;A3517,LEFT(A3518,1)&lt;&gt;"C"),1,0)</f>
        <v>0</v>
      </c>
    </row>
    <row r="3519" customFormat="false" ht="15" hidden="false" customHeight="false" outlineLevel="0" collapsed="false">
      <c r="A3519" s="0" t="s">
        <v>2472</v>
      </c>
      <c r="B3519" s="0" t="s">
        <v>1592</v>
      </c>
      <c r="C3519" s="0" t="s">
        <v>1593</v>
      </c>
      <c r="D3519" s="0" t="n">
        <v>6</v>
      </c>
      <c r="E3519" s="6" t="n">
        <v>40835.4923611111</v>
      </c>
      <c r="F3519" s="0" t="n">
        <v>2.89</v>
      </c>
      <c r="G3519" s="0" t="n">
        <v>12472</v>
      </c>
      <c r="H3519" s="0" t="s">
        <v>33</v>
      </c>
      <c r="I3519" s="7" t="n">
        <f aca="false">IF(AND(LEFT(A3519,1)&lt;&gt;"C",D3519&gt;0,F3519&gt;0),1,0)</f>
        <v>1</v>
      </c>
      <c r="J3519" s="7" t="n">
        <f aca="false">IF(I3519=1,D3519*F3519,0)</f>
        <v>17.34</v>
      </c>
      <c r="K3519" s="7" t="n">
        <f aca="false">YEAR(E3519)*100+MONTH(E3519)</f>
        <v>201110</v>
      </c>
      <c r="L3519" s="7" t="n">
        <f aca="false">IF(AND(A3519&lt;&gt;A3518,LEFT(A3519,1)&lt;&gt;"C"),1,0)</f>
        <v>0</v>
      </c>
    </row>
    <row r="3520" customFormat="false" ht="15" hidden="false" customHeight="false" outlineLevel="0" collapsed="false">
      <c r="A3520" s="0" t="s">
        <v>2472</v>
      </c>
      <c r="B3520" s="0" t="s">
        <v>1090</v>
      </c>
      <c r="C3520" s="0" t="s">
        <v>1091</v>
      </c>
      <c r="D3520" s="0" t="n">
        <v>10</v>
      </c>
      <c r="E3520" s="6" t="n">
        <v>40835.4923611111</v>
      </c>
      <c r="F3520" s="0" t="n">
        <v>0.85</v>
      </c>
      <c r="G3520" s="0" t="n">
        <v>12472</v>
      </c>
      <c r="H3520" s="0" t="s">
        <v>33</v>
      </c>
      <c r="I3520" s="7" t="n">
        <f aca="false">IF(AND(LEFT(A3520,1)&lt;&gt;"C",D3520&gt;0,F3520&gt;0),1,0)</f>
        <v>1</v>
      </c>
      <c r="J3520" s="7" t="n">
        <f aca="false">IF(I3520=1,D3520*F3520,0)</f>
        <v>8.5</v>
      </c>
      <c r="K3520" s="7" t="n">
        <f aca="false">YEAR(E3520)*100+MONTH(E3520)</f>
        <v>201110</v>
      </c>
      <c r="L3520" s="7" t="n">
        <f aca="false">IF(AND(A3520&lt;&gt;A3519,LEFT(A3520,1)&lt;&gt;"C"),1,0)</f>
        <v>0</v>
      </c>
    </row>
    <row r="3521" customFormat="false" ht="15" hidden="false" customHeight="false" outlineLevel="0" collapsed="false">
      <c r="A3521" s="0" t="s">
        <v>2472</v>
      </c>
      <c r="B3521" s="0" t="s">
        <v>1744</v>
      </c>
      <c r="C3521" s="0" t="s">
        <v>1745</v>
      </c>
      <c r="D3521" s="0" t="n">
        <v>10</v>
      </c>
      <c r="E3521" s="6" t="n">
        <v>40835.4923611111</v>
      </c>
      <c r="F3521" s="0" t="n">
        <v>0.85</v>
      </c>
      <c r="G3521" s="0" t="n">
        <v>12472</v>
      </c>
      <c r="H3521" s="0" t="s">
        <v>33</v>
      </c>
      <c r="I3521" s="7" t="n">
        <f aca="false">IF(AND(LEFT(A3521,1)&lt;&gt;"C",D3521&gt;0,F3521&gt;0),1,0)</f>
        <v>1</v>
      </c>
      <c r="J3521" s="7" t="n">
        <f aca="false">IF(I3521=1,D3521*F3521,0)</f>
        <v>8.5</v>
      </c>
      <c r="K3521" s="7" t="n">
        <f aca="false">YEAR(E3521)*100+MONTH(E3521)</f>
        <v>201110</v>
      </c>
      <c r="L3521" s="7" t="n">
        <f aca="false">IF(AND(A3521&lt;&gt;A3520,LEFT(A3521,1)&lt;&gt;"C"),1,0)</f>
        <v>0</v>
      </c>
    </row>
    <row r="3522" customFormat="false" ht="15" hidden="false" customHeight="false" outlineLevel="0" collapsed="false">
      <c r="A3522" s="0" t="s">
        <v>2472</v>
      </c>
      <c r="B3522" s="0" t="s">
        <v>1048</v>
      </c>
      <c r="C3522" s="0" t="s">
        <v>1049</v>
      </c>
      <c r="D3522" s="0" t="n">
        <v>4</v>
      </c>
      <c r="E3522" s="6" t="n">
        <v>40835.4923611111</v>
      </c>
      <c r="F3522" s="0" t="n">
        <v>4.15</v>
      </c>
      <c r="G3522" s="0" t="n">
        <v>12472</v>
      </c>
      <c r="H3522" s="0" t="s">
        <v>33</v>
      </c>
      <c r="I3522" s="7" t="n">
        <f aca="false">IF(AND(LEFT(A3522,1)&lt;&gt;"C",D3522&gt;0,F3522&gt;0),1,0)</f>
        <v>1</v>
      </c>
      <c r="J3522" s="7" t="n">
        <f aca="false">IF(I3522=1,D3522*F3522,0)</f>
        <v>16.6</v>
      </c>
      <c r="K3522" s="7" t="n">
        <f aca="false">YEAR(E3522)*100+MONTH(E3522)</f>
        <v>201110</v>
      </c>
      <c r="L3522" s="7" t="n">
        <f aca="false">IF(AND(A3522&lt;&gt;A3521,LEFT(A3522,1)&lt;&gt;"C"),1,0)</f>
        <v>0</v>
      </c>
    </row>
    <row r="3523" customFormat="false" ht="15" hidden="false" customHeight="false" outlineLevel="0" collapsed="false">
      <c r="A3523" s="0" t="s">
        <v>2472</v>
      </c>
      <c r="B3523" s="0" t="s">
        <v>1042</v>
      </c>
      <c r="C3523" s="0" t="s">
        <v>1043</v>
      </c>
      <c r="D3523" s="0" t="n">
        <v>4</v>
      </c>
      <c r="E3523" s="6" t="n">
        <v>40835.4923611111</v>
      </c>
      <c r="F3523" s="0" t="n">
        <v>4.15</v>
      </c>
      <c r="G3523" s="0" t="n">
        <v>12472</v>
      </c>
      <c r="H3523" s="0" t="s">
        <v>33</v>
      </c>
      <c r="I3523" s="7" t="n">
        <f aca="false">IF(AND(LEFT(A3523,1)&lt;&gt;"C",D3523&gt;0,F3523&gt;0),1,0)</f>
        <v>1</v>
      </c>
      <c r="J3523" s="7" t="n">
        <f aca="false">IF(I3523=1,D3523*F3523,0)</f>
        <v>16.6</v>
      </c>
      <c r="K3523" s="7" t="n">
        <f aca="false">YEAR(E3523)*100+MONTH(E3523)</f>
        <v>201110</v>
      </c>
      <c r="L3523" s="7" t="n">
        <f aca="false">IF(AND(A3523&lt;&gt;A3522,LEFT(A3523,1)&lt;&gt;"C"),1,0)</f>
        <v>0</v>
      </c>
    </row>
    <row r="3524" customFormat="false" ht="15" hidden="false" customHeight="false" outlineLevel="0" collapsed="false">
      <c r="A3524" s="0" t="s">
        <v>2472</v>
      </c>
      <c r="B3524" s="0" t="s">
        <v>1175</v>
      </c>
      <c r="C3524" s="0" t="s">
        <v>1176</v>
      </c>
      <c r="D3524" s="0" t="n">
        <v>6</v>
      </c>
      <c r="E3524" s="6" t="n">
        <v>40835.4923611111</v>
      </c>
      <c r="F3524" s="0" t="n">
        <v>2.08</v>
      </c>
      <c r="G3524" s="0" t="n">
        <v>12472</v>
      </c>
      <c r="H3524" s="0" t="s">
        <v>33</v>
      </c>
      <c r="I3524" s="7" t="n">
        <f aca="false">IF(AND(LEFT(A3524,1)&lt;&gt;"C",D3524&gt;0,F3524&gt;0),1,0)</f>
        <v>1</v>
      </c>
      <c r="J3524" s="7" t="n">
        <f aca="false">IF(I3524=1,D3524*F3524,0)</f>
        <v>12.48</v>
      </c>
      <c r="K3524" s="7" t="n">
        <f aca="false">YEAR(E3524)*100+MONTH(E3524)</f>
        <v>201110</v>
      </c>
      <c r="L3524" s="7" t="n">
        <f aca="false">IF(AND(A3524&lt;&gt;A3523,LEFT(A3524,1)&lt;&gt;"C"),1,0)</f>
        <v>0</v>
      </c>
    </row>
    <row r="3525" customFormat="false" ht="15" hidden="false" customHeight="false" outlineLevel="0" collapsed="false">
      <c r="A3525" s="0" t="s">
        <v>2472</v>
      </c>
      <c r="B3525" s="0" t="s">
        <v>794</v>
      </c>
      <c r="C3525" s="0" t="s">
        <v>795</v>
      </c>
      <c r="D3525" s="0" t="n">
        <v>10</v>
      </c>
      <c r="E3525" s="6" t="n">
        <v>40835.4923611111</v>
      </c>
      <c r="F3525" s="0" t="n">
        <v>0.85</v>
      </c>
      <c r="G3525" s="0" t="n">
        <v>12472</v>
      </c>
      <c r="H3525" s="0" t="s">
        <v>33</v>
      </c>
      <c r="I3525" s="7" t="n">
        <f aca="false">IF(AND(LEFT(A3525,1)&lt;&gt;"C",D3525&gt;0,F3525&gt;0),1,0)</f>
        <v>1</v>
      </c>
      <c r="J3525" s="7" t="n">
        <f aca="false">IF(I3525=1,D3525*F3525,0)</f>
        <v>8.5</v>
      </c>
      <c r="K3525" s="7" t="n">
        <f aca="false">YEAR(E3525)*100+MONTH(E3525)</f>
        <v>201110</v>
      </c>
      <c r="L3525" s="7" t="n">
        <f aca="false">IF(AND(A3525&lt;&gt;A3524,LEFT(A3525,1)&lt;&gt;"C"),1,0)</f>
        <v>0</v>
      </c>
    </row>
    <row r="3526" customFormat="false" ht="15" hidden="false" customHeight="false" outlineLevel="0" collapsed="false">
      <c r="A3526" s="0" t="s">
        <v>2472</v>
      </c>
      <c r="B3526" s="0" t="s">
        <v>569</v>
      </c>
      <c r="C3526" s="0" t="s">
        <v>570</v>
      </c>
      <c r="D3526" s="0" t="n">
        <v>10</v>
      </c>
      <c r="E3526" s="6" t="n">
        <v>40835.4923611111</v>
      </c>
      <c r="F3526" s="0" t="n">
        <v>2.08</v>
      </c>
      <c r="G3526" s="0" t="n">
        <v>12472</v>
      </c>
      <c r="H3526" s="0" t="s">
        <v>33</v>
      </c>
      <c r="I3526" s="7" t="n">
        <f aca="false">IF(AND(LEFT(A3526,1)&lt;&gt;"C",D3526&gt;0,F3526&gt;0),1,0)</f>
        <v>1</v>
      </c>
      <c r="J3526" s="7" t="n">
        <f aca="false">IF(I3526=1,D3526*F3526,0)</f>
        <v>20.8</v>
      </c>
      <c r="K3526" s="7" t="n">
        <f aca="false">YEAR(E3526)*100+MONTH(E3526)</f>
        <v>201110</v>
      </c>
      <c r="L3526" s="7" t="n">
        <f aca="false">IF(AND(A3526&lt;&gt;A3525,LEFT(A3526,1)&lt;&gt;"C"),1,0)</f>
        <v>0</v>
      </c>
    </row>
    <row r="3527" customFormat="false" ht="15" hidden="false" customHeight="false" outlineLevel="0" collapsed="false">
      <c r="A3527" s="0" t="s">
        <v>2472</v>
      </c>
      <c r="B3527" s="0" t="s">
        <v>70</v>
      </c>
      <c r="C3527" s="0" t="s">
        <v>71</v>
      </c>
      <c r="D3527" s="0" t="n">
        <v>10</v>
      </c>
      <c r="E3527" s="6" t="n">
        <v>40835.4923611111</v>
      </c>
      <c r="F3527" s="0" t="n">
        <v>1.65</v>
      </c>
      <c r="G3527" s="0" t="n">
        <v>12472</v>
      </c>
      <c r="H3527" s="0" t="s">
        <v>33</v>
      </c>
      <c r="I3527" s="7" t="n">
        <f aca="false">IF(AND(LEFT(A3527,1)&lt;&gt;"C",D3527&gt;0,F3527&gt;0),1,0)</f>
        <v>1</v>
      </c>
      <c r="J3527" s="7" t="n">
        <f aca="false">IF(I3527=1,D3527*F3527,0)</f>
        <v>16.5</v>
      </c>
      <c r="K3527" s="7" t="n">
        <f aca="false">YEAR(E3527)*100+MONTH(E3527)</f>
        <v>201110</v>
      </c>
      <c r="L3527" s="7" t="n">
        <f aca="false">IF(AND(A3527&lt;&gt;A3526,LEFT(A3527,1)&lt;&gt;"C"),1,0)</f>
        <v>0</v>
      </c>
    </row>
    <row r="3528" customFormat="false" ht="15" hidden="false" customHeight="false" outlineLevel="0" collapsed="false">
      <c r="A3528" s="0" t="s">
        <v>2472</v>
      </c>
      <c r="B3528" s="0" t="s">
        <v>123</v>
      </c>
      <c r="C3528" s="0" t="s">
        <v>124</v>
      </c>
      <c r="D3528" s="0" t="n">
        <v>12</v>
      </c>
      <c r="E3528" s="6" t="n">
        <v>40835.4923611111</v>
      </c>
      <c r="F3528" s="0" t="n">
        <v>2.95</v>
      </c>
      <c r="G3528" s="0" t="n">
        <v>12472</v>
      </c>
      <c r="H3528" s="0" t="s">
        <v>33</v>
      </c>
      <c r="I3528" s="7" t="n">
        <f aca="false">IF(AND(LEFT(A3528,1)&lt;&gt;"C",D3528&gt;0,F3528&gt;0),1,0)</f>
        <v>1</v>
      </c>
      <c r="J3528" s="7" t="n">
        <f aca="false">IF(I3528=1,D3528*F3528,0)</f>
        <v>35.4</v>
      </c>
      <c r="K3528" s="7" t="n">
        <f aca="false">YEAR(E3528)*100+MONTH(E3528)</f>
        <v>201110</v>
      </c>
      <c r="L3528" s="7" t="n">
        <f aca="false">IF(AND(A3528&lt;&gt;A3527,LEFT(A3528,1)&lt;&gt;"C"),1,0)</f>
        <v>0</v>
      </c>
    </row>
    <row r="3529" customFormat="false" ht="15" hidden="false" customHeight="false" outlineLevel="0" collapsed="false">
      <c r="A3529" s="0" t="s">
        <v>2472</v>
      </c>
      <c r="B3529" s="0" t="s">
        <v>671</v>
      </c>
      <c r="C3529" s="0" t="s">
        <v>672</v>
      </c>
      <c r="D3529" s="0" t="n">
        <v>12</v>
      </c>
      <c r="E3529" s="6" t="n">
        <v>40835.4923611111</v>
      </c>
      <c r="F3529" s="0" t="n">
        <v>0.85</v>
      </c>
      <c r="G3529" s="0" t="n">
        <v>12472</v>
      </c>
      <c r="H3529" s="0" t="s">
        <v>33</v>
      </c>
      <c r="I3529" s="7" t="n">
        <f aca="false">IF(AND(LEFT(A3529,1)&lt;&gt;"C",D3529&gt;0,F3529&gt;0),1,0)</f>
        <v>1</v>
      </c>
      <c r="J3529" s="7" t="n">
        <f aca="false">IF(I3529=1,D3529*F3529,0)</f>
        <v>10.2</v>
      </c>
      <c r="K3529" s="7" t="n">
        <f aca="false">YEAR(E3529)*100+MONTH(E3529)</f>
        <v>201110</v>
      </c>
      <c r="L3529" s="7" t="n">
        <f aca="false">IF(AND(A3529&lt;&gt;A3528,LEFT(A3529,1)&lt;&gt;"C"),1,0)</f>
        <v>0</v>
      </c>
    </row>
    <row r="3530" customFormat="false" ht="15" hidden="false" customHeight="false" outlineLevel="0" collapsed="false">
      <c r="A3530" s="0" t="s">
        <v>2472</v>
      </c>
      <c r="B3530" s="0" t="s">
        <v>119</v>
      </c>
      <c r="C3530" s="0" t="s">
        <v>120</v>
      </c>
      <c r="D3530" s="0" t="n">
        <v>12</v>
      </c>
      <c r="E3530" s="6" t="n">
        <v>40835.4923611111</v>
      </c>
      <c r="F3530" s="0" t="n">
        <v>0.42</v>
      </c>
      <c r="G3530" s="0" t="n">
        <v>12472</v>
      </c>
      <c r="H3530" s="0" t="s">
        <v>33</v>
      </c>
      <c r="I3530" s="7" t="n">
        <f aca="false">IF(AND(LEFT(A3530,1)&lt;&gt;"C",D3530&gt;0,F3530&gt;0),1,0)</f>
        <v>1</v>
      </c>
      <c r="J3530" s="7" t="n">
        <f aca="false">IF(I3530=1,D3530*F3530,0)</f>
        <v>5.04</v>
      </c>
      <c r="K3530" s="7" t="n">
        <f aca="false">YEAR(E3530)*100+MONTH(E3530)</f>
        <v>201110</v>
      </c>
      <c r="L3530" s="7" t="n">
        <f aca="false">IF(AND(A3530&lt;&gt;A3529,LEFT(A3530,1)&lt;&gt;"C"),1,0)</f>
        <v>0</v>
      </c>
    </row>
    <row r="3531" customFormat="false" ht="15" hidden="false" customHeight="false" outlineLevel="0" collapsed="false">
      <c r="A3531" s="0" t="s">
        <v>2472</v>
      </c>
      <c r="B3531" s="0" t="s">
        <v>1006</v>
      </c>
      <c r="C3531" s="0" t="s">
        <v>1007</v>
      </c>
      <c r="D3531" s="0" t="n">
        <v>25</v>
      </c>
      <c r="E3531" s="6" t="n">
        <v>40835.4923611111</v>
      </c>
      <c r="F3531" s="0" t="n">
        <v>0.42</v>
      </c>
      <c r="G3531" s="0" t="n">
        <v>12472</v>
      </c>
      <c r="H3531" s="0" t="s">
        <v>33</v>
      </c>
      <c r="I3531" s="7" t="n">
        <f aca="false">IF(AND(LEFT(A3531,1)&lt;&gt;"C",D3531&gt;0,F3531&gt;0),1,0)</f>
        <v>1</v>
      </c>
      <c r="J3531" s="7" t="n">
        <f aca="false">IF(I3531=1,D3531*F3531,0)</f>
        <v>10.5</v>
      </c>
      <c r="K3531" s="7" t="n">
        <f aca="false">YEAR(E3531)*100+MONTH(E3531)</f>
        <v>201110</v>
      </c>
      <c r="L3531" s="7" t="n">
        <f aca="false">IF(AND(A3531&lt;&gt;A3530,LEFT(A3531,1)&lt;&gt;"C"),1,0)</f>
        <v>0</v>
      </c>
    </row>
    <row r="3532" customFormat="false" ht="15" hidden="false" customHeight="false" outlineLevel="0" collapsed="false">
      <c r="A3532" s="0" t="s">
        <v>2472</v>
      </c>
      <c r="B3532" s="0" t="s">
        <v>56</v>
      </c>
      <c r="C3532" s="0" t="s">
        <v>57</v>
      </c>
      <c r="D3532" s="0" t="n">
        <v>10</v>
      </c>
      <c r="E3532" s="6" t="n">
        <v>40835.4923611111</v>
      </c>
      <c r="F3532" s="0" t="n">
        <v>1.65</v>
      </c>
      <c r="G3532" s="0" t="n">
        <v>12472</v>
      </c>
      <c r="H3532" s="0" t="s">
        <v>33</v>
      </c>
      <c r="I3532" s="7" t="n">
        <f aca="false">IF(AND(LEFT(A3532,1)&lt;&gt;"C",D3532&gt;0,F3532&gt;0),1,0)</f>
        <v>1</v>
      </c>
      <c r="J3532" s="7" t="n">
        <f aca="false">IF(I3532=1,D3532*F3532,0)</f>
        <v>16.5</v>
      </c>
      <c r="K3532" s="7" t="n">
        <f aca="false">YEAR(E3532)*100+MONTH(E3532)</f>
        <v>201110</v>
      </c>
      <c r="L3532" s="7" t="n">
        <f aca="false">IF(AND(A3532&lt;&gt;A3531,LEFT(A3532,1)&lt;&gt;"C"),1,0)</f>
        <v>0</v>
      </c>
    </row>
    <row r="3533" customFormat="false" ht="15" hidden="false" customHeight="false" outlineLevel="0" collapsed="false">
      <c r="A3533" s="0" t="s">
        <v>2472</v>
      </c>
      <c r="B3533" s="0" t="s">
        <v>74</v>
      </c>
      <c r="C3533" s="0" t="s">
        <v>75</v>
      </c>
      <c r="D3533" s="0" t="n">
        <v>12</v>
      </c>
      <c r="E3533" s="6" t="n">
        <v>40835.4923611111</v>
      </c>
      <c r="F3533" s="0" t="n">
        <v>1.95</v>
      </c>
      <c r="G3533" s="0" t="n">
        <v>12472</v>
      </c>
      <c r="H3533" s="0" t="s">
        <v>33</v>
      </c>
      <c r="I3533" s="7" t="n">
        <f aca="false">IF(AND(LEFT(A3533,1)&lt;&gt;"C",D3533&gt;0,F3533&gt;0),1,0)</f>
        <v>1</v>
      </c>
      <c r="J3533" s="7" t="n">
        <f aca="false">IF(I3533=1,D3533*F3533,0)</f>
        <v>23.4</v>
      </c>
      <c r="K3533" s="7" t="n">
        <f aca="false">YEAR(E3533)*100+MONTH(E3533)</f>
        <v>201110</v>
      </c>
      <c r="L3533" s="7" t="n">
        <f aca="false">IF(AND(A3533&lt;&gt;A3532,LEFT(A3533,1)&lt;&gt;"C"),1,0)</f>
        <v>0</v>
      </c>
    </row>
    <row r="3534" customFormat="false" ht="15" hidden="false" customHeight="false" outlineLevel="0" collapsed="false">
      <c r="A3534" s="0" t="s">
        <v>2472</v>
      </c>
      <c r="B3534" s="0" t="s">
        <v>93</v>
      </c>
      <c r="C3534" s="0" t="s">
        <v>94</v>
      </c>
      <c r="D3534" s="0" t="n">
        <v>4</v>
      </c>
      <c r="E3534" s="6" t="n">
        <v>40835.4923611111</v>
      </c>
      <c r="F3534" s="0" t="n">
        <v>4.15</v>
      </c>
      <c r="G3534" s="0" t="n">
        <v>12472</v>
      </c>
      <c r="H3534" s="0" t="s">
        <v>33</v>
      </c>
      <c r="I3534" s="7" t="n">
        <f aca="false">IF(AND(LEFT(A3534,1)&lt;&gt;"C",D3534&gt;0,F3534&gt;0),1,0)</f>
        <v>1</v>
      </c>
      <c r="J3534" s="7" t="n">
        <f aca="false">IF(I3534=1,D3534*F3534,0)</f>
        <v>16.6</v>
      </c>
      <c r="K3534" s="7" t="n">
        <f aca="false">YEAR(E3534)*100+MONTH(E3534)</f>
        <v>201110</v>
      </c>
      <c r="L3534" s="7" t="n">
        <f aca="false">IF(AND(A3534&lt;&gt;A3533,LEFT(A3534,1)&lt;&gt;"C"),1,0)</f>
        <v>0</v>
      </c>
    </row>
    <row r="3535" customFormat="false" ht="15" hidden="false" customHeight="false" outlineLevel="0" collapsed="false">
      <c r="A3535" s="0" t="s">
        <v>2472</v>
      </c>
      <c r="B3535" s="0" t="s">
        <v>374</v>
      </c>
      <c r="C3535" s="0" t="s">
        <v>375</v>
      </c>
      <c r="D3535" s="0" t="n">
        <v>12</v>
      </c>
      <c r="E3535" s="6" t="n">
        <v>40835.4923611111</v>
      </c>
      <c r="F3535" s="0" t="n">
        <v>1.25</v>
      </c>
      <c r="G3535" s="0" t="n">
        <v>12472</v>
      </c>
      <c r="H3535" s="0" t="s">
        <v>33</v>
      </c>
      <c r="I3535" s="7" t="n">
        <f aca="false">IF(AND(LEFT(A3535,1)&lt;&gt;"C",D3535&gt;0,F3535&gt;0),1,0)</f>
        <v>1</v>
      </c>
      <c r="J3535" s="7" t="n">
        <f aca="false">IF(I3535=1,D3535*F3535,0)</f>
        <v>15</v>
      </c>
      <c r="K3535" s="7" t="n">
        <f aca="false">YEAR(E3535)*100+MONTH(E3535)</f>
        <v>201110</v>
      </c>
      <c r="L3535" s="7" t="n">
        <f aca="false">IF(AND(A3535&lt;&gt;A3534,LEFT(A3535,1)&lt;&gt;"C"),1,0)</f>
        <v>0</v>
      </c>
    </row>
    <row r="3536" customFormat="false" ht="15" hidden="false" customHeight="false" outlineLevel="0" collapsed="false">
      <c r="A3536" s="0" t="s">
        <v>2472</v>
      </c>
      <c r="B3536" s="0" t="s">
        <v>301</v>
      </c>
      <c r="C3536" s="0" t="s">
        <v>302</v>
      </c>
      <c r="D3536" s="0" t="n">
        <v>6</v>
      </c>
      <c r="E3536" s="6" t="n">
        <v>40835.4923611111</v>
      </c>
      <c r="F3536" s="0" t="n">
        <v>2.55</v>
      </c>
      <c r="G3536" s="0" t="n">
        <v>12472</v>
      </c>
      <c r="H3536" s="0" t="s">
        <v>33</v>
      </c>
      <c r="I3536" s="7" t="n">
        <f aca="false">IF(AND(LEFT(A3536,1)&lt;&gt;"C",D3536&gt;0,F3536&gt;0),1,0)</f>
        <v>1</v>
      </c>
      <c r="J3536" s="7" t="n">
        <f aca="false">IF(I3536=1,D3536*F3536,0)</f>
        <v>15.3</v>
      </c>
      <c r="K3536" s="7" t="n">
        <f aca="false">YEAR(E3536)*100+MONTH(E3536)</f>
        <v>201110</v>
      </c>
      <c r="L3536" s="7" t="n">
        <f aca="false">IF(AND(A3536&lt;&gt;A3535,LEFT(A3536,1)&lt;&gt;"C"),1,0)</f>
        <v>0</v>
      </c>
    </row>
    <row r="3537" customFormat="false" ht="15" hidden="false" customHeight="false" outlineLevel="0" collapsed="false">
      <c r="A3537" s="0" t="s">
        <v>2472</v>
      </c>
      <c r="B3537" s="0" t="s">
        <v>625</v>
      </c>
      <c r="C3537" s="0" t="s">
        <v>626</v>
      </c>
      <c r="D3537" s="0" t="n">
        <v>10</v>
      </c>
      <c r="E3537" s="6" t="n">
        <v>40835.4923611111</v>
      </c>
      <c r="F3537" s="0" t="n">
        <v>2.08</v>
      </c>
      <c r="G3537" s="0" t="n">
        <v>12472</v>
      </c>
      <c r="H3537" s="0" t="s">
        <v>33</v>
      </c>
      <c r="I3537" s="7" t="n">
        <f aca="false">IF(AND(LEFT(A3537,1)&lt;&gt;"C",D3537&gt;0,F3537&gt;0),1,0)</f>
        <v>1</v>
      </c>
      <c r="J3537" s="7" t="n">
        <f aca="false">IF(I3537=1,D3537*F3537,0)</f>
        <v>20.8</v>
      </c>
      <c r="K3537" s="7" t="n">
        <f aca="false">YEAR(E3537)*100+MONTH(E3537)</f>
        <v>201110</v>
      </c>
      <c r="L3537" s="7" t="n">
        <f aca="false">IF(AND(A3537&lt;&gt;A3536,LEFT(A3537,1)&lt;&gt;"C"),1,0)</f>
        <v>0</v>
      </c>
    </row>
    <row r="3538" customFormat="false" ht="15" hidden="false" customHeight="false" outlineLevel="0" collapsed="false">
      <c r="A3538" s="0" t="s">
        <v>2472</v>
      </c>
      <c r="B3538" s="0" t="s">
        <v>1804</v>
      </c>
      <c r="C3538" s="0" t="s">
        <v>1805</v>
      </c>
      <c r="D3538" s="0" t="n">
        <v>12</v>
      </c>
      <c r="E3538" s="6" t="n">
        <v>40835.4923611111</v>
      </c>
      <c r="F3538" s="0" t="n">
        <v>0.42</v>
      </c>
      <c r="G3538" s="0" t="n">
        <v>12472</v>
      </c>
      <c r="H3538" s="0" t="s">
        <v>33</v>
      </c>
      <c r="I3538" s="7" t="n">
        <f aca="false">IF(AND(LEFT(A3538,1)&lt;&gt;"C",D3538&gt;0,F3538&gt;0),1,0)</f>
        <v>1</v>
      </c>
      <c r="J3538" s="7" t="n">
        <f aca="false">IF(I3538=1,D3538*F3538,0)</f>
        <v>5.04</v>
      </c>
      <c r="K3538" s="7" t="n">
        <f aca="false">YEAR(E3538)*100+MONTH(E3538)</f>
        <v>201110</v>
      </c>
      <c r="L3538" s="7" t="n">
        <f aca="false">IF(AND(A3538&lt;&gt;A3537,LEFT(A3538,1)&lt;&gt;"C"),1,0)</f>
        <v>0</v>
      </c>
    </row>
    <row r="3539" customFormat="false" ht="15" hidden="false" customHeight="false" outlineLevel="0" collapsed="false">
      <c r="A3539" s="0" t="s">
        <v>2472</v>
      </c>
      <c r="B3539" s="0" t="s">
        <v>418</v>
      </c>
      <c r="C3539" s="0" t="s">
        <v>419</v>
      </c>
      <c r="D3539" s="0" t="n">
        <v>6</v>
      </c>
      <c r="E3539" s="6" t="n">
        <v>40835.4923611111</v>
      </c>
      <c r="F3539" s="0" t="n">
        <v>3.25</v>
      </c>
      <c r="G3539" s="0" t="n">
        <v>12472</v>
      </c>
      <c r="H3539" s="0" t="s">
        <v>33</v>
      </c>
      <c r="I3539" s="7" t="n">
        <f aca="false">IF(AND(LEFT(A3539,1)&lt;&gt;"C",D3539&gt;0,F3539&gt;0),1,0)</f>
        <v>1</v>
      </c>
      <c r="J3539" s="7" t="n">
        <f aca="false">IF(I3539=1,D3539*F3539,0)</f>
        <v>19.5</v>
      </c>
      <c r="K3539" s="7" t="n">
        <f aca="false">YEAR(E3539)*100+MONTH(E3539)</f>
        <v>201110</v>
      </c>
      <c r="L3539" s="7" t="n">
        <f aca="false">IF(AND(A3539&lt;&gt;A3538,LEFT(A3539,1)&lt;&gt;"C"),1,0)</f>
        <v>0</v>
      </c>
    </row>
    <row r="3540" customFormat="false" ht="15" hidden="false" customHeight="false" outlineLevel="0" collapsed="false">
      <c r="A3540" s="0" t="s">
        <v>2472</v>
      </c>
      <c r="B3540" s="0" t="s">
        <v>627</v>
      </c>
      <c r="C3540" s="0" t="s">
        <v>628</v>
      </c>
      <c r="D3540" s="0" t="n">
        <v>10</v>
      </c>
      <c r="E3540" s="6" t="n">
        <v>40835.4923611111</v>
      </c>
      <c r="F3540" s="0" t="n">
        <v>0.85</v>
      </c>
      <c r="G3540" s="0" t="n">
        <v>12472</v>
      </c>
      <c r="H3540" s="0" t="s">
        <v>33</v>
      </c>
      <c r="I3540" s="7" t="n">
        <f aca="false">IF(AND(LEFT(A3540,1)&lt;&gt;"C",D3540&gt;0,F3540&gt;0),1,0)</f>
        <v>1</v>
      </c>
      <c r="J3540" s="7" t="n">
        <f aca="false">IF(I3540=1,D3540*F3540,0)</f>
        <v>8.5</v>
      </c>
      <c r="K3540" s="7" t="n">
        <f aca="false">YEAR(E3540)*100+MONTH(E3540)</f>
        <v>201110</v>
      </c>
      <c r="L3540" s="7" t="n">
        <f aca="false">IF(AND(A3540&lt;&gt;A3539,LEFT(A3540,1)&lt;&gt;"C"),1,0)</f>
        <v>0</v>
      </c>
    </row>
    <row r="3541" customFormat="false" ht="15" hidden="false" customHeight="false" outlineLevel="0" collapsed="false">
      <c r="A3541" s="0" t="s">
        <v>2472</v>
      </c>
      <c r="B3541" s="0" t="s">
        <v>78</v>
      </c>
      <c r="C3541" s="0" t="s">
        <v>79</v>
      </c>
      <c r="D3541" s="0" t="n">
        <v>10</v>
      </c>
      <c r="E3541" s="6" t="n">
        <v>40835.4923611111</v>
      </c>
      <c r="F3541" s="0" t="n">
        <v>1.65</v>
      </c>
      <c r="G3541" s="0" t="n">
        <v>12472</v>
      </c>
      <c r="H3541" s="0" t="s">
        <v>33</v>
      </c>
      <c r="I3541" s="7" t="n">
        <f aca="false">IF(AND(LEFT(A3541,1)&lt;&gt;"C",D3541&gt;0,F3541&gt;0),1,0)</f>
        <v>1</v>
      </c>
      <c r="J3541" s="7" t="n">
        <f aca="false">IF(I3541=1,D3541*F3541,0)</f>
        <v>16.5</v>
      </c>
      <c r="K3541" s="7" t="n">
        <f aca="false">YEAR(E3541)*100+MONTH(E3541)</f>
        <v>201110</v>
      </c>
      <c r="L3541" s="7" t="n">
        <f aca="false">IF(AND(A3541&lt;&gt;A3540,LEFT(A3541,1)&lt;&gt;"C"),1,0)</f>
        <v>0</v>
      </c>
    </row>
    <row r="3542" customFormat="false" ht="15" hidden="false" customHeight="false" outlineLevel="0" collapsed="false">
      <c r="A3542" s="0" t="s">
        <v>2472</v>
      </c>
      <c r="B3542" s="0" t="s">
        <v>181</v>
      </c>
      <c r="C3542" s="0" t="s">
        <v>182</v>
      </c>
      <c r="D3542" s="0" t="n">
        <v>12</v>
      </c>
      <c r="E3542" s="6" t="n">
        <v>40835.4923611111</v>
      </c>
      <c r="F3542" s="0" t="n">
        <v>0.42</v>
      </c>
      <c r="G3542" s="0" t="n">
        <v>12472</v>
      </c>
      <c r="H3542" s="0" t="s">
        <v>33</v>
      </c>
      <c r="I3542" s="7" t="n">
        <f aca="false">IF(AND(LEFT(A3542,1)&lt;&gt;"C",D3542&gt;0,F3542&gt;0),1,0)</f>
        <v>1</v>
      </c>
      <c r="J3542" s="7" t="n">
        <f aca="false">IF(I3542=1,D3542*F3542,0)</f>
        <v>5.04</v>
      </c>
      <c r="K3542" s="7" t="n">
        <f aca="false">YEAR(E3542)*100+MONTH(E3542)</f>
        <v>201110</v>
      </c>
      <c r="L3542" s="7" t="n">
        <f aca="false">IF(AND(A3542&lt;&gt;A3541,LEFT(A3542,1)&lt;&gt;"C"),1,0)</f>
        <v>0</v>
      </c>
    </row>
    <row r="3543" customFormat="false" ht="15" hidden="false" customHeight="false" outlineLevel="0" collapsed="false">
      <c r="A3543" s="0" t="s">
        <v>2472</v>
      </c>
      <c r="B3543" s="0" t="s">
        <v>1728</v>
      </c>
      <c r="C3543" s="0" t="s">
        <v>1729</v>
      </c>
      <c r="D3543" s="0" t="n">
        <v>12</v>
      </c>
      <c r="E3543" s="6" t="n">
        <v>40835.4923611111</v>
      </c>
      <c r="F3543" s="0" t="n">
        <v>1.65</v>
      </c>
      <c r="G3543" s="0" t="n">
        <v>12472</v>
      </c>
      <c r="H3543" s="0" t="s">
        <v>33</v>
      </c>
      <c r="I3543" s="7" t="n">
        <f aca="false">IF(AND(LEFT(A3543,1)&lt;&gt;"C",D3543&gt;0,F3543&gt;0),1,0)</f>
        <v>1</v>
      </c>
      <c r="J3543" s="7" t="n">
        <f aca="false">IF(I3543=1,D3543*F3543,0)</f>
        <v>19.8</v>
      </c>
      <c r="K3543" s="7" t="n">
        <f aca="false">YEAR(E3543)*100+MONTH(E3543)</f>
        <v>201110</v>
      </c>
      <c r="L3543" s="7" t="n">
        <f aca="false">IF(AND(A3543&lt;&gt;A3542,LEFT(A3543,1)&lt;&gt;"C"),1,0)</f>
        <v>0</v>
      </c>
    </row>
    <row r="3544" customFormat="false" ht="15" hidden="false" customHeight="false" outlineLevel="0" collapsed="false">
      <c r="A3544" s="0" t="s">
        <v>2472</v>
      </c>
      <c r="B3544" s="0" t="s">
        <v>2475</v>
      </c>
      <c r="C3544" s="0" t="s">
        <v>2476</v>
      </c>
      <c r="D3544" s="0" t="n">
        <v>25</v>
      </c>
      <c r="E3544" s="6" t="n">
        <v>40835.4923611111</v>
      </c>
      <c r="F3544" s="0" t="n">
        <v>0.42</v>
      </c>
      <c r="G3544" s="0" t="n">
        <v>12472</v>
      </c>
      <c r="H3544" s="0" t="s">
        <v>33</v>
      </c>
      <c r="I3544" s="7" t="n">
        <f aca="false">IF(AND(LEFT(A3544,1)&lt;&gt;"C",D3544&gt;0,F3544&gt;0),1,0)</f>
        <v>1</v>
      </c>
      <c r="J3544" s="7" t="n">
        <f aca="false">IF(I3544=1,D3544*F3544,0)</f>
        <v>10.5</v>
      </c>
      <c r="K3544" s="7" t="n">
        <f aca="false">YEAR(E3544)*100+MONTH(E3544)</f>
        <v>201110</v>
      </c>
      <c r="L3544" s="7" t="n">
        <f aca="false">IF(AND(A3544&lt;&gt;A3543,LEFT(A3544,1)&lt;&gt;"C"),1,0)</f>
        <v>0</v>
      </c>
    </row>
    <row r="3545" customFormat="false" ht="15" hidden="false" customHeight="false" outlineLevel="0" collapsed="false">
      <c r="A3545" s="0" t="s">
        <v>2472</v>
      </c>
      <c r="B3545" s="0" t="s">
        <v>943</v>
      </c>
      <c r="C3545" s="0" t="s">
        <v>944</v>
      </c>
      <c r="D3545" s="0" t="n">
        <v>24</v>
      </c>
      <c r="E3545" s="6" t="n">
        <v>40835.4923611111</v>
      </c>
      <c r="F3545" s="0" t="n">
        <v>1.95</v>
      </c>
      <c r="G3545" s="0" t="n">
        <v>12472</v>
      </c>
      <c r="H3545" s="0" t="s">
        <v>33</v>
      </c>
      <c r="I3545" s="7" t="n">
        <f aca="false">IF(AND(LEFT(A3545,1)&lt;&gt;"C",D3545&gt;0,F3545&gt;0),1,0)</f>
        <v>1</v>
      </c>
      <c r="J3545" s="7" t="n">
        <f aca="false">IF(I3545=1,D3545*F3545,0)</f>
        <v>46.8</v>
      </c>
      <c r="K3545" s="7" t="n">
        <f aca="false">YEAR(E3545)*100+MONTH(E3545)</f>
        <v>201110</v>
      </c>
      <c r="L3545" s="7" t="n">
        <f aca="false">IF(AND(A3545&lt;&gt;A3544,LEFT(A3545,1)&lt;&gt;"C"),1,0)</f>
        <v>0</v>
      </c>
    </row>
    <row r="3546" customFormat="false" ht="15" hidden="false" customHeight="false" outlineLevel="0" collapsed="false">
      <c r="A3546" s="0" t="s">
        <v>2472</v>
      </c>
      <c r="B3546" s="0" t="s">
        <v>2477</v>
      </c>
      <c r="C3546" s="0" t="s">
        <v>2478</v>
      </c>
      <c r="D3546" s="0" t="n">
        <v>10</v>
      </c>
      <c r="E3546" s="6" t="n">
        <v>40835.4923611111</v>
      </c>
      <c r="F3546" s="0" t="n">
        <v>2.1</v>
      </c>
      <c r="G3546" s="0" t="n">
        <v>12472</v>
      </c>
      <c r="H3546" s="0" t="s">
        <v>33</v>
      </c>
      <c r="I3546" s="7" t="n">
        <f aca="false">IF(AND(LEFT(A3546,1)&lt;&gt;"C",D3546&gt;0,F3546&gt;0),1,0)</f>
        <v>1</v>
      </c>
      <c r="J3546" s="7" t="n">
        <f aca="false">IF(I3546=1,D3546*F3546,0)</f>
        <v>21</v>
      </c>
      <c r="K3546" s="7" t="n">
        <f aca="false">YEAR(E3546)*100+MONTH(E3546)</f>
        <v>201110</v>
      </c>
      <c r="L3546" s="7" t="n">
        <f aca="false">IF(AND(A3546&lt;&gt;A3545,LEFT(A3546,1)&lt;&gt;"C"),1,0)</f>
        <v>0</v>
      </c>
    </row>
    <row r="3547" customFormat="false" ht="15" hidden="false" customHeight="false" outlineLevel="0" collapsed="false">
      <c r="A3547" s="0" t="s">
        <v>2472</v>
      </c>
      <c r="B3547" s="0" t="s">
        <v>1159</v>
      </c>
      <c r="C3547" s="0" t="s">
        <v>1160</v>
      </c>
      <c r="D3547" s="0" t="n">
        <v>24</v>
      </c>
      <c r="E3547" s="6" t="n">
        <v>40835.4923611111</v>
      </c>
      <c r="F3547" s="0" t="n">
        <v>0.42</v>
      </c>
      <c r="G3547" s="0" t="n">
        <v>12472</v>
      </c>
      <c r="H3547" s="0" t="s">
        <v>33</v>
      </c>
      <c r="I3547" s="7" t="n">
        <f aca="false">IF(AND(LEFT(A3547,1)&lt;&gt;"C",D3547&gt;0,F3547&gt;0),1,0)</f>
        <v>1</v>
      </c>
      <c r="J3547" s="7" t="n">
        <f aca="false">IF(I3547=1,D3547*F3547,0)</f>
        <v>10.08</v>
      </c>
      <c r="K3547" s="7" t="n">
        <f aca="false">YEAR(E3547)*100+MONTH(E3547)</f>
        <v>201110</v>
      </c>
      <c r="L3547" s="7" t="n">
        <f aca="false">IF(AND(A3547&lt;&gt;A3546,LEFT(A3547,1)&lt;&gt;"C"),1,0)</f>
        <v>0</v>
      </c>
    </row>
    <row r="3548" customFormat="false" ht="15" hidden="false" customHeight="false" outlineLevel="0" collapsed="false">
      <c r="A3548" s="0" t="s">
        <v>2472</v>
      </c>
      <c r="B3548" s="0" t="s">
        <v>125</v>
      </c>
      <c r="C3548" s="0" t="s">
        <v>126</v>
      </c>
      <c r="D3548" s="0" t="n">
        <v>24</v>
      </c>
      <c r="E3548" s="6" t="n">
        <v>40835.4923611111</v>
      </c>
      <c r="F3548" s="0" t="n">
        <v>1.25</v>
      </c>
      <c r="G3548" s="0" t="n">
        <v>12472</v>
      </c>
      <c r="H3548" s="0" t="s">
        <v>33</v>
      </c>
      <c r="I3548" s="7" t="n">
        <f aca="false">IF(AND(LEFT(A3548,1)&lt;&gt;"C",D3548&gt;0,F3548&gt;0),1,0)</f>
        <v>1</v>
      </c>
      <c r="J3548" s="7" t="n">
        <f aca="false">IF(I3548=1,D3548*F3548,0)</f>
        <v>30</v>
      </c>
      <c r="K3548" s="7" t="n">
        <f aca="false">YEAR(E3548)*100+MONTH(E3548)</f>
        <v>201110</v>
      </c>
      <c r="L3548" s="7" t="n">
        <f aca="false">IF(AND(A3548&lt;&gt;A3547,LEFT(A3548,1)&lt;&gt;"C"),1,0)</f>
        <v>0</v>
      </c>
    </row>
    <row r="3549" customFormat="false" ht="15" hidden="false" customHeight="false" outlineLevel="0" collapsed="false">
      <c r="A3549" s="0" t="s">
        <v>2472</v>
      </c>
      <c r="B3549" s="0" t="s">
        <v>1216</v>
      </c>
      <c r="C3549" s="0" t="s">
        <v>1217</v>
      </c>
      <c r="D3549" s="0" t="n">
        <v>8</v>
      </c>
      <c r="E3549" s="6" t="n">
        <v>40835.4923611111</v>
      </c>
      <c r="F3549" s="0" t="n">
        <v>0.85</v>
      </c>
      <c r="G3549" s="0" t="n">
        <v>12472</v>
      </c>
      <c r="H3549" s="0" t="s">
        <v>33</v>
      </c>
      <c r="I3549" s="7" t="n">
        <f aca="false">IF(AND(LEFT(A3549,1)&lt;&gt;"C",D3549&gt;0,F3549&gt;0),1,0)</f>
        <v>1</v>
      </c>
      <c r="J3549" s="7" t="n">
        <f aca="false">IF(I3549=1,D3549*F3549,0)</f>
        <v>6.8</v>
      </c>
      <c r="K3549" s="7" t="n">
        <f aca="false">YEAR(E3549)*100+MONTH(E3549)</f>
        <v>201110</v>
      </c>
      <c r="L3549" s="7" t="n">
        <f aca="false">IF(AND(A3549&lt;&gt;A3548,LEFT(A3549,1)&lt;&gt;"C"),1,0)</f>
        <v>0</v>
      </c>
    </row>
    <row r="3550" customFormat="false" ht="15" hidden="false" customHeight="false" outlineLevel="0" collapsed="false">
      <c r="A3550" s="0" t="s">
        <v>2472</v>
      </c>
      <c r="B3550" s="0" t="s">
        <v>1092</v>
      </c>
      <c r="C3550" s="0" t="s">
        <v>1093</v>
      </c>
      <c r="D3550" s="0" t="n">
        <v>8</v>
      </c>
      <c r="E3550" s="6" t="n">
        <v>40835.4923611111</v>
      </c>
      <c r="F3550" s="0" t="n">
        <v>0.85</v>
      </c>
      <c r="G3550" s="0" t="n">
        <v>12472</v>
      </c>
      <c r="H3550" s="0" t="s">
        <v>33</v>
      </c>
      <c r="I3550" s="7" t="n">
        <f aca="false">IF(AND(LEFT(A3550,1)&lt;&gt;"C",D3550&gt;0,F3550&gt;0),1,0)</f>
        <v>1</v>
      </c>
      <c r="J3550" s="7" t="n">
        <f aca="false">IF(I3550=1,D3550*F3550,0)</f>
        <v>6.8</v>
      </c>
      <c r="K3550" s="7" t="n">
        <f aca="false">YEAR(E3550)*100+MONTH(E3550)</f>
        <v>201110</v>
      </c>
      <c r="L3550" s="7" t="n">
        <f aca="false">IF(AND(A3550&lt;&gt;A3549,LEFT(A3550,1)&lt;&gt;"C"),1,0)</f>
        <v>0</v>
      </c>
    </row>
    <row r="3551" customFormat="false" ht="15" hidden="false" customHeight="false" outlineLevel="0" collapsed="false">
      <c r="A3551" s="0" t="s">
        <v>2472</v>
      </c>
      <c r="B3551" s="0" t="s">
        <v>404</v>
      </c>
      <c r="C3551" s="0" t="s">
        <v>405</v>
      </c>
      <c r="D3551" s="0" t="n">
        <v>12</v>
      </c>
      <c r="E3551" s="6" t="n">
        <v>40835.4923611111</v>
      </c>
      <c r="F3551" s="0" t="n">
        <v>1.65</v>
      </c>
      <c r="G3551" s="0" t="n">
        <v>12472</v>
      </c>
      <c r="H3551" s="0" t="s">
        <v>33</v>
      </c>
      <c r="I3551" s="7" t="n">
        <f aca="false">IF(AND(LEFT(A3551,1)&lt;&gt;"C",D3551&gt;0,F3551&gt;0),1,0)</f>
        <v>1</v>
      </c>
      <c r="J3551" s="7" t="n">
        <f aca="false">IF(I3551=1,D3551*F3551,0)</f>
        <v>19.8</v>
      </c>
      <c r="K3551" s="7" t="n">
        <f aca="false">YEAR(E3551)*100+MONTH(E3551)</f>
        <v>201110</v>
      </c>
      <c r="L3551" s="7" t="n">
        <f aca="false">IF(AND(A3551&lt;&gt;A3550,LEFT(A3551,1)&lt;&gt;"C"),1,0)</f>
        <v>0</v>
      </c>
    </row>
    <row r="3552" customFormat="false" ht="15" hidden="false" customHeight="false" outlineLevel="0" collapsed="false">
      <c r="A3552" s="0" t="s">
        <v>2472</v>
      </c>
      <c r="B3552" s="0" t="s">
        <v>463</v>
      </c>
      <c r="C3552" s="0" t="s">
        <v>464</v>
      </c>
      <c r="D3552" s="0" t="n">
        <v>2</v>
      </c>
      <c r="E3552" s="6" t="n">
        <v>40835.4923611111</v>
      </c>
      <c r="F3552" s="0" t="n">
        <v>7.95</v>
      </c>
      <c r="G3552" s="0" t="n">
        <v>12472</v>
      </c>
      <c r="H3552" s="0" t="s">
        <v>33</v>
      </c>
      <c r="I3552" s="7" t="n">
        <f aca="false">IF(AND(LEFT(A3552,1)&lt;&gt;"C",D3552&gt;0,F3552&gt;0),1,0)</f>
        <v>1</v>
      </c>
      <c r="J3552" s="7" t="n">
        <f aca="false">IF(I3552=1,D3552*F3552,0)</f>
        <v>15.9</v>
      </c>
      <c r="K3552" s="7" t="n">
        <f aca="false">YEAR(E3552)*100+MONTH(E3552)</f>
        <v>201110</v>
      </c>
      <c r="L3552" s="7" t="n">
        <f aca="false">IF(AND(A3552&lt;&gt;A3551,LEFT(A3552,1)&lt;&gt;"C"),1,0)</f>
        <v>0</v>
      </c>
    </row>
    <row r="3553" customFormat="false" ht="15" hidden="false" customHeight="false" outlineLevel="0" collapsed="false">
      <c r="A3553" s="0" t="s">
        <v>2472</v>
      </c>
      <c r="B3553" s="0" t="s">
        <v>133</v>
      </c>
      <c r="C3553" s="0" t="s">
        <v>134</v>
      </c>
      <c r="D3553" s="0" t="n">
        <v>6</v>
      </c>
      <c r="E3553" s="6" t="n">
        <v>40835.4923611111</v>
      </c>
      <c r="F3553" s="0" t="n">
        <v>3.25</v>
      </c>
      <c r="G3553" s="0" t="n">
        <v>12472</v>
      </c>
      <c r="H3553" s="0" t="s">
        <v>33</v>
      </c>
      <c r="I3553" s="7" t="n">
        <f aca="false">IF(AND(LEFT(A3553,1)&lt;&gt;"C",D3553&gt;0,F3553&gt;0),1,0)</f>
        <v>1</v>
      </c>
      <c r="J3553" s="7" t="n">
        <f aca="false">IF(I3553=1,D3553*F3553,0)</f>
        <v>19.5</v>
      </c>
      <c r="K3553" s="7" t="n">
        <f aca="false">YEAR(E3553)*100+MONTH(E3553)</f>
        <v>201110</v>
      </c>
      <c r="L3553" s="7" t="n">
        <f aca="false">IF(AND(A3553&lt;&gt;A3552,LEFT(A3553,1)&lt;&gt;"C"),1,0)</f>
        <v>0</v>
      </c>
    </row>
    <row r="3554" customFormat="false" ht="15" hidden="false" customHeight="false" outlineLevel="0" collapsed="false">
      <c r="A3554" s="0" t="s">
        <v>2472</v>
      </c>
      <c r="B3554" s="0" t="s">
        <v>341</v>
      </c>
      <c r="C3554" s="0" t="s">
        <v>342</v>
      </c>
      <c r="D3554" s="0" t="n">
        <v>12</v>
      </c>
      <c r="E3554" s="6" t="n">
        <v>40835.4923611111</v>
      </c>
      <c r="F3554" s="0" t="n">
        <v>1.45</v>
      </c>
      <c r="G3554" s="0" t="n">
        <v>12472</v>
      </c>
      <c r="H3554" s="0" t="s">
        <v>33</v>
      </c>
      <c r="I3554" s="7" t="n">
        <f aca="false">IF(AND(LEFT(A3554,1)&lt;&gt;"C",D3554&gt;0,F3554&gt;0),1,0)</f>
        <v>1</v>
      </c>
      <c r="J3554" s="7" t="n">
        <f aca="false">IF(I3554=1,D3554*F3554,0)</f>
        <v>17.4</v>
      </c>
      <c r="K3554" s="7" t="n">
        <f aca="false">YEAR(E3554)*100+MONTH(E3554)</f>
        <v>201110</v>
      </c>
      <c r="L3554" s="7" t="n">
        <f aca="false">IF(AND(A3554&lt;&gt;A3553,LEFT(A3554,1)&lt;&gt;"C"),1,0)</f>
        <v>0</v>
      </c>
    </row>
    <row r="3555" customFormat="false" ht="15" hidden="false" customHeight="false" outlineLevel="0" collapsed="false">
      <c r="A3555" s="0" t="s">
        <v>2472</v>
      </c>
      <c r="B3555" s="0" t="s">
        <v>89</v>
      </c>
      <c r="C3555" s="0" t="s">
        <v>90</v>
      </c>
      <c r="D3555" s="0" t="n">
        <v>4</v>
      </c>
      <c r="E3555" s="6" t="n">
        <v>40835.4923611111</v>
      </c>
      <c r="F3555" s="0" t="n">
        <v>4.15</v>
      </c>
      <c r="G3555" s="0" t="n">
        <v>12472</v>
      </c>
      <c r="H3555" s="0" t="s">
        <v>33</v>
      </c>
      <c r="I3555" s="7" t="n">
        <f aca="false">IF(AND(LEFT(A3555,1)&lt;&gt;"C",D3555&gt;0,F3555&gt;0),1,0)</f>
        <v>1</v>
      </c>
      <c r="J3555" s="7" t="n">
        <f aca="false">IF(I3555=1,D3555*F3555,0)</f>
        <v>16.6</v>
      </c>
      <c r="K3555" s="7" t="n">
        <f aca="false">YEAR(E3555)*100+MONTH(E3555)</f>
        <v>201110</v>
      </c>
      <c r="L3555" s="7" t="n">
        <f aca="false">IF(AND(A3555&lt;&gt;A3554,LEFT(A3555,1)&lt;&gt;"C"),1,0)</f>
        <v>0</v>
      </c>
    </row>
    <row r="3556" customFormat="false" ht="15" hidden="false" customHeight="false" outlineLevel="0" collapsed="false">
      <c r="A3556" s="0" t="s">
        <v>2472</v>
      </c>
      <c r="B3556" s="0" t="s">
        <v>1533</v>
      </c>
      <c r="C3556" s="0" t="s">
        <v>1534</v>
      </c>
      <c r="D3556" s="0" t="n">
        <v>12</v>
      </c>
      <c r="E3556" s="6" t="n">
        <v>40835.4923611111</v>
      </c>
      <c r="F3556" s="0" t="n">
        <v>1.25</v>
      </c>
      <c r="G3556" s="0" t="n">
        <v>12472</v>
      </c>
      <c r="H3556" s="0" t="s">
        <v>33</v>
      </c>
      <c r="I3556" s="7" t="n">
        <f aca="false">IF(AND(LEFT(A3556,1)&lt;&gt;"C",D3556&gt;0,F3556&gt;0),1,0)</f>
        <v>1</v>
      </c>
      <c r="J3556" s="7" t="n">
        <f aca="false">IF(I3556=1,D3556*F3556,0)</f>
        <v>15</v>
      </c>
      <c r="K3556" s="7" t="n">
        <f aca="false">YEAR(E3556)*100+MONTH(E3556)</f>
        <v>201110</v>
      </c>
      <c r="L3556" s="7" t="n">
        <f aca="false">IF(AND(A3556&lt;&gt;A3555,LEFT(A3556,1)&lt;&gt;"C"),1,0)</f>
        <v>0</v>
      </c>
    </row>
    <row r="3557" customFormat="false" ht="15" hidden="false" customHeight="false" outlineLevel="0" collapsed="false">
      <c r="A3557" s="0" t="s">
        <v>2472</v>
      </c>
      <c r="B3557" s="0" t="s">
        <v>1583</v>
      </c>
      <c r="C3557" s="0" t="s">
        <v>1584</v>
      </c>
      <c r="D3557" s="0" t="n">
        <v>24</v>
      </c>
      <c r="E3557" s="6" t="n">
        <v>40835.4923611111</v>
      </c>
      <c r="F3557" s="0" t="n">
        <v>2.1</v>
      </c>
      <c r="G3557" s="0" t="n">
        <v>12472</v>
      </c>
      <c r="H3557" s="0" t="s">
        <v>33</v>
      </c>
      <c r="I3557" s="7" t="n">
        <f aca="false">IF(AND(LEFT(A3557,1)&lt;&gt;"C",D3557&gt;0,F3557&gt;0),1,0)</f>
        <v>1</v>
      </c>
      <c r="J3557" s="7" t="n">
        <f aca="false">IF(I3557=1,D3557*F3557,0)</f>
        <v>50.4</v>
      </c>
      <c r="K3557" s="7" t="n">
        <f aca="false">YEAR(E3557)*100+MONTH(E3557)</f>
        <v>201110</v>
      </c>
      <c r="L3557" s="7" t="n">
        <f aca="false">IF(AND(A3557&lt;&gt;A3556,LEFT(A3557,1)&lt;&gt;"C"),1,0)</f>
        <v>0</v>
      </c>
    </row>
    <row r="3558" customFormat="false" ht="15" hidden="false" customHeight="false" outlineLevel="0" collapsed="false">
      <c r="A3558" s="0" t="s">
        <v>2472</v>
      </c>
      <c r="B3558" s="0" t="s">
        <v>1416</v>
      </c>
      <c r="C3558" s="0" t="s">
        <v>1417</v>
      </c>
      <c r="D3558" s="0" t="n">
        <v>12</v>
      </c>
      <c r="E3558" s="6" t="n">
        <v>40835.4923611111</v>
      </c>
      <c r="F3558" s="0" t="n">
        <v>1.45</v>
      </c>
      <c r="G3558" s="0" t="n">
        <v>12472</v>
      </c>
      <c r="H3558" s="0" t="s">
        <v>33</v>
      </c>
      <c r="I3558" s="7" t="n">
        <f aca="false">IF(AND(LEFT(A3558,1)&lt;&gt;"C",D3558&gt;0,F3558&gt;0),1,0)</f>
        <v>1</v>
      </c>
      <c r="J3558" s="7" t="n">
        <f aca="false">IF(I3558=1,D3558*F3558,0)</f>
        <v>17.4</v>
      </c>
      <c r="K3558" s="7" t="n">
        <f aca="false">YEAR(E3558)*100+MONTH(E3558)</f>
        <v>201110</v>
      </c>
      <c r="L3558" s="7" t="n">
        <f aca="false">IF(AND(A3558&lt;&gt;A3557,LEFT(A3558,1)&lt;&gt;"C"),1,0)</f>
        <v>0</v>
      </c>
    </row>
    <row r="3559" customFormat="false" ht="15" hidden="false" customHeight="false" outlineLevel="0" collapsed="false">
      <c r="A3559" s="0" t="s">
        <v>2472</v>
      </c>
      <c r="B3559" s="0" t="s">
        <v>2399</v>
      </c>
      <c r="C3559" s="0" t="s">
        <v>2400</v>
      </c>
      <c r="D3559" s="0" t="n">
        <v>12</v>
      </c>
      <c r="E3559" s="6" t="n">
        <v>40835.4923611111</v>
      </c>
      <c r="F3559" s="0" t="n">
        <v>1.45</v>
      </c>
      <c r="G3559" s="0" t="n">
        <v>12472</v>
      </c>
      <c r="H3559" s="0" t="s">
        <v>33</v>
      </c>
      <c r="I3559" s="7" t="n">
        <f aca="false">IF(AND(LEFT(A3559,1)&lt;&gt;"C",D3559&gt;0,F3559&gt;0),1,0)</f>
        <v>1</v>
      </c>
      <c r="J3559" s="7" t="n">
        <f aca="false">IF(I3559=1,D3559*F3559,0)</f>
        <v>17.4</v>
      </c>
      <c r="K3559" s="7" t="n">
        <f aca="false">YEAR(E3559)*100+MONTH(E3559)</f>
        <v>201110</v>
      </c>
      <c r="L3559" s="7" t="n">
        <f aca="false">IF(AND(A3559&lt;&gt;A3558,LEFT(A3559,1)&lt;&gt;"C"),1,0)</f>
        <v>0</v>
      </c>
    </row>
    <row r="3560" customFormat="false" ht="15" hidden="false" customHeight="false" outlineLevel="0" collapsed="false">
      <c r="A3560" s="0" t="s">
        <v>2472</v>
      </c>
      <c r="B3560" s="0" t="s">
        <v>2271</v>
      </c>
      <c r="C3560" s="0" t="s">
        <v>2272</v>
      </c>
      <c r="D3560" s="0" t="n">
        <v>12</v>
      </c>
      <c r="E3560" s="6" t="n">
        <v>40835.4923611111</v>
      </c>
      <c r="F3560" s="0" t="n">
        <v>1.45</v>
      </c>
      <c r="G3560" s="0" t="n">
        <v>12472</v>
      </c>
      <c r="H3560" s="0" t="s">
        <v>33</v>
      </c>
      <c r="I3560" s="7" t="n">
        <f aca="false">IF(AND(LEFT(A3560,1)&lt;&gt;"C",D3560&gt;0,F3560&gt;0),1,0)</f>
        <v>1</v>
      </c>
      <c r="J3560" s="7" t="n">
        <f aca="false">IF(I3560=1,D3560*F3560,0)</f>
        <v>17.4</v>
      </c>
      <c r="K3560" s="7" t="n">
        <f aca="false">YEAR(E3560)*100+MONTH(E3560)</f>
        <v>201110</v>
      </c>
      <c r="L3560" s="7" t="n">
        <f aca="false">IF(AND(A3560&lt;&gt;A3559,LEFT(A3560,1)&lt;&gt;"C"),1,0)</f>
        <v>0</v>
      </c>
    </row>
    <row r="3561" customFormat="false" ht="15" hidden="false" customHeight="false" outlineLevel="0" collapsed="false">
      <c r="A3561" s="0" t="s">
        <v>2472</v>
      </c>
      <c r="B3561" s="0" t="s">
        <v>2479</v>
      </c>
      <c r="C3561" s="0" t="s">
        <v>2480</v>
      </c>
      <c r="D3561" s="0" t="n">
        <v>24</v>
      </c>
      <c r="E3561" s="6" t="n">
        <v>40835.4923611111</v>
      </c>
      <c r="F3561" s="0" t="n">
        <v>0.42</v>
      </c>
      <c r="G3561" s="0" t="n">
        <v>12472</v>
      </c>
      <c r="H3561" s="0" t="s">
        <v>33</v>
      </c>
      <c r="I3561" s="7" t="n">
        <f aca="false">IF(AND(LEFT(A3561,1)&lt;&gt;"C",D3561&gt;0,F3561&gt;0),1,0)</f>
        <v>1</v>
      </c>
      <c r="J3561" s="7" t="n">
        <f aca="false">IF(I3561=1,D3561*F3561,0)</f>
        <v>10.08</v>
      </c>
      <c r="K3561" s="7" t="n">
        <f aca="false">YEAR(E3561)*100+MONTH(E3561)</f>
        <v>201110</v>
      </c>
      <c r="L3561" s="7" t="n">
        <f aca="false">IF(AND(A3561&lt;&gt;A3560,LEFT(A3561,1)&lt;&gt;"C"),1,0)</f>
        <v>0</v>
      </c>
    </row>
    <row r="3562" customFormat="false" ht="15" hidden="false" customHeight="false" outlineLevel="0" collapsed="false">
      <c r="A3562" s="0" t="s">
        <v>2472</v>
      </c>
      <c r="B3562" s="0" t="s">
        <v>2481</v>
      </c>
      <c r="C3562" s="0" t="s">
        <v>2482</v>
      </c>
      <c r="D3562" s="0" t="n">
        <v>12</v>
      </c>
      <c r="E3562" s="6" t="n">
        <v>40835.4923611111</v>
      </c>
      <c r="F3562" s="0" t="n">
        <v>0.42</v>
      </c>
      <c r="G3562" s="0" t="n">
        <v>12472</v>
      </c>
      <c r="H3562" s="0" t="s">
        <v>33</v>
      </c>
      <c r="I3562" s="7" t="n">
        <f aca="false">IF(AND(LEFT(A3562,1)&lt;&gt;"C",D3562&gt;0,F3562&gt;0),1,0)</f>
        <v>1</v>
      </c>
      <c r="J3562" s="7" t="n">
        <f aca="false">IF(I3562=1,D3562*F3562,0)</f>
        <v>5.04</v>
      </c>
      <c r="K3562" s="7" t="n">
        <f aca="false">YEAR(E3562)*100+MONTH(E3562)</f>
        <v>201110</v>
      </c>
      <c r="L3562" s="7" t="n">
        <f aca="false">IF(AND(A3562&lt;&gt;A3561,LEFT(A3562,1)&lt;&gt;"C"),1,0)</f>
        <v>0</v>
      </c>
    </row>
    <row r="3563" customFormat="false" ht="15" hidden="false" customHeight="false" outlineLevel="0" collapsed="false">
      <c r="A3563" s="0" t="s">
        <v>2472</v>
      </c>
      <c r="B3563" s="0" t="s">
        <v>747</v>
      </c>
      <c r="C3563" s="0" t="s">
        <v>748</v>
      </c>
      <c r="D3563" s="0" t="n">
        <v>12</v>
      </c>
      <c r="E3563" s="6" t="n">
        <v>40835.4923611111</v>
      </c>
      <c r="F3563" s="0" t="n">
        <v>0.42</v>
      </c>
      <c r="G3563" s="0" t="n">
        <v>12472</v>
      </c>
      <c r="H3563" s="0" t="s">
        <v>33</v>
      </c>
      <c r="I3563" s="7" t="n">
        <f aca="false">IF(AND(LEFT(A3563,1)&lt;&gt;"C",D3563&gt;0,F3563&gt;0),1,0)</f>
        <v>1</v>
      </c>
      <c r="J3563" s="7" t="n">
        <f aca="false">IF(I3563=1,D3563*F3563,0)</f>
        <v>5.04</v>
      </c>
      <c r="K3563" s="7" t="n">
        <f aca="false">YEAR(E3563)*100+MONTH(E3563)</f>
        <v>201110</v>
      </c>
      <c r="L3563" s="7" t="n">
        <f aca="false">IF(AND(A3563&lt;&gt;A3562,LEFT(A3563,1)&lt;&gt;"C"),1,0)</f>
        <v>0</v>
      </c>
    </row>
    <row r="3564" customFormat="false" ht="15" hidden="false" customHeight="false" outlineLevel="0" collapsed="false">
      <c r="A3564" s="0" t="s">
        <v>2472</v>
      </c>
      <c r="B3564" s="0" t="s">
        <v>2483</v>
      </c>
      <c r="C3564" s="0" t="s">
        <v>2484</v>
      </c>
      <c r="D3564" s="0" t="n">
        <v>25</v>
      </c>
      <c r="E3564" s="6" t="n">
        <v>40835.4923611111</v>
      </c>
      <c r="F3564" s="0" t="n">
        <v>0.42</v>
      </c>
      <c r="G3564" s="0" t="n">
        <v>12472</v>
      </c>
      <c r="H3564" s="0" t="s">
        <v>33</v>
      </c>
      <c r="I3564" s="7" t="n">
        <f aca="false">IF(AND(LEFT(A3564,1)&lt;&gt;"C",D3564&gt;0,F3564&gt;0),1,0)</f>
        <v>1</v>
      </c>
      <c r="J3564" s="7" t="n">
        <f aca="false">IF(I3564=1,D3564*F3564,0)</f>
        <v>10.5</v>
      </c>
      <c r="K3564" s="7" t="n">
        <f aca="false">YEAR(E3564)*100+MONTH(E3564)</f>
        <v>201110</v>
      </c>
      <c r="L3564" s="7" t="n">
        <f aca="false">IF(AND(A3564&lt;&gt;A3563,LEFT(A3564,1)&lt;&gt;"C"),1,0)</f>
        <v>0</v>
      </c>
    </row>
    <row r="3565" customFormat="false" ht="15" hidden="false" customHeight="false" outlineLevel="0" collapsed="false">
      <c r="A3565" s="0" t="s">
        <v>2472</v>
      </c>
      <c r="B3565" s="0" t="s">
        <v>1238</v>
      </c>
      <c r="C3565" s="0" t="s">
        <v>1239</v>
      </c>
      <c r="D3565" s="0" t="n">
        <v>25</v>
      </c>
      <c r="E3565" s="6" t="n">
        <v>40835.4923611111</v>
      </c>
      <c r="F3565" s="0" t="n">
        <v>0.42</v>
      </c>
      <c r="G3565" s="0" t="n">
        <v>12472</v>
      </c>
      <c r="H3565" s="0" t="s">
        <v>33</v>
      </c>
      <c r="I3565" s="7" t="n">
        <f aca="false">IF(AND(LEFT(A3565,1)&lt;&gt;"C",D3565&gt;0,F3565&gt;0),1,0)</f>
        <v>1</v>
      </c>
      <c r="J3565" s="7" t="n">
        <f aca="false">IF(I3565=1,D3565*F3565,0)</f>
        <v>10.5</v>
      </c>
      <c r="K3565" s="7" t="n">
        <f aca="false">YEAR(E3565)*100+MONTH(E3565)</f>
        <v>201110</v>
      </c>
      <c r="L3565" s="7" t="n">
        <f aca="false">IF(AND(A3565&lt;&gt;A3564,LEFT(A3565,1)&lt;&gt;"C"),1,0)</f>
        <v>0</v>
      </c>
    </row>
    <row r="3566" customFormat="false" ht="15" hidden="false" customHeight="false" outlineLevel="0" collapsed="false">
      <c r="A3566" s="0" t="s">
        <v>2472</v>
      </c>
      <c r="B3566" s="0" t="s">
        <v>1162</v>
      </c>
      <c r="C3566" s="0" t="s">
        <v>1163</v>
      </c>
      <c r="D3566" s="0" t="n">
        <v>25</v>
      </c>
      <c r="E3566" s="6" t="n">
        <v>40835.4923611111</v>
      </c>
      <c r="F3566" s="0" t="n">
        <v>0.42</v>
      </c>
      <c r="G3566" s="0" t="n">
        <v>12472</v>
      </c>
      <c r="H3566" s="0" t="s">
        <v>33</v>
      </c>
      <c r="I3566" s="7" t="n">
        <f aca="false">IF(AND(LEFT(A3566,1)&lt;&gt;"C",D3566&gt;0,F3566&gt;0),1,0)</f>
        <v>1</v>
      </c>
      <c r="J3566" s="7" t="n">
        <f aca="false">IF(I3566=1,D3566*F3566,0)</f>
        <v>10.5</v>
      </c>
      <c r="K3566" s="7" t="n">
        <f aca="false">YEAR(E3566)*100+MONTH(E3566)</f>
        <v>201110</v>
      </c>
      <c r="L3566" s="7" t="n">
        <f aca="false">IF(AND(A3566&lt;&gt;A3565,LEFT(A3566,1)&lt;&gt;"C"),1,0)</f>
        <v>0</v>
      </c>
    </row>
    <row r="3567" customFormat="false" ht="15" hidden="false" customHeight="false" outlineLevel="0" collapsed="false">
      <c r="A3567" s="0" t="s">
        <v>2472</v>
      </c>
      <c r="B3567" s="0" t="s">
        <v>2485</v>
      </c>
      <c r="C3567" s="0" t="s">
        <v>2486</v>
      </c>
      <c r="D3567" s="0" t="n">
        <v>25</v>
      </c>
      <c r="E3567" s="6" t="n">
        <v>40835.4923611111</v>
      </c>
      <c r="F3567" s="0" t="n">
        <v>0.42</v>
      </c>
      <c r="G3567" s="0" t="n">
        <v>12472</v>
      </c>
      <c r="H3567" s="0" t="s">
        <v>33</v>
      </c>
      <c r="I3567" s="7" t="n">
        <f aca="false">IF(AND(LEFT(A3567,1)&lt;&gt;"C",D3567&gt;0,F3567&gt;0),1,0)</f>
        <v>1</v>
      </c>
      <c r="J3567" s="7" t="n">
        <f aca="false">IF(I3567=1,D3567*F3567,0)</f>
        <v>10.5</v>
      </c>
      <c r="K3567" s="7" t="n">
        <f aca="false">YEAR(E3567)*100+MONTH(E3567)</f>
        <v>201110</v>
      </c>
      <c r="L3567" s="7" t="n">
        <f aca="false">IF(AND(A3567&lt;&gt;A3566,LEFT(A3567,1)&lt;&gt;"C"),1,0)</f>
        <v>0</v>
      </c>
    </row>
    <row r="3568" customFormat="false" ht="15" hidden="false" customHeight="false" outlineLevel="0" collapsed="false">
      <c r="A3568" s="0" t="s">
        <v>2472</v>
      </c>
      <c r="B3568" s="0" t="s">
        <v>64</v>
      </c>
      <c r="C3568" s="0" t="s">
        <v>65</v>
      </c>
      <c r="D3568" s="0" t="n">
        <v>24</v>
      </c>
      <c r="E3568" s="6" t="n">
        <v>40835.4923611111</v>
      </c>
      <c r="F3568" s="0" t="n">
        <v>1.65</v>
      </c>
      <c r="G3568" s="0" t="n">
        <v>12472</v>
      </c>
      <c r="H3568" s="0" t="s">
        <v>33</v>
      </c>
      <c r="I3568" s="7" t="n">
        <f aca="false">IF(AND(LEFT(A3568,1)&lt;&gt;"C",D3568&gt;0,F3568&gt;0),1,0)</f>
        <v>1</v>
      </c>
      <c r="J3568" s="7" t="n">
        <f aca="false">IF(I3568=1,D3568*F3568,0)</f>
        <v>39.6</v>
      </c>
      <c r="K3568" s="7" t="n">
        <f aca="false">YEAR(E3568)*100+MONTH(E3568)</f>
        <v>201110</v>
      </c>
      <c r="L3568" s="7" t="n">
        <f aca="false">IF(AND(A3568&lt;&gt;A3567,LEFT(A3568,1)&lt;&gt;"C"),1,0)</f>
        <v>0</v>
      </c>
    </row>
    <row r="3569" customFormat="false" ht="15" hidden="false" customHeight="false" outlineLevel="0" collapsed="false">
      <c r="A3569" s="0" t="s">
        <v>2472</v>
      </c>
      <c r="B3569" s="0" t="s">
        <v>107</v>
      </c>
      <c r="C3569" s="0" t="s">
        <v>108</v>
      </c>
      <c r="D3569" s="0" t="n">
        <v>36</v>
      </c>
      <c r="E3569" s="6" t="n">
        <v>40835.4923611111</v>
      </c>
      <c r="F3569" s="0" t="n">
        <v>2.1</v>
      </c>
      <c r="G3569" s="0" t="n">
        <v>12472</v>
      </c>
      <c r="H3569" s="0" t="s">
        <v>33</v>
      </c>
      <c r="I3569" s="7" t="n">
        <f aca="false">IF(AND(LEFT(A3569,1)&lt;&gt;"C",D3569&gt;0,F3569&gt;0),1,0)</f>
        <v>1</v>
      </c>
      <c r="J3569" s="7" t="n">
        <f aca="false">IF(I3569=1,D3569*F3569,0)</f>
        <v>75.6</v>
      </c>
      <c r="K3569" s="7" t="n">
        <f aca="false">YEAR(E3569)*100+MONTH(E3569)</f>
        <v>201110</v>
      </c>
      <c r="L3569" s="7" t="n">
        <f aca="false">IF(AND(A3569&lt;&gt;A3568,LEFT(A3569,1)&lt;&gt;"C"),1,0)</f>
        <v>0</v>
      </c>
    </row>
    <row r="3570" customFormat="false" ht="15" hidden="false" customHeight="false" outlineLevel="0" collapsed="false">
      <c r="A3570" s="0" t="s">
        <v>2472</v>
      </c>
      <c r="B3570" s="0" t="s">
        <v>610</v>
      </c>
      <c r="C3570" s="0" t="s">
        <v>611</v>
      </c>
      <c r="D3570" s="0" t="n">
        <v>6</v>
      </c>
      <c r="E3570" s="6" t="n">
        <v>40835.4923611111</v>
      </c>
      <c r="F3570" s="0" t="n">
        <v>2.95</v>
      </c>
      <c r="G3570" s="0" t="n">
        <v>12472</v>
      </c>
      <c r="H3570" s="0" t="s">
        <v>33</v>
      </c>
      <c r="I3570" s="7" t="n">
        <f aca="false">IF(AND(LEFT(A3570,1)&lt;&gt;"C",D3570&gt;0,F3570&gt;0),1,0)</f>
        <v>1</v>
      </c>
      <c r="J3570" s="7" t="n">
        <f aca="false">IF(I3570=1,D3570*F3570,0)</f>
        <v>17.7</v>
      </c>
      <c r="K3570" s="7" t="n">
        <f aca="false">YEAR(E3570)*100+MONTH(E3570)</f>
        <v>201110</v>
      </c>
      <c r="L3570" s="7" t="n">
        <f aca="false">IF(AND(A3570&lt;&gt;A3569,LEFT(A3570,1)&lt;&gt;"C"),1,0)</f>
        <v>0</v>
      </c>
    </row>
    <row r="3571" customFormat="false" ht="15" hidden="false" customHeight="false" outlineLevel="0" collapsed="false">
      <c r="A3571" s="0" t="s">
        <v>2472</v>
      </c>
      <c r="B3571" s="0" t="s">
        <v>2042</v>
      </c>
      <c r="C3571" s="0" t="s">
        <v>2043</v>
      </c>
      <c r="D3571" s="0" t="n">
        <v>12</v>
      </c>
      <c r="E3571" s="6" t="n">
        <v>40835.4923611111</v>
      </c>
      <c r="F3571" s="0" t="n">
        <v>0.85</v>
      </c>
      <c r="G3571" s="0" t="n">
        <v>12472</v>
      </c>
      <c r="H3571" s="0" t="s">
        <v>33</v>
      </c>
      <c r="I3571" s="7" t="n">
        <f aca="false">IF(AND(LEFT(A3571,1)&lt;&gt;"C",D3571&gt;0,F3571&gt;0),1,0)</f>
        <v>1</v>
      </c>
      <c r="J3571" s="7" t="n">
        <f aca="false">IF(I3571=1,D3571*F3571,0)</f>
        <v>10.2</v>
      </c>
      <c r="K3571" s="7" t="n">
        <f aca="false">YEAR(E3571)*100+MONTH(E3571)</f>
        <v>201110</v>
      </c>
      <c r="L3571" s="7" t="n">
        <f aca="false">IF(AND(A3571&lt;&gt;A3570,LEFT(A3571,1)&lt;&gt;"C"),1,0)</f>
        <v>0</v>
      </c>
    </row>
    <row r="3572" customFormat="false" ht="15" hidden="false" customHeight="false" outlineLevel="0" collapsed="false">
      <c r="A3572" s="0" t="s">
        <v>2472</v>
      </c>
      <c r="B3572" s="0" t="s">
        <v>412</v>
      </c>
      <c r="C3572" s="0" t="s">
        <v>413</v>
      </c>
      <c r="D3572" s="0" t="n">
        <v>12</v>
      </c>
      <c r="E3572" s="6" t="n">
        <v>40835.4923611111</v>
      </c>
      <c r="F3572" s="0" t="n">
        <v>1.25</v>
      </c>
      <c r="G3572" s="0" t="n">
        <v>12472</v>
      </c>
      <c r="H3572" s="0" t="s">
        <v>33</v>
      </c>
      <c r="I3572" s="7" t="n">
        <f aca="false">IF(AND(LEFT(A3572,1)&lt;&gt;"C",D3572&gt;0,F3572&gt;0),1,0)</f>
        <v>1</v>
      </c>
      <c r="J3572" s="7" t="n">
        <f aca="false">IF(I3572=1,D3572*F3572,0)</f>
        <v>15</v>
      </c>
      <c r="K3572" s="7" t="n">
        <f aca="false">YEAR(E3572)*100+MONTH(E3572)</f>
        <v>201110</v>
      </c>
      <c r="L3572" s="7" t="n">
        <f aca="false">IF(AND(A3572&lt;&gt;A3571,LEFT(A3572,1)&lt;&gt;"C"),1,0)</f>
        <v>0</v>
      </c>
    </row>
    <row r="3573" customFormat="false" ht="15" hidden="false" customHeight="false" outlineLevel="0" collapsed="false">
      <c r="A3573" s="0" t="s">
        <v>2472</v>
      </c>
      <c r="B3573" s="0" t="s">
        <v>1065</v>
      </c>
      <c r="C3573" s="0" t="s">
        <v>1066</v>
      </c>
      <c r="D3573" s="0" t="n">
        <v>6</v>
      </c>
      <c r="E3573" s="6" t="n">
        <v>40835.4923611111</v>
      </c>
      <c r="F3573" s="0" t="n">
        <v>2.08</v>
      </c>
      <c r="G3573" s="0" t="n">
        <v>12472</v>
      </c>
      <c r="H3573" s="0" t="s">
        <v>33</v>
      </c>
      <c r="I3573" s="7" t="n">
        <f aca="false">IF(AND(LEFT(A3573,1)&lt;&gt;"C",D3573&gt;0,F3573&gt;0),1,0)</f>
        <v>1</v>
      </c>
      <c r="J3573" s="7" t="n">
        <f aca="false">IF(I3573=1,D3573*F3573,0)</f>
        <v>12.48</v>
      </c>
      <c r="K3573" s="7" t="n">
        <f aca="false">YEAR(E3573)*100+MONTH(E3573)</f>
        <v>201110</v>
      </c>
      <c r="L3573" s="7" t="n">
        <f aca="false">IF(AND(A3573&lt;&gt;A3572,LEFT(A3573,1)&lt;&gt;"C"),1,0)</f>
        <v>0</v>
      </c>
    </row>
    <row r="3574" customFormat="false" ht="15" hidden="false" customHeight="false" outlineLevel="0" collapsed="false">
      <c r="A3574" s="0" t="s">
        <v>2472</v>
      </c>
      <c r="B3574" s="0" t="s">
        <v>398</v>
      </c>
      <c r="C3574" s="0" t="s">
        <v>399</v>
      </c>
      <c r="D3574" s="0" t="n">
        <v>12</v>
      </c>
      <c r="E3574" s="6" t="n">
        <v>40835.4923611111</v>
      </c>
      <c r="F3574" s="0" t="n">
        <v>1.25</v>
      </c>
      <c r="G3574" s="0" t="n">
        <v>12472</v>
      </c>
      <c r="H3574" s="0" t="s">
        <v>33</v>
      </c>
      <c r="I3574" s="7" t="n">
        <f aca="false">IF(AND(LEFT(A3574,1)&lt;&gt;"C",D3574&gt;0,F3574&gt;0),1,0)</f>
        <v>1</v>
      </c>
      <c r="J3574" s="7" t="n">
        <f aca="false">IF(I3574=1,D3574*F3574,0)</f>
        <v>15</v>
      </c>
      <c r="K3574" s="7" t="n">
        <f aca="false">YEAR(E3574)*100+MONTH(E3574)</f>
        <v>201110</v>
      </c>
      <c r="L3574" s="7" t="n">
        <f aca="false">IF(AND(A3574&lt;&gt;A3573,LEFT(A3574,1)&lt;&gt;"C"),1,0)</f>
        <v>0</v>
      </c>
    </row>
    <row r="3575" customFormat="false" ht="15" hidden="false" customHeight="false" outlineLevel="0" collapsed="false">
      <c r="A3575" s="0" t="s">
        <v>2472</v>
      </c>
      <c r="B3575" s="0" t="s">
        <v>471</v>
      </c>
      <c r="C3575" s="0" t="s">
        <v>472</v>
      </c>
      <c r="D3575" s="0" t="n">
        <v>12</v>
      </c>
      <c r="E3575" s="6" t="n">
        <v>40835.4923611111</v>
      </c>
      <c r="F3575" s="0" t="n">
        <v>1.65</v>
      </c>
      <c r="G3575" s="0" t="n">
        <v>12472</v>
      </c>
      <c r="H3575" s="0" t="s">
        <v>33</v>
      </c>
      <c r="I3575" s="7" t="n">
        <f aca="false">IF(AND(LEFT(A3575,1)&lt;&gt;"C",D3575&gt;0,F3575&gt;0),1,0)</f>
        <v>1</v>
      </c>
      <c r="J3575" s="7" t="n">
        <f aca="false">IF(I3575=1,D3575*F3575,0)</f>
        <v>19.8</v>
      </c>
      <c r="K3575" s="7" t="n">
        <f aca="false">YEAR(E3575)*100+MONTH(E3575)</f>
        <v>201110</v>
      </c>
      <c r="L3575" s="7" t="n">
        <f aca="false">IF(AND(A3575&lt;&gt;A3574,LEFT(A3575,1)&lt;&gt;"C"),1,0)</f>
        <v>0</v>
      </c>
    </row>
    <row r="3576" customFormat="false" ht="15" hidden="false" customHeight="false" outlineLevel="0" collapsed="false">
      <c r="A3576" s="0" t="s">
        <v>2472</v>
      </c>
      <c r="B3576" s="0" t="s">
        <v>482</v>
      </c>
      <c r="C3576" s="0" t="s">
        <v>483</v>
      </c>
      <c r="D3576" s="0" t="n">
        <v>12</v>
      </c>
      <c r="E3576" s="6" t="n">
        <v>40835.4923611111</v>
      </c>
      <c r="F3576" s="0" t="n">
        <v>1.25</v>
      </c>
      <c r="G3576" s="0" t="n">
        <v>12472</v>
      </c>
      <c r="H3576" s="0" t="s">
        <v>33</v>
      </c>
      <c r="I3576" s="7" t="n">
        <f aca="false">IF(AND(LEFT(A3576,1)&lt;&gt;"C",D3576&gt;0,F3576&gt;0),1,0)</f>
        <v>1</v>
      </c>
      <c r="J3576" s="7" t="n">
        <f aca="false">IF(I3576=1,D3576*F3576,0)</f>
        <v>15</v>
      </c>
      <c r="K3576" s="7" t="n">
        <f aca="false">YEAR(E3576)*100+MONTH(E3576)</f>
        <v>201110</v>
      </c>
      <c r="L3576" s="7" t="n">
        <f aca="false">IF(AND(A3576&lt;&gt;A3575,LEFT(A3576,1)&lt;&gt;"C"),1,0)</f>
        <v>0</v>
      </c>
    </row>
    <row r="3577" customFormat="false" ht="15" hidden="false" customHeight="false" outlineLevel="0" collapsed="false">
      <c r="A3577" s="0" t="s">
        <v>2472</v>
      </c>
      <c r="B3577" s="0" t="s">
        <v>962</v>
      </c>
      <c r="C3577" s="0" t="s">
        <v>963</v>
      </c>
      <c r="D3577" s="0" t="n">
        <v>8</v>
      </c>
      <c r="E3577" s="6" t="n">
        <v>40835.4923611111</v>
      </c>
      <c r="F3577" s="0" t="n">
        <v>0.85</v>
      </c>
      <c r="G3577" s="0" t="n">
        <v>12472</v>
      </c>
      <c r="H3577" s="0" t="s">
        <v>33</v>
      </c>
      <c r="I3577" s="7" t="n">
        <f aca="false">IF(AND(LEFT(A3577,1)&lt;&gt;"C",D3577&gt;0,F3577&gt;0),1,0)</f>
        <v>1</v>
      </c>
      <c r="J3577" s="7" t="n">
        <f aca="false">IF(I3577=1,D3577*F3577,0)</f>
        <v>6.8</v>
      </c>
      <c r="K3577" s="7" t="n">
        <f aca="false">YEAR(E3577)*100+MONTH(E3577)</f>
        <v>201110</v>
      </c>
      <c r="L3577" s="7" t="n">
        <f aca="false">IF(AND(A3577&lt;&gt;A3576,LEFT(A3577,1)&lt;&gt;"C"),1,0)</f>
        <v>0</v>
      </c>
    </row>
    <row r="3578" customFormat="false" ht="15" hidden="false" customHeight="false" outlineLevel="0" collapsed="false">
      <c r="A3578" s="0" t="s">
        <v>2472</v>
      </c>
      <c r="B3578" s="0" t="s">
        <v>719</v>
      </c>
      <c r="C3578" s="0" t="s">
        <v>720</v>
      </c>
      <c r="D3578" s="0" t="n">
        <v>8</v>
      </c>
      <c r="E3578" s="6" t="n">
        <v>40835.4923611111</v>
      </c>
      <c r="F3578" s="0" t="n">
        <v>0.85</v>
      </c>
      <c r="G3578" s="0" t="n">
        <v>12472</v>
      </c>
      <c r="H3578" s="0" t="s">
        <v>33</v>
      </c>
      <c r="I3578" s="7" t="n">
        <f aca="false">IF(AND(LEFT(A3578,1)&lt;&gt;"C",D3578&gt;0,F3578&gt;0),1,0)</f>
        <v>1</v>
      </c>
      <c r="J3578" s="7" t="n">
        <f aca="false">IF(I3578=1,D3578*F3578,0)</f>
        <v>6.8</v>
      </c>
      <c r="K3578" s="7" t="n">
        <f aca="false">YEAR(E3578)*100+MONTH(E3578)</f>
        <v>201110</v>
      </c>
      <c r="L3578" s="7" t="n">
        <f aca="false">IF(AND(A3578&lt;&gt;A3577,LEFT(A3578,1)&lt;&gt;"C"),1,0)</f>
        <v>0</v>
      </c>
    </row>
    <row r="3579" customFormat="false" ht="15" hidden="false" customHeight="false" outlineLevel="0" collapsed="false">
      <c r="A3579" s="0" t="s">
        <v>2472</v>
      </c>
      <c r="B3579" s="0" t="s">
        <v>493</v>
      </c>
      <c r="C3579" s="0" t="s">
        <v>494</v>
      </c>
      <c r="D3579" s="0" t="n">
        <v>8</v>
      </c>
      <c r="E3579" s="6" t="n">
        <v>40835.4923611111</v>
      </c>
      <c r="F3579" s="0" t="n">
        <v>0.85</v>
      </c>
      <c r="G3579" s="0" t="n">
        <v>12472</v>
      </c>
      <c r="H3579" s="0" t="s">
        <v>33</v>
      </c>
      <c r="I3579" s="7" t="n">
        <f aca="false">IF(AND(LEFT(A3579,1)&lt;&gt;"C",D3579&gt;0,F3579&gt;0),1,0)</f>
        <v>1</v>
      </c>
      <c r="J3579" s="7" t="n">
        <f aca="false">IF(I3579=1,D3579*F3579,0)</f>
        <v>6.8</v>
      </c>
      <c r="K3579" s="7" t="n">
        <f aca="false">YEAR(E3579)*100+MONTH(E3579)</f>
        <v>201110</v>
      </c>
      <c r="L3579" s="7" t="n">
        <f aca="false">IF(AND(A3579&lt;&gt;A3578,LEFT(A3579,1)&lt;&gt;"C"),1,0)</f>
        <v>0</v>
      </c>
    </row>
    <row r="3580" customFormat="false" ht="15" hidden="false" customHeight="false" outlineLevel="0" collapsed="false">
      <c r="A3580" s="0" t="s">
        <v>2472</v>
      </c>
      <c r="B3580" s="0" t="s">
        <v>1360</v>
      </c>
      <c r="C3580" s="0" t="s">
        <v>1361</v>
      </c>
      <c r="D3580" s="0" t="n">
        <v>8</v>
      </c>
      <c r="E3580" s="6" t="n">
        <v>40835.4923611111</v>
      </c>
      <c r="F3580" s="0" t="n">
        <v>0.85</v>
      </c>
      <c r="G3580" s="0" t="n">
        <v>12472</v>
      </c>
      <c r="H3580" s="0" t="s">
        <v>33</v>
      </c>
      <c r="I3580" s="7" t="n">
        <f aca="false">IF(AND(LEFT(A3580,1)&lt;&gt;"C",D3580&gt;0,F3580&gt;0),1,0)</f>
        <v>1</v>
      </c>
      <c r="J3580" s="7" t="n">
        <f aca="false">IF(I3580=1,D3580*F3580,0)</f>
        <v>6.8</v>
      </c>
      <c r="K3580" s="7" t="n">
        <f aca="false">YEAR(E3580)*100+MONTH(E3580)</f>
        <v>201110</v>
      </c>
      <c r="L3580" s="7" t="n">
        <f aca="false">IF(AND(A3580&lt;&gt;A3579,LEFT(A3580,1)&lt;&gt;"C"),1,0)</f>
        <v>0</v>
      </c>
    </row>
    <row r="3581" customFormat="false" ht="15" hidden="false" customHeight="false" outlineLevel="0" collapsed="false">
      <c r="A3581" s="0" t="s">
        <v>2472</v>
      </c>
      <c r="B3581" s="0" t="s">
        <v>1094</v>
      </c>
      <c r="C3581" s="0" t="s">
        <v>1095</v>
      </c>
      <c r="D3581" s="0" t="n">
        <v>12</v>
      </c>
      <c r="E3581" s="6" t="n">
        <v>40835.4923611111</v>
      </c>
      <c r="F3581" s="0" t="n">
        <v>1.95</v>
      </c>
      <c r="G3581" s="0" t="n">
        <v>12472</v>
      </c>
      <c r="H3581" s="0" t="s">
        <v>33</v>
      </c>
      <c r="I3581" s="7" t="n">
        <f aca="false">IF(AND(LEFT(A3581,1)&lt;&gt;"C",D3581&gt;0,F3581&gt;0),1,0)</f>
        <v>1</v>
      </c>
      <c r="J3581" s="7" t="n">
        <f aca="false">IF(I3581=1,D3581*F3581,0)</f>
        <v>23.4</v>
      </c>
      <c r="K3581" s="7" t="n">
        <f aca="false">YEAR(E3581)*100+MONTH(E3581)</f>
        <v>201110</v>
      </c>
      <c r="L3581" s="7" t="n">
        <f aca="false">IF(AND(A3581&lt;&gt;A3580,LEFT(A3581,1)&lt;&gt;"C"),1,0)</f>
        <v>0</v>
      </c>
    </row>
    <row r="3582" customFormat="false" ht="15" hidden="false" customHeight="false" outlineLevel="0" collapsed="false">
      <c r="A3582" s="0" t="s">
        <v>2472</v>
      </c>
      <c r="B3582" s="0" t="s">
        <v>173</v>
      </c>
      <c r="C3582" s="0" t="s">
        <v>174</v>
      </c>
      <c r="D3582" s="0" t="n">
        <v>8</v>
      </c>
      <c r="E3582" s="6" t="n">
        <v>40835.4923611111</v>
      </c>
      <c r="F3582" s="0" t="n">
        <v>1.25</v>
      </c>
      <c r="G3582" s="0" t="n">
        <v>12472</v>
      </c>
      <c r="H3582" s="0" t="s">
        <v>33</v>
      </c>
      <c r="I3582" s="7" t="n">
        <f aca="false">IF(AND(LEFT(A3582,1)&lt;&gt;"C",D3582&gt;0,F3582&gt;0),1,0)</f>
        <v>1</v>
      </c>
      <c r="J3582" s="7" t="n">
        <f aca="false">IF(I3582=1,D3582*F3582,0)</f>
        <v>10</v>
      </c>
      <c r="K3582" s="7" t="n">
        <f aca="false">YEAR(E3582)*100+MONTH(E3582)</f>
        <v>201110</v>
      </c>
      <c r="L3582" s="7" t="n">
        <f aca="false">IF(AND(A3582&lt;&gt;A3581,LEFT(A3582,1)&lt;&gt;"C"),1,0)</f>
        <v>0</v>
      </c>
    </row>
    <row r="3583" customFormat="false" ht="15" hidden="false" customHeight="false" outlineLevel="0" collapsed="false">
      <c r="A3583" s="0" t="s">
        <v>2472</v>
      </c>
      <c r="B3583" s="0" t="s">
        <v>171</v>
      </c>
      <c r="C3583" s="0" t="s">
        <v>172</v>
      </c>
      <c r="D3583" s="0" t="n">
        <v>8</v>
      </c>
      <c r="E3583" s="6" t="n">
        <v>40835.4923611111</v>
      </c>
      <c r="F3583" s="0" t="n">
        <v>1.25</v>
      </c>
      <c r="G3583" s="0" t="n">
        <v>12472</v>
      </c>
      <c r="H3583" s="0" t="s">
        <v>33</v>
      </c>
      <c r="I3583" s="7" t="n">
        <f aca="false">IF(AND(LEFT(A3583,1)&lt;&gt;"C",D3583&gt;0,F3583&gt;0),1,0)</f>
        <v>1</v>
      </c>
      <c r="J3583" s="7" t="n">
        <f aca="false">IF(I3583=1,D3583*F3583,0)</f>
        <v>10</v>
      </c>
      <c r="K3583" s="7" t="n">
        <f aca="false">YEAR(E3583)*100+MONTH(E3583)</f>
        <v>201110</v>
      </c>
      <c r="L3583" s="7" t="n">
        <f aca="false">IF(AND(A3583&lt;&gt;A3582,LEFT(A3583,1)&lt;&gt;"C"),1,0)</f>
        <v>0</v>
      </c>
    </row>
    <row r="3584" customFormat="false" ht="15" hidden="false" customHeight="false" outlineLevel="0" collapsed="false">
      <c r="A3584" s="0" t="s">
        <v>2472</v>
      </c>
      <c r="B3584" s="0" t="s">
        <v>2303</v>
      </c>
      <c r="C3584" s="0" t="s">
        <v>2304</v>
      </c>
      <c r="D3584" s="0" t="n">
        <v>6</v>
      </c>
      <c r="E3584" s="6" t="n">
        <v>40835.4923611111</v>
      </c>
      <c r="F3584" s="0" t="n">
        <v>2.1</v>
      </c>
      <c r="G3584" s="0" t="n">
        <v>12472</v>
      </c>
      <c r="H3584" s="0" t="s">
        <v>33</v>
      </c>
      <c r="I3584" s="7" t="n">
        <f aca="false">IF(AND(LEFT(A3584,1)&lt;&gt;"C",D3584&gt;0,F3584&gt;0),1,0)</f>
        <v>1</v>
      </c>
      <c r="J3584" s="7" t="n">
        <f aca="false">IF(I3584=1,D3584*F3584,0)</f>
        <v>12.6</v>
      </c>
      <c r="K3584" s="7" t="n">
        <f aca="false">YEAR(E3584)*100+MONTH(E3584)</f>
        <v>201110</v>
      </c>
      <c r="L3584" s="7" t="n">
        <f aca="false">IF(AND(A3584&lt;&gt;A3583,LEFT(A3584,1)&lt;&gt;"C"),1,0)</f>
        <v>0</v>
      </c>
    </row>
    <row r="3585" customFormat="false" ht="15" hidden="false" customHeight="false" outlineLevel="0" collapsed="false">
      <c r="A3585" s="0" t="s">
        <v>2472</v>
      </c>
      <c r="B3585" s="0" t="s">
        <v>148</v>
      </c>
      <c r="C3585" s="0" t="s">
        <v>149</v>
      </c>
      <c r="D3585" s="0" t="n">
        <v>4</v>
      </c>
      <c r="E3585" s="6" t="n">
        <v>40835.4923611111</v>
      </c>
      <c r="F3585" s="0" t="n">
        <v>12.75</v>
      </c>
      <c r="G3585" s="0" t="n">
        <v>12472</v>
      </c>
      <c r="H3585" s="0" t="s">
        <v>33</v>
      </c>
      <c r="I3585" s="7" t="n">
        <f aca="false">IF(AND(LEFT(A3585,1)&lt;&gt;"C",D3585&gt;0,F3585&gt;0),1,0)</f>
        <v>1</v>
      </c>
      <c r="J3585" s="7" t="n">
        <f aca="false">IF(I3585=1,D3585*F3585,0)</f>
        <v>51</v>
      </c>
      <c r="K3585" s="7" t="n">
        <f aca="false">YEAR(E3585)*100+MONTH(E3585)</f>
        <v>201110</v>
      </c>
      <c r="L3585" s="7" t="n">
        <f aca="false">IF(AND(A3585&lt;&gt;A3584,LEFT(A3585,1)&lt;&gt;"C"),1,0)</f>
        <v>0</v>
      </c>
    </row>
    <row r="3586" customFormat="false" ht="15" hidden="false" customHeight="false" outlineLevel="0" collapsed="false">
      <c r="A3586" s="0" t="s">
        <v>2472</v>
      </c>
      <c r="B3586" s="0" t="s">
        <v>465</v>
      </c>
      <c r="C3586" s="0" t="s">
        <v>466</v>
      </c>
      <c r="D3586" s="0" t="n">
        <v>2</v>
      </c>
      <c r="E3586" s="6" t="n">
        <v>40835.4923611111</v>
      </c>
      <c r="F3586" s="0" t="n">
        <v>7.95</v>
      </c>
      <c r="G3586" s="0" t="n">
        <v>12472</v>
      </c>
      <c r="H3586" s="0" t="s">
        <v>33</v>
      </c>
      <c r="I3586" s="7" t="n">
        <f aca="false">IF(AND(LEFT(A3586,1)&lt;&gt;"C",D3586&gt;0,F3586&gt;0),1,0)</f>
        <v>1</v>
      </c>
      <c r="J3586" s="7" t="n">
        <f aca="false">IF(I3586=1,D3586*F3586,0)</f>
        <v>15.9</v>
      </c>
      <c r="K3586" s="7" t="n">
        <f aca="false">YEAR(E3586)*100+MONTH(E3586)</f>
        <v>201110</v>
      </c>
      <c r="L3586" s="7" t="n">
        <f aca="false">IF(AND(A3586&lt;&gt;A3585,LEFT(A3586,1)&lt;&gt;"C"),1,0)</f>
        <v>0</v>
      </c>
    </row>
    <row r="3587" customFormat="false" ht="15" hidden="false" customHeight="false" outlineLevel="0" collapsed="false">
      <c r="A3587" s="0" t="s">
        <v>2472</v>
      </c>
      <c r="B3587" s="0" t="s">
        <v>1736</v>
      </c>
      <c r="C3587" s="0" t="s">
        <v>1737</v>
      </c>
      <c r="D3587" s="0" t="n">
        <v>12</v>
      </c>
      <c r="E3587" s="6" t="n">
        <v>40835.4923611111</v>
      </c>
      <c r="F3587" s="0" t="n">
        <v>0.42</v>
      </c>
      <c r="G3587" s="0" t="n">
        <v>12472</v>
      </c>
      <c r="H3587" s="0" t="s">
        <v>33</v>
      </c>
      <c r="I3587" s="7" t="n">
        <f aca="false">IF(AND(LEFT(A3587,1)&lt;&gt;"C",D3587&gt;0,F3587&gt;0),1,0)</f>
        <v>1</v>
      </c>
      <c r="J3587" s="7" t="n">
        <f aca="false">IF(I3587=1,D3587*F3587,0)</f>
        <v>5.04</v>
      </c>
      <c r="K3587" s="7" t="n">
        <f aca="false">YEAR(E3587)*100+MONTH(E3587)</f>
        <v>201110</v>
      </c>
      <c r="L3587" s="7" t="n">
        <f aca="false">IF(AND(A3587&lt;&gt;A3586,LEFT(A3587,1)&lt;&gt;"C"),1,0)</f>
        <v>0</v>
      </c>
    </row>
    <row r="3588" customFormat="false" ht="15" hidden="false" customHeight="false" outlineLevel="0" collapsed="false">
      <c r="A3588" s="0" t="s">
        <v>2472</v>
      </c>
      <c r="B3588" s="0" t="s">
        <v>2487</v>
      </c>
      <c r="C3588" s="0" t="s">
        <v>2488</v>
      </c>
      <c r="D3588" s="0" t="n">
        <v>12</v>
      </c>
      <c r="E3588" s="6" t="n">
        <v>40835.4923611111</v>
      </c>
      <c r="F3588" s="0" t="n">
        <v>0.42</v>
      </c>
      <c r="G3588" s="0" t="n">
        <v>12472</v>
      </c>
      <c r="H3588" s="0" t="s">
        <v>33</v>
      </c>
      <c r="I3588" s="7" t="n">
        <f aca="false">IF(AND(LEFT(A3588,1)&lt;&gt;"C",D3588&gt;0,F3588&gt;0),1,0)</f>
        <v>1</v>
      </c>
      <c r="J3588" s="7" t="n">
        <f aca="false">IF(I3588=1,D3588*F3588,0)</f>
        <v>5.04</v>
      </c>
      <c r="K3588" s="7" t="n">
        <f aca="false">YEAR(E3588)*100+MONTH(E3588)</f>
        <v>201110</v>
      </c>
      <c r="L3588" s="7" t="n">
        <f aca="false">IF(AND(A3588&lt;&gt;A3587,LEFT(A3588,1)&lt;&gt;"C"),1,0)</f>
        <v>0</v>
      </c>
    </row>
    <row r="3589" customFormat="false" ht="15" hidden="false" customHeight="false" outlineLevel="0" collapsed="false">
      <c r="A3589" s="0" t="s">
        <v>2472</v>
      </c>
      <c r="B3589" s="0" t="s">
        <v>2489</v>
      </c>
      <c r="C3589" s="0" t="s">
        <v>2490</v>
      </c>
      <c r="D3589" s="0" t="n">
        <v>12</v>
      </c>
      <c r="E3589" s="6" t="n">
        <v>40835.4923611111</v>
      </c>
      <c r="F3589" s="0" t="n">
        <v>0.42</v>
      </c>
      <c r="G3589" s="0" t="n">
        <v>12472</v>
      </c>
      <c r="H3589" s="0" t="s">
        <v>33</v>
      </c>
      <c r="I3589" s="7" t="n">
        <f aca="false">IF(AND(LEFT(A3589,1)&lt;&gt;"C",D3589&gt;0,F3589&gt;0),1,0)</f>
        <v>1</v>
      </c>
      <c r="J3589" s="7" t="n">
        <f aca="false">IF(I3589=1,D3589*F3589,0)</f>
        <v>5.04</v>
      </c>
      <c r="K3589" s="7" t="n">
        <f aca="false">YEAR(E3589)*100+MONTH(E3589)</f>
        <v>201110</v>
      </c>
      <c r="L3589" s="7" t="n">
        <f aca="false">IF(AND(A3589&lt;&gt;A3588,LEFT(A3589,1)&lt;&gt;"C"),1,0)</f>
        <v>0</v>
      </c>
    </row>
    <row r="3590" customFormat="false" ht="15" hidden="false" customHeight="false" outlineLevel="0" collapsed="false">
      <c r="A3590" s="0" t="s">
        <v>2472</v>
      </c>
      <c r="B3590" s="0" t="s">
        <v>127</v>
      </c>
      <c r="C3590" s="0" t="s">
        <v>128</v>
      </c>
      <c r="D3590" s="0" t="n">
        <v>8</v>
      </c>
      <c r="E3590" s="6" t="n">
        <v>40835.4923611111</v>
      </c>
      <c r="F3590" s="0" t="n">
        <v>1.65</v>
      </c>
      <c r="G3590" s="0" t="n">
        <v>12472</v>
      </c>
      <c r="H3590" s="0" t="s">
        <v>33</v>
      </c>
      <c r="I3590" s="7" t="n">
        <f aca="false">IF(AND(LEFT(A3590,1)&lt;&gt;"C",D3590&gt;0,F3590&gt;0),1,0)</f>
        <v>1</v>
      </c>
      <c r="J3590" s="7" t="n">
        <f aca="false">IF(I3590=1,D3590*F3590,0)</f>
        <v>13.2</v>
      </c>
      <c r="K3590" s="7" t="n">
        <f aca="false">YEAR(E3590)*100+MONTH(E3590)</f>
        <v>201110</v>
      </c>
      <c r="L3590" s="7" t="n">
        <f aca="false">IF(AND(A3590&lt;&gt;A3589,LEFT(A3590,1)&lt;&gt;"C"),1,0)</f>
        <v>0</v>
      </c>
    </row>
    <row r="3591" customFormat="false" ht="15" hidden="false" customHeight="false" outlineLevel="0" collapsed="false">
      <c r="A3591" s="0" t="s">
        <v>2472</v>
      </c>
      <c r="B3591" s="0" t="s">
        <v>84</v>
      </c>
      <c r="C3591" s="0" t="s">
        <v>85</v>
      </c>
      <c r="D3591" s="0" t="n">
        <v>6</v>
      </c>
      <c r="E3591" s="6" t="n">
        <v>40835.4923611111</v>
      </c>
      <c r="F3591" s="0" t="n">
        <v>18</v>
      </c>
      <c r="G3591" s="0" t="n">
        <v>12472</v>
      </c>
      <c r="H3591" s="0" t="s">
        <v>33</v>
      </c>
      <c r="I3591" s="7" t="n">
        <f aca="false">IF(AND(LEFT(A3591,1)&lt;&gt;"C",D3591&gt;0,F3591&gt;0),1,0)</f>
        <v>1</v>
      </c>
      <c r="J3591" s="7" t="n">
        <f aca="false">IF(I3591=1,D3591*F3591,0)</f>
        <v>108</v>
      </c>
      <c r="K3591" s="7" t="n">
        <f aca="false">YEAR(E3591)*100+MONTH(E3591)</f>
        <v>201110</v>
      </c>
      <c r="L3591" s="7" t="n">
        <f aca="false">IF(AND(A3591&lt;&gt;A3590,LEFT(A3591,1)&lt;&gt;"C"),1,0)</f>
        <v>0</v>
      </c>
    </row>
    <row r="3592" customFormat="false" ht="15" hidden="false" customHeight="false" outlineLevel="0" collapsed="false">
      <c r="A3592" s="0" t="s">
        <v>2491</v>
      </c>
      <c r="B3592" s="0" t="s">
        <v>82</v>
      </c>
      <c r="C3592" s="0" t="s">
        <v>83</v>
      </c>
      <c r="D3592" s="0" t="n">
        <v>96</v>
      </c>
      <c r="E3592" s="6" t="n">
        <v>40835.5756944444</v>
      </c>
      <c r="F3592" s="0" t="n">
        <v>4.95</v>
      </c>
      <c r="G3592" s="0" t="n">
        <v>12731</v>
      </c>
      <c r="H3592" s="0" t="s">
        <v>43</v>
      </c>
      <c r="I3592" s="7" t="n">
        <f aca="false">IF(AND(LEFT(A3592,1)&lt;&gt;"C",D3592&gt;0,F3592&gt;0),1,0)</f>
        <v>1</v>
      </c>
      <c r="J3592" s="7" t="n">
        <f aca="false">IF(I3592=1,D3592*F3592,0)</f>
        <v>475.2</v>
      </c>
      <c r="K3592" s="7" t="n">
        <f aca="false">YEAR(E3592)*100+MONTH(E3592)</f>
        <v>201110</v>
      </c>
      <c r="L3592" s="7" t="n">
        <f aca="false">IF(AND(A3592&lt;&gt;A3591,LEFT(A3592,1)&lt;&gt;"C"),1,0)</f>
        <v>1</v>
      </c>
    </row>
    <row r="3593" customFormat="false" ht="15" hidden="false" customHeight="false" outlineLevel="0" collapsed="false">
      <c r="A3593" s="0" t="s">
        <v>2491</v>
      </c>
      <c r="B3593" s="0" t="s">
        <v>1013</v>
      </c>
      <c r="C3593" s="0" t="s">
        <v>1014</v>
      </c>
      <c r="D3593" s="0" t="n">
        <v>24</v>
      </c>
      <c r="E3593" s="6" t="n">
        <v>40835.5756944444</v>
      </c>
      <c r="F3593" s="0" t="n">
        <v>14.95</v>
      </c>
      <c r="G3593" s="0" t="n">
        <v>12731</v>
      </c>
      <c r="H3593" s="0" t="s">
        <v>43</v>
      </c>
      <c r="I3593" s="7" t="n">
        <f aca="false">IF(AND(LEFT(A3593,1)&lt;&gt;"C",D3593&gt;0,F3593&gt;0),1,0)</f>
        <v>1</v>
      </c>
      <c r="J3593" s="7" t="n">
        <f aca="false">IF(I3593=1,D3593*F3593,0)</f>
        <v>358.8</v>
      </c>
      <c r="K3593" s="7" t="n">
        <f aca="false">YEAR(E3593)*100+MONTH(E3593)</f>
        <v>201110</v>
      </c>
      <c r="L3593" s="7" t="n">
        <f aca="false">IF(AND(A3593&lt;&gt;A3592,LEFT(A3593,1)&lt;&gt;"C"),1,0)</f>
        <v>0</v>
      </c>
    </row>
    <row r="3594" customFormat="false" ht="15" hidden="false" customHeight="false" outlineLevel="0" collapsed="false">
      <c r="A3594" s="0" t="s">
        <v>2491</v>
      </c>
      <c r="B3594" s="0" t="s">
        <v>1011</v>
      </c>
      <c r="C3594" s="0" t="s">
        <v>1012</v>
      </c>
      <c r="D3594" s="0" t="n">
        <v>24</v>
      </c>
      <c r="E3594" s="6" t="n">
        <v>40835.5756944444</v>
      </c>
      <c r="F3594" s="0" t="n">
        <v>14.95</v>
      </c>
      <c r="G3594" s="0" t="n">
        <v>12731</v>
      </c>
      <c r="H3594" s="0" t="s">
        <v>43</v>
      </c>
      <c r="I3594" s="7" t="n">
        <f aca="false">IF(AND(LEFT(A3594,1)&lt;&gt;"C",D3594&gt;0,F3594&gt;0),1,0)</f>
        <v>1</v>
      </c>
      <c r="J3594" s="7" t="n">
        <f aca="false">IF(I3594=1,D3594*F3594,0)</f>
        <v>358.8</v>
      </c>
      <c r="K3594" s="7" t="n">
        <f aca="false">YEAR(E3594)*100+MONTH(E3594)</f>
        <v>201110</v>
      </c>
      <c r="L3594" s="7" t="n">
        <f aca="false">IF(AND(A3594&lt;&gt;A3593,LEFT(A3594,1)&lt;&gt;"C"),1,0)</f>
        <v>0</v>
      </c>
    </row>
    <row r="3595" customFormat="false" ht="15" hidden="false" customHeight="false" outlineLevel="0" collapsed="false">
      <c r="A3595" s="0" t="s">
        <v>2491</v>
      </c>
      <c r="B3595" s="0" t="s">
        <v>1306</v>
      </c>
      <c r="C3595" s="0" t="s">
        <v>1307</v>
      </c>
      <c r="D3595" s="0" t="n">
        <v>24</v>
      </c>
      <c r="E3595" s="6" t="n">
        <v>40835.5756944444</v>
      </c>
      <c r="F3595" s="0" t="n">
        <v>1.25</v>
      </c>
      <c r="G3595" s="0" t="n">
        <v>12731</v>
      </c>
      <c r="H3595" s="0" t="s">
        <v>43</v>
      </c>
      <c r="I3595" s="7" t="n">
        <f aca="false">IF(AND(LEFT(A3595,1)&lt;&gt;"C",D3595&gt;0,F3595&gt;0),1,0)</f>
        <v>1</v>
      </c>
      <c r="J3595" s="7" t="n">
        <f aca="false">IF(I3595=1,D3595*F3595,0)</f>
        <v>30</v>
      </c>
      <c r="K3595" s="7" t="n">
        <f aca="false">YEAR(E3595)*100+MONTH(E3595)</f>
        <v>201110</v>
      </c>
      <c r="L3595" s="7" t="n">
        <f aca="false">IF(AND(A3595&lt;&gt;A3594,LEFT(A3595,1)&lt;&gt;"C"),1,0)</f>
        <v>0</v>
      </c>
    </row>
    <row r="3596" customFormat="false" ht="15" hidden="false" customHeight="false" outlineLevel="0" collapsed="false">
      <c r="A3596" s="0" t="s">
        <v>2491</v>
      </c>
      <c r="B3596" s="0" t="s">
        <v>1755</v>
      </c>
      <c r="C3596" s="0" t="s">
        <v>1756</v>
      </c>
      <c r="D3596" s="0" t="n">
        <v>12</v>
      </c>
      <c r="E3596" s="6" t="n">
        <v>40835.5756944444</v>
      </c>
      <c r="F3596" s="0" t="n">
        <v>2.55</v>
      </c>
      <c r="G3596" s="0" t="n">
        <v>12731</v>
      </c>
      <c r="H3596" s="0" t="s">
        <v>43</v>
      </c>
      <c r="I3596" s="7" t="n">
        <f aca="false">IF(AND(LEFT(A3596,1)&lt;&gt;"C",D3596&gt;0,F3596&gt;0),1,0)</f>
        <v>1</v>
      </c>
      <c r="J3596" s="7" t="n">
        <f aca="false">IF(I3596=1,D3596*F3596,0)</f>
        <v>30.6</v>
      </c>
      <c r="K3596" s="7" t="n">
        <f aca="false">YEAR(E3596)*100+MONTH(E3596)</f>
        <v>201110</v>
      </c>
      <c r="L3596" s="7" t="n">
        <f aca="false">IF(AND(A3596&lt;&gt;A3595,LEFT(A3596,1)&lt;&gt;"C"),1,0)</f>
        <v>0</v>
      </c>
    </row>
    <row r="3597" customFormat="false" ht="15" hidden="false" customHeight="false" outlineLevel="0" collapsed="false">
      <c r="A3597" s="0" t="s">
        <v>2491</v>
      </c>
      <c r="B3597" s="0" t="s">
        <v>97</v>
      </c>
      <c r="C3597" s="0" t="s">
        <v>98</v>
      </c>
      <c r="D3597" s="0" t="n">
        <v>48</v>
      </c>
      <c r="E3597" s="6" t="n">
        <v>40835.5756944444</v>
      </c>
      <c r="F3597" s="0" t="n">
        <v>1.65</v>
      </c>
      <c r="G3597" s="0" t="n">
        <v>12731</v>
      </c>
      <c r="H3597" s="0" t="s">
        <v>43</v>
      </c>
      <c r="I3597" s="7" t="n">
        <f aca="false">IF(AND(LEFT(A3597,1)&lt;&gt;"C",D3597&gt;0,F3597&gt;0),1,0)</f>
        <v>1</v>
      </c>
      <c r="J3597" s="7" t="n">
        <f aca="false">IF(I3597=1,D3597*F3597,0)</f>
        <v>79.2</v>
      </c>
      <c r="K3597" s="7" t="n">
        <f aca="false">YEAR(E3597)*100+MONTH(E3597)</f>
        <v>201110</v>
      </c>
      <c r="L3597" s="7" t="n">
        <f aca="false">IF(AND(A3597&lt;&gt;A3596,LEFT(A3597,1)&lt;&gt;"C"),1,0)</f>
        <v>0</v>
      </c>
    </row>
    <row r="3598" customFormat="false" ht="15" hidden="false" customHeight="false" outlineLevel="0" collapsed="false">
      <c r="A3598" s="0" t="s">
        <v>2491</v>
      </c>
      <c r="B3598" s="0" t="s">
        <v>35</v>
      </c>
      <c r="C3598" s="0" t="s">
        <v>36</v>
      </c>
      <c r="D3598" s="0" t="n">
        <v>48</v>
      </c>
      <c r="E3598" s="6" t="n">
        <v>40835.5756944444</v>
      </c>
      <c r="F3598" s="0" t="n">
        <v>1.65</v>
      </c>
      <c r="G3598" s="0" t="n">
        <v>12731</v>
      </c>
      <c r="H3598" s="0" t="s">
        <v>43</v>
      </c>
      <c r="I3598" s="7" t="n">
        <f aca="false">IF(AND(LEFT(A3598,1)&lt;&gt;"C",D3598&gt;0,F3598&gt;0),1,0)</f>
        <v>1</v>
      </c>
      <c r="J3598" s="7" t="n">
        <f aca="false">IF(I3598=1,D3598*F3598,0)</f>
        <v>79.2</v>
      </c>
      <c r="K3598" s="7" t="n">
        <f aca="false">YEAR(E3598)*100+MONTH(E3598)</f>
        <v>201110</v>
      </c>
      <c r="L3598" s="7" t="n">
        <f aca="false">IF(AND(A3598&lt;&gt;A3597,LEFT(A3598,1)&lt;&gt;"C"),1,0)</f>
        <v>0</v>
      </c>
    </row>
    <row r="3599" customFormat="false" ht="15" hidden="false" customHeight="false" outlineLevel="0" collapsed="false">
      <c r="A3599" s="0" t="s">
        <v>2491</v>
      </c>
      <c r="B3599" s="0" t="s">
        <v>1436</v>
      </c>
      <c r="C3599" s="0" t="s">
        <v>1437</v>
      </c>
      <c r="D3599" s="0" t="n">
        <v>48</v>
      </c>
      <c r="E3599" s="6" t="n">
        <v>40835.5756944444</v>
      </c>
      <c r="F3599" s="0" t="n">
        <v>4.25</v>
      </c>
      <c r="G3599" s="0" t="n">
        <v>12731</v>
      </c>
      <c r="H3599" s="0" t="s">
        <v>43</v>
      </c>
      <c r="I3599" s="7" t="n">
        <f aca="false">IF(AND(LEFT(A3599,1)&lt;&gt;"C",D3599&gt;0,F3599&gt;0),1,0)</f>
        <v>1</v>
      </c>
      <c r="J3599" s="7" t="n">
        <f aca="false">IF(I3599=1,D3599*F3599,0)</f>
        <v>204</v>
      </c>
      <c r="K3599" s="7" t="n">
        <f aca="false">YEAR(E3599)*100+MONTH(E3599)</f>
        <v>201110</v>
      </c>
      <c r="L3599" s="7" t="n">
        <f aca="false">IF(AND(A3599&lt;&gt;A3598,LEFT(A3599,1)&lt;&gt;"C"),1,0)</f>
        <v>0</v>
      </c>
    </row>
    <row r="3600" customFormat="false" ht="15" hidden="false" customHeight="false" outlineLevel="0" collapsed="false">
      <c r="A3600" s="0" t="s">
        <v>2491</v>
      </c>
      <c r="B3600" s="0" t="s">
        <v>416</v>
      </c>
      <c r="C3600" s="0" t="s">
        <v>417</v>
      </c>
      <c r="D3600" s="0" t="n">
        <v>72</v>
      </c>
      <c r="E3600" s="6" t="n">
        <v>40835.5756944444</v>
      </c>
      <c r="F3600" s="0" t="n">
        <v>0.65</v>
      </c>
      <c r="G3600" s="0" t="n">
        <v>12731</v>
      </c>
      <c r="H3600" s="0" t="s">
        <v>43</v>
      </c>
      <c r="I3600" s="7" t="n">
        <f aca="false">IF(AND(LEFT(A3600,1)&lt;&gt;"C",D3600&gt;0,F3600&gt;0),1,0)</f>
        <v>1</v>
      </c>
      <c r="J3600" s="7" t="n">
        <f aca="false">IF(I3600=1,D3600*F3600,0)</f>
        <v>46.8</v>
      </c>
      <c r="K3600" s="7" t="n">
        <f aca="false">YEAR(E3600)*100+MONTH(E3600)</f>
        <v>201110</v>
      </c>
      <c r="L3600" s="7" t="n">
        <f aca="false">IF(AND(A3600&lt;&gt;A3599,LEFT(A3600,1)&lt;&gt;"C"),1,0)</f>
        <v>0</v>
      </c>
    </row>
    <row r="3601" customFormat="false" ht="15" hidden="false" customHeight="false" outlineLevel="0" collapsed="false">
      <c r="A3601" s="0" t="s">
        <v>2491</v>
      </c>
      <c r="B3601" s="0" t="s">
        <v>1033</v>
      </c>
      <c r="C3601" s="0" t="s">
        <v>1034</v>
      </c>
      <c r="D3601" s="0" t="n">
        <v>48</v>
      </c>
      <c r="E3601" s="6" t="n">
        <v>40835.5756944444</v>
      </c>
      <c r="F3601" s="0" t="n">
        <v>3.75</v>
      </c>
      <c r="G3601" s="0" t="n">
        <v>12731</v>
      </c>
      <c r="H3601" s="0" t="s">
        <v>43</v>
      </c>
      <c r="I3601" s="7" t="n">
        <f aca="false">IF(AND(LEFT(A3601,1)&lt;&gt;"C",D3601&gt;0,F3601&gt;0),1,0)</f>
        <v>1</v>
      </c>
      <c r="J3601" s="7" t="n">
        <f aca="false">IF(I3601=1,D3601*F3601,0)</f>
        <v>180</v>
      </c>
      <c r="K3601" s="7" t="n">
        <f aca="false">YEAR(E3601)*100+MONTH(E3601)</f>
        <v>201110</v>
      </c>
      <c r="L3601" s="7" t="n">
        <f aca="false">IF(AND(A3601&lt;&gt;A3600,LEFT(A3601,1)&lt;&gt;"C"),1,0)</f>
        <v>0</v>
      </c>
    </row>
    <row r="3602" customFormat="false" ht="15" hidden="false" customHeight="false" outlineLevel="0" collapsed="false">
      <c r="A3602" s="0" t="s">
        <v>2491</v>
      </c>
      <c r="B3602" s="0" t="s">
        <v>756</v>
      </c>
      <c r="C3602" s="0" t="s">
        <v>757</v>
      </c>
      <c r="D3602" s="0" t="n">
        <v>36</v>
      </c>
      <c r="E3602" s="6" t="n">
        <v>40835.5756944444</v>
      </c>
      <c r="F3602" s="0" t="n">
        <v>3.39</v>
      </c>
      <c r="G3602" s="0" t="n">
        <v>12731</v>
      </c>
      <c r="H3602" s="0" t="s">
        <v>43</v>
      </c>
      <c r="I3602" s="7" t="n">
        <f aca="false">IF(AND(LEFT(A3602,1)&lt;&gt;"C",D3602&gt;0,F3602&gt;0),1,0)</f>
        <v>1</v>
      </c>
      <c r="J3602" s="7" t="n">
        <f aca="false">IF(I3602=1,D3602*F3602,0)</f>
        <v>122.04</v>
      </c>
      <c r="K3602" s="7" t="n">
        <f aca="false">YEAR(E3602)*100+MONTH(E3602)</f>
        <v>201110</v>
      </c>
      <c r="L3602" s="7" t="n">
        <f aca="false">IF(AND(A3602&lt;&gt;A3601,LEFT(A3602,1)&lt;&gt;"C"),1,0)</f>
        <v>0</v>
      </c>
    </row>
    <row r="3603" customFormat="false" ht="15" hidden="false" customHeight="false" outlineLevel="0" collapsed="false">
      <c r="A3603" s="0" t="s">
        <v>2491</v>
      </c>
      <c r="B3603" s="0" t="s">
        <v>781</v>
      </c>
      <c r="C3603" s="0" t="s">
        <v>782</v>
      </c>
      <c r="D3603" s="0" t="n">
        <v>18</v>
      </c>
      <c r="E3603" s="6" t="n">
        <v>40835.5756944444</v>
      </c>
      <c r="F3603" s="0" t="n">
        <v>4.25</v>
      </c>
      <c r="G3603" s="0" t="n">
        <v>12731</v>
      </c>
      <c r="H3603" s="0" t="s">
        <v>43</v>
      </c>
      <c r="I3603" s="7" t="n">
        <f aca="false">IF(AND(LEFT(A3603,1)&lt;&gt;"C",D3603&gt;0,F3603&gt;0),1,0)</f>
        <v>1</v>
      </c>
      <c r="J3603" s="7" t="n">
        <f aca="false">IF(I3603=1,D3603*F3603,0)</f>
        <v>76.5</v>
      </c>
      <c r="K3603" s="7" t="n">
        <f aca="false">YEAR(E3603)*100+MONTH(E3603)</f>
        <v>201110</v>
      </c>
      <c r="L3603" s="7" t="n">
        <f aca="false">IF(AND(A3603&lt;&gt;A3602,LEFT(A3603,1)&lt;&gt;"C"),1,0)</f>
        <v>0</v>
      </c>
    </row>
    <row r="3604" customFormat="false" ht="15" hidden="false" customHeight="false" outlineLevel="0" collapsed="false">
      <c r="A3604" s="0" t="s">
        <v>2491</v>
      </c>
      <c r="B3604" s="0" t="s">
        <v>1102</v>
      </c>
      <c r="C3604" s="0" t="s">
        <v>1103</v>
      </c>
      <c r="D3604" s="0" t="n">
        <v>12</v>
      </c>
      <c r="E3604" s="6" t="n">
        <v>40835.5756944444</v>
      </c>
      <c r="F3604" s="0" t="n">
        <v>2.55</v>
      </c>
      <c r="G3604" s="0" t="n">
        <v>12731</v>
      </c>
      <c r="H3604" s="0" t="s">
        <v>43</v>
      </c>
      <c r="I3604" s="7" t="n">
        <f aca="false">IF(AND(LEFT(A3604,1)&lt;&gt;"C",D3604&gt;0,F3604&gt;0),1,0)</f>
        <v>1</v>
      </c>
      <c r="J3604" s="7" t="n">
        <f aca="false">IF(I3604=1,D3604*F3604,0)</f>
        <v>30.6</v>
      </c>
      <c r="K3604" s="7" t="n">
        <f aca="false">YEAR(E3604)*100+MONTH(E3604)</f>
        <v>201110</v>
      </c>
      <c r="L3604" s="7" t="n">
        <f aca="false">IF(AND(A3604&lt;&gt;A3603,LEFT(A3604,1)&lt;&gt;"C"),1,0)</f>
        <v>0</v>
      </c>
    </row>
    <row r="3605" customFormat="false" ht="15" hidden="false" customHeight="false" outlineLevel="0" collapsed="false">
      <c r="A3605" s="0" t="s">
        <v>2491</v>
      </c>
      <c r="B3605" s="0" t="s">
        <v>1104</v>
      </c>
      <c r="C3605" s="0" t="s">
        <v>1105</v>
      </c>
      <c r="D3605" s="0" t="n">
        <v>12</v>
      </c>
      <c r="E3605" s="6" t="n">
        <v>40835.5756944444</v>
      </c>
      <c r="F3605" s="0" t="n">
        <v>2.55</v>
      </c>
      <c r="G3605" s="0" t="n">
        <v>12731</v>
      </c>
      <c r="H3605" s="0" t="s">
        <v>43</v>
      </c>
      <c r="I3605" s="7" t="n">
        <f aca="false">IF(AND(LEFT(A3605,1)&lt;&gt;"C",D3605&gt;0,F3605&gt;0),1,0)</f>
        <v>1</v>
      </c>
      <c r="J3605" s="7" t="n">
        <f aca="false">IF(I3605=1,D3605*F3605,0)</f>
        <v>30.6</v>
      </c>
      <c r="K3605" s="7" t="n">
        <f aca="false">YEAR(E3605)*100+MONTH(E3605)</f>
        <v>201110</v>
      </c>
      <c r="L3605" s="7" t="n">
        <f aca="false">IF(AND(A3605&lt;&gt;A3604,LEFT(A3605,1)&lt;&gt;"C"),1,0)</f>
        <v>0</v>
      </c>
    </row>
    <row r="3606" customFormat="false" ht="15" hidden="false" customHeight="false" outlineLevel="0" collapsed="false">
      <c r="A3606" s="0" t="s">
        <v>2491</v>
      </c>
      <c r="B3606" s="0" t="s">
        <v>1206</v>
      </c>
      <c r="C3606" s="0" t="s">
        <v>1207</v>
      </c>
      <c r="D3606" s="0" t="n">
        <v>12</v>
      </c>
      <c r="E3606" s="6" t="n">
        <v>40835.5756944444</v>
      </c>
      <c r="F3606" s="0" t="n">
        <v>4.25</v>
      </c>
      <c r="G3606" s="0" t="n">
        <v>12731</v>
      </c>
      <c r="H3606" s="0" t="s">
        <v>43</v>
      </c>
      <c r="I3606" s="7" t="n">
        <f aca="false">IF(AND(LEFT(A3606,1)&lt;&gt;"C",D3606&gt;0,F3606&gt;0),1,0)</f>
        <v>1</v>
      </c>
      <c r="J3606" s="7" t="n">
        <f aca="false">IF(I3606=1,D3606*F3606,0)</f>
        <v>51</v>
      </c>
      <c r="K3606" s="7" t="n">
        <f aca="false">YEAR(E3606)*100+MONTH(E3606)</f>
        <v>201110</v>
      </c>
      <c r="L3606" s="7" t="n">
        <f aca="false">IF(AND(A3606&lt;&gt;A3605,LEFT(A3606,1)&lt;&gt;"C"),1,0)</f>
        <v>0</v>
      </c>
    </row>
    <row r="3607" customFormat="false" ht="15" hidden="false" customHeight="false" outlineLevel="0" collapsed="false">
      <c r="A3607" s="0" t="s">
        <v>2491</v>
      </c>
      <c r="B3607" s="0" t="s">
        <v>148</v>
      </c>
      <c r="C3607" s="0" t="s">
        <v>149</v>
      </c>
      <c r="D3607" s="0" t="n">
        <v>32</v>
      </c>
      <c r="E3607" s="6" t="n">
        <v>40835.5756944444</v>
      </c>
      <c r="F3607" s="0" t="n">
        <v>10.95</v>
      </c>
      <c r="G3607" s="0" t="n">
        <v>12731</v>
      </c>
      <c r="H3607" s="0" t="s">
        <v>43</v>
      </c>
      <c r="I3607" s="7" t="n">
        <f aca="false">IF(AND(LEFT(A3607,1)&lt;&gt;"C",D3607&gt;0,F3607&gt;0),1,0)</f>
        <v>1</v>
      </c>
      <c r="J3607" s="7" t="n">
        <f aca="false">IF(I3607=1,D3607*F3607,0)</f>
        <v>350.4</v>
      </c>
      <c r="K3607" s="7" t="n">
        <f aca="false">YEAR(E3607)*100+MONTH(E3607)</f>
        <v>201110</v>
      </c>
      <c r="L3607" s="7" t="n">
        <f aca="false">IF(AND(A3607&lt;&gt;A3606,LEFT(A3607,1)&lt;&gt;"C"),1,0)</f>
        <v>0</v>
      </c>
    </row>
    <row r="3608" customFormat="false" ht="15" hidden="false" customHeight="false" outlineLevel="0" collapsed="false">
      <c r="A3608" s="0" t="s">
        <v>2492</v>
      </c>
      <c r="B3608" s="0" t="s">
        <v>533</v>
      </c>
      <c r="C3608" s="0" t="s">
        <v>534</v>
      </c>
      <c r="D3608" s="0" t="n">
        <v>16</v>
      </c>
      <c r="E3608" s="6" t="n">
        <v>40835.6118055556</v>
      </c>
      <c r="F3608" s="0" t="n">
        <v>1.25</v>
      </c>
      <c r="G3608" s="0" t="n">
        <v>12522</v>
      </c>
      <c r="H3608" s="0" t="s">
        <v>33</v>
      </c>
      <c r="I3608" s="7" t="n">
        <f aca="false">IF(AND(LEFT(A3608,1)&lt;&gt;"C",D3608&gt;0,F3608&gt;0),1,0)</f>
        <v>1</v>
      </c>
      <c r="J3608" s="7" t="n">
        <f aca="false">IF(I3608=1,D3608*F3608,0)</f>
        <v>20</v>
      </c>
      <c r="K3608" s="7" t="n">
        <f aca="false">YEAR(E3608)*100+MONTH(E3608)</f>
        <v>201110</v>
      </c>
      <c r="L3608" s="7" t="n">
        <f aca="false">IF(AND(A3608&lt;&gt;A3607,LEFT(A3608,1)&lt;&gt;"C"),1,0)</f>
        <v>1</v>
      </c>
    </row>
    <row r="3609" customFormat="false" ht="15" hidden="false" customHeight="false" outlineLevel="0" collapsed="false">
      <c r="A3609" s="0" t="s">
        <v>2492</v>
      </c>
      <c r="B3609" s="0" t="s">
        <v>369</v>
      </c>
      <c r="C3609" s="0" t="s">
        <v>370</v>
      </c>
      <c r="D3609" s="0" t="n">
        <v>100</v>
      </c>
      <c r="E3609" s="6" t="n">
        <v>40835.6118055556</v>
      </c>
      <c r="F3609" s="0" t="n">
        <v>0.04</v>
      </c>
      <c r="G3609" s="0" t="n">
        <v>12522</v>
      </c>
      <c r="H3609" s="0" t="s">
        <v>33</v>
      </c>
      <c r="I3609" s="7" t="n">
        <f aca="false">IF(AND(LEFT(A3609,1)&lt;&gt;"C",D3609&gt;0,F3609&gt;0),1,0)</f>
        <v>1</v>
      </c>
      <c r="J3609" s="7" t="n">
        <f aca="false">IF(I3609=1,D3609*F3609,0)</f>
        <v>4</v>
      </c>
      <c r="K3609" s="7" t="n">
        <f aca="false">YEAR(E3609)*100+MONTH(E3609)</f>
        <v>201110</v>
      </c>
      <c r="L3609" s="7" t="n">
        <f aca="false">IF(AND(A3609&lt;&gt;A3608,LEFT(A3609,1)&lt;&gt;"C"),1,0)</f>
        <v>0</v>
      </c>
    </row>
    <row r="3610" customFormat="false" ht="15" hidden="false" customHeight="false" outlineLevel="0" collapsed="false">
      <c r="A3610" s="0" t="s">
        <v>2492</v>
      </c>
      <c r="B3610" s="0" t="s">
        <v>123</v>
      </c>
      <c r="C3610" s="0" t="s">
        <v>124</v>
      </c>
      <c r="D3610" s="0" t="n">
        <v>6</v>
      </c>
      <c r="E3610" s="6" t="n">
        <v>40835.6118055556</v>
      </c>
      <c r="F3610" s="0" t="n">
        <v>2.95</v>
      </c>
      <c r="G3610" s="0" t="n">
        <v>12522</v>
      </c>
      <c r="H3610" s="0" t="s">
        <v>33</v>
      </c>
      <c r="I3610" s="7" t="n">
        <f aca="false">IF(AND(LEFT(A3610,1)&lt;&gt;"C",D3610&gt;0,F3610&gt;0),1,0)</f>
        <v>1</v>
      </c>
      <c r="J3610" s="7" t="n">
        <f aca="false">IF(I3610=1,D3610*F3610,0)</f>
        <v>17.7</v>
      </c>
      <c r="K3610" s="7" t="n">
        <f aca="false">YEAR(E3610)*100+MONTH(E3610)</f>
        <v>201110</v>
      </c>
      <c r="L3610" s="7" t="n">
        <f aca="false">IF(AND(A3610&lt;&gt;A3609,LEFT(A3610,1)&lt;&gt;"C"),1,0)</f>
        <v>0</v>
      </c>
    </row>
    <row r="3611" customFormat="false" ht="15" hidden="false" customHeight="false" outlineLevel="0" collapsed="false">
      <c r="A3611" s="0" t="s">
        <v>2492</v>
      </c>
      <c r="B3611" s="0" t="s">
        <v>2311</v>
      </c>
      <c r="C3611" s="0" t="s">
        <v>2312</v>
      </c>
      <c r="D3611" s="0" t="n">
        <v>3</v>
      </c>
      <c r="E3611" s="6" t="n">
        <v>40835.6118055556</v>
      </c>
      <c r="F3611" s="0" t="n">
        <v>4.95</v>
      </c>
      <c r="G3611" s="0" t="n">
        <v>12522</v>
      </c>
      <c r="H3611" s="0" t="s">
        <v>33</v>
      </c>
      <c r="I3611" s="7" t="n">
        <f aca="false">IF(AND(LEFT(A3611,1)&lt;&gt;"C",D3611&gt;0,F3611&gt;0),1,0)</f>
        <v>1</v>
      </c>
      <c r="J3611" s="7" t="n">
        <f aca="false">IF(I3611=1,D3611*F3611,0)</f>
        <v>14.85</v>
      </c>
      <c r="K3611" s="7" t="n">
        <f aca="false">YEAR(E3611)*100+MONTH(E3611)</f>
        <v>201110</v>
      </c>
      <c r="L3611" s="7" t="n">
        <f aca="false">IF(AND(A3611&lt;&gt;A3610,LEFT(A3611,1)&lt;&gt;"C"),1,0)</f>
        <v>0</v>
      </c>
    </row>
    <row r="3612" customFormat="false" ht="15" hidden="false" customHeight="false" outlineLevel="0" collapsed="false">
      <c r="A3612" s="0" t="s">
        <v>2492</v>
      </c>
      <c r="B3612" s="0" t="s">
        <v>2240</v>
      </c>
      <c r="C3612" s="0" t="s">
        <v>2241</v>
      </c>
      <c r="D3612" s="0" t="n">
        <v>3</v>
      </c>
      <c r="E3612" s="6" t="n">
        <v>40835.6118055556</v>
      </c>
      <c r="F3612" s="0" t="n">
        <v>4.95</v>
      </c>
      <c r="G3612" s="0" t="n">
        <v>12522</v>
      </c>
      <c r="H3612" s="0" t="s">
        <v>33</v>
      </c>
      <c r="I3612" s="7" t="n">
        <f aca="false">IF(AND(LEFT(A3612,1)&lt;&gt;"C",D3612&gt;0,F3612&gt;0),1,0)</f>
        <v>1</v>
      </c>
      <c r="J3612" s="7" t="n">
        <f aca="false">IF(I3612=1,D3612*F3612,0)</f>
        <v>14.85</v>
      </c>
      <c r="K3612" s="7" t="n">
        <f aca="false">YEAR(E3612)*100+MONTH(E3612)</f>
        <v>201110</v>
      </c>
      <c r="L3612" s="7" t="n">
        <f aca="false">IF(AND(A3612&lt;&gt;A3611,LEFT(A3612,1)&lt;&gt;"C"),1,0)</f>
        <v>0</v>
      </c>
    </row>
    <row r="3613" customFormat="false" ht="15" hidden="false" customHeight="false" outlineLevel="0" collapsed="false">
      <c r="A3613" s="0" t="s">
        <v>2492</v>
      </c>
      <c r="B3613" s="0" t="s">
        <v>84</v>
      </c>
      <c r="C3613" s="0" t="s">
        <v>85</v>
      </c>
      <c r="D3613" s="0" t="n">
        <v>1</v>
      </c>
      <c r="E3613" s="6" t="n">
        <v>40835.6118055556</v>
      </c>
      <c r="F3613" s="0" t="n">
        <v>18</v>
      </c>
      <c r="G3613" s="0" t="n">
        <v>12522</v>
      </c>
      <c r="H3613" s="0" t="s">
        <v>33</v>
      </c>
      <c r="I3613" s="7" t="n">
        <f aca="false">IF(AND(LEFT(A3613,1)&lt;&gt;"C",D3613&gt;0,F3613&gt;0),1,0)</f>
        <v>1</v>
      </c>
      <c r="J3613" s="7" t="n">
        <f aca="false">IF(I3613=1,D3613*F3613,0)</f>
        <v>18</v>
      </c>
      <c r="K3613" s="7" t="n">
        <f aca="false">YEAR(E3613)*100+MONTH(E3613)</f>
        <v>201110</v>
      </c>
      <c r="L3613" s="7" t="n">
        <f aca="false">IF(AND(A3613&lt;&gt;A3612,LEFT(A3613,1)&lt;&gt;"C"),1,0)</f>
        <v>0</v>
      </c>
    </row>
    <row r="3614" customFormat="false" ht="15" hidden="false" customHeight="false" outlineLevel="0" collapsed="false">
      <c r="A3614" s="0" t="s">
        <v>2493</v>
      </c>
      <c r="B3614" s="0" t="s">
        <v>689</v>
      </c>
      <c r="C3614" s="0" t="s">
        <v>690</v>
      </c>
      <c r="D3614" s="0" t="n">
        <v>8</v>
      </c>
      <c r="E3614" s="6" t="n">
        <v>40835.6833333333</v>
      </c>
      <c r="F3614" s="0" t="n">
        <v>1.25</v>
      </c>
      <c r="G3614" s="0" t="n">
        <v>12685</v>
      </c>
      <c r="H3614" s="0" t="s">
        <v>43</v>
      </c>
      <c r="I3614" s="7" t="n">
        <f aca="false">IF(AND(LEFT(A3614,1)&lt;&gt;"C",D3614&gt;0,F3614&gt;0),1,0)</f>
        <v>1</v>
      </c>
      <c r="J3614" s="7" t="n">
        <f aca="false">IF(I3614=1,D3614*F3614,0)</f>
        <v>10</v>
      </c>
      <c r="K3614" s="7" t="n">
        <f aca="false">YEAR(E3614)*100+MONTH(E3614)</f>
        <v>201110</v>
      </c>
      <c r="L3614" s="7" t="n">
        <f aca="false">IF(AND(A3614&lt;&gt;A3613,LEFT(A3614,1)&lt;&gt;"C"),1,0)</f>
        <v>1</v>
      </c>
    </row>
    <row r="3615" customFormat="false" ht="15" hidden="false" customHeight="false" outlineLevel="0" collapsed="false">
      <c r="A3615" s="0" t="s">
        <v>2493</v>
      </c>
      <c r="B3615" s="0" t="s">
        <v>717</v>
      </c>
      <c r="C3615" s="0" t="s">
        <v>718</v>
      </c>
      <c r="D3615" s="0" t="n">
        <v>8</v>
      </c>
      <c r="E3615" s="6" t="n">
        <v>40835.6833333333</v>
      </c>
      <c r="F3615" s="0" t="n">
        <v>0.83</v>
      </c>
      <c r="G3615" s="0" t="n">
        <v>12685</v>
      </c>
      <c r="H3615" s="0" t="s">
        <v>43</v>
      </c>
      <c r="I3615" s="7" t="n">
        <f aca="false">IF(AND(LEFT(A3615,1)&lt;&gt;"C",D3615&gt;0,F3615&gt;0),1,0)</f>
        <v>1</v>
      </c>
      <c r="J3615" s="7" t="n">
        <f aca="false">IF(I3615=1,D3615*F3615,0)</f>
        <v>6.64</v>
      </c>
      <c r="K3615" s="7" t="n">
        <f aca="false">YEAR(E3615)*100+MONTH(E3615)</f>
        <v>201110</v>
      </c>
      <c r="L3615" s="7" t="n">
        <f aca="false">IF(AND(A3615&lt;&gt;A3614,LEFT(A3615,1)&lt;&gt;"C"),1,0)</f>
        <v>0</v>
      </c>
    </row>
    <row r="3616" customFormat="false" ht="15" hidden="false" customHeight="false" outlineLevel="0" collapsed="false">
      <c r="A3616" s="0" t="s">
        <v>2493</v>
      </c>
      <c r="B3616" s="0" t="s">
        <v>537</v>
      </c>
      <c r="C3616" s="0" t="s">
        <v>538</v>
      </c>
      <c r="D3616" s="0" t="n">
        <v>6</v>
      </c>
      <c r="E3616" s="6" t="n">
        <v>40835.6833333333</v>
      </c>
      <c r="F3616" s="0" t="n">
        <v>4.15</v>
      </c>
      <c r="G3616" s="0" t="n">
        <v>12685</v>
      </c>
      <c r="H3616" s="0" t="s">
        <v>43</v>
      </c>
      <c r="I3616" s="7" t="n">
        <f aca="false">IF(AND(LEFT(A3616,1)&lt;&gt;"C",D3616&gt;0,F3616&gt;0),1,0)</f>
        <v>1</v>
      </c>
      <c r="J3616" s="7" t="n">
        <f aca="false">IF(I3616=1,D3616*F3616,0)</f>
        <v>24.9</v>
      </c>
      <c r="K3616" s="7" t="n">
        <f aca="false">YEAR(E3616)*100+MONTH(E3616)</f>
        <v>201110</v>
      </c>
      <c r="L3616" s="7" t="n">
        <f aca="false">IF(AND(A3616&lt;&gt;A3615,LEFT(A3616,1)&lt;&gt;"C"),1,0)</f>
        <v>0</v>
      </c>
    </row>
    <row r="3617" customFormat="false" ht="15" hidden="false" customHeight="false" outlineLevel="0" collapsed="false">
      <c r="A3617" s="0" t="s">
        <v>2493</v>
      </c>
      <c r="B3617" s="0" t="s">
        <v>337</v>
      </c>
      <c r="C3617" s="0" t="s">
        <v>338</v>
      </c>
      <c r="D3617" s="0" t="n">
        <v>6</v>
      </c>
      <c r="E3617" s="6" t="n">
        <v>40835.6833333333</v>
      </c>
      <c r="F3617" s="0" t="n">
        <v>2.95</v>
      </c>
      <c r="G3617" s="0" t="n">
        <v>12685</v>
      </c>
      <c r="H3617" s="0" t="s">
        <v>43</v>
      </c>
      <c r="I3617" s="7" t="n">
        <f aca="false">IF(AND(LEFT(A3617,1)&lt;&gt;"C",D3617&gt;0,F3617&gt;0),1,0)</f>
        <v>1</v>
      </c>
      <c r="J3617" s="7" t="n">
        <f aca="false">IF(I3617=1,D3617*F3617,0)</f>
        <v>17.7</v>
      </c>
      <c r="K3617" s="7" t="n">
        <f aca="false">YEAR(E3617)*100+MONTH(E3617)</f>
        <v>201110</v>
      </c>
      <c r="L3617" s="7" t="n">
        <f aca="false">IF(AND(A3617&lt;&gt;A3616,LEFT(A3617,1)&lt;&gt;"C"),1,0)</f>
        <v>0</v>
      </c>
    </row>
    <row r="3618" customFormat="false" ht="15" hidden="false" customHeight="false" outlineLevel="0" collapsed="false">
      <c r="A3618" s="0" t="s">
        <v>2493</v>
      </c>
      <c r="B3618" s="0" t="s">
        <v>155</v>
      </c>
      <c r="C3618" s="0" t="s">
        <v>156</v>
      </c>
      <c r="D3618" s="0" t="n">
        <v>2</v>
      </c>
      <c r="E3618" s="6" t="n">
        <v>40835.6833333333</v>
      </c>
      <c r="F3618" s="0" t="n">
        <v>10.95</v>
      </c>
      <c r="G3618" s="0" t="n">
        <v>12685</v>
      </c>
      <c r="H3618" s="0" t="s">
        <v>43</v>
      </c>
      <c r="I3618" s="7" t="n">
        <f aca="false">IF(AND(LEFT(A3618,1)&lt;&gt;"C",D3618&gt;0,F3618&gt;0),1,0)</f>
        <v>1</v>
      </c>
      <c r="J3618" s="7" t="n">
        <f aca="false">IF(I3618=1,D3618*F3618,0)</f>
        <v>21.9</v>
      </c>
      <c r="K3618" s="7" t="n">
        <f aca="false">YEAR(E3618)*100+MONTH(E3618)</f>
        <v>201110</v>
      </c>
      <c r="L3618" s="7" t="n">
        <f aca="false">IF(AND(A3618&lt;&gt;A3617,LEFT(A3618,1)&lt;&gt;"C"),1,0)</f>
        <v>0</v>
      </c>
    </row>
    <row r="3619" customFormat="false" ht="15" hidden="false" customHeight="false" outlineLevel="0" collapsed="false">
      <c r="A3619" s="0" t="s">
        <v>2493</v>
      </c>
      <c r="B3619" s="0" t="s">
        <v>545</v>
      </c>
      <c r="C3619" s="0" t="s">
        <v>546</v>
      </c>
      <c r="D3619" s="0" t="n">
        <v>3</v>
      </c>
      <c r="E3619" s="6" t="n">
        <v>40835.6833333333</v>
      </c>
      <c r="F3619" s="0" t="n">
        <v>4.95</v>
      </c>
      <c r="G3619" s="0" t="n">
        <v>12685</v>
      </c>
      <c r="H3619" s="0" t="s">
        <v>43</v>
      </c>
      <c r="I3619" s="7" t="n">
        <f aca="false">IF(AND(LEFT(A3619,1)&lt;&gt;"C",D3619&gt;0,F3619&gt;0),1,0)</f>
        <v>1</v>
      </c>
      <c r="J3619" s="7" t="n">
        <f aca="false">IF(I3619=1,D3619*F3619,0)</f>
        <v>14.85</v>
      </c>
      <c r="K3619" s="7" t="n">
        <f aca="false">YEAR(E3619)*100+MONTH(E3619)</f>
        <v>201110</v>
      </c>
      <c r="L3619" s="7" t="n">
        <f aca="false">IF(AND(A3619&lt;&gt;A3618,LEFT(A3619,1)&lt;&gt;"C"),1,0)</f>
        <v>0</v>
      </c>
    </row>
    <row r="3620" customFormat="false" ht="15" hidden="false" customHeight="false" outlineLevel="0" collapsed="false">
      <c r="A3620" s="0" t="s">
        <v>2493</v>
      </c>
      <c r="B3620" s="0" t="s">
        <v>1142</v>
      </c>
      <c r="C3620" s="0" t="s">
        <v>1143</v>
      </c>
      <c r="D3620" s="0" t="n">
        <v>5</v>
      </c>
      <c r="E3620" s="6" t="n">
        <v>40835.6833333333</v>
      </c>
      <c r="F3620" s="0" t="n">
        <v>2.1</v>
      </c>
      <c r="G3620" s="0" t="n">
        <v>12685</v>
      </c>
      <c r="H3620" s="0" t="s">
        <v>43</v>
      </c>
      <c r="I3620" s="7" t="n">
        <f aca="false">IF(AND(LEFT(A3620,1)&lt;&gt;"C",D3620&gt;0,F3620&gt;0),1,0)</f>
        <v>1</v>
      </c>
      <c r="J3620" s="7" t="n">
        <f aca="false">IF(I3620=1,D3620*F3620,0)</f>
        <v>10.5</v>
      </c>
      <c r="K3620" s="7" t="n">
        <f aca="false">YEAR(E3620)*100+MONTH(E3620)</f>
        <v>201110</v>
      </c>
      <c r="L3620" s="7" t="n">
        <f aca="false">IF(AND(A3620&lt;&gt;A3619,LEFT(A3620,1)&lt;&gt;"C"),1,0)</f>
        <v>0</v>
      </c>
    </row>
    <row r="3621" customFormat="false" ht="15" hidden="false" customHeight="false" outlineLevel="0" collapsed="false">
      <c r="A3621" s="0" t="s">
        <v>2493</v>
      </c>
      <c r="B3621" s="0" t="s">
        <v>82</v>
      </c>
      <c r="C3621" s="0" t="s">
        <v>83</v>
      </c>
      <c r="D3621" s="0" t="n">
        <v>3</v>
      </c>
      <c r="E3621" s="6" t="n">
        <v>40835.6833333333</v>
      </c>
      <c r="F3621" s="0" t="n">
        <v>5.95</v>
      </c>
      <c r="G3621" s="0" t="n">
        <v>12685</v>
      </c>
      <c r="H3621" s="0" t="s">
        <v>43</v>
      </c>
      <c r="I3621" s="7" t="n">
        <f aca="false">IF(AND(LEFT(A3621,1)&lt;&gt;"C",D3621&gt;0,F3621&gt;0),1,0)</f>
        <v>1</v>
      </c>
      <c r="J3621" s="7" t="n">
        <f aca="false">IF(I3621=1,D3621*F3621,0)</f>
        <v>17.85</v>
      </c>
      <c r="K3621" s="7" t="n">
        <f aca="false">YEAR(E3621)*100+MONTH(E3621)</f>
        <v>201110</v>
      </c>
      <c r="L3621" s="7" t="n">
        <f aca="false">IF(AND(A3621&lt;&gt;A3620,LEFT(A3621,1)&lt;&gt;"C"),1,0)</f>
        <v>0</v>
      </c>
    </row>
    <row r="3622" customFormat="false" ht="15" hidden="false" customHeight="false" outlineLevel="0" collapsed="false">
      <c r="A3622" s="0" t="s">
        <v>2493</v>
      </c>
      <c r="B3622" s="0" t="s">
        <v>320</v>
      </c>
      <c r="C3622" s="0" t="s">
        <v>321</v>
      </c>
      <c r="D3622" s="0" t="n">
        <v>4</v>
      </c>
      <c r="E3622" s="6" t="n">
        <v>40835.6833333333</v>
      </c>
      <c r="F3622" s="0" t="n">
        <v>3.75</v>
      </c>
      <c r="G3622" s="0" t="n">
        <v>12685</v>
      </c>
      <c r="H3622" s="0" t="s">
        <v>43</v>
      </c>
      <c r="I3622" s="7" t="n">
        <f aca="false">IF(AND(LEFT(A3622,1)&lt;&gt;"C",D3622&gt;0,F3622&gt;0),1,0)</f>
        <v>1</v>
      </c>
      <c r="J3622" s="7" t="n">
        <f aca="false">IF(I3622=1,D3622*F3622,0)</f>
        <v>15</v>
      </c>
      <c r="K3622" s="7" t="n">
        <f aca="false">YEAR(E3622)*100+MONTH(E3622)</f>
        <v>201110</v>
      </c>
      <c r="L3622" s="7" t="n">
        <f aca="false">IF(AND(A3622&lt;&gt;A3621,LEFT(A3622,1)&lt;&gt;"C"),1,0)</f>
        <v>0</v>
      </c>
    </row>
    <row r="3623" customFormat="false" ht="15" hidden="false" customHeight="false" outlineLevel="0" collapsed="false">
      <c r="A3623" s="0" t="s">
        <v>2493</v>
      </c>
      <c r="B3623" s="0" t="s">
        <v>318</v>
      </c>
      <c r="C3623" s="0" t="s">
        <v>319</v>
      </c>
      <c r="D3623" s="0" t="n">
        <v>4</v>
      </c>
      <c r="E3623" s="6" t="n">
        <v>40835.6833333333</v>
      </c>
      <c r="F3623" s="0" t="n">
        <v>3.75</v>
      </c>
      <c r="G3623" s="0" t="n">
        <v>12685</v>
      </c>
      <c r="H3623" s="0" t="s">
        <v>43</v>
      </c>
      <c r="I3623" s="7" t="n">
        <f aca="false">IF(AND(LEFT(A3623,1)&lt;&gt;"C",D3623&gt;0,F3623&gt;0),1,0)</f>
        <v>1</v>
      </c>
      <c r="J3623" s="7" t="n">
        <f aca="false">IF(I3623=1,D3623*F3623,0)</f>
        <v>15</v>
      </c>
      <c r="K3623" s="7" t="n">
        <f aca="false">YEAR(E3623)*100+MONTH(E3623)</f>
        <v>201110</v>
      </c>
      <c r="L3623" s="7" t="n">
        <f aca="false">IF(AND(A3623&lt;&gt;A3622,LEFT(A3623,1)&lt;&gt;"C"),1,0)</f>
        <v>0</v>
      </c>
    </row>
    <row r="3624" customFormat="false" ht="15" hidden="false" customHeight="false" outlineLevel="0" collapsed="false">
      <c r="A3624" s="0" t="s">
        <v>2493</v>
      </c>
      <c r="B3624" s="0" t="s">
        <v>295</v>
      </c>
      <c r="C3624" s="0" t="s">
        <v>296</v>
      </c>
      <c r="D3624" s="0" t="n">
        <v>4</v>
      </c>
      <c r="E3624" s="6" t="n">
        <v>40835.6833333333</v>
      </c>
      <c r="F3624" s="0" t="n">
        <v>3.75</v>
      </c>
      <c r="G3624" s="0" t="n">
        <v>12685</v>
      </c>
      <c r="H3624" s="0" t="s">
        <v>43</v>
      </c>
      <c r="I3624" s="7" t="n">
        <f aca="false">IF(AND(LEFT(A3624,1)&lt;&gt;"C",D3624&gt;0,F3624&gt;0),1,0)</f>
        <v>1</v>
      </c>
      <c r="J3624" s="7" t="n">
        <f aca="false">IF(I3624=1,D3624*F3624,0)</f>
        <v>15</v>
      </c>
      <c r="K3624" s="7" t="n">
        <f aca="false">YEAR(E3624)*100+MONTH(E3624)</f>
        <v>201110</v>
      </c>
      <c r="L3624" s="7" t="n">
        <f aca="false">IF(AND(A3624&lt;&gt;A3623,LEFT(A3624,1)&lt;&gt;"C"),1,0)</f>
        <v>0</v>
      </c>
    </row>
    <row r="3625" customFormat="false" ht="15" hidden="false" customHeight="false" outlineLevel="0" collapsed="false">
      <c r="A3625" s="0" t="s">
        <v>2493</v>
      </c>
      <c r="B3625" s="0" t="s">
        <v>297</v>
      </c>
      <c r="C3625" s="0" t="s">
        <v>298</v>
      </c>
      <c r="D3625" s="0" t="n">
        <v>4</v>
      </c>
      <c r="E3625" s="6" t="n">
        <v>40835.6833333333</v>
      </c>
      <c r="F3625" s="0" t="n">
        <v>3.75</v>
      </c>
      <c r="G3625" s="0" t="n">
        <v>12685</v>
      </c>
      <c r="H3625" s="0" t="s">
        <v>43</v>
      </c>
      <c r="I3625" s="7" t="n">
        <f aca="false">IF(AND(LEFT(A3625,1)&lt;&gt;"C",D3625&gt;0,F3625&gt;0),1,0)</f>
        <v>1</v>
      </c>
      <c r="J3625" s="7" t="n">
        <f aca="false">IF(I3625=1,D3625*F3625,0)</f>
        <v>15</v>
      </c>
      <c r="K3625" s="7" t="n">
        <f aca="false">YEAR(E3625)*100+MONTH(E3625)</f>
        <v>201110</v>
      </c>
      <c r="L3625" s="7" t="n">
        <f aca="false">IF(AND(A3625&lt;&gt;A3624,LEFT(A3625,1)&lt;&gt;"C"),1,0)</f>
        <v>0</v>
      </c>
    </row>
    <row r="3626" customFormat="false" ht="15" hidden="false" customHeight="false" outlineLevel="0" collapsed="false">
      <c r="A3626" s="0" t="s">
        <v>2493</v>
      </c>
      <c r="B3626" s="0" t="s">
        <v>1092</v>
      </c>
      <c r="C3626" s="0" t="s">
        <v>1093</v>
      </c>
      <c r="D3626" s="0" t="n">
        <v>8</v>
      </c>
      <c r="E3626" s="6" t="n">
        <v>40835.6833333333</v>
      </c>
      <c r="F3626" s="0" t="n">
        <v>0.85</v>
      </c>
      <c r="G3626" s="0" t="n">
        <v>12685</v>
      </c>
      <c r="H3626" s="0" t="s">
        <v>43</v>
      </c>
      <c r="I3626" s="7" t="n">
        <f aca="false">IF(AND(LEFT(A3626,1)&lt;&gt;"C",D3626&gt;0,F3626&gt;0),1,0)</f>
        <v>1</v>
      </c>
      <c r="J3626" s="7" t="n">
        <f aca="false">IF(I3626=1,D3626*F3626,0)</f>
        <v>6.8</v>
      </c>
      <c r="K3626" s="7" t="n">
        <f aca="false">YEAR(E3626)*100+MONTH(E3626)</f>
        <v>201110</v>
      </c>
      <c r="L3626" s="7" t="n">
        <f aca="false">IF(AND(A3626&lt;&gt;A3625,LEFT(A3626,1)&lt;&gt;"C"),1,0)</f>
        <v>0</v>
      </c>
    </row>
    <row r="3627" customFormat="false" ht="15" hidden="false" customHeight="false" outlineLevel="0" collapsed="false">
      <c r="A3627" s="0" t="s">
        <v>2493</v>
      </c>
      <c r="B3627" s="0" t="s">
        <v>719</v>
      </c>
      <c r="C3627" s="0" t="s">
        <v>720</v>
      </c>
      <c r="D3627" s="0" t="n">
        <v>8</v>
      </c>
      <c r="E3627" s="6" t="n">
        <v>40835.6833333333</v>
      </c>
      <c r="F3627" s="0" t="n">
        <v>0.85</v>
      </c>
      <c r="G3627" s="0" t="n">
        <v>12685</v>
      </c>
      <c r="H3627" s="0" t="s">
        <v>43</v>
      </c>
      <c r="I3627" s="7" t="n">
        <f aca="false">IF(AND(LEFT(A3627,1)&lt;&gt;"C",D3627&gt;0,F3627&gt;0),1,0)</f>
        <v>1</v>
      </c>
      <c r="J3627" s="7" t="n">
        <f aca="false">IF(I3627=1,D3627*F3627,0)</f>
        <v>6.8</v>
      </c>
      <c r="K3627" s="7" t="n">
        <f aca="false">YEAR(E3627)*100+MONTH(E3627)</f>
        <v>201110</v>
      </c>
      <c r="L3627" s="7" t="n">
        <f aca="false">IF(AND(A3627&lt;&gt;A3626,LEFT(A3627,1)&lt;&gt;"C"),1,0)</f>
        <v>0</v>
      </c>
    </row>
    <row r="3628" customFormat="false" ht="15" hidden="false" customHeight="false" outlineLevel="0" collapsed="false">
      <c r="A3628" s="0" t="s">
        <v>2493</v>
      </c>
      <c r="B3628" s="0" t="s">
        <v>519</v>
      </c>
      <c r="C3628" s="0" t="s">
        <v>520</v>
      </c>
      <c r="D3628" s="0" t="n">
        <v>10</v>
      </c>
      <c r="E3628" s="6" t="n">
        <v>40835.6833333333</v>
      </c>
      <c r="F3628" s="0" t="n">
        <v>2.08</v>
      </c>
      <c r="G3628" s="0" t="n">
        <v>12685</v>
      </c>
      <c r="H3628" s="0" t="s">
        <v>43</v>
      </c>
      <c r="I3628" s="7" t="n">
        <f aca="false">IF(AND(LEFT(A3628,1)&lt;&gt;"C",D3628&gt;0,F3628&gt;0),1,0)</f>
        <v>1</v>
      </c>
      <c r="J3628" s="7" t="n">
        <f aca="false">IF(I3628=1,D3628*F3628,0)</f>
        <v>20.8</v>
      </c>
      <c r="K3628" s="7" t="n">
        <f aca="false">YEAR(E3628)*100+MONTH(E3628)</f>
        <v>201110</v>
      </c>
      <c r="L3628" s="7" t="n">
        <f aca="false">IF(AND(A3628&lt;&gt;A3627,LEFT(A3628,1)&lt;&gt;"C"),1,0)</f>
        <v>0</v>
      </c>
    </row>
    <row r="3629" customFormat="false" ht="15" hidden="false" customHeight="false" outlineLevel="0" collapsed="false">
      <c r="A3629" s="0" t="s">
        <v>2493</v>
      </c>
      <c r="B3629" s="0" t="s">
        <v>1572</v>
      </c>
      <c r="C3629" s="0" t="s">
        <v>1573</v>
      </c>
      <c r="D3629" s="0" t="n">
        <v>36</v>
      </c>
      <c r="E3629" s="6" t="n">
        <v>40835.6833333333</v>
      </c>
      <c r="F3629" s="0" t="n">
        <v>0.19</v>
      </c>
      <c r="G3629" s="0" t="n">
        <v>12685</v>
      </c>
      <c r="H3629" s="0" t="s">
        <v>43</v>
      </c>
      <c r="I3629" s="7" t="n">
        <f aca="false">IF(AND(LEFT(A3629,1)&lt;&gt;"C",D3629&gt;0,F3629&gt;0),1,0)</f>
        <v>1</v>
      </c>
      <c r="J3629" s="7" t="n">
        <f aca="false">IF(I3629=1,D3629*F3629,0)</f>
        <v>6.84</v>
      </c>
      <c r="K3629" s="7" t="n">
        <f aca="false">YEAR(E3629)*100+MONTH(E3629)</f>
        <v>201110</v>
      </c>
      <c r="L3629" s="7" t="n">
        <f aca="false">IF(AND(A3629&lt;&gt;A3628,LEFT(A3629,1)&lt;&gt;"C"),1,0)</f>
        <v>0</v>
      </c>
    </row>
    <row r="3630" customFormat="false" ht="15" hidden="false" customHeight="false" outlineLevel="0" collapsed="false">
      <c r="A3630" s="0" t="s">
        <v>2493</v>
      </c>
      <c r="B3630" s="0" t="s">
        <v>1943</v>
      </c>
      <c r="C3630" s="0" t="s">
        <v>1944</v>
      </c>
      <c r="D3630" s="0" t="n">
        <v>36</v>
      </c>
      <c r="E3630" s="6" t="n">
        <v>40835.6833333333</v>
      </c>
      <c r="F3630" s="0" t="n">
        <v>0.19</v>
      </c>
      <c r="G3630" s="0" t="n">
        <v>12685</v>
      </c>
      <c r="H3630" s="0" t="s">
        <v>43</v>
      </c>
      <c r="I3630" s="7" t="n">
        <f aca="false">IF(AND(LEFT(A3630,1)&lt;&gt;"C",D3630&gt;0,F3630&gt;0),1,0)</f>
        <v>1</v>
      </c>
      <c r="J3630" s="7" t="n">
        <f aca="false">IF(I3630=1,D3630*F3630,0)</f>
        <v>6.84</v>
      </c>
      <c r="K3630" s="7" t="n">
        <f aca="false">YEAR(E3630)*100+MONTH(E3630)</f>
        <v>201110</v>
      </c>
      <c r="L3630" s="7" t="n">
        <f aca="false">IF(AND(A3630&lt;&gt;A3629,LEFT(A3630,1)&lt;&gt;"C"),1,0)</f>
        <v>0</v>
      </c>
    </row>
    <row r="3631" customFormat="false" ht="15" hidden="false" customHeight="false" outlineLevel="0" collapsed="false">
      <c r="A3631" s="0" t="s">
        <v>2493</v>
      </c>
      <c r="B3631" s="0" t="s">
        <v>563</v>
      </c>
      <c r="C3631" s="0" t="s">
        <v>564</v>
      </c>
      <c r="D3631" s="0" t="n">
        <v>10</v>
      </c>
      <c r="E3631" s="6" t="n">
        <v>40835.6833333333</v>
      </c>
      <c r="F3631" s="0" t="n">
        <v>2.08</v>
      </c>
      <c r="G3631" s="0" t="n">
        <v>12685</v>
      </c>
      <c r="H3631" s="0" t="s">
        <v>43</v>
      </c>
      <c r="I3631" s="7" t="n">
        <f aca="false">IF(AND(LEFT(A3631,1)&lt;&gt;"C",D3631&gt;0,F3631&gt;0),1,0)</f>
        <v>1</v>
      </c>
      <c r="J3631" s="7" t="n">
        <f aca="false">IF(I3631=1,D3631*F3631,0)</f>
        <v>20.8</v>
      </c>
      <c r="K3631" s="7" t="n">
        <f aca="false">YEAR(E3631)*100+MONTH(E3631)</f>
        <v>201110</v>
      </c>
      <c r="L3631" s="7" t="n">
        <f aca="false">IF(AND(A3631&lt;&gt;A3630,LEFT(A3631,1)&lt;&gt;"C"),1,0)</f>
        <v>0</v>
      </c>
    </row>
    <row r="3632" customFormat="false" ht="15" hidden="false" customHeight="false" outlineLevel="0" collapsed="false">
      <c r="A3632" s="0" t="s">
        <v>2493</v>
      </c>
      <c r="B3632" s="0" t="s">
        <v>84</v>
      </c>
      <c r="C3632" s="0" t="s">
        <v>85</v>
      </c>
      <c r="D3632" s="0" t="n">
        <v>2</v>
      </c>
      <c r="E3632" s="6" t="n">
        <v>40835.6833333333</v>
      </c>
      <c r="F3632" s="0" t="n">
        <v>18</v>
      </c>
      <c r="G3632" s="0" t="n">
        <v>12685</v>
      </c>
      <c r="H3632" s="0" t="s">
        <v>43</v>
      </c>
      <c r="I3632" s="7" t="n">
        <f aca="false">IF(AND(LEFT(A3632,1)&lt;&gt;"C",D3632&gt;0,F3632&gt;0),1,0)</f>
        <v>1</v>
      </c>
      <c r="J3632" s="7" t="n">
        <f aca="false">IF(I3632=1,D3632*F3632,0)</f>
        <v>36</v>
      </c>
      <c r="K3632" s="7" t="n">
        <f aca="false">YEAR(E3632)*100+MONTH(E3632)</f>
        <v>201110</v>
      </c>
      <c r="L3632" s="7" t="n">
        <f aca="false">IF(AND(A3632&lt;&gt;A3631,LEFT(A3632,1)&lt;&gt;"C"),1,0)</f>
        <v>0</v>
      </c>
    </row>
    <row r="3633" customFormat="false" ht="15" hidden="false" customHeight="false" outlineLevel="0" collapsed="false">
      <c r="A3633" s="0" t="s">
        <v>2494</v>
      </c>
      <c r="B3633" s="0" t="s">
        <v>1676</v>
      </c>
      <c r="C3633" s="0" t="s">
        <v>1677</v>
      </c>
      <c r="D3633" s="0" t="n">
        <v>-5</v>
      </c>
      <c r="E3633" s="6" t="n">
        <v>40835.6972222222</v>
      </c>
      <c r="F3633" s="0" t="n">
        <v>5.95</v>
      </c>
      <c r="G3633" s="0" t="n">
        <v>12720</v>
      </c>
      <c r="H3633" s="0" t="s">
        <v>33</v>
      </c>
      <c r="I3633" s="7" t="n">
        <f aca="false">IF(AND(LEFT(A3633,1)&lt;&gt;"C",D3633&gt;0,F3633&gt;0),1,0)</f>
        <v>0</v>
      </c>
      <c r="J3633" s="7" t="n">
        <f aca="false">IF(I3633=1,D3633*F3633,0)</f>
        <v>0</v>
      </c>
      <c r="K3633" s="7" t="n">
        <f aca="false">YEAR(E3633)*100+MONTH(E3633)</f>
        <v>201110</v>
      </c>
      <c r="L3633" s="7" t="n">
        <f aca="false">IF(AND(A3633&lt;&gt;A3632,LEFT(A3633,1)&lt;&gt;"C"),1,0)</f>
        <v>0</v>
      </c>
    </row>
    <row r="3634" customFormat="false" ht="15" hidden="false" customHeight="false" outlineLevel="0" collapsed="false">
      <c r="A3634" s="0" t="s">
        <v>2495</v>
      </c>
      <c r="B3634" s="0" t="s">
        <v>1625</v>
      </c>
      <c r="C3634" s="0" t="s">
        <v>1626</v>
      </c>
      <c r="D3634" s="0" t="n">
        <v>2</v>
      </c>
      <c r="E3634" s="6" t="n">
        <v>40836.5215277778</v>
      </c>
      <c r="F3634" s="0" t="n">
        <v>6.35</v>
      </c>
      <c r="G3634" s="0" t="n">
        <v>12642</v>
      </c>
      <c r="H3634" s="0" t="s">
        <v>33</v>
      </c>
      <c r="I3634" s="7" t="n">
        <f aca="false">IF(AND(LEFT(A3634,1)&lt;&gt;"C",D3634&gt;0,F3634&gt;0),1,0)</f>
        <v>1</v>
      </c>
      <c r="J3634" s="7" t="n">
        <f aca="false">IF(I3634=1,D3634*F3634,0)</f>
        <v>12.7</v>
      </c>
      <c r="K3634" s="7" t="n">
        <f aca="false">YEAR(E3634)*100+MONTH(E3634)</f>
        <v>201110</v>
      </c>
      <c r="L3634" s="7" t="n">
        <f aca="false">IF(AND(A3634&lt;&gt;A3633,LEFT(A3634,1)&lt;&gt;"C"),1,0)</f>
        <v>1</v>
      </c>
    </row>
    <row r="3635" customFormat="false" ht="15" hidden="false" customHeight="false" outlineLevel="0" collapsed="false">
      <c r="A3635" s="0" t="s">
        <v>2495</v>
      </c>
      <c r="B3635" s="0" t="s">
        <v>943</v>
      </c>
      <c r="C3635" s="0" t="s">
        <v>944</v>
      </c>
      <c r="D3635" s="0" t="n">
        <v>24</v>
      </c>
      <c r="E3635" s="6" t="n">
        <v>40836.5215277778</v>
      </c>
      <c r="F3635" s="0" t="n">
        <v>1.95</v>
      </c>
      <c r="G3635" s="0" t="n">
        <v>12642</v>
      </c>
      <c r="H3635" s="0" t="s">
        <v>33</v>
      </c>
      <c r="I3635" s="7" t="n">
        <f aca="false">IF(AND(LEFT(A3635,1)&lt;&gt;"C",D3635&gt;0,F3635&gt;0),1,0)</f>
        <v>1</v>
      </c>
      <c r="J3635" s="7" t="n">
        <f aca="false">IF(I3635=1,D3635*F3635,0)</f>
        <v>46.8</v>
      </c>
      <c r="K3635" s="7" t="n">
        <f aca="false">YEAR(E3635)*100+MONTH(E3635)</f>
        <v>201110</v>
      </c>
      <c r="L3635" s="7" t="n">
        <f aca="false">IF(AND(A3635&lt;&gt;A3634,LEFT(A3635,1)&lt;&gt;"C"),1,0)</f>
        <v>0</v>
      </c>
    </row>
    <row r="3636" customFormat="false" ht="15" hidden="false" customHeight="false" outlineLevel="0" collapsed="false">
      <c r="A3636" s="0" t="s">
        <v>2495</v>
      </c>
      <c r="B3636" s="0" t="s">
        <v>1189</v>
      </c>
      <c r="C3636" s="0" t="s">
        <v>1190</v>
      </c>
      <c r="D3636" s="0" t="n">
        <v>24</v>
      </c>
      <c r="E3636" s="6" t="n">
        <v>40836.5215277778</v>
      </c>
      <c r="F3636" s="0" t="n">
        <v>2.89</v>
      </c>
      <c r="G3636" s="0" t="n">
        <v>12642</v>
      </c>
      <c r="H3636" s="0" t="s">
        <v>33</v>
      </c>
      <c r="I3636" s="7" t="n">
        <f aca="false">IF(AND(LEFT(A3636,1)&lt;&gt;"C",D3636&gt;0,F3636&gt;0),1,0)</f>
        <v>1</v>
      </c>
      <c r="J3636" s="7" t="n">
        <f aca="false">IF(I3636=1,D3636*F3636,0)</f>
        <v>69.36</v>
      </c>
      <c r="K3636" s="7" t="n">
        <f aca="false">YEAR(E3636)*100+MONTH(E3636)</f>
        <v>201110</v>
      </c>
      <c r="L3636" s="7" t="n">
        <f aca="false">IF(AND(A3636&lt;&gt;A3635,LEFT(A3636,1)&lt;&gt;"C"),1,0)</f>
        <v>0</v>
      </c>
    </row>
    <row r="3637" customFormat="false" ht="15" hidden="false" customHeight="false" outlineLevel="0" collapsed="false">
      <c r="A3637" s="0" t="s">
        <v>2495</v>
      </c>
      <c r="B3637" s="0" t="s">
        <v>1547</v>
      </c>
      <c r="C3637" s="0" t="s">
        <v>1548</v>
      </c>
      <c r="D3637" s="0" t="n">
        <v>4</v>
      </c>
      <c r="E3637" s="6" t="n">
        <v>40836.5215277778</v>
      </c>
      <c r="F3637" s="0" t="n">
        <v>4.15</v>
      </c>
      <c r="G3637" s="0" t="n">
        <v>12642</v>
      </c>
      <c r="H3637" s="0" t="s">
        <v>33</v>
      </c>
      <c r="I3637" s="7" t="n">
        <f aca="false">IF(AND(LEFT(A3637,1)&lt;&gt;"C",D3637&gt;0,F3637&gt;0),1,0)</f>
        <v>1</v>
      </c>
      <c r="J3637" s="7" t="n">
        <f aca="false">IF(I3637=1,D3637*F3637,0)</f>
        <v>16.6</v>
      </c>
      <c r="K3637" s="7" t="n">
        <f aca="false">YEAR(E3637)*100+MONTH(E3637)</f>
        <v>201110</v>
      </c>
      <c r="L3637" s="7" t="n">
        <f aca="false">IF(AND(A3637&lt;&gt;A3636,LEFT(A3637,1)&lt;&gt;"C"),1,0)</f>
        <v>0</v>
      </c>
    </row>
    <row r="3638" customFormat="false" ht="15" hidden="false" customHeight="false" outlineLevel="0" collapsed="false">
      <c r="A3638" s="0" t="s">
        <v>2495</v>
      </c>
      <c r="B3638" s="0" t="s">
        <v>1000</v>
      </c>
      <c r="C3638" s="0" t="s">
        <v>1001</v>
      </c>
      <c r="D3638" s="0" t="n">
        <v>4</v>
      </c>
      <c r="E3638" s="6" t="n">
        <v>40836.5215277778</v>
      </c>
      <c r="F3638" s="0" t="n">
        <v>4.95</v>
      </c>
      <c r="G3638" s="0" t="n">
        <v>12642</v>
      </c>
      <c r="H3638" s="0" t="s">
        <v>33</v>
      </c>
      <c r="I3638" s="7" t="n">
        <f aca="false">IF(AND(LEFT(A3638,1)&lt;&gt;"C",D3638&gt;0,F3638&gt;0),1,0)</f>
        <v>1</v>
      </c>
      <c r="J3638" s="7" t="n">
        <f aca="false">IF(I3638=1,D3638*F3638,0)</f>
        <v>19.8</v>
      </c>
      <c r="K3638" s="7" t="n">
        <f aca="false">YEAR(E3638)*100+MONTH(E3638)</f>
        <v>201110</v>
      </c>
      <c r="L3638" s="7" t="n">
        <f aca="false">IF(AND(A3638&lt;&gt;A3637,LEFT(A3638,1)&lt;&gt;"C"),1,0)</f>
        <v>0</v>
      </c>
    </row>
    <row r="3639" customFormat="false" ht="15" hidden="false" customHeight="false" outlineLevel="0" collapsed="false">
      <c r="A3639" s="0" t="s">
        <v>2495</v>
      </c>
      <c r="B3639" s="0" t="s">
        <v>293</v>
      </c>
      <c r="C3639" s="0" t="s">
        <v>294</v>
      </c>
      <c r="D3639" s="0" t="n">
        <v>2</v>
      </c>
      <c r="E3639" s="6" t="n">
        <v>40836.5215277778</v>
      </c>
      <c r="F3639" s="0" t="n">
        <v>8.5</v>
      </c>
      <c r="G3639" s="0" t="n">
        <v>12642</v>
      </c>
      <c r="H3639" s="0" t="s">
        <v>33</v>
      </c>
      <c r="I3639" s="7" t="n">
        <f aca="false">IF(AND(LEFT(A3639,1)&lt;&gt;"C",D3639&gt;0,F3639&gt;0),1,0)</f>
        <v>1</v>
      </c>
      <c r="J3639" s="7" t="n">
        <f aca="false">IF(I3639=1,D3639*F3639,0)</f>
        <v>17</v>
      </c>
      <c r="K3639" s="7" t="n">
        <f aca="false">YEAR(E3639)*100+MONTH(E3639)</f>
        <v>201110</v>
      </c>
      <c r="L3639" s="7" t="n">
        <f aca="false">IF(AND(A3639&lt;&gt;A3638,LEFT(A3639,1)&lt;&gt;"C"),1,0)</f>
        <v>0</v>
      </c>
    </row>
    <row r="3640" customFormat="false" ht="15" hidden="false" customHeight="false" outlineLevel="0" collapsed="false">
      <c r="A3640" s="0" t="s">
        <v>2495</v>
      </c>
      <c r="B3640" s="0" t="s">
        <v>365</v>
      </c>
      <c r="C3640" s="0" t="s">
        <v>366</v>
      </c>
      <c r="D3640" s="0" t="n">
        <v>6</v>
      </c>
      <c r="E3640" s="6" t="n">
        <v>40836.5215277778</v>
      </c>
      <c r="F3640" s="0" t="n">
        <v>2.95</v>
      </c>
      <c r="G3640" s="0" t="n">
        <v>12642</v>
      </c>
      <c r="H3640" s="0" t="s">
        <v>33</v>
      </c>
      <c r="I3640" s="7" t="n">
        <f aca="false">IF(AND(LEFT(A3640,1)&lt;&gt;"C",D3640&gt;0,F3640&gt;0),1,0)</f>
        <v>1</v>
      </c>
      <c r="J3640" s="7" t="n">
        <f aca="false">IF(I3640=1,D3640*F3640,0)</f>
        <v>17.7</v>
      </c>
      <c r="K3640" s="7" t="n">
        <f aca="false">YEAR(E3640)*100+MONTH(E3640)</f>
        <v>201110</v>
      </c>
      <c r="L3640" s="7" t="n">
        <f aca="false">IF(AND(A3640&lt;&gt;A3639,LEFT(A3640,1)&lt;&gt;"C"),1,0)</f>
        <v>0</v>
      </c>
    </row>
    <row r="3641" customFormat="false" ht="15" hidden="false" customHeight="false" outlineLevel="0" collapsed="false">
      <c r="A3641" s="0" t="s">
        <v>2495</v>
      </c>
      <c r="B3641" s="0" t="s">
        <v>115</v>
      </c>
      <c r="C3641" s="0" t="s">
        <v>116</v>
      </c>
      <c r="D3641" s="0" t="n">
        <v>12</v>
      </c>
      <c r="E3641" s="6" t="n">
        <v>40836.5215277778</v>
      </c>
      <c r="F3641" s="0" t="n">
        <v>0.85</v>
      </c>
      <c r="G3641" s="0" t="n">
        <v>12642</v>
      </c>
      <c r="H3641" s="0" t="s">
        <v>33</v>
      </c>
      <c r="I3641" s="7" t="n">
        <f aca="false">IF(AND(LEFT(A3641,1)&lt;&gt;"C",D3641&gt;0,F3641&gt;0),1,0)</f>
        <v>1</v>
      </c>
      <c r="J3641" s="7" t="n">
        <f aca="false">IF(I3641=1,D3641*F3641,0)</f>
        <v>10.2</v>
      </c>
      <c r="K3641" s="7" t="n">
        <f aca="false">YEAR(E3641)*100+MONTH(E3641)</f>
        <v>201110</v>
      </c>
      <c r="L3641" s="7" t="n">
        <f aca="false">IF(AND(A3641&lt;&gt;A3640,LEFT(A3641,1)&lt;&gt;"C"),1,0)</f>
        <v>0</v>
      </c>
    </row>
    <row r="3642" customFormat="false" ht="15" hidden="false" customHeight="false" outlineLevel="0" collapsed="false">
      <c r="A3642" s="0" t="s">
        <v>2495</v>
      </c>
      <c r="B3642" s="0" t="s">
        <v>308</v>
      </c>
      <c r="C3642" s="0" t="s">
        <v>309</v>
      </c>
      <c r="D3642" s="0" t="n">
        <v>24</v>
      </c>
      <c r="E3642" s="6" t="n">
        <v>40836.5215277778</v>
      </c>
      <c r="F3642" s="0" t="n">
        <v>1.25</v>
      </c>
      <c r="G3642" s="0" t="n">
        <v>12642</v>
      </c>
      <c r="H3642" s="0" t="s">
        <v>33</v>
      </c>
      <c r="I3642" s="7" t="n">
        <f aca="false">IF(AND(LEFT(A3642,1)&lt;&gt;"C",D3642&gt;0,F3642&gt;0),1,0)</f>
        <v>1</v>
      </c>
      <c r="J3642" s="7" t="n">
        <f aca="false">IF(I3642=1,D3642*F3642,0)</f>
        <v>30</v>
      </c>
      <c r="K3642" s="7" t="n">
        <f aca="false">YEAR(E3642)*100+MONTH(E3642)</f>
        <v>201110</v>
      </c>
      <c r="L3642" s="7" t="n">
        <f aca="false">IF(AND(A3642&lt;&gt;A3641,LEFT(A3642,1)&lt;&gt;"C"),1,0)</f>
        <v>0</v>
      </c>
    </row>
    <row r="3643" customFormat="false" ht="15" hidden="false" customHeight="false" outlineLevel="0" collapsed="false">
      <c r="A3643" s="0" t="s">
        <v>2495</v>
      </c>
      <c r="B3643" s="0" t="s">
        <v>960</v>
      </c>
      <c r="C3643" s="0" t="s">
        <v>961</v>
      </c>
      <c r="D3643" s="0" t="n">
        <v>4</v>
      </c>
      <c r="E3643" s="6" t="n">
        <v>40836.5215277778</v>
      </c>
      <c r="F3643" s="0" t="n">
        <v>3.95</v>
      </c>
      <c r="G3643" s="0" t="n">
        <v>12642</v>
      </c>
      <c r="H3643" s="0" t="s">
        <v>33</v>
      </c>
      <c r="I3643" s="7" t="n">
        <f aca="false">IF(AND(LEFT(A3643,1)&lt;&gt;"C",D3643&gt;0,F3643&gt;0),1,0)</f>
        <v>1</v>
      </c>
      <c r="J3643" s="7" t="n">
        <f aca="false">IF(I3643=1,D3643*F3643,0)</f>
        <v>15.8</v>
      </c>
      <c r="K3643" s="7" t="n">
        <f aca="false">YEAR(E3643)*100+MONTH(E3643)</f>
        <v>201110</v>
      </c>
      <c r="L3643" s="7" t="n">
        <f aca="false">IF(AND(A3643&lt;&gt;A3642,LEFT(A3643,1)&lt;&gt;"C"),1,0)</f>
        <v>0</v>
      </c>
    </row>
    <row r="3644" customFormat="false" ht="15" hidden="false" customHeight="false" outlineLevel="0" collapsed="false">
      <c r="A3644" s="0" t="s">
        <v>2495</v>
      </c>
      <c r="B3644" s="0" t="s">
        <v>84</v>
      </c>
      <c r="C3644" s="0" t="s">
        <v>85</v>
      </c>
      <c r="D3644" s="0" t="n">
        <v>2</v>
      </c>
      <c r="E3644" s="6" t="n">
        <v>40836.5215277778</v>
      </c>
      <c r="F3644" s="0" t="n">
        <v>18</v>
      </c>
      <c r="G3644" s="0" t="n">
        <v>12642</v>
      </c>
      <c r="H3644" s="0" t="s">
        <v>33</v>
      </c>
      <c r="I3644" s="7" t="n">
        <f aca="false">IF(AND(LEFT(A3644,1)&lt;&gt;"C",D3644&gt;0,F3644&gt;0),1,0)</f>
        <v>1</v>
      </c>
      <c r="J3644" s="7" t="n">
        <f aca="false">IF(I3644=1,D3644*F3644,0)</f>
        <v>36</v>
      </c>
      <c r="K3644" s="7" t="n">
        <f aca="false">YEAR(E3644)*100+MONTH(E3644)</f>
        <v>201110</v>
      </c>
      <c r="L3644" s="7" t="n">
        <f aca="false">IF(AND(A3644&lt;&gt;A3643,LEFT(A3644,1)&lt;&gt;"C"),1,0)</f>
        <v>0</v>
      </c>
    </row>
    <row r="3645" customFormat="false" ht="15" hidden="false" customHeight="false" outlineLevel="0" collapsed="false">
      <c r="A3645" s="0" t="s">
        <v>2496</v>
      </c>
      <c r="B3645" s="0" t="s">
        <v>144</v>
      </c>
      <c r="C3645" s="0" t="s">
        <v>145</v>
      </c>
      <c r="D3645" s="0" t="n">
        <v>12</v>
      </c>
      <c r="E3645" s="6" t="n">
        <v>40836.5361111111</v>
      </c>
      <c r="F3645" s="0" t="n">
        <v>1.25</v>
      </c>
      <c r="G3645" s="0" t="n">
        <v>12569</v>
      </c>
      <c r="H3645" s="0" t="s">
        <v>33</v>
      </c>
      <c r="I3645" s="7" t="n">
        <f aca="false">IF(AND(LEFT(A3645,1)&lt;&gt;"C",D3645&gt;0,F3645&gt;0),1,0)</f>
        <v>1</v>
      </c>
      <c r="J3645" s="7" t="n">
        <f aca="false">IF(I3645=1,D3645*F3645,0)</f>
        <v>15</v>
      </c>
      <c r="K3645" s="7" t="n">
        <f aca="false">YEAR(E3645)*100+MONTH(E3645)</f>
        <v>201110</v>
      </c>
      <c r="L3645" s="7" t="n">
        <f aca="false">IF(AND(A3645&lt;&gt;A3644,LEFT(A3645,1)&lt;&gt;"C"),1,0)</f>
        <v>1</v>
      </c>
    </row>
    <row r="3646" customFormat="false" ht="15" hidden="false" customHeight="false" outlineLevel="0" collapsed="false">
      <c r="A3646" s="0" t="s">
        <v>2496</v>
      </c>
      <c r="B3646" s="0" t="s">
        <v>2497</v>
      </c>
      <c r="C3646" s="0" t="s">
        <v>2498</v>
      </c>
      <c r="D3646" s="0" t="n">
        <v>12</v>
      </c>
      <c r="E3646" s="6" t="n">
        <v>40836.5361111111</v>
      </c>
      <c r="F3646" s="0" t="n">
        <v>1.65</v>
      </c>
      <c r="G3646" s="0" t="n">
        <v>12569</v>
      </c>
      <c r="H3646" s="0" t="s">
        <v>33</v>
      </c>
      <c r="I3646" s="7" t="n">
        <f aca="false">IF(AND(LEFT(A3646,1)&lt;&gt;"C",D3646&gt;0,F3646&gt;0),1,0)</f>
        <v>1</v>
      </c>
      <c r="J3646" s="7" t="n">
        <f aca="false">IF(I3646=1,D3646*F3646,0)</f>
        <v>19.8</v>
      </c>
      <c r="K3646" s="7" t="n">
        <f aca="false">YEAR(E3646)*100+MONTH(E3646)</f>
        <v>201110</v>
      </c>
      <c r="L3646" s="7" t="n">
        <f aca="false">IF(AND(A3646&lt;&gt;A3645,LEFT(A3646,1)&lt;&gt;"C"),1,0)</f>
        <v>0</v>
      </c>
    </row>
    <row r="3647" customFormat="false" ht="15" hidden="false" customHeight="false" outlineLevel="0" collapsed="false">
      <c r="A3647" s="0" t="s">
        <v>2496</v>
      </c>
      <c r="B3647" s="0" t="s">
        <v>1919</v>
      </c>
      <c r="C3647" s="0" t="s">
        <v>1920</v>
      </c>
      <c r="D3647" s="0" t="n">
        <v>12</v>
      </c>
      <c r="E3647" s="6" t="n">
        <v>40836.5361111111</v>
      </c>
      <c r="F3647" s="0" t="n">
        <v>1.25</v>
      </c>
      <c r="G3647" s="0" t="n">
        <v>12569</v>
      </c>
      <c r="H3647" s="0" t="s">
        <v>33</v>
      </c>
      <c r="I3647" s="7" t="n">
        <f aca="false">IF(AND(LEFT(A3647,1)&lt;&gt;"C",D3647&gt;0,F3647&gt;0),1,0)</f>
        <v>1</v>
      </c>
      <c r="J3647" s="7" t="n">
        <f aca="false">IF(I3647=1,D3647*F3647,0)</f>
        <v>15</v>
      </c>
      <c r="K3647" s="7" t="n">
        <f aca="false">YEAR(E3647)*100+MONTH(E3647)</f>
        <v>201110</v>
      </c>
      <c r="L3647" s="7" t="n">
        <f aca="false">IF(AND(A3647&lt;&gt;A3646,LEFT(A3647,1)&lt;&gt;"C"),1,0)</f>
        <v>0</v>
      </c>
    </row>
    <row r="3648" customFormat="false" ht="15" hidden="false" customHeight="false" outlineLevel="0" collapsed="false">
      <c r="A3648" s="0" t="s">
        <v>2496</v>
      </c>
      <c r="B3648" s="0" t="s">
        <v>1976</v>
      </c>
      <c r="C3648" s="0" t="s">
        <v>1977</v>
      </c>
      <c r="D3648" s="0" t="n">
        <v>12</v>
      </c>
      <c r="E3648" s="6" t="n">
        <v>40836.5361111111</v>
      </c>
      <c r="F3648" s="0" t="n">
        <v>1.49</v>
      </c>
      <c r="G3648" s="0" t="n">
        <v>12569</v>
      </c>
      <c r="H3648" s="0" t="s">
        <v>33</v>
      </c>
      <c r="I3648" s="7" t="n">
        <f aca="false">IF(AND(LEFT(A3648,1)&lt;&gt;"C",D3648&gt;0,F3648&gt;0),1,0)</f>
        <v>1</v>
      </c>
      <c r="J3648" s="7" t="n">
        <f aca="false">IF(I3648=1,D3648*F3648,0)</f>
        <v>17.88</v>
      </c>
      <c r="K3648" s="7" t="n">
        <f aca="false">YEAR(E3648)*100+MONTH(E3648)</f>
        <v>201110</v>
      </c>
      <c r="L3648" s="7" t="n">
        <f aca="false">IF(AND(A3648&lt;&gt;A3647,LEFT(A3648,1)&lt;&gt;"C"),1,0)</f>
        <v>0</v>
      </c>
    </row>
    <row r="3649" customFormat="false" ht="15" hidden="false" customHeight="false" outlineLevel="0" collapsed="false">
      <c r="A3649" s="0" t="s">
        <v>2496</v>
      </c>
      <c r="B3649" s="0" t="s">
        <v>84</v>
      </c>
      <c r="C3649" s="0" t="s">
        <v>85</v>
      </c>
      <c r="D3649" s="0" t="n">
        <v>1</v>
      </c>
      <c r="E3649" s="6" t="n">
        <v>40836.5361111111</v>
      </c>
      <c r="F3649" s="0" t="n">
        <v>18</v>
      </c>
      <c r="G3649" s="0" t="n">
        <v>12569</v>
      </c>
      <c r="H3649" s="0" t="s">
        <v>33</v>
      </c>
      <c r="I3649" s="7" t="n">
        <f aca="false">IF(AND(LEFT(A3649,1)&lt;&gt;"C",D3649&gt;0,F3649&gt;0),1,0)</f>
        <v>1</v>
      </c>
      <c r="J3649" s="7" t="n">
        <f aca="false">IF(I3649=1,D3649*F3649,0)</f>
        <v>18</v>
      </c>
      <c r="K3649" s="7" t="n">
        <f aca="false">YEAR(E3649)*100+MONTH(E3649)</f>
        <v>201110</v>
      </c>
      <c r="L3649" s="7" t="n">
        <f aca="false">IF(AND(A3649&lt;&gt;A3648,LEFT(A3649,1)&lt;&gt;"C"),1,0)</f>
        <v>0</v>
      </c>
    </row>
    <row r="3650" customFormat="false" ht="15" hidden="false" customHeight="false" outlineLevel="0" collapsed="false">
      <c r="A3650" s="0" t="s">
        <v>2499</v>
      </c>
      <c r="B3650" s="0" t="s">
        <v>416</v>
      </c>
      <c r="C3650" s="0" t="s">
        <v>417</v>
      </c>
      <c r="D3650" s="0" t="n">
        <v>36</v>
      </c>
      <c r="E3650" s="6" t="n">
        <v>40836.5368055556</v>
      </c>
      <c r="F3650" s="0" t="n">
        <v>0.65</v>
      </c>
      <c r="G3650" s="0" t="n">
        <v>12474</v>
      </c>
      <c r="H3650" s="0" t="s">
        <v>33</v>
      </c>
      <c r="I3650" s="7" t="n">
        <f aca="false">IF(AND(LEFT(A3650,1)&lt;&gt;"C",D3650&gt;0,F3650&gt;0),1,0)</f>
        <v>1</v>
      </c>
      <c r="J3650" s="7" t="n">
        <f aca="false">IF(I3650=1,D3650*F3650,0)</f>
        <v>23.4</v>
      </c>
      <c r="K3650" s="7" t="n">
        <f aca="false">YEAR(E3650)*100+MONTH(E3650)</f>
        <v>201110</v>
      </c>
      <c r="L3650" s="7" t="n">
        <f aca="false">IF(AND(A3650&lt;&gt;A3649,LEFT(A3650,1)&lt;&gt;"C"),1,0)</f>
        <v>1</v>
      </c>
    </row>
    <row r="3651" customFormat="false" ht="15" hidden="false" customHeight="false" outlineLevel="0" collapsed="false">
      <c r="A3651" s="0" t="s">
        <v>2499</v>
      </c>
      <c r="B3651" s="0" t="s">
        <v>1090</v>
      </c>
      <c r="C3651" s="0" t="s">
        <v>1091</v>
      </c>
      <c r="D3651" s="0" t="n">
        <v>10</v>
      </c>
      <c r="E3651" s="6" t="n">
        <v>40836.5368055556</v>
      </c>
      <c r="F3651" s="0" t="n">
        <v>0.85</v>
      </c>
      <c r="G3651" s="0" t="n">
        <v>12474</v>
      </c>
      <c r="H3651" s="0" t="s">
        <v>33</v>
      </c>
      <c r="I3651" s="7" t="n">
        <f aca="false">IF(AND(LEFT(A3651,1)&lt;&gt;"C",D3651&gt;0,F3651&gt;0),1,0)</f>
        <v>1</v>
      </c>
      <c r="J3651" s="7" t="n">
        <f aca="false">IF(I3651=1,D3651*F3651,0)</f>
        <v>8.5</v>
      </c>
      <c r="K3651" s="7" t="n">
        <f aca="false">YEAR(E3651)*100+MONTH(E3651)</f>
        <v>201110</v>
      </c>
      <c r="L3651" s="7" t="n">
        <f aca="false">IF(AND(A3651&lt;&gt;A3650,LEFT(A3651,1)&lt;&gt;"C"),1,0)</f>
        <v>0</v>
      </c>
    </row>
    <row r="3652" customFormat="false" ht="15" hidden="false" customHeight="false" outlineLevel="0" collapsed="false">
      <c r="A3652" s="0" t="s">
        <v>2499</v>
      </c>
      <c r="B3652" s="0" t="s">
        <v>333</v>
      </c>
      <c r="C3652" s="0" t="s">
        <v>334</v>
      </c>
      <c r="D3652" s="0" t="n">
        <v>12</v>
      </c>
      <c r="E3652" s="6" t="n">
        <v>40836.5368055556</v>
      </c>
      <c r="F3652" s="0" t="n">
        <v>1.65</v>
      </c>
      <c r="G3652" s="0" t="n">
        <v>12474</v>
      </c>
      <c r="H3652" s="0" t="s">
        <v>33</v>
      </c>
      <c r="I3652" s="7" t="n">
        <f aca="false">IF(AND(LEFT(A3652,1)&lt;&gt;"C",D3652&gt;0,F3652&gt;0),1,0)</f>
        <v>1</v>
      </c>
      <c r="J3652" s="7" t="n">
        <f aca="false">IF(I3652=1,D3652*F3652,0)</f>
        <v>19.8</v>
      </c>
      <c r="K3652" s="7" t="n">
        <f aca="false">YEAR(E3652)*100+MONTH(E3652)</f>
        <v>201110</v>
      </c>
      <c r="L3652" s="7" t="n">
        <f aca="false">IF(AND(A3652&lt;&gt;A3651,LEFT(A3652,1)&lt;&gt;"C"),1,0)</f>
        <v>0</v>
      </c>
    </row>
    <row r="3653" customFormat="false" ht="15" hidden="false" customHeight="false" outlineLevel="0" collapsed="false">
      <c r="A3653" s="0" t="s">
        <v>2499</v>
      </c>
      <c r="B3653" s="0" t="s">
        <v>2124</v>
      </c>
      <c r="C3653" s="0" t="s">
        <v>2125</v>
      </c>
      <c r="D3653" s="0" t="n">
        <v>4</v>
      </c>
      <c r="E3653" s="6" t="n">
        <v>40836.5368055556</v>
      </c>
      <c r="F3653" s="0" t="n">
        <v>3.75</v>
      </c>
      <c r="G3653" s="0" t="n">
        <v>12474</v>
      </c>
      <c r="H3653" s="0" t="s">
        <v>33</v>
      </c>
      <c r="I3653" s="7" t="n">
        <f aca="false">IF(AND(LEFT(A3653,1)&lt;&gt;"C",D3653&gt;0,F3653&gt;0),1,0)</f>
        <v>1</v>
      </c>
      <c r="J3653" s="7" t="n">
        <f aca="false">IF(I3653=1,D3653*F3653,0)</f>
        <v>15</v>
      </c>
      <c r="K3653" s="7" t="n">
        <f aca="false">YEAR(E3653)*100+MONTH(E3653)</f>
        <v>201110</v>
      </c>
      <c r="L3653" s="7" t="n">
        <f aca="false">IF(AND(A3653&lt;&gt;A3652,LEFT(A3653,1)&lt;&gt;"C"),1,0)</f>
        <v>0</v>
      </c>
    </row>
    <row r="3654" customFormat="false" ht="15" hidden="false" customHeight="false" outlineLevel="0" collapsed="false">
      <c r="A3654" s="0" t="s">
        <v>2499</v>
      </c>
      <c r="B3654" s="0" t="s">
        <v>655</v>
      </c>
      <c r="C3654" s="0" t="s">
        <v>656</v>
      </c>
      <c r="D3654" s="0" t="n">
        <v>4</v>
      </c>
      <c r="E3654" s="6" t="n">
        <v>40836.5368055556</v>
      </c>
      <c r="F3654" s="0" t="n">
        <v>3.75</v>
      </c>
      <c r="G3654" s="0" t="n">
        <v>12474</v>
      </c>
      <c r="H3654" s="0" t="s">
        <v>33</v>
      </c>
      <c r="I3654" s="7" t="n">
        <f aca="false">IF(AND(LEFT(A3654,1)&lt;&gt;"C",D3654&gt;0,F3654&gt;0),1,0)</f>
        <v>1</v>
      </c>
      <c r="J3654" s="7" t="n">
        <f aca="false">IF(I3654=1,D3654*F3654,0)</f>
        <v>15</v>
      </c>
      <c r="K3654" s="7" t="n">
        <f aca="false">YEAR(E3654)*100+MONTH(E3654)</f>
        <v>201110</v>
      </c>
      <c r="L3654" s="7" t="n">
        <f aca="false">IF(AND(A3654&lt;&gt;A3653,LEFT(A3654,1)&lt;&gt;"C"),1,0)</f>
        <v>0</v>
      </c>
    </row>
    <row r="3655" customFormat="false" ht="15" hidden="false" customHeight="false" outlineLevel="0" collapsed="false">
      <c r="A3655" s="0" t="s">
        <v>2499</v>
      </c>
      <c r="B3655" s="0" t="s">
        <v>195</v>
      </c>
      <c r="C3655" s="0" t="s">
        <v>196</v>
      </c>
      <c r="D3655" s="0" t="n">
        <v>12</v>
      </c>
      <c r="E3655" s="6" t="n">
        <v>40836.5368055556</v>
      </c>
      <c r="F3655" s="0" t="n">
        <v>0.85</v>
      </c>
      <c r="G3655" s="0" t="n">
        <v>12474</v>
      </c>
      <c r="H3655" s="0" t="s">
        <v>33</v>
      </c>
      <c r="I3655" s="7" t="n">
        <f aca="false">IF(AND(LEFT(A3655,1)&lt;&gt;"C",D3655&gt;0,F3655&gt;0),1,0)</f>
        <v>1</v>
      </c>
      <c r="J3655" s="7" t="n">
        <f aca="false">IF(I3655=1,D3655*F3655,0)</f>
        <v>10.2</v>
      </c>
      <c r="K3655" s="7" t="n">
        <f aca="false">YEAR(E3655)*100+MONTH(E3655)</f>
        <v>201110</v>
      </c>
      <c r="L3655" s="7" t="n">
        <f aca="false">IF(AND(A3655&lt;&gt;A3654,LEFT(A3655,1)&lt;&gt;"C"),1,0)</f>
        <v>0</v>
      </c>
    </row>
    <row r="3656" customFormat="false" ht="15" hidden="false" customHeight="false" outlineLevel="0" collapsed="false">
      <c r="A3656" s="0" t="s">
        <v>2499</v>
      </c>
      <c r="B3656" s="0" t="s">
        <v>197</v>
      </c>
      <c r="C3656" s="0" t="s">
        <v>198</v>
      </c>
      <c r="D3656" s="0" t="n">
        <v>24</v>
      </c>
      <c r="E3656" s="6" t="n">
        <v>40836.5368055556</v>
      </c>
      <c r="F3656" s="0" t="n">
        <v>0.85</v>
      </c>
      <c r="G3656" s="0" t="n">
        <v>12474</v>
      </c>
      <c r="H3656" s="0" t="s">
        <v>33</v>
      </c>
      <c r="I3656" s="7" t="n">
        <f aca="false">IF(AND(LEFT(A3656,1)&lt;&gt;"C",D3656&gt;0,F3656&gt;0),1,0)</f>
        <v>1</v>
      </c>
      <c r="J3656" s="7" t="n">
        <f aca="false">IF(I3656=1,D3656*F3656,0)</f>
        <v>20.4</v>
      </c>
      <c r="K3656" s="7" t="n">
        <f aca="false">YEAR(E3656)*100+MONTH(E3656)</f>
        <v>201110</v>
      </c>
      <c r="L3656" s="7" t="n">
        <f aca="false">IF(AND(A3656&lt;&gt;A3655,LEFT(A3656,1)&lt;&gt;"C"),1,0)</f>
        <v>0</v>
      </c>
    </row>
    <row r="3657" customFormat="false" ht="15" hidden="false" customHeight="false" outlineLevel="0" collapsed="false">
      <c r="A3657" s="0" t="s">
        <v>2499</v>
      </c>
      <c r="B3657" s="0" t="s">
        <v>1048</v>
      </c>
      <c r="C3657" s="0" t="s">
        <v>1049</v>
      </c>
      <c r="D3657" s="0" t="n">
        <v>4</v>
      </c>
      <c r="E3657" s="6" t="n">
        <v>40836.5368055556</v>
      </c>
      <c r="F3657" s="0" t="n">
        <v>4.15</v>
      </c>
      <c r="G3657" s="0" t="n">
        <v>12474</v>
      </c>
      <c r="H3657" s="0" t="s">
        <v>33</v>
      </c>
      <c r="I3657" s="7" t="n">
        <f aca="false">IF(AND(LEFT(A3657,1)&lt;&gt;"C",D3657&gt;0,F3657&gt;0),1,0)</f>
        <v>1</v>
      </c>
      <c r="J3657" s="7" t="n">
        <f aca="false">IF(I3657=1,D3657*F3657,0)</f>
        <v>16.6</v>
      </c>
      <c r="K3657" s="7" t="n">
        <f aca="false">YEAR(E3657)*100+MONTH(E3657)</f>
        <v>201110</v>
      </c>
      <c r="L3657" s="7" t="n">
        <f aca="false">IF(AND(A3657&lt;&gt;A3656,LEFT(A3657,1)&lt;&gt;"C"),1,0)</f>
        <v>0</v>
      </c>
    </row>
    <row r="3658" customFormat="false" ht="15" hidden="false" customHeight="false" outlineLevel="0" collapsed="false">
      <c r="A3658" s="0" t="s">
        <v>2499</v>
      </c>
      <c r="B3658" s="0" t="s">
        <v>107</v>
      </c>
      <c r="C3658" s="0" t="s">
        <v>108</v>
      </c>
      <c r="D3658" s="0" t="n">
        <v>24</v>
      </c>
      <c r="E3658" s="6" t="n">
        <v>40836.5368055556</v>
      </c>
      <c r="F3658" s="0" t="n">
        <v>2.55</v>
      </c>
      <c r="G3658" s="0" t="n">
        <v>12474</v>
      </c>
      <c r="H3658" s="0" t="s">
        <v>33</v>
      </c>
      <c r="I3658" s="7" t="n">
        <f aca="false">IF(AND(LEFT(A3658,1)&lt;&gt;"C",D3658&gt;0,F3658&gt;0),1,0)</f>
        <v>1</v>
      </c>
      <c r="J3658" s="7" t="n">
        <f aca="false">IF(I3658=1,D3658*F3658,0)</f>
        <v>61.2</v>
      </c>
      <c r="K3658" s="7" t="n">
        <f aca="false">YEAR(E3658)*100+MONTH(E3658)</f>
        <v>201110</v>
      </c>
      <c r="L3658" s="7" t="n">
        <f aca="false">IF(AND(A3658&lt;&gt;A3657,LEFT(A3658,1)&lt;&gt;"C"),1,0)</f>
        <v>0</v>
      </c>
    </row>
    <row r="3659" customFormat="false" ht="15" hidden="false" customHeight="false" outlineLevel="0" collapsed="false">
      <c r="A3659" s="0" t="s">
        <v>2499</v>
      </c>
      <c r="B3659" s="0" t="s">
        <v>1175</v>
      </c>
      <c r="C3659" s="0" t="s">
        <v>1176</v>
      </c>
      <c r="D3659" s="0" t="n">
        <v>12</v>
      </c>
      <c r="E3659" s="6" t="n">
        <v>40836.5368055556</v>
      </c>
      <c r="F3659" s="0" t="n">
        <v>2.08</v>
      </c>
      <c r="G3659" s="0" t="n">
        <v>12474</v>
      </c>
      <c r="H3659" s="0" t="s">
        <v>33</v>
      </c>
      <c r="I3659" s="7" t="n">
        <f aca="false">IF(AND(LEFT(A3659,1)&lt;&gt;"C",D3659&gt;0,F3659&gt;0),1,0)</f>
        <v>1</v>
      </c>
      <c r="J3659" s="7" t="n">
        <f aca="false">IF(I3659=1,D3659*F3659,0)</f>
        <v>24.96</v>
      </c>
      <c r="K3659" s="7" t="n">
        <f aca="false">YEAR(E3659)*100+MONTH(E3659)</f>
        <v>201110</v>
      </c>
      <c r="L3659" s="7" t="n">
        <f aca="false">IF(AND(A3659&lt;&gt;A3658,LEFT(A3659,1)&lt;&gt;"C"),1,0)</f>
        <v>0</v>
      </c>
    </row>
    <row r="3660" customFormat="false" ht="15" hidden="false" customHeight="false" outlineLevel="0" collapsed="false">
      <c r="A3660" s="0" t="s">
        <v>2499</v>
      </c>
      <c r="B3660" s="0" t="s">
        <v>46</v>
      </c>
      <c r="C3660" s="0" t="s">
        <v>47</v>
      </c>
      <c r="D3660" s="0" t="n">
        <v>12</v>
      </c>
      <c r="E3660" s="6" t="n">
        <v>40836.5368055556</v>
      </c>
      <c r="F3660" s="0" t="n">
        <v>0.65</v>
      </c>
      <c r="G3660" s="0" t="n">
        <v>12474</v>
      </c>
      <c r="H3660" s="0" t="s">
        <v>33</v>
      </c>
      <c r="I3660" s="7" t="n">
        <f aca="false">IF(AND(LEFT(A3660,1)&lt;&gt;"C",D3660&gt;0,F3660&gt;0),1,0)</f>
        <v>1</v>
      </c>
      <c r="J3660" s="7" t="n">
        <f aca="false">IF(I3660=1,D3660*F3660,0)</f>
        <v>7.8</v>
      </c>
      <c r="K3660" s="7" t="n">
        <f aca="false">YEAR(E3660)*100+MONTH(E3660)</f>
        <v>201110</v>
      </c>
      <c r="L3660" s="7" t="n">
        <f aca="false">IF(AND(A3660&lt;&gt;A3659,LEFT(A3660,1)&lt;&gt;"C"),1,0)</f>
        <v>0</v>
      </c>
    </row>
    <row r="3661" customFormat="false" ht="15" hidden="false" customHeight="false" outlineLevel="0" collapsed="false">
      <c r="A3661" s="0" t="s">
        <v>2499</v>
      </c>
      <c r="B3661" s="0" t="s">
        <v>44</v>
      </c>
      <c r="C3661" s="0" t="s">
        <v>45</v>
      </c>
      <c r="D3661" s="0" t="n">
        <v>12</v>
      </c>
      <c r="E3661" s="6" t="n">
        <v>40836.5368055556</v>
      </c>
      <c r="F3661" s="0" t="n">
        <v>0.65</v>
      </c>
      <c r="G3661" s="0" t="n">
        <v>12474</v>
      </c>
      <c r="H3661" s="0" t="s">
        <v>33</v>
      </c>
      <c r="I3661" s="7" t="n">
        <f aca="false">IF(AND(LEFT(A3661,1)&lt;&gt;"C",D3661&gt;0,F3661&gt;0),1,0)</f>
        <v>1</v>
      </c>
      <c r="J3661" s="7" t="n">
        <f aca="false">IF(I3661=1,D3661*F3661,0)</f>
        <v>7.8</v>
      </c>
      <c r="K3661" s="7" t="n">
        <f aca="false">YEAR(E3661)*100+MONTH(E3661)</f>
        <v>201110</v>
      </c>
      <c r="L3661" s="7" t="n">
        <f aca="false">IF(AND(A3661&lt;&gt;A3660,LEFT(A3661,1)&lt;&gt;"C"),1,0)</f>
        <v>0</v>
      </c>
    </row>
    <row r="3662" customFormat="false" ht="15" hidden="false" customHeight="false" outlineLevel="0" collapsed="false">
      <c r="A3662" s="0" t="s">
        <v>2499</v>
      </c>
      <c r="B3662" s="0" t="s">
        <v>2489</v>
      </c>
      <c r="C3662" s="0" t="s">
        <v>2490</v>
      </c>
      <c r="D3662" s="0" t="n">
        <v>12</v>
      </c>
      <c r="E3662" s="6" t="n">
        <v>40836.5368055556</v>
      </c>
      <c r="F3662" s="0" t="n">
        <v>0.42</v>
      </c>
      <c r="G3662" s="0" t="n">
        <v>12474</v>
      </c>
      <c r="H3662" s="0" t="s">
        <v>33</v>
      </c>
      <c r="I3662" s="7" t="n">
        <f aca="false">IF(AND(LEFT(A3662,1)&lt;&gt;"C",D3662&gt;0,F3662&gt;0),1,0)</f>
        <v>1</v>
      </c>
      <c r="J3662" s="7" t="n">
        <f aca="false">IF(I3662=1,D3662*F3662,0)</f>
        <v>5.04</v>
      </c>
      <c r="K3662" s="7" t="n">
        <f aca="false">YEAR(E3662)*100+MONTH(E3662)</f>
        <v>201110</v>
      </c>
      <c r="L3662" s="7" t="n">
        <f aca="false">IF(AND(A3662&lt;&gt;A3661,LEFT(A3662,1)&lt;&gt;"C"),1,0)</f>
        <v>0</v>
      </c>
    </row>
    <row r="3663" customFormat="false" ht="15" hidden="false" customHeight="false" outlineLevel="0" collapsed="false">
      <c r="A3663" s="0" t="s">
        <v>2499</v>
      </c>
      <c r="B3663" s="0" t="s">
        <v>1162</v>
      </c>
      <c r="C3663" s="0" t="s">
        <v>1163</v>
      </c>
      <c r="D3663" s="0" t="n">
        <v>25</v>
      </c>
      <c r="E3663" s="6" t="n">
        <v>40836.5368055556</v>
      </c>
      <c r="F3663" s="0" t="n">
        <v>0.42</v>
      </c>
      <c r="G3663" s="0" t="n">
        <v>12474</v>
      </c>
      <c r="H3663" s="0" t="s">
        <v>33</v>
      </c>
      <c r="I3663" s="7" t="n">
        <f aca="false">IF(AND(LEFT(A3663,1)&lt;&gt;"C",D3663&gt;0,F3663&gt;0),1,0)</f>
        <v>1</v>
      </c>
      <c r="J3663" s="7" t="n">
        <f aca="false">IF(I3663=1,D3663*F3663,0)</f>
        <v>10.5</v>
      </c>
      <c r="K3663" s="7" t="n">
        <f aca="false">YEAR(E3663)*100+MONTH(E3663)</f>
        <v>201110</v>
      </c>
      <c r="L3663" s="7" t="n">
        <f aca="false">IF(AND(A3663&lt;&gt;A3662,LEFT(A3663,1)&lt;&gt;"C"),1,0)</f>
        <v>0</v>
      </c>
    </row>
    <row r="3664" customFormat="false" ht="15" hidden="false" customHeight="false" outlineLevel="0" collapsed="false">
      <c r="A3664" s="0" t="s">
        <v>2499</v>
      </c>
      <c r="B3664" s="0" t="s">
        <v>1006</v>
      </c>
      <c r="C3664" s="0" t="s">
        <v>1007</v>
      </c>
      <c r="D3664" s="0" t="n">
        <v>25</v>
      </c>
      <c r="E3664" s="6" t="n">
        <v>40836.5368055556</v>
      </c>
      <c r="F3664" s="0" t="n">
        <v>0.42</v>
      </c>
      <c r="G3664" s="0" t="n">
        <v>12474</v>
      </c>
      <c r="H3664" s="0" t="s">
        <v>33</v>
      </c>
      <c r="I3664" s="7" t="n">
        <f aca="false">IF(AND(LEFT(A3664,1)&lt;&gt;"C",D3664&gt;0,F3664&gt;0),1,0)</f>
        <v>1</v>
      </c>
      <c r="J3664" s="7" t="n">
        <f aca="false">IF(I3664=1,D3664*F3664,0)</f>
        <v>10.5</v>
      </c>
      <c r="K3664" s="7" t="n">
        <f aca="false">YEAR(E3664)*100+MONTH(E3664)</f>
        <v>201110</v>
      </c>
      <c r="L3664" s="7" t="n">
        <f aca="false">IF(AND(A3664&lt;&gt;A3663,LEFT(A3664,1)&lt;&gt;"C"),1,0)</f>
        <v>0</v>
      </c>
    </row>
    <row r="3665" customFormat="false" ht="15" hidden="false" customHeight="false" outlineLevel="0" collapsed="false">
      <c r="A3665" s="0" t="s">
        <v>2499</v>
      </c>
      <c r="B3665" s="0" t="s">
        <v>471</v>
      </c>
      <c r="C3665" s="0" t="s">
        <v>472</v>
      </c>
      <c r="D3665" s="0" t="n">
        <v>12</v>
      </c>
      <c r="E3665" s="6" t="n">
        <v>40836.5368055556</v>
      </c>
      <c r="F3665" s="0" t="n">
        <v>1.65</v>
      </c>
      <c r="G3665" s="0" t="n">
        <v>12474</v>
      </c>
      <c r="H3665" s="0" t="s">
        <v>33</v>
      </c>
      <c r="I3665" s="7" t="n">
        <f aca="false">IF(AND(LEFT(A3665,1)&lt;&gt;"C",D3665&gt;0,F3665&gt;0),1,0)</f>
        <v>1</v>
      </c>
      <c r="J3665" s="7" t="n">
        <f aca="false">IF(I3665=1,D3665*F3665,0)</f>
        <v>19.8</v>
      </c>
      <c r="K3665" s="7" t="n">
        <f aca="false">YEAR(E3665)*100+MONTH(E3665)</f>
        <v>201110</v>
      </c>
      <c r="L3665" s="7" t="n">
        <f aca="false">IF(AND(A3665&lt;&gt;A3664,LEFT(A3665,1)&lt;&gt;"C"),1,0)</f>
        <v>0</v>
      </c>
    </row>
    <row r="3666" customFormat="false" ht="15" hidden="false" customHeight="false" outlineLevel="0" collapsed="false">
      <c r="A3666" s="0" t="s">
        <v>2499</v>
      </c>
      <c r="B3666" s="0" t="s">
        <v>247</v>
      </c>
      <c r="C3666" s="0" t="s">
        <v>248</v>
      </c>
      <c r="D3666" s="0" t="n">
        <v>25</v>
      </c>
      <c r="E3666" s="6" t="n">
        <v>40836.5368055556</v>
      </c>
      <c r="F3666" s="0" t="n">
        <v>0.42</v>
      </c>
      <c r="G3666" s="0" t="n">
        <v>12474</v>
      </c>
      <c r="H3666" s="0" t="s">
        <v>33</v>
      </c>
      <c r="I3666" s="7" t="n">
        <f aca="false">IF(AND(LEFT(A3666,1)&lt;&gt;"C",D3666&gt;0,F3666&gt;0),1,0)</f>
        <v>1</v>
      </c>
      <c r="J3666" s="7" t="n">
        <f aca="false">IF(I3666=1,D3666*F3666,0)</f>
        <v>10.5</v>
      </c>
      <c r="K3666" s="7" t="n">
        <f aca="false">YEAR(E3666)*100+MONTH(E3666)</f>
        <v>201110</v>
      </c>
      <c r="L3666" s="7" t="n">
        <f aca="false">IF(AND(A3666&lt;&gt;A3665,LEFT(A3666,1)&lt;&gt;"C"),1,0)</f>
        <v>0</v>
      </c>
    </row>
    <row r="3667" customFormat="false" ht="15" hidden="false" customHeight="false" outlineLevel="0" collapsed="false">
      <c r="A3667" s="0" t="s">
        <v>2499</v>
      </c>
      <c r="B3667" s="0" t="s">
        <v>1042</v>
      </c>
      <c r="C3667" s="0" t="s">
        <v>1043</v>
      </c>
      <c r="D3667" s="0" t="n">
        <v>4</v>
      </c>
      <c r="E3667" s="6" t="n">
        <v>40836.5368055556</v>
      </c>
      <c r="F3667" s="0" t="n">
        <v>4.15</v>
      </c>
      <c r="G3667" s="0" t="n">
        <v>12474</v>
      </c>
      <c r="H3667" s="0" t="s">
        <v>33</v>
      </c>
      <c r="I3667" s="7" t="n">
        <f aca="false">IF(AND(LEFT(A3667,1)&lt;&gt;"C",D3667&gt;0,F3667&gt;0),1,0)</f>
        <v>1</v>
      </c>
      <c r="J3667" s="7" t="n">
        <f aca="false">IF(I3667=1,D3667*F3667,0)</f>
        <v>16.6</v>
      </c>
      <c r="K3667" s="7" t="n">
        <f aca="false">YEAR(E3667)*100+MONTH(E3667)</f>
        <v>201110</v>
      </c>
      <c r="L3667" s="7" t="n">
        <f aca="false">IF(AND(A3667&lt;&gt;A3666,LEFT(A3667,1)&lt;&gt;"C"),1,0)</f>
        <v>0</v>
      </c>
    </row>
    <row r="3668" customFormat="false" ht="15" hidden="false" customHeight="false" outlineLevel="0" collapsed="false">
      <c r="A3668" s="0" t="s">
        <v>2499</v>
      </c>
      <c r="B3668" s="0" t="s">
        <v>2207</v>
      </c>
      <c r="C3668" s="0" t="s">
        <v>2208</v>
      </c>
      <c r="D3668" s="0" t="n">
        <v>6</v>
      </c>
      <c r="E3668" s="6" t="n">
        <v>40836.5368055556</v>
      </c>
      <c r="F3668" s="0" t="n">
        <v>2.95</v>
      </c>
      <c r="G3668" s="0" t="n">
        <v>12474</v>
      </c>
      <c r="H3668" s="0" t="s">
        <v>33</v>
      </c>
      <c r="I3668" s="7" t="n">
        <f aca="false">IF(AND(LEFT(A3668,1)&lt;&gt;"C",D3668&gt;0,F3668&gt;0),1,0)</f>
        <v>1</v>
      </c>
      <c r="J3668" s="7" t="n">
        <f aca="false">IF(I3668=1,D3668*F3668,0)</f>
        <v>17.7</v>
      </c>
      <c r="K3668" s="7" t="n">
        <f aca="false">YEAR(E3668)*100+MONTH(E3668)</f>
        <v>201110</v>
      </c>
      <c r="L3668" s="7" t="n">
        <f aca="false">IF(AND(A3668&lt;&gt;A3667,LEFT(A3668,1)&lt;&gt;"C"),1,0)</f>
        <v>0</v>
      </c>
    </row>
    <row r="3669" customFormat="false" ht="15" hidden="false" customHeight="false" outlineLevel="0" collapsed="false">
      <c r="A3669" s="0" t="s">
        <v>2499</v>
      </c>
      <c r="B3669" s="0" t="s">
        <v>1607</v>
      </c>
      <c r="C3669" s="0" t="s">
        <v>1608</v>
      </c>
      <c r="D3669" s="0" t="n">
        <v>20</v>
      </c>
      <c r="E3669" s="6" t="n">
        <v>40836.5368055556</v>
      </c>
      <c r="F3669" s="0" t="n">
        <v>0.42</v>
      </c>
      <c r="G3669" s="0" t="n">
        <v>12474</v>
      </c>
      <c r="H3669" s="0" t="s">
        <v>33</v>
      </c>
      <c r="I3669" s="7" t="n">
        <f aca="false">IF(AND(LEFT(A3669,1)&lt;&gt;"C",D3669&gt;0,F3669&gt;0),1,0)</f>
        <v>1</v>
      </c>
      <c r="J3669" s="7" t="n">
        <f aca="false">IF(I3669=1,D3669*F3669,0)</f>
        <v>8.4</v>
      </c>
      <c r="K3669" s="7" t="n">
        <f aca="false">YEAR(E3669)*100+MONTH(E3669)</f>
        <v>201110</v>
      </c>
      <c r="L3669" s="7" t="n">
        <f aca="false">IF(AND(A3669&lt;&gt;A3668,LEFT(A3669,1)&lt;&gt;"C"),1,0)</f>
        <v>0</v>
      </c>
    </row>
    <row r="3670" customFormat="false" ht="15" hidden="false" customHeight="false" outlineLevel="0" collapsed="false">
      <c r="A3670" s="0" t="s">
        <v>2499</v>
      </c>
      <c r="B3670" s="0" t="s">
        <v>1611</v>
      </c>
      <c r="C3670" s="0" t="s">
        <v>1612</v>
      </c>
      <c r="D3670" s="0" t="n">
        <v>20</v>
      </c>
      <c r="E3670" s="6" t="n">
        <v>40836.5368055556</v>
      </c>
      <c r="F3670" s="0" t="n">
        <v>0.42</v>
      </c>
      <c r="G3670" s="0" t="n">
        <v>12474</v>
      </c>
      <c r="H3670" s="0" t="s">
        <v>33</v>
      </c>
      <c r="I3670" s="7" t="n">
        <f aca="false">IF(AND(LEFT(A3670,1)&lt;&gt;"C",D3670&gt;0,F3670&gt;0),1,0)</f>
        <v>1</v>
      </c>
      <c r="J3670" s="7" t="n">
        <f aca="false">IF(I3670=1,D3670*F3670,0)</f>
        <v>8.4</v>
      </c>
      <c r="K3670" s="7" t="n">
        <f aca="false">YEAR(E3670)*100+MONTH(E3670)</f>
        <v>201110</v>
      </c>
      <c r="L3670" s="7" t="n">
        <f aca="false">IF(AND(A3670&lt;&gt;A3669,LEFT(A3670,1)&lt;&gt;"C"),1,0)</f>
        <v>0</v>
      </c>
    </row>
    <row r="3671" customFormat="false" ht="15" hidden="false" customHeight="false" outlineLevel="0" collapsed="false">
      <c r="A3671" s="0" t="s">
        <v>2499</v>
      </c>
      <c r="B3671" s="0" t="s">
        <v>2261</v>
      </c>
      <c r="C3671" s="0" t="s">
        <v>2262</v>
      </c>
      <c r="D3671" s="0" t="n">
        <v>8</v>
      </c>
      <c r="E3671" s="6" t="n">
        <v>40836.5368055556</v>
      </c>
      <c r="F3671" s="0" t="n">
        <v>1.65</v>
      </c>
      <c r="G3671" s="0" t="n">
        <v>12474</v>
      </c>
      <c r="H3671" s="0" t="s">
        <v>33</v>
      </c>
      <c r="I3671" s="7" t="n">
        <f aca="false">IF(AND(LEFT(A3671,1)&lt;&gt;"C",D3671&gt;0,F3671&gt;0),1,0)</f>
        <v>1</v>
      </c>
      <c r="J3671" s="7" t="n">
        <f aca="false">IF(I3671=1,D3671*F3671,0)</f>
        <v>13.2</v>
      </c>
      <c r="K3671" s="7" t="n">
        <f aca="false">YEAR(E3671)*100+MONTH(E3671)</f>
        <v>201110</v>
      </c>
      <c r="L3671" s="7" t="n">
        <f aca="false">IF(AND(A3671&lt;&gt;A3670,LEFT(A3671,1)&lt;&gt;"C"),1,0)</f>
        <v>0</v>
      </c>
    </row>
    <row r="3672" customFormat="false" ht="15" hidden="false" customHeight="false" outlineLevel="0" collapsed="false">
      <c r="A3672" s="0" t="s">
        <v>2499</v>
      </c>
      <c r="B3672" s="0" t="s">
        <v>127</v>
      </c>
      <c r="C3672" s="0" t="s">
        <v>128</v>
      </c>
      <c r="D3672" s="0" t="n">
        <v>8</v>
      </c>
      <c r="E3672" s="6" t="n">
        <v>40836.5368055556</v>
      </c>
      <c r="F3672" s="0" t="n">
        <v>1.65</v>
      </c>
      <c r="G3672" s="0" t="n">
        <v>12474</v>
      </c>
      <c r="H3672" s="0" t="s">
        <v>33</v>
      </c>
      <c r="I3672" s="7" t="n">
        <f aca="false">IF(AND(LEFT(A3672,1)&lt;&gt;"C",D3672&gt;0,F3672&gt;0),1,0)</f>
        <v>1</v>
      </c>
      <c r="J3672" s="7" t="n">
        <f aca="false">IF(I3672=1,D3672*F3672,0)</f>
        <v>13.2</v>
      </c>
      <c r="K3672" s="7" t="n">
        <f aca="false">YEAR(E3672)*100+MONTH(E3672)</f>
        <v>201110</v>
      </c>
      <c r="L3672" s="7" t="n">
        <f aca="false">IF(AND(A3672&lt;&gt;A3671,LEFT(A3672,1)&lt;&gt;"C"),1,0)</f>
        <v>0</v>
      </c>
    </row>
    <row r="3673" customFormat="false" ht="15" hidden="false" customHeight="false" outlineLevel="0" collapsed="false">
      <c r="A3673" s="0" t="s">
        <v>2499</v>
      </c>
      <c r="B3673" s="0" t="s">
        <v>199</v>
      </c>
      <c r="C3673" s="0" t="s">
        <v>200</v>
      </c>
      <c r="D3673" s="0" t="n">
        <v>12</v>
      </c>
      <c r="E3673" s="6" t="n">
        <v>40836.5368055556</v>
      </c>
      <c r="F3673" s="0" t="n">
        <v>0.85</v>
      </c>
      <c r="G3673" s="0" t="n">
        <v>12474</v>
      </c>
      <c r="H3673" s="0" t="s">
        <v>33</v>
      </c>
      <c r="I3673" s="7" t="n">
        <f aca="false">IF(AND(LEFT(A3673,1)&lt;&gt;"C",D3673&gt;0,F3673&gt;0),1,0)</f>
        <v>1</v>
      </c>
      <c r="J3673" s="7" t="n">
        <f aca="false">IF(I3673=1,D3673*F3673,0)</f>
        <v>10.2</v>
      </c>
      <c r="K3673" s="7" t="n">
        <f aca="false">YEAR(E3673)*100+MONTH(E3673)</f>
        <v>201110</v>
      </c>
      <c r="L3673" s="7" t="n">
        <f aca="false">IF(AND(A3673&lt;&gt;A3672,LEFT(A3673,1)&lt;&gt;"C"),1,0)</f>
        <v>0</v>
      </c>
    </row>
    <row r="3674" customFormat="false" ht="15" hidden="false" customHeight="false" outlineLevel="0" collapsed="false">
      <c r="A3674" s="0" t="s">
        <v>2499</v>
      </c>
      <c r="B3674" s="0" t="s">
        <v>151</v>
      </c>
      <c r="C3674" s="0" t="s">
        <v>152</v>
      </c>
      <c r="D3674" s="0" t="n">
        <v>12</v>
      </c>
      <c r="E3674" s="6" t="n">
        <v>40836.5368055556</v>
      </c>
      <c r="F3674" s="0" t="n">
        <v>0.85</v>
      </c>
      <c r="G3674" s="0" t="n">
        <v>12474</v>
      </c>
      <c r="H3674" s="0" t="s">
        <v>33</v>
      </c>
      <c r="I3674" s="7" t="n">
        <f aca="false">IF(AND(LEFT(A3674,1)&lt;&gt;"C",D3674&gt;0,F3674&gt;0),1,0)</f>
        <v>1</v>
      </c>
      <c r="J3674" s="7" t="n">
        <f aca="false">IF(I3674=1,D3674*F3674,0)</f>
        <v>10.2</v>
      </c>
      <c r="K3674" s="7" t="n">
        <f aca="false">YEAR(E3674)*100+MONTH(E3674)</f>
        <v>201110</v>
      </c>
      <c r="L3674" s="7" t="n">
        <f aca="false">IF(AND(A3674&lt;&gt;A3673,LEFT(A3674,1)&lt;&gt;"C"),1,0)</f>
        <v>0</v>
      </c>
    </row>
    <row r="3675" customFormat="false" ht="15" hidden="false" customHeight="false" outlineLevel="0" collapsed="false">
      <c r="A3675" s="0" t="s">
        <v>2499</v>
      </c>
      <c r="B3675" s="0" t="s">
        <v>616</v>
      </c>
      <c r="C3675" s="0" t="s">
        <v>617</v>
      </c>
      <c r="D3675" s="0" t="n">
        <v>24</v>
      </c>
      <c r="E3675" s="6" t="n">
        <v>40836.5368055556</v>
      </c>
      <c r="F3675" s="0" t="n">
        <v>1.25</v>
      </c>
      <c r="G3675" s="0" t="n">
        <v>12474</v>
      </c>
      <c r="H3675" s="0" t="s">
        <v>33</v>
      </c>
      <c r="I3675" s="7" t="n">
        <f aca="false">IF(AND(LEFT(A3675,1)&lt;&gt;"C",D3675&gt;0,F3675&gt;0),1,0)</f>
        <v>1</v>
      </c>
      <c r="J3675" s="7" t="n">
        <f aca="false">IF(I3675=1,D3675*F3675,0)</f>
        <v>30</v>
      </c>
      <c r="K3675" s="7" t="n">
        <f aca="false">YEAR(E3675)*100+MONTH(E3675)</f>
        <v>201110</v>
      </c>
      <c r="L3675" s="7" t="n">
        <f aca="false">IF(AND(A3675&lt;&gt;A3674,LEFT(A3675,1)&lt;&gt;"C"),1,0)</f>
        <v>0</v>
      </c>
    </row>
    <row r="3676" customFormat="false" ht="15" hidden="false" customHeight="false" outlineLevel="0" collapsed="false">
      <c r="A3676" s="0" t="s">
        <v>2499</v>
      </c>
      <c r="B3676" s="0" t="s">
        <v>2500</v>
      </c>
      <c r="C3676" s="0" t="s">
        <v>2501</v>
      </c>
      <c r="D3676" s="0" t="n">
        <v>4</v>
      </c>
      <c r="E3676" s="6" t="n">
        <v>40836.5368055556</v>
      </c>
      <c r="F3676" s="0" t="n">
        <v>3.75</v>
      </c>
      <c r="G3676" s="0" t="n">
        <v>12474</v>
      </c>
      <c r="H3676" s="0" t="s">
        <v>33</v>
      </c>
      <c r="I3676" s="7" t="n">
        <f aca="false">IF(AND(LEFT(A3676,1)&lt;&gt;"C",D3676&gt;0,F3676&gt;0),1,0)</f>
        <v>1</v>
      </c>
      <c r="J3676" s="7" t="n">
        <f aca="false">IF(I3676=1,D3676*F3676,0)</f>
        <v>15</v>
      </c>
      <c r="K3676" s="7" t="n">
        <f aca="false">YEAR(E3676)*100+MONTH(E3676)</f>
        <v>201110</v>
      </c>
      <c r="L3676" s="7" t="n">
        <f aca="false">IF(AND(A3676&lt;&gt;A3675,LEFT(A3676,1)&lt;&gt;"C"),1,0)</f>
        <v>0</v>
      </c>
    </row>
    <row r="3677" customFormat="false" ht="15" hidden="false" customHeight="false" outlineLevel="0" collapsed="false">
      <c r="A3677" s="0" t="s">
        <v>2499</v>
      </c>
      <c r="B3677" s="0" t="s">
        <v>2502</v>
      </c>
      <c r="C3677" s="0" t="s">
        <v>2503</v>
      </c>
      <c r="D3677" s="0" t="n">
        <v>12</v>
      </c>
      <c r="E3677" s="6" t="n">
        <v>40836.5368055556</v>
      </c>
      <c r="F3677" s="0" t="n">
        <v>1.45</v>
      </c>
      <c r="G3677" s="0" t="n">
        <v>12474</v>
      </c>
      <c r="H3677" s="0" t="s">
        <v>33</v>
      </c>
      <c r="I3677" s="7" t="n">
        <f aca="false">IF(AND(LEFT(A3677,1)&lt;&gt;"C",D3677&gt;0,F3677&gt;0),1,0)</f>
        <v>1</v>
      </c>
      <c r="J3677" s="7" t="n">
        <f aca="false">IF(I3677=1,D3677*F3677,0)</f>
        <v>17.4</v>
      </c>
      <c r="K3677" s="7" t="n">
        <f aca="false">YEAR(E3677)*100+MONTH(E3677)</f>
        <v>201110</v>
      </c>
      <c r="L3677" s="7" t="n">
        <f aca="false">IF(AND(A3677&lt;&gt;A3676,LEFT(A3677,1)&lt;&gt;"C"),1,0)</f>
        <v>0</v>
      </c>
    </row>
    <row r="3678" customFormat="false" ht="15" hidden="false" customHeight="false" outlineLevel="0" collapsed="false">
      <c r="A3678" s="0" t="s">
        <v>2499</v>
      </c>
      <c r="B3678" s="0" t="s">
        <v>2504</v>
      </c>
      <c r="C3678" s="0" t="s">
        <v>2505</v>
      </c>
      <c r="D3678" s="0" t="n">
        <v>6</v>
      </c>
      <c r="E3678" s="6" t="n">
        <v>40836.5368055556</v>
      </c>
      <c r="F3678" s="0" t="n">
        <v>1.95</v>
      </c>
      <c r="G3678" s="0" t="n">
        <v>12474</v>
      </c>
      <c r="H3678" s="0" t="s">
        <v>33</v>
      </c>
      <c r="I3678" s="7" t="n">
        <f aca="false">IF(AND(LEFT(A3678,1)&lt;&gt;"C",D3678&gt;0,F3678&gt;0),1,0)</f>
        <v>1</v>
      </c>
      <c r="J3678" s="7" t="n">
        <f aca="false">IF(I3678=1,D3678*F3678,0)</f>
        <v>11.7</v>
      </c>
      <c r="K3678" s="7" t="n">
        <f aca="false">YEAR(E3678)*100+MONTH(E3678)</f>
        <v>201110</v>
      </c>
      <c r="L3678" s="7" t="n">
        <f aca="false">IF(AND(A3678&lt;&gt;A3677,LEFT(A3678,1)&lt;&gt;"C"),1,0)</f>
        <v>0</v>
      </c>
    </row>
    <row r="3679" customFormat="false" ht="15" hidden="false" customHeight="false" outlineLevel="0" collapsed="false">
      <c r="A3679" s="0" t="s">
        <v>2499</v>
      </c>
      <c r="B3679" s="0" t="s">
        <v>330</v>
      </c>
      <c r="C3679" s="0" t="s">
        <v>331</v>
      </c>
      <c r="D3679" s="0" t="n">
        <v>24</v>
      </c>
      <c r="E3679" s="6" t="n">
        <v>40836.5368055556</v>
      </c>
      <c r="F3679" s="0" t="n">
        <v>0.42</v>
      </c>
      <c r="G3679" s="0" t="n">
        <v>12474</v>
      </c>
      <c r="H3679" s="0" t="s">
        <v>33</v>
      </c>
      <c r="I3679" s="7" t="n">
        <f aca="false">IF(AND(LEFT(A3679,1)&lt;&gt;"C",D3679&gt;0,F3679&gt;0),1,0)</f>
        <v>1</v>
      </c>
      <c r="J3679" s="7" t="n">
        <f aca="false">IF(I3679=1,D3679*F3679,0)</f>
        <v>10.08</v>
      </c>
      <c r="K3679" s="7" t="n">
        <f aca="false">YEAR(E3679)*100+MONTH(E3679)</f>
        <v>201110</v>
      </c>
      <c r="L3679" s="7" t="n">
        <f aca="false">IF(AND(A3679&lt;&gt;A3678,LEFT(A3679,1)&lt;&gt;"C"),1,0)</f>
        <v>0</v>
      </c>
    </row>
    <row r="3680" customFormat="false" ht="15" hidden="false" customHeight="false" outlineLevel="0" collapsed="false">
      <c r="A3680" s="0" t="s">
        <v>2499</v>
      </c>
      <c r="B3680" s="0" t="s">
        <v>335</v>
      </c>
      <c r="C3680" s="0" t="s">
        <v>336</v>
      </c>
      <c r="D3680" s="0" t="n">
        <v>12</v>
      </c>
      <c r="E3680" s="6" t="n">
        <v>40836.5368055556</v>
      </c>
      <c r="F3680" s="0" t="n">
        <v>1.65</v>
      </c>
      <c r="G3680" s="0" t="n">
        <v>12474</v>
      </c>
      <c r="H3680" s="0" t="s">
        <v>33</v>
      </c>
      <c r="I3680" s="7" t="n">
        <f aca="false">IF(AND(LEFT(A3680,1)&lt;&gt;"C",D3680&gt;0,F3680&gt;0),1,0)</f>
        <v>1</v>
      </c>
      <c r="J3680" s="7" t="n">
        <f aca="false">IF(I3680=1,D3680*F3680,0)</f>
        <v>19.8</v>
      </c>
      <c r="K3680" s="7" t="n">
        <f aca="false">YEAR(E3680)*100+MONTH(E3680)</f>
        <v>201110</v>
      </c>
      <c r="L3680" s="7" t="n">
        <f aca="false">IF(AND(A3680&lt;&gt;A3679,LEFT(A3680,1)&lt;&gt;"C"),1,0)</f>
        <v>0</v>
      </c>
    </row>
    <row r="3681" customFormat="false" ht="15" hidden="false" customHeight="false" outlineLevel="0" collapsed="false">
      <c r="A3681" s="0" t="s">
        <v>2499</v>
      </c>
      <c r="B3681" s="0" t="s">
        <v>113</v>
      </c>
      <c r="C3681" s="0" t="s">
        <v>114</v>
      </c>
      <c r="D3681" s="0" t="n">
        <v>12</v>
      </c>
      <c r="E3681" s="6" t="n">
        <v>40836.5368055556</v>
      </c>
      <c r="F3681" s="0" t="n">
        <v>1.25</v>
      </c>
      <c r="G3681" s="0" t="n">
        <v>12474</v>
      </c>
      <c r="H3681" s="0" t="s">
        <v>33</v>
      </c>
      <c r="I3681" s="7" t="n">
        <f aca="false">IF(AND(LEFT(A3681,1)&lt;&gt;"C",D3681&gt;0,F3681&gt;0),1,0)</f>
        <v>1</v>
      </c>
      <c r="J3681" s="7" t="n">
        <f aca="false">IF(I3681=1,D3681*F3681,0)</f>
        <v>15</v>
      </c>
      <c r="K3681" s="7" t="n">
        <f aca="false">YEAR(E3681)*100+MONTH(E3681)</f>
        <v>201110</v>
      </c>
      <c r="L3681" s="7" t="n">
        <f aca="false">IF(AND(A3681&lt;&gt;A3680,LEFT(A3681,1)&lt;&gt;"C"),1,0)</f>
        <v>0</v>
      </c>
    </row>
    <row r="3682" customFormat="false" ht="15" hidden="false" customHeight="false" outlineLevel="0" collapsed="false">
      <c r="A3682" s="0" t="s">
        <v>2499</v>
      </c>
      <c r="B3682" s="0" t="s">
        <v>412</v>
      </c>
      <c r="C3682" s="0" t="s">
        <v>413</v>
      </c>
      <c r="D3682" s="0" t="n">
        <v>12</v>
      </c>
      <c r="E3682" s="6" t="n">
        <v>40836.5368055556</v>
      </c>
      <c r="F3682" s="0" t="n">
        <v>1.25</v>
      </c>
      <c r="G3682" s="0" t="n">
        <v>12474</v>
      </c>
      <c r="H3682" s="0" t="s">
        <v>33</v>
      </c>
      <c r="I3682" s="7" t="n">
        <f aca="false">IF(AND(LEFT(A3682,1)&lt;&gt;"C",D3682&gt;0,F3682&gt;0),1,0)</f>
        <v>1</v>
      </c>
      <c r="J3682" s="7" t="n">
        <f aca="false">IF(I3682=1,D3682*F3682,0)</f>
        <v>15</v>
      </c>
      <c r="K3682" s="7" t="n">
        <f aca="false">YEAR(E3682)*100+MONTH(E3682)</f>
        <v>201110</v>
      </c>
      <c r="L3682" s="7" t="n">
        <f aca="false">IF(AND(A3682&lt;&gt;A3681,LEFT(A3682,1)&lt;&gt;"C"),1,0)</f>
        <v>0</v>
      </c>
    </row>
    <row r="3683" customFormat="false" ht="15" hidden="false" customHeight="false" outlineLevel="0" collapsed="false">
      <c r="A3683" s="0" t="s">
        <v>2499</v>
      </c>
      <c r="B3683" s="0" t="s">
        <v>1774</v>
      </c>
      <c r="C3683" s="0" t="s">
        <v>1775</v>
      </c>
      <c r="D3683" s="0" t="n">
        <v>4</v>
      </c>
      <c r="E3683" s="6" t="n">
        <v>40836.5368055556</v>
      </c>
      <c r="F3683" s="0" t="n">
        <v>3.75</v>
      </c>
      <c r="G3683" s="0" t="n">
        <v>12474</v>
      </c>
      <c r="H3683" s="0" t="s">
        <v>33</v>
      </c>
      <c r="I3683" s="7" t="n">
        <f aca="false">IF(AND(LEFT(A3683,1)&lt;&gt;"C",D3683&gt;0,F3683&gt;0),1,0)</f>
        <v>1</v>
      </c>
      <c r="J3683" s="7" t="n">
        <f aca="false">IF(I3683=1,D3683*F3683,0)</f>
        <v>15</v>
      </c>
      <c r="K3683" s="7" t="n">
        <f aca="false">YEAR(E3683)*100+MONTH(E3683)</f>
        <v>201110</v>
      </c>
      <c r="L3683" s="7" t="n">
        <f aca="false">IF(AND(A3683&lt;&gt;A3682,LEFT(A3683,1)&lt;&gt;"C"),1,0)</f>
        <v>0</v>
      </c>
    </row>
    <row r="3684" customFormat="false" ht="15" hidden="false" customHeight="false" outlineLevel="0" collapsed="false">
      <c r="A3684" s="0" t="s">
        <v>2499</v>
      </c>
      <c r="B3684" s="0" t="s">
        <v>84</v>
      </c>
      <c r="C3684" s="0" t="s">
        <v>85</v>
      </c>
      <c r="D3684" s="0" t="n">
        <v>2</v>
      </c>
      <c r="E3684" s="6" t="n">
        <v>40836.5368055556</v>
      </c>
      <c r="F3684" s="0" t="n">
        <v>18</v>
      </c>
      <c r="G3684" s="0" t="n">
        <v>12474</v>
      </c>
      <c r="H3684" s="0" t="s">
        <v>33</v>
      </c>
      <c r="I3684" s="7" t="n">
        <f aca="false">IF(AND(LEFT(A3684,1)&lt;&gt;"C",D3684&gt;0,F3684&gt;0),1,0)</f>
        <v>1</v>
      </c>
      <c r="J3684" s="7" t="n">
        <f aca="false">IF(I3684=1,D3684*F3684,0)</f>
        <v>36</v>
      </c>
      <c r="K3684" s="7" t="n">
        <f aca="false">YEAR(E3684)*100+MONTH(E3684)</f>
        <v>201110</v>
      </c>
      <c r="L3684" s="7" t="n">
        <f aca="false">IF(AND(A3684&lt;&gt;A3683,LEFT(A3684,1)&lt;&gt;"C"),1,0)</f>
        <v>0</v>
      </c>
    </row>
    <row r="3685" customFormat="false" ht="15" hidden="false" customHeight="false" outlineLevel="0" collapsed="false">
      <c r="A3685" s="0" t="s">
        <v>2499</v>
      </c>
      <c r="B3685" s="0" t="s">
        <v>148</v>
      </c>
      <c r="C3685" s="0" t="s">
        <v>149</v>
      </c>
      <c r="D3685" s="0" t="n">
        <v>1</v>
      </c>
      <c r="E3685" s="6" t="n">
        <v>40836.5368055556</v>
      </c>
      <c r="F3685" s="0" t="n">
        <v>12.75</v>
      </c>
      <c r="G3685" s="0" t="n">
        <v>12474</v>
      </c>
      <c r="H3685" s="0" t="s">
        <v>33</v>
      </c>
      <c r="I3685" s="7" t="n">
        <f aca="false">IF(AND(LEFT(A3685,1)&lt;&gt;"C",D3685&gt;0,F3685&gt;0),1,0)</f>
        <v>1</v>
      </c>
      <c r="J3685" s="7" t="n">
        <f aca="false">IF(I3685=1,D3685*F3685,0)</f>
        <v>12.75</v>
      </c>
      <c r="K3685" s="7" t="n">
        <f aca="false">YEAR(E3685)*100+MONTH(E3685)</f>
        <v>201110</v>
      </c>
      <c r="L3685" s="7" t="n">
        <f aca="false">IF(AND(A3685&lt;&gt;A3684,LEFT(A3685,1)&lt;&gt;"C"),1,0)</f>
        <v>0</v>
      </c>
    </row>
    <row r="3686" customFormat="false" ht="15" hidden="false" customHeight="false" outlineLevel="0" collapsed="false">
      <c r="A3686" s="0" t="s">
        <v>2499</v>
      </c>
      <c r="B3686" s="0" t="s">
        <v>1180</v>
      </c>
      <c r="C3686" s="0" t="s">
        <v>1181</v>
      </c>
      <c r="D3686" s="0" t="n">
        <v>12</v>
      </c>
      <c r="E3686" s="6" t="n">
        <v>40836.5368055556</v>
      </c>
      <c r="F3686" s="0" t="n">
        <v>0.39</v>
      </c>
      <c r="G3686" s="0" t="n">
        <v>12474</v>
      </c>
      <c r="H3686" s="0" t="s">
        <v>33</v>
      </c>
      <c r="I3686" s="7" t="n">
        <f aca="false">IF(AND(LEFT(A3686,1)&lt;&gt;"C",D3686&gt;0,F3686&gt;0),1,0)</f>
        <v>1</v>
      </c>
      <c r="J3686" s="7" t="n">
        <f aca="false">IF(I3686=1,D3686*F3686,0)</f>
        <v>4.68</v>
      </c>
      <c r="K3686" s="7" t="n">
        <f aca="false">YEAR(E3686)*100+MONTH(E3686)</f>
        <v>201110</v>
      </c>
      <c r="L3686" s="7" t="n">
        <f aca="false">IF(AND(A3686&lt;&gt;A3685,LEFT(A3686,1)&lt;&gt;"C"),1,0)</f>
        <v>0</v>
      </c>
    </row>
    <row r="3687" customFormat="false" ht="15" hidden="false" customHeight="false" outlineLevel="0" collapsed="false">
      <c r="A3687" s="0" t="s">
        <v>2499</v>
      </c>
      <c r="B3687" s="0" t="s">
        <v>989</v>
      </c>
      <c r="C3687" s="0" t="s">
        <v>990</v>
      </c>
      <c r="D3687" s="0" t="n">
        <v>12</v>
      </c>
      <c r="E3687" s="6" t="n">
        <v>40836.5368055556</v>
      </c>
      <c r="F3687" s="0" t="n">
        <v>1.65</v>
      </c>
      <c r="G3687" s="0" t="n">
        <v>12474</v>
      </c>
      <c r="H3687" s="0" t="s">
        <v>33</v>
      </c>
      <c r="I3687" s="7" t="n">
        <f aca="false">IF(AND(LEFT(A3687,1)&lt;&gt;"C",D3687&gt;0,F3687&gt;0),1,0)</f>
        <v>1</v>
      </c>
      <c r="J3687" s="7" t="n">
        <f aca="false">IF(I3687=1,D3687*F3687,0)</f>
        <v>19.8</v>
      </c>
      <c r="K3687" s="7" t="n">
        <f aca="false">YEAR(E3687)*100+MONTH(E3687)</f>
        <v>201110</v>
      </c>
      <c r="L3687" s="7" t="n">
        <f aca="false">IF(AND(A3687&lt;&gt;A3686,LEFT(A3687,1)&lt;&gt;"C"),1,0)</f>
        <v>0</v>
      </c>
    </row>
    <row r="3688" customFormat="false" ht="15" hidden="false" customHeight="false" outlineLevel="0" collapsed="false">
      <c r="A3688" s="0" t="s">
        <v>2499</v>
      </c>
      <c r="B3688" s="0" t="s">
        <v>2506</v>
      </c>
      <c r="C3688" s="0" t="s">
        <v>2507</v>
      </c>
      <c r="D3688" s="0" t="n">
        <v>12</v>
      </c>
      <c r="E3688" s="6" t="n">
        <v>40836.5368055556</v>
      </c>
      <c r="F3688" s="0" t="n">
        <v>1.65</v>
      </c>
      <c r="G3688" s="0" t="n">
        <v>12474</v>
      </c>
      <c r="H3688" s="0" t="s">
        <v>33</v>
      </c>
      <c r="I3688" s="7" t="n">
        <f aca="false">IF(AND(LEFT(A3688,1)&lt;&gt;"C",D3688&gt;0,F3688&gt;0),1,0)</f>
        <v>1</v>
      </c>
      <c r="J3688" s="7" t="n">
        <f aca="false">IF(I3688=1,D3688*F3688,0)</f>
        <v>19.8</v>
      </c>
      <c r="K3688" s="7" t="n">
        <f aca="false">YEAR(E3688)*100+MONTH(E3688)</f>
        <v>201110</v>
      </c>
      <c r="L3688" s="7" t="n">
        <f aca="false">IF(AND(A3688&lt;&gt;A3687,LEFT(A3688,1)&lt;&gt;"C"),1,0)</f>
        <v>0</v>
      </c>
    </row>
    <row r="3689" customFormat="false" ht="15" hidden="false" customHeight="false" outlineLevel="0" collapsed="false">
      <c r="A3689" s="0" t="s">
        <v>2499</v>
      </c>
      <c r="B3689" s="0" t="s">
        <v>382</v>
      </c>
      <c r="C3689" s="0" t="s">
        <v>383</v>
      </c>
      <c r="D3689" s="0" t="n">
        <v>6</v>
      </c>
      <c r="E3689" s="6" t="n">
        <v>40836.5368055556</v>
      </c>
      <c r="F3689" s="0" t="n">
        <v>2.95</v>
      </c>
      <c r="G3689" s="0" t="n">
        <v>12474</v>
      </c>
      <c r="H3689" s="0" t="s">
        <v>33</v>
      </c>
      <c r="I3689" s="7" t="n">
        <f aca="false">IF(AND(LEFT(A3689,1)&lt;&gt;"C",D3689&gt;0,F3689&gt;0),1,0)</f>
        <v>1</v>
      </c>
      <c r="J3689" s="7" t="n">
        <f aca="false">IF(I3689=1,D3689*F3689,0)</f>
        <v>17.7</v>
      </c>
      <c r="K3689" s="7" t="n">
        <f aca="false">YEAR(E3689)*100+MONTH(E3689)</f>
        <v>201110</v>
      </c>
      <c r="L3689" s="7" t="n">
        <f aca="false">IF(AND(A3689&lt;&gt;A3688,LEFT(A3689,1)&lt;&gt;"C"),1,0)</f>
        <v>0</v>
      </c>
    </row>
    <row r="3690" customFormat="false" ht="15" hidden="false" customHeight="false" outlineLevel="0" collapsed="false">
      <c r="A3690" s="0" t="s">
        <v>2499</v>
      </c>
      <c r="B3690" s="0" t="s">
        <v>2508</v>
      </c>
      <c r="C3690" s="0" t="s">
        <v>2509</v>
      </c>
      <c r="D3690" s="0" t="n">
        <v>12</v>
      </c>
      <c r="E3690" s="6" t="n">
        <v>40836.5368055556</v>
      </c>
      <c r="F3690" s="0" t="n">
        <v>1.95</v>
      </c>
      <c r="G3690" s="0" t="n">
        <v>12474</v>
      </c>
      <c r="H3690" s="0" t="s">
        <v>33</v>
      </c>
      <c r="I3690" s="7" t="n">
        <f aca="false">IF(AND(LEFT(A3690,1)&lt;&gt;"C",D3690&gt;0,F3690&gt;0),1,0)</f>
        <v>1</v>
      </c>
      <c r="J3690" s="7" t="n">
        <f aca="false">IF(I3690=1,D3690*F3690,0)</f>
        <v>23.4</v>
      </c>
      <c r="K3690" s="7" t="n">
        <f aca="false">YEAR(E3690)*100+MONTH(E3690)</f>
        <v>201110</v>
      </c>
      <c r="L3690" s="7" t="n">
        <f aca="false">IF(AND(A3690&lt;&gt;A3689,LEFT(A3690,1)&lt;&gt;"C"),1,0)</f>
        <v>0</v>
      </c>
    </row>
    <row r="3691" customFormat="false" ht="15" hidden="false" customHeight="false" outlineLevel="0" collapsed="false">
      <c r="A3691" s="0" t="s">
        <v>2499</v>
      </c>
      <c r="B3691" s="0" t="s">
        <v>1450</v>
      </c>
      <c r="C3691" s="0" t="s">
        <v>1451</v>
      </c>
      <c r="D3691" s="0" t="n">
        <v>4</v>
      </c>
      <c r="E3691" s="6" t="n">
        <v>40836.5368055556</v>
      </c>
      <c r="F3691" s="0" t="n">
        <v>4.25</v>
      </c>
      <c r="G3691" s="0" t="n">
        <v>12474</v>
      </c>
      <c r="H3691" s="0" t="s">
        <v>33</v>
      </c>
      <c r="I3691" s="7" t="n">
        <f aca="false">IF(AND(LEFT(A3691,1)&lt;&gt;"C",D3691&gt;0,F3691&gt;0),1,0)</f>
        <v>1</v>
      </c>
      <c r="J3691" s="7" t="n">
        <f aca="false">IF(I3691=1,D3691*F3691,0)</f>
        <v>17</v>
      </c>
      <c r="K3691" s="7" t="n">
        <f aca="false">YEAR(E3691)*100+MONTH(E3691)</f>
        <v>201110</v>
      </c>
      <c r="L3691" s="7" t="n">
        <f aca="false">IF(AND(A3691&lt;&gt;A3690,LEFT(A3691,1)&lt;&gt;"C"),1,0)</f>
        <v>0</v>
      </c>
    </row>
    <row r="3692" customFormat="false" ht="15" hidden="false" customHeight="false" outlineLevel="0" collapsed="false">
      <c r="A3692" s="0" t="s">
        <v>2499</v>
      </c>
      <c r="B3692" s="0" t="s">
        <v>2510</v>
      </c>
      <c r="C3692" s="0" t="s">
        <v>2511</v>
      </c>
      <c r="D3692" s="0" t="n">
        <v>4</v>
      </c>
      <c r="E3692" s="6" t="n">
        <v>40836.5368055556</v>
      </c>
      <c r="F3692" s="0" t="n">
        <v>4.25</v>
      </c>
      <c r="G3692" s="0" t="n">
        <v>12474</v>
      </c>
      <c r="H3692" s="0" t="s">
        <v>33</v>
      </c>
      <c r="I3692" s="7" t="n">
        <f aca="false">IF(AND(LEFT(A3692,1)&lt;&gt;"C",D3692&gt;0,F3692&gt;0),1,0)</f>
        <v>1</v>
      </c>
      <c r="J3692" s="7" t="n">
        <f aca="false">IF(I3692=1,D3692*F3692,0)</f>
        <v>17</v>
      </c>
      <c r="K3692" s="7" t="n">
        <f aca="false">YEAR(E3692)*100+MONTH(E3692)</f>
        <v>201110</v>
      </c>
      <c r="L3692" s="7" t="n">
        <f aca="false">IF(AND(A3692&lt;&gt;A3691,LEFT(A3692,1)&lt;&gt;"C"),1,0)</f>
        <v>0</v>
      </c>
    </row>
    <row r="3693" customFormat="false" ht="15" hidden="false" customHeight="false" outlineLevel="0" collapsed="false">
      <c r="A3693" s="0" t="s">
        <v>2499</v>
      </c>
      <c r="B3693" s="0" t="s">
        <v>1798</v>
      </c>
      <c r="C3693" s="0" t="s">
        <v>1799</v>
      </c>
      <c r="D3693" s="0" t="n">
        <v>12</v>
      </c>
      <c r="E3693" s="6" t="n">
        <v>40836.5368055556</v>
      </c>
      <c r="F3693" s="0" t="n">
        <v>1.25</v>
      </c>
      <c r="G3693" s="0" t="n">
        <v>12474</v>
      </c>
      <c r="H3693" s="0" t="s">
        <v>33</v>
      </c>
      <c r="I3693" s="7" t="n">
        <f aca="false">IF(AND(LEFT(A3693,1)&lt;&gt;"C",D3693&gt;0,F3693&gt;0),1,0)</f>
        <v>1</v>
      </c>
      <c r="J3693" s="7" t="n">
        <f aca="false">IF(I3693=1,D3693*F3693,0)</f>
        <v>15</v>
      </c>
      <c r="K3693" s="7" t="n">
        <f aca="false">YEAR(E3693)*100+MONTH(E3693)</f>
        <v>201110</v>
      </c>
      <c r="L3693" s="7" t="n">
        <f aca="false">IF(AND(A3693&lt;&gt;A3692,LEFT(A3693,1)&lt;&gt;"C"),1,0)</f>
        <v>0</v>
      </c>
    </row>
    <row r="3694" customFormat="false" ht="15" hidden="false" customHeight="false" outlineLevel="0" collapsed="false">
      <c r="A3694" s="0" t="s">
        <v>2499</v>
      </c>
      <c r="B3694" s="0" t="s">
        <v>74</v>
      </c>
      <c r="C3694" s="0" t="s">
        <v>75</v>
      </c>
      <c r="D3694" s="0" t="n">
        <v>12</v>
      </c>
      <c r="E3694" s="6" t="n">
        <v>40836.5368055556</v>
      </c>
      <c r="F3694" s="0" t="n">
        <v>1.95</v>
      </c>
      <c r="G3694" s="0" t="n">
        <v>12474</v>
      </c>
      <c r="H3694" s="0" t="s">
        <v>33</v>
      </c>
      <c r="I3694" s="7" t="n">
        <f aca="false">IF(AND(LEFT(A3694,1)&lt;&gt;"C",D3694&gt;0,F3694&gt;0),1,0)</f>
        <v>1</v>
      </c>
      <c r="J3694" s="7" t="n">
        <f aca="false">IF(I3694=1,D3694*F3694,0)</f>
        <v>23.4</v>
      </c>
      <c r="K3694" s="7" t="n">
        <f aca="false">YEAR(E3694)*100+MONTH(E3694)</f>
        <v>201110</v>
      </c>
      <c r="L3694" s="7" t="n">
        <f aca="false">IF(AND(A3694&lt;&gt;A3693,LEFT(A3694,1)&lt;&gt;"C"),1,0)</f>
        <v>0</v>
      </c>
    </row>
    <row r="3695" customFormat="false" ht="15" hidden="false" customHeight="false" outlineLevel="0" collapsed="false">
      <c r="A3695" s="0" t="s">
        <v>2512</v>
      </c>
      <c r="B3695" s="0" t="s">
        <v>478</v>
      </c>
      <c r="C3695" s="0" t="s">
        <v>479</v>
      </c>
      <c r="D3695" s="0" t="n">
        <v>48</v>
      </c>
      <c r="E3695" s="6" t="n">
        <v>40836.6041666667</v>
      </c>
      <c r="F3695" s="0" t="n">
        <v>1.45</v>
      </c>
      <c r="G3695" s="0" t="n">
        <v>12683</v>
      </c>
      <c r="H3695" s="0" t="s">
        <v>43</v>
      </c>
      <c r="I3695" s="7" t="n">
        <f aca="false">IF(AND(LEFT(A3695,1)&lt;&gt;"C",D3695&gt;0,F3695&gt;0),1,0)</f>
        <v>1</v>
      </c>
      <c r="J3695" s="7" t="n">
        <f aca="false">IF(I3695=1,D3695*F3695,0)</f>
        <v>69.6</v>
      </c>
      <c r="K3695" s="7" t="n">
        <f aca="false">YEAR(E3695)*100+MONTH(E3695)</f>
        <v>201110</v>
      </c>
      <c r="L3695" s="7" t="n">
        <f aca="false">IF(AND(A3695&lt;&gt;A3694,LEFT(A3695,1)&lt;&gt;"C"),1,0)</f>
        <v>1</v>
      </c>
    </row>
    <row r="3696" customFormat="false" ht="15" hidden="false" customHeight="false" outlineLevel="0" collapsed="false">
      <c r="A3696" s="0" t="s">
        <v>2512</v>
      </c>
      <c r="B3696" s="0" t="s">
        <v>80</v>
      </c>
      <c r="C3696" s="0" t="s">
        <v>81</v>
      </c>
      <c r="D3696" s="0" t="n">
        <v>20</v>
      </c>
      <c r="E3696" s="6" t="n">
        <v>40836.6041666667</v>
      </c>
      <c r="F3696" s="0" t="n">
        <v>0.83</v>
      </c>
      <c r="G3696" s="0" t="n">
        <v>12683</v>
      </c>
      <c r="H3696" s="0" t="s">
        <v>43</v>
      </c>
      <c r="I3696" s="7" t="n">
        <f aca="false">IF(AND(LEFT(A3696,1)&lt;&gt;"C",D3696&gt;0,F3696&gt;0),1,0)</f>
        <v>1</v>
      </c>
      <c r="J3696" s="7" t="n">
        <f aca="false">IF(I3696=1,D3696*F3696,0)</f>
        <v>16.6</v>
      </c>
      <c r="K3696" s="7" t="n">
        <f aca="false">YEAR(E3696)*100+MONTH(E3696)</f>
        <v>201110</v>
      </c>
      <c r="L3696" s="7" t="n">
        <f aca="false">IF(AND(A3696&lt;&gt;A3695,LEFT(A3696,1)&lt;&gt;"C"),1,0)</f>
        <v>0</v>
      </c>
    </row>
    <row r="3697" customFormat="false" ht="15" hidden="false" customHeight="false" outlineLevel="0" collapsed="false">
      <c r="A3697" s="0" t="s">
        <v>2512</v>
      </c>
      <c r="B3697" s="0" t="s">
        <v>1180</v>
      </c>
      <c r="C3697" s="0" t="s">
        <v>1181</v>
      </c>
      <c r="D3697" s="0" t="n">
        <v>12</v>
      </c>
      <c r="E3697" s="6" t="n">
        <v>40836.6041666667</v>
      </c>
      <c r="F3697" s="0" t="n">
        <v>0.39</v>
      </c>
      <c r="G3697" s="0" t="n">
        <v>12683</v>
      </c>
      <c r="H3697" s="0" t="s">
        <v>43</v>
      </c>
      <c r="I3697" s="7" t="n">
        <f aca="false">IF(AND(LEFT(A3697,1)&lt;&gt;"C",D3697&gt;0,F3697&gt;0),1,0)</f>
        <v>1</v>
      </c>
      <c r="J3697" s="7" t="n">
        <f aca="false">IF(I3697=1,D3697*F3697,0)</f>
        <v>4.68</v>
      </c>
      <c r="K3697" s="7" t="n">
        <f aca="false">YEAR(E3697)*100+MONTH(E3697)</f>
        <v>201110</v>
      </c>
      <c r="L3697" s="7" t="n">
        <f aca="false">IF(AND(A3697&lt;&gt;A3696,LEFT(A3697,1)&lt;&gt;"C"),1,0)</f>
        <v>0</v>
      </c>
    </row>
    <row r="3698" customFormat="false" ht="15" hidden="false" customHeight="false" outlineLevel="0" collapsed="false">
      <c r="A3698" s="0" t="s">
        <v>2512</v>
      </c>
      <c r="B3698" s="0" t="s">
        <v>76</v>
      </c>
      <c r="C3698" s="0" t="s">
        <v>77</v>
      </c>
      <c r="D3698" s="0" t="n">
        <v>12</v>
      </c>
      <c r="E3698" s="6" t="n">
        <v>40836.6041666667</v>
      </c>
      <c r="F3698" s="0" t="n">
        <v>1.95</v>
      </c>
      <c r="G3698" s="0" t="n">
        <v>12683</v>
      </c>
      <c r="H3698" s="0" t="s">
        <v>43</v>
      </c>
      <c r="I3698" s="7" t="n">
        <f aca="false">IF(AND(LEFT(A3698,1)&lt;&gt;"C",D3698&gt;0,F3698&gt;0),1,0)</f>
        <v>1</v>
      </c>
      <c r="J3698" s="7" t="n">
        <f aca="false">IF(I3698=1,D3698*F3698,0)</f>
        <v>23.4</v>
      </c>
      <c r="K3698" s="7" t="n">
        <f aca="false">YEAR(E3698)*100+MONTH(E3698)</f>
        <v>201110</v>
      </c>
      <c r="L3698" s="7" t="n">
        <f aca="false">IF(AND(A3698&lt;&gt;A3697,LEFT(A3698,1)&lt;&gt;"C"),1,0)</f>
        <v>0</v>
      </c>
    </row>
    <row r="3699" customFormat="false" ht="15" hidden="false" customHeight="false" outlineLevel="0" collapsed="false">
      <c r="A3699" s="0" t="s">
        <v>2512</v>
      </c>
      <c r="B3699" s="0" t="s">
        <v>557</v>
      </c>
      <c r="C3699" s="0" t="s">
        <v>558</v>
      </c>
      <c r="D3699" s="0" t="n">
        <v>12</v>
      </c>
      <c r="E3699" s="6" t="n">
        <v>40836.6041666667</v>
      </c>
      <c r="F3699" s="0" t="n">
        <v>1.95</v>
      </c>
      <c r="G3699" s="0" t="n">
        <v>12683</v>
      </c>
      <c r="H3699" s="0" t="s">
        <v>43</v>
      </c>
      <c r="I3699" s="7" t="n">
        <f aca="false">IF(AND(LEFT(A3699,1)&lt;&gt;"C",D3699&gt;0,F3699&gt;0),1,0)</f>
        <v>1</v>
      </c>
      <c r="J3699" s="7" t="n">
        <f aca="false">IF(I3699=1,D3699*F3699,0)</f>
        <v>23.4</v>
      </c>
      <c r="K3699" s="7" t="n">
        <f aca="false">YEAR(E3699)*100+MONTH(E3699)</f>
        <v>201110</v>
      </c>
      <c r="L3699" s="7" t="n">
        <f aca="false">IF(AND(A3699&lt;&gt;A3698,LEFT(A3699,1)&lt;&gt;"C"),1,0)</f>
        <v>0</v>
      </c>
    </row>
    <row r="3700" customFormat="false" ht="15" hidden="false" customHeight="false" outlineLevel="0" collapsed="false">
      <c r="A3700" s="0" t="s">
        <v>2512</v>
      </c>
      <c r="B3700" s="0" t="s">
        <v>58</v>
      </c>
      <c r="C3700" s="0" t="s">
        <v>59</v>
      </c>
      <c r="D3700" s="0" t="n">
        <v>6</v>
      </c>
      <c r="E3700" s="6" t="n">
        <v>40836.6041666667</v>
      </c>
      <c r="F3700" s="0" t="n">
        <v>2.55</v>
      </c>
      <c r="G3700" s="0" t="n">
        <v>12683</v>
      </c>
      <c r="H3700" s="0" t="s">
        <v>43</v>
      </c>
      <c r="I3700" s="7" t="n">
        <f aca="false">IF(AND(LEFT(A3700,1)&lt;&gt;"C",D3700&gt;0,F3700&gt;0),1,0)</f>
        <v>1</v>
      </c>
      <c r="J3700" s="7" t="n">
        <f aca="false">IF(I3700=1,D3700*F3700,0)</f>
        <v>15.3</v>
      </c>
      <c r="K3700" s="7" t="n">
        <f aca="false">YEAR(E3700)*100+MONTH(E3700)</f>
        <v>201110</v>
      </c>
      <c r="L3700" s="7" t="n">
        <f aca="false">IF(AND(A3700&lt;&gt;A3699,LEFT(A3700,1)&lt;&gt;"C"),1,0)</f>
        <v>0</v>
      </c>
    </row>
    <row r="3701" customFormat="false" ht="15" hidden="false" customHeight="false" outlineLevel="0" collapsed="false">
      <c r="A3701" s="0" t="s">
        <v>2512</v>
      </c>
      <c r="B3701" s="0" t="s">
        <v>60</v>
      </c>
      <c r="C3701" s="0" t="s">
        <v>61</v>
      </c>
      <c r="D3701" s="0" t="n">
        <v>6</v>
      </c>
      <c r="E3701" s="6" t="n">
        <v>40836.6041666667</v>
      </c>
      <c r="F3701" s="0" t="n">
        <v>2.55</v>
      </c>
      <c r="G3701" s="0" t="n">
        <v>12683</v>
      </c>
      <c r="H3701" s="0" t="s">
        <v>43</v>
      </c>
      <c r="I3701" s="7" t="n">
        <f aca="false">IF(AND(LEFT(A3701,1)&lt;&gt;"C",D3701&gt;0,F3701&gt;0),1,0)</f>
        <v>1</v>
      </c>
      <c r="J3701" s="7" t="n">
        <f aca="false">IF(I3701=1,D3701*F3701,0)</f>
        <v>15.3</v>
      </c>
      <c r="K3701" s="7" t="n">
        <f aca="false">YEAR(E3701)*100+MONTH(E3701)</f>
        <v>201110</v>
      </c>
      <c r="L3701" s="7" t="n">
        <f aca="false">IF(AND(A3701&lt;&gt;A3700,LEFT(A3701,1)&lt;&gt;"C"),1,0)</f>
        <v>0</v>
      </c>
    </row>
    <row r="3702" customFormat="false" ht="15" hidden="false" customHeight="false" outlineLevel="0" collapsed="false">
      <c r="A3702" s="0" t="s">
        <v>2512</v>
      </c>
      <c r="B3702" s="0" t="s">
        <v>452</v>
      </c>
      <c r="C3702" s="0" t="s">
        <v>453</v>
      </c>
      <c r="D3702" s="0" t="n">
        <v>2</v>
      </c>
      <c r="E3702" s="6" t="n">
        <v>40836.6041666667</v>
      </c>
      <c r="F3702" s="0" t="n">
        <v>8.5</v>
      </c>
      <c r="G3702" s="0" t="n">
        <v>12683</v>
      </c>
      <c r="H3702" s="0" t="s">
        <v>43</v>
      </c>
      <c r="I3702" s="7" t="n">
        <f aca="false">IF(AND(LEFT(A3702,1)&lt;&gt;"C",D3702&gt;0,F3702&gt;0),1,0)</f>
        <v>1</v>
      </c>
      <c r="J3702" s="7" t="n">
        <f aca="false">IF(I3702=1,D3702*F3702,0)</f>
        <v>17</v>
      </c>
      <c r="K3702" s="7" t="n">
        <f aca="false">YEAR(E3702)*100+MONTH(E3702)</f>
        <v>201110</v>
      </c>
      <c r="L3702" s="7" t="n">
        <f aca="false">IF(AND(A3702&lt;&gt;A3701,LEFT(A3702,1)&lt;&gt;"C"),1,0)</f>
        <v>0</v>
      </c>
    </row>
    <row r="3703" customFormat="false" ht="15" hidden="false" customHeight="false" outlineLevel="0" collapsed="false">
      <c r="A3703" s="0" t="s">
        <v>2512</v>
      </c>
      <c r="B3703" s="0" t="s">
        <v>148</v>
      </c>
      <c r="C3703" s="0" t="s">
        <v>149</v>
      </c>
      <c r="D3703" s="0" t="n">
        <v>16</v>
      </c>
      <c r="E3703" s="6" t="n">
        <v>40836.6041666667</v>
      </c>
      <c r="F3703" s="0" t="n">
        <v>10.95</v>
      </c>
      <c r="G3703" s="0" t="n">
        <v>12683</v>
      </c>
      <c r="H3703" s="0" t="s">
        <v>43</v>
      </c>
      <c r="I3703" s="7" t="n">
        <f aca="false">IF(AND(LEFT(A3703,1)&lt;&gt;"C",D3703&gt;0,F3703&gt;0),1,0)</f>
        <v>1</v>
      </c>
      <c r="J3703" s="7" t="n">
        <f aca="false">IF(I3703=1,D3703*F3703,0)</f>
        <v>175.2</v>
      </c>
      <c r="K3703" s="7" t="n">
        <f aca="false">YEAR(E3703)*100+MONTH(E3703)</f>
        <v>201110</v>
      </c>
      <c r="L3703" s="7" t="n">
        <f aca="false">IF(AND(A3703&lt;&gt;A3702,LEFT(A3703,1)&lt;&gt;"C"),1,0)</f>
        <v>0</v>
      </c>
    </row>
    <row r="3704" customFormat="false" ht="15" hidden="false" customHeight="false" outlineLevel="0" collapsed="false">
      <c r="A3704" s="0" t="s">
        <v>2512</v>
      </c>
      <c r="B3704" s="0" t="s">
        <v>136</v>
      </c>
      <c r="C3704" s="0" t="s">
        <v>137</v>
      </c>
      <c r="D3704" s="0" t="n">
        <v>4</v>
      </c>
      <c r="E3704" s="6" t="n">
        <v>40836.6041666667</v>
      </c>
      <c r="F3704" s="0" t="n">
        <v>4.95</v>
      </c>
      <c r="G3704" s="0" t="n">
        <v>12683</v>
      </c>
      <c r="H3704" s="0" t="s">
        <v>43</v>
      </c>
      <c r="I3704" s="7" t="n">
        <f aca="false">IF(AND(LEFT(A3704,1)&lt;&gt;"C",D3704&gt;0,F3704&gt;0),1,0)</f>
        <v>1</v>
      </c>
      <c r="J3704" s="7" t="n">
        <f aca="false">IF(I3704=1,D3704*F3704,0)</f>
        <v>19.8</v>
      </c>
      <c r="K3704" s="7" t="n">
        <f aca="false">YEAR(E3704)*100+MONTH(E3704)</f>
        <v>201110</v>
      </c>
      <c r="L3704" s="7" t="n">
        <f aca="false">IF(AND(A3704&lt;&gt;A3703,LEFT(A3704,1)&lt;&gt;"C"),1,0)</f>
        <v>0</v>
      </c>
    </row>
    <row r="3705" customFormat="false" ht="15" hidden="false" customHeight="false" outlineLevel="0" collapsed="false">
      <c r="A3705" s="0" t="s">
        <v>2512</v>
      </c>
      <c r="B3705" s="0" t="s">
        <v>125</v>
      </c>
      <c r="C3705" s="0" t="s">
        <v>126</v>
      </c>
      <c r="D3705" s="0" t="n">
        <v>48</v>
      </c>
      <c r="E3705" s="6" t="n">
        <v>40836.6041666667</v>
      </c>
      <c r="F3705" s="0" t="n">
        <v>1.25</v>
      </c>
      <c r="G3705" s="0" t="n">
        <v>12683</v>
      </c>
      <c r="H3705" s="0" t="s">
        <v>43</v>
      </c>
      <c r="I3705" s="7" t="n">
        <f aca="false">IF(AND(LEFT(A3705,1)&lt;&gt;"C",D3705&gt;0,F3705&gt;0),1,0)</f>
        <v>1</v>
      </c>
      <c r="J3705" s="7" t="n">
        <f aca="false">IF(I3705=1,D3705*F3705,0)</f>
        <v>60</v>
      </c>
      <c r="K3705" s="7" t="n">
        <f aca="false">YEAR(E3705)*100+MONTH(E3705)</f>
        <v>201110</v>
      </c>
      <c r="L3705" s="7" t="n">
        <f aca="false">IF(AND(A3705&lt;&gt;A3704,LEFT(A3705,1)&lt;&gt;"C"),1,0)</f>
        <v>0</v>
      </c>
    </row>
    <row r="3706" customFormat="false" ht="15" hidden="false" customHeight="false" outlineLevel="0" collapsed="false">
      <c r="A3706" s="0" t="s">
        <v>2512</v>
      </c>
      <c r="B3706" s="0" t="s">
        <v>616</v>
      </c>
      <c r="C3706" s="0" t="s">
        <v>617</v>
      </c>
      <c r="D3706" s="0" t="n">
        <v>24</v>
      </c>
      <c r="E3706" s="6" t="n">
        <v>40836.6041666667</v>
      </c>
      <c r="F3706" s="0" t="n">
        <v>1.25</v>
      </c>
      <c r="G3706" s="0" t="n">
        <v>12683</v>
      </c>
      <c r="H3706" s="0" t="s">
        <v>43</v>
      </c>
      <c r="I3706" s="7" t="n">
        <f aca="false">IF(AND(LEFT(A3706,1)&lt;&gt;"C",D3706&gt;0,F3706&gt;0),1,0)</f>
        <v>1</v>
      </c>
      <c r="J3706" s="7" t="n">
        <f aca="false">IF(I3706=1,D3706*F3706,0)</f>
        <v>30</v>
      </c>
      <c r="K3706" s="7" t="n">
        <f aca="false">YEAR(E3706)*100+MONTH(E3706)</f>
        <v>201110</v>
      </c>
      <c r="L3706" s="7" t="n">
        <f aca="false">IF(AND(A3706&lt;&gt;A3705,LEFT(A3706,1)&lt;&gt;"C"),1,0)</f>
        <v>0</v>
      </c>
    </row>
    <row r="3707" customFormat="false" ht="15" hidden="false" customHeight="false" outlineLevel="0" collapsed="false">
      <c r="A3707" s="0" t="s">
        <v>2512</v>
      </c>
      <c r="B3707" s="0" t="s">
        <v>586</v>
      </c>
      <c r="C3707" s="0" t="s">
        <v>587</v>
      </c>
      <c r="D3707" s="0" t="n">
        <v>48</v>
      </c>
      <c r="E3707" s="6" t="n">
        <v>40836.6041666667</v>
      </c>
      <c r="F3707" s="0" t="n">
        <v>1.25</v>
      </c>
      <c r="G3707" s="0" t="n">
        <v>12683</v>
      </c>
      <c r="H3707" s="0" t="s">
        <v>43</v>
      </c>
      <c r="I3707" s="7" t="n">
        <f aca="false">IF(AND(LEFT(A3707,1)&lt;&gt;"C",D3707&gt;0,F3707&gt;0),1,0)</f>
        <v>1</v>
      </c>
      <c r="J3707" s="7" t="n">
        <f aca="false">IF(I3707=1,D3707*F3707,0)</f>
        <v>60</v>
      </c>
      <c r="K3707" s="7" t="n">
        <f aca="false">YEAR(E3707)*100+MONTH(E3707)</f>
        <v>201110</v>
      </c>
      <c r="L3707" s="7" t="n">
        <f aca="false">IF(AND(A3707&lt;&gt;A3706,LEFT(A3707,1)&lt;&gt;"C"),1,0)</f>
        <v>0</v>
      </c>
    </row>
    <row r="3708" customFormat="false" ht="15" hidden="false" customHeight="false" outlineLevel="0" collapsed="false">
      <c r="A3708" s="0" t="s">
        <v>2512</v>
      </c>
      <c r="B3708" s="0" t="s">
        <v>2513</v>
      </c>
      <c r="C3708" s="0" t="s">
        <v>2514</v>
      </c>
      <c r="D3708" s="0" t="n">
        <v>24</v>
      </c>
      <c r="E3708" s="6" t="n">
        <v>40836.6041666667</v>
      </c>
      <c r="F3708" s="0" t="n">
        <v>1.25</v>
      </c>
      <c r="G3708" s="0" t="n">
        <v>12683</v>
      </c>
      <c r="H3708" s="0" t="s">
        <v>43</v>
      </c>
      <c r="I3708" s="7" t="n">
        <f aca="false">IF(AND(LEFT(A3708,1)&lt;&gt;"C",D3708&gt;0,F3708&gt;0),1,0)</f>
        <v>1</v>
      </c>
      <c r="J3708" s="7" t="n">
        <f aca="false">IF(I3708=1,D3708*F3708,0)</f>
        <v>30</v>
      </c>
      <c r="K3708" s="7" t="n">
        <f aca="false">YEAR(E3708)*100+MONTH(E3708)</f>
        <v>201110</v>
      </c>
      <c r="L3708" s="7" t="n">
        <f aca="false">IF(AND(A3708&lt;&gt;A3707,LEFT(A3708,1)&lt;&gt;"C"),1,0)</f>
        <v>0</v>
      </c>
    </row>
    <row r="3709" customFormat="false" ht="15" hidden="false" customHeight="false" outlineLevel="0" collapsed="false">
      <c r="A3709" s="0" t="s">
        <v>2512</v>
      </c>
      <c r="B3709" s="0" t="s">
        <v>2515</v>
      </c>
      <c r="C3709" s="0" t="s">
        <v>2516</v>
      </c>
      <c r="D3709" s="0" t="n">
        <v>12</v>
      </c>
      <c r="E3709" s="6" t="n">
        <v>40836.6041666667</v>
      </c>
      <c r="F3709" s="0" t="n">
        <v>0.85</v>
      </c>
      <c r="G3709" s="0" t="n">
        <v>12683</v>
      </c>
      <c r="H3709" s="0" t="s">
        <v>43</v>
      </c>
      <c r="I3709" s="7" t="n">
        <f aca="false">IF(AND(LEFT(A3709,1)&lt;&gt;"C",D3709&gt;0,F3709&gt;0),1,0)</f>
        <v>1</v>
      </c>
      <c r="J3709" s="7" t="n">
        <f aca="false">IF(I3709=1,D3709*F3709,0)</f>
        <v>10.2</v>
      </c>
      <c r="K3709" s="7" t="n">
        <f aca="false">YEAR(E3709)*100+MONTH(E3709)</f>
        <v>201110</v>
      </c>
      <c r="L3709" s="7" t="n">
        <f aca="false">IF(AND(A3709&lt;&gt;A3708,LEFT(A3709,1)&lt;&gt;"C"),1,0)</f>
        <v>0</v>
      </c>
    </row>
    <row r="3710" customFormat="false" ht="15" hidden="false" customHeight="false" outlineLevel="0" collapsed="false">
      <c r="A3710" s="0" t="s">
        <v>2512</v>
      </c>
      <c r="B3710" s="0" t="s">
        <v>2517</v>
      </c>
      <c r="C3710" s="0" t="s">
        <v>2518</v>
      </c>
      <c r="D3710" s="0" t="n">
        <v>6</v>
      </c>
      <c r="E3710" s="6" t="n">
        <v>40836.6041666667</v>
      </c>
      <c r="F3710" s="0" t="n">
        <v>2.1</v>
      </c>
      <c r="G3710" s="0" t="n">
        <v>12683</v>
      </c>
      <c r="H3710" s="0" t="s">
        <v>43</v>
      </c>
      <c r="I3710" s="7" t="n">
        <f aca="false">IF(AND(LEFT(A3710,1)&lt;&gt;"C",D3710&gt;0,F3710&gt;0),1,0)</f>
        <v>1</v>
      </c>
      <c r="J3710" s="7" t="n">
        <f aca="false">IF(I3710=1,D3710*F3710,0)</f>
        <v>12.6</v>
      </c>
      <c r="K3710" s="7" t="n">
        <f aca="false">YEAR(E3710)*100+MONTH(E3710)</f>
        <v>201110</v>
      </c>
      <c r="L3710" s="7" t="n">
        <f aca="false">IF(AND(A3710&lt;&gt;A3709,LEFT(A3710,1)&lt;&gt;"C"),1,0)</f>
        <v>0</v>
      </c>
    </row>
    <row r="3711" customFormat="false" ht="15" hidden="false" customHeight="false" outlineLevel="0" collapsed="false">
      <c r="A3711" s="0" t="s">
        <v>2512</v>
      </c>
      <c r="B3711" s="0" t="s">
        <v>153</v>
      </c>
      <c r="C3711" s="0" t="s">
        <v>154</v>
      </c>
      <c r="D3711" s="0" t="n">
        <v>12</v>
      </c>
      <c r="E3711" s="6" t="n">
        <v>40836.6041666667</v>
      </c>
      <c r="F3711" s="0" t="n">
        <v>0.39</v>
      </c>
      <c r="G3711" s="0" t="n">
        <v>12683</v>
      </c>
      <c r="H3711" s="0" t="s">
        <v>43</v>
      </c>
      <c r="I3711" s="7" t="n">
        <f aca="false">IF(AND(LEFT(A3711,1)&lt;&gt;"C",D3711&gt;0,F3711&gt;0),1,0)</f>
        <v>1</v>
      </c>
      <c r="J3711" s="7" t="n">
        <f aca="false">IF(I3711=1,D3711*F3711,0)</f>
        <v>4.68</v>
      </c>
      <c r="K3711" s="7" t="n">
        <f aca="false">YEAR(E3711)*100+MONTH(E3711)</f>
        <v>201110</v>
      </c>
      <c r="L3711" s="7" t="n">
        <f aca="false">IF(AND(A3711&lt;&gt;A3710,LEFT(A3711,1)&lt;&gt;"C"),1,0)</f>
        <v>0</v>
      </c>
    </row>
    <row r="3712" customFormat="false" ht="15" hidden="false" customHeight="false" outlineLevel="0" collapsed="false">
      <c r="A3712" s="0" t="s">
        <v>2512</v>
      </c>
      <c r="B3712" s="0" t="s">
        <v>1425</v>
      </c>
      <c r="C3712" s="0" t="s">
        <v>1426</v>
      </c>
      <c r="D3712" s="0" t="n">
        <v>8</v>
      </c>
      <c r="E3712" s="6" t="n">
        <v>40836.6041666667</v>
      </c>
      <c r="F3712" s="0" t="n">
        <v>7.65</v>
      </c>
      <c r="G3712" s="0" t="n">
        <v>12683</v>
      </c>
      <c r="H3712" s="0" t="s">
        <v>43</v>
      </c>
      <c r="I3712" s="7" t="n">
        <f aca="false">IF(AND(LEFT(A3712,1)&lt;&gt;"C",D3712&gt;0,F3712&gt;0),1,0)</f>
        <v>1</v>
      </c>
      <c r="J3712" s="7" t="n">
        <f aca="false">IF(I3712=1,D3712*F3712,0)</f>
        <v>61.2</v>
      </c>
      <c r="K3712" s="7" t="n">
        <f aca="false">YEAR(E3712)*100+MONTH(E3712)</f>
        <v>201110</v>
      </c>
      <c r="L3712" s="7" t="n">
        <f aca="false">IF(AND(A3712&lt;&gt;A3711,LEFT(A3712,1)&lt;&gt;"C"),1,0)</f>
        <v>0</v>
      </c>
    </row>
    <row r="3713" customFormat="false" ht="15" hidden="false" customHeight="false" outlineLevel="0" collapsed="false">
      <c r="A3713" s="0" t="s">
        <v>2512</v>
      </c>
      <c r="B3713" s="0" t="s">
        <v>2064</v>
      </c>
      <c r="C3713" s="0" t="s">
        <v>2065</v>
      </c>
      <c r="D3713" s="0" t="n">
        <v>12</v>
      </c>
      <c r="E3713" s="6" t="n">
        <v>40836.6041666667</v>
      </c>
      <c r="F3713" s="0" t="n">
        <v>1.25</v>
      </c>
      <c r="G3713" s="0" t="n">
        <v>12683</v>
      </c>
      <c r="H3713" s="0" t="s">
        <v>43</v>
      </c>
      <c r="I3713" s="7" t="n">
        <f aca="false">IF(AND(LEFT(A3713,1)&lt;&gt;"C",D3713&gt;0,F3713&gt;0),1,0)</f>
        <v>1</v>
      </c>
      <c r="J3713" s="7" t="n">
        <f aca="false">IF(I3713=1,D3713*F3713,0)</f>
        <v>15</v>
      </c>
      <c r="K3713" s="7" t="n">
        <f aca="false">YEAR(E3713)*100+MONTH(E3713)</f>
        <v>201110</v>
      </c>
      <c r="L3713" s="7" t="n">
        <f aca="false">IF(AND(A3713&lt;&gt;A3712,LEFT(A3713,1)&lt;&gt;"C"),1,0)</f>
        <v>0</v>
      </c>
    </row>
    <row r="3714" customFormat="false" ht="15" hidden="false" customHeight="false" outlineLevel="0" collapsed="false">
      <c r="A3714" s="0" t="s">
        <v>2512</v>
      </c>
      <c r="B3714" s="0" t="s">
        <v>2519</v>
      </c>
      <c r="C3714" s="0" t="s">
        <v>2520</v>
      </c>
      <c r="D3714" s="0" t="n">
        <v>12</v>
      </c>
      <c r="E3714" s="6" t="n">
        <v>40836.6041666667</v>
      </c>
      <c r="F3714" s="0" t="n">
        <v>1.25</v>
      </c>
      <c r="G3714" s="0" t="n">
        <v>12683</v>
      </c>
      <c r="H3714" s="0" t="s">
        <v>43</v>
      </c>
      <c r="I3714" s="7" t="n">
        <f aca="false">IF(AND(LEFT(A3714,1)&lt;&gt;"C",D3714&gt;0,F3714&gt;0),1,0)</f>
        <v>1</v>
      </c>
      <c r="J3714" s="7" t="n">
        <f aca="false">IF(I3714=1,D3714*F3714,0)</f>
        <v>15</v>
      </c>
      <c r="K3714" s="7" t="n">
        <f aca="false">YEAR(E3714)*100+MONTH(E3714)</f>
        <v>201110</v>
      </c>
      <c r="L3714" s="7" t="n">
        <f aca="false">IF(AND(A3714&lt;&gt;A3713,LEFT(A3714,1)&lt;&gt;"C"),1,0)</f>
        <v>0</v>
      </c>
    </row>
    <row r="3715" customFormat="false" ht="15" hidden="false" customHeight="false" outlineLevel="0" collapsed="false">
      <c r="A3715" s="0" t="s">
        <v>2512</v>
      </c>
      <c r="B3715" s="0" t="s">
        <v>2275</v>
      </c>
      <c r="C3715" s="0" t="s">
        <v>2276</v>
      </c>
      <c r="D3715" s="0" t="n">
        <v>12</v>
      </c>
      <c r="E3715" s="6" t="n">
        <v>40836.6041666667</v>
      </c>
      <c r="F3715" s="0" t="n">
        <v>1.25</v>
      </c>
      <c r="G3715" s="0" t="n">
        <v>12683</v>
      </c>
      <c r="H3715" s="0" t="s">
        <v>43</v>
      </c>
      <c r="I3715" s="7" t="n">
        <f aca="false">IF(AND(LEFT(A3715,1)&lt;&gt;"C",D3715&gt;0,F3715&gt;0),1,0)</f>
        <v>1</v>
      </c>
      <c r="J3715" s="7" t="n">
        <f aca="false">IF(I3715=1,D3715*F3715,0)</f>
        <v>15</v>
      </c>
      <c r="K3715" s="7" t="n">
        <f aca="false">YEAR(E3715)*100+MONTH(E3715)</f>
        <v>201110</v>
      </c>
      <c r="L3715" s="7" t="n">
        <f aca="false">IF(AND(A3715&lt;&gt;A3714,LEFT(A3715,1)&lt;&gt;"C"),1,0)</f>
        <v>0</v>
      </c>
    </row>
    <row r="3716" customFormat="false" ht="15" hidden="false" customHeight="false" outlineLevel="0" collapsed="false">
      <c r="A3716" s="0" t="s">
        <v>2512</v>
      </c>
      <c r="B3716" s="0" t="s">
        <v>2521</v>
      </c>
      <c r="C3716" s="0" t="s">
        <v>2522</v>
      </c>
      <c r="D3716" s="0" t="n">
        <v>12</v>
      </c>
      <c r="E3716" s="6" t="n">
        <v>40836.6041666667</v>
      </c>
      <c r="F3716" s="0" t="n">
        <v>0.85</v>
      </c>
      <c r="G3716" s="0" t="n">
        <v>12683</v>
      </c>
      <c r="H3716" s="0" t="s">
        <v>43</v>
      </c>
      <c r="I3716" s="7" t="n">
        <f aca="false">IF(AND(LEFT(A3716,1)&lt;&gt;"C",D3716&gt;0,F3716&gt;0),1,0)</f>
        <v>1</v>
      </c>
      <c r="J3716" s="7" t="n">
        <f aca="false">IF(I3716=1,D3716*F3716,0)</f>
        <v>10.2</v>
      </c>
      <c r="K3716" s="7" t="n">
        <f aca="false">YEAR(E3716)*100+MONTH(E3716)</f>
        <v>201110</v>
      </c>
      <c r="L3716" s="7" t="n">
        <f aca="false">IF(AND(A3716&lt;&gt;A3715,LEFT(A3716,1)&lt;&gt;"C"),1,0)</f>
        <v>0</v>
      </c>
    </row>
    <row r="3717" customFormat="false" ht="15" hidden="false" customHeight="false" outlineLevel="0" collapsed="false">
      <c r="A3717" s="0" t="s">
        <v>2512</v>
      </c>
      <c r="B3717" s="0" t="s">
        <v>289</v>
      </c>
      <c r="C3717" s="0" t="s">
        <v>290</v>
      </c>
      <c r="D3717" s="0" t="n">
        <v>4</v>
      </c>
      <c r="E3717" s="6" t="n">
        <v>40836.6041666667</v>
      </c>
      <c r="F3717" s="0" t="n">
        <v>3.75</v>
      </c>
      <c r="G3717" s="0" t="n">
        <v>12683</v>
      </c>
      <c r="H3717" s="0" t="s">
        <v>43</v>
      </c>
      <c r="I3717" s="7" t="n">
        <f aca="false">IF(AND(LEFT(A3717,1)&lt;&gt;"C",D3717&gt;0,F3717&gt;0),1,0)</f>
        <v>1</v>
      </c>
      <c r="J3717" s="7" t="n">
        <f aca="false">IF(I3717=1,D3717*F3717,0)</f>
        <v>15</v>
      </c>
      <c r="K3717" s="7" t="n">
        <f aca="false">YEAR(E3717)*100+MONTH(E3717)</f>
        <v>201110</v>
      </c>
      <c r="L3717" s="7" t="n">
        <f aca="false">IF(AND(A3717&lt;&gt;A3716,LEFT(A3717,1)&lt;&gt;"C"),1,0)</f>
        <v>0</v>
      </c>
    </row>
    <row r="3718" customFormat="false" ht="15" hidden="false" customHeight="false" outlineLevel="0" collapsed="false">
      <c r="A3718" s="0" t="s">
        <v>2512</v>
      </c>
      <c r="B3718" s="0" t="s">
        <v>1225</v>
      </c>
      <c r="C3718" s="0" t="s">
        <v>1226</v>
      </c>
      <c r="D3718" s="0" t="n">
        <v>6</v>
      </c>
      <c r="E3718" s="6" t="n">
        <v>40836.6041666667</v>
      </c>
      <c r="F3718" s="0" t="n">
        <v>4.15</v>
      </c>
      <c r="G3718" s="0" t="n">
        <v>12683</v>
      </c>
      <c r="H3718" s="0" t="s">
        <v>43</v>
      </c>
      <c r="I3718" s="7" t="n">
        <f aca="false">IF(AND(LEFT(A3718,1)&lt;&gt;"C",D3718&gt;0,F3718&gt;0),1,0)</f>
        <v>1</v>
      </c>
      <c r="J3718" s="7" t="n">
        <f aca="false">IF(I3718=1,D3718*F3718,0)</f>
        <v>24.9</v>
      </c>
      <c r="K3718" s="7" t="n">
        <f aca="false">YEAR(E3718)*100+MONTH(E3718)</f>
        <v>201110</v>
      </c>
      <c r="L3718" s="7" t="n">
        <f aca="false">IF(AND(A3718&lt;&gt;A3717,LEFT(A3718,1)&lt;&gt;"C"),1,0)</f>
        <v>0</v>
      </c>
    </row>
    <row r="3719" customFormat="false" ht="15" hidden="false" customHeight="false" outlineLevel="0" collapsed="false">
      <c r="A3719" s="0" t="s">
        <v>2512</v>
      </c>
      <c r="B3719" s="0" t="s">
        <v>488</v>
      </c>
      <c r="C3719" s="0" t="s">
        <v>489</v>
      </c>
      <c r="D3719" s="0" t="n">
        <v>2</v>
      </c>
      <c r="E3719" s="6" t="n">
        <v>40836.6041666667</v>
      </c>
      <c r="F3719" s="0" t="n">
        <v>6.75</v>
      </c>
      <c r="G3719" s="0" t="n">
        <v>12683</v>
      </c>
      <c r="H3719" s="0" t="s">
        <v>43</v>
      </c>
      <c r="I3719" s="7" t="n">
        <f aca="false">IF(AND(LEFT(A3719,1)&lt;&gt;"C",D3719&gt;0,F3719&gt;0),1,0)</f>
        <v>1</v>
      </c>
      <c r="J3719" s="7" t="n">
        <f aca="false">IF(I3719=1,D3719*F3719,0)</f>
        <v>13.5</v>
      </c>
      <c r="K3719" s="7" t="n">
        <f aca="false">YEAR(E3719)*100+MONTH(E3719)</f>
        <v>201110</v>
      </c>
      <c r="L3719" s="7" t="n">
        <f aca="false">IF(AND(A3719&lt;&gt;A3718,LEFT(A3719,1)&lt;&gt;"C"),1,0)</f>
        <v>0</v>
      </c>
    </row>
    <row r="3720" customFormat="false" ht="15" hidden="false" customHeight="false" outlineLevel="0" collapsed="false">
      <c r="A3720" s="0" t="s">
        <v>2512</v>
      </c>
      <c r="B3720" s="0" t="s">
        <v>1695</v>
      </c>
      <c r="C3720" s="0" t="s">
        <v>1696</v>
      </c>
      <c r="D3720" s="0" t="n">
        <v>12</v>
      </c>
      <c r="E3720" s="6" t="n">
        <v>40836.6041666667</v>
      </c>
      <c r="F3720" s="0" t="n">
        <v>1.25</v>
      </c>
      <c r="G3720" s="0" t="n">
        <v>12683</v>
      </c>
      <c r="H3720" s="0" t="s">
        <v>43</v>
      </c>
      <c r="I3720" s="7" t="n">
        <f aca="false">IF(AND(LEFT(A3720,1)&lt;&gt;"C",D3720&gt;0,F3720&gt;0),1,0)</f>
        <v>1</v>
      </c>
      <c r="J3720" s="7" t="n">
        <f aca="false">IF(I3720=1,D3720*F3720,0)</f>
        <v>15</v>
      </c>
      <c r="K3720" s="7" t="n">
        <f aca="false">YEAR(E3720)*100+MONTH(E3720)</f>
        <v>201110</v>
      </c>
      <c r="L3720" s="7" t="n">
        <f aca="false">IF(AND(A3720&lt;&gt;A3719,LEFT(A3720,1)&lt;&gt;"C"),1,0)</f>
        <v>0</v>
      </c>
    </row>
    <row r="3721" customFormat="false" ht="15" hidden="false" customHeight="false" outlineLevel="0" collapsed="false">
      <c r="A3721" s="0" t="s">
        <v>2512</v>
      </c>
      <c r="B3721" s="0" t="s">
        <v>146</v>
      </c>
      <c r="C3721" s="0" t="s">
        <v>147</v>
      </c>
      <c r="D3721" s="0" t="n">
        <v>6</v>
      </c>
      <c r="E3721" s="6" t="n">
        <v>40836.6041666667</v>
      </c>
      <c r="F3721" s="0" t="n">
        <v>2.89</v>
      </c>
      <c r="G3721" s="0" t="n">
        <v>12683</v>
      </c>
      <c r="H3721" s="0" t="s">
        <v>43</v>
      </c>
      <c r="I3721" s="7" t="n">
        <f aca="false">IF(AND(LEFT(A3721,1)&lt;&gt;"C",D3721&gt;0,F3721&gt;0),1,0)</f>
        <v>1</v>
      </c>
      <c r="J3721" s="7" t="n">
        <f aca="false">IF(I3721=1,D3721*F3721,0)</f>
        <v>17.34</v>
      </c>
      <c r="K3721" s="7" t="n">
        <f aca="false">YEAR(E3721)*100+MONTH(E3721)</f>
        <v>201110</v>
      </c>
      <c r="L3721" s="7" t="n">
        <f aca="false">IF(AND(A3721&lt;&gt;A3720,LEFT(A3721,1)&lt;&gt;"C"),1,0)</f>
        <v>0</v>
      </c>
    </row>
    <row r="3722" customFormat="false" ht="15" hidden="false" customHeight="false" outlineLevel="0" collapsed="false">
      <c r="A3722" s="0" t="s">
        <v>2512</v>
      </c>
      <c r="B3722" s="0" t="s">
        <v>2148</v>
      </c>
      <c r="C3722" s="0" t="s">
        <v>2149</v>
      </c>
      <c r="D3722" s="0" t="n">
        <v>12</v>
      </c>
      <c r="E3722" s="6" t="n">
        <v>40836.6041666667</v>
      </c>
      <c r="F3722" s="0" t="n">
        <v>2.08</v>
      </c>
      <c r="G3722" s="0" t="n">
        <v>12683</v>
      </c>
      <c r="H3722" s="0" t="s">
        <v>43</v>
      </c>
      <c r="I3722" s="7" t="n">
        <f aca="false">IF(AND(LEFT(A3722,1)&lt;&gt;"C",D3722&gt;0,F3722&gt;0),1,0)</f>
        <v>1</v>
      </c>
      <c r="J3722" s="7" t="n">
        <f aca="false">IF(I3722=1,D3722*F3722,0)</f>
        <v>24.96</v>
      </c>
      <c r="K3722" s="7" t="n">
        <f aca="false">YEAR(E3722)*100+MONTH(E3722)</f>
        <v>201110</v>
      </c>
      <c r="L3722" s="7" t="n">
        <f aca="false">IF(AND(A3722&lt;&gt;A3721,LEFT(A3722,1)&lt;&gt;"C"),1,0)</f>
        <v>0</v>
      </c>
    </row>
    <row r="3723" customFormat="false" ht="15" hidden="false" customHeight="false" outlineLevel="0" collapsed="false">
      <c r="A3723" s="0" t="s">
        <v>2512</v>
      </c>
      <c r="B3723" s="0" t="s">
        <v>594</v>
      </c>
      <c r="C3723" s="0" t="s">
        <v>595</v>
      </c>
      <c r="D3723" s="0" t="n">
        <v>12</v>
      </c>
      <c r="E3723" s="6" t="n">
        <v>40836.6041666667</v>
      </c>
      <c r="F3723" s="0" t="n">
        <v>2.08</v>
      </c>
      <c r="G3723" s="0" t="n">
        <v>12683</v>
      </c>
      <c r="H3723" s="0" t="s">
        <v>43</v>
      </c>
      <c r="I3723" s="7" t="n">
        <f aca="false">IF(AND(LEFT(A3723,1)&lt;&gt;"C",D3723&gt;0,F3723&gt;0),1,0)</f>
        <v>1</v>
      </c>
      <c r="J3723" s="7" t="n">
        <f aca="false">IF(I3723=1,D3723*F3723,0)</f>
        <v>24.96</v>
      </c>
      <c r="K3723" s="7" t="n">
        <f aca="false">YEAR(E3723)*100+MONTH(E3723)</f>
        <v>201110</v>
      </c>
      <c r="L3723" s="7" t="n">
        <f aca="false">IF(AND(A3723&lt;&gt;A3722,LEFT(A3723,1)&lt;&gt;"C"),1,0)</f>
        <v>0</v>
      </c>
    </row>
    <row r="3724" customFormat="false" ht="15" hidden="false" customHeight="false" outlineLevel="0" collapsed="false">
      <c r="A3724" s="0" t="s">
        <v>2512</v>
      </c>
      <c r="B3724" s="0" t="s">
        <v>157</v>
      </c>
      <c r="C3724" s="0" t="s">
        <v>158</v>
      </c>
      <c r="D3724" s="0" t="n">
        <v>12</v>
      </c>
      <c r="E3724" s="6" t="n">
        <v>40836.6041666667</v>
      </c>
      <c r="F3724" s="0" t="n">
        <v>0.65</v>
      </c>
      <c r="G3724" s="0" t="n">
        <v>12683</v>
      </c>
      <c r="H3724" s="0" t="s">
        <v>43</v>
      </c>
      <c r="I3724" s="7" t="n">
        <f aca="false">IF(AND(LEFT(A3724,1)&lt;&gt;"C",D3724&gt;0,F3724&gt;0),1,0)</f>
        <v>1</v>
      </c>
      <c r="J3724" s="7" t="n">
        <f aca="false">IF(I3724=1,D3724*F3724,0)</f>
        <v>7.8</v>
      </c>
      <c r="K3724" s="7" t="n">
        <f aca="false">YEAR(E3724)*100+MONTH(E3724)</f>
        <v>201110</v>
      </c>
      <c r="L3724" s="7" t="n">
        <f aca="false">IF(AND(A3724&lt;&gt;A3723,LEFT(A3724,1)&lt;&gt;"C"),1,0)</f>
        <v>0</v>
      </c>
    </row>
    <row r="3725" customFormat="false" ht="15" hidden="false" customHeight="false" outlineLevel="0" collapsed="false">
      <c r="A3725" s="0" t="s">
        <v>2512</v>
      </c>
      <c r="B3725" s="0" t="s">
        <v>193</v>
      </c>
      <c r="C3725" s="0" t="s">
        <v>194</v>
      </c>
      <c r="D3725" s="0" t="n">
        <v>12</v>
      </c>
      <c r="E3725" s="6" t="n">
        <v>40836.6041666667</v>
      </c>
      <c r="F3725" s="0" t="n">
        <v>0.65</v>
      </c>
      <c r="G3725" s="0" t="n">
        <v>12683</v>
      </c>
      <c r="H3725" s="0" t="s">
        <v>43</v>
      </c>
      <c r="I3725" s="7" t="n">
        <f aca="false">IF(AND(LEFT(A3725,1)&lt;&gt;"C",D3725&gt;0,F3725&gt;0),1,0)</f>
        <v>1</v>
      </c>
      <c r="J3725" s="7" t="n">
        <f aca="false">IF(I3725=1,D3725*F3725,0)</f>
        <v>7.8</v>
      </c>
      <c r="K3725" s="7" t="n">
        <f aca="false">YEAR(E3725)*100+MONTH(E3725)</f>
        <v>201110</v>
      </c>
      <c r="L3725" s="7" t="n">
        <f aca="false">IF(AND(A3725&lt;&gt;A3724,LEFT(A3725,1)&lt;&gt;"C"),1,0)</f>
        <v>0</v>
      </c>
    </row>
    <row r="3726" customFormat="false" ht="15" hidden="false" customHeight="false" outlineLevel="0" collapsed="false">
      <c r="A3726" s="0" t="s">
        <v>2512</v>
      </c>
      <c r="B3726" s="0" t="s">
        <v>197</v>
      </c>
      <c r="C3726" s="0" t="s">
        <v>198</v>
      </c>
      <c r="D3726" s="0" t="n">
        <v>12</v>
      </c>
      <c r="E3726" s="6" t="n">
        <v>40836.6041666667</v>
      </c>
      <c r="F3726" s="0" t="n">
        <v>0.85</v>
      </c>
      <c r="G3726" s="0" t="n">
        <v>12683</v>
      </c>
      <c r="H3726" s="0" t="s">
        <v>43</v>
      </c>
      <c r="I3726" s="7" t="n">
        <f aca="false">IF(AND(LEFT(A3726,1)&lt;&gt;"C",D3726&gt;0,F3726&gt;0),1,0)</f>
        <v>1</v>
      </c>
      <c r="J3726" s="7" t="n">
        <f aca="false">IF(I3726=1,D3726*F3726,0)</f>
        <v>10.2</v>
      </c>
      <c r="K3726" s="7" t="n">
        <f aca="false">YEAR(E3726)*100+MONTH(E3726)</f>
        <v>201110</v>
      </c>
      <c r="L3726" s="7" t="n">
        <f aca="false">IF(AND(A3726&lt;&gt;A3725,LEFT(A3726,1)&lt;&gt;"C"),1,0)</f>
        <v>0</v>
      </c>
    </row>
    <row r="3727" customFormat="false" ht="15" hidden="false" customHeight="false" outlineLevel="0" collapsed="false">
      <c r="A3727" s="0" t="s">
        <v>2512</v>
      </c>
      <c r="B3727" s="0" t="s">
        <v>195</v>
      </c>
      <c r="C3727" s="0" t="s">
        <v>196</v>
      </c>
      <c r="D3727" s="0" t="n">
        <v>12</v>
      </c>
      <c r="E3727" s="6" t="n">
        <v>40836.6041666667</v>
      </c>
      <c r="F3727" s="0" t="n">
        <v>0.85</v>
      </c>
      <c r="G3727" s="0" t="n">
        <v>12683</v>
      </c>
      <c r="H3727" s="0" t="s">
        <v>43</v>
      </c>
      <c r="I3727" s="7" t="n">
        <f aca="false">IF(AND(LEFT(A3727,1)&lt;&gt;"C",D3727&gt;0,F3727&gt;0),1,0)</f>
        <v>1</v>
      </c>
      <c r="J3727" s="7" t="n">
        <f aca="false">IF(I3727=1,D3727*F3727,0)</f>
        <v>10.2</v>
      </c>
      <c r="K3727" s="7" t="n">
        <f aca="false">YEAR(E3727)*100+MONTH(E3727)</f>
        <v>201110</v>
      </c>
      <c r="L3727" s="7" t="n">
        <f aca="false">IF(AND(A3727&lt;&gt;A3726,LEFT(A3727,1)&lt;&gt;"C"),1,0)</f>
        <v>0</v>
      </c>
    </row>
    <row r="3728" customFormat="false" ht="15" hidden="false" customHeight="false" outlineLevel="0" collapsed="false">
      <c r="A3728" s="0" t="s">
        <v>2512</v>
      </c>
      <c r="B3728" s="0" t="s">
        <v>151</v>
      </c>
      <c r="C3728" s="0" t="s">
        <v>152</v>
      </c>
      <c r="D3728" s="0" t="n">
        <v>12</v>
      </c>
      <c r="E3728" s="6" t="n">
        <v>40836.6041666667</v>
      </c>
      <c r="F3728" s="0" t="n">
        <v>0.85</v>
      </c>
      <c r="G3728" s="0" t="n">
        <v>12683</v>
      </c>
      <c r="H3728" s="0" t="s">
        <v>43</v>
      </c>
      <c r="I3728" s="7" t="n">
        <f aca="false">IF(AND(LEFT(A3728,1)&lt;&gt;"C",D3728&gt;0,F3728&gt;0),1,0)</f>
        <v>1</v>
      </c>
      <c r="J3728" s="7" t="n">
        <f aca="false">IF(I3728=1,D3728*F3728,0)</f>
        <v>10.2</v>
      </c>
      <c r="K3728" s="7" t="n">
        <f aca="false">YEAR(E3728)*100+MONTH(E3728)</f>
        <v>201110</v>
      </c>
      <c r="L3728" s="7" t="n">
        <f aca="false">IF(AND(A3728&lt;&gt;A3727,LEFT(A3728,1)&lt;&gt;"C"),1,0)</f>
        <v>0</v>
      </c>
    </row>
    <row r="3729" customFormat="false" ht="15" hidden="false" customHeight="false" outlineLevel="0" collapsed="false">
      <c r="A3729" s="0" t="s">
        <v>2512</v>
      </c>
      <c r="B3729" s="0" t="s">
        <v>199</v>
      </c>
      <c r="C3729" s="0" t="s">
        <v>200</v>
      </c>
      <c r="D3729" s="0" t="n">
        <v>12</v>
      </c>
      <c r="E3729" s="6" t="n">
        <v>40836.6041666667</v>
      </c>
      <c r="F3729" s="0" t="n">
        <v>0.85</v>
      </c>
      <c r="G3729" s="0" t="n">
        <v>12683</v>
      </c>
      <c r="H3729" s="0" t="s">
        <v>43</v>
      </c>
      <c r="I3729" s="7" t="n">
        <f aca="false">IF(AND(LEFT(A3729,1)&lt;&gt;"C",D3729&gt;0,F3729&gt;0),1,0)</f>
        <v>1</v>
      </c>
      <c r="J3729" s="7" t="n">
        <f aca="false">IF(I3729=1,D3729*F3729,0)</f>
        <v>10.2</v>
      </c>
      <c r="K3729" s="7" t="n">
        <f aca="false">YEAR(E3729)*100+MONTH(E3729)</f>
        <v>201110</v>
      </c>
      <c r="L3729" s="7" t="n">
        <f aca="false">IF(AND(A3729&lt;&gt;A3728,LEFT(A3729,1)&lt;&gt;"C"),1,0)</f>
        <v>0</v>
      </c>
    </row>
    <row r="3730" customFormat="false" ht="15" hidden="false" customHeight="false" outlineLevel="0" collapsed="false">
      <c r="A3730" s="0" t="s">
        <v>2512</v>
      </c>
      <c r="B3730" s="0" t="s">
        <v>1798</v>
      </c>
      <c r="C3730" s="0" t="s">
        <v>1799</v>
      </c>
      <c r="D3730" s="0" t="n">
        <v>12</v>
      </c>
      <c r="E3730" s="6" t="n">
        <v>40836.6041666667</v>
      </c>
      <c r="F3730" s="0" t="n">
        <v>1.25</v>
      </c>
      <c r="G3730" s="0" t="n">
        <v>12683</v>
      </c>
      <c r="H3730" s="0" t="s">
        <v>43</v>
      </c>
      <c r="I3730" s="7" t="n">
        <f aca="false">IF(AND(LEFT(A3730,1)&lt;&gt;"C",D3730&gt;0,F3730&gt;0),1,0)</f>
        <v>1</v>
      </c>
      <c r="J3730" s="7" t="n">
        <f aca="false">IF(I3730=1,D3730*F3730,0)</f>
        <v>15</v>
      </c>
      <c r="K3730" s="7" t="n">
        <f aca="false">YEAR(E3730)*100+MONTH(E3730)</f>
        <v>201110</v>
      </c>
      <c r="L3730" s="7" t="n">
        <f aca="false">IF(AND(A3730&lt;&gt;A3729,LEFT(A3730,1)&lt;&gt;"C"),1,0)</f>
        <v>0</v>
      </c>
    </row>
    <row r="3731" customFormat="false" ht="15" hidden="false" customHeight="false" outlineLevel="0" collapsed="false">
      <c r="A3731" s="0" t="s">
        <v>2512</v>
      </c>
      <c r="B3731" s="0" t="s">
        <v>2273</v>
      </c>
      <c r="C3731" s="0" t="s">
        <v>2274</v>
      </c>
      <c r="D3731" s="0" t="n">
        <v>12</v>
      </c>
      <c r="E3731" s="6" t="n">
        <v>40836.6041666667</v>
      </c>
      <c r="F3731" s="0" t="n">
        <v>2.1</v>
      </c>
      <c r="G3731" s="0" t="n">
        <v>12683</v>
      </c>
      <c r="H3731" s="0" t="s">
        <v>43</v>
      </c>
      <c r="I3731" s="7" t="n">
        <f aca="false">IF(AND(LEFT(A3731,1)&lt;&gt;"C",D3731&gt;0,F3731&gt;0),1,0)</f>
        <v>1</v>
      </c>
      <c r="J3731" s="7" t="n">
        <f aca="false">IF(I3731=1,D3731*F3731,0)</f>
        <v>25.2</v>
      </c>
      <c r="K3731" s="7" t="n">
        <f aca="false">YEAR(E3731)*100+MONTH(E3731)</f>
        <v>201110</v>
      </c>
      <c r="L3731" s="7" t="n">
        <f aca="false">IF(AND(A3731&lt;&gt;A3730,LEFT(A3731,1)&lt;&gt;"C"),1,0)</f>
        <v>0</v>
      </c>
    </row>
    <row r="3732" customFormat="false" ht="15" hidden="false" customHeight="false" outlineLevel="0" collapsed="false">
      <c r="A3732" s="0" t="s">
        <v>2512</v>
      </c>
      <c r="B3732" s="0" t="s">
        <v>490</v>
      </c>
      <c r="C3732" s="0" t="s">
        <v>491</v>
      </c>
      <c r="D3732" s="0" t="n">
        <v>6</v>
      </c>
      <c r="E3732" s="6" t="n">
        <v>40836.6041666667</v>
      </c>
      <c r="F3732" s="0" t="n">
        <v>2.08</v>
      </c>
      <c r="G3732" s="0" t="n">
        <v>12683</v>
      </c>
      <c r="H3732" s="0" t="s">
        <v>43</v>
      </c>
      <c r="I3732" s="7" t="n">
        <f aca="false">IF(AND(LEFT(A3732,1)&lt;&gt;"C",D3732&gt;0,F3732&gt;0),1,0)</f>
        <v>1</v>
      </c>
      <c r="J3732" s="7" t="n">
        <f aca="false">IF(I3732=1,D3732*F3732,0)</f>
        <v>12.48</v>
      </c>
      <c r="K3732" s="7" t="n">
        <f aca="false">YEAR(E3732)*100+MONTH(E3732)</f>
        <v>201110</v>
      </c>
      <c r="L3732" s="7" t="n">
        <f aca="false">IF(AND(A3732&lt;&gt;A3731,LEFT(A3732,1)&lt;&gt;"C"),1,0)</f>
        <v>0</v>
      </c>
    </row>
    <row r="3733" customFormat="false" ht="15" hidden="false" customHeight="false" outlineLevel="0" collapsed="false">
      <c r="A3733" s="0" t="s">
        <v>2512</v>
      </c>
      <c r="B3733" s="0" t="s">
        <v>84</v>
      </c>
      <c r="C3733" s="0" t="s">
        <v>85</v>
      </c>
      <c r="D3733" s="0" t="n">
        <v>6</v>
      </c>
      <c r="E3733" s="6" t="n">
        <v>40836.6041666667</v>
      </c>
      <c r="F3733" s="0" t="n">
        <v>18</v>
      </c>
      <c r="G3733" s="0" t="n">
        <v>12683</v>
      </c>
      <c r="H3733" s="0" t="s">
        <v>43</v>
      </c>
      <c r="I3733" s="7" t="n">
        <f aca="false">IF(AND(LEFT(A3733,1)&lt;&gt;"C",D3733&gt;0,F3733&gt;0),1,0)</f>
        <v>1</v>
      </c>
      <c r="J3733" s="7" t="n">
        <f aca="false">IF(I3733=1,D3733*F3733,0)</f>
        <v>108</v>
      </c>
      <c r="K3733" s="7" t="n">
        <f aca="false">YEAR(E3733)*100+MONTH(E3733)</f>
        <v>201110</v>
      </c>
      <c r="L3733" s="7" t="n">
        <f aca="false">IF(AND(A3733&lt;&gt;A3732,LEFT(A3733,1)&lt;&gt;"C"),1,0)</f>
        <v>0</v>
      </c>
    </row>
    <row r="3734" customFormat="false" ht="15" hidden="false" customHeight="false" outlineLevel="0" collapsed="false">
      <c r="A3734" s="0" t="s">
        <v>2523</v>
      </c>
      <c r="B3734" s="0" t="s">
        <v>808</v>
      </c>
      <c r="C3734" s="0" t="s">
        <v>809</v>
      </c>
      <c r="D3734" s="0" t="n">
        <v>44</v>
      </c>
      <c r="E3734" s="6" t="n">
        <v>40837.4256944444</v>
      </c>
      <c r="F3734" s="0" t="n">
        <v>3.75</v>
      </c>
      <c r="G3734" s="0" t="n">
        <v>12500</v>
      </c>
      <c r="H3734" s="0" t="s">
        <v>33</v>
      </c>
      <c r="I3734" s="7" t="n">
        <f aca="false">IF(AND(LEFT(A3734,1)&lt;&gt;"C",D3734&gt;0,F3734&gt;0),1,0)</f>
        <v>1</v>
      </c>
      <c r="J3734" s="7" t="n">
        <f aca="false">IF(I3734=1,D3734*F3734,0)</f>
        <v>165</v>
      </c>
      <c r="K3734" s="7" t="n">
        <f aca="false">YEAR(E3734)*100+MONTH(E3734)</f>
        <v>201110</v>
      </c>
      <c r="L3734" s="7" t="n">
        <f aca="false">IF(AND(A3734&lt;&gt;A3733,LEFT(A3734,1)&lt;&gt;"C"),1,0)</f>
        <v>1</v>
      </c>
    </row>
    <row r="3735" customFormat="false" ht="15" hidden="false" customHeight="false" outlineLevel="0" collapsed="false">
      <c r="A3735" s="0" t="s">
        <v>2523</v>
      </c>
      <c r="B3735" s="0" t="s">
        <v>810</v>
      </c>
      <c r="C3735" s="0" t="s">
        <v>1891</v>
      </c>
      <c r="D3735" s="0" t="n">
        <v>44</v>
      </c>
      <c r="E3735" s="6" t="n">
        <v>40837.4256944444</v>
      </c>
      <c r="F3735" s="0" t="n">
        <v>3.75</v>
      </c>
      <c r="G3735" s="0" t="n">
        <v>12500</v>
      </c>
      <c r="H3735" s="0" t="s">
        <v>33</v>
      </c>
      <c r="I3735" s="7" t="n">
        <f aca="false">IF(AND(LEFT(A3735,1)&lt;&gt;"C",D3735&gt;0,F3735&gt;0),1,0)</f>
        <v>1</v>
      </c>
      <c r="J3735" s="7" t="n">
        <f aca="false">IF(I3735=1,D3735*F3735,0)</f>
        <v>165</v>
      </c>
      <c r="K3735" s="7" t="n">
        <f aca="false">YEAR(E3735)*100+MONTH(E3735)</f>
        <v>201110</v>
      </c>
      <c r="L3735" s="7" t="n">
        <f aca="false">IF(AND(A3735&lt;&gt;A3734,LEFT(A3735,1)&lt;&gt;"C"),1,0)</f>
        <v>0</v>
      </c>
    </row>
    <row r="3736" customFormat="false" ht="15" hidden="false" customHeight="false" outlineLevel="0" collapsed="false">
      <c r="A3736" s="0" t="s">
        <v>2523</v>
      </c>
      <c r="B3736" s="0" t="s">
        <v>1151</v>
      </c>
      <c r="C3736" s="0" t="s">
        <v>1152</v>
      </c>
      <c r="D3736" s="0" t="n">
        <v>60</v>
      </c>
      <c r="E3736" s="6" t="n">
        <v>40837.4256944444</v>
      </c>
      <c r="F3736" s="0" t="n">
        <v>10.4</v>
      </c>
      <c r="G3736" s="0" t="n">
        <v>12500</v>
      </c>
      <c r="H3736" s="0" t="s">
        <v>33</v>
      </c>
      <c r="I3736" s="7" t="n">
        <f aca="false">IF(AND(LEFT(A3736,1)&lt;&gt;"C",D3736&gt;0,F3736&gt;0),1,0)</f>
        <v>1</v>
      </c>
      <c r="J3736" s="7" t="n">
        <f aca="false">IF(I3736=1,D3736*F3736,0)</f>
        <v>624</v>
      </c>
      <c r="K3736" s="7" t="n">
        <f aca="false">YEAR(E3736)*100+MONTH(E3736)</f>
        <v>201110</v>
      </c>
      <c r="L3736" s="7" t="n">
        <f aca="false">IF(AND(A3736&lt;&gt;A3735,LEFT(A3736,1)&lt;&gt;"C"),1,0)</f>
        <v>0</v>
      </c>
    </row>
    <row r="3737" customFormat="false" ht="15" hidden="false" customHeight="false" outlineLevel="0" collapsed="false">
      <c r="A3737" s="0" t="s">
        <v>2523</v>
      </c>
      <c r="B3737" s="0" t="s">
        <v>947</v>
      </c>
      <c r="C3737" s="0" t="s">
        <v>948</v>
      </c>
      <c r="D3737" s="0" t="n">
        <v>1</v>
      </c>
      <c r="E3737" s="6" t="n">
        <v>40837.4256944444</v>
      </c>
      <c r="F3737" s="0" t="n">
        <v>21.95</v>
      </c>
      <c r="G3737" s="0" t="n">
        <v>12500</v>
      </c>
      <c r="H3737" s="0" t="s">
        <v>33</v>
      </c>
      <c r="I3737" s="7" t="n">
        <f aca="false">IF(AND(LEFT(A3737,1)&lt;&gt;"C",D3737&gt;0,F3737&gt;0),1,0)</f>
        <v>1</v>
      </c>
      <c r="J3737" s="7" t="n">
        <f aca="false">IF(I3737=1,D3737*F3737,0)</f>
        <v>21.95</v>
      </c>
      <c r="K3737" s="7" t="n">
        <f aca="false">YEAR(E3737)*100+MONTH(E3737)</f>
        <v>201110</v>
      </c>
      <c r="L3737" s="7" t="n">
        <f aca="false">IF(AND(A3737&lt;&gt;A3736,LEFT(A3737,1)&lt;&gt;"C"),1,0)</f>
        <v>0</v>
      </c>
    </row>
    <row r="3738" customFormat="false" ht="15" hidden="false" customHeight="false" outlineLevel="0" collapsed="false">
      <c r="A3738" s="0" t="s">
        <v>2523</v>
      </c>
      <c r="B3738" s="0" t="s">
        <v>1901</v>
      </c>
      <c r="C3738" s="0" t="s">
        <v>1902</v>
      </c>
      <c r="D3738" s="0" t="n">
        <v>2</v>
      </c>
      <c r="E3738" s="6" t="n">
        <v>40837.4256944444</v>
      </c>
      <c r="F3738" s="0" t="n">
        <v>6.25</v>
      </c>
      <c r="G3738" s="0" t="n">
        <v>12500</v>
      </c>
      <c r="H3738" s="0" t="s">
        <v>33</v>
      </c>
      <c r="I3738" s="7" t="n">
        <f aca="false">IF(AND(LEFT(A3738,1)&lt;&gt;"C",D3738&gt;0,F3738&gt;0),1,0)</f>
        <v>1</v>
      </c>
      <c r="J3738" s="7" t="n">
        <f aca="false">IF(I3738=1,D3738*F3738,0)</f>
        <v>12.5</v>
      </c>
      <c r="K3738" s="7" t="n">
        <f aca="false">YEAR(E3738)*100+MONTH(E3738)</f>
        <v>201110</v>
      </c>
      <c r="L3738" s="7" t="n">
        <f aca="false">IF(AND(A3738&lt;&gt;A3737,LEFT(A3738,1)&lt;&gt;"C"),1,0)</f>
        <v>0</v>
      </c>
    </row>
    <row r="3739" customFormat="false" ht="15" hidden="false" customHeight="false" outlineLevel="0" collapsed="false">
      <c r="A3739" s="0" t="s">
        <v>2523</v>
      </c>
      <c r="B3739" s="0" t="s">
        <v>452</v>
      </c>
      <c r="C3739" s="0" t="s">
        <v>453</v>
      </c>
      <c r="D3739" s="0" t="n">
        <v>2</v>
      </c>
      <c r="E3739" s="6" t="n">
        <v>40837.4256944444</v>
      </c>
      <c r="F3739" s="0" t="n">
        <v>8.5</v>
      </c>
      <c r="G3739" s="0" t="n">
        <v>12500</v>
      </c>
      <c r="H3739" s="0" t="s">
        <v>33</v>
      </c>
      <c r="I3739" s="7" t="n">
        <f aca="false">IF(AND(LEFT(A3739,1)&lt;&gt;"C",D3739&gt;0,F3739&gt;0),1,0)</f>
        <v>1</v>
      </c>
      <c r="J3739" s="7" t="n">
        <f aca="false">IF(I3739=1,D3739*F3739,0)</f>
        <v>17</v>
      </c>
      <c r="K3739" s="7" t="n">
        <f aca="false">YEAR(E3739)*100+MONTH(E3739)</f>
        <v>201110</v>
      </c>
      <c r="L3739" s="7" t="n">
        <f aca="false">IF(AND(A3739&lt;&gt;A3738,LEFT(A3739,1)&lt;&gt;"C"),1,0)</f>
        <v>0</v>
      </c>
    </row>
    <row r="3740" customFormat="false" ht="15" hidden="false" customHeight="false" outlineLevel="0" collapsed="false">
      <c r="A3740" s="0" t="s">
        <v>2523</v>
      </c>
      <c r="B3740" s="0" t="s">
        <v>1829</v>
      </c>
      <c r="C3740" s="0" t="s">
        <v>1830</v>
      </c>
      <c r="D3740" s="0" t="n">
        <v>12</v>
      </c>
      <c r="E3740" s="6" t="n">
        <v>40837.4256944444</v>
      </c>
      <c r="F3740" s="0" t="n">
        <v>1.95</v>
      </c>
      <c r="G3740" s="0" t="n">
        <v>12500</v>
      </c>
      <c r="H3740" s="0" t="s">
        <v>33</v>
      </c>
      <c r="I3740" s="7" t="n">
        <f aca="false">IF(AND(LEFT(A3740,1)&lt;&gt;"C",D3740&gt;0,F3740&gt;0),1,0)</f>
        <v>1</v>
      </c>
      <c r="J3740" s="7" t="n">
        <f aca="false">IF(I3740=1,D3740*F3740,0)</f>
        <v>23.4</v>
      </c>
      <c r="K3740" s="7" t="n">
        <f aca="false">YEAR(E3740)*100+MONTH(E3740)</f>
        <v>201110</v>
      </c>
      <c r="L3740" s="7" t="n">
        <f aca="false">IF(AND(A3740&lt;&gt;A3739,LEFT(A3740,1)&lt;&gt;"C"),1,0)</f>
        <v>0</v>
      </c>
    </row>
    <row r="3741" customFormat="false" ht="15" hidden="false" customHeight="false" outlineLevel="0" collapsed="false">
      <c r="A3741" s="0" t="s">
        <v>2523</v>
      </c>
      <c r="B3741" s="0" t="s">
        <v>2524</v>
      </c>
      <c r="C3741" s="0" t="s">
        <v>2525</v>
      </c>
      <c r="D3741" s="0" t="n">
        <v>12</v>
      </c>
      <c r="E3741" s="6" t="n">
        <v>40837.4256944444</v>
      </c>
      <c r="F3741" s="0" t="n">
        <v>1.25</v>
      </c>
      <c r="G3741" s="0" t="n">
        <v>12500</v>
      </c>
      <c r="H3741" s="0" t="s">
        <v>33</v>
      </c>
      <c r="I3741" s="7" t="n">
        <f aca="false">IF(AND(LEFT(A3741,1)&lt;&gt;"C",D3741&gt;0,F3741&gt;0),1,0)</f>
        <v>1</v>
      </c>
      <c r="J3741" s="7" t="n">
        <f aca="false">IF(I3741=1,D3741*F3741,0)</f>
        <v>15</v>
      </c>
      <c r="K3741" s="7" t="n">
        <f aca="false">YEAR(E3741)*100+MONTH(E3741)</f>
        <v>201110</v>
      </c>
      <c r="L3741" s="7" t="n">
        <f aca="false">IF(AND(A3741&lt;&gt;A3740,LEFT(A3741,1)&lt;&gt;"C"),1,0)</f>
        <v>0</v>
      </c>
    </row>
    <row r="3742" customFormat="false" ht="15" hidden="false" customHeight="false" outlineLevel="0" collapsed="false">
      <c r="A3742" s="0" t="s">
        <v>2523</v>
      </c>
      <c r="B3742" s="0" t="s">
        <v>2526</v>
      </c>
      <c r="C3742" s="0" t="s">
        <v>2527</v>
      </c>
      <c r="D3742" s="0" t="n">
        <v>12</v>
      </c>
      <c r="E3742" s="6" t="n">
        <v>40837.4256944444</v>
      </c>
      <c r="F3742" s="0" t="n">
        <v>1.25</v>
      </c>
      <c r="G3742" s="0" t="n">
        <v>12500</v>
      </c>
      <c r="H3742" s="0" t="s">
        <v>33</v>
      </c>
      <c r="I3742" s="7" t="n">
        <f aca="false">IF(AND(LEFT(A3742,1)&lt;&gt;"C",D3742&gt;0,F3742&gt;0),1,0)</f>
        <v>1</v>
      </c>
      <c r="J3742" s="7" t="n">
        <f aca="false">IF(I3742=1,D3742*F3742,0)</f>
        <v>15</v>
      </c>
      <c r="K3742" s="7" t="n">
        <f aca="false">YEAR(E3742)*100+MONTH(E3742)</f>
        <v>201110</v>
      </c>
      <c r="L3742" s="7" t="n">
        <f aca="false">IF(AND(A3742&lt;&gt;A3741,LEFT(A3742,1)&lt;&gt;"C"),1,0)</f>
        <v>0</v>
      </c>
    </row>
    <row r="3743" customFormat="false" ht="15" hidden="false" customHeight="false" outlineLevel="0" collapsed="false">
      <c r="A3743" s="0" t="s">
        <v>2523</v>
      </c>
      <c r="B3743" s="0" t="s">
        <v>365</v>
      </c>
      <c r="C3743" s="0" t="s">
        <v>366</v>
      </c>
      <c r="D3743" s="0" t="n">
        <v>6</v>
      </c>
      <c r="E3743" s="6" t="n">
        <v>40837.4256944444</v>
      </c>
      <c r="F3743" s="0" t="n">
        <v>2.95</v>
      </c>
      <c r="G3743" s="0" t="n">
        <v>12500</v>
      </c>
      <c r="H3743" s="0" t="s">
        <v>33</v>
      </c>
      <c r="I3743" s="7" t="n">
        <f aca="false">IF(AND(LEFT(A3743,1)&lt;&gt;"C",D3743&gt;0,F3743&gt;0),1,0)</f>
        <v>1</v>
      </c>
      <c r="J3743" s="7" t="n">
        <f aca="false">IF(I3743=1,D3743*F3743,0)</f>
        <v>17.7</v>
      </c>
      <c r="K3743" s="7" t="n">
        <f aca="false">YEAR(E3743)*100+MONTH(E3743)</f>
        <v>201110</v>
      </c>
      <c r="L3743" s="7" t="n">
        <f aca="false">IF(AND(A3743&lt;&gt;A3742,LEFT(A3743,1)&lt;&gt;"C"),1,0)</f>
        <v>0</v>
      </c>
    </row>
    <row r="3744" customFormat="false" ht="15" hidden="false" customHeight="false" outlineLevel="0" collapsed="false">
      <c r="A3744" s="0" t="s">
        <v>2523</v>
      </c>
      <c r="B3744" s="0" t="s">
        <v>2528</v>
      </c>
      <c r="C3744" s="0" t="s">
        <v>2529</v>
      </c>
      <c r="D3744" s="0" t="n">
        <v>6</v>
      </c>
      <c r="E3744" s="6" t="n">
        <v>40837.4256944444</v>
      </c>
      <c r="F3744" s="0" t="n">
        <v>3.35</v>
      </c>
      <c r="G3744" s="0" t="n">
        <v>12500</v>
      </c>
      <c r="H3744" s="0" t="s">
        <v>33</v>
      </c>
      <c r="I3744" s="7" t="n">
        <f aca="false">IF(AND(LEFT(A3744,1)&lt;&gt;"C",D3744&gt;0,F3744&gt;0),1,0)</f>
        <v>1</v>
      </c>
      <c r="J3744" s="7" t="n">
        <f aca="false">IF(I3744=1,D3744*F3744,0)</f>
        <v>20.1</v>
      </c>
      <c r="K3744" s="7" t="n">
        <f aca="false">YEAR(E3744)*100+MONTH(E3744)</f>
        <v>201110</v>
      </c>
      <c r="L3744" s="7" t="n">
        <f aca="false">IF(AND(A3744&lt;&gt;A3743,LEFT(A3744,1)&lt;&gt;"C"),1,0)</f>
        <v>0</v>
      </c>
    </row>
    <row r="3745" customFormat="false" ht="15" hidden="false" customHeight="false" outlineLevel="0" collapsed="false">
      <c r="A3745" s="0" t="s">
        <v>2530</v>
      </c>
      <c r="B3745" s="0" t="s">
        <v>756</v>
      </c>
      <c r="C3745" s="0" t="s">
        <v>757</v>
      </c>
      <c r="D3745" s="0" t="n">
        <v>4</v>
      </c>
      <c r="E3745" s="6" t="n">
        <v>40837.6388888889</v>
      </c>
      <c r="F3745" s="0" t="n">
        <v>3.75</v>
      </c>
      <c r="G3745" s="0" t="n">
        <v>12712</v>
      </c>
      <c r="H3745" s="0" t="s">
        <v>33</v>
      </c>
      <c r="I3745" s="7" t="n">
        <f aca="false">IF(AND(LEFT(A3745,1)&lt;&gt;"C",D3745&gt;0,F3745&gt;0),1,0)</f>
        <v>1</v>
      </c>
      <c r="J3745" s="7" t="n">
        <f aca="false">IF(I3745=1,D3745*F3745,0)</f>
        <v>15</v>
      </c>
      <c r="K3745" s="7" t="n">
        <f aca="false">YEAR(E3745)*100+MONTH(E3745)</f>
        <v>201110</v>
      </c>
      <c r="L3745" s="7" t="n">
        <f aca="false">IF(AND(A3745&lt;&gt;A3744,LEFT(A3745,1)&lt;&gt;"C"),1,0)</f>
        <v>1</v>
      </c>
    </row>
    <row r="3746" customFormat="false" ht="15" hidden="false" customHeight="false" outlineLevel="0" collapsed="false">
      <c r="A3746" s="0" t="s">
        <v>2530</v>
      </c>
      <c r="B3746" s="0" t="s">
        <v>2531</v>
      </c>
      <c r="C3746" s="0" t="s">
        <v>2532</v>
      </c>
      <c r="D3746" s="0" t="n">
        <v>4</v>
      </c>
      <c r="E3746" s="6" t="n">
        <v>40837.6388888889</v>
      </c>
      <c r="F3746" s="0" t="n">
        <v>4.25</v>
      </c>
      <c r="G3746" s="0" t="n">
        <v>12712</v>
      </c>
      <c r="H3746" s="0" t="s">
        <v>33</v>
      </c>
      <c r="I3746" s="7" t="n">
        <f aca="false">IF(AND(LEFT(A3746,1)&lt;&gt;"C",D3746&gt;0,F3746&gt;0),1,0)</f>
        <v>1</v>
      </c>
      <c r="J3746" s="7" t="n">
        <f aca="false">IF(I3746=1,D3746*F3746,0)</f>
        <v>17</v>
      </c>
      <c r="K3746" s="7" t="n">
        <f aca="false">YEAR(E3746)*100+MONTH(E3746)</f>
        <v>201110</v>
      </c>
      <c r="L3746" s="7" t="n">
        <f aca="false">IF(AND(A3746&lt;&gt;A3745,LEFT(A3746,1)&lt;&gt;"C"),1,0)</f>
        <v>0</v>
      </c>
    </row>
    <row r="3747" customFormat="false" ht="15" hidden="false" customHeight="false" outlineLevel="0" collapsed="false">
      <c r="A3747" s="0" t="s">
        <v>2530</v>
      </c>
      <c r="B3747" s="0" t="s">
        <v>1583</v>
      </c>
      <c r="C3747" s="0" t="s">
        <v>1584</v>
      </c>
      <c r="D3747" s="0" t="n">
        <v>12</v>
      </c>
      <c r="E3747" s="6" t="n">
        <v>40837.6388888889</v>
      </c>
      <c r="F3747" s="0" t="n">
        <v>2.1</v>
      </c>
      <c r="G3747" s="0" t="n">
        <v>12712</v>
      </c>
      <c r="H3747" s="0" t="s">
        <v>33</v>
      </c>
      <c r="I3747" s="7" t="n">
        <f aca="false">IF(AND(LEFT(A3747,1)&lt;&gt;"C",D3747&gt;0,F3747&gt;0),1,0)</f>
        <v>1</v>
      </c>
      <c r="J3747" s="7" t="n">
        <f aca="false">IF(I3747=1,D3747*F3747,0)</f>
        <v>25.2</v>
      </c>
      <c r="K3747" s="7" t="n">
        <f aca="false">YEAR(E3747)*100+MONTH(E3747)</f>
        <v>201110</v>
      </c>
      <c r="L3747" s="7" t="n">
        <f aca="false">IF(AND(A3747&lt;&gt;A3746,LEFT(A3747,1)&lt;&gt;"C"),1,0)</f>
        <v>0</v>
      </c>
    </row>
    <row r="3748" customFormat="false" ht="15" hidden="false" customHeight="false" outlineLevel="0" collapsed="false">
      <c r="A3748" s="0" t="s">
        <v>2530</v>
      </c>
      <c r="B3748" s="0" t="s">
        <v>2443</v>
      </c>
      <c r="C3748" s="0" t="s">
        <v>2444</v>
      </c>
      <c r="D3748" s="0" t="n">
        <v>12</v>
      </c>
      <c r="E3748" s="6" t="n">
        <v>40837.6388888889</v>
      </c>
      <c r="F3748" s="0" t="n">
        <v>2.1</v>
      </c>
      <c r="G3748" s="0" t="n">
        <v>12712</v>
      </c>
      <c r="H3748" s="0" t="s">
        <v>33</v>
      </c>
      <c r="I3748" s="7" t="n">
        <f aca="false">IF(AND(LEFT(A3748,1)&lt;&gt;"C",D3748&gt;0,F3748&gt;0),1,0)</f>
        <v>1</v>
      </c>
      <c r="J3748" s="7" t="n">
        <f aca="false">IF(I3748=1,D3748*F3748,0)</f>
        <v>25.2</v>
      </c>
      <c r="K3748" s="7" t="n">
        <f aca="false">YEAR(E3748)*100+MONTH(E3748)</f>
        <v>201110</v>
      </c>
      <c r="L3748" s="7" t="n">
        <f aca="false">IF(AND(A3748&lt;&gt;A3747,LEFT(A3748,1)&lt;&gt;"C"),1,0)</f>
        <v>0</v>
      </c>
    </row>
    <row r="3749" customFormat="false" ht="15" hidden="false" customHeight="false" outlineLevel="0" collapsed="false">
      <c r="A3749" s="0" t="s">
        <v>2530</v>
      </c>
      <c r="B3749" s="0" t="s">
        <v>2533</v>
      </c>
      <c r="C3749" s="0" t="s">
        <v>2534</v>
      </c>
      <c r="D3749" s="0" t="n">
        <v>12</v>
      </c>
      <c r="E3749" s="6" t="n">
        <v>40837.6388888889</v>
      </c>
      <c r="F3749" s="0" t="n">
        <v>2.1</v>
      </c>
      <c r="G3749" s="0" t="n">
        <v>12712</v>
      </c>
      <c r="H3749" s="0" t="s">
        <v>33</v>
      </c>
      <c r="I3749" s="7" t="n">
        <f aca="false">IF(AND(LEFT(A3749,1)&lt;&gt;"C",D3749&gt;0,F3749&gt;0),1,0)</f>
        <v>1</v>
      </c>
      <c r="J3749" s="7" t="n">
        <f aca="false">IF(I3749=1,D3749*F3749,0)</f>
        <v>25.2</v>
      </c>
      <c r="K3749" s="7" t="n">
        <f aca="false">YEAR(E3749)*100+MONTH(E3749)</f>
        <v>201110</v>
      </c>
      <c r="L3749" s="7" t="n">
        <f aca="false">IF(AND(A3749&lt;&gt;A3748,LEFT(A3749,1)&lt;&gt;"C"),1,0)</f>
        <v>0</v>
      </c>
    </row>
    <row r="3750" customFormat="false" ht="15" hidden="false" customHeight="false" outlineLevel="0" collapsed="false">
      <c r="A3750" s="0" t="s">
        <v>2530</v>
      </c>
      <c r="B3750" s="0" t="s">
        <v>1149</v>
      </c>
      <c r="C3750" s="0" t="s">
        <v>1150</v>
      </c>
      <c r="D3750" s="0" t="n">
        <v>6</v>
      </c>
      <c r="E3750" s="6" t="n">
        <v>40837.6388888889</v>
      </c>
      <c r="F3750" s="0" t="n">
        <v>5.95</v>
      </c>
      <c r="G3750" s="0" t="n">
        <v>12712</v>
      </c>
      <c r="H3750" s="0" t="s">
        <v>33</v>
      </c>
      <c r="I3750" s="7" t="n">
        <f aca="false">IF(AND(LEFT(A3750,1)&lt;&gt;"C",D3750&gt;0,F3750&gt;0),1,0)</f>
        <v>1</v>
      </c>
      <c r="J3750" s="7" t="n">
        <f aca="false">IF(I3750=1,D3750*F3750,0)</f>
        <v>35.7</v>
      </c>
      <c r="K3750" s="7" t="n">
        <f aca="false">YEAR(E3750)*100+MONTH(E3750)</f>
        <v>201110</v>
      </c>
      <c r="L3750" s="7" t="n">
        <f aca="false">IF(AND(A3750&lt;&gt;A3749,LEFT(A3750,1)&lt;&gt;"C"),1,0)</f>
        <v>0</v>
      </c>
    </row>
    <row r="3751" customFormat="false" ht="15" hidden="false" customHeight="false" outlineLevel="0" collapsed="false">
      <c r="A3751" s="0" t="s">
        <v>2530</v>
      </c>
      <c r="B3751" s="0" t="s">
        <v>439</v>
      </c>
      <c r="C3751" s="0" t="s">
        <v>440</v>
      </c>
      <c r="D3751" s="0" t="n">
        <v>6</v>
      </c>
      <c r="E3751" s="6" t="n">
        <v>40837.6388888889</v>
      </c>
      <c r="F3751" s="0" t="n">
        <v>5.95</v>
      </c>
      <c r="G3751" s="0" t="n">
        <v>12712</v>
      </c>
      <c r="H3751" s="0" t="s">
        <v>33</v>
      </c>
      <c r="I3751" s="7" t="n">
        <f aca="false">IF(AND(LEFT(A3751,1)&lt;&gt;"C",D3751&gt;0,F3751&gt;0),1,0)</f>
        <v>1</v>
      </c>
      <c r="J3751" s="7" t="n">
        <f aca="false">IF(I3751=1,D3751*F3751,0)</f>
        <v>35.7</v>
      </c>
      <c r="K3751" s="7" t="n">
        <f aca="false">YEAR(E3751)*100+MONTH(E3751)</f>
        <v>201110</v>
      </c>
      <c r="L3751" s="7" t="n">
        <f aca="false">IF(AND(A3751&lt;&gt;A3750,LEFT(A3751,1)&lt;&gt;"C"),1,0)</f>
        <v>0</v>
      </c>
    </row>
    <row r="3752" customFormat="false" ht="15" hidden="false" customHeight="false" outlineLevel="0" collapsed="false">
      <c r="A3752" s="0" t="s">
        <v>2530</v>
      </c>
      <c r="B3752" s="0" t="s">
        <v>956</v>
      </c>
      <c r="C3752" s="0" t="s">
        <v>957</v>
      </c>
      <c r="D3752" s="0" t="n">
        <v>6</v>
      </c>
      <c r="E3752" s="6" t="n">
        <v>40837.6388888889</v>
      </c>
      <c r="F3752" s="0" t="n">
        <v>5.95</v>
      </c>
      <c r="G3752" s="0" t="n">
        <v>12712</v>
      </c>
      <c r="H3752" s="0" t="s">
        <v>33</v>
      </c>
      <c r="I3752" s="7" t="n">
        <f aca="false">IF(AND(LEFT(A3752,1)&lt;&gt;"C",D3752&gt;0,F3752&gt;0),1,0)</f>
        <v>1</v>
      </c>
      <c r="J3752" s="7" t="n">
        <f aca="false">IF(I3752=1,D3752*F3752,0)</f>
        <v>35.7</v>
      </c>
      <c r="K3752" s="7" t="n">
        <f aca="false">YEAR(E3752)*100+MONTH(E3752)</f>
        <v>201110</v>
      </c>
      <c r="L3752" s="7" t="n">
        <f aca="false">IF(AND(A3752&lt;&gt;A3751,LEFT(A3752,1)&lt;&gt;"C"),1,0)</f>
        <v>0</v>
      </c>
    </row>
    <row r="3753" customFormat="false" ht="15" hidden="false" customHeight="false" outlineLevel="0" collapsed="false">
      <c r="A3753" s="0" t="s">
        <v>2530</v>
      </c>
      <c r="B3753" s="0" t="s">
        <v>2535</v>
      </c>
      <c r="C3753" s="0" t="s">
        <v>2536</v>
      </c>
      <c r="D3753" s="0" t="n">
        <v>6</v>
      </c>
      <c r="E3753" s="6" t="n">
        <v>40837.6388888889</v>
      </c>
      <c r="F3753" s="0" t="n">
        <v>2.95</v>
      </c>
      <c r="G3753" s="0" t="n">
        <v>12712</v>
      </c>
      <c r="H3753" s="0" t="s">
        <v>33</v>
      </c>
      <c r="I3753" s="7" t="n">
        <f aca="false">IF(AND(LEFT(A3753,1)&lt;&gt;"C",D3753&gt;0,F3753&gt;0),1,0)</f>
        <v>1</v>
      </c>
      <c r="J3753" s="7" t="n">
        <f aca="false">IF(I3753=1,D3753*F3753,0)</f>
        <v>17.7</v>
      </c>
      <c r="K3753" s="7" t="n">
        <f aca="false">YEAR(E3753)*100+MONTH(E3753)</f>
        <v>201110</v>
      </c>
      <c r="L3753" s="7" t="n">
        <f aca="false">IF(AND(A3753&lt;&gt;A3752,LEFT(A3753,1)&lt;&gt;"C"),1,0)</f>
        <v>0</v>
      </c>
    </row>
    <row r="3754" customFormat="false" ht="15" hidden="false" customHeight="false" outlineLevel="0" collapsed="false">
      <c r="A3754" s="0" t="s">
        <v>2530</v>
      </c>
      <c r="B3754" s="0" t="s">
        <v>84</v>
      </c>
      <c r="C3754" s="0" t="s">
        <v>85</v>
      </c>
      <c r="D3754" s="0" t="n">
        <v>1</v>
      </c>
      <c r="E3754" s="6" t="n">
        <v>40837.6388888889</v>
      </c>
      <c r="F3754" s="0" t="n">
        <v>18</v>
      </c>
      <c r="G3754" s="0" t="n">
        <v>12712</v>
      </c>
      <c r="H3754" s="0" t="s">
        <v>33</v>
      </c>
      <c r="I3754" s="7" t="n">
        <f aca="false">IF(AND(LEFT(A3754,1)&lt;&gt;"C",D3754&gt;0,F3754&gt;0),1,0)</f>
        <v>1</v>
      </c>
      <c r="J3754" s="7" t="n">
        <f aca="false">IF(I3754=1,D3754*F3754,0)</f>
        <v>18</v>
      </c>
      <c r="K3754" s="7" t="n">
        <f aca="false">YEAR(E3754)*100+MONTH(E3754)</f>
        <v>201110</v>
      </c>
      <c r="L3754" s="7" t="n">
        <f aca="false">IF(AND(A3754&lt;&gt;A3753,LEFT(A3754,1)&lt;&gt;"C"),1,0)</f>
        <v>0</v>
      </c>
    </row>
    <row r="3755" customFormat="false" ht="15" hidden="false" customHeight="false" outlineLevel="0" collapsed="false">
      <c r="A3755" s="0" t="s">
        <v>2537</v>
      </c>
      <c r="B3755" s="0" t="s">
        <v>148</v>
      </c>
      <c r="C3755" s="0" t="s">
        <v>149</v>
      </c>
      <c r="D3755" s="0" t="n">
        <v>-1</v>
      </c>
      <c r="E3755" s="6" t="n">
        <v>40839.4041666667</v>
      </c>
      <c r="F3755" s="0" t="n">
        <v>12.75</v>
      </c>
      <c r="G3755" s="0" t="n">
        <v>12572</v>
      </c>
      <c r="H3755" s="0" t="s">
        <v>33</v>
      </c>
      <c r="I3755" s="7" t="n">
        <f aca="false">IF(AND(LEFT(A3755,1)&lt;&gt;"C",D3755&gt;0,F3755&gt;0),1,0)</f>
        <v>0</v>
      </c>
      <c r="J3755" s="7" t="n">
        <f aca="false">IF(I3755=1,D3755*F3755,0)</f>
        <v>0</v>
      </c>
      <c r="K3755" s="7" t="n">
        <f aca="false">YEAR(E3755)*100+MONTH(E3755)</f>
        <v>201110</v>
      </c>
      <c r="L3755" s="7" t="n">
        <f aca="false">IF(AND(A3755&lt;&gt;A3754,LEFT(A3755,1)&lt;&gt;"C"),1,0)</f>
        <v>0</v>
      </c>
    </row>
    <row r="3756" customFormat="false" ht="15" hidden="false" customHeight="false" outlineLevel="0" collapsed="false">
      <c r="A3756" s="0" t="s">
        <v>2537</v>
      </c>
      <c r="B3756" s="0" t="s">
        <v>2460</v>
      </c>
      <c r="C3756" s="0" t="s">
        <v>2461</v>
      </c>
      <c r="D3756" s="0" t="n">
        <v>-1</v>
      </c>
      <c r="E3756" s="6" t="n">
        <v>40839.4041666667</v>
      </c>
      <c r="F3756" s="0" t="n">
        <v>2.95</v>
      </c>
      <c r="G3756" s="0" t="n">
        <v>12572</v>
      </c>
      <c r="H3756" s="0" t="s">
        <v>33</v>
      </c>
      <c r="I3756" s="7" t="n">
        <f aca="false">IF(AND(LEFT(A3756,1)&lt;&gt;"C",D3756&gt;0,F3756&gt;0),1,0)</f>
        <v>0</v>
      </c>
      <c r="J3756" s="7" t="n">
        <f aca="false">IF(I3756=1,D3756*F3756,0)</f>
        <v>0</v>
      </c>
      <c r="K3756" s="7" t="n">
        <f aca="false">YEAR(E3756)*100+MONTH(E3756)</f>
        <v>201110</v>
      </c>
      <c r="L3756" s="7" t="n">
        <f aca="false">IF(AND(A3756&lt;&gt;A3755,LEFT(A3756,1)&lt;&gt;"C"),1,0)</f>
        <v>0</v>
      </c>
    </row>
    <row r="3757" customFormat="false" ht="15" hidden="false" customHeight="false" outlineLevel="0" collapsed="false">
      <c r="A3757" s="0" t="s">
        <v>2538</v>
      </c>
      <c r="B3757" s="0" t="s">
        <v>484</v>
      </c>
      <c r="C3757" s="0" t="s">
        <v>485</v>
      </c>
      <c r="D3757" s="0" t="n">
        <v>-1</v>
      </c>
      <c r="E3757" s="6" t="n">
        <v>40840.58125</v>
      </c>
      <c r="F3757" s="0" t="n">
        <v>1.65</v>
      </c>
      <c r="G3757" s="0" t="n">
        <v>12474</v>
      </c>
      <c r="H3757" s="0" t="s">
        <v>33</v>
      </c>
      <c r="I3757" s="7" t="n">
        <f aca="false">IF(AND(LEFT(A3757,1)&lt;&gt;"C",D3757&gt;0,F3757&gt;0),1,0)</f>
        <v>0</v>
      </c>
      <c r="J3757" s="7" t="n">
        <f aca="false">IF(I3757=1,D3757*F3757,0)</f>
        <v>0</v>
      </c>
      <c r="K3757" s="7" t="n">
        <f aca="false">YEAR(E3757)*100+MONTH(E3757)</f>
        <v>201110</v>
      </c>
      <c r="L3757" s="7" t="n">
        <f aca="false">IF(AND(A3757&lt;&gt;A3756,LEFT(A3757,1)&lt;&gt;"C"),1,0)</f>
        <v>0</v>
      </c>
    </row>
    <row r="3758" customFormat="false" ht="15" hidden="false" customHeight="false" outlineLevel="0" collapsed="false">
      <c r="A3758" s="0" t="s">
        <v>2538</v>
      </c>
      <c r="B3758" s="0" t="s">
        <v>471</v>
      </c>
      <c r="C3758" s="0" t="s">
        <v>472</v>
      </c>
      <c r="D3758" s="0" t="n">
        <v>-12</v>
      </c>
      <c r="E3758" s="6" t="n">
        <v>40840.58125</v>
      </c>
      <c r="F3758" s="0" t="n">
        <v>1.65</v>
      </c>
      <c r="G3758" s="0" t="n">
        <v>12474</v>
      </c>
      <c r="H3758" s="0" t="s">
        <v>33</v>
      </c>
      <c r="I3758" s="7" t="n">
        <f aca="false">IF(AND(LEFT(A3758,1)&lt;&gt;"C",D3758&gt;0,F3758&gt;0),1,0)</f>
        <v>0</v>
      </c>
      <c r="J3758" s="7" t="n">
        <f aca="false">IF(I3758=1,D3758*F3758,0)</f>
        <v>0</v>
      </c>
      <c r="K3758" s="7" t="n">
        <f aca="false">YEAR(E3758)*100+MONTH(E3758)</f>
        <v>201110</v>
      </c>
      <c r="L3758" s="7" t="n">
        <f aca="false">IF(AND(A3758&lt;&gt;A3757,LEFT(A3758,1)&lt;&gt;"C"),1,0)</f>
        <v>0</v>
      </c>
    </row>
    <row r="3759" customFormat="false" ht="15" hidden="false" customHeight="false" outlineLevel="0" collapsed="false">
      <c r="A3759" s="0" t="s">
        <v>2538</v>
      </c>
      <c r="B3759" s="0" t="s">
        <v>1425</v>
      </c>
      <c r="C3759" s="0" t="s">
        <v>1426</v>
      </c>
      <c r="D3759" s="0" t="n">
        <v>-2</v>
      </c>
      <c r="E3759" s="6" t="n">
        <v>40840.58125</v>
      </c>
      <c r="F3759" s="0" t="n">
        <v>8.5</v>
      </c>
      <c r="G3759" s="0" t="n">
        <v>12474</v>
      </c>
      <c r="H3759" s="0" t="s">
        <v>33</v>
      </c>
      <c r="I3759" s="7" t="n">
        <f aca="false">IF(AND(LEFT(A3759,1)&lt;&gt;"C",D3759&gt;0,F3759&gt;0),1,0)</f>
        <v>0</v>
      </c>
      <c r="J3759" s="7" t="n">
        <f aca="false">IF(I3759=1,D3759*F3759,0)</f>
        <v>0</v>
      </c>
      <c r="K3759" s="7" t="n">
        <f aca="false">YEAR(E3759)*100+MONTH(E3759)</f>
        <v>201110</v>
      </c>
      <c r="L3759" s="7" t="n">
        <f aca="false">IF(AND(A3759&lt;&gt;A3758,LEFT(A3759,1)&lt;&gt;"C"),1,0)</f>
        <v>0</v>
      </c>
    </row>
    <row r="3760" customFormat="false" ht="15" hidden="false" customHeight="false" outlineLevel="0" collapsed="false">
      <c r="A3760" s="0" t="s">
        <v>2539</v>
      </c>
      <c r="B3760" s="0" t="s">
        <v>2540</v>
      </c>
      <c r="C3760" s="0" t="s">
        <v>2541</v>
      </c>
      <c r="D3760" s="0" t="n">
        <v>2</v>
      </c>
      <c r="E3760" s="6" t="n">
        <v>40841.3638888889</v>
      </c>
      <c r="F3760" s="0" t="n">
        <v>12.5</v>
      </c>
      <c r="G3760" s="0" t="n">
        <v>12476</v>
      </c>
      <c r="H3760" s="0" t="s">
        <v>33</v>
      </c>
      <c r="I3760" s="7" t="n">
        <f aca="false">IF(AND(LEFT(A3760,1)&lt;&gt;"C",D3760&gt;0,F3760&gt;0),1,0)</f>
        <v>1</v>
      </c>
      <c r="J3760" s="7" t="n">
        <f aca="false">IF(I3760=1,D3760*F3760,0)</f>
        <v>25</v>
      </c>
      <c r="K3760" s="7" t="n">
        <f aca="false">YEAR(E3760)*100+MONTH(E3760)</f>
        <v>201110</v>
      </c>
      <c r="L3760" s="7" t="n">
        <f aca="false">IF(AND(A3760&lt;&gt;A3759,LEFT(A3760,1)&lt;&gt;"C"),1,0)</f>
        <v>1</v>
      </c>
    </row>
    <row r="3761" customFormat="false" ht="15" hidden="false" customHeight="false" outlineLevel="0" collapsed="false">
      <c r="A3761" s="0" t="s">
        <v>2539</v>
      </c>
      <c r="B3761" s="0" t="s">
        <v>2542</v>
      </c>
      <c r="C3761" s="0" t="s">
        <v>2543</v>
      </c>
      <c r="D3761" s="0" t="n">
        <v>6</v>
      </c>
      <c r="E3761" s="6" t="n">
        <v>40841.3638888889</v>
      </c>
      <c r="F3761" s="0" t="n">
        <v>5.95</v>
      </c>
      <c r="G3761" s="0" t="n">
        <v>12476</v>
      </c>
      <c r="H3761" s="0" t="s">
        <v>33</v>
      </c>
      <c r="I3761" s="7" t="n">
        <f aca="false">IF(AND(LEFT(A3761,1)&lt;&gt;"C",D3761&gt;0,F3761&gt;0),1,0)</f>
        <v>1</v>
      </c>
      <c r="J3761" s="7" t="n">
        <f aca="false">IF(I3761=1,D3761*F3761,0)</f>
        <v>35.7</v>
      </c>
      <c r="K3761" s="7" t="n">
        <f aca="false">YEAR(E3761)*100+MONTH(E3761)</f>
        <v>201110</v>
      </c>
      <c r="L3761" s="7" t="n">
        <f aca="false">IF(AND(A3761&lt;&gt;A3760,LEFT(A3761,1)&lt;&gt;"C"),1,0)</f>
        <v>0</v>
      </c>
    </row>
    <row r="3762" customFormat="false" ht="15" hidden="false" customHeight="false" outlineLevel="0" collapsed="false">
      <c r="A3762" s="0" t="s">
        <v>2539</v>
      </c>
      <c r="B3762" s="0" t="s">
        <v>308</v>
      </c>
      <c r="C3762" s="0" t="s">
        <v>309</v>
      </c>
      <c r="D3762" s="0" t="n">
        <v>12</v>
      </c>
      <c r="E3762" s="6" t="n">
        <v>40841.3638888889</v>
      </c>
      <c r="F3762" s="0" t="n">
        <v>1.25</v>
      </c>
      <c r="G3762" s="0" t="n">
        <v>12476</v>
      </c>
      <c r="H3762" s="0" t="s">
        <v>33</v>
      </c>
      <c r="I3762" s="7" t="n">
        <f aca="false">IF(AND(LEFT(A3762,1)&lt;&gt;"C",D3762&gt;0,F3762&gt;0),1,0)</f>
        <v>1</v>
      </c>
      <c r="J3762" s="7" t="n">
        <f aca="false">IF(I3762=1,D3762*F3762,0)</f>
        <v>15</v>
      </c>
      <c r="K3762" s="7" t="n">
        <f aca="false">YEAR(E3762)*100+MONTH(E3762)</f>
        <v>201110</v>
      </c>
      <c r="L3762" s="7" t="n">
        <f aca="false">IF(AND(A3762&lt;&gt;A3761,LEFT(A3762,1)&lt;&gt;"C"),1,0)</f>
        <v>0</v>
      </c>
    </row>
    <row r="3763" customFormat="false" ht="15" hidden="false" customHeight="false" outlineLevel="0" collapsed="false">
      <c r="A3763" s="0" t="s">
        <v>2539</v>
      </c>
      <c r="B3763" s="0" t="s">
        <v>330</v>
      </c>
      <c r="C3763" s="0" t="s">
        <v>331</v>
      </c>
      <c r="D3763" s="0" t="n">
        <v>24</v>
      </c>
      <c r="E3763" s="6" t="n">
        <v>40841.3638888889</v>
      </c>
      <c r="F3763" s="0" t="n">
        <v>0.42</v>
      </c>
      <c r="G3763" s="0" t="n">
        <v>12476</v>
      </c>
      <c r="H3763" s="0" t="s">
        <v>33</v>
      </c>
      <c r="I3763" s="7" t="n">
        <f aca="false">IF(AND(LEFT(A3763,1)&lt;&gt;"C",D3763&gt;0,F3763&gt;0),1,0)</f>
        <v>1</v>
      </c>
      <c r="J3763" s="7" t="n">
        <f aca="false">IF(I3763=1,D3763*F3763,0)</f>
        <v>10.08</v>
      </c>
      <c r="K3763" s="7" t="n">
        <f aca="false">YEAR(E3763)*100+MONTH(E3763)</f>
        <v>201110</v>
      </c>
      <c r="L3763" s="7" t="n">
        <f aca="false">IF(AND(A3763&lt;&gt;A3762,LEFT(A3763,1)&lt;&gt;"C"),1,0)</f>
        <v>0</v>
      </c>
    </row>
    <row r="3764" customFormat="false" ht="15" hidden="false" customHeight="false" outlineLevel="0" collapsed="false">
      <c r="A3764" s="0" t="s">
        <v>2539</v>
      </c>
      <c r="B3764" s="0" t="s">
        <v>2544</v>
      </c>
      <c r="C3764" s="0" t="s">
        <v>2545</v>
      </c>
      <c r="D3764" s="0" t="n">
        <v>12</v>
      </c>
      <c r="E3764" s="6" t="n">
        <v>40841.3638888889</v>
      </c>
      <c r="F3764" s="0" t="n">
        <v>1.65</v>
      </c>
      <c r="G3764" s="0" t="n">
        <v>12476</v>
      </c>
      <c r="H3764" s="0" t="s">
        <v>33</v>
      </c>
      <c r="I3764" s="7" t="n">
        <f aca="false">IF(AND(LEFT(A3764,1)&lt;&gt;"C",D3764&gt;0,F3764&gt;0),1,0)</f>
        <v>1</v>
      </c>
      <c r="J3764" s="7" t="n">
        <f aca="false">IF(I3764=1,D3764*F3764,0)</f>
        <v>19.8</v>
      </c>
      <c r="K3764" s="7" t="n">
        <f aca="false">YEAR(E3764)*100+MONTH(E3764)</f>
        <v>201110</v>
      </c>
      <c r="L3764" s="7" t="n">
        <f aca="false">IF(AND(A3764&lt;&gt;A3763,LEFT(A3764,1)&lt;&gt;"C"),1,0)</f>
        <v>0</v>
      </c>
    </row>
    <row r="3765" customFormat="false" ht="15" hidden="false" customHeight="false" outlineLevel="0" collapsed="false">
      <c r="A3765" s="0" t="s">
        <v>2539</v>
      </c>
      <c r="B3765" s="0" t="s">
        <v>52</v>
      </c>
      <c r="C3765" s="0" t="s">
        <v>53</v>
      </c>
      <c r="D3765" s="0" t="n">
        <v>12</v>
      </c>
      <c r="E3765" s="6" t="n">
        <v>40841.3638888889</v>
      </c>
      <c r="F3765" s="0" t="n">
        <v>1.95</v>
      </c>
      <c r="G3765" s="0" t="n">
        <v>12476</v>
      </c>
      <c r="H3765" s="0" t="s">
        <v>33</v>
      </c>
      <c r="I3765" s="7" t="n">
        <f aca="false">IF(AND(LEFT(A3765,1)&lt;&gt;"C",D3765&gt;0,F3765&gt;0),1,0)</f>
        <v>1</v>
      </c>
      <c r="J3765" s="7" t="n">
        <f aca="false">IF(I3765=1,D3765*F3765,0)</f>
        <v>23.4</v>
      </c>
      <c r="K3765" s="7" t="n">
        <f aca="false">YEAR(E3765)*100+MONTH(E3765)</f>
        <v>201110</v>
      </c>
      <c r="L3765" s="7" t="n">
        <f aca="false">IF(AND(A3765&lt;&gt;A3764,LEFT(A3765,1)&lt;&gt;"C"),1,0)</f>
        <v>0</v>
      </c>
    </row>
    <row r="3766" customFormat="false" ht="15" hidden="false" customHeight="false" outlineLevel="0" collapsed="false">
      <c r="A3766" s="0" t="s">
        <v>2539</v>
      </c>
      <c r="B3766" s="0" t="s">
        <v>1607</v>
      </c>
      <c r="C3766" s="0" t="s">
        <v>1608</v>
      </c>
      <c r="D3766" s="0" t="n">
        <v>20</v>
      </c>
      <c r="E3766" s="6" t="n">
        <v>40841.3638888889</v>
      </c>
      <c r="F3766" s="0" t="n">
        <v>0.42</v>
      </c>
      <c r="G3766" s="0" t="n">
        <v>12476</v>
      </c>
      <c r="H3766" s="0" t="s">
        <v>33</v>
      </c>
      <c r="I3766" s="7" t="n">
        <f aca="false">IF(AND(LEFT(A3766,1)&lt;&gt;"C",D3766&gt;0,F3766&gt;0),1,0)</f>
        <v>1</v>
      </c>
      <c r="J3766" s="7" t="n">
        <f aca="false">IF(I3766=1,D3766*F3766,0)</f>
        <v>8.4</v>
      </c>
      <c r="K3766" s="7" t="n">
        <f aca="false">YEAR(E3766)*100+MONTH(E3766)</f>
        <v>201110</v>
      </c>
      <c r="L3766" s="7" t="n">
        <f aca="false">IF(AND(A3766&lt;&gt;A3765,LEFT(A3766,1)&lt;&gt;"C"),1,0)</f>
        <v>0</v>
      </c>
    </row>
    <row r="3767" customFormat="false" ht="15" hidden="false" customHeight="false" outlineLevel="0" collapsed="false">
      <c r="A3767" s="0" t="s">
        <v>2539</v>
      </c>
      <c r="B3767" s="0" t="s">
        <v>241</v>
      </c>
      <c r="C3767" s="0" t="s">
        <v>242</v>
      </c>
      <c r="D3767" s="0" t="n">
        <v>12</v>
      </c>
      <c r="E3767" s="6" t="n">
        <v>40841.3638888889</v>
      </c>
      <c r="F3767" s="0" t="n">
        <v>1.45</v>
      </c>
      <c r="G3767" s="0" t="n">
        <v>12476</v>
      </c>
      <c r="H3767" s="0" t="s">
        <v>33</v>
      </c>
      <c r="I3767" s="7" t="n">
        <f aca="false">IF(AND(LEFT(A3767,1)&lt;&gt;"C",D3767&gt;0,F3767&gt;0),1,0)</f>
        <v>1</v>
      </c>
      <c r="J3767" s="7" t="n">
        <f aca="false">IF(I3767=1,D3767*F3767,0)</f>
        <v>17.4</v>
      </c>
      <c r="K3767" s="7" t="n">
        <f aca="false">YEAR(E3767)*100+MONTH(E3767)</f>
        <v>201110</v>
      </c>
      <c r="L3767" s="7" t="n">
        <f aca="false">IF(AND(A3767&lt;&gt;A3766,LEFT(A3767,1)&lt;&gt;"C"),1,0)</f>
        <v>0</v>
      </c>
    </row>
    <row r="3768" customFormat="false" ht="15" hidden="false" customHeight="false" outlineLevel="0" collapsed="false">
      <c r="A3768" s="0" t="s">
        <v>2539</v>
      </c>
      <c r="B3768" s="0" t="s">
        <v>873</v>
      </c>
      <c r="C3768" s="0" t="s">
        <v>874</v>
      </c>
      <c r="D3768" s="0" t="n">
        <v>12</v>
      </c>
      <c r="E3768" s="6" t="n">
        <v>40841.3638888889</v>
      </c>
      <c r="F3768" s="0" t="n">
        <v>0.83</v>
      </c>
      <c r="G3768" s="0" t="n">
        <v>12476</v>
      </c>
      <c r="H3768" s="0" t="s">
        <v>33</v>
      </c>
      <c r="I3768" s="7" t="n">
        <f aca="false">IF(AND(LEFT(A3768,1)&lt;&gt;"C",D3768&gt;0,F3768&gt;0),1,0)</f>
        <v>1</v>
      </c>
      <c r="J3768" s="7" t="n">
        <f aca="false">IF(I3768=1,D3768*F3768,0)</f>
        <v>9.96</v>
      </c>
      <c r="K3768" s="7" t="n">
        <f aca="false">YEAR(E3768)*100+MONTH(E3768)</f>
        <v>201110</v>
      </c>
      <c r="L3768" s="7" t="n">
        <f aca="false">IF(AND(A3768&lt;&gt;A3767,LEFT(A3768,1)&lt;&gt;"C"),1,0)</f>
        <v>0</v>
      </c>
    </row>
    <row r="3769" customFormat="false" ht="15" hidden="false" customHeight="false" outlineLevel="0" collapsed="false">
      <c r="A3769" s="0" t="s">
        <v>2539</v>
      </c>
      <c r="B3769" s="0" t="s">
        <v>1380</v>
      </c>
      <c r="C3769" s="0" t="s">
        <v>1381</v>
      </c>
      <c r="D3769" s="0" t="n">
        <v>24</v>
      </c>
      <c r="E3769" s="6" t="n">
        <v>40841.3638888889</v>
      </c>
      <c r="F3769" s="0" t="n">
        <v>0.55</v>
      </c>
      <c r="G3769" s="0" t="n">
        <v>12476</v>
      </c>
      <c r="H3769" s="0" t="s">
        <v>33</v>
      </c>
      <c r="I3769" s="7" t="n">
        <f aca="false">IF(AND(LEFT(A3769,1)&lt;&gt;"C",D3769&gt;0,F3769&gt;0),1,0)</f>
        <v>1</v>
      </c>
      <c r="J3769" s="7" t="n">
        <f aca="false">IF(I3769=1,D3769*F3769,0)</f>
        <v>13.2</v>
      </c>
      <c r="K3769" s="7" t="n">
        <f aca="false">YEAR(E3769)*100+MONTH(E3769)</f>
        <v>201110</v>
      </c>
      <c r="L3769" s="7" t="n">
        <f aca="false">IF(AND(A3769&lt;&gt;A3768,LEFT(A3769,1)&lt;&gt;"C"),1,0)</f>
        <v>0</v>
      </c>
    </row>
    <row r="3770" customFormat="false" ht="15" hidden="false" customHeight="false" outlineLevel="0" collapsed="false">
      <c r="A3770" s="0" t="s">
        <v>2539</v>
      </c>
      <c r="B3770" s="0" t="s">
        <v>1189</v>
      </c>
      <c r="C3770" s="0" t="s">
        <v>1190</v>
      </c>
      <c r="D3770" s="0" t="n">
        <v>12</v>
      </c>
      <c r="E3770" s="6" t="n">
        <v>40841.3638888889</v>
      </c>
      <c r="F3770" s="0" t="n">
        <v>2.89</v>
      </c>
      <c r="G3770" s="0" t="n">
        <v>12476</v>
      </c>
      <c r="H3770" s="0" t="s">
        <v>33</v>
      </c>
      <c r="I3770" s="7" t="n">
        <f aca="false">IF(AND(LEFT(A3770,1)&lt;&gt;"C",D3770&gt;0,F3770&gt;0),1,0)</f>
        <v>1</v>
      </c>
      <c r="J3770" s="7" t="n">
        <f aca="false">IF(I3770=1,D3770*F3770,0)</f>
        <v>34.68</v>
      </c>
      <c r="K3770" s="7" t="n">
        <f aca="false">YEAR(E3770)*100+MONTH(E3770)</f>
        <v>201110</v>
      </c>
      <c r="L3770" s="7" t="n">
        <f aca="false">IF(AND(A3770&lt;&gt;A3769,LEFT(A3770,1)&lt;&gt;"C"),1,0)</f>
        <v>0</v>
      </c>
    </row>
    <row r="3771" customFormat="false" ht="15" hidden="false" customHeight="false" outlineLevel="0" collapsed="false">
      <c r="A3771" s="0" t="s">
        <v>2539</v>
      </c>
      <c r="B3771" s="0" t="s">
        <v>2150</v>
      </c>
      <c r="C3771" s="0" t="s">
        <v>2151</v>
      </c>
      <c r="D3771" s="0" t="n">
        <v>12</v>
      </c>
      <c r="E3771" s="6" t="n">
        <v>40841.3638888889</v>
      </c>
      <c r="F3771" s="0" t="n">
        <v>2.08</v>
      </c>
      <c r="G3771" s="0" t="n">
        <v>12476</v>
      </c>
      <c r="H3771" s="0" t="s">
        <v>33</v>
      </c>
      <c r="I3771" s="7" t="n">
        <f aca="false">IF(AND(LEFT(A3771,1)&lt;&gt;"C",D3771&gt;0,F3771&gt;0),1,0)</f>
        <v>1</v>
      </c>
      <c r="J3771" s="7" t="n">
        <f aca="false">IF(I3771=1,D3771*F3771,0)</f>
        <v>24.96</v>
      </c>
      <c r="K3771" s="7" t="n">
        <f aca="false">YEAR(E3771)*100+MONTH(E3771)</f>
        <v>201110</v>
      </c>
      <c r="L3771" s="7" t="n">
        <f aca="false">IF(AND(A3771&lt;&gt;A3770,LEFT(A3771,1)&lt;&gt;"C"),1,0)</f>
        <v>0</v>
      </c>
    </row>
    <row r="3772" customFormat="false" ht="15" hidden="false" customHeight="false" outlineLevel="0" collapsed="false">
      <c r="A3772" s="0" t="s">
        <v>2539</v>
      </c>
      <c r="B3772" s="0" t="s">
        <v>1794</v>
      </c>
      <c r="C3772" s="0" t="s">
        <v>1795</v>
      </c>
      <c r="D3772" s="0" t="n">
        <v>12</v>
      </c>
      <c r="E3772" s="6" t="n">
        <v>40841.3638888889</v>
      </c>
      <c r="F3772" s="0" t="n">
        <v>2.49</v>
      </c>
      <c r="G3772" s="0" t="n">
        <v>12476</v>
      </c>
      <c r="H3772" s="0" t="s">
        <v>33</v>
      </c>
      <c r="I3772" s="7" t="n">
        <f aca="false">IF(AND(LEFT(A3772,1)&lt;&gt;"C",D3772&gt;0,F3772&gt;0),1,0)</f>
        <v>1</v>
      </c>
      <c r="J3772" s="7" t="n">
        <f aca="false">IF(I3772=1,D3772*F3772,0)</f>
        <v>29.88</v>
      </c>
      <c r="K3772" s="7" t="n">
        <f aca="false">YEAR(E3772)*100+MONTH(E3772)</f>
        <v>201110</v>
      </c>
      <c r="L3772" s="7" t="n">
        <f aca="false">IF(AND(A3772&lt;&gt;A3771,LEFT(A3772,1)&lt;&gt;"C"),1,0)</f>
        <v>0</v>
      </c>
    </row>
    <row r="3773" customFormat="false" ht="15" hidden="false" customHeight="false" outlineLevel="0" collapsed="false">
      <c r="A3773" s="0" t="s">
        <v>2539</v>
      </c>
      <c r="B3773" s="0" t="s">
        <v>1027</v>
      </c>
      <c r="C3773" s="0" t="s">
        <v>1028</v>
      </c>
      <c r="D3773" s="0" t="n">
        <v>12</v>
      </c>
      <c r="E3773" s="6" t="n">
        <v>40841.3638888889</v>
      </c>
      <c r="F3773" s="0" t="n">
        <v>1.25</v>
      </c>
      <c r="G3773" s="0" t="n">
        <v>12476</v>
      </c>
      <c r="H3773" s="0" t="s">
        <v>33</v>
      </c>
      <c r="I3773" s="7" t="n">
        <f aca="false">IF(AND(LEFT(A3773,1)&lt;&gt;"C",D3773&gt;0,F3773&gt;0),1,0)</f>
        <v>1</v>
      </c>
      <c r="J3773" s="7" t="n">
        <f aca="false">IF(I3773=1,D3773*F3773,0)</f>
        <v>15</v>
      </c>
      <c r="K3773" s="7" t="n">
        <f aca="false">YEAR(E3773)*100+MONTH(E3773)</f>
        <v>201110</v>
      </c>
      <c r="L3773" s="7" t="n">
        <f aca="false">IF(AND(A3773&lt;&gt;A3772,LEFT(A3773,1)&lt;&gt;"C"),1,0)</f>
        <v>0</v>
      </c>
    </row>
    <row r="3774" customFormat="false" ht="15" hidden="false" customHeight="false" outlineLevel="0" collapsed="false">
      <c r="A3774" s="0" t="s">
        <v>2539</v>
      </c>
      <c r="B3774" s="0" t="s">
        <v>1533</v>
      </c>
      <c r="C3774" s="0" t="s">
        <v>1534</v>
      </c>
      <c r="D3774" s="0" t="n">
        <v>12</v>
      </c>
      <c r="E3774" s="6" t="n">
        <v>40841.3638888889</v>
      </c>
      <c r="F3774" s="0" t="n">
        <v>1.25</v>
      </c>
      <c r="G3774" s="0" t="n">
        <v>12476</v>
      </c>
      <c r="H3774" s="0" t="s">
        <v>33</v>
      </c>
      <c r="I3774" s="7" t="n">
        <f aca="false">IF(AND(LEFT(A3774,1)&lt;&gt;"C",D3774&gt;0,F3774&gt;0),1,0)</f>
        <v>1</v>
      </c>
      <c r="J3774" s="7" t="n">
        <f aca="false">IF(I3774=1,D3774*F3774,0)</f>
        <v>15</v>
      </c>
      <c r="K3774" s="7" t="n">
        <f aca="false">YEAR(E3774)*100+MONTH(E3774)</f>
        <v>201110</v>
      </c>
      <c r="L3774" s="7" t="n">
        <f aca="false">IF(AND(A3774&lt;&gt;A3773,LEFT(A3774,1)&lt;&gt;"C"),1,0)</f>
        <v>0</v>
      </c>
    </row>
    <row r="3775" customFormat="false" ht="15" hidden="false" customHeight="false" outlineLevel="0" collapsed="false">
      <c r="A3775" s="0" t="s">
        <v>2539</v>
      </c>
      <c r="B3775" s="0" t="s">
        <v>2211</v>
      </c>
      <c r="C3775" s="0" t="s">
        <v>2212</v>
      </c>
      <c r="D3775" s="0" t="n">
        <v>12</v>
      </c>
      <c r="E3775" s="6" t="n">
        <v>40841.3638888889</v>
      </c>
      <c r="F3775" s="0" t="n">
        <v>1.25</v>
      </c>
      <c r="G3775" s="0" t="n">
        <v>12476</v>
      </c>
      <c r="H3775" s="0" t="s">
        <v>33</v>
      </c>
      <c r="I3775" s="7" t="n">
        <f aca="false">IF(AND(LEFT(A3775,1)&lt;&gt;"C",D3775&gt;0,F3775&gt;0),1,0)</f>
        <v>1</v>
      </c>
      <c r="J3775" s="7" t="n">
        <f aca="false">IF(I3775=1,D3775*F3775,0)</f>
        <v>15</v>
      </c>
      <c r="K3775" s="7" t="n">
        <f aca="false">YEAR(E3775)*100+MONTH(E3775)</f>
        <v>201110</v>
      </c>
      <c r="L3775" s="7" t="n">
        <f aca="false">IF(AND(A3775&lt;&gt;A3774,LEFT(A3775,1)&lt;&gt;"C"),1,0)</f>
        <v>0</v>
      </c>
    </row>
    <row r="3776" customFormat="false" ht="15" hidden="false" customHeight="false" outlineLevel="0" collapsed="false">
      <c r="A3776" s="0" t="s">
        <v>2539</v>
      </c>
      <c r="B3776" s="0" t="s">
        <v>519</v>
      </c>
      <c r="C3776" s="0" t="s">
        <v>520</v>
      </c>
      <c r="D3776" s="0" t="n">
        <v>10</v>
      </c>
      <c r="E3776" s="6" t="n">
        <v>40841.3638888889</v>
      </c>
      <c r="F3776" s="0" t="n">
        <v>2.08</v>
      </c>
      <c r="G3776" s="0" t="n">
        <v>12476</v>
      </c>
      <c r="H3776" s="0" t="s">
        <v>33</v>
      </c>
      <c r="I3776" s="7" t="n">
        <f aca="false">IF(AND(LEFT(A3776,1)&lt;&gt;"C",D3776&gt;0,F3776&gt;0),1,0)</f>
        <v>1</v>
      </c>
      <c r="J3776" s="7" t="n">
        <f aca="false">IF(I3776=1,D3776*F3776,0)</f>
        <v>20.8</v>
      </c>
      <c r="K3776" s="7" t="n">
        <f aca="false">YEAR(E3776)*100+MONTH(E3776)</f>
        <v>201110</v>
      </c>
      <c r="L3776" s="7" t="n">
        <f aca="false">IF(AND(A3776&lt;&gt;A3775,LEFT(A3776,1)&lt;&gt;"C"),1,0)</f>
        <v>0</v>
      </c>
    </row>
    <row r="3777" customFormat="false" ht="15" hidden="false" customHeight="false" outlineLevel="0" collapsed="false">
      <c r="A3777" s="0" t="s">
        <v>2539</v>
      </c>
      <c r="B3777" s="0" t="s">
        <v>2417</v>
      </c>
      <c r="C3777" s="0" t="s">
        <v>2418</v>
      </c>
      <c r="D3777" s="0" t="n">
        <v>12</v>
      </c>
      <c r="E3777" s="6" t="n">
        <v>40841.3638888889</v>
      </c>
      <c r="F3777" s="0" t="n">
        <v>1.25</v>
      </c>
      <c r="G3777" s="0" t="n">
        <v>12476</v>
      </c>
      <c r="H3777" s="0" t="s">
        <v>33</v>
      </c>
      <c r="I3777" s="7" t="n">
        <f aca="false">IF(AND(LEFT(A3777,1)&lt;&gt;"C",D3777&gt;0,F3777&gt;0),1,0)</f>
        <v>1</v>
      </c>
      <c r="J3777" s="7" t="n">
        <f aca="false">IF(I3777=1,D3777*F3777,0)</f>
        <v>15</v>
      </c>
      <c r="K3777" s="7" t="n">
        <f aca="false">YEAR(E3777)*100+MONTH(E3777)</f>
        <v>201110</v>
      </c>
      <c r="L3777" s="7" t="n">
        <f aca="false">IF(AND(A3777&lt;&gt;A3776,LEFT(A3777,1)&lt;&gt;"C"),1,0)</f>
        <v>0</v>
      </c>
    </row>
    <row r="3778" customFormat="false" ht="15" hidden="false" customHeight="false" outlineLevel="0" collapsed="false">
      <c r="A3778" s="0" t="s">
        <v>2539</v>
      </c>
      <c r="B3778" s="0" t="s">
        <v>871</v>
      </c>
      <c r="C3778" s="0" t="s">
        <v>872</v>
      </c>
      <c r="D3778" s="0" t="n">
        <v>12</v>
      </c>
      <c r="E3778" s="6" t="n">
        <v>40841.3638888889</v>
      </c>
      <c r="F3778" s="0" t="n">
        <v>0.83</v>
      </c>
      <c r="G3778" s="0" t="n">
        <v>12476</v>
      </c>
      <c r="H3778" s="0" t="s">
        <v>33</v>
      </c>
      <c r="I3778" s="7" t="n">
        <f aca="false">IF(AND(LEFT(A3778,1)&lt;&gt;"C",D3778&gt;0,F3778&gt;0),1,0)</f>
        <v>1</v>
      </c>
      <c r="J3778" s="7" t="n">
        <f aca="false">IF(I3778=1,D3778*F3778,0)</f>
        <v>9.96</v>
      </c>
      <c r="K3778" s="7" t="n">
        <f aca="false">YEAR(E3778)*100+MONTH(E3778)</f>
        <v>201110</v>
      </c>
      <c r="L3778" s="7" t="n">
        <f aca="false">IF(AND(A3778&lt;&gt;A3777,LEFT(A3778,1)&lt;&gt;"C"),1,0)</f>
        <v>0</v>
      </c>
    </row>
    <row r="3779" customFormat="false" ht="15" hidden="false" customHeight="false" outlineLevel="0" collapsed="false">
      <c r="A3779" s="0" t="s">
        <v>2539</v>
      </c>
      <c r="B3779" s="0" t="s">
        <v>2546</v>
      </c>
      <c r="C3779" s="0" t="s">
        <v>2547</v>
      </c>
      <c r="D3779" s="0" t="n">
        <v>12</v>
      </c>
      <c r="E3779" s="6" t="n">
        <v>40841.3638888889</v>
      </c>
      <c r="F3779" s="0" t="n">
        <v>2.95</v>
      </c>
      <c r="G3779" s="0" t="n">
        <v>12476</v>
      </c>
      <c r="H3779" s="0" t="s">
        <v>33</v>
      </c>
      <c r="I3779" s="7" t="n">
        <f aca="false">IF(AND(LEFT(A3779,1)&lt;&gt;"C",D3779&gt;0,F3779&gt;0),1,0)</f>
        <v>1</v>
      </c>
      <c r="J3779" s="7" t="n">
        <f aca="false">IF(I3779=1,D3779*F3779,0)</f>
        <v>35.4</v>
      </c>
      <c r="K3779" s="7" t="n">
        <f aca="false">YEAR(E3779)*100+MONTH(E3779)</f>
        <v>201110</v>
      </c>
      <c r="L3779" s="7" t="n">
        <f aca="false">IF(AND(A3779&lt;&gt;A3778,LEFT(A3779,1)&lt;&gt;"C"),1,0)</f>
        <v>0</v>
      </c>
    </row>
    <row r="3780" customFormat="false" ht="15" hidden="false" customHeight="false" outlineLevel="0" collapsed="false">
      <c r="A3780" s="0" t="s">
        <v>2539</v>
      </c>
      <c r="B3780" s="0" t="s">
        <v>1099</v>
      </c>
      <c r="C3780" s="0" t="s">
        <v>1100</v>
      </c>
      <c r="D3780" s="0" t="n">
        <v>12</v>
      </c>
      <c r="E3780" s="6" t="n">
        <v>40841.3638888889</v>
      </c>
      <c r="F3780" s="0" t="n">
        <v>2.49</v>
      </c>
      <c r="G3780" s="0" t="n">
        <v>12476</v>
      </c>
      <c r="H3780" s="0" t="s">
        <v>33</v>
      </c>
      <c r="I3780" s="7" t="n">
        <f aca="false">IF(AND(LEFT(A3780,1)&lt;&gt;"C",D3780&gt;0,F3780&gt;0),1,0)</f>
        <v>1</v>
      </c>
      <c r="J3780" s="7" t="n">
        <f aca="false">IF(I3780=1,D3780*F3780,0)</f>
        <v>29.88</v>
      </c>
      <c r="K3780" s="7" t="n">
        <f aca="false">YEAR(E3780)*100+MONTH(E3780)</f>
        <v>201110</v>
      </c>
      <c r="L3780" s="7" t="n">
        <f aca="false">IF(AND(A3780&lt;&gt;A3779,LEFT(A3780,1)&lt;&gt;"C"),1,0)</f>
        <v>0</v>
      </c>
    </row>
    <row r="3781" customFormat="false" ht="15" hidden="false" customHeight="false" outlineLevel="0" collapsed="false">
      <c r="A3781" s="0" t="s">
        <v>2539</v>
      </c>
      <c r="B3781" s="0" t="s">
        <v>543</v>
      </c>
      <c r="C3781" s="0" t="s">
        <v>544</v>
      </c>
      <c r="D3781" s="0" t="n">
        <v>24</v>
      </c>
      <c r="E3781" s="6" t="n">
        <v>40841.3638888889</v>
      </c>
      <c r="F3781" s="0" t="n">
        <v>0.42</v>
      </c>
      <c r="G3781" s="0" t="n">
        <v>12476</v>
      </c>
      <c r="H3781" s="0" t="s">
        <v>33</v>
      </c>
      <c r="I3781" s="7" t="n">
        <f aca="false">IF(AND(LEFT(A3781,1)&lt;&gt;"C",D3781&gt;0,F3781&gt;0),1,0)</f>
        <v>1</v>
      </c>
      <c r="J3781" s="7" t="n">
        <f aca="false">IF(I3781=1,D3781*F3781,0)</f>
        <v>10.08</v>
      </c>
      <c r="K3781" s="7" t="n">
        <f aca="false">YEAR(E3781)*100+MONTH(E3781)</f>
        <v>201110</v>
      </c>
      <c r="L3781" s="7" t="n">
        <f aca="false">IF(AND(A3781&lt;&gt;A3780,LEFT(A3781,1)&lt;&gt;"C"),1,0)</f>
        <v>0</v>
      </c>
    </row>
    <row r="3782" customFormat="false" ht="15" hidden="false" customHeight="false" outlineLevel="0" collapsed="false">
      <c r="A3782" s="0" t="s">
        <v>2539</v>
      </c>
      <c r="B3782" s="0" t="s">
        <v>2309</v>
      </c>
      <c r="C3782" s="0" t="s">
        <v>2310</v>
      </c>
      <c r="D3782" s="0" t="n">
        <v>2</v>
      </c>
      <c r="E3782" s="6" t="n">
        <v>40841.3638888889</v>
      </c>
      <c r="F3782" s="0" t="n">
        <v>7.65</v>
      </c>
      <c r="G3782" s="0" t="n">
        <v>12476</v>
      </c>
      <c r="H3782" s="0" t="s">
        <v>33</v>
      </c>
      <c r="I3782" s="7" t="n">
        <f aca="false">IF(AND(LEFT(A3782,1)&lt;&gt;"C",D3782&gt;0,F3782&gt;0),1,0)</f>
        <v>1</v>
      </c>
      <c r="J3782" s="7" t="n">
        <f aca="false">IF(I3782=1,D3782*F3782,0)</f>
        <v>15.3</v>
      </c>
      <c r="K3782" s="7" t="n">
        <f aca="false">YEAR(E3782)*100+MONTH(E3782)</f>
        <v>201110</v>
      </c>
      <c r="L3782" s="7" t="n">
        <f aca="false">IF(AND(A3782&lt;&gt;A3781,LEFT(A3782,1)&lt;&gt;"C"),1,0)</f>
        <v>0</v>
      </c>
    </row>
    <row r="3783" customFormat="false" ht="15" hidden="false" customHeight="false" outlineLevel="0" collapsed="false">
      <c r="A3783" s="0" t="s">
        <v>2548</v>
      </c>
      <c r="B3783" s="0" t="s">
        <v>84</v>
      </c>
      <c r="C3783" s="0" t="s">
        <v>85</v>
      </c>
      <c r="D3783" s="0" t="n">
        <v>8</v>
      </c>
      <c r="E3783" s="6" t="n">
        <v>40841.3645833333</v>
      </c>
      <c r="F3783" s="0" t="n">
        <v>18</v>
      </c>
      <c r="G3783" s="0" t="n">
        <v>12476</v>
      </c>
      <c r="H3783" s="0" t="s">
        <v>33</v>
      </c>
      <c r="I3783" s="7" t="n">
        <f aca="false">IF(AND(LEFT(A3783,1)&lt;&gt;"C",D3783&gt;0,F3783&gt;0),1,0)</f>
        <v>1</v>
      </c>
      <c r="J3783" s="7" t="n">
        <f aca="false">IF(I3783=1,D3783*F3783,0)</f>
        <v>144</v>
      </c>
      <c r="K3783" s="7" t="n">
        <f aca="false">YEAR(E3783)*100+MONTH(E3783)</f>
        <v>201110</v>
      </c>
      <c r="L3783" s="7" t="n">
        <f aca="false">IF(AND(A3783&lt;&gt;A3782,LEFT(A3783,1)&lt;&gt;"C"),1,0)</f>
        <v>1</v>
      </c>
    </row>
    <row r="3784" customFormat="false" ht="15" hidden="false" customHeight="false" outlineLevel="0" collapsed="false">
      <c r="A3784" s="0" t="s">
        <v>2548</v>
      </c>
      <c r="B3784" s="0" t="s">
        <v>1883</v>
      </c>
      <c r="C3784" s="0" t="s">
        <v>1884</v>
      </c>
      <c r="D3784" s="0" t="n">
        <v>6</v>
      </c>
      <c r="E3784" s="6" t="n">
        <v>40841.3645833333</v>
      </c>
      <c r="F3784" s="0" t="n">
        <v>8.25</v>
      </c>
      <c r="G3784" s="0" t="n">
        <v>12476</v>
      </c>
      <c r="H3784" s="0" t="s">
        <v>33</v>
      </c>
      <c r="I3784" s="7" t="n">
        <f aca="false">IF(AND(LEFT(A3784,1)&lt;&gt;"C",D3784&gt;0,F3784&gt;0),1,0)</f>
        <v>1</v>
      </c>
      <c r="J3784" s="7" t="n">
        <f aca="false">IF(I3784=1,D3784*F3784,0)</f>
        <v>49.5</v>
      </c>
      <c r="K3784" s="7" t="n">
        <f aca="false">YEAR(E3784)*100+MONTH(E3784)</f>
        <v>201110</v>
      </c>
      <c r="L3784" s="7" t="n">
        <f aca="false">IF(AND(A3784&lt;&gt;A3783,LEFT(A3784,1)&lt;&gt;"C"),1,0)</f>
        <v>0</v>
      </c>
    </row>
    <row r="3785" customFormat="false" ht="15" hidden="false" customHeight="false" outlineLevel="0" collapsed="false">
      <c r="A3785" s="0" t="s">
        <v>2548</v>
      </c>
      <c r="B3785" s="0" t="s">
        <v>2549</v>
      </c>
      <c r="C3785" s="0" t="s">
        <v>2550</v>
      </c>
      <c r="D3785" s="0" t="n">
        <v>6</v>
      </c>
      <c r="E3785" s="6" t="n">
        <v>40841.3645833333</v>
      </c>
      <c r="F3785" s="0" t="n">
        <v>8.25</v>
      </c>
      <c r="G3785" s="0" t="n">
        <v>12476</v>
      </c>
      <c r="H3785" s="0" t="s">
        <v>33</v>
      </c>
      <c r="I3785" s="7" t="n">
        <f aca="false">IF(AND(LEFT(A3785,1)&lt;&gt;"C",D3785&gt;0,F3785&gt;0),1,0)</f>
        <v>1</v>
      </c>
      <c r="J3785" s="7" t="n">
        <f aca="false">IF(I3785=1,D3785*F3785,0)</f>
        <v>49.5</v>
      </c>
      <c r="K3785" s="7" t="n">
        <f aca="false">YEAR(E3785)*100+MONTH(E3785)</f>
        <v>201110</v>
      </c>
      <c r="L3785" s="7" t="n">
        <f aca="false">IF(AND(A3785&lt;&gt;A3784,LEFT(A3785,1)&lt;&gt;"C"),1,0)</f>
        <v>0</v>
      </c>
    </row>
    <row r="3786" customFormat="false" ht="15" hidden="false" customHeight="false" outlineLevel="0" collapsed="false">
      <c r="A3786" s="0" t="s">
        <v>2548</v>
      </c>
      <c r="B3786" s="0" t="s">
        <v>2551</v>
      </c>
      <c r="C3786" s="0" t="s">
        <v>2552</v>
      </c>
      <c r="D3786" s="0" t="n">
        <v>4</v>
      </c>
      <c r="E3786" s="6" t="n">
        <v>40841.3645833333</v>
      </c>
      <c r="F3786" s="0" t="n">
        <v>8.25</v>
      </c>
      <c r="G3786" s="0" t="n">
        <v>12476</v>
      </c>
      <c r="H3786" s="0" t="s">
        <v>33</v>
      </c>
      <c r="I3786" s="7" t="n">
        <f aca="false">IF(AND(LEFT(A3786,1)&lt;&gt;"C",D3786&gt;0,F3786&gt;0),1,0)</f>
        <v>1</v>
      </c>
      <c r="J3786" s="7" t="n">
        <f aca="false">IF(I3786=1,D3786*F3786,0)</f>
        <v>33</v>
      </c>
      <c r="K3786" s="7" t="n">
        <f aca="false">YEAR(E3786)*100+MONTH(E3786)</f>
        <v>201110</v>
      </c>
      <c r="L3786" s="7" t="n">
        <f aca="false">IF(AND(A3786&lt;&gt;A3785,LEFT(A3786,1)&lt;&gt;"C"),1,0)</f>
        <v>0</v>
      </c>
    </row>
    <row r="3787" customFormat="false" ht="15" hidden="false" customHeight="false" outlineLevel="0" collapsed="false">
      <c r="A3787" s="0" t="s">
        <v>2548</v>
      </c>
      <c r="B3787" s="0" t="s">
        <v>97</v>
      </c>
      <c r="C3787" s="0" t="s">
        <v>98</v>
      </c>
      <c r="D3787" s="0" t="n">
        <v>36</v>
      </c>
      <c r="E3787" s="6" t="n">
        <v>40841.3645833333</v>
      </c>
      <c r="F3787" s="0" t="n">
        <v>1.65</v>
      </c>
      <c r="G3787" s="0" t="n">
        <v>12476</v>
      </c>
      <c r="H3787" s="0" t="s">
        <v>33</v>
      </c>
      <c r="I3787" s="7" t="n">
        <f aca="false">IF(AND(LEFT(A3787,1)&lt;&gt;"C",D3787&gt;0,F3787&gt;0),1,0)</f>
        <v>1</v>
      </c>
      <c r="J3787" s="7" t="n">
        <f aca="false">IF(I3787=1,D3787*F3787,0)</f>
        <v>59.4</v>
      </c>
      <c r="K3787" s="7" t="n">
        <f aca="false">YEAR(E3787)*100+MONTH(E3787)</f>
        <v>201110</v>
      </c>
      <c r="L3787" s="7" t="n">
        <f aca="false">IF(AND(A3787&lt;&gt;A3786,LEFT(A3787,1)&lt;&gt;"C"),1,0)</f>
        <v>0</v>
      </c>
    </row>
    <row r="3788" customFormat="false" ht="15" hidden="false" customHeight="false" outlineLevel="0" collapsed="false">
      <c r="A3788" s="0" t="s">
        <v>2548</v>
      </c>
      <c r="B3788" s="0" t="s">
        <v>471</v>
      </c>
      <c r="C3788" s="0" t="s">
        <v>472</v>
      </c>
      <c r="D3788" s="0" t="n">
        <v>36</v>
      </c>
      <c r="E3788" s="6" t="n">
        <v>40841.3645833333</v>
      </c>
      <c r="F3788" s="0" t="n">
        <v>1.65</v>
      </c>
      <c r="G3788" s="0" t="n">
        <v>12476</v>
      </c>
      <c r="H3788" s="0" t="s">
        <v>33</v>
      </c>
      <c r="I3788" s="7" t="n">
        <f aca="false">IF(AND(LEFT(A3788,1)&lt;&gt;"C",D3788&gt;0,F3788&gt;0),1,0)</f>
        <v>1</v>
      </c>
      <c r="J3788" s="7" t="n">
        <f aca="false">IF(I3788=1,D3788*F3788,0)</f>
        <v>59.4</v>
      </c>
      <c r="K3788" s="7" t="n">
        <f aca="false">YEAR(E3788)*100+MONTH(E3788)</f>
        <v>201110</v>
      </c>
      <c r="L3788" s="7" t="n">
        <f aca="false">IF(AND(A3788&lt;&gt;A3787,LEFT(A3788,1)&lt;&gt;"C"),1,0)</f>
        <v>0</v>
      </c>
    </row>
    <row r="3789" customFormat="false" ht="15" hidden="false" customHeight="false" outlineLevel="0" collapsed="false">
      <c r="A3789" s="0" t="s">
        <v>2548</v>
      </c>
      <c r="B3789" s="0" t="s">
        <v>2178</v>
      </c>
      <c r="C3789" s="0" t="s">
        <v>2179</v>
      </c>
      <c r="D3789" s="0" t="n">
        <v>12</v>
      </c>
      <c r="E3789" s="6" t="n">
        <v>40841.3645833333</v>
      </c>
      <c r="F3789" s="0" t="n">
        <v>3.39</v>
      </c>
      <c r="G3789" s="0" t="n">
        <v>12476</v>
      </c>
      <c r="H3789" s="0" t="s">
        <v>33</v>
      </c>
      <c r="I3789" s="7" t="n">
        <f aca="false">IF(AND(LEFT(A3789,1)&lt;&gt;"C",D3789&gt;0,F3789&gt;0),1,0)</f>
        <v>1</v>
      </c>
      <c r="J3789" s="7" t="n">
        <f aca="false">IF(I3789=1,D3789*F3789,0)</f>
        <v>40.68</v>
      </c>
      <c r="K3789" s="7" t="n">
        <f aca="false">YEAR(E3789)*100+MONTH(E3789)</f>
        <v>201110</v>
      </c>
      <c r="L3789" s="7" t="n">
        <f aca="false">IF(AND(A3789&lt;&gt;A3788,LEFT(A3789,1)&lt;&gt;"C"),1,0)</f>
        <v>0</v>
      </c>
    </row>
    <row r="3790" customFormat="false" ht="15" hidden="false" customHeight="false" outlineLevel="0" collapsed="false">
      <c r="A3790" s="0" t="s">
        <v>2548</v>
      </c>
      <c r="B3790" s="0" t="s">
        <v>326</v>
      </c>
      <c r="C3790" s="0" t="s">
        <v>327</v>
      </c>
      <c r="D3790" s="0" t="n">
        <v>4</v>
      </c>
      <c r="E3790" s="6" t="n">
        <v>40841.3645833333</v>
      </c>
      <c r="F3790" s="0" t="n">
        <v>8.5</v>
      </c>
      <c r="G3790" s="0" t="n">
        <v>12476</v>
      </c>
      <c r="H3790" s="0" t="s">
        <v>33</v>
      </c>
      <c r="I3790" s="7" t="n">
        <f aca="false">IF(AND(LEFT(A3790,1)&lt;&gt;"C",D3790&gt;0,F3790&gt;0),1,0)</f>
        <v>1</v>
      </c>
      <c r="J3790" s="7" t="n">
        <f aca="false">IF(I3790=1,D3790*F3790,0)</f>
        <v>34</v>
      </c>
      <c r="K3790" s="7" t="n">
        <f aca="false">YEAR(E3790)*100+MONTH(E3790)</f>
        <v>201110</v>
      </c>
      <c r="L3790" s="7" t="n">
        <f aca="false">IF(AND(A3790&lt;&gt;A3789,LEFT(A3790,1)&lt;&gt;"C"),1,0)</f>
        <v>0</v>
      </c>
    </row>
    <row r="3791" customFormat="false" ht="15" hidden="false" customHeight="false" outlineLevel="0" collapsed="false">
      <c r="A3791" s="0" t="s">
        <v>2548</v>
      </c>
      <c r="B3791" s="0" t="s">
        <v>293</v>
      </c>
      <c r="C3791" s="0" t="s">
        <v>294</v>
      </c>
      <c r="D3791" s="0" t="n">
        <v>4</v>
      </c>
      <c r="E3791" s="6" t="n">
        <v>40841.3645833333</v>
      </c>
      <c r="F3791" s="0" t="n">
        <v>8.5</v>
      </c>
      <c r="G3791" s="0" t="n">
        <v>12476</v>
      </c>
      <c r="H3791" s="0" t="s">
        <v>33</v>
      </c>
      <c r="I3791" s="7" t="n">
        <f aca="false">IF(AND(LEFT(A3791,1)&lt;&gt;"C",D3791&gt;0,F3791&gt;0),1,0)</f>
        <v>1</v>
      </c>
      <c r="J3791" s="7" t="n">
        <f aca="false">IF(I3791=1,D3791*F3791,0)</f>
        <v>34</v>
      </c>
      <c r="K3791" s="7" t="n">
        <f aca="false">YEAR(E3791)*100+MONTH(E3791)</f>
        <v>201110</v>
      </c>
      <c r="L3791" s="7" t="n">
        <f aca="false">IF(AND(A3791&lt;&gt;A3790,LEFT(A3791,1)&lt;&gt;"C"),1,0)</f>
        <v>0</v>
      </c>
    </row>
    <row r="3792" customFormat="false" ht="15" hidden="false" customHeight="false" outlineLevel="0" collapsed="false">
      <c r="A3792" s="0" t="s">
        <v>2548</v>
      </c>
      <c r="B3792" s="0" t="s">
        <v>1112</v>
      </c>
      <c r="C3792" s="0" t="s">
        <v>1113</v>
      </c>
      <c r="D3792" s="0" t="n">
        <v>8</v>
      </c>
      <c r="E3792" s="6" t="n">
        <v>40841.3645833333</v>
      </c>
      <c r="F3792" s="0" t="n">
        <v>14.95</v>
      </c>
      <c r="G3792" s="0" t="n">
        <v>12476</v>
      </c>
      <c r="H3792" s="0" t="s">
        <v>33</v>
      </c>
      <c r="I3792" s="7" t="n">
        <f aca="false">IF(AND(LEFT(A3792,1)&lt;&gt;"C",D3792&gt;0,F3792&gt;0),1,0)</f>
        <v>1</v>
      </c>
      <c r="J3792" s="7" t="n">
        <f aca="false">IF(I3792=1,D3792*F3792,0)</f>
        <v>119.6</v>
      </c>
      <c r="K3792" s="7" t="n">
        <f aca="false">YEAR(E3792)*100+MONTH(E3792)</f>
        <v>201110</v>
      </c>
      <c r="L3792" s="7" t="n">
        <f aca="false">IF(AND(A3792&lt;&gt;A3791,LEFT(A3792,1)&lt;&gt;"C"),1,0)</f>
        <v>0</v>
      </c>
    </row>
    <row r="3793" customFormat="false" ht="15" hidden="false" customHeight="false" outlineLevel="0" collapsed="false">
      <c r="A3793" s="0" t="s">
        <v>2548</v>
      </c>
      <c r="B3793" s="0" t="s">
        <v>783</v>
      </c>
      <c r="C3793" s="0" t="s">
        <v>784</v>
      </c>
      <c r="D3793" s="0" t="n">
        <v>12</v>
      </c>
      <c r="E3793" s="6" t="n">
        <v>40841.3645833333</v>
      </c>
      <c r="F3793" s="0" t="n">
        <v>2.1</v>
      </c>
      <c r="G3793" s="0" t="n">
        <v>12476</v>
      </c>
      <c r="H3793" s="0" t="s">
        <v>33</v>
      </c>
      <c r="I3793" s="7" t="n">
        <f aca="false">IF(AND(LEFT(A3793,1)&lt;&gt;"C",D3793&gt;0,F3793&gt;0),1,0)</f>
        <v>1</v>
      </c>
      <c r="J3793" s="7" t="n">
        <f aca="false">IF(I3793=1,D3793*F3793,0)</f>
        <v>25.2</v>
      </c>
      <c r="K3793" s="7" t="n">
        <f aca="false">YEAR(E3793)*100+MONTH(E3793)</f>
        <v>201110</v>
      </c>
      <c r="L3793" s="7" t="n">
        <f aca="false">IF(AND(A3793&lt;&gt;A3792,LEFT(A3793,1)&lt;&gt;"C"),1,0)</f>
        <v>0</v>
      </c>
    </row>
    <row r="3794" customFormat="false" ht="15" hidden="false" customHeight="false" outlineLevel="0" collapsed="false">
      <c r="A3794" s="0" t="s">
        <v>2553</v>
      </c>
      <c r="B3794" s="0" t="s">
        <v>293</v>
      </c>
      <c r="C3794" s="0" t="s">
        <v>294</v>
      </c>
      <c r="D3794" s="0" t="n">
        <v>2</v>
      </c>
      <c r="E3794" s="6" t="n">
        <v>40842.6104166667</v>
      </c>
      <c r="F3794" s="0" t="n">
        <v>8.5</v>
      </c>
      <c r="G3794" s="0" t="n">
        <v>12569</v>
      </c>
      <c r="H3794" s="0" t="s">
        <v>33</v>
      </c>
      <c r="I3794" s="7" t="n">
        <f aca="false">IF(AND(LEFT(A3794,1)&lt;&gt;"C",D3794&gt;0,F3794&gt;0),1,0)</f>
        <v>1</v>
      </c>
      <c r="J3794" s="7" t="n">
        <f aca="false">IF(I3794=1,D3794*F3794,0)</f>
        <v>17</v>
      </c>
      <c r="K3794" s="7" t="n">
        <f aca="false">YEAR(E3794)*100+MONTH(E3794)</f>
        <v>201110</v>
      </c>
      <c r="L3794" s="7" t="n">
        <f aca="false">IF(AND(A3794&lt;&gt;A3793,LEFT(A3794,1)&lt;&gt;"C"),1,0)</f>
        <v>1</v>
      </c>
    </row>
    <row r="3795" customFormat="false" ht="15" hidden="false" customHeight="false" outlineLevel="0" collapsed="false">
      <c r="A3795" s="0" t="s">
        <v>2553</v>
      </c>
      <c r="B3795" s="0" t="s">
        <v>452</v>
      </c>
      <c r="C3795" s="0" t="s">
        <v>453</v>
      </c>
      <c r="D3795" s="0" t="n">
        <v>2</v>
      </c>
      <c r="E3795" s="6" t="n">
        <v>40842.6104166667</v>
      </c>
      <c r="F3795" s="0" t="n">
        <v>8.5</v>
      </c>
      <c r="G3795" s="0" t="n">
        <v>12569</v>
      </c>
      <c r="H3795" s="0" t="s">
        <v>33</v>
      </c>
      <c r="I3795" s="7" t="n">
        <f aca="false">IF(AND(LEFT(A3795,1)&lt;&gt;"C",D3795&gt;0,F3795&gt;0),1,0)</f>
        <v>1</v>
      </c>
      <c r="J3795" s="7" t="n">
        <f aca="false">IF(I3795=1,D3795*F3795,0)</f>
        <v>17</v>
      </c>
      <c r="K3795" s="7" t="n">
        <f aca="false">YEAR(E3795)*100+MONTH(E3795)</f>
        <v>201110</v>
      </c>
      <c r="L3795" s="7" t="n">
        <f aca="false">IF(AND(A3795&lt;&gt;A3794,LEFT(A3795,1)&lt;&gt;"C"),1,0)</f>
        <v>0</v>
      </c>
    </row>
    <row r="3796" customFormat="false" ht="15" hidden="false" customHeight="false" outlineLevel="0" collapsed="false">
      <c r="A3796" s="0" t="s">
        <v>2553</v>
      </c>
      <c r="B3796" s="0" t="s">
        <v>84</v>
      </c>
      <c r="C3796" s="0" t="s">
        <v>85</v>
      </c>
      <c r="D3796" s="0" t="n">
        <v>1</v>
      </c>
      <c r="E3796" s="6" t="n">
        <v>40842.6104166667</v>
      </c>
      <c r="F3796" s="0" t="n">
        <v>18</v>
      </c>
      <c r="G3796" s="0" t="n">
        <v>12569</v>
      </c>
      <c r="H3796" s="0" t="s">
        <v>33</v>
      </c>
      <c r="I3796" s="7" t="n">
        <f aca="false">IF(AND(LEFT(A3796,1)&lt;&gt;"C",D3796&gt;0,F3796&gt;0),1,0)</f>
        <v>1</v>
      </c>
      <c r="J3796" s="7" t="n">
        <f aca="false">IF(I3796=1,D3796*F3796,0)</f>
        <v>18</v>
      </c>
      <c r="K3796" s="7" t="n">
        <f aca="false">YEAR(E3796)*100+MONTH(E3796)</f>
        <v>201110</v>
      </c>
      <c r="L3796" s="7" t="n">
        <f aca="false">IF(AND(A3796&lt;&gt;A3795,LEFT(A3796,1)&lt;&gt;"C"),1,0)</f>
        <v>0</v>
      </c>
    </row>
    <row r="3797" customFormat="false" ht="15" hidden="false" customHeight="false" outlineLevel="0" collapsed="false">
      <c r="A3797" s="0" t="s">
        <v>2554</v>
      </c>
      <c r="B3797" s="0" t="s">
        <v>1271</v>
      </c>
      <c r="C3797" s="0" t="s">
        <v>1272</v>
      </c>
      <c r="D3797" s="0" t="n">
        <v>3</v>
      </c>
      <c r="E3797" s="6" t="n">
        <v>40842.6104166667</v>
      </c>
      <c r="F3797" s="0" t="n">
        <v>9.95</v>
      </c>
      <c r="G3797" s="0" t="n">
        <v>12569</v>
      </c>
      <c r="H3797" s="0" t="s">
        <v>33</v>
      </c>
      <c r="I3797" s="7" t="n">
        <f aca="false">IF(AND(LEFT(A3797,1)&lt;&gt;"C",D3797&gt;0,F3797&gt;0),1,0)</f>
        <v>1</v>
      </c>
      <c r="J3797" s="7" t="n">
        <f aca="false">IF(I3797=1,D3797*F3797,0)</f>
        <v>29.85</v>
      </c>
      <c r="K3797" s="7" t="n">
        <f aca="false">YEAR(E3797)*100+MONTH(E3797)</f>
        <v>201110</v>
      </c>
      <c r="L3797" s="7" t="n">
        <f aca="false">IF(AND(A3797&lt;&gt;A3796,LEFT(A3797,1)&lt;&gt;"C"),1,0)</f>
        <v>1</v>
      </c>
    </row>
    <row r="3798" customFormat="false" ht="15" hidden="false" customHeight="false" outlineLevel="0" collapsed="false">
      <c r="A3798" s="0" t="s">
        <v>2554</v>
      </c>
      <c r="B3798" s="0" t="s">
        <v>2454</v>
      </c>
      <c r="C3798" s="0" t="s">
        <v>2455</v>
      </c>
      <c r="D3798" s="0" t="n">
        <v>12</v>
      </c>
      <c r="E3798" s="6" t="n">
        <v>40842.6104166667</v>
      </c>
      <c r="F3798" s="0" t="n">
        <v>0.42</v>
      </c>
      <c r="G3798" s="0" t="n">
        <v>12569</v>
      </c>
      <c r="H3798" s="0" t="s">
        <v>33</v>
      </c>
      <c r="I3798" s="7" t="n">
        <f aca="false">IF(AND(LEFT(A3798,1)&lt;&gt;"C",D3798&gt;0,F3798&gt;0),1,0)</f>
        <v>1</v>
      </c>
      <c r="J3798" s="7" t="n">
        <f aca="false">IF(I3798=1,D3798*F3798,0)</f>
        <v>5.04</v>
      </c>
      <c r="K3798" s="7" t="n">
        <f aca="false">YEAR(E3798)*100+MONTH(E3798)</f>
        <v>201110</v>
      </c>
      <c r="L3798" s="7" t="n">
        <f aca="false">IF(AND(A3798&lt;&gt;A3797,LEFT(A3798,1)&lt;&gt;"C"),1,0)</f>
        <v>0</v>
      </c>
    </row>
    <row r="3799" customFormat="false" ht="15" hidden="false" customHeight="false" outlineLevel="0" collapsed="false">
      <c r="A3799" s="0" t="s">
        <v>2554</v>
      </c>
      <c r="B3799" s="0" t="s">
        <v>1888</v>
      </c>
      <c r="C3799" s="0" t="s">
        <v>1889</v>
      </c>
      <c r="D3799" s="0" t="n">
        <v>3</v>
      </c>
      <c r="E3799" s="6" t="n">
        <v>40842.6104166667</v>
      </c>
      <c r="F3799" s="0" t="n">
        <v>4.95</v>
      </c>
      <c r="G3799" s="0" t="n">
        <v>12569</v>
      </c>
      <c r="H3799" s="0" t="s">
        <v>33</v>
      </c>
      <c r="I3799" s="7" t="n">
        <f aca="false">IF(AND(LEFT(A3799,1)&lt;&gt;"C",D3799&gt;0,F3799&gt;0),1,0)</f>
        <v>1</v>
      </c>
      <c r="J3799" s="7" t="n">
        <f aca="false">IF(I3799=1,D3799*F3799,0)</f>
        <v>14.85</v>
      </c>
      <c r="K3799" s="7" t="n">
        <f aca="false">YEAR(E3799)*100+MONTH(E3799)</f>
        <v>201110</v>
      </c>
      <c r="L3799" s="7" t="n">
        <f aca="false">IF(AND(A3799&lt;&gt;A3798,LEFT(A3799,1)&lt;&gt;"C"),1,0)</f>
        <v>0</v>
      </c>
    </row>
    <row r="3800" customFormat="false" ht="15" hidden="false" customHeight="false" outlineLevel="0" collapsed="false">
      <c r="A3800" s="0" t="s">
        <v>2554</v>
      </c>
      <c r="B3800" s="0" t="s">
        <v>84</v>
      </c>
      <c r="C3800" s="0" t="s">
        <v>85</v>
      </c>
      <c r="D3800" s="0" t="n">
        <v>1</v>
      </c>
      <c r="E3800" s="6" t="n">
        <v>40842.6104166667</v>
      </c>
      <c r="F3800" s="0" t="n">
        <v>18</v>
      </c>
      <c r="G3800" s="0" t="n">
        <v>12569</v>
      </c>
      <c r="H3800" s="0" t="s">
        <v>33</v>
      </c>
      <c r="I3800" s="7" t="n">
        <f aca="false">IF(AND(LEFT(A3800,1)&lt;&gt;"C",D3800&gt;0,F3800&gt;0),1,0)</f>
        <v>1</v>
      </c>
      <c r="J3800" s="7" t="n">
        <f aca="false">IF(I3800=1,D3800*F3800,0)</f>
        <v>18</v>
      </c>
      <c r="K3800" s="7" t="n">
        <f aca="false">YEAR(E3800)*100+MONTH(E3800)</f>
        <v>201110</v>
      </c>
      <c r="L3800" s="7" t="n">
        <f aca="false">IF(AND(A3800&lt;&gt;A3799,LEFT(A3800,1)&lt;&gt;"C"),1,0)</f>
        <v>0</v>
      </c>
    </row>
    <row r="3801" customFormat="false" ht="15" hidden="false" customHeight="false" outlineLevel="0" collapsed="false">
      <c r="A3801" s="0" t="s">
        <v>2555</v>
      </c>
      <c r="B3801" s="0" t="s">
        <v>2556</v>
      </c>
      <c r="C3801" s="0" t="s">
        <v>2557</v>
      </c>
      <c r="D3801" s="0" t="n">
        <v>1</v>
      </c>
      <c r="E3801" s="6" t="n">
        <v>40843.3875</v>
      </c>
      <c r="F3801" s="0" t="n">
        <v>25</v>
      </c>
      <c r="G3801" s="0" t="n">
        <v>12523</v>
      </c>
      <c r="H3801" s="0" t="s">
        <v>43</v>
      </c>
      <c r="I3801" s="7" t="n">
        <f aca="false">IF(AND(LEFT(A3801,1)&lt;&gt;"C",D3801&gt;0,F3801&gt;0),1,0)</f>
        <v>1</v>
      </c>
      <c r="J3801" s="7" t="n">
        <f aca="false">IF(I3801=1,D3801*F3801,0)</f>
        <v>25</v>
      </c>
      <c r="K3801" s="7" t="n">
        <f aca="false">YEAR(E3801)*100+MONTH(E3801)</f>
        <v>201110</v>
      </c>
      <c r="L3801" s="7" t="n">
        <f aca="false">IF(AND(A3801&lt;&gt;A3800,LEFT(A3801,1)&lt;&gt;"C"),1,0)</f>
        <v>1</v>
      </c>
    </row>
    <row r="3802" customFormat="false" ht="15" hidden="false" customHeight="false" outlineLevel="0" collapsed="false">
      <c r="A3802" s="0" t="s">
        <v>2555</v>
      </c>
      <c r="B3802" s="0" t="s">
        <v>2558</v>
      </c>
      <c r="C3802" s="0" t="s">
        <v>2559</v>
      </c>
      <c r="D3802" s="0" t="n">
        <v>2</v>
      </c>
      <c r="E3802" s="6" t="n">
        <v>40843.3875</v>
      </c>
      <c r="F3802" s="0" t="n">
        <v>7.85</v>
      </c>
      <c r="G3802" s="0" t="n">
        <v>12523</v>
      </c>
      <c r="H3802" s="0" t="s">
        <v>43</v>
      </c>
      <c r="I3802" s="7" t="n">
        <f aca="false">IF(AND(LEFT(A3802,1)&lt;&gt;"C",D3802&gt;0,F3802&gt;0),1,0)</f>
        <v>1</v>
      </c>
      <c r="J3802" s="7" t="n">
        <f aca="false">IF(I3802=1,D3802*F3802,0)</f>
        <v>15.7</v>
      </c>
      <c r="K3802" s="7" t="n">
        <f aca="false">YEAR(E3802)*100+MONTH(E3802)</f>
        <v>201110</v>
      </c>
      <c r="L3802" s="7" t="n">
        <f aca="false">IF(AND(A3802&lt;&gt;A3801,LEFT(A3802,1)&lt;&gt;"C"),1,0)</f>
        <v>0</v>
      </c>
    </row>
    <row r="3803" customFormat="false" ht="15" hidden="false" customHeight="false" outlineLevel="0" collapsed="false">
      <c r="A3803" s="0" t="s">
        <v>2555</v>
      </c>
      <c r="B3803" s="0" t="s">
        <v>312</v>
      </c>
      <c r="C3803" s="0" t="s">
        <v>313</v>
      </c>
      <c r="D3803" s="0" t="n">
        <v>4</v>
      </c>
      <c r="E3803" s="6" t="n">
        <v>40843.3875</v>
      </c>
      <c r="F3803" s="0" t="n">
        <v>3.75</v>
      </c>
      <c r="G3803" s="0" t="n">
        <v>12523</v>
      </c>
      <c r="H3803" s="0" t="s">
        <v>43</v>
      </c>
      <c r="I3803" s="7" t="n">
        <f aca="false">IF(AND(LEFT(A3803,1)&lt;&gt;"C",D3803&gt;0,F3803&gt;0),1,0)</f>
        <v>1</v>
      </c>
      <c r="J3803" s="7" t="n">
        <f aca="false">IF(I3803=1,D3803*F3803,0)</f>
        <v>15</v>
      </c>
      <c r="K3803" s="7" t="n">
        <f aca="false">YEAR(E3803)*100+MONTH(E3803)</f>
        <v>201110</v>
      </c>
      <c r="L3803" s="7" t="n">
        <f aca="false">IF(AND(A3803&lt;&gt;A3802,LEFT(A3803,1)&lt;&gt;"C"),1,0)</f>
        <v>0</v>
      </c>
    </row>
    <row r="3804" customFormat="false" ht="15" hidden="false" customHeight="false" outlineLevel="0" collapsed="false">
      <c r="A3804" s="0" t="s">
        <v>2555</v>
      </c>
      <c r="B3804" s="0" t="s">
        <v>699</v>
      </c>
      <c r="C3804" s="0" t="s">
        <v>700</v>
      </c>
      <c r="D3804" s="0" t="n">
        <v>12</v>
      </c>
      <c r="E3804" s="6" t="n">
        <v>40843.3875</v>
      </c>
      <c r="F3804" s="0" t="n">
        <v>1.25</v>
      </c>
      <c r="G3804" s="0" t="n">
        <v>12523</v>
      </c>
      <c r="H3804" s="0" t="s">
        <v>43</v>
      </c>
      <c r="I3804" s="7" t="n">
        <f aca="false">IF(AND(LEFT(A3804,1)&lt;&gt;"C",D3804&gt;0,F3804&gt;0),1,0)</f>
        <v>1</v>
      </c>
      <c r="J3804" s="7" t="n">
        <f aca="false">IF(I3804=1,D3804*F3804,0)</f>
        <v>15</v>
      </c>
      <c r="K3804" s="7" t="n">
        <f aca="false">YEAR(E3804)*100+MONTH(E3804)</f>
        <v>201110</v>
      </c>
      <c r="L3804" s="7" t="n">
        <f aca="false">IF(AND(A3804&lt;&gt;A3803,LEFT(A3804,1)&lt;&gt;"C"),1,0)</f>
        <v>0</v>
      </c>
    </row>
    <row r="3805" customFormat="false" ht="15" hidden="false" customHeight="false" outlineLevel="0" collapsed="false">
      <c r="A3805" s="0" t="s">
        <v>2555</v>
      </c>
      <c r="B3805" s="0" t="s">
        <v>2467</v>
      </c>
      <c r="C3805" s="0" t="s">
        <v>2468</v>
      </c>
      <c r="D3805" s="0" t="n">
        <v>12</v>
      </c>
      <c r="E3805" s="6" t="n">
        <v>40843.3875</v>
      </c>
      <c r="F3805" s="0" t="n">
        <v>1.25</v>
      </c>
      <c r="G3805" s="0" t="n">
        <v>12523</v>
      </c>
      <c r="H3805" s="0" t="s">
        <v>43</v>
      </c>
      <c r="I3805" s="7" t="n">
        <f aca="false">IF(AND(LEFT(A3805,1)&lt;&gt;"C",D3805&gt;0,F3805&gt;0),1,0)</f>
        <v>1</v>
      </c>
      <c r="J3805" s="7" t="n">
        <f aca="false">IF(I3805=1,D3805*F3805,0)</f>
        <v>15</v>
      </c>
      <c r="K3805" s="7" t="n">
        <f aca="false">YEAR(E3805)*100+MONTH(E3805)</f>
        <v>201110</v>
      </c>
      <c r="L3805" s="7" t="n">
        <f aca="false">IF(AND(A3805&lt;&gt;A3804,LEFT(A3805,1)&lt;&gt;"C"),1,0)</f>
        <v>0</v>
      </c>
    </row>
    <row r="3806" customFormat="false" ht="15" hidden="false" customHeight="false" outlineLevel="0" collapsed="false">
      <c r="A3806" s="0" t="s">
        <v>2555</v>
      </c>
      <c r="B3806" s="0" t="s">
        <v>2560</v>
      </c>
      <c r="C3806" s="0" t="s">
        <v>2561</v>
      </c>
      <c r="D3806" s="0" t="n">
        <v>48</v>
      </c>
      <c r="E3806" s="6" t="n">
        <v>40843.3875</v>
      </c>
      <c r="F3806" s="0" t="n">
        <v>0.42</v>
      </c>
      <c r="G3806" s="0" t="n">
        <v>12523</v>
      </c>
      <c r="H3806" s="0" t="s">
        <v>43</v>
      </c>
      <c r="I3806" s="7" t="n">
        <f aca="false">IF(AND(LEFT(A3806,1)&lt;&gt;"C",D3806&gt;0,F3806&gt;0),1,0)</f>
        <v>1</v>
      </c>
      <c r="J3806" s="7" t="n">
        <f aca="false">IF(I3806=1,D3806*F3806,0)</f>
        <v>20.16</v>
      </c>
      <c r="K3806" s="7" t="n">
        <f aca="false">YEAR(E3806)*100+MONTH(E3806)</f>
        <v>201110</v>
      </c>
      <c r="L3806" s="7" t="n">
        <f aca="false">IF(AND(A3806&lt;&gt;A3805,LEFT(A3806,1)&lt;&gt;"C"),1,0)</f>
        <v>0</v>
      </c>
    </row>
    <row r="3807" customFormat="false" ht="15" hidden="false" customHeight="false" outlineLevel="0" collapsed="false">
      <c r="A3807" s="0" t="s">
        <v>2555</v>
      </c>
      <c r="B3807" s="0" t="s">
        <v>2216</v>
      </c>
      <c r="C3807" s="0" t="s">
        <v>2217</v>
      </c>
      <c r="D3807" s="0" t="n">
        <v>6</v>
      </c>
      <c r="E3807" s="6" t="n">
        <v>40843.3875</v>
      </c>
      <c r="F3807" s="0" t="n">
        <v>2.08</v>
      </c>
      <c r="G3807" s="0" t="n">
        <v>12523</v>
      </c>
      <c r="H3807" s="0" t="s">
        <v>43</v>
      </c>
      <c r="I3807" s="7" t="n">
        <f aca="false">IF(AND(LEFT(A3807,1)&lt;&gt;"C",D3807&gt;0,F3807&gt;0),1,0)</f>
        <v>1</v>
      </c>
      <c r="J3807" s="7" t="n">
        <f aca="false">IF(I3807=1,D3807*F3807,0)</f>
        <v>12.48</v>
      </c>
      <c r="K3807" s="7" t="n">
        <f aca="false">YEAR(E3807)*100+MONTH(E3807)</f>
        <v>201110</v>
      </c>
      <c r="L3807" s="7" t="n">
        <f aca="false">IF(AND(A3807&lt;&gt;A3806,LEFT(A3807,1)&lt;&gt;"C"),1,0)</f>
        <v>0</v>
      </c>
    </row>
    <row r="3808" customFormat="false" ht="15" hidden="false" customHeight="false" outlineLevel="0" collapsed="false">
      <c r="A3808" s="0" t="s">
        <v>2555</v>
      </c>
      <c r="B3808" s="0" t="s">
        <v>2473</v>
      </c>
      <c r="C3808" s="0" t="s">
        <v>2474</v>
      </c>
      <c r="D3808" s="0" t="n">
        <v>6</v>
      </c>
      <c r="E3808" s="6" t="n">
        <v>40843.3875</v>
      </c>
      <c r="F3808" s="0" t="n">
        <v>2.08</v>
      </c>
      <c r="G3808" s="0" t="n">
        <v>12523</v>
      </c>
      <c r="H3808" s="0" t="s">
        <v>43</v>
      </c>
      <c r="I3808" s="7" t="n">
        <f aca="false">IF(AND(LEFT(A3808,1)&lt;&gt;"C",D3808&gt;0,F3808&gt;0),1,0)</f>
        <v>1</v>
      </c>
      <c r="J3808" s="7" t="n">
        <f aca="false">IF(I3808=1,D3808*F3808,0)</f>
        <v>12.48</v>
      </c>
      <c r="K3808" s="7" t="n">
        <f aca="false">YEAR(E3808)*100+MONTH(E3808)</f>
        <v>201110</v>
      </c>
      <c r="L3808" s="7" t="n">
        <f aca="false">IF(AND(A3808&lt;&gt;A3807,LEFT(A3808,1)&lt;&gt;"C"),1,0)</f>
        <v>0</v>
      </c>
    </row>
    <row r="3809" customFormat="false" ht="15" hidden="false" customHeight="false" outlineLevel="0" collapsed="false">
      <c r="A3809" s="0" t="s">
        <v>2555</v>
      </c>
      <c r="B3809" s="0" t="s">
        <v>452</v>
      </c>
      <c r="C3809" s="0" t="s">
        <v>453</v>
      </c>
      <c r="D3809" s="0" t="n">
        <v>2</v>
      </c>
      <c r="E3809" s="6" t="n">
        <v>40843.3875</v>
      </c>
      <c r="F3809" s="0" t="n">
        <v>8.5</v>
      </c>
      <c r="G3809" s="0" t="n">
        <v>12523</v>
      </c>
      <c r="H3809" s="0" t="s">
        <v>43</v>
      </c>
      <c r="I3809" s="7" t="n">
        <f aca="false">IF(AND(LEFT(A3809,1)&lt;&gt;"C",D3809&gt;0,F3809&gt;0),1,0)</f>
        <v>1</v>
      </c>
      <c r="J3809" s="7" t="n">
        <f aca="false">IF(I3809=1,D3809*F3809,0)</f>
        <v>17</v>
      </c>
      <c r="K3809" s="7" t="n">
        <f aca="false">YEAR(E3809)*100+MONTH(E3809)</f>
        <v>201110</v>
      </c>
      <c r="L3809" s="7" t="n">
        <f aca="false">IF(AND(A3809&lt;&gt;A3808,LEFT(A3809,1)&lt;&gt;"C"),1,0)</f>
        <v>0</v>
      </c>
    </row>
    <row r="3810" customFormat="false" ht="15" hidden="false" customHeight="false" outlineLevel="0" collapsed="false">
      <c r="A3810" s="0" t="s">
        <v>2555</v>
      </c>
      <c r="B3810" s="0" t="s">
        <v>781</v>
      </c>
      <c r="C3810" s="0" t="s">
        <v>782</v>
      </c>
      <c r="D3810" s="0" t="n">
        <v>3</v>
      </c>
      <c r="E3810" s="6" t="n">
        <v>40843.3875</v>
      </c>
      <c r="F3810" s="0" t="n">
        <v>4.95</v>
      </c>
      <c r="G3810" s="0" t="n">
        <v>12523</v>
      </c>
      <c r="H3810" s="0" t="s">
        <v>43</v>
      </c>
      <c r="I3810" s="7" t="n">
        <f aca="false">IF(AND(LEFT(A3810,1)&lt;&gt;"C",D3810&gt;0,F3810&gt;0),1,0)</f>
        <v>1</v>
      </c>
      <c r="J3810" s="7" t="n">
        <f aca="false">IF(I3810=1,D3810*F3810,0)</f>
        <v>14.85</v>
      </c>
      <c r="K3810" s="7" t="n">
        <f aca="false">YEAR(E3810)*100+MONTH(E3810)</f>
        <v>201110</v>
      </c>
      <c r="L3810" s="7" t="n">
        <f aca="false">IF(AND(A3810&lt;&gt;A3809,LEFT(A3810,1)&lt;&gt;"C"),1,0)</f>
        <v>0</v>
      </c>
    </row>
    <row r="3811" customFormat="false" ht="15" hidden="false" customHeight="false" outlineLevel="0" collapsed="false">
      <c r="A3811" s="0" t="s">
        <v>2555</v>
      </c>
      <c r="B3811" s="0" t="s">
        <v>503</v>
      </c>
      <c r="C3811" s="0" t="s">
        <v>504</v>
      </c>
      <c r="D3811" s="0" t="n">
        <v>25</v>
      </c>
      <c r="E3811" s="6" t="n">
        <v>40843.3875</v>
      </c>
      <c r="F3811" s="0" t="n">
        <v>0.42</v>
      </c>
      <c r="G3811" s="0" t="n">
        <v>12523</v>
      </c>
      <c r="H3811" s="0" t="s">
        <v>43</v>
      </c>
      <c r="I3811" s="7" t="n">
        <f aca="false">IF(AND(LEFT(A3811,1)&lt;&gt;"C",D3811&gt;0,F3811&gt;0),1,0)</f>
        <v>1</v>
      </c>
      <c r="J3811" s="7" t="n">
        <f aca="false">IF(I3811=1,D3811*F3811,0)</f>
        <v>10.5</v>
      </c>
      <c r="K3811" s="7" t="n">
        <f aca="false">YEAR(E3811)*100+MONTH(E3811)</f>
        <v>201110</v>
      </c>
      <c r="L3811" s="7" t="n">
        <f aca="false">IF(AND(A3811&lt;&gt;A3810,LEFT(A3811,1)&lt;&gt;"C"),1,0)</f>
        <v>0</v>
      </c>
    </row>
    <row r="3812" customFormat="false" ht="15" hidden="false" customHeight="false" outlineLevel="0" collapsed="false">
      <c r="A3812" s="0" t="s">
        <v>2555</v>
      </c>
      <c r="B3812" s="0" t="s">
        <v>729</v>
      </c>
      <c r="C3812" s="0" t="s">
        <v>730</v>
      </c>
      <c r="D3812" s="0" t="n">
        <v>3</v>
      </c>
      <c r="E3812" s="6" t="n">
        <v>40843.3875</v>
      </c>
      <c r="F3812" s="0" t="n">
        <v>4.95</v>
      </c>
      <c r="G3812" s="0" t="n">
        <v>12523</v>
      </c>
      <c r="H3812" s="0" t="s">
        <v>43</v>
      </c>
      <c r="I3812" s="7" t="n">
        <f aca="false">IF(AND(LEFT(A3812,1)&lt;&gt;"C",D3812&gt;0,F3812&gt;0),1,0)</f>
        <v>1</v>
      </c>
      <c r="J3812" s="7" t="n">
        <f aca="false">IF(I3812=1,D3812*F3812,0)</f>
        <v>14.85</v>
      </c>
      <c r="K3812" s="7" t="n">
        <f aca="false">YEAR(E3812)*100+MONTH(E3812)</f>
        <v>201110</v>
      </c>
      <c r="L3812" s="7" t="n">
        <f aca="false">IF(AND(A3812&lt;&gt;A3811,LEFT(A3812,1)&lt;&gt;"C"),1,0)</f>
        <v>0</v>
      </c>
    </row>
    <row r="3813" customFormat="false" ht="15" hidden="false" customHeight="false" outlineLevel="0" collapsed="false">
      <c r="A3813" s="0" t="s">
        <v>2555</v>
      </c>
      <c r="B3813" s="0" t="s">
        <v>756</v>
      </c>
      <c r="C3813" s="0" t="s">
        <v>757</v>
      </c>
      <c r="D3813" s="0" t="n">
        <v>6</v>
      </c>
      <c r="E3813" s="6" t="n">
        <v>40843.3875</v>
      </c>
      <c r="F3813" s="0" t="n">
        <v>3.75</v>
      </c>
      <c r="G3813" s="0" t="n">
        <v>12523</v>
      </c>
      <c r="H3813" s="0" t="s">
        <v>43</v>
      </c>
      <c r="I3813" s="7" t="n">
        <f aca="false">IF(AND(LEFT(A3813,1)&lt;&gt;"C",D3813&gt;0,F3813&gt;0),1,0)</f>
        <v>1</v>
      </c>
      <c r="J3813" s="7" t="n">
        <f aca="false">IF(I3813=1,D3813*F3813,0)</f>
        <v>22.5</v>
      </c>
      <c r="K3813" s="7" t="n">
        <f aca="false">YEAR(E3813)*100+MONTH(E3813)</f>
        <v>201110</v>
      </c>
      <c r="L3813" s="7" t="n">
        <f aca="false">IF(AND(A3813&lt;&gt;A3812,LEFT(A3813,1)&lt;&gt;"C"),1,0)</f>
        <v>0</v>
      </c>
    </row>
    <row r="3814" customFormat="false" ht="15" hidden="false" customHeight="false" outlineLevel="0" collapsed="false">
      <c r="A3814" s="0" t="s">
        <v>2555</v>
      </c>
      <c r="B3814" s="0" t="s">
        <v>337</v>
      </c>
      <c r="C3814" s="0" t="s">
        <v>338</v>
      </c>
      <c r="D3814" s="0" t="n">
        <v>6</v>
      </c>
      <c r="E3814" s="6" t="n">
        <v>40843.3875</v>
      </c>
      <c r="F3814" s="0" t="n">
        <v>2.95</v>
      </c>
      <c r="G3814" s="0" t="n">
        <v>12523</v>
      </c>
      <c r="H3814" s="0" t="s">
        <v>43</v>
      </c>
      <c r="I3814" s="7" t="n">
        <f aca="false">IF(AND(LEFT(A3814,1)&lt;&gt;"C",D3814&gt;0,F3814&gt;0),1,0)</f>
        <v>1</v>
      </c>
      <c r="J3814" s="7" t="n">
        <f aca="false">IF(I3814=1,D3814*F3814,0)</f>
        <v>17.7</v>
      </c>
      <c r="K3814" s="7" t="n">
        <f aca="false">YEAR(E3814)*100+MONTH(E3814)</f>
        <v>201110</v>
      </c>
      <c r="L3814" s="7" t="n">
        <f aca="false">IF(AND(A3814&lt;&gt;A3813,LEFT(A3814,1)&lt;&gt;"C"),1,0)</f>
        <v>0</v>
      </c>
    </row>
    <row r="3815" customFormat="false" ht="15" hidden="false" customHeight="false" outlineLevel="0" collapsed="false">
      <c r="A3815" s="0" t="s">
        <v>2562</v>
      </c>
      <c r="B3815" s="0" t="s">
        <v>1600</v>
      </c>
      <c r="C3815" s="0" t="s">
        <v>1601</v>
      </c>
      <c r="D3815" s="0" t="n">
        <v>20</v>
      </c>
      <c r="E3815" s="6" t="n">
        <v>40843.4520833333</v>
      </c>
      <c r="F3815" s="0" t="n">
        <v>1.95</v>
      </c>
      <c r="G3815" s="0" t="n">
        <v>12681</v>
      </c>
      <c r="H3815" s="0" t="s">
        <v>43</v>
      </c>
      <c r="I3815" s="7" t="n">
        <f aca="false">IF(AND(LEFT(A3815,1)&lt;&gt;"C",D3815&gt;0,F3815&gt;0),1,0)</f>
        <v>1</v>
      </c>
      <c r="J3815" s="7" t="n">
        <f aca="false">IF(I3815=1,D3815*F3815,0)</f>
        <v>39</v>
      </c>
      <c r="K3815" s="7" t="n">
        <f aca="false">YEAR(E3815)*100+MONTH(E3815)</f>
        <v>201110</v>
      </c>
      <c r="L3815" s="7" t="n">
        <f aca="false">IF(AND(A3815&lt;&gt;A3814,LEFT(A3815,1)&lt;&gt;"C"),1,0)</f>
        <v>1</v>
      </c>
    </row>
    <row r="3816" customFormat="false" ht="15" hidden="false" customHeight="false" outlineLevel="0" collapsed="false">
      <c r="A3816" s="0" t="s">
        <v>2562</v>
      </c>
      <c r="B3816" s="0" t="s">
        <v>2563</v>
      </c>
      <c r="C3816" s="0" t="s">
        <v>2564</v>
      </c>
      <c r="D3816" s="0" t="n">
        <v>3</v>
      </c>
      <c r="E3816" s="6" t="n">
        <v>40843.4520833333</v>
      </c>
      <c r="F3816" s="0" t="n">
        <v>5.95</v>
      </c>
      <c r="G3816" s="0" t="n">
        <v>12681</v>
      </c>
      <c r="H3816" s="0" t="s">
        <v>43</v>
      </c>
      <c r="I3816" s="7" t="n">
        <f aca="false">IF(AND(LEFT(A3816,1)&lt;&gt;"C",D3816&gt;0,F3816&gt;0),1,0)</f>
        <v>1</v>
      </c>
      <c r="J3816" s="7" t="n">
        <f aca="false">IF(I3816=1,D3816*F3816,0)</f>
        <v>17.85</v>
      </c>
      <c r="K3816" s="7" t="n">
        <f aca="false">YEAR(E3816)*100+MONTH(E3816)</f>
        <v>201110</v>
      </c>
      <c r="L3816" s="7" t="n">
        <f aca="false">IF(AND(A3816&lt;&gt;A3815,LEFT(A3816,1)&lt;&gt;"C"),1,0)</f>
        <v>0</v>
      </c>
    </row>
    <row r="3817" customFormat="false" ht="15" hidden="false" customHeight="false" outlineLevel="0" collapsed="false">
      <c r="A3817" s="0" t="s">
        <v>2562</v>
      </c>
      <c r="B3817" s="0" t="s">
        <v>2565</v>
      </c>
      <c r="C3817" s="0" t="s">
        <v>2566</v>
      </c>
      <c r="D3817" s="0" t="n">
        <v>4</v>
      </c>
      <c r="E3817" s="6" t="n">
        <v>40843.4520833333</v>
      </c>
      <c r="F3817" s="0" t="n">
        <v>8.25</v>
      </c>
      <c r="G3817" s="0" t="n">
        <v>12681</v>
      </c>
      <c r="H3817" s="0" t="s">
        <v>43</v>
      </c>
      <c r="I3817" s="7" t="n">
        <f aca="false">IF(AND(LEFT(A3817,1)&lt;&gt;"C",D3817&gt;0,F3817&gt;0),1,0)</f>
        <v>1</v>
      </c>
      <c r="J3817" s="7" t="n">
        <f aca="false">IF(I3817=1,D3817*F3817,0)</f>
        <v>33</v>
      </c>
      <c r="K3817" s="7" t="n">
        <f aca="false">YEAR(E3817)*100+MONTH(E3817)</f>
        <v>201110</v>
      </c>
      <c r="L3817" s="7" t="n">
        <f aca="false">IF(AND(A3817&lt;&gt;A3816,LEFT(A3817,1)&lt;&gt;"C"),1,0)</f>
        <v>0</v>
      </c>
    </row>
    <row r="3818" customFormat="false" ht="15" hidden="false" customHeight="false" outlineLevel="0" collapsed="false">
      <c r="A3818" s="0" t="s">
        <v>2562</v>
      </c>
      <c r="B3818" s="0" t="s">
        <v>80</v>
      </c>
      <c r="C3818" s="0" t="s">
        <v>81</v>
      </c>
      <c r="D3818" s="0" t="n">
        <v>40</v>
      </c>
      <c r="E3818" s="6" t="n">
        <v>40843.4520833333</v>
      </c>
      <c r="F3818" s="0" t="n">
        <v>0.83</v>
      </c>
      <c r="G3818" s="0" t="n">
        <v>12681</v>
      </c>
      <c r="H3818" s="0" t="s">
        <v>43</v>
      </c>
      <c r="I3818" s="7" t="n">
        <f aca="false">IF(AND(LEFT(A3818,1)&lt;&gt;"C",D3818&gt;0,F3818&gt;0),1,0)</f>
        <v>1</v>
      </c>
      <c r="J3818" s="7" t="n">
        <f aca="false">IF(I3818=1,D3818*F3818,0)</f>
        <v>33.2</v>
      </c>
      <c r="K3818" s="7" t="n">
        <f aca="false">YEAR(E3818)*100+MONTH(E3818)</f>
        <v>201110</v>
      </c>
      <c r="L3818" s="7" t="n">
        <f aca="false">IF(AND(A3818&lt;&gt;A3817,LEFT(A3818,1)&lt;&gt;"C"),1,0)</f>
        <v>0</v>
      </c>
    </row>
    <row r="3819" customFormat="false" ht="15" hidden="false" customHeight="false" outlineLevel="0" collapsed="false">
      <c r="A3819" s="0" t="s">
        <v>2562</v>
      </c>
      <c r="B3819" s="0" t="s">
        <v>627</v>
      </c>
      <c r="C3819" s="0" t="s">
        <v>628</v>
      </c>
      <c r="D3819" s="0" t="n">
        <v>20</v>
      </c>
      <c r="E3819" s="6" t="n">
        <v>40843.4520833333</v>
      </c>
      <c r="F3819" s="0" t="n">
        <v>0.85</v>
      </c>
      <c r="G3819" s="0" t="n">
        <v>12681</v>
      </c>
      <c r="H3819" s="0" t="s">
        <v>43</v>
      </c>
      <c r="I3819" s="7" t="n">
        <f aca="false">IF(AND(LEFT(A3819,1)&lt;&gt;"C",D3819&gt;0,F3819&gt;0),1,0)</f>
        <v>1</v>
      </c>
      <c r="J3819" s="7" t="n">
        <f aca="false">IF(I3819=1,D3819*F3819,0)</f>
        <v>17</v>
      </c>
      <c r="K3819" s="7" t="n">
        <f aca="false">YEAR(E3819)*100+MONTH(E3819)</f>
        <v>201110</v>
      </c>
      <c r="L3819" s="7" t="n">
        <f aca="false">IF(AND(A3819&lt;&gt;A3818,LEFT(A3819,1)&lt;&gt;"C"),1,0)</f>
        <v>0</v>
      </c>
    </row>
    <row r="3820" customFormat="false" ht="15" hidden="false" customHeight="false" outlineLevel="0" collapsed="false">
      <c r="A3820" s="0" t="s">
        <v>2562</v>
      </c>
      <c r="B3820" s="0" t="s">
        <v>743</v>
      </c>
      <c r="C3820" s="0" t="s">
        <v>744</v>
      </c>
      <c r="D3820" s="0" t="n">
        <v>12</v>
      </c>
      <c r="E3820" s="6" t="n">
        <v>40843.4520833333</v>
      </c>
      <c r="F3820" s="0" t="n">
        <v>0.42</v>
      </c>
      <c r="G3820" s="0" t="n">
        <v>12681</v>
      </c>
      <c r="H3820" s="0" t="s">
        <v>43</v>
      </c>
      <c r="I3820" s="7" t="n">
        <f aca="false">IF(AND(LEFT(A3820,1)&lt;&gt;"C",D3820&gt;0,F3820&gt;0),1,0)</f>
        <v>1</v>
      </c>
      <c r="J3820" s="7" t="n">
        <f aca="false">IF(I3820=1,D3820*F3820,0)</f>
        <v>5.04</v>
      </c>
      <c r="K3820" s="7" t="n">
        <f aca="false">YEAR(E3820)*100+MONTH(E3820)</f>
        <v>201110</v>
      </c>
      <c r="L3820" s="7" t="n">
        <f aca="false">IF(AND(A3820&lt;&gt;A3819,LEFT(A3820,1)&lt;&gt;"C"),1,0)</f>
        <v>0</v>
      </c>
    </row>
    <row r="3821" customFormat="false" ht="15" hidden="false" customHeight="false" outlineLevel="0" collapsed="false">
      <c r="A3821" s="0" t="s">
        <v>2562</v>
      </c>
      <c r="B3821" s="0" t="s">
        <v>181</v>
      </c>
      <c r="C3821" s="0" t="s">
        <v>182</v>
      </c>
      <c r="D3821" s="0" t="n">
        <v>12</v>
      </c>
      <c r="E3821" s="6" t="n">
        <v>40843.4520833333</v>
      </c>
      <c r="F3821" s="0" t="n">
        <v>0.42</v>
      </c>
      <c r="G3821" s="0" t="n">
        <v>12681</v>
      </c>
      <c r="H3821" s="0" t="s">
        <v>43</v>
      </c>
      <c r="I3821" s="7" t="n">
        <f aca="false">IF(AND(LEFT(A3821,1)&lt;&gt;"C",D3821&gt;0,F3821&gt;0),1,0)</f>
        <v>1</v>
      </c>
      <c r="J3821" s="7" t="n">
        <f aca="false">IF(I3821=1,D3821*F3821,0)</f>
        <v>5.04</v>
      </c>
      <c r="K3821" s="7" t="n">
        <f aca="false">YEAR(E3821)*100+MONTH(E3821)</f>
        <v>201110</v>
      </c>
      <c r="L3821" s="7" t="n">
        <f aca="false">IF(AND(A3821&lt;&gt;A3820,LEFT(A3821,1)&lt;&gt;"C"),1,0)</f>
        <v>0</v>
      </c>
    </row>
    <row r="3822" customFormat="false" ht="15" hidden="false" customHeight="false" outlineLevel="0" collapsed="false">
      <c r="A3822" s="0" t="s">
        <v>2562</v>
      </c>
      <c r="B3822" s="0" t="s">
        <v>583</v>
      </c>
      <c r="C3822" s="0" t="s">
        <v>584</v>
      </c>
      <c r="D3822" s="0" t="n">
        <v>12</v>
      </c>
      <c r="E3822" s="6" t="n">
        <v>40843.4520833333</v>
      </c>
      <c r="F3822" s="0" t="n">
        <v>1.45</v>
      </c>
      <c r="G3822" s="0" t="n">
        <v>12681</v>
      </c>
      <c r="H3822" s="0" t="s">
        <v>43</v>
      </c>
      <c r="I3822" s="7" t="n">
        <f aca="false">IF(AND(LEFT(A3822,1)&lt;&gt;"C",D3822&gt;0,F3822&gt;0),1,0)</f>
        <v>1</v>
      </c>
      <c r="J3822" s="7" t="n">
        <f aca="false">IF(I3822=1,D3822*F3822,0)</f>
        <v>17.4</v>
      </c>
      <c r="K3822" s="7" t="n">
        <f aca="false">YEAR(E3822)*100+MONTH(E3822)</f>
        <v>201110</v>
      </c>
      <c r="L3822" s="7" t="n">
        <f aca="false">IF(AND(A3822&lt;&gt;A3821,LEFT(A3822,1)&lt;&gt;"C"),1,0)</f>
        <v>0</v>
      </c>
    </row>
    <row r="3823" customFormat="false" ht="15" hidden="false" customHeight="false" outlineLevel="0" collapsed="false">
      <c r="A3823" s="0" t="s">
        <v>2562</v>
      </c>
      <c r="B3823" s="0" t="s">
        <v>1405</v>
      </c>
      <c r="C3823" s="0" t="s">
        <v>1406</v>
      </c>
      <c r="D3823" s="0" t="n">
        <v>12</v>
      </c>
      <c r="E3823" s="6" t="n">
        <v>40843.4520833333</v>
      </c>
      <c r="F3823" s="0" t="n">
        <v>1.25</v>
      </c>
      <c r="G3823" s="0" t="n">
        <v>12681</v>
      </c>
      <c r="H3823" s="0" t="s">
        <v>43</v>
      </c>
      <c r="I3823" s="7" t="n">
        <f aca="false">IF(AND(LEFT(A3823,1)&lt;&gt;"C",D3823&gt;0,F3823&gt;0),1,0)</f>
        <v>1</v>
      </c>
      <c r="J3823" s="7" t="n">
        <f aca="false">IF(I3823=1,D3823*F3823,0)</f>
        <v>15</v>
      </c>
      <c r="K3823" s="7" t="n">
        <f aca="false">YEAR(E3823)*100+MONTH(E3823)</f>
        <v>201110</v>
      </c>
      <c r="L3823" s="7" t="n">
        <f aca="false">IF(AND(A3823&lt;&gt;A3822,LEFT(A3823,1)&lt;&gt;"C"),1,0)</f>
        <v>0</v>
      </c>
    </row>
    <row r="3824" customFormat="false" ht="15" hidden="false" customHeight="false" outlineLevel="0" collapsed="false">
      <c r="A3824" s="0" t="s">
        <v>2562</v>
      </c>
      <c r="B3824" s="0" t="s">
        <v>1360</v>
      </c>
      <c r="C3824" s="0" t="s">
        <v>1361</v>
      </c>
      <c r="D3824" s="0" t="n">
        <v>8</v>
      </c>
      <c r="E3824" s="6" t="n">
        <v>40843.4520833333</v>
      </c>
      <c r="F3824" s="0" t="n">
        <v>0.85</v>
      </c>
      <c r="G3824" s="0" t="n">
        <v>12681</v>
      </c>
      <c r="H3824" s="0" t="s">
        <v>43</v>
      </c>
      <c r="I3824" s="7" t="n">
        <f aca="false">IF(AND(LEFT(A3824,1)&lt;&gt;"C",D3824&gt;0,F3824&gt;0),1,0)</f>
        <v>1</v>
      </c>
      <c r="J3824" s="7" t="n">
        <f aca="false">IF(I3824=1,D3824*F3824,0)</f>
        <v>6.8</v>
      </c>
      <c r="K3824" s="7" t="n">
        <f aca="false">YEAR(E3824)*100+MONTH(E3824)</f>
        <v>201110</v>
      </c>
      <c r="L3824" s="7" t="n">
        <f aca="false">IF(AND(A3824&lt;&gt;A3823,LEFT(A3824,1)&lt;&gt;"C"),1,0)</f>
        <v>0</v>
      </c>
    </row>
    <row r="3825" customFormat="false" ht="15" hidden="false" customHeight="false" outlineLevel="0" collapsed="false">
      <c r="A3825" s="0" t="s">
        <v>2562</v>
      </c>
      <c r="B3825" s="0" t="s">
        <v>2567</v>
      </c>
      <c r="C3825" s="0" t="s">
        <v>2568</v>
      </c>
      <c r="D3825" s="0" t="n">
        <v>4</v>
      </c>
      <c r="E3825" s="6" t="n">
        <v>40843.4520833333</v>
      </c>
      <c r="F3825" s="0" t="n">
        <v>9.95</v>
      </c>
      <c r="G3825" s="0" t="n">
        <v>12681</v>
      </c>
      <c r="H3825" s="0" t="s">
        <v>43</v>
      </c>
      <c r="I3825" s="7" t="n">
        <f aca="false">IF(AND(LEFT(A3825,1)&lt;&gt;"C",D3825&gt;0,F3825&gt;0),1,0)</f>
        <v>1</v>
      </c>
      <c r="J3825" s="7" t="n">
        <f aca="false">IF(I3825=1,D3825*F3825,0)</f>
        <v>39.8</v>
      </c>
      <c r="K3825" s="7" t="n">
        <f aca="false">YEAR(E3825)*100+MONTH(E3825)</f>
        <v>201110</v>
      </c>
      <c r="L3825" s="7" t="n">
        <f aca="false">IF(AND(A3825&lt;&gt;A3824,LEFT(A3825,1)&lt;&gt;"C"),1,0)</f>
        <v>0</v>
      </c>
    </row>
    <row r="3826" customFormat="false" ht="15" hidden="false" customHeight="false" outlineLevel="0" collapsed="false">
      <c r="A3826" s="0" t="s">
        <v>2562</v>
      </c>
      <c r="B3826" s="0" t="s">
        <v>203</v>
      </c>
      <c r="C3826" s="0" t="s">
        <v>204</v>
      </c>
      <c r="D3826" s="0" t="n">
        <v>24</v>
      </c>
      <c r="E3826" s="6" t="n">
        <v>40843.4520833333</v>
      </c>
      <c r="F3826" s="0" t="n">
        <v>0.39</v>
      </c>
      <c r="G3826" s="0" t="n">
        <v>12681</v>
      </c>
      <c r="H3826" s="0" t="s">
        <v>43</v>
      </c>
      <c r="I3826" s="7" t="n">
        <f aca="false">IF(AND(LEFT(A3826,1)&lt;&gt;"C",D3826&gt;0,F3826&gt;0),1,0)</f>
        <v>1</v>
      </c>
      <c r="J3826" s="7" t="n">
        <f aca="false">IF(I3826=1,D3826*F3826,0)</f>
        <v>9.36</v>
      </c>
      <c r="K3826" s="7" t="n">
        <f aca="false">YEAR(E3826)*100+MONTH(E3826)</f>
        <v>201110</v>
      </c>
      <c r="L3826" s="7" t="n">
        <f aca="false">IF(AND(A3826&lt;&gt;A3825,LEFT(A3826,1)&lt;&gt;"C"),1,0)</f>
        <v>0</v>
      </c>
    </row>
    <row r="3827" customFormat="false" ht="15" hidden="false" customHeight="false" outlineLevel="0" collapsed="false">
      <c r="A3827" s="0" t="s">
        <v>2562</v>
      </c>
      <c r="B3827" s="0" t="s">
        <v>219</v>
      </c>
      <c r="C3827" s="0" t="s">
        <v>220</v>
      </c>
      <c r="D3827" s="0" t="n">
        <v>24</v>
      </c>
      <c r="E3827" s="6" t="n">
        <v>40843.4520833333</v>
      </c>
      <c r="F3827" s="0" t="n">
        <v>0.55</v>
      </c>
      <c r="G3827" s="0" t="n">
        <v>12681</v>
      </c>
      <c r="H3827" s="0" t="s">
        <v>43</v>
      </c>
      <c r="I3827" s="7" t="n">
        <f aca="false">IF(AND(LEFT(A3827,1)&lt;&gt;"C",D3827&gt;0,F3827&gt;0),1,0)</f>
        <v>1</v>
      </c>
      <c r="J3827" s="7" t="n">
        <f aca="false">IF(I3827=1,D3827*F3827,0)</f>
        <v>13.2</v>
      </c>
      <c r="K3827" s="7" t="n">
        <f aca="false">YEAR(E3827)*100+MONTH(E3827)</f>
        <v>201110</v>
      </c>
      <c r="L3827" s="7" t="n">
        <f aca="false">IF(AND(A3827&lt;&gt;A3826,LEFT(A3827,1)&lt;&gt;"C"),1,0)</f>
        <v>0</v>
      </c>
    </row>
    <row r="3828" customFormat="false" ht="15" hidden="false" customHeight="false" outlineLevel="0" collapsed="false">
      <c r="A3828" s="0" t="s">
        <v>2562</v>
      </c>
      <c r="B3828" s="0" t="s">
        <v>1399</v>
      </c>
      <c r="C3828" s="0" t="s">
        <v>1400</v>
      </c>
      <c r="D3828" s="0" t="n">
        <v>6</v>
      </c>
      <c r="E3828" s="6" t="n">
        <v>40843.4520833333</v>
      </c>
      <c r="F3828" s="0" t="n">
        <v>2.95</v>
      </c>
      <c r="G3828" s="0" t="n">
        <v>12681</v>
      </c>
      <c r="H3828" s="0" t="s">
        <v>43</v>
      </c>
      <c r="I3828" s="7" t="n">
        <f aca="false">IF(AND(LEFT(A3828,1)&lt;&gt;"C",D3828&gt;0,F3828&gt;0),1,0)</f>
        <v>1</v>
      </c>
      <c r="J3828" s="7" t="n">
        <f aca="false">IF(I3828=1,D3828*F3828,0)</f>
        <v>17.7</v>
      </c>
      <c r="K3828" s="7" t="n">
        <f aca="false">YEAR(E3828)*100+MONTH(E3828)</f>
        <v>201110</v>
      </c>
      <c r="L3828" s="7" t="n">
        <f aca="false">IF(AND(A3828&lt;&gt;A3827,LEFT(A3828,1)&lt;&gt;"C"),1,0)</f>
        <v>0</v>
      </c>
    </row>
    <row r="3829" customFormat="false" ht="15" hidden="false" customHeight="false" outlineLevel="0" collapsed="false">
      <c r="A3829" s="0" t="s">
        <v>2562</v>
      </c>
      <c r="B3829" s="0" t="s">
        <v>1919</v>
      </c>
      <c r="C3829" s="0" t="s">
        <v>1920</v>
      </c>
      <c r="D3829" s="0" t="n">
        <v>12</v>
      </c>
      <c r="E3829" s="6" t="n">
        <v>40843.4520833333</v>
      </c>
      <c r="F3829" s="0" t="n">
        <v>1.25</v>
      </c>
      <c r="G3829" s="0" t="n">
        <v>12681</v>
      </c>
      <c r="H3829" s="0" t="s">
        <v>43</v>
      </c>
      <c r="I3829" s="7" t="n">
        <f aca="false">IF(AND(LEFT(A3829,1)&lt;&gt;"C",D3829&gt;0,F3829&gt;0),1,0)</f>
        <v>1</v>
      </c>
      <c r="J3829" s="7" t="n">
        <f aca="false">IF(I3829=1,D3829*F3829,0)</f>
        <v>15</v>
      </c>
      <c r="K3829" s="7" t="n">
        <f aca="false">YEAR(E3829)*100+MONTH(E3829)</f>
        <v>201110</v>
      </c>
      <c r="L3829" s="7" t="n">
        <f aca="false">IF(AND(A3829&lt;&gt;A3828,LEFT(A3829,1)&lt;&gt;"C"),1,0)</f>
        <v>0</v>
      </c>
    </row>
    <row r="3830" customFormat="false" ht="15" hidden="false" customHeight="false" outlineLevel="0" collapsed="false">
      <c r="A3830" s="0" t="s">
        <v>2562</v>
      </c>
      <c r="B3830" s="0" t="s">
        <v>430</v>
      </c>
      <c r="C3830" s="0" t="s">
        <v>431</v>
      </c>
      <c r="D3830" s="0" t="n">
        <v>12</v>
      </c>
      <c r="E3830" s="6" t="n">
        <v>40843.4520833333</v>
      </c>
      <c r="F3830" s="0" t="n">
        <v>1.65</v>
      </c>
      <c r="G3830" s="0" t="n">
        <v>12681</v>
      </c>
      <c r="H3830" s="0" t="s">
        <v>43</v>
      </c>
      <c r="I3830" s="7" t="n">
        <f aca="false">IF(AND(LEFT(A3830,1)&lt;&gt;"C",D3830&gt;0,F3830&gt;0),1,0)</f>
        <v>1</v>
      </c>
      <c r="J3830" s="7" t="n">
        <f aca="false">IF(I3830=1,D3830*F3830,0)</f>
        <v>19.8</v>
      </c>
      <c r="K3830" s="7" t="n">
        <f aca="false">YEAR(E3830)*100+MONTH(E3830)</f>
        <v>201110</v>
      </c>
      <c r="L3830" s="7" t="n">
        <f aca="false">IF(AND(A3830&lt;&gt;A3829,LEFT(A3830,1)&lt;&gt;"C"),1,0)</f>
        <v>0</v>
      </c>
    </row>
    <row r="3831" customFormat="false" ht="15" hidden="false" customHeight="false" outlineLevel="0" collapsed="false">
      <c r="A3831" s="0" t="s">
        <v>2562</v>
      </c>
      <c r="B3831" s="0" t="s">
        <v>1728</v>
      </c>
      <c r="C3831" s="0" t="s">
        <v>1729</v>
      </c>
      <c r="D3831" s="0" t="n">
        <v>12</v>
      </c>
      <c r="E3831" s="6" t="n">
        <v>40843.4520833333</v>
      </c>
      <c r="F3831" s="0" t="n">
        <v>1.65</v>
      </c>
      <c r="G3831" s="0" t="n">
        <v>12681</v>
      </c>
      <c r="H3831" s="0" t="s">
        <v>43</v>
      </c>
      <c r="I3831" s="7" t="n">
        <f aca="false">IF(AND(LEFT(A3831,1)&lt;&gt;"C",D3831&gt;0,F3831&gt;0),1,0)</f>
        <v>1</v>
      </c>
      <c r="J3831" s="7" t="n">
        <f aca="false">IF(I3831=1,D3831*F3831,0)</f>
        <v>19.8</v>
      </c>
      <c r="K3831" s="7" t="n">
        <f aca="false">YEAR(E3831)*100+MONTH(E3831)</f>
        <v>201110</v>
      </c>
      <c r="L3831" s="7" t="n">
        <f aca="false">IF(AND(A3831&lt;&gt;A3830,LEFT(A3831,1)&lt;&gt;"C"),1,0)</f>
        <v>0</v>
      </c>
    </row>
    <row r="3832" customFormat="false" ht="15" hidden="false" customHeight="false" outlineLevel="0" collapsed="false">
      <c r="A3832" s="0" t="s">
        <v>2562</v>
      </c>
      <c r="B3832" s="0" t="s">
        <v>471</v>
      </c>
      <c r="C3832" s="0" t="s">
        <v>472</v>
      </c>
      <c r="D3832" s="0" t="n">
        <v>12</v>
      </c>
      <c r="E3832" s="6" t="n">
        <v>40843.4520833333</v>
      </c>
      <c r="F3832" s="0" t="n">
        <v>1.65</v>
      </c>
      <c r="G3832" s="0" t="n">
        <v>12681</v>
      </c>
      <c r="H3832" s="0" t="s">
        <v>43</v>
      </c>
      <c r="I3832" s="7" t="n">
        <f aca="false">IF(AND(LEFT(A3832,1)&lt;&gt;"C",D3832&gt;0,F3832&gt;0),1,0)</f>
        <v>1</v>
      </c>
      <c r="J3832" s="7" t="n">
        <f aca="false">IF(I3832=1,D3832*F3832,0)</f>
        <v>19.8</v>
      </c>
      <c r="K3832" s="7" t="n">
        <f aca="false">YEAR(E3832)*100+MONTH(E3832)</f>
        <v>201110</v>
      </c>
      <c r="L3832" s="7" t="n">
        <f aca="false">IF(AND(A3832&lt;&gt;A3831,LEFT(A3832,1)&lt;&gt;"C"),1,0)</f>
        <v>0</v>
      </c>
    </row>
    <row r="3833" customFormat="false" ht="15" hidden="false" customHeight="false" outlineLevel="0" collapsed="false">
      <c r="A3833" s="0" t="s">
        <v>2562</v>
      </c>
      <c r="B3833" s="0" t="s">
        <v>335</v>
      </c>
      <c r="C3833" s="0" t="s">
        <v>336</v>
      </c>
      <c r="D3833" s="0" t="n">
        <v>12</v>
      </c>
      <c r="E3833" s="6" t="n">
        <v>40843.4520833333</v>
      </c>
      <c r="F3833" s="0" t="n">
        <v>1.65</v>
      </c>
      <c r="G3833" s="0" t="n">
        <v>12681</v>
      </c>
      <c r="H3833" s="0" t="s">
        <v>43</v>
      </c>
      <c r="I3833" s="7" t="n">
        <f aca="false">IF(AND(LEFT(A3833,1)&lt;&gt;"C",D3833&gt;0,F3833&gt;0),1,0)</f>
        <v>1</v>
      </c>
      <c r="J3833" s="7" t="n">
        <f aca="false">IF(I3833=1,D3833*F3833,0)</f>
        <v>19.8</v>
      </c>
      <c r="K3833" s="7" t="n">
        <f aca="false">YEAR(E3833)*100+MONTH(E3833)</f>
        <v>201110</v>
      </c>
      <c r="L3833" s="7" t="n">
        <f aca="false">IF(AND(A3833&lt;&gt;A3832,LEFT(A3833,1)&lt;&gt;"C"),1,0)</f>
        <v>0</v>
      </c>
    </row>
    <row r="3834" customFormat="false" ht="15" hidden="false" customHeight="false" outlineLevel="0" collapsed="false">
      <c r="A3834" s="0" t="s">
        <v>2562</v>
      </c>
      <c r="B3834" s="0" t="s">
        <v>418</v>
      </c>
      <c r="C3834" s="0" t="s">
        <v>419</v>
      </c>
      <c r="D3834" s="0" t="n">
        <v>6</v>
      </c>
      <c r="E3834" s="6" t="n">
        <v>40843.4520833333</v>
      </c>
      <c r="F3834" s="0" t="n">
        <v>3.25</v>
      </c>
      <c r="G3834" s="0" t="n">
        <v>12681</v>
      </c>
      <c r="H3834" s="0" t="s">
        <v>43</v>
      </c>
      <c r="I3834" s="7" t="n">
        <f aca="false">IF(AND(LEFT(A3834,1)&lt;&gt;"C",D3834&gt;0,F3834&gt;0),1,0)</f>
        <v>1</v>
      </c>
      <c r="J3834" s="7" t="n">
        <f aca="false">IF(I3834=1,D3834*F3834,0)</f>
        <v>19.5</v>
      </c>
      <c r="K3834" s="7" t="n">
        <f aca="false">YEAR(E3834)*100+MONTH(E3834)</f>
        <v>201110</v>
      </c>
      <c r="L3834" s="7" t="n">
        <f aca="false">IF(AND(A3834&lt;&gt;A3833,LEFT(A3834,1)&lt;&gt;"C"),1,0)</f>
        <v>0</v>
      </c>
    </row>
    <row r="3835" customFormat="false" ht="15" hidden="false" customHeight="false" outlineLevel="0" collapsed="false">
      <c r="A3835" s="0" t="s">
        <v>2562</v>
      </c>
      <c r="B3835" s="0" t="s">
        <v>64</v>
      </c>
      <c r="C3835" s="0" t="s">
        <v>65</v>
      </c>
      <c r="D3835" s="0" t="n">
        <v>24</v>
      </c>
      <c r="E3835" s="6" t="n">
        <v>40843.4520833333</v>
      </c>
      <c r="F3835" s="0" t="n">
        <v>1.65</v>
      </c>
      <c r="G3835" s="0" t="n">
        <v>12681</v>
      </c>
      <c r="H3835" s="0" t="s">
        <v>43</v>
      </c>
      <c r="I3835" s="7" t="n">
        <f aca="false">IF(AND(LEFT(A3835,1)&lt;&gt;"C",D3835&gt;0,F3835&gt;0),1,0)</f>
        <v>1</v>
      </c>
      <c r="J3835" s="7" t="n">
        <f aca="false">IF(I3835=1,D3835*F3835,0)</f>
        <v>39.6</v>
      </c>
      <c r="K3835" s="7" t="n">
        <f aca="false">YEAR(E3835)*100+MONTH(E3835)</f>
        <v>201110</v>
      </c>
      <c r="L3835" s="7" t="n">
        <f aca="false">IF(AND(A3835&lt;&gt;A3834,LEFT(A3835,1)&lt;&gt;"C"),1,0)</f>
        <v>0</v>
      </c>
    </row>
    <row r="3836" customFormat="false" ht="15" hidden="false" customHeight="false" outlineLevel="0" collapsed="false">
      <c r="A3836" s="0" t="s">
        <v>2562</v>
      </c>
      <c r="B3836" s="0" t="s">
        <v>363</v>
      </c>
      <c r="C3836" s="0" t="s">
        <v>364</v>
      </c>
      <c r="D3836" s="0" t="n">
        <v>6</v>
      </c>
      <c r="E3836" s="6" t="n">
        <v>40843.4520833333</v>
      </c>
      <c r="F3836" s="0" t="n">
        <v>2.25</v>
      </c>
      <c r="G3836" s="0" t="n">
        <v>12681</v>
      </c>
      <c r="H3836" s="0" t="s">
        <v>43</v>
      </c>
      <c r="I3836" s="7" t="n">
        <f aca="false">IF(AND(LEFT(A3836,1)&lt;&gt;"C",D3836&gt;0,F3836&gt;0),1,0)</f>
        <v>1</v>
      </c>
      <c r="J3836" s="7" t="n">
        <f aca="false">IF(I3836=1,D3836*F3836,0)</f>
        <v>13.5</v>
      </c>
      <c r="K3836" s="7" t="n">
        <f aca="false">YEAR(E3836)*100+MONTH(E3836)</f>
        <v>201110</v>
      </c>
      <c r="L3836" s="7" t="n">
        <f aca="false">IF(AND(A3836&lt;&gt;A3835,LEFT(A3836,1)&lt;&gt;"C"),1,0)</f>
        <v>0</v>
      </c>
    </row>
    <row r="3837" customFormat="false" ht="15" hidden="false" customHeight="false" outlineLevel="0" collapsed="false">
      <c r="A3837" s="0" t="s">
        <v>2562</v>
      </c>
      <c r="B3837" s="0" t="s">
        <v>84</v>
      </c>
      <c r="C3837" s="0" t="s">
        <v>85</v>
      </c>
      <c r="D3837" s="0" t="n">
        <v>3</v>
      </c>
      <c r="E3837" s="6" t="n">
        <v>40843.4520833333</v>
      </c>
      <c r="F3837" s="0" t="n">
        <v>18</v>
      </c>
      <c r="G3837" s="0" t="n">
        <v>12681</v>
      </c>
      <c r="H3837" s="0" t="s">
        <v>43</v>
      </c>
      <c r="I3837" s="7" t="n">
        <f aca="false">IF(AND(LEFT(A3837,1)&lt;&gt;"C",D3837&gt;0,F3837&gt;0),1,0)</f>
        <v>1</v>
      </c>
      <c r="J3837" s="7" t="n">
        <f aca="false">IF(I3837=1,D3837*F3837,0)</f>
        <v>54</v>
      </c>
      <c r="K3837" s="7" t="n">
        <f aca="false">YEAR(E3837)*100+MONTH(E3837)</f>
        <v>201110</v>
      </c>
      <c r="L3837" s="7" t="n">
        <f aca="false">IF(AND(A3837&lt;&gt;A3836,LEFT(A3837,1)&lt;&gt;"C"),1,0)</f>
        <v>0</v>
      </c>
    </row>
    <row r="3838" customFormat="false" ht="15" hidden="false" customHeight="false" outlineLevel="0" collapsed="false">
      <c r="A3838" s="0" t="s">
        <v>2569</v>
      </c>
      <c r="B3838" s="0" t="s">
        <v>62</v>
      </c>
      <c r="C3838" s="0" t="s">
        <v>63</v>
      </c>
      <c r="D3838" s="0" t="n">
        <v>48</v>
      </c>
      <c r="E3838" s="6" t="n">
        <v>40843.45625</v>
      </c>
      <c r="F3838" s="0" t="n">
        <v>1.79</v>
      </c>
      <c r="G3838" s="0" t="n">
        <v>12681</v>
      </c>
      <c r="H3838" s="0" t="s">
        <v>43</v>
      </c>
      <c r="I3838" s="7" t="n">
        <f aca="false">IF(AND(LEFT(A3838,1)&lt;&gt;"C",D3838&gt;0,F3838&gt;0),1,0)</f>
        <v>1</v>
      </c>
      <c r="J3838" s="7" t="n">
        <f aca="false">IF(I3838=1,D3838*F3838,0)</f>
        <v>85.92</v>
      </c>
      <c r="K3838" s="7" t="n">
        <f aca="false">YEAR(E3838)*100+MONTH(E3838)</f>
        <v>201110</v>
      </c>
      <c r="L3838" s="7" t="n">
        <f aca="false">IF(AND(A3838&lt;&gt;A3837,LEFT(A3838,1)&lt;&gt;"C"),1,0)</f>
        <v>1</v>
      </c>
    </row>
    <row r="3839" customFormat="false" ht="15" hidden="false" customHeight="false" outlineLevel="0" collapsed="false">
      <c r="A3839" s="0" t="s">
        <v>2569</v>
      </c>
      <c r="B3839" s="0" t="s">
        <v>84</v>
      </c>
      <c r="C3839" s="0" t="s">
        <v>85</v>
      </c>
      <c r="D3839" s="0" t="n">
        <v>2</v>
      </c>
      <c r="E3839" s="6" t="n">
        <v>40843.45625</v>
      </c>
      <c r="F3839" s="0" t="n">
        <v>18</v>
      </c>
      <c r="G3839" s="0" t="n">
        <v>12681</v>
      </c>
      <c r="H3839" s="0" t="s">
        <v>43</v>
      </c>
      <c r="I3839" s="7" t="n">
        <f aca="false">IF(AND(LEFT(A3839,1)&lt;&gt;"C",D3839&gt;0,F3839&gt;0),1,0)</f>
        <v>1</v>
      </c>
      <c r="J3839" s="7" t="n">
        <f aca="false">IF(I3839=1,D3839*F3839,0)</f>
        <v>36</v>
      </c>
      <c r="K3839" s="7" t="n">
        <f aca="false">YEAR(E3839)*100+MONTH(E3839)</f>
        <v>201110</v>
      </c>
      <c r="L3839" s="7" t="n">
        <f aca="false">IF(AND(A3839&lt;&gt;A3838,LEFT(A3839,1)&lt;&gt;"C"),1,0)</f>
        <v>0</v>
      </c>
    </row>
    <row r="3840" customFormat="false" ht="15" hidden="false" customHeight="false" outlineLevel="0" collapsed="false">
      <c r="A3840" s="0" t="s">
        <v>2570</v>
      </c>
      <c r="B3840" s="0" t="s">
        <v>84</v>
      </c>
      <c r="C3840" s="0" t="s">
        <v>85</v>
      </c>
      <c r="D3840" s="0" t="n">
        <v>2</v>
      </c>
      <c r="E3840" s="6" t="n">
        <v>40843.5722222222</v>
      </c>
      <c r="F3840" s="0" t="n">
        <v>18</v>
      </c>
      <c r="G3840" s="0" t="n">
        <v>12437</v>
      </c>
      <c r="H3840" s="0" t="s">
        <v>43</v>
      </c>
      <c r="I3840" s="7" t="n">
        <f aca="false">IF(AND(LEFT(A3840,1)&lt;&gt;"C",D3840&gt;0,F3840&gt;0),1,0)</f>
        <v>1</v>
      </c>
      <c r="J3840" s="7" t="n">
        <f aca="false">IF(I3840=1,D3840*F3840,0)</f>
        <v>36</v>
      </c>
      <c r="K3840" s="7" t="n">
        <f aca="false">YEAR(E3840)*100+MONTH(E3840)</f>
        <v>201110</v>
      </c>
      <c r="L3840" s="7" t="n">
        <f aca="false">IF(AND(A3840&lt;&gt;A3839,LEFT(A3840,1)&lt;&gt;"C"),1,0)</f>
        <v>1</v>
      </c>
    </row>
    <row r="3841" customFormat="false" ht="15" hidden="false" customHeight="false" outlineLevel="0" collapsed="false">
      <c r="A3841" s="0" t="s">
        <v>2570</v>
      </c>
      <c r="B3841" s="0" t="s">
        <v>123</v>
      </c>
      <c r="C3841" s="0" t="s">
        <v>124</v>
      </c>
      <c r="D3841" s="0" t="n">
        <v>6</v>
      </c>
      <c r="E3841" s="6" t="n">
        <v>40843.5722222222</v>
      </c>
      <c r="F3841" s="0" t="n">
        <v>2.95</v>
      </c>
      <c r="G3841" s="0" t="n">
        <v>12437</v>
      </c>
      <c r="H3841" s="0" t="s">
        <v>43</v>
      </c>
      <c r="I3841" s="7" t="n">
        <f aca="false">IF(AND(LEFT(A3841,1)&lt;&gt;"C",D3841&gt;0,F3841&gt;0),1,0)</f>
        <v>1</v>
      </c>
      <c r="J3841" s="7" t="n">
        <f aca="false">IF(I3841=1,D3841*F3841,0)</f>
        <v>17.7</v>
      </c>
      <c r="K3841" s="7" t="n">
        <f aca="false">YEAR(E3841)*100+MONTH(E3841)</f>
        <v>201110</v>
      </c>
      <c r="L3841" s="7" t="n">
        <f aca="false">IF(AND(A3841&lt;&gt;A3840,LEFT(A3841,1)&lt;&gt;"C"),1,0)</f>
        <v>0</v>
      </c>
    </row>
    <row r="3842" customFormat="false" ht="15" hidden="false" customHeight="false" outlineLevel="0" collapsed="false">
      <c r="A3842" s="0" t="s">
        <v>2570</v>
      </c>
      <c r="B3842" s="0" t="s">
        <v>62</v>
      </c>
      <c r="C3842" s="0" t="s">
        <v>63</v>
      </c>
      <c r="D3842" s="0" t="n">
        <v>24</v>
      </c>
      <c r="E3842" s="6" t="n">
        <v>40843.5722222222</v>
      </c>
      <c r="F3842" s="0" t="n">
        <v>1.79</v>
      </c>
      <c r="G3842" s="0" t="n">
        <v>12437</v>
      </c>
      <c r="H3842" s="0" t="s">
        <v>43</v>
      </c>
      <c r="I3842" s="7" t="n">
        <f aca="false">IF(AND(LEFT(A3842,1)&lt;&gt;"C",D3842&gt;0,F3842&gt;0),1,0)</f>
        <v>1</v>
      </c>
      <c r="J3842" s="7" t="n">
        <f aca="false">IF(I3842=1,D3842*F3842,0)</f>
        <v>42.96</v>
      </c>
      <c r="K3842" s="7" t="n">
        <f aca="false">YEAR(E3842)*100+MONTH(E3842)</f>
        <v>201110</v>
      </c>
      <c r="L3842" s="7" t="n">
        <f aca="false">IF(AND(A3842&lt;&gt;A3841,LEFT(A3842,1)&lt;&gt;"C"),1,0)</f>
        <v>0</v>
      </c>
    </row>
    <row r="3843" customFormat="false" ht="15" hidden="false" customHeight="false" outlineLevel="0" collapsed="false">
      <c r="A3843" s="0" t="s">
        <v>2570</v>
      </c>
      <c r="B3843" s="0" t="s">
        <v>2571</v>
      </c>
      <c r="C3843" s="0" t="s">
        <v>2572</v>
      </c>
      <c r="D3843" s="0" t="n">
        <v>2</v>
      </c>
      <c r="E3843" s="6" t="n">
        <v>40843.5722222222</v>
      </c>
      <c r="F3843" s="0" t="n">
        <v>7.5</v>
      </c>
      <c r="G3843" s="0" t="n">
        <v>12437</v>
      </c>
      <c r="H3843" s="0" t="s">
        <v>43</v>
      </c>
      <c r="I3843" s="7" t="n">
        <f aca="false">IF(AND(LEFT(A3843,1)&lt;&gt;"C",D3843&gt;0,F3843&gt;0),1,0)</f>
        <v>1</v>
      </c>
      <c r="J3843" s="7" t="n">
        <f aca="false">IF(I3843=1,D3843*F3843,0)</f>
        <v>15</v>
      </c>
      <c r="K3843" s="7" t="n">
        <f aca="false">YEAR(E3843)*100+MONTH(E3843)</f>
        <v>201110</v>
      </c>
      <c r="L3843" s="7" t="n">
        <f aca="false">IF(AND(A3843&lt;&gt;A3842,LEFT(A3843,1)&lt;&gt;"C"),1,0)</f>
        <v>0</v>
      </c>
    </row>
    <row r="3844" customFormat="false" ht="15" hidden="false" customHeight="false" outlineLevel="0" collapsed="false">
      <c r="A3844" s="0" t="s">
        <v>2570</v>
      </c>
      <c r="B3844" s="0" t="s">
        <v>1153</v>
      </c>
      <c r="C3844" s="0" t="s">
        <v>1154</v>
      </c>
      <c r="D3844" s="0" t="n">
        <v>2</v>
      </c>
      <c r="E3844" s="6" t="n">
        <v>40843.5722222222</v>
      </c>
      <c r="F3844" s="0" t="n">
        <v>9.95</v>
      </c>
      <c r="G3844" s="0" t="n">
        <v>12437</v>
      </c>
      <c r="H3844" s="0" t="s">
        <v>43</v>
      </c>
      <c r="I3844" s="7" t="n">
        <f aca="false">IF(AND(LEFT(A3844,1)&lt;&gt;"C",D3844&gt;0,F3844&gt;0),1,0)</f>
        <v>1</v>
      </c>
      <c r="J3844" s="7" t="n">
        <f aca="false">IF(I3844=1,D3844*F3844,0)</f>
        <v>19.9</v>
      </c>
      <c r="K3844" s="7" t="n">
        <f aca="false">YEAR(E3844)*100+MONTH(E3844)</f>
        <v>201110</v>
      </c>
      <c r="L3844" s="7" t="n">
        <f aca="false">IF(AND(A3844&lt;&gt;A3843,LEFT(A3844,1)&lt;&gt;"C"),1,0)</f>
        <v>0</v>
      </c>
    </row>
    <row r="3845" customFormat="false" ht="15" hidden="false" customHeight="false" outlineLevel="0" collapsed="false">
      <c r="A3845" s="0" t="s">
        <v>2570</v>
      </c>
      <c r="B3845" s="0" t="s">
        <v>2090</v>
      </c>
      <c r="C3845" s="0" t="s">
        <v>2091</v>
      </c>
      <c r="D3845" s="0" t="n">
        <v>6</v>
      </c>
      <c r="E3845" s="6" t="n">
        <v>40843.5722222222</v>
      </c>
      <c r="F3845" s="0" t="n">
        <v>2.55</v>
      </c>
      <c r="G3845" s="0" t="n">
        <v>12437</v>
      </c>
      <c r="H3845" s="0" t="s">
        <v>43</v>
      </c>
      <c r="I3845" s="7" t="n">
        <f aca="false">IF(AND(LEFT(A3845,1)&lt;&gt;"C",D3845&gt;0,F3845&gt;0),1,0)</f>
        <v>1</v>
      </c>
      <c r="J3845" s="7" t="n">
        <f aca="false">IF(I3845=1,D3845*F3845,0)</f>
        <v>15.3</v>
      </c>
      <c r="K3845" s="7" t="n">
        <f aca="false">YEAR(E3845)*100+MONTH(E3845)</f>
        <v>201110</v>
      </c>
      <c r="L3845" s="7" t="n">
        <f aca="false">IF(AND(A3845&lt;&gt;A3844,LEFT(A3845,1)&lt;&gt;"C"),1,0)</f>
        <v>0</v>
      </c>
    </row>
    <row r="3846" customFormat="false" ht="15" hidden="false" customHeight="false" outlineLevel="0" collapsed="false">
      <c r="A3846" s="0" t="s">
        <v>2570</v>
      </c>
      <c r="B3846" s="0" t="s">
        <v>2092</v>
      </c>
      <c r="C3846" s="0" t="s">
        <v>2093</v>
      </c>
      <c r="D3846" s="0" t="n">
        <v>6</v>
      </c>
      <c r="E3846" s="6" t="n">
        <v>40843.5722222222</v>
      </c>
      <c r="F3846" s="0" t="n">
        <v>2.55</v>
      </c>
      <c r="G3846" s="0" t="n">
        <v>12437</v>
      </c>
      <c r="H3846" s="0" t="s">
        <v>43</v>
      </c>
      <c r="I3846" s="7" t="n">
        <f aca="false">IF(AND(LEFT(A3846,1)&lt;&gt;"C",D3846&gt;0,F3846&gt;0),1,0)</f>
        <v>1</v>
      </c>
      <c r="J3846" s="7" t="n">
        <f aca="false">IF(I3846=1,D3846*F3846,0)</f>
        <v>15.3</v>
      </c>
      <c r="K3846" s="7" t="n">
        <f aca="false">YEAR(E3846)*100+MONTH(E3846)</f>
        <v>201110</v>
      </c>
      <c r="L3846" s="7" t="n">
        <f aca="false">IF(AND(A3846&lt;&gt;A3845,LEFT(A3846,1)&lt;&gt;"C"),1,0)</f>
        <v>0</v>
      </c>
    </row>
    <row r="3847" customFormat="false" ht="15" hidden="false" customHeight="false" outlineLevel="0" collapsed="false">
      <c r="A3847" s="0" t="s">
        <v>2570</v>
      </c>
      <c r="B3847" s="0" t="s">
        <v>1229</v>
      </c>
      <c r="C3847" s="0" t="s">
        <v>1230</v>
      </c>
      <c r="D3847" s="0" t="n">
        <v>4</v>
      </c>
      <c r="E3847" s="6" t="n">
        <v>40843.5722222222</v>
      </c>
      <c r="F3847" s="0" t="n">
        <v>3.95</v>
      </c>
      <c r="G3847" s="0" t="n">
        <v>12437</v>
      </c>
      <c r="H3847" s="0" t="s">
        <v>43</v>
      </c>
      <c r="I3847" s="7" t="n">
        <f aca="false">IF(AND(LEFT(A3847,1)&lt;&gt;"C",D3847&gt;0,F3847&gt;0),1,0)</f>
        <v>1</v>
      </c>
      <c r="J3847" s="7" t="n">
        <f aca="false">IF(I3847=1,D3847*F3847,0)</f>
        <v>15.8</v>
      </c>
      <c r="K3847" s="7" t="n">
        <f aca="false">YEAR(E3847)*100+MONTH(E3847)</f>
        <v>201110</v>
      </c>
      <c r="L3847" s="7" t="n">
        <f aca="false">IF(AND(A3847&lt;&gt;A3846,LEFT(A3847,1)&lt;&gt;"C"),1,0)</f>
        <v>0</v>
      </c>
    </row>
    <row r="3848" customFormat="false" ht="15" hidden="false" customHeight="false" outlineLevel="0" collapsed="false">
      <c r="A3848" s="0" t="s">
        <v>2570</v>
      </c>
      <c r="B3848" s="0" t="s">
        <v>64</v>
      </c>
      <c r="C3848" s="0" t="s">
        <v>65</v>
      </c>
      <c r="D3848" s="0" t="n">
        <v>12</v>
      </c>
      <c r="E3848" s="6" t="n">
        <v>40843.5722222222</v>
      </c>
      <c r="F3848" s="0" t="n">
        <v>1.65</v>
      </c>
      <c r="G3848" s="0" t="n">
        <v>12437</v>
      </c>
      <c r="H3848" s="0" t="s">
        <v>43</v>
      </c>
      <c r="I3848" s="7" t="n">
        <f aca="false">IF(AND(LEFT(A3848,1)&lt;&gt;"C",D3848&gt;0,F3848&gt;0),1,0)</f>
        <v>1</v>
      </c>
      <c r="J3848" s="7" t="n">
        <f aca="false">IF(I3848=1,D3848*F3848,0)</f>
        <v>19.8</v>
      </c>
      <c r="K3848" s="7" t="n">
        <f aca="false">YEAR(E3848)*100+MONTH(E3848)</f>
        <v>201110</v>
      </c>
      <c r="L3848" s="7" t="n">
        <f aca="false">IF(AND(A3848&lt;&gt;A3847,LEFT(A3848,1)&lt;&gt;"C"),1,0)</f>
        <v>0</v>
      </c>
    </row>
    <row r="3849" customFormat="false" ht="15" hidden="false" customHeight="false" outlineLevel="0" collapsed="false">
      <c r="A3849" s="0" t="s">
        <v>2570</v>
      </c>
      <c r="B3849" s="0" t="s">
        <v>1187</v>
      </c>
      <c r="C3849" s="0" t="s">
        <v>1188</v>
      </c>
      <c r="D3849" s="0" t="n">
        <v>6</v>
      </c>
      <c r="E3849" s="6" t="n">
        <v>40843.5722222222</v>
      </c>
      <c r="F3849" s="0" t="n">
        <v>5.95</v>
      </c>
      <c r="G3849" s="0" t="n">
        <v>12437</v>
      </c>
      <c r="H3849" s="0" t="s">
        <v>43</v>
      </c>
      <c r="I3849" s="7" t="n">
        <f aca="false">IF(AND(LEFT(A3849,1)&lt;&gt;"C",D3849&gt;0,F3849&gt;0),1,0)</f>
        <v>1</v>
      </c>
      <c r="J3849" s="7" t="n">
        <f aca="false">IF(I3849=1,D3849*F3849,0)</f>
        <v>35.7</v>
      </c>
      <c r="K3849" s="7" t="n">
        <f aca="false">YEAR(E3849)*100+MONTH(E3849)</f>
        <v>201110</v>
      </c>
      <c r="L3849" s="7" t="n">
        <f aca="false">IF(AND(A3849&lt;&gt;A3848,LEFT(A3849,1)&lt;&gt;"C"),1,0)</f>
        <v>0</v>
      </c>
    </row>
    <row r="3850" customFormat="false" ht="15" hidden="false" customHeight="false" outlineLevel="0" collapsed="false">
      <c r="A3850" s="0" t="s">
        <v>2570</v>
      </c>
      <c r="B3850" s="0" t="s">
        <v>2573</v>
      </c>
      <c r="C3850" s="0" t="s">
        <v>2574</v>
      </c>
      <c r="D3850" s="0" t="n">
        <v>8</v>
      </c>
      <c r="E3850" s="6" t="n">
        <v>40843.5722222222</v>
      </c>
      <c r="F3850" s="0" t="n">
        <v>3.75</v>
      </c>
      <c r="G3850" s="0" t="n">
        <v>12437</v>
      </c>
      <c r="H3850" s="0" t="s">
        <v>43</v>
      </c>
      <c r="I3850" s="7" t="n">
        <f aca="false">IF(AND(LEFT(A3850,1)&lt;&gt;"C",D3850&gt;0,F3850&gt;0),1,0)</f>
        <v>1</v>
      </c>
      <c r="J3850" s="7" t="n">
        <f aca="false">IF(I3850=1,D3850*F3850,0)</f>
        <v>30</v>
      </c>
      <c r="K3850" s="7" t="n">
        <f aca="false">YEAR(E3850)*100+MONTH(E3850)</f>
        <v>201110</v>
      </c>
      <c r="L3850" s="7" t="n">
        <f aca="false">IF(AND(A3850&lt;&gt;A3849,LEFT(A3850,1)&lt;&gt;"C"),1,0)</f>
        <v>0</v>
      </c>
    </row>
    <row r="3851" customFormat="false" ht="15" hidden="false" customHeight="false" outlineLevel="0" collapsed="false">
      <c r="A3851" s="0" t="s">
        <v>2575</v>
      </c>
      <c r="B3851" s="0" t="s">
        <v>136</v>
      </c>
      <c r="C3851" s="0" t="s">
        <v>137</v>
      </c>
      <c r="D3851" s="0" t="n">
        <v>-3</v>
      </c>
      <c r="E3851" s="6" t="n">
        <v>40843.5729166667</v>
      </c>
      <c r="F3851" s="0" t="n">
        <v>4.95</v>
      </c>
      <c r="G3851" s="0" t="n">
        <v>12471</v>
      </c>
      <c r="H3851" s="0" t="s">
        <v>33</v>
      </c>
      <c r="I3851" s="7" t="n">
        <f aca="false">IF(AND(LEFT(A3851,1)&lt;&gt;"C",D3851&gt;0,F3851&gt;0),1,0)</f>
        <v>0</v>
      </c>
      <c r="J3851" s="7" t="n">
        <f aca="false">IF(I3851=1,D3851*F3851,0)</f>
        <v>0</v>
      </c>
      <c r="K3851" s="7" t="n">
        <f aca="false">YEAR(E3851)*100+MONTH(E3851)</f>
        <v>201110</v>
      </c>
      <c r="L3851" s="7" t="n">
        <f aca="false">IF(AND(A3851&lt;&gt;A3850,LEFT(A3851,1)&lt;&gt;"C"),1,0)</f>
        <v>0</v>
      </c>
    </row>
    <row r="3852" customFormat="false" ht="15" hidden="false" customHeight="false" outlineLevel="0" collapsed="false">
      <c r="A3852" s="0" t="s">
        <v>2575</v>
      </c>
      <c r="B3852" s="0" t="s">
        <v>1620</v>
      </c>
      <c r="C3852" s="0" t="s">
        <v>1621</v>
      </c>
      <c r="D3852" s="0" t="n">
        <v>-3</v>
      </c>
      <c r="E3852" s="6" t="n">
        <v>40843.5729166667</v>
      </c>
      <c r="F3852" s="0" t="n">
        <v>0.65</v>
      </c>
      <c r="G3852" s="0" t="n">
        <v>12471</v>
      </c>
      <c r="H3852" s="0" t="s">
        <v>33</v>
      </c>
      <c r="I3852" s="7" t="n">
        <f aca="false">IF(AND(LEFT(A3852,1)&lt;&gt;"C",D3852&gt;0,F3852&gt;0),1,0)</f>
        <v>0</v>
      </c>
      <c r="J3852" s="7" t="n">
        <f aca="false">IF(I3852=1,D3852*F3852,0)</f>
        <v>0</v>
      </c>
      <c r="K3852" s="7" t="n">
        <f aca="false">YEAR(E3852)*100+MONTH(E3852)</f>
        <v>201110</v>
      </c>
      <c r="L3852" s="7" t="n">
        <f aca="false">IF(AND(A3852&lt;&gt;A3851,LEFT(A3852,1)&lt;&gt;"C"),1,0)</f>
        <v>0</v>
      </c>
    </row>
    <row r="3853" customFormat="false" ht="15" hidden="false" customHeight="false" outlineLevel="0" collapsed="false">
      <c r="A3853" s="0" t="s">
        <v>2575</v>
      </c>
      <c r="B3853" s="0" t="s">
        <v>142</v>
      </c>
      <c r="C3853" s="0" t="s">
        <v>143</v>
      </c>
      <c r="D3853" s="0" t="n">
        <v>-6</v>
      </c>
      <c r="E3853" s="6" t="n">
        <v>40843.5729166667</v>
      </c>
      <c r="F3853" s="0" t="n">
        <v>1.45</v>
      </c>
      <c r="G3853" s="0" t="n">
        <v>12471</v>
      </c>
      <c r="H3853" s="0" t="s">
        <v>33</v>
      </c>
      <c r="I3853" s="7" t="n">
        <f aca="false">IF(AND(LEFT(A3853,1)&lt;&gt;"C",D3853&gt;0,F3853&gt;0),1,0)</f>
        <v>0</v>
      </c>
      <c r="J3853" s="7" t="n">
        <f aca="false">IF(I3853=1,D3853*F3853,0)</f>
        <v>0</v>
      </c>
      <c r="K3853" s="7" t="n">
        <f aca="false">YEAR(E3853)*100+MONTH(E3853)</f>
        <v>201110</v>
      </c>
      <c r="L3853" s="7" t="n">
        <f aca="false">IF(AND(A3853&lt;&gt;A3852,LEFT(A3853,1)&lt;&gt;"C"),1,0)</f>
        <v>0</v>
      </c>
    </row>
    <row r="3854" customFormat="false" ht="15" hidden="false" customHeight="false" outlineLevel="0" collapsed="false">
      <c r="A3854" s="0" t="s">
        <v>2575</v>
      </c>
      <c r="B3854" s="0" t="s">
        <v>144</v>
      </c>
      <c r="C3854" s="0" t="s">
        <v>2576</v>
      </c>
      <c r="D3854" s="0" t="n">
        <v>-2</v>
      </c>
      <c r="E3854" s="6" t="n">
        <v>40843.5729166667</v>
      </c>
      <c r="F3854" s="0" t="n">
        <v>1.25</v>
      </c>
      <c r="G3854" s="0" t="n">
        <v>12471</v>
      </c>
      <c r="H3854" s="0" t="s">
        <v>33</v>
      </c>
      <c r="I3854" s="7" t="n">
        <f aca="false">IF(AND(LEFT(A3854,1)&lt;&gt;"C",D3854&gt;0,F3854&gt;0),1,0)</f>
        <v>0</v>
      </c>
      <c r="J3854" s="7" t="n">
        <f aca="false">IF(I3854=1,D3854*F3854,0)</f>
        <v>0</v>
      </c>
      <c r="K3854" s="7" t="n">
        <f aca="false">YEAR(E3854)*100+MONTH(E3854)</f>
        <v>201110</v>
      </c>
      <c r="L3854" s="7" t="n">
        <f aca="false">IF(AND(A3854&lt;&gt;A3853,LEFT(A3854,1)&lt;&gt;"C"),1,0)</f>
        <v>0</v>
      </c>
    </row>
    <row r="3855" customFormat="false" ht="15" hidden="false" customHeight="false" outlineLevel="0" collapsed="false">
      <c r="A3855" s="0" t="s">
        <v>2575</v>
      </c>
      <c r="B3855" s="0" t="s">
        <v>857</v>
      </c>
      <c r="C3855" s="0" t="s">
        <v>858</v>
      </c>
      <c r="D3855" s="0" t="n">
        <v>-1</v>
      </c>
      <c r="E3855" s="6" t="n">
        <v>40843.5729166667</v>
      </c>
      <c r="F3855" s="0" t="n">
        <v>0.83</v>
      </c>
      <c r="G3855" s="0" t="n">
        <v>12471</v>
      </c>
      <c r="H3855" s="0" t="s">
        <v>33</v>
      </c>
      <c r="I3855" s="7" t="n">
        <f aca="false">IF(AND(LEFT(A3855,1)&lt;&gt;"C",D3855&gt;0,F3855&gt;0),1,0)</f>
        <v>0</v>
      </c>
      <c r="J3855" s="7" t="n">
        <f aca="false">IF(I3855=1,D3855*F3855,0)</f>
        <v>0</v>
      </c>
      <c r="K3855" s="7" t="n">
        <f aca="false">YEAR(E3855)*100+MONTH(E3855)</f>
        <v>201110</v>
      </c>
      <c r="L3855" s="7" t="n">
        <f aca="false">IF(AND(A3855&lt;&gt;A3854,LEFT(A3855,1)&lt;&gt;"C"),1,0)</f>
        <v>0</v>
      </c>
    </row>
    <row r="3856" customFormat="false" ht="15" hidden="false" customHeight="false" outlineLevel="0" collapsed="false">
      <c r="A3856" s="0" t="s">
        <v>2575</v>
      </c>
      <c r="B3856" s="0" t="s">
        <v>659</v>
      </c>
      <c r="C3856" s="0" t="s">
        <v>660</v>
      </c>
      <c r="D3856" s="0" t="n">
        <v>-2</v>
      </c>
      <c r="E3856" s="6" t="n">
        <v>40843.5729166667</v>
      </c>
      <c r="F3856" s="0" t="n">
        <v>4.15</v>
      </c>
      <c r="G3856" s="0" t="n">
        <v>12471</v>
      </c>
      <c r="H3856" s="0" t="s">
        <v>33</v>
      </c>
      <c r="I3856" s="7" t="n">
        <f aca="false">IF(AND(LEFT(A3856,1)&lt;&gt;"C",D3856&gt;0,F3856&gt;0),1,0)</f>
        <v>0</v>
      </c>
      <c r="J3856" s="7" t="n">
        <f aca="false">IF(I3856=1,D3856*F3856,0)</f>
        <v>0</v>
      </c>
      <c r="K3856" s="7" t="n">
        <f aca="false">YEAR(E3856)*100+MONTH(E3856)</f>
        <v>201110</v>
      </c>
      <c r="L3856" s="7" t="n">
        <f aca="false">IF(AND(A3856&lt;&gt;A3855,LEFT(A3856,1)&lt;&gt;"C"),1,0)</f>
        <v>0</v>
      </c>
    </row>
    <row r="3857" customFormat="false" ht="15" hidden="false" customHeight="false" outlineLevel="0" collapsed="false">
      <c r="A3857" s="0" t="s">
        <v>2575</v>
      </c>
      <c r="B3857" s="0" t="s">
        <v>148</v>
      </c>
      <c r="C3857" s="0" t="s">
        <v>149</v>
      </c>
      <c r="D3857" s="0" t="n">
        <v>-11</v>
      </c>
      <c r="E3857" s="6" t="n">
        <v>40843.5729166667</v>
      </c>
      <c r="F3857" s="0" t="n">
        <v>10.95</v>
      </c>
      <c r="G3857" s="0" t="n">
        <v>12471</v>
      </c>
      <c r="H3857" s="0" t="s">
        <v>33</v>
      </c>
      <c r="I3857" s="7" t="n">
        <f aca="false">IF(AND(LEFT(A3857,1)&lt;&gt;"C",D3857&gt;0,F3857&gt;0),1,0)</f>
        <v>0</v>
      </c>
      <c r="J3857" s="7" t="n">
        <f aca="false">IF(I3857=1,D3857*F3857,0)</f>
        <v>0</v>
      </c>
      <c r="K3857" s="7" t="n">
        <f aca="false">YEAR(E3857)*100+MONTH(E3857)</f>
        <v>201110</v>
      </c>
      <c r="L3857" s="7" t="n">
        <f aca="false">IF(AND(A3857&lt;&gt;A3856,LEFT(A3857,1)&lt;&gt;"C"),1,0)</f>
        <v>0</v>
      </c>
    </row>
    <row r="3858" customFormat="false" ht="15" hidden="false" customHeight="false" outlineLevel="0" collapsed="false">
      <c r="A3858" s="0" t="s">
        <v>2575</v>
      </c>
      <c r="B3858" s="0" t="s">
        <v>140</v>
      </c>
      <c r="C3858" s="0" t="s">
        <v>141</v>
      </c>
      <c r="D3858" s="0" t="n">
        <v>-13</v>
      </c>
      <c r="E3858" s="6" t="n">
        <v>40843.5729166667</v>
      </c>
      <c r="F3858" s="0" t="n">
        <v>1.45</v>
      </c>
      <c r="G3858" s="0" t="n">
        <v>12471</v>
      </c>
      <c r="H3858" s="0" t="s">
        <v>33</v>
      </c>
      <c r="I3858" s="7" t="n">
        <f aca="false">IF(AND(LEFT(A3858,1)&lt;&gt;"C",D3858&gt;0,F3858&gt;0),1,0)</f>
        <v>0</v>
      </c>
      <c r="J3858" s="7" t="n">
        <f aca="false">IF(I3858=1,D3858*F3858,0)</f>
        <v>0</v>
      </c>
      <c r="K3858" s="7" t="n">
        <f aca="false">YEAR(E3858)*100+MONTH(E3858)</f>
        <v>201110</v>
      </c>
      <c r="L3858" s="7" t="n">
        <f aca="false">IF(AND(A3858&lt;&gt;A3857,LEFT(A3858,1)&lt;&gt;"C"),1,0)</f>
        <v>0</v>
      </c>
    </row>
    <row r="3859" customFormat="false" ht="15" hidden="false" customHeight="false" outlineLevel="0" collapsed="false">
      <c r="A3859" s="0" t="s">
        <v>2577</v>
      </c>
      <c r="B3859" s="0" t="s">
        <v>2285</v>
      </c>
      <c r="C3859" s="0" t="s">
        <v>2286</v>
      </c>
      <c r="D3859" s="0" t="n">
        <v>1</v>
      </c>
      <c r="E3859" s="6" t="n">
        <v>40843.5923611111</v>
      </c>
      <c r="F3859" s="0" t="n">
        <v>4161.06</v>
      </c>
      <c r="G3859" s="0" t="n">
        <v>12536</v>
      </c>
      <c r="H3859" s="0" t="s">
        <v>43</v>
      </c>
      <c r="I3859" s="7" t="n">
        <f aca="false">IF(AND(LEFT(A3859,1)&lt;&gt;"C",D3859&gt;0,F3859&gt;0),1,0)</f>
        <v>1</v>
      </c>
      <c r="J3859" s="7" t="n">
        <f aca="false">IF(I3859=1,D3859*F3859,0)</f>
        <v>4161.06</v>
      </c>
      <c r="K3859" s="7" t="n">
        <f aca="false">YEAR(E3859)*100+MONTH(E3859)</f>
        <v>201110</v>
      </c>
      <c r="L3859" s="7" t="n">
        <f aca="false">IF(AND(A3859&lt;&gt;A3858,LEFT(A3859,1)&lt;&gt;"C"),1,0)</f>
        <v>1</v>
      </c>
    </row>
    <row r="3860" customFormat="false" ht="15" hidden="false" customHeight="false" outlineLevel="0" collapsed="false">
      <c r="A3860" s="0" t="s">
        <v>2578</v>
      </c>
      <c r="B3860" s="0" t="s">
        <v>2285</v>
      </c>
      <c r="C3860" s="0" t="s">
        <v>2286</v>
      </c>
      <c r="D3860" s="0" t="n">
        <v>-2</v>
      </c>
      <c r="E3860" s="6" t="n">
        <v>40843.59375</v>
      </c>
      <c r="F3860" s="0" t="n">
        <v>4161.06</v>
      </c>
      <c r="G3860" s="0" t="n">
        <v>12536</v>
      </c>
      <c r="H3860" s="0" t="s">
        <v>43</v>
      </c>
      <c r="I3860" s="7" t="n">
        <f aca="false">IF(AND(LEFT(A3860,1)&lt;&gt;"C",D3860&gt;0,F3860&gt;0),1,0)</f>
        <v>0</v>
      </c>
      <c r="J3860" s="7" t="n">
        <f aca="false">IF(I3860=1,D3860*F3860,0)</f>
        <v>0</v>
      </c>
      <c r="K3860" s="7" t="n">
        <f aca="false">YEAR(E3860)*100+MONTH(E3860)</f>
        <v>201110</v>
      </c>
      <c r="L3860" s="7" t="n">
        <f aca="false">IF(AND(A3860&lt;&gt;A3859,LEFT(A3860,1)&lt;&gt;"C"),1,0)</f>
        <v>0</v>
      </c>
    </row>
    <row r="3861" customFormat="false" ht="15" hidden="false" customHeight="false" outlineLevel="0" collapsed="false">
      <c r="A3861" s="0" t="s">
        <v>2579</v>
      </c>
      <c r="B3861" s="0" t="s">
        <v>2285</v>
      </c>
      <c r="C3861" s="0" t="s">
        <v>2286</v>
      </c>
      <c r="D3861" s="0" t="n">
        <v>1</v>
      </c>
      <c r="E3861" s="6" t="n">
        <v>40843.5972222222</v>
      </c>
      <c r="F3861" s="0" t="n">
        <v>4161.06</v>
      </c>
      <c r="G3861" s="0" t="n">
        <v>12536</v>
      </c>
      <c r="H3861" s="0" t="s">
        <v>43</v>
      </c>
      <c r="I3861" s="7" t="n">
        <f aca="false">IF(AND(LEFT(A3861,1)&lt;&gt;"C",D3861&gt;0,F3861&gt;0),1,0)</f>
        <v>1</v>
      </c>
      <c r="J3861" s="7" t="n">
        <f aca="false">IF(I3861=1,D3861*F3861,0)</f>
        <v>4161.06</v>
      </c>
      <c r="K3861" s="7" t="n">
        <f aca="false">YEAR(E3861)*100+MONTH(E3861)</f>
        <v>201110</v>
      </c>
      <c r="L3861" s="7" t="n">
        <f aca="false">IF(AND(A3861&lt;&gt;A3860,LEFT(A3861,1)&lt;&gt;"C"),1,0)</f>
        <v>1</v>
      </c>
    </row>
    <row r="3862" customFormat="false" ht="15" hidden="false" customHeight="false" outlineLevel="0" collapsed="false">
      <c r="A3862" s="0" t="s">
        <v>2580</v>
      </c>
      <c r="B3862" s="0" t="s">
        <v>893</v>
      </c>
      <c r="C3862" s="0" t="s">
        <v>894</v>
      </c>
      <c r="D3862" s="0" t="n">
        <v>12</v>
      </c>
      <c r="E3862" s="6" t="n">
        <v>40843.6284722222</v>
      </c>
      <c r="F3862" s="0" t="n">
        <v>2.95</v>
      </c>
      <c r="G3862" s="0" t="n">
        <v>12626</v>
      </c>
      <c r="H3862" s="0" t="s">
        <v>33</v>
      </c>
      <c r="I3862" s="7" t="n">
        <f aca="false">IF(AND(LEFT(A3862,1)&lt;&gt;"C",D3862&gt;0,F3862&gt;0),1,0)</f>
        <v>1</v>
      </c>
      <c r="J3862" s="7" t="n">
        <f aca="false">IF(I3862=1,D3862*F3862,0)</f>
        <v>35.4</v>
      </c>
      <c r="K3862" s="7" t="n">
        <f aca="false">YEAR(E3862)*100+MONTH(E3862)</f>
        <v>201110</v>
      </c>
      <c r="L3862" s="7" t="n">
        <f aca="false">IF(AND(A3862&lt;&gt;A3861,LEFT(A3862,1)&lt;&gt;"C"),1,0)</f>
        <v>1</v>
      </c>
    </row>
    <row r="3863" customFormat="false" ht="15" hidden="false" customHeight="false" outlineLevel="0" collapsed="false">
      <c r="A3863" s="0" t="s">
        <v>2580</v>
      </c>
      <c r="B3863" s="0" t="s">
        <v>2581</v>
      </c>
      <c r="C3863" s="0" t="s">
        <v>2582</v>
      </c>
      <c r="D3863" s="0" t="n">
        <v>10</v>
      </c>
      <c r="E3863" s="6" t="n">
        <v>40843.6284722222</v>
      </c>
      <c r="F3863" s="0" t="n">
        <v>1.65</v>
      </c>
      <c r="G3863" s="0" t="n">
        <v>12626</v>
      </c>
      <c r="H3863" s="0" t="s">
        <v>33</v>
      </c>
      <c r="I3863" s="7" t="n">
        <f aca="false">IF(AND(LEFT(A3863,1)&lt;&gt;"C",D3863&gt;0,F3863&gt;0),1,0)</f>
        <v>1</v>
      </c>
      <c r="J3863" s="7" t="n">
        <f aca="false">IF(I3863=1,D3863*F3863,0)</f>
        <v>16.5</v>
      </c>
      <c r="K3863" s="7" t="n">
        <f aca="false">YEAR(E3863)*100+MONTH(E3863)</f>
        <v>201110</v>
      </c>
      <c r="L3863" s="7" t="n">
        <f aca="false">IF(AND(A3863&lt;&gt;A3862,LEFT(A3863,1)&lt;&gt;"C"),1,0)</f>
        <v>0</v>
      </c>
    </row>
    <row r="3864" customFormat="false" ht="15" hidden="false" customHeight="false" outlineLevel="0" collapsed="false">
      <c r="A3864" s="0" t="s">
        <v>2580</v>
      </c>
      <c r="B3864" s="0" t="s">
        <v>2583</v>
      </c>
      <c r="C3864" s="0" t="s">
        <v>2584</v>
      </c>
      <c r="D3864" s="0" t="n">
        <v>10</v>
      </c>
      <c r="E3864" s="6" t="n">
        <v>40843.6284722222</v>
      </c>
      <c r="F3864" s="0" t="n">
        <v>1.65</v>
      </c>
      <c r="G3864" s="0" t="n">
        <v>12626</v>
      </c>
      <c r="H3864" s="0" t="s">
        <v>33</v>
      </c>
      <c r="I3864" s="7" t="n">
        <f aca="false">IF(AND(LEFT(A3864,1)&lt;&gt;"C",D3864&gt;0,F3864&gt;0),1,0)</f>
        <v>1</v>
      </c>
      <c r="J3864" s="7" t="n">
        <f aca="false">IF(I3864=1,D3864*F3864,0)</f>
        <v>16.5</v>
      </c>
      <c r="K3864" s="7" t="n">
        <f aca="false">YEAR(E3864)*100+MONTH(E3864)</f>
        <v>201110</v>
      </c>
      <c r="L3864" s="7" t="n">
        <f aca="false">IF(AND(A3864&lt;&gt;A3863,LEFT(A3864,1)&lt;&gt;"C"),1,0)</f>
        <v>0</v>
      </c>
    </row>
    <row r="3865" customFormat="false" ht="15" hidden="false" customHeight="false" outlineLevel="0" collapsed="false">
      <c r="A3865" s="0" t="s">
        <v>2580</v>
      </c>
      <c r="B3865" s="0" t="s">
        <v>2585</v>
      </c>
      <c r="C3865" s="0" t="s">
        <v>2586</v>
      </c>
      <c r="D3865" s="0" t="n">
        <v>12</v>
      </c>
      <c r="E3865" s="6" t="n">
        <v>40843.6284722222</v>
      </c>
      <c r="F3865" s="0" t="n">
        <v>0.85</v>
      </c>
      <c r="G3865" s="0" t="n">
        <v>12626</v>
      </c>
      <c r="H3865" s="0" t="s">
        <v>33</v>
      </c>
      <c r="I3865" s="7" t="n">
        <f aca="false">IF(AND(LEFT(A3865,1)&lt;&gt;"C",D3865&gt;0,F3865&gt;0),1,0)</f>
        <v>1</v>
      </c>
      <c r="J3865" s="7" t="n">
        <f aca="false">IF(I3865=1,D3865*F3865,0)</f>
        <v>10.2</v>
      </c>
      <c r="K3865" s="7" t="n">
        <f aca="false">YEAR(E3865)*100+MONTH(E3865)</f>
        <v>201110</v>
      </c>
      <c r="L3865" s="7" t="n">
        <f aca="false">IF(AND(A3865&lt;&gt;A3864,LEFT(A3865,1)&lt;&gt;"C"),1,0)</f>
        <v>0</v>
      </c>
    </row>
    <row r="3866" customFormat="false" ht="15" hidden="false" customHeight="false" outlineLevel="0" collapsed="false">
      <c r="A3866" s="0" t="s">
        <v>2580</v>
      </c>
      <c r="B3866" s="0" t="s">
        <v>2587</v>
      </c>
      <c r="C3866" s="0" t="s">
        <v>2588</v>
      </c>
      <c r="D3866" s="0" t="n">
        <v>12</v>
      </c>
      <c r="E3866" s="6" t="n">
        <v>40843.6284722222</v>
      </c>
      <c r="F3866" s="0" t="n">
        <v>0.85</v>
      </c>
      <c r="G3866" s="0" t="n">
        <v>12626</v>
      </c>
      <c r="H3866" s="0" t="s">
        <v>33</v>
      </c>
      <c r="I3866" s="7" t="n">
        <f aca="false">IF(AND(LEFT(A3866,1)&lt;&gt;"C",D3866&gt;0,F3866&gt;0),1,0)</f>
        <v>1</v>
      </c>
      <c r="J3866" s="7" t="n">
        <f aca="false">IF(I3866=1,D3866*F3866,0)</f>
        <v>10.2</v>
      </c>
      <c r="K3866" s="7" t="n">
        <f aca="false">YEAR(E3866)*100+MONTH(E3866)</f>
        <v>201110</v>
      </c>
      <c r="L3866" s="7" t="n">
        <f aca="false">IF(AND(A3866&lt;&gt;A3865,LEFT(A3866,1)&lt;&gt;"C"),1,0)</f>
        <v>0</v>
      </c>
    </row>
    <row r="3867" customFormat="false" ht="15" hidden="false" customHeight="false" outlineLevel="0" collapsed="false">
      <c r="A3867" s="0" t="s">
        <v>2580</v>
      </c>
      <c r="B3867" s="0" t="s">
        <v>705</v>
      </c>
      <c r="C3867" s="0" t="s">
        <v>706</v>
      </c>
      <c r="D3867" s="0" t="n">
        <v>12</v>
      </c>
      <c r="E3867" s="6" t="n">
        <v>40843.6284722222</v>
      </c>
      <c r="F3867" s="0" t="n">
        <v>0.85</v>
      </c>
      <c r="G3867" s="0" t="n">
        <v>12626</v>
      </c>
      <c r="H3867" s="0" t="s">
        <v>33</v>
      </c>
      <c r="I3867" s="7" t="n">
        <f aca="false">IF(AND(LEFT(A3867,1)&lt;&gt;"C",D3867&gt;0,F3867&gt;0),1,0)</f>
        <v>1</v>
      </c>
      <c r="J3867" s="7" t="n">
        <f aca="false">IF(I3867=1,D3867*F3867,0)</f>
        <v>10.2</v>
      </c>
      <c r="K3867" s="7" t="n">
        <f aca="false">YEAR(E3867)*100+MONTH(E3867)</f>
        <v>201110</v>
      </c>
      <c r="L3867" s="7" t="n">
        <f aca="false">IF(AND(A3867&lt;&gt;A3866,LEFT(A3867,1)&lt;&gt;"C"),1,0)</f>
        <v>0</v>
      </c>
    </row>
    <row r="3868" customFormat="false" ht="15" hidden="false" customHeight="false" outlineLevel="0" collapsed="false">
      <c r="A3868" s="0" t="s">
        <v>2580</v>
      </c>
      <c r="B3868" s="0" t="s">
        <v>707</v>
      </c>
      <c r="C3868" s="0" t="s">
        <v>708</v>
      </c>
      <c r="D3868" s="0" t="n">
        <v>12</v>
      </c>
      <c r="E3868" s="6" t="n">
        <v>40843.6284722222</v>
      </c>
      <c r="F3868" s="0" t="n">
        <v>0.85</v>
      </c>
      <c r="G3868" s="0" t="n">
        <v>12626</v>
      </c>
      <c r="H3868" s="0" t="s">
        <v>33</v>
      </c>
      <c r="I3868" s="7" t="n">
        <f aca="false">IF(AND(LEFT(A3868,1)&lt;&gt;"C",D3868&gt;0,F3868&gt;0),1,0)</f>
        <v>1</v>
      </c>
      <c r="J3868" s="7" t="n">
        <f aca="false">IF(I3868=1,D3868*F3868,0)</f>
        <v>10.2</v>
      </c>
      <c r="K3868" s="7" t="n">
        <f aca="false">YEAR(E3868)*100+MONTH(E3868)</f>
        <v>201110</v>
      </c>
      <c r="L3868" s="7" t="n">
        <f aca="false">IF(AND(A3868&lt;&gt;A3867,LEFT(A3868,1)&lt;&gt;"C"),1,0)</f>
        <v>0</v>
      </c>
    </row>
    <row r="3869" customFormat="false" ht="15" hidden="false" customHeight="false" outlineLevel="0" collapsed="false">
      <c r="A3869" s="0" t="s">
        <v>2580</v>
      </c>
      <c r="B3869" s="0" t="s">
        <v>2589</v>
      </c>
      <c r="C3869" s="0" t="s">
        <v>2590</v>
      </c>
      <c r="D3869" s="0" t="n">
        <v>12</v>
      </c>
      <c r="E3869" s="6" t="n">
        <v>40843.6284722222</v>
      </c>
      <c r="F3869" s="0" t="n">
        <v>1.25</v>
      </c>
      <c r="G3869" s="0" t="n">
        <v>12626</v>
      </c>
      <c r="H3869" s="0" t="s">
        <v>33</v>
      </c>
      <c r="I3869" s="7" t="n">
        <f aca="false">IF(AND(LEFT(A3869,1)&lt;&gt;"C",D3869&gt;0,F3869&gt;0),1,0)</f>
        <v>1</v>
      </c>
      <c r="J3869" s="7" t="n">
        <f aca="false">IF(I3869=1,D3869*F3869,0)</f>
        <v>15</v>
      </c>
      <c r="K3869" s="7" t="n">
        <f aca="false">YEAR(E3869)*100+MONTH(E3869)</f>
        <v>201110</v>
      </c>
      <c r="L3869" s="7" t="n">
        <f aca="false">IF(AND(A3869&lt;&gt;A3868,LEFT(A3869,1)&lt;&gt;"C"),1,0)</f>
        <v>0</v>
      </c>
    </row>
    <row r="3870" customFormat="false" ht="15" hidden="false" customHeight="false" outlineLevel="0" collapsed="false">
      <c r="A3870" s="0" t="s">
        <v>2580</v>
      </c>
      <c r="B3870" s="0" t="s">
        <v>2573</v>
      </c>
      <c r="C3870" s="0" t="s">
        <v>2574</v>
      </c>
      <c r="D3870" s="0" t="n">
        <v>8</v>
      </c>
      <c r="E3870" s="6" t="n">
        <v>40843.6284722222</v>
      </c>
      <c r="F3870" s="0" t="n">
        <v>3.75</v>
      </c>
      <c r="G3870" s="0" t="n">
        <v>12626</v>
      </c>
      <c r="H3870" s="0" t="s">
        <v>33</v>
      </c>
      <c r="I3870" s="7" t="n">
        <f aca="false">IF(AND(LEFT(A3870,1)&lt;&gt;"C",D3870&gt;0,F3870&gt;0),1,0)</f>
        <v>1</v>
      </c>
      <c r="J3870" s="7" t="n">
        <f aca="false">IF(I3870=1,D3870*F3870,0)</f>
        <v>30</v>
      </c>
      <c r="K3870" s="7" t="n">
        <f aca="false">YEAR(E3870)*100+MONTH(E3870)</f>
        <v>201110</v>
      </c>
      <c r="L3870" s="7" t="n">
        <f aca="false">IF(AND(A3870&lt;&gt;A3869,LEFT(A3870,1)&lt;&gt;"C"),1,0)</f>
        <v>0</v>
      </c>
    </row>
    <row r="3871" customFormat="false" ht="15" hidden="false" customHeight="false" outlineLevel="0" collapsed="false">
      <c r="A3871" s="0" t="s">
        <v>2580</v>
      </c>
      <c r="B3871" s="0" t="s">
        <v>2591</v>
      </c>
      <c r="C3871" s="0" t="s">
        <v>2592</v>
      </c>
      <c r="D3871" s="0" t="n">
        <v>12</v>
      </c>
      <c r="E3871" s="6" t="n">
        <v>40843.6284722222</v>
      </c>
      <c r="F3871" s="0" t="n">
        <v>0.83</v>
      </c>
      <c r="G3871" s="0" t="n">
        <v>12626</v>
      </c>
      <c r="H3871" s="0" t="s">
        <v>33</v>
      </c>
      <c r="I3871" s="7" t="n">
        <f aca="false">IF(AND(LEFT(A3871,1)&lt;&gt;"C",D3871&gt;0,F3871&gt;0),1,0)</f>
        <v>1</v>
      </c>
      <c r="J3871" s="7" t="n">
        <f aca="false">IF(I3871=1,D3871*F3871,0)</f>
        <v>9.96</v>
      </c>
      <c r="K3871" s="7" t="n">
        <f aca="false">YEAR(E3871)*100+MONTH(E3871)</f>
        <v>201110</v>
      </c>
      <c r="L3871" s="7" t="n">
        <f aca="false">IF(AND(A3871&lt;&gt;A3870,LEFT(A3871,1)&lt;&gt;"C"),1,0)</f>
        <v>0</v>
      </c>
    </row>
    <row r="3872" customFormat="false" ht="15" hidden="false" customHeight="false" outlineLevel="0" collapsed="false">
      <c r="A3872" s="0" t="s">
        <v>2580</v>
      </c>
      <c r="B3872" s="0" t="s">
        <v>2544</v>
      </c>
      <c r="C3872" s="0" t="s">
        <v>2545</v>
      </c>
      <c r="D3872" s="0" t="n">
        <v>12</v>
      </c>
      <c r="E3872" s="6" t="n">
        <v>40843.6284722222</v>
      </c>
      <c r="F3872" s="0" t="n">
        <v>1.65</v>
      </c>
      <c r="G3872" s="0" t="n">
        <v>12626</v>
      </c>
      <c r="H3872" s="0" t="s">
        <v>33</v>
      </c>
      <c r="I3872" s="7" t="n">
        <f aca="false">IF(AND(LEFT(A3872,1)&lt;&gt;"C",D3872&gt;0,F3872&gt;0),1,0)</f>
        <v>1</v>
      </c>
      <c r="J3872" s="7" t="n">
        <f aca="false">IF(I3872=1,D3872*F3872,0)</f>
        <v>19.8</v>
      </c>
      <c r="K3872" s="7" t="n">
        <f aca="false">YEAR(E3872)*100+MONTH(E3872)</f>
        <v>201110</v>
      </c>
      <c r="L3872" s="7" t="n">
        <f aca="false">IF(AND(A3872&lt;&gt;A3871,LEFT(A3872,1)&lt;&gt;"C"),1,0)</f>
        <v>0</v>
      </c>
    </row>
    <row r="3873" customFormat="false" ht="15" hidden="false" customHeight="false" outlineLevel="0" collapsed="false">
      <c r="A3873" s="0" t="s">
        <v>2580</v>
      </c>
      <c r="B3873" s="0" t="s">
        <v>2593</v>
      </c>
      <c r="C3873" s="0" t="s">
        <v>2594</v>
      </c>
      <c r="D3873" s="0" t="n">
        <v>12</v>
      </c>
      <c r="E3873" s="6" t="n">
        <v>40843.6284722222</v>
      </c>
      <c r="F3873" s="0" t="n">
        <v>1.25</v>
      </c>
      <c r="G3873" s="0" t="n">
        <v>12626</v>
      </c>
      <c r="H3873" s="0" t="s">
        <v>33</v>
      </c>
      <c r="I3873" s="7" t="n">
        <f aca="false">IF(AND(LEFT(A3873,1)&lt;&gt;"C",D3873&gt;0,F3873&gt;0),1,0)</f>
        <v>1</v>
      </c>
      <c r="J3873" s="7" t="n">
        <f aca="false">IF(I3873=1,D3873*F3873,0)</f>
        <v>15</v>
      </c>
      <c r="K3873" s="7" t="n">
        <f aca="false">YEAR(E3873)*100+MONTH(E3873)</f>
        <v>201110</v>
      </c>
      <c r="L3873" s="7" t="n">
        <f aca="false">IF(AND(A3873&lt;&gt;A3872,LEFT(A3873,1)&lt;&gt;"C"),1,0)</f>
        <v>0</v>
      </c>
    </row>
    <row r="3874" customFormat="false" ht="15" hidden="false" customHeight="false" outlineLevel="0" collapsed="false">
      <c r="A3874" s="0" t="s">
        <v>2580</v>
      </c>
      <c r="B3874" s="0" t="s">
        <v>84</v>
      </c>
      <c r="C3874" s="0" t="s">
        <v>85</v>
      </c>
      <c r="D3874" s="0" t="n">
        <v>1</v>
      </c>
      <c r="E3874" s="6" t="n">
        <v>40843.6284722222</v>
      </c>
      <c r="F3874" s="0" t="n">
        <v>18</v>
      </c>
      <c r="G3874" s="0" t="n">
        <v>12626</v>
      </c>
      <c r="H3874" s="0" t="s">
        <v>33</v>
      </c>
      <c r="I3874" s="7" t="n">
        <f aca="false">IF(AND(LEFT(A3874,1)&lt;&gt;"C",D3874&gt;0,F3874&gt;0),1,0)</f>
        <v>1</v>
      </c>
      <c r="J3874" s="7" t="n">
        <f aca="false">IF(I3874=1,D3874*F3874,0)</f>
        <v>18</v>
      </c>
      <c r="K3874" s="7" t="n">
        <f aca="false">YEAR(E3874)*100+MONTH(E3874)</f>
        <v>201110</v>
      </c>
      <c r="L3874" s="7" t="n">
        <f aca="false">IF(AND(A3874&lt;&gt;A3873,LEFT(A3874,1)&lt;&gt;"C"),1,0)</f>
        <v>0</v>
      </c>
    </row>
    <row r="3875" customFormat="false" ht="15" hidden="false" customHeight="false" outlineLevel="0" collapsed="false">
      <c r="A3875" s="0" t="s">
        <v>2595</v>
      </c>
      <c r="B3875" s="0" t="s">
        <v>297</v>
      </c>
      <c r="C3875" s="0" t="s">
        <v>298</v>
      </c>
      <c r="D3875" s="0" t="n">
        <v>8</v>
      </c>
      <c r="E3875" s="6" t="n">
        <v>40843.7083333333</v>
      </c>
      <c r="F3875" s="0" t="n">
        <v>3.75</v>
      </c>
      <c r="G3875" s="0" t="n">
        <v>12709</v>
      </c>
      <c r="H3875" s="0" t="s">
        <v>33</v>
      </c>
      <c r="I3875" s="7" t="n">
        <f aca="false">IF(AND(LEFT(A3875,1)&lt;&gt;"C",D3875&gt;0,F3875&gt;0),1,0)</f>
        <v>1</v>
      </c>
      <c r="J3875" s="7" t="n">
        <f aca="false">IF(I3875=1,D3875*F3875,0)</f>
        <v>30</v>
      </c>
      <c r="K3875" s="7" t="n">
        <f aca="false">YEAR(E3875)*100+MONTH(E3875)</f>
        <v>201110</v>
      </c>
      <c r="L3875" s="7" t="n">
        <f aca="false">IF(AND(A3875&lt;&gt;A3874,LEFT(A3875,1)&lt;&gt;"C"),1,0)</f>
        <v>1</v>
      </c>
    </row>
    <row r="3876" customFormat="false" ht="15" hidden="false" customHeight="false" outlineLevel="0" collapsed="false">
      <c r="A3876" s="0" t="s">
        <v>2595</v>
      </c>
      <c r="B3876" s="0" t="s">
        <v>533</v>
      </c>
      <c r="C3876" s="0" t="s">
        <v>534</v>
      </c>
      <c r="D3876" s="0" t="n">
        <v>16</v>
      </c>
      <c r="E3876" s="6" t="n">
        <v>40843.7083333333</v>
      </c>
      <c r="F3876" s="0" t="n">
        <v>1.25</v>
      </c>
      <c r="G3876" s="0" t="n">
        <v>12709</v>
      </c>
      <c r="H3876" s="0" t="s">
        <v>33</v>
      </c>
      <c r="I3876" s="7" t="n">
        <f aca="false">IF(AND(LEFT(A3876,1)&lt;&gt;"C",D3876&gt;0,F3876&gt;0),1,0)</f>
        <v>1</v>
      </c>
      <c r="J3876" s="7" t="n">
        <f aca="false">IF(I3876=1,D3876*F3876,0)</f>
        <v>20</v>
      </c>
      <c r="K3876" s="7" t="n">
        <f aca="false">YEAR(E3876)*100+MONTH(E3876)</f>
        <v>201110</v>
      </c>
      <c r="L3876" s="7" t="n">
        <f aca="false">IF(AND(A3876&lt;&gt;A3875,LEFT(A3876,1)&lt;&gt;"C"),1,0)</f>
        <v>0</v>
      </c>
    </row>
    <row r="3877" customFormat="false" ht="15" hidden="false" customHeight="false" outlineLevel="0" collapsed="false">
      <c r="A3877" s="0" t="s">
        <v>2595</v>
      </c>
      <c r="B3877" s="0" t="s">
        <v>452</v>
      </c>
      <c r="C3877" s="0" t="s">
        <v>453</v>
      </c>
      <c r="D3877" s="0" t="n">
        <v>4</v>
      </c>
      <c r="E3877" s="6" t="n">
        <v>40843.7083333333</v>
      </c>
      <c r="F3877" s="0" t="n">
        <v>8.5</v>
      </c>
      <c r="G3877" s="0" t="n">
        <v>12709</v>
      </c>
      <c r="H3877" s="0" t="s">
        <v>33</v>
      </c>
      <c r="I3877" s="7" t="n">
        <f aca="false">IF(AND(LEFT(A3877,1)&lt;&gt;"C",D3877&gt;0,F3877&gt;0),1,0)</f>
        <v>1</v>
      </c>
      <c r="J3877" s="7" t="n">
        <f aca="false">IF(I3877=1,D3877*F3877,0)</f>
        <v>34</v>
      </c>
      <c r="K3877" s="7" t="n">
        <f aca="false">YEAR(E3877)*100+MONTH(E3877)</f>
        <v>201110</v>
      </c>
      <c r="L3877" s="7" t="n">
        <f aca="false">IF(AND(A3877&lt;&gt;A3876,LEFT(A3877,1)&lt;&gt;"C"),1,0)</f>
        <v>0</v>
      </c>
    </row>
    <row r="3878" customFormat="false" ht="15" hidden="false" customHeight="false" outlineLevel="0" collapsed="false">
      <c r="A3878" s="0" t="s">
        <v>2595</v>
      </c>
      <c r="B3878" s="0" t="s">
        <v>699</v>
      </c>
      <c r="C3878" s="0" t="s">
        <v>700</v>
      </c>
      <c r="D3878" s="0" t="n">
        <v>12</v>
      </c>
      <c r="E3878" s="6" t="n">
        <v>40843.7083333333</v>
      </c>
      <c r="F3878" s="0" t="n">
        <v>1.25</v>
      </c>
      <c r="G3878" s="0" t="n">
        <v>12709</v>
      </c>
      <c r="H3878" s="0" t="s">
        <v>33</v>
      </c>
      <c r="I3878" s="7" t="n">
        <f aca="false">IF(AND(LEFT(A3878,1)&lt;&gt;"C",D3878&gt;0,F3878&gt;0),1,0)</f>
        <v>1</v>
      </c>
      <c r="J3878" s="7" t="n">
        <f aca="false">IF(I3878=1,D3878*F3878,0)</f>
        <v>15</v>
      </c>
      <c r="K3878" s="7" t="n">
        <f aca="false">YEAR(E3878)*100+MONTH(E3878)</f>
        <v>201110</v>
      </c>
      <c r="L3878" s="7" t="n">
        <f aca="false">IF(AND(A3878&lt;&gt;A3877,LEFT(A3878,1)&lt;&gt;"C"),1,0)</f>
        <v>0</v>
      </c>
    </row>
    <row r="3879" customFormat="false" ht="15" hidden="false" customHeight="false" outlineLevel="0" collapsed="false">
      <c r="A3879" s="0" t="s">
        <v>2595</v>
      </c>
      <c r="B3879" s="0" t="s">
        <v>1703</v>
      </c>
      <c r="C3879" s="0" t="s">
        <v>1704</v>
      </c>
      <c r="D3879" s="0" t="n">
        <v>24</v>
      </c>
      <c r="E3879" s="6" t="n">
        <v>40843.7083333333</v>
      </c>
      <c r="F3879" s="0" t="n">
        <v>0.42</v>
      </c>
      <c r="G3879" s="0" t="n">
        <v>12709</v>
      </c>
      <c r="H3879" s="0" t="s">
        <v>33</v>
      </c>
      <c r="I3879" s="7" t="n">
        <f aca="false">IF(AND(LEFT(A3879,1)&lt;&gt;"C",D3879&gt;0,F3879&gt;0),1,0)</f>
        <v>1</v>
      </c>
      <c r="J3879" s="7" t="n">
        <f aca="false">IF(I3879=1,D3879*F3879,0)</f>
        <v>10.08</v>
      </c>
      <c r="K3879" s="7" t="n">
        <f aca="false">YEAR(E3879)*100+MONTH(E3879)</f>
        <v>201110</v>
      </c>
      <c r="L3879" s="7" t="n">
        <f aca="false">IF(AND(A3879&lt;&gt;A3878,LEFT(A3879,1)&lt;&gt;"C"),1,0)</f>
        <v>0</v>
      </c>
    </row>
    <row r="3880" customFormat="false" ht="15" hidden="false" customHeight="false" outlineLevel="0" collapsed="false">
      <c r="A3880" s="0" t="s">
        <v>2595</v>
      </c>
      <c r="B3880" s="0" t="s">
        <v>148</v>
      </c>
      <c r="C3880" s="0" t="s">
        <v>149</v>
      </c>
      <c r="D3880" s="0" t="n">
        <v>5</v>
      </c>
      <c r="E3880" s="6" t="n">
        <v>40843.7083333333</v>
      </c>
      <c r="F3880" s="0" t="n">
        <v>12.75</v>
      </c>
      <c r="G3880" s="0" t="n">
        <v>12709</v>
      </c>
      <c r="H3880" s="0" t="s">
        <v>33</v>
      </c>
      <c r="I3880" s="7" t="n">
        <f aca="false">IF(AND(LEFT(A3880,1)&lt;&gt;"C",D3880&gt;0,F3880&gt;0),1,0)</f>
        <v>1</v>
      </c>
      <c r="J3880" s="7" t="n">
        <f aca="false">IF(I3880=1,D3880*F3880,0)</f>
        <v>63.75</v>
      </c>
      <c r="K3880" s="7" t="n">
        <f aca="false">YEAR(E3880)*100+MONTH(E3880)</f>
        <v>201110</v>
      </c>
      <c r="L3880" s="7" t="n">
        <f aca="false">IF(AND(A3880&lt;&gt;A3879,LEFT(A3880,1)&lt;&gt;"C"),1,0)</f>
        <v>0</v>
      </c>
    </row>
    <row r="3881" customFormat="false" ht="15" hidden="false" customHeight="false" outlineLevel="0" collapsed="false">
      <c r="A3881" s="0" t="s">
        <v>2595</v>
      </c>
      <c r="B3881" s="0" t="s">
        <v>2463</v>
      </c>
      <c r="C3881" s="0" t="s">
        <v>2464</v>
      </c>
      <c r="D3881" s="0" t="n">
        <v>24</v>
      </c>
      <c r="E3881" s="6" t="n">
        <v>40843.7083333333</v>
      </c>
      <c r="F3881" s="0" t="n">
        <v>1.25</v>
      </c>
      <c r="G3881" s="0" t="n">
        <v>12709</v>
      </c>
      <c r="H3881" s="0" t="s">
        <v>33</v>
      </c>
      <c r="I3881" s="7" t="n">
        <f aca="false">IF(AND(LEFT(A3881,1)&lt;&gt;"C",D3881&gt;0,F3881&gt;0),1,0)</f>
        <v>1</v>
      </c>
      <c r="J3881" s="7" t="n">
        <f aca="false">IF(I3881=1,D3881*F3881,0)</f>
        <v>30</v>
      </c>
      <c r="K3881" s="7" t="n">
        <f aca="false">YEAR(E3881)*100+MONTH(E3881)</f>
        <v>201110</v>
      </c>
      <c r="L3881" s="7" t="n">
        <f aca="false">IF(AND(A3881&lt;&gt;A3880,LEFT(A3881,1)&lt;&gt;"C"),1,0)</f>
        <v>0</v>
      </c>
    </row>
    <row r="3882" customFormat="false" ht="15" hidden="false" customHeight="false" outlineLevel="0" collapsed="false">
      <c r="A3882" s="0" t="s">
        <v>2595</v>
      </c>
      <c r="B3882" s="0" t="s">
        <v>2467</v>
      </c>
      <c r="C3882" s="0" t="s">
        <v>2468</v>
      </c>
      <c r="D3882" s="0" t="n">
        <v>12</v>
      </c>
      <c r="E3882" s="6" t="n">
        <v>40843.7083333333</v>
      </c>
      <c r="F3882" s="0" t="n">
        <v>1.25</v>
      </c>
      <c r="G3882" s="0" t="n">
        <v>12709</v>
      </c>
      <c r="H3882" s="0" t="s">
        <v>33</v>
      </c>
      <c r="I3882" s="7" t="n">
        <f aca="false">IF(AND(LEFT(A3882,1)&lt;&gt;"C",D3882&gt;0,F3882&gt;0),1,0)</f>
        <v>1</v>
      </c>
      <c r="J3882" s="7" t="n">
        <f aca="false">IF(I3882=1,D3882*F3882,0)</f>
        <v>15</v>
      </c>
      <c r="K3882" s="7" t="n">
        <f aca="false">YEAR(E3882)*100+MONTH(E3882)</f>
        <v>201110</v>
      </c>
      <c r="L3882" s="7" t="n">
        <f aca="false">IF(AND(A3882&lt;&gt;A3881,LEFT(A3882,1)&lt;&gt;"C"),1,0)</f>
        <v>0</v>
      </c>
    </row>
    <row r="3883" customFormat="false" ht="15" hidden="false" customHeight="false" outlineLevel="0" collapsed="false">
      <c r="A3883" s="0" t="s">
        <v>2595</v>
      </c>
      <c r="B3883" s="0" t="s">
        <v>729</v>
      </c>
      <c r="C3883" s="0" t="s">
        <v>730</v>
      </c>
      <c r="D3883" s="0" t="n">
        <v>3</v>
      </c>
      <c r="E3883" s="6" t="n">
        <v>40843.7083333333</v>
      </c>
      <c r="F3883" s="0" t="n">
        <v>4.95</v>
      </c>
      <c r="G3883" s="0" t="n">
        <v>12709</v>
      </c>
      <c r="H3883" s="0" t="s">
        <v>33</v>
      </c>
      <c r="I3883" s="7" t="n">
        <f aca="false">IF(AND(LEFT(A3883,1)&lt;&gt;"C",D3883&gt;0,F3883&gt;0),1,0)</f>
        <v>1</v>
      </c>
      <c r="J3883" s="7" t="n">
        <f aca="false">IF(I3883=1,D3883*F3883,0)</f>
        <v>14.85</v>
      </c>
      <c r="K3883" s="7" t="n">
        <f aca="false">YEAR(E3883)*100+MONTH(E3883)</f>
        <v>201110</v>
      </c>
      <c r="L3883" s="7" t="n">
        <f aca="false">IF(AND(A3883&lt;&gt;A3882,LEFT(A3883,1)&lt;&gt;"C"),1,0)</f>
        <v>0</v>
      </c>
    </row>
    <row r="3884" customFormat="false" ht="15" hidden="false" customHeight="false" outlineLevel="0" collapsed="false">
      <c r="A3884" s="0" t="s">
        <v>2595</v>
      </c>
      <c r="B3884" s="0" t="s">
        <v>84</v>
      </c>
      <c r="C3884" s="0" t="s">
        <v>85</v>
      </c>
      <c r="D3884" s="0" t="n">
        <v>2</v>
      </c>
      <c r="E3884" s="6" t="n">
        <v>40843.7083333333</v>
      </c>
      <c r="F3884" s="0" t="n">
        <v>18</v>
      </c>
      <c r="G3884" s="0" t="n">
        <v>12709</v>
      </c>
      <c r="H3884" s="0" t="s">
        <v>33</v>
      </c>
      <c r="I3884" s="7" t="n">
        <f aca="false">IF(AND(LEFT(A3884,1)&lt;&gt;"C",D3884&gt;0,F3884&gt;0),1,0)</f>
        <v>1</v>
      </c>
      <c r="J3884" s="7" t="n">
        <f aca="false">IF(I3884=1,D3884*F3884,0)</f>
        <v>36</v>
      </c>
      <c r="K3884" s="7" t="n">
        <f aca="false">YEAR(E3884)*100+MONTH(E3884)</f>
        <v>201110</v>
      </c>
      <c r="L3884" s="7" t="n">
        <f aca="false">IF(AND(A3884&lt;&gt;A3883,LEFT(A3884,1)&lt;&gt;"C"),1,0)</f>
        <v>0</v>
      </c>
    </row>
    <row r="3885" customFormat="false" ht="15" hidden="false" customHeight="false" outlineLevel="0" collapsed="false">
      <c r="A3885" s="0" t="s">
        <v>2596</v>
      </c>
      <c r="B3885" s="0" t="s">
        <v>62</v>
      </c>
      <c r="C3885" s="0" t="s">
        <v>63</v>
      </c>
      <c r="D3885" s="0" t="n">
        <v>912</v>
      </c>
      <c r="E3885" s="6" t="n">
        <v>40844.31875</v>
      </c>
      <c r="F3885" s="0" t="n">
        <v>1.79</v>
      </c>
      <c r="G3885" s="0" t="n">
        <v>12678</v>
      </c>
      <c r="H3885" s="0" t="s">
        <v>43</v>
      </c>
      <c r="I3885" s="7" t="n">
        <f aca="false">IF(AND(LEFT(A3885,1)&lt;&gt;"C",D3885&gt;0,F3885&gt;0),1,0)</f>
        <v>1</v>
      </c>
      <c r="J3885" s="7" t="n">
        <f aca="false">IF(I3885=1,D3885*F3885,0)</f>
        <v>1632.48</v>
      </c>
      <c r="K3885" s="7" t="n">
        <f aca="false">YEAR(E3885)*100+MONTH(E3885)</f>
        <v>201110</v>
      </c>
      <c r="L3885" s="7" t="n">
        <f aca="false">IF(AND(A3885&lt;&gt;A3884,LEFT(A3885,1)&lt;&gt;"C"),1,0)</f>
        <v>1</v>
      </c>
    </row>
    <row r="3886" customFormat="false" ht="15" hidden="false" customHeight="false" outlineLevel="0" collapsed="false">
      <c r="A3886" s="0" t="s">
        <v>2596</v>
      </c>
      <c r="B3886" s="0" t="s">
        <v>1286</v>
      </c>
      <c r="C3886" s="0" t="s">
        <v>1287</v>
      </c>
      <c r="D3886" s="0" t="n">
        <v>24</v>
      </c>
      <c r="E3886" s="6" t="n">
        <v>40844.31875</v>
      </c>
      <c r="F3886" s="0" t="n">
        <v>2.89</v>
      </c>
      <c r="G3886" s="0" t="n">
        <v>12678</v>
      </c>
      <c r="H3886" s="0" t="s">
        <v>43</v>
      </c>
      <c r="I3886" s="7" t="n">
        <f aca="false">IF(AND(LEFT(A3886,1)&lt;&gt;"C",D3886&gt;0,F3886&gt;0),1,0)</f>
        <v>1</v>
      </c>
      <c r="J3886" s="7" t="n">
        <f aca="false">IF(I3886=1,D3886*F3886,0)</f>
        <v>69.36</v>
      </c>
      <c r="K3886" s="7" t="n">
        <f aca="false">YEAR(E3886)*100+MONTH(E3886)</f>
        <v>201110</v>
      </c>
      <c r="L3886" s="7" t="n">
        <f aca="false">IF(AND(A3886&lt;&gt;A3885,LEFT(A3886,1)&lt;&gt;"C"),1,0)</f>
        <v>0</v>
      </c>
    </row>
    <row r="3887" customFormat="false" ht="15" hidden="false" customHeight="false" outlineLevel="0" collapsed="false">
      <c r="A3887" s="0" t="s">
        <v>2596</v>
      </c>
      <c r="B3887" s="0" t="s">
        <v>74</v>
      </c>
      <c r="C3887" s="0" t="s">
        <v>75</v>
      </c>
      <c r="D3887" s="0" t="n">
        <v>48</v>
      </c>
      <c r="E3887" s="6" t="n">
        <v>40844.31875</v>
      </c>
      <c r="F3887" s="0" t="n">
        <v>1.95</v>
      </c>
      <c r="G3887" s="0" t="n">
        <v>12678</v>
      </c>
      <c r="H3887" s="0" t="s">
        <v>43</v>
      </c>
      <c r="I3887" s="7" t="n">
        <f aca="false">IF(AND(LEFT(A3887,1)&lt;&gt;"C",D3887&gt;0,F3887&gt;0),1,0)</f>
        <v>1</v>
      </c>
      <c r="J3887" s="7" t="n">
        <f aca="false">IF(I3887=1,D3887*F3887,0)</f>
        <v>93.6</v>
      </c>
      <c r="K3887" s="7" t="n">
        <f aca="false">YEAR(E3887)*100+MONTH(E3887)</f>
        <v>201110</v>
      </c>
      <c r="L3887" s="7" t="n">
        <f aca="false">IF(AND(A3887&lt;&gt;A3886,LEFT(A3887,1)&lt;&gt;"C"),1,0)</f>
        <v>0</v>
      </c>
    </row>
    <row r="3888" customFormat="false" ht="15" hidden="false" customHeight="false" outlineLevel="0" collapsed="false">
      <c r="A3888" s="0" t="s">
        <v>2596</v>
      </c>
      <c r="B3888" s="0" t="s">
        <v>659</v>
      </c>
      <c r="C3888" s="0" t="s">
        <v>660</v>
      </c>
      <c r="D3888" s="0" t="n">
        <v>24</v>
      </c>
      <c r="E3888" s="6" t="n">
        <v>40844.31875</v>
      </c>
      <c r="F3888" s="0" t="n">
        <v>4.15</v>
      </c>
      <c r="G3888" s="0" t="n">
        <v>12678</v>
      </c>
      <c r="H3888" s="0" t="s">
        <v>43</v>
      </c>
      <c r="I3888" s="7" t="n">
        <f aca="false">IF(AND(LEFT(A3888,1)&lt;&gt;"C",D3888&gt;0,F3888&gt;0),1,0)</f>
        <v>1</v>
      </c>
      <c r="J3888" s="7" t="n">
        <f aca="false">IF(I3888=1,D3888*F3888,0)</f>
        <v>99.6</v>
      </c>
      <c r="K3888" s="7" t="n">
        <f aca="false">YEAR(E3888)*100+MONTH(E3888)</f>
        <v>201110</v>
      </c>
      <c r="L3888" s="7" t="n">
        <f aca="false">IF(AND(A3888&lt;&gt;A3887,LEFT(A3888,1)&lt;&gt;"C"),1,0)</f>
        <v>0</v>
      </c>
    </row>
    <row r="3889" customFormat="false" ht="15" hidden="false" customHeight="false" outlineLevel="0" collapsed="false">
      <c r="A3889" s="0" t="s">
        <v>2596</v>
      </c>
      <c r="B3889" s="0" t="s">
        <v>93</v>
      </c>
      <c r="C3889" s="0" t="s">
        <v>94</v>
      </c>
      <c r="D3889" s="0" t="n">
        <v>64</v>
      </c>
      <c r="E3889" s="6" t="n">
        <v>40844.31875</v>
      </c>
      <c r="F3889" s="0" t="n">
        <v>4.15</v>
      </c>
      <c r="G3889" s="0" t="n">
        <v>12678</v>
      </c>
      <c r="H3889" s="0" t="s">
        <v>43</v>
      </c>
      <c r="I3889" s="7" t="n">
        <f aca="false">IF(AND(LEFT(A3889,1)&lt;&gt;"C",D3889&gt;0,F3889&gt;0),1,0)</f>
        <v>1</v>
      </c>
      <c r="J3889" s="7" t="n">
        <f aca="false">IF(I3889=1,D3889*F3889,0)</f>
        <v>265.6</v>
      </c>
      <c r="K3889" s="7" t="n">
        <f aca="false">YEAR(E3889)*100+MONTH(E3889)</f>
        <v>201110</v>
      </c>
      <c r="L3889" s="7" t="n">
        <f aca="false">IF(AND(A3889&lt;&gt;A3888,LEFT(A3889,1)&lt;&gt;"C"),1,0)</f>
        <v>0</v>
      </c>
    </row>
    <row r="3890" customFormat="false" ht="15" hidden="false" customHeight="false" outlineLevel="0" collapsed="false">
      <c r="A3890" s="0" t="s">
        <v>2596</v>
      </c>
      <c r="B3890" s="0" t="s">
        <v>91</v>
      </c>
      <c r="C3890" s="0" t="s">
        <v>92</v>
      </c>
      <c r="D3890" s="0" t="n">
        <v>64</v>
      </c>
      <c r="E3890" s="6" t="n">
        <v>40844.31875</v>
      </c>
      <c r="F3890" s="0" t="n">
        <v>4.15</v>
      </c>
      <c r="G3890" s="0" t="n">
        <v>12678</v>
      </c>
      <c r="H3890" s="0" t="s">
        <v>43</v>
      </c>
      <c r="I3890" s="7" t="n">
        <f aca="false">IF(AND(LEFT(A3890,1)&lt;&gt;"C",D3890&gt;0,F3890&gt;0),1,0)</f>
        <v>1</v>
      </c>
      <c r="J3890" s="7" t="n">
        <f aca="false">IF(I3890=1,D3890*F3890,0)</f>
        <v>265.6</v>
      </c>
      <c r="K3890" s="7" t="n">
        <f aca="false">YEAR(E3890)*100+MONTH(E3890)</f>
        <v>201110</v>
      </c>
      <c r="L3890" s="7" t="n">
        <f aca="false">IF(AND(A3890&lt;&gt;A3889,LEFT(A3890,1)&lt;&gt;"C"),1,0)</f>
        <v>0</v>
      </c>
    </row>
    <row r="3891" customFormat="false" ht="15" hidden="false" customHeight="false" outlineLevel="0" collapsed="false">
      <c r="A3891" s="0" t="s">
        <v>2596</v>
      </c>
      <c r="B3891" s="0" t="s">
        <v>72</v>
      </c>
      <c r="C3891" s="0" t="s">
        <v>73</v>
      </c>
      <c r="D3891" s="0" t="n">
        <v>24</v>
      </c>
      <c r="E3891" s="6" t="n">
        <v>40844.31875</v>
      </c>
      <c r="F3891" s="0" t="n">
        <v>1.95</v>
      </c>
      <c r="G3891" s="0" t="n">
        <v>12678</v>
      </c>
      <c r="H3891" s="0" t="s">
        <v>43</v>
      </c>
      <c r="I3891" s="7" t="n">
        <f aca="false">IF(AND(LEFT(A3891,1)&lt;&gt;"C",D3891&gt;0,F3891&gt;0),1,0)</f>
        <v>1</v>
      </c>
      <c r="J3891" s="7" t="n">
        <f aca="false">IF(I3891=1,D3891*F3891,0)</f>
        <v>46.8</v>
      </c>
      <c r="K3891" s="7" t="n">
        <f aca="false">YEAR(E3891)*100+MONTH(E3891)</f>
        <v>201110</v>
      </c>
      <c r="L3891" s="7" t="n">
        <f aca="false">IF(AND(A3891&lt;&gt;A3890,LEFT(A3891,1)&lt;&gt;"C"),1,0)</f>
        <v>0</v>
      </c>
    </row>
    <row r="3892" customFormat="false" ht="15" hidden="false" customHeight="false" outlineLevel="0" collapsed="false">
      <c r="A3892" s="0" t="s">
        <v>2596</v>
      </c>
      <c r="B3892" s="0" t="s">
        <v>76</v>
      </c>
      <c r="C3892" s="0" t="s">
        <v>77</v>
      </c>
      <c r="D3892" s="0" t="n">
        <v>48</v>
      </c>
      <c r="E3892" s="6" t="n">
        <v>40844.31875</v>
      </c>
      <c r="F3892" s="0" t="n">
        <v>1.95</v>
      </c>
      <c r="G3892" s="0" t="n">
        <v>12678</v>
      </c>
      <c r="H3892" s="0" t="s">
        <v>43</v>
      </c>
      <c r="I3892" s="7" t="n">
        <f aca="false">IF(AND(LEFT(A3892,1)&lt;&gt;"C",D3892&gt;0,F3892&gt;0),1,0)</f>
        <v>1</v>
      </c>
      <c r="J3892" s="7" t="n">
        <f aca="false">IF(I3892=1,D3892*F3892,0)</f>
        <v>93.6</v>
      </c>
      <c r="K3892" s="7" t="n">
        <f aca="false">YEAR(E3892)*100+MONTH(E3892)</f>
        <v>201110</v>
      </c>
      <c r="L3892" s="7" t="n">
        <f aca="false">IF(AND(A3892&lt;&gt;A3891,LEFT(A3892,1)&lt;&gt;"C"),1,0)</f>
        <v>0</v>
      </c>
    </row>
    <row r="3893" customFormat="false" ht="15" hidden="false" customHeight="false" outlineLevel="0" collapsed="false">
      <c r="A3893" s="0" t="s">
        <v>2596</v>
      </c>
      <c r="B3893" s="0" t="s">
        <v>333</v>
      </c>
      <c r="C3893" s="0" t="s">
        <v>334</v>
      </c>
      <c r="D3893" s="0" t="n">
        <v>84</v>
      </c>
      <c r="E3893" s="6" t="n">
        <v>40844.31875</v>
      </c>
      <c r="F3893" s="0" t="n">
        <v>1.65</v>
      </c>
      <c r="G3893" s="0" t="n">
        <v>12678</v>
      </c>
      <c r="H3893" s="0" t="s">
        <v>43</v>
      </c>
      <c r="I3893" s="7" t="n">
        <f aca="false">IF(AND(LEFT(A3893,1)&lt;&gt;"C",D3893&gt;0,F3893&gt;0),1,0)</f>
        <v>1</v>
      </c>
      <c r="J3893" s="7" t="n">
        <f aca="false">IF(I3893=1,D3893*F3893,0)</f>
        <v>138.6</v>
      </c>
      <c r="K3893" s="7" t="n">
        <f aca="false">YEAR(E3893)*100+MONTH(E3893)</f>
        <v>201110</v>
      </c>
      <c r="L3893" s="7" t="n">
        <f aca="false">IF(AND(A3893&lt;&gt;A3892,LEFT(A3893,1)&lt;&gt;"C"),1,0)</f>
        <v>0</v>
      </c>
    </row>
    <row r="3894" customFormat="false" ht="15" hidden="false" customHeight="false" outlineLevel="0" collapsed="false">
      <c r="A3894" s="0" t="s">
        <v>2596</v>
      </c>
      <c r="B3894" s="0" t="s">
        <v>471</v>
      </c>
      <c r="C3894" s="0" t="s">
        <v>472</v>
      </c>
      <c r="D3894" s="0" t="n">
        <v>84</v>
      </c>
      <c r="E3894" s="6" t="n">
        <v>40844.31875</v>
      </c>
      <c r="F3894" s="0" t="n">
        <v>1.65</v>
      </c>
      <c r="G3894" s="0" t="n">
        <v>12678</v>
      </c>
      <c r="H3894" s="0" t="s">
        <v>43</v>
      </c>
      <c r="I3894" s="7" t="n">
        <f aca="false">IF(AND(LEFT(A3894,1)&lt;&gt;"C",D3894&gt;0,F3894&gt;0),1,0)</f>
        <v>1</v>
      </c>
      <c r="J3894" s="7" t="n">
        <f aca="false">IF(I3894=1,D3894*F3894,0)</f>
        <v>138.6</v>
      </c>
      <c r="K3894" s="7" t="n">
        <f aca="false">YEAR(E3894)*100+MONTH(E3894)</f>
        <v>201110</v>
      </c>
      <c r="L3894" s="7" t="n">
        <f aca="false">IF(AND(A3894&lt;&gt;A3893,LEFT(A3894,1)&lt;&gt;"C"),1,0)</f>
        <v>0</v>
      </c>
    </row>
    <row r="3895" customFormat="false" ht="15" hidden="false" customHeight="false" outlineLevel="0" collapsed="false">
      <c r="A3895" s="0" t="s">
        <v>2596</v>
      </c>
      <c r="B3895" s="0" t="s">
        <v>97</v>
      </c>
      <c r="C3895" s="0" t="s">
        <v>98</v>
      </c>
      <c r="D3895" s="0" t="n">
        <v>48</v>
      </c>
      <c r="E3895" s="6" t="n">
        <v>40844.31875</v>
      </c>
      <c r="F3895" s="0" t="n">
        <v>1.65</v>
      </c>
      <c r="G3895" s="0" t="n">
        <v>12678</v>
      </c>
      <c r="H3895" s="0" t="s">
        <v>43</v>
      </c>
      <c r="I3895" s="7" t="n">
        <f aca="false">IF(AND(LEFT(A3895,1)&lt;&gt;"C",D3895&gt;0,F3895&gt;0),1,0)</f>
        <v>1</v>
      </c>
      <c r="J3895" s="7" t="n">
        <f aca="false">IF(I3895=1,D3895*F3895,0)</f>
        <v>79.2</v>
      </c>
      <c r="K3895" s="7" t="n">
        <f aca="false">YEAR(E3895)*100+MONTH(E3895)</f>
        <v>201110</v>
      </c>
      <c r="L3895" s="7" t="n">
        <f aca="false">IF(AND(A3895&lt;&gt;A3894,LEFT(A3895,1)&lt;&gt;"C"),1,0)</f>
        <v>0</v>
      </c>
    </row>
    <row r="3896" customFormat="false" ht="15" hidden="false" customHeight="false" outlineLevel="0" collapsed="false">
      <c r="A3896" s="0" t="s">
        <v>2596</v>
      </c>
      <c r="B3896" s="0" t="s">
        <v>335</v>
      </c>
      <c r="C3896" s="0" t="s">
        <v>336</v>
      </c>
      <c r="D3896" s="0" t="n">
        <v>84</v>
      </c>
      <c r="E3896" s="6" t="n">
        <v>40844.31875</v>
      </c>
      <c r="F3896" s="0" t="n">
        <v>1.65</v>
      </c>
      <c r="G3896" s="0" t="n">
        <v>12678</v>
      </c>
      <c r="H3896" s="0" t="s">
        <v>43</v>
      </c>
      <c r="I3896" s="7" t="n">
        <f aca="false">IF(AND(LEFT(A3896,1)&lt;&gt;"C",D3896&gt;0,F3896&gt;0),1,0)</f>
        <v>1</v>
      </c>
      <c r="J3896" s="7" t="n">
        <f aca="false">IF(I3896=1,D3896*F3896,0)</f>
        <v>138.6</v>
      </c>
      <c r="K3896" s="7" t="n">
        <f aca="false">YEAR(E3896)*100+MONTH(E3896)</f>
        <v>201110</v>
      </c>
      <c r="L3896" s="7" t="n">
        <f aca="false">IF(AND(A3896&lt;&gt;A3895,LEFT(A3896,1)&lt;&gt;"C"),1,0)</f>
        <v>0</v>
      </c>
    </row>
    <row r="3897" customFormat="false" ht="15" hidden="false" customHeight="false" outlineLevel="0" collapsed="false">
      <c r="A3897" s="0" t="s">
        <v>2596</v>
      </c>
      <c r="B3897" s="0" t="s">
        <v>35</v>
      </c>
      <c r="C3897" s="0" t="s">
        <v>36</v>
      </c>
      <c r="D3897" s="0" t="n">
        <v>48</v>
      </c>
      <c r="E3897" s="6" t="n">
        <v>40844.31875</v>
      </c>
      <c r="F3897" s="0" t="n">
        <v>1.65</v>
      </c>
      <c r="G3897" s="0" t="n">
        <v>12678</v>
      </c>
      <c r="H3897" s="0" t="s">
        <v>43</v>
      </c>
      <c r="I3897" s="7" t="n">
        <f aca="false">IF(AND(LEFT(A3897,1)&lt;&gt;"C",D3897&gt;0,F3897&gt;0),1,0)</f>
        <v>1</v>
      </c>
      <c r="J3897" s="7" t="n">
        <f aca="false">IF(I3897=1,D3897*F3897,0)</f>
        <v>79.2</v>
      </c>
      <c r="K3897" s="7" t="n">
        <f aca="false">YEAR(E3897)*100+MONTH(E3897)</f>
        <v>201110</v>
      </c>
      <c r="L3897" s="7" t="n">
        <f aca="false">IF(AND(A3897&lt;&gt;A3896,LEFT(A3897,1)&lt;&gt;"C"),1,0)</f>
        <v>0</v>
      </c>
    </row>
    <row r="3898" customFormat="false" ht="15" hidden="false" customHeight="false" outlineLevel="0" collapsed="false">
      <c r="A3898" s="0" t="s">
        <v>2596</v>
      </c>
      <c r="B3898" s="0" t="s">
        <v>123</v>
      </c>
      <c r="C3898" s="0" t="s">
        <v>124</v>
      </c>
      <c r="D3898" s="0" t="n">
        <v>96</v>
      </c>
      <c r="E3898" s="6" t="n">
        <v>40844.31875</v>
      </c>
      <c r="F3898" s="0" t="n">
        <v>2.55</v>
      </c>
      <c r="G3898" s="0" t="n">
        <v>12678</v>
      </c>
      <c r="H3898" s="0" t="s">
        <v>43</v>
      </c>
      <c r="I3898" s="7" t="n">
        <f aca="false">IF(AND(LEFT(A3898,1)&lt;&gt;"C",D3898&gt;0,F3898&gt;0),1,0)</f>
        <v>1</v>
      </c>
      <c r="J3898" s="7" t="n">
        <f aca="false">IF(I3898=1,D3898*F3898,0)</f>
        <v>244.8</v>
      </c>
      <c r="K3898" s="7" t="n">
        <f aca="false">YEAR(E3898)*100+MONTH(E3898)</f>
        <v>201110</v>
      </c>
      <c r="L3898" s="7" t="n">
        <f aca="false">IF(AND(A3898&lt;&gt;A3897,LEFT(A3898,1)&lt;&gt;"C"),1,0)</f>
        <v>0</v>
      </c>
    </row>
    <row r="3899" customFormat="false" ht="15" hidden="false" customHeight="false" outlineLevel="0" collapsed="false">
      <c r="A3899" s="0" t="s">
        <v>2596</v>
      </c>
      <c r="B3899" s="0" t="s">
        <v>610</v>
      </c>
      <c r="C3899" s="0" t="s">
        <v>611</v>
      </c>
      <c r="D3899" s="0" t="n">
        <v>48</v>
      </c>
      <c r="E3899" s="6" t="n">
        <v>40844.31875</v>
      </c>
      <c r="F3899" s="0" t="n">
        <v>2.55</v>
      </c>
      <c r="G3899" s="0" t="n">
        <v>12678</v>
      </c>
      <c r="H3899" s="0" t="s">
        <v>43</v>
      </c>
      <c r="I3899" s="7" t="n">
        <f aca="false">IF(AND(LEFT(A3899,1)&lt;&gt;"C",D3899&gt;0,F3899&gt;0),1,0)</f>
        <v>1</v>
      </c>
      <c r="J3899" s="7" t="n">
        <f aca="false">IF(I3899=1,D3899*F3899,0)</f>
        <v>122.4</v>
      </c>
      <c r="K3899" s="7" t="n">
        <f aca="false">YEAR(E3899)*100+MONTH(E3899)</f>
        <v>201110</v>
      </c>
      <c r="L3899" s="7" t="n">
        <f aca="false">IF(AND(A3899&lt;&gt;A3898,LEFT(A3899,1)&lt;&gt;"C"),1,0)</f>
        <v>0</v>
      </c>
    </row>
    <row r="3900" customFormat="false" ht="15" hidden="false" customHeight="false" outlineLevel="0" collapsed="false">
      <c r="A3900" s="0" t="s">
        <v>2596</v>
      </c>
      <c r="B3900" s="0" t="s">
        <v>2437</v>
      </c>
      <c r="C3900" s="0" t="s">
        <v>2438</v>
      </c>
      <c r="D3900" s="0" t="n">
        <v>96</v>
      </c>
      <c r="E3900" s="6" t="n">
        <v>40844.31875</v>
      </c>
      <c r="F3900" s="0" t="n">
        <v>3.75</v>
      </c>
      <c r="G3900" s="0" t="n">
        <v>12678</v>
      </c>
      <c r="H3900" s="0" t="s">
        <v>43</v>
      </c>
      <c r="I3900" s="7" t="n">
        <f aca="false">IF(AND(LEFT(A3900,1)&lt;&gt;"C",D3900&gt;0,F3900&gt;0),1,0)</f>
        <v>1</v>
      </c>
      <c r="J3900" s="7" t="n">
        <f aca="false">IF(I3900=1,D3900*F3900,0)</f>
        <v>360</v>
      </c>
      <c r="K3900" s="7" t="n">
        <f aca="false">YEAR(E3900)*100+MONTH(E3900)</f>
        <v>201110</v>
      </c>
      <c r="L3900" s="7" t="n">
        <f aca="false">IF(AND(A3900&lt;&gt;A3899,LEFT(A3900,1)&lt;&gt;"C"),1,0)</f>
        <v>0</v>
      </c>
    </row>
    <row r="3901" customFormat="false" ht="15" hidden="false" customHeight="false" outlineLevel="0" collapsed="false">
      <c r="A3901" s="0" t="s">
        <v>2596</v>
      </c>
      <c r="B3901" s="0" t="s">
        <v>545</v>
      </c>
      <c r="C3901" s="0" t="s">
        <v>546</v>
      </c>
      <c r="D3901" s="0" t="n">
        <v>72</v>
      </c>
      <c r="E3901" s="6" t="n">
        <v>40844.31875</v>
      </c>
      <c r="F3901" s="0" t="n">
        <v>4.25</v>
      </c>
      <c r="G3901" s="0" t="n">
        <v>12678</v>
      </c>
      <c r="H3901" s="0" t="s">
        <v>43</v>
      </c>
      <c r="I3901" s="7" t="n">
        <f aca="false">IF(AND(LEFT(A3901,1)&lt;&gt;"C",D3901&gt;0,F3901&gt;0),1,0)</f>
        <v>1</v>
      </c>
      <c r="J3901" s="7" t="n">
        <f aca="false">IF(I3901=1,D3901*F3901,0)</f>
        <v>306</v>
      </c>
      <c r="K3901" s="7" t="n">
        <f aca="false">YEAR(E3901)*100+MONTH(E3901)</f>
        <v>201110</v>
      </c>
      <c r="L3901" s="7" t="n">
        <f aca="false">IF(AND(A3901&lt;&gt;A3900,LEFT(A3901,1)&lt;&gt;"C"),1,0)</f>
        <v>0</v>
      </c>
    </row>
    <row r="3902" customFormat="false" ht="15" hidden="false" customHeight="false" outlineLevel="0" collapsed="false">
      <c r="A3902" s="0" t="s">
        <v>2596</v>
      </c>
      <c r="B3902" s="0" t="s">
        <v>113</v>
      </c>
      <c r="C3902" s="0" t="s">
        <v>114</v>
      </c>
      <c r="D3902" s="0" t="n">
        <v>108</v>
      </c>
      <c r="E3902" s="6" t="n">
        <v>40844.31875</v>
      </c>
      <c r="F3902" s="0" t="n">
        <v>1.25</v>
      </c>
      <c r="G3902" s="0" t="n">
        <v>12678</v>
      </c>
      <c r="H3902" s="0" t="s">
        <v>43</v>
      </c>
      <c r="I3902" s="7" t="n">
        <f aca="false">IF(AND(LEFT(A3902,1)&lt;&gt;"C",D3902&gt;0,F3902&gt;0),1,0)</f>
        <v>1</v>
      </c>
      <c r="J3902" s="7" t="n">
        <f aca="false">IF(I3902=1,D3902*F3902,0)</f>
        <v>135</v>
      </c>
      <c r="K3902" s="7" t="n">
        <f aca="false">YEAR(E3902)*100+MONTH(E3902)</f>
        <v>201110</v>
      </c>
      <c r="L3902" s="7" t="n">
        <f aca="false">IF(AND(A3902&lt;&gt;A3901,LEFT(A3902,1)&lt;&gt;"C"),1,0)</f>
        <v>0</v>
      </c>
    </row>
    <row r="3903" customFormat="false" ht="15" hidden="false" customHeight="false" outlineLevel="0" collapsed="false">
      <c r="A3903" s="0" t="s">
        <v>2596</v>
      </c>
      <c r="B3903" s="0" t="s">
        <v>412</v>
      </c>
      <c r="C3903" s="0" t="s">
        <v>413</v>
      </c>
      <c r="D3903" s="0" t="n">
        <v>108</v>
      </c>
      <c r="E3903" s="6" t="n">
        <v>40844.31875</v>
      </c>
      <c r="F3903" s="0" t="n">
        <v>1.25</v>
      </c>
      <c r="G3903" s="0" t="n">
        <v>12678</v>
      </c>
      <c r="H3903" s="0" t="s">
        <v>43</v>
      </c>
      <c r="I3903" s="7" t="n">
        <f aca="false">IF(AND(LEFT(A3903,1)&lt;&gt;"C",D3903&gt;0,F3903&gt;0),1,0)</f>
        <v>1</v>
      </c>
      <c r="J3903" s="7" t="n">
        <f aca="false">IF(I3903=1,D3903*F3903,0)</f>
        <v>135</v>
      </c>
      <c r="K3903" s="7" t="n">
        <f aca="false">YEAR(E3903)*100+MONTH(E3903)</f>
        <v>201110</v>
      </c>
      <c r="L3903" s="7" t="n">
        <f aca="false">IF(AND(A3903&lt;&gt;A3902,LEFT(A3903,1)&lt;&gt;"C"),1,0)</f>
        <v>0</v>
      </c>
    </row>
    <row r="3904" customFormat="false" ht="15" hidden="false" customHeight="false" outlineLevel="0" collapsed="false">
      <c r="A3904" s="0" t="s">
        <v>2596</v>
      </c>
      <c r="B3904" s="0" t="s">
        <v>2597</v>
      </c>
      <c r="C3904" s="0" t="s">
        <v>2598</v>
      </c>
      <c r="D3904" s="0" t="n">
        <v>24</v>
      </c>
      <c r="E3904" s="6" t="n">
        <v>40844.31875</v>
      </c>
      <c r="F3904" s="0" t="n">
        <v>1.25</v>
      </c>
      <c r="G3904" s="0" t="n">
        <v>12678</v>
      </c>
      <c r="H3904" s="0" t="s">
        <v>43</v>
      </c>
      <c r="I3904" s="7" t="n">
        <f aca="false">IF(AND(LEFT(A3904,1)&lt;&gt;"C",D3904&gt;0,F3904&gt;0),1,0)</f>
        <v>1</v>
      </c>
      <c r="J3904" s="7" t="n">
        <f aca="false">IF(I3904=1,D3904*F3904,0)</f>
        <v>30</v>
      </c>
      <c r="K3904" s="7" t="n">
        <f aca="false">YEAR(E3904)*100+MONTH(E3904)</f>
        <v>201110</v>
      </c>
      <c r="L3904" s="7" t="n">
        <f aca="false">IF(AND(A3904&lt;&gt;A3903,LEFT(A3904,1)&lt;&gt;"C"),1,0)</f>
        <v>0</v>
      </c>
    </row>
    <row r="3905" customFormat="false" ht="15" hidden="false" customHeight="false" outlineLevel="0" collapsed="false">
      <c r="A3905" s="0" t="s">
        <v>2596</v>
      </c>
      <c r="B3905" s="0" t="s">
        <v>416</v>
      </c>
      <c r="C3905" s="0" t="s">
        <v>417</v>
      </c>
      <c r="D3905" s="0" t="n">
        <v>108</v>
      </c>
      <c r="E3905" s="6" t="n">
        <v>40844.31875</v>
      </c>
      <c r="F3905" s="0" t="n">
        <v>0.65</v>
      </c>
      <c r="G3905" s="0" t="n">
        <v>12678</v>
      </c>
      <c r="H3905" s="0" t="s">
        <v>43</v>
      </c>
      <c r="I3905" s="7" t="n">
        <f aca="false">IF(AND(LEFT(A3905,1)&lt;&gt;"C",D3905&gt;0,F3905&gt;0),1,0)</f>
        <v>1</v>
      </c>
      <c r="J3905" s="7" t="n">
        <f aca="false">IF(I3905=1,D3905*F3905,0)</f>
        <v>70.2</v>
      </c>
      <c r="K3905" s="7" t="n">
        <f aca="false">YEAR(E3905)*100+MONTH(E3905)</f>
        <v>201110</v>
      </c>
      <c r="L3905" s="7" t="n">
        <f aca="false">IF(AND(A3905&lt;&gt;A3904,LEFT(A3905,1)&lt;&gt;"C"),1,0)</f>
        <v>0</v>
      </c>
    </row>
    <row r="3906" customFormat="false" ht="15" hidden="false" customHeight="false" outlineLevel="0" collapsed="false">
      <c r="A3906" s="0" t="s">
        <v>2596</v>
      </c>
      <c r="B3906" s="0" t="s">
        <v>1006</v>
      </c>
      <c r="C3906" s="0" t="s">
        <v>1007</v>
      </c>
      <c r="D3906" s="0" t="n">
        <v>75</v>
      </c>
      <c r="E3906" s="6" t="n">
        <v>40844.31875</v>
      </c>
      <c r="F3906" s="0" t="n">
        <v>0.42</v>
      </c>
      <c r="G3906" s="0" t="n">
        <v>12678</v>
      </c>
      <c r="H3906" s="0" t="s">
        <v>43</v>
      </c>
      <c r="I3906" s="7" t="n">
        <f aca="false">IF(AND(LEFT(A3906,1)&lt;&gt;"C",D3906&gt;0,F3906&gt;0),1,0)</f>
        <v>1</v>
      </c>
      <c r="J3906" s="7" t="n">
        <f aca="false">IF(I3906=1,D3906*F3906,0)</f>
        <v>31.5</v>
      </c>
      <c r="K3906" s="7" t="n">
        <f aca="false">YEAR(E3906)*100+MONTH(E3906)</f>
        <v>201110</v>
      </c>
      <c r="L3906" s="7" t="n">
        <f aca="false">IF(AND(A3906&lt;&gt;A3905,LEFT(A3906,1)&lt;&gt;"C"),1,0)</f>
        <v>0</v>
      </c>
    </row>
    <row r="3907" customFormat="false" ht="15" hidden="false" customHeight="false" outlineLevel="0" collapsed="false">
      <c r="A3907" s="0" t="s">
        <v>2596</v>
      </c>
      <c r="B3907" s="0" t="s">
        <v>1304</v>
      </c>
      <c r="C3907" s="0" t="s">
        <v>1305</v>
      </c>
      <c r="D3907" s="0" t="n">
        <v>50</v>
      </c>
      <c r="E3907" s="6" t="n">
        <v>40844.31875</v>
      </c>
      <c r="F3907" s="0" t="n">
        <v>0.42</v>
      </c>
      <c r="G3907" s="0" t="n">
        <v>12678</v>
      </c>
      <c r="H3907" s="0" t="s">
        <v>43</v>
      </c>
      <c r="I3907" s="7" t="n">
        <f aca="false">IF(AND(LEFT(A3907,1)&lt;&gt;"C",D3907&gt;0,F3907&gt;0),1,0)</f>
        <v>1</v>
      </c>
      <c r="J3907" s="7" t="n">
        <f aca="false">IF(I3907=1,D3907*F3907,0)</f>
        <v>21</v>
      </c>
      <c r="K3907" s="7" t="n">
        <f aca="false">YEAR(E3907)*100+MONTH(E3907)</f>
        <v>201110</v>
      </c>
      <c r="L3907" s="7" t="n">
        <f aca="false">IF(AND(A3907&lt;&gt;A3906,LEFT(A3907,1)&lt;&gt;"C"),1,0)</f>
        <v>0</v>
      </c>
    </row>
    <row r="3908" customFormat="false" ht="15" hidden="false" customHeight="false" outlineLevel="0" collapsed="false">
      <c r="A3908" s="0" t="s">
        <v>2596</v>
      </c>
      <c r="B3908" s="0" t="s">
        <v>1259</v>
      </c>
      <c r="C3908" s="0" t="s">
        <v>1260</v>
      </c>
      <c r="D3908" s="0" t="n">
        <v>75</v>
      </c>
      <c r="E3908" s="6" t="n">
        <v>40844.31875</v>
      </c>
      <c r="F3908" s="0" t="n">
        <v>0.42</v>
      </c>
      <c r="G3908" s="0" t="n">
        <v>12678</v>
      </c>
      <c r="H3908" s="0" t="s">
        <v>43</v>
      </c>
      <c r="I3908" s="7" t="n">
        <f aca="false">IF(AND(LEFT(A3908,1)&lt;&gt;"C",D3908&gt;0,F3908&gt;0),1,0)</f>
        <v>1</v>
      </c>
      <c r="J3908" s="7" t="n">
        <f aca="false">IF(I3908=1,D3908*F3908,0)</f>
        <v>31.5</v>
      </c>
      <c r="K3908" s="7" t="n">
        <f aca="false">YEAR(E3908)*100+MONTH(E3908)</f>
        <v>201110</v>
      </c>
      <c r="L3908" s="7" t="n">
        <f aca="false">IF(AND(A3908&lt;&gt;A3907,LEFT(A3908,1)&lt;&gt;"C"),1,0)</f>
        <v>0</v>
      </c>
    </row>
    <row r="3909" customFormat="false" ht="15" hidden="false" customHeight="false" outlineLevel="0" collapsed="false">
      <c r="A3909" s="0" t="s">
        <v>2596</v>
      </c>
      <c r="B3909" s="0" t="s">
        <v>247</v>
      </c>
      <c r="C3909" s="0" t="s">
        <v>248</v>
      </c>
      <c r="D3909" s="0" t="n">
        <v>75</v>
      </c>
      <c r="E3909" s="6" t="n">
        <v>40844.31875</v>
      </c>
      <c r="F3909" s="0" t="n">
        <v>0.42</v>
      </c>
      <c r="G3909" s="0" t="n">
        <v>12678</v>
      </c>
      <c r="H3909" s="0" t="s">
        <v>43</v>
      </c>
      <c r="I3909" s="7" t="n">
        <f aca="false">IF(AND(LEFT(A3909,1)&lt;&gt;"C",D3909&gt;0,F3909&gt;0),1,0)</f>
        <v>1</v>
      </c>
      <c r="J3909" s="7" t="n">
        <f aca="false">IF(I3909=1,D3909*F3909,0)</f>
        <v>31.5</v>
      </c>
      <c r="K3909" s="7" t="n">
        <f aca="false">YEAR(E3909)*100+MONTH(E3909)</f>
        <v>201110</v>
      </c>
      <c r="L3909" s="7" t="n">
        <f aca="false">IF(AND(A3909&lt;&gt;A3908,LEFT(A3909,1)&lt;&gt;"C"),1,0)</f>
        <v>0</v>
      </c>
    </row>
    <row r="3910" customFormat="false" ht="15" hidden="false" customHeight="false" outlineLevel="0" collapsed="false">
      <c r="A3910" s="0" t="s">
        <v>2596</v>
      </c>
      <c r="B3910" s="0" t="s">
        <v>503</v>
      </c>
      <c r="C3910" s="0" t="s">
        <v>504</v>
      </c>
      <c r="D3910" s="0" t="n">
        <v>75</v>
      </c>
      <c r="E3910" s="6" t="n">
        <v>40844.31875</v>
      </c>
      <c r="F3910" s="0" t="n">
        <v>0.42</v>
      </c>
      <c r="G3910" s="0" t="n">
        <v>12678</v>
      </c>
      <c r="H3910" s="0" t="s">
        <v>43</v>
      </c>
      <c r="I3910" s="7" t="n">
        <f aca="false">IF(AND(LEFT(A3910,1)&lt;&gt;"C",D3910&gt;0,F3910&gt;0),1,0)</f>
        <v>1</v>
      </c>
      <c r="J3910" s="7" t="n">
        <f aca="false">IF(I3910=1,D3910*F3910,0)</f>
        <v>31.5</v>
      </c>
      <c r="K3910" s="7" t="n">
        <f aca="false">YEAR(E3910)*100+MONTH(E3910)</f>
        <v>201110</v>
      </c>
      <c r="L3910" s="7" t="n">
        <f aca="false">IF(AND(A3910&lt;&gt;A3909,LEFT(A3910,1)&lt;&gt;"C"),1,0)</f>
        <v>0</v>
      </c>
    </row>
    <row r="3911" customFormat="false" ht="15" hidden="false" customHeight="false" outlineLevel="0" collapsed="false">
      <c r="A3911" s="0" t="s">
        <v>2596</v>
      </c>
      <c r="B3911" s="0" t="s">
        <v>1885</v>
      </c>
      <c r="C3911" s="0" t="s">
        <v>1886</v>
      </c>
      <c r="D3911" s="0" t="n">
        <v>120</v>
      </c>
      <c r="E3911" s="6" t="n">
        <v>40844.31875</v>
      </c>
      <c r="F3911" s="0" t="n">
        <v>0.39</v>
      </c>
      <c r="G3911" s="0" t="n">
        <v>12678</v>
      </c>
      <c r="H3911" s="0" t="s">
        <v>43</v>
      </c>
      <c r="I3911" s="7" t="n">
        <f aca="false">IF(AND(LEFT(A3911,1)&lt;&gt;"C",D3911&gt;0,F3911&gt;0),1,0)</f>
        <v>1</v>
      </c>
      <c r="J3911" s="7" t="n">
        <f aca="false">IF(I3911=1,D3911*F3911,0)</f>
        <v>46.8</v>
      </c>
      <c r="K3911" s="7" t="n">
        <f aca="false">YEAR(E3911)*100+MONTH(E3911)</f>
        <v>201110</v>
      </c>
      <c r="L3911" s="7" t="n">
        <f aca="false">IF(AND(A3911&lt;&gt;A3910,LEFT(A3911,1)&lt;&gt;"C"),1,0)</f>
        <v>0</v>
      </c>
    </row>
    <row r="3912" customFormat="false" ht="15" hidden="false" customHeight="false" outlineLevel="0" collapsed="false">
      <c r="A3912" s="0" t="s">
        <v>2596</v>
      </c>
      <c r="B3912" s="0" t="s">
        <v>1407</v>
      </c>
      <c r="C3912" s="0" t="s">
        <v>1408</v>
      </c>
      <c r="D3912" s="0" t="n">
        <v>120</v>
      </c>
      <c r="E3912" s="6" t="n">
        <v>40844.31875</v>
      </c>
      <c r="F3912" s="0" t="n">
        <v>0.39</v>
      </c>
      <c r="G3912" s="0" t="n">
        <v>12678</v>
      </c>
      <c r="H3912" s="0" t="s">
        <v>43</v>
      </c>
      <c r="I3912" s="7" t="n">
        <f aca="false">IF(AND(LEFT(A3912,1)&lt;&gt;"C",D3912&gt;0,F3912&gt;0),1,0)</f>
        <v>1</v>
      </c>
      <c r="J3912" s="7" t="n">
        <f aca="false">IF(I3912=1,D3912*F3912,0)</f>
        <v>46.8</v>
      </c>
      <c r="K3912" s="7" t="n">
        <f aca="false">YEAR(E3912)*100+MONTH(E3912)</f>
        <v>201110</v>
      </c>
      <c r="L3912" s="7" t="n">
        <f aca="false">IF(AND(A3912&lt;&gt;A3911,LEFT(A3912,1)&lt;&gt;"C"),1,0)</f>
        <v>0</v>
      </c>
    </row>
    <row r="3913" customFormat="false" ht="15" hidden="false" customHeight="false" outlineLevel="0" collapsed="false">
      <c r="A3913" s="0" t="s">
        <v>2596</v>
      </c>
      <c r="B3913" s="0" t="s">
        <v>575</v>
      </c>
      <c r="C3913" s="0" t="s">
        <v>576</v>
      </c>
      <c r="D3913" s="0" t="n">
        <v>300</v>
      </c>
      <c r="E3913" s="6" t="n">
        <v>40844.31875</v>
      </c>
      <c r="F3913" s="0" t="n">
        <v>1.79</v>
      </c>
      <c r="G3913" s="0" t="n">
        <v>12678</v>
      </c>
      <c r="H3913" s="0" t="s">
        <v>43</v>
      </c>
      <c r="I3913" s="7" t="n">
        <f aca="false">IF(AND(LEFT(A3913,1)&lt;&gt;"C",D3913&gt;0,F3913&gt;0),1,0)</f>
        <v>1</v>
      </c>
      <c r="J3913" s="7" t="n">
        <f aca="false">IF(I3913=1,D3913*F3913,0)</f>
        <v>537</v>
      </c>
      <c r="K3913" s="7" t="n">
        <f aca="false">YEAR(E3913)*100+MONTH(E3913)</f>
        <v>201110</v>
      </c>
      <c r="L3913" s="7" t="n">
        <f aca="false">IF(AND(A3913&lt;&gt;A3912,LEFT(A3913,1)&lt;&gt;"C"),1,0)</f>
        <v>0</v>
      </c>
    </row>
    <row r="3914" customFormat="false" ht="15" hidden="false" customHeight="false" outlineLevel="0" collapsed="false">
      <c r="A3914" s="0" t="s">
        <v>2596</v>
      </c>
      <c r="B3914" s="0" t="s">
        <v>517</v>
      </c>
      <c r="C3914" s="0" t="s">
        <v>518</v>
      </c>
      <c r="D3914" s="0" t="n">
        <v>300</v>
      </c>
      <c r="E3914" s="6" t="n">
        <v>40844.31875</v>
      </c>
      <c r="F3914" s="0" t="n">
        <v>1.79</v>
      </c>
      <c r="G3914" s="0" t="n">
        <v>12678</v>
      </c>
      <c r="H3914" s="0" t="s">
        <v>43</v>
      </c>
      <c r="I3914" s="7" t="n">
        <f aca="false">IF(AND(LEFT(A3914,1)&lt;&gt;"C",D3914&gt;0,F3914&gt;0),1,0)</f>
        <v>1</v>
      </c>
      <c r="J3914" s="7" t="n">
        <f aca="false">IF(I3914=1,D3914*F3914,0)</f>
        <v>537</v>
      </c>
      <c r="K3914" s="7" t="n">
        <f aca="false">YEAR(E3914)*100+MONTH(E3914)</f>
        <v>201110</v>
      </c>
      <c r="L3914" s="7" t="n">
        <f aca="false">IF(AND(A3914&lt;&gt;A3913,LEFT(A3914,1)&lt;&gt;"C"),1,0)</f>
        <v>0</v>
      </c>
    </row>
    <row r="3915" customFormat="false" ht="15" hidden="false" customHeight="false" outlineLevel="0" collapsed="false">
      <c r="A3915" s="0" t="s">
        <v>2596</v>
      </c>
      <c r="B3915" s="0" t="s">
        <v>56</v>
      </c>
      <c r="C3915" s="0" t="s">
        <v>57</v>
      </c>
      <c r="D3915" s="0" t="n">
        <v>80</v>
      </c>
      <c r="E3915" s="6" t="n">
        <v>40844.31875</v>
      </c>
      <c r="F3915" s="0" t="n">
        <v>1.65</v>
      </c>
      <c r="G3915" s="0" t="n">
        <v>12678</v>
      </c>
      <c r="H3915" s="0" t="s">
        <v>43</v>
      </c>
      <c r="I3915" s="7" t="n">
        <f aca="false">IF(AND(LEFT(A3915,1)&lt;&gt;"C",D3915&gt;0,F3915&gt;0),1,0)</f>
        <v>1</v>
      </c>
      <c r="J3915" s="7" t="n">
        <f aca="false">IF(I3915=1,D3915*F3915,0)</f>
        <v>132</v>
      </c>
      <c r="K3915" s="7" t="n">
        <f aca="false">YEAR(E3915)*100+MONTH(E3915)</f>
        <v>201110</v>
      </c>
      <c r="L3915" s="7" t="n">
        <f aca="false">IF(AND(A3915&lt;&gt;A3914,LEFT(A3915,1)&lt;&gt;"C"),1,0)</f>
        <v>0</v>
      </c>
    </row>
    <row r="3916" customFormat="false" ht="15" hidden="false" customHeight="false" outlineLevel="0" collapsed="false">
      <c r="A3916" s="0" t="s">
        <v>2596</v>
      </c>
      <c r="B3916" s="0" t="s">
        <v>68</v>
      </c>
      <c r="C3916" s="0" t="s">
        <v>69</v>
      </c>
      <c r="D3916" s="0" t="n">
        <v>80</v>
      </c>
      <c r="E3916" s="6" t="n">
        <v>40844.31875</v>
      </c>
      <c r="F3916" s="0" t="n">
        <v>1.65</v>
      </c>
      <c r="G3916" s="0" t="n">
        <v>12678</v>
      </c>
      <c r="H3916" s="0" t="s">
        <v>43</v>
      </c>
      <c r="I3916" s="7" t="n">
        <f aca="false">IF(AND(LEFT(A3916,1)&lt;&gt;"C",D3916&gt;0,F3916&gt;0),1,0)</f>
        <v>1</v>
      </c>
      <c r="J3916" s="7" t="n">
        <f aca="false">IF(I3916=1,D3916*F3916,0)</f>
        <v>132</v>
      </c>
      <c r="K3916" s="7" t="n">
        <f aca="false">YEAR(E3916)*100+MONTH(E3916)</f>
        <v>201110</v>
      </c>
      <c r="L3916" s="7" t="n">
        <f aca="false">IF(AND(A3916&lt;&gt;A3915,LEFT(A3916,1)&lt;&gt;"C"),1,0)</f>
        <v>0</v>
      </c>
    </row>
    <row r="3917" customFormat="false" ht="15" hidden="false" customHeight="false" outlineLevel="0" collapsed="false">
      <c r="A3917" s="0" t="s">
        <v>2596</v>
      </c>
      <c r="B3917" s="0" t="s">
        <v>567</v>
      </c>
      <c r="C3917" s="0" t="s">
        <v>568</v>
      </c>
      <c r="D3917" s="0" t="n">
        <v>80</v>
      </c>
      <c r="E3917" s="6" t="n">
        <v>40844.31875</v>
      </c>
      <c r="F3917" s="0" t="n">
        <v>1.65</v>
      </c>
      <c r="G3917" s="0" t="n">
        <v>12678</v>
      </c>
      <c r="H3917" s="0" t="s">
        <v>43</v>
      </c>
      <c r="I3917" s="7" t="n">
        <f aca="false">IF(AND(LEFT(A3917,1)&lt;&gt;"C",D3917&gt;0,F3917&gt;0),1,0)</f>
        <v>1</v>
      </c>
      <c r="J3917" s="7" t="n">
        <f aca="false">IF(I3917=1,D3917*F3917,0)</f>
        <v>132</v>
      </c>
      <c r="K3917" s="7" t="n">
        <f aca="false">YEAR(E3917)*100+MONTH(E3917)</f>
        <v>201110</v>
      </c>
      <c r="L3917" s="7" t="n">
        <f aca="false">IF(AND(A3917&lt;&gt;A3916,LEFT(A3917,1)&lt;&gt;"C"),1,0)</f>
        <v>0</v>
      </c>
    </row>
    <row r="3918" customFormat="false" ht="15" hidden="false" customHeight="false" outlineLevel="0" collapsed="false">
      <c r="A3918" s="0" t="s">
        <v>2596</v>
      </c>
      <c r="B3918" s="0" t="s">
        <v>197</v>
      </c>
      <c r="C3918" s="0" t="s">
        <v>198</v>
      </c>
      <c r="D3918" s="0" t="n">
        <v>120</v>
      </c>
      <c r="E3918" s="6" t="n">
        <v>40844.31875</v>
      </c>
      <c r="F3918" s="0" t="n">
        <v>0.64</v>
      </c>
      <c r="G3918" s="0" t="n">
        <v>12678</v>
      </c>
      <c r="H3918" s="0" t="s">
        <v>43</v>
      </c>
      <c r="I3918" s="7" t="n">
        <f aca="false">IF(AND(LEFT(A3918,1)&lt;&gt;"C",D3918&gt;0,F3918&gt;0),1,0)</f>
        <v>1</v>
      </c>
      <c r="J3918" s="7" t="n">
        <f aca="false">IF(I3918=1,D3918*F3918,0)</f>
        <v>76.8</v>
      </c>
      <c r="K3918" s="7" t="n">
        <f aca="false">YEAR(E3918)*100+MONTH(E3918)</f>
        <v>201110</v>
      </c>
      <c r="L3918" s="7" t="n">
        <f aca="false">IF(AND(A3918&lt;&gt;A3917,LEFT(A3918,1)&lt;&gt;"C"),1,0)</f>
        <v>0</v>
      </c>
    </row>
    <row r="3919" customFormat="false" ht="15" hidden="false" customHeight="false" outlineLevel="0" collapsed="false">
      <c r="A3919" s="0" t="s">
        <v>2596</v>
      </c>
      <c r="B3919" s="0" t="s">
        <v>193</v>
      </c>
      <c r="C3919" s="0" t="s">
        <v>194</v>
      </c>
      <c r="D3919" s="0" t="n">
        <v>120</v>
      </c>
      <c r="E3919" s="6" t="n">
        <v>40844.31875</v>
      </c>
      <c r="F3919" s="0" t="n">
        <v>0.65</v>
      </c>
      <c r="G3919" s="0" t="n">
        <v>12678</v>
      </c>
      <c r="H3919" s="0" t="s">
        <v>43</v>
      </c>
      <c r="I3919" s="7" t="n">
        <f aca="false">IF(AND(LEFT(A3919,1)&lt;&gt;"C",D3919&gt;0,F3919&gt;0),1,0)</f>
        <v>1</v>
      </c>
      <c r="J3919" s="7" t="n">
        <f aca="false">IF(I3919=1,D3919*F3919,0)</f>
        <v>78</v>
      </c>
      <c r="K3919" s="7" t="n">
        <f aca="false">YEAR(E3919)*100+MONTH(E3919)</f>
        <v>201110</v>
      </c>
      <c r="L3919" s="7" t="n">
        <f aca="false">IF(AND(A3919&lt;&gt;A3918,LEFT(A3919,1)&lt;&gt;"C"),1,0)</f>
        <v>0</v>
      </c>
    </row>
    <row r="3920" customFormat="false" ht="15" hidden="false" customHeight="false" outlineLevel="0" collapsed="false">
      <c r="A3920" s="0" t="s">
        <v>2596</v>
      </c>
      <c r="B3920" s="0" t="s">
        <v>151</v>
      </c>
      <c r="C3920" s="0" t="s">
        <v>152</v>
      </c>
      <c r="D3920" s="0" t="n">
        <v>120</v>
      </c>
      <c r="E3920" s="6" t="n">
        <v>40844.31875</v>
      </c>
      <c r="F3920" s="0" t="n">
        <v>0.72</v>
      </c>
      <c r="G3920" s="0" t="n">
        <v>12678</v>
      </c>
      <c r="H3920" s="0" t="s">
        <v>43</v>
      </c>
      <c r="I3920" s="7" t="n">
        <f aca="false">IF(AND(LEFT(A3920,1)&lt;&gt;"C",D3920&gt;0,F3920&gt;0),1,0)</f>
        <v>1</v>
      </c>
      <c r="J3920" s="7" t="n">
        <f aca="false">IF(I3920=1,D3920*F3920,0)</f>
        <v>86.4</v>
      </c>
      <c r="K3920" s="7" t="n">
        <f aca="false">YEAR(E3920)*100+MONTH(E3920)</f>
        <v>201110</v>
      </c>
      <c r="L3920" s="7" t="n">
        <f aca="false">IF(AND(A3920&lt;&gt;A3919,LEFT(A3920,1)&lt;&gt;"C"),1,0)</f>
        <v>0</v>
      </c>
    </row>
    <row r="3921" customFormat="false" ht="15" hidden="false" customHeight="false" outlineLevel="0" collapsed="false">
      <c r="A3921" s="0" t="s">
        <v>2596</v>
      </c>
      <c r="B3921" s="0" t="s">
        <v>2273</v>
      </c>
      <c r="C3921" s="0" t="s">
        <v>2274</v>
      </c>
      <c r="D3921" s="0" t="n">
        <v>60</v>
      </c>
      <c r="E3921" s="6" t="n">
        <v>40844.31875</v>
      </c>
      <c r="F3921" s="0" t="n">
        <v>2.1</v>
      </c>
      <c r="G3921" s="0" t="n">
        <v>12678</v>
      </c>
      <c r="H3921" s="0" t="s">
        <v>43</v>
      </c>
      <c r="I3921" s="7" t="n">
        <f aca="false">IF(AND(LEFT(A3921,1)&lt;&gt;"C",D3921&gt;0,F3921&gt;0),1,0)</f>
        <v>1</v>
      </c>
      <c r="J3921" s="7" t="n">
        <f aca="false">IF(I3921=1,D3921*F3921,0)</f>
        <v>126</v>
      </c>
      <c r="K3921" s="7" t="n">
        <f aca="false">YEAR(E3921)*100+MONTH(E3921)</f>
        <v>201110</v>
      </c>
      <c r="L3921" s="7" t="n">
        <f aca="false">IF(AND(A3921&lt;&gt;A3920,LEFT(A3921,1)&lt;&gt;"C"),1,0)</f>
        <v>0</v>
      </c>
    </row>
    <row r="3922" customFormat="false" ht="15" hidden="false" customHeight="false" outlineLevel="0" collapsed="false">
      <c r="A3922" s="0" t="s">
        <v>2596</v>
      </c>
      <c r="B3922" s="0" t="s">
        <v>787</v>
      </c>
      <c r="C3922" s="0" t="s">
        <v>788</v>
      </c>
      <c r="D3922" s="0" t="n">
        <v>48</v>
      </c>
      <c r="E3922" s="6" t="n">
        <v>40844.31875</v>
      </c>
      <c r="F3922" s="0" t="n">
        <v>1.45</v>
      </c>
      <c r="G3922" s="0" t="n">
        <v>12678</v>
      </c>
      <c r="H3922" s="0" t="s">
        <v>43</v>
      </c>
      <c r="I3922" s="7" t="n">
        <f aca="false">IF(AND(LEFT(A3922,1)&lt;&gt;"C",D3922&gt;0,F3922&gt;0),1,0)</f>
        <v>1</v>
      </c>
      <c r="J3922" s="7" t="n">
        <f aca="false">IF(I3922=1,D3922*F3922,0)</f>
        <v>69.6</v>
      </c>
      <c r="K3922" s="7" t="n">
        <f aca="false">YEAR(E3922)*100+MONTH(E3922)</f>
        <v>201110</v>
      </c>
      <c r="L3922" s="7" t="n">
        <f aca="false">IF(AND(A3922&lt;&gt;A3921,LEFT(A3922,1)&lt;&gt;"C"),1,0)</f>
        <v>0</v>
      </c>
    </row>
    <row r="3923" customFormat="false" ht="15" hidden="false" customHeight="false" outlineLevel="0" collapsed="false">
      <c r="A3923" s="0" t="s">
        <v>2596</v>
      </c>
      <c r="B3923" s="0" t="s">
        <v>962</v>
      </c>
      <c r="C3923" s="0" t="s">
        <v>963</v>
      </c>
      <c r="D3923" s="0" t="n">
        <v>16</v>
      </c>
      <c r="E3923" s="6" t="n">
        <v>40844.31875</v>
      </c>
      <c r="F3923" s="0" t="n">
        <v>0.85</v>
      </c>
      <c r="G3923" s="0" t="n">
        <v>12678</v>
      </c>
      <c r="H3923" s="0" t="s">
        <v>43</v>
      </c>
      <c r="I3923" s="7" t="n">
        <f aca="false">IF(AND(LEFT(A3923,1)&lt;&gt;"C",D3923&gt;0,F3923&gt;0),1,0)</f>
        <v>1</v>
      </c>
      <c r="J3923" s="7" t="n">
        <f aca="false">IF(I3923=1,D3923*F3923,0)</f>
        <v>13.6</v>
      </c>
      <c r="K3923" s="7" t="n">
        <f aca="false">YEAR(E3923)*100+MONTH(E3923)</f>
        <v>201110</v>
      </c>
      <c r="L3923" s="7" t="n">
        <f aca="false">IF(AND(A3923&lt;&gt;A3922,LEFT(A3923,1)&lt;&gt;"C"),1,0)</f>
        <v>0</v>
      </c>
    </row>
    <row r="3924" customFormat="false" ht="15" hidden="false" customHeight="false" outlineLevel="0" collapsed="false">
      <c r="A3924" s="0" t="s">
        <v>2596</v>
      </c>
      <c r="B3924" s="0" t="s">
        <v>1092</v>
      </c>
      <c r="C3924" s="0" t="s">
        <v>1093</v>
      </c>
      <c r="D3924" s="0" t="n">
        <v>8</v>
      </c>
      <c r="E3924" s="6" t="n">
        <v>40844.31875</v>
      </c>
      <c r="F3924" s="0" t="n">
        <v>0.85</v>
      </c>
      <c r="G3924" s="0" t="n">
        <v>12678</v>
      </c>
      <c r="H3924" s="0" t="s">
        <v>43</v>
      </c>
      <c r="I3924" s="7" t="n">
        <f aca="false">IF(AND(LEFT(A3924,1)&lt;&gt;"C",D3924&gt;0,F3924&gt;0),1,0)</f>
        <v>1</v>
      </c>
      <c r="J3924" s="7" t="n">
        <f aca="false">IF(I3924=1,D3924*F3924,0)</f>
        <v>6.8</v>
      </c>
      <c r="K3924" s="7" t="n">
        <f aca="false">YEAR(E3924)*100+MONTH(E3924)</f>
        <v>201110</v>
      </c>
      <c r="L3924" s="7" t="n">
        <f aca="false">IF(AND(A3924&lt;&gt;A3923,LEFT(A3924,1)&lt;&gt;"C"),1,0)</f>
        <v>0</v>
      </c>
    </row>
    <row r="3925" customFormat="false" ht="15" hidden="false" customHeight="false" outlineLevel="0" collapsed="false">
      <c r="A3925" s="0" t="s">
        <v>2596</v>
      </c>
      <c r="B3925" s="0" t="s">
        <v>719</v>
      </c>
      <c r="C3925" s="0" t="s">
        <v>720</v>
      </c>
      <c r="D3925" s="0" t="n">
        <v>8</v>
      </c>
      <c r="E3925" s="6" t="n">
        <v>40844.31875</v>
      </c>
      <c r="F3925" s="0" t="n">
        <v>0.85</v>
      </c>
      <c r="G3925" s="0" t="n">
        <v>12678</v>
      </c>
      <c r="H3925" s="0" t="s">
        <v>43</v>
      </c>
      <c r="I3925" s="7" t="n">
        <f aca="false">IF(AND(LEFT(A3925,1)&lt;&gt;"C",D3925&gt;0,F3925&gt;0),1,0)</f>
        <v>1</v>
      </c>
      <c r="J3925" s="7" t="n">
        <f aca="false">IF(I3925=1,D3925*F3925,0)</f>
        <v>6.8</v>
      </c>
      <c r="K3925" s="7" t="n">
        <f aca="false">YEAR(E3925)*100+MONTH(E3925)</f>
        <v>201110</v>
      </c>
      <c r="L3925" s="7" t="n">
        <f aca="false">IF(AND(A3925&lt;&gt;A3924,LEFT(A3925,1)&lt;&gt;"C"),1,0)</f>
        <v>0</v>
      </c>
    </row>
    <row r="3926" customFormat="false" ht="15" hidden="false" customHeight="false" outlineLevel="0" collapsed="false">
      <c r="A3926" s="0" t="s">
        <v>2596</v>
      </c>
      <c r="B3926" s="0" t="s">
        <v>583</v>
      </c>
      <c r="C3926" s="0" t="s">
        <v>584</v>
      </c>
      <c r="D3926" s="0" t="n">
        <v>36</v>
      </c>
      <c r="E3926" s="6" t="n">
        <v>40844.31875</v>
      </c>
      <c r="F3926" s="0" t="n">
        <v>1.45</v>
      </c>
      <c r="G3926" s="0" t="n">
        <v>12678</v>
      </c>
      <c r="H3926" s="0" t="s">
        <v>43</v>
      </c>
      <c r="I3926" s="7" t="n">
        <f aca="false">IF(AND(LEFT(A3926,1)&lt;&gt;"C",D3926&gt;0,F3926&gt;0),1,0)</f>
        <v>1</v>
      </c>
      <c r="J3926" s="7" t="n">
        <f aca="false">IF(I3926=1,D3926*F3926,0)</f>
        <v>52.2</v>
      </c>
      <c r="K3926" s="7" t="n">
        <f aca="false">YEAR(E3926)*100+MONTH(E3926)</f>
        <v>201110</v>
      </c>
      <c r="L3926" s="7" t="n">
        <f aca="false">IF(AND(A3926&lt;&gt;A3925,LEFT(A3926,1)&lt;&gt;"C"),1,0)</f>
        <v>0</v>
      </c>
    </row>
    <row r="3927" customFormat="false" ht="15" hidden="false" customHeight="false" outlineLevel="0" collapsed="false">
      <c r="A3927" s="0" t="s">
        <v>2596</v>
      </c>
      <c r="B3927" s="0" t="s">
        <v>581</v>
      </c>
      <c r="C3927" s="0" t="s">
        <v>582</v>
      </c>
      <c r="D3927" s="0" t="n">
        <v>48</v>
      </c>
      <c r="E3927" s="6" t="n">
        <v>40844.31875</v>
      </c>
      <c r="F3927" s="0" t="n">
        <v>0.72</v>
      </c>
      <c r="G3927" s="0" t="n">
        <v>12678</v>
      </c>
      <c r="H3927" s="0" t="s">
        <v>43</v>
      </c>
      <c r="I3927" s="7" t="n">
        <f aca="false">IF(AND(LEFT(A3927,1)&lt;&gt;"C",D3927&gt;0,F3927&gt;0),1,0)</f>
        <v>1</v>
      </c>
      <c r="J3927" s="7" t="n">
        <f aca="false">IF(I3927=1,D3927*F3927,0)</f>
        <v>34.56</v>
      </c>
      <c r="K3927" s="7" t="n">
        <f aca="false">YEAR(E3927)*100+MONTH(E3927)</f>
        <v>201110</v>
      </c>
      <c r="L3927" s="7" t="n">
        <f aca="false">IF(AND(A3927&lt;&gt;A3926,LEFT(A3927,1)&lt;&gt;"C"),1,0)</f>
        <v>0</v>
      </c>
    </row>
    <row r="3928" customFormat="false" ht="15" hidden="false" customHeight="false" outlineLevel="0" collapsed="false">
      <c r="A3928" s="0" t="s">
        <v>2596</v>
      </c>
      <c r="B3928" s="0" t="s">
        <v>579</v>
      </c>
      <c r="C3928" s="0" t="s">
        <v>580</v>
      </c>
      <c r="D3928" s="0" t="n">
        <v>48</v>
      </c>
      <c r="E3928" s="6" t="n">
        <v>40844.31875</v>
      </c>
      <c r="F3928" s="0" t="n">
        <v>0.72</v>
      </c>
      <c r="G3928" s="0" t="n">
        <v>12678</v>
      </c>
      <c r="H3928" s="0" t="s">
        <v>43</v>
      </c>
      <c r="I3928" s="7" t="n">
        <f aca="false">IF(AND(LEFT(A3928,1)&lt;&gt;"C",D3928&gt;0,F3928&gt;0),1,0)</f>
        <v>1</v>
      </c>
      <c r="J3928" s="7" t="n">
        <f aca="false">IF(I3928=1,D3928*F3928,0)</f>
        <v>34.56</v>
      </c>
      <c r="K3928" s="7" t="n">
        <f aca="false">YEAR(E3928)*100+MONTH(E3928)</f>
        <v>201110</v>
      </c>
      <c r="L3928" s="7" t="n">
        <f aca="false">IF(AND(A3928&lt;&gt;A3927,LEFT(A3928,1)&lt;&gt;"C"),1,0)</f>
        <v>0</v>
      </c>
    </row>
    <row r="3929" customFormat="false" ht="15" hidden="false" customHeight="false" outlineLevel="0" collapsed="false">
      <c r="A3929" s="0" t="s">
        <v>2596</v>
      </c>
      <c r="B3929" s="0" t="s">
        <v>1527</v>
      </c>
      <c r="C3929" s="0" t="s">
        <v>1528</v>
      </c>
      <c r="D3929" s="0" t="n">
        <v>48</v>
      </c>
      <c r="E3929" s="6" t="n">
        <v>40844.31875</v>
      </c>
      <c r="F3929" s="0" t="n">
        <v>3.25</v>
      </c>
      <c r="G3929" s="0" t="n">
        <v>12678</v>
      </c>
      <c r="H3929" s="0" t="s">
        <v>43</v>
      </c>
      <c r="I3929" s="7" t="n">
        <f aca="false">IF(AND(LEFT(A3929,1)&lt;&gt;"C",D3929&gt;0,F3929&gt;0),1,0)</f>
        <v>1</v>
      </c>
      <c r="J3929" s="7" t="n">
        <f aca="false">IF(I3929=1,D3929*F3929,0)</f>
        <v>156</v>
      </c>
      <c r="K3929" s="7" t="n">
        <f aca="false">YEAR(E3929)*100+MONTH(E3929)</f>
        <v>201110</v>
      </c>
      <c r="L3929" s="7" t="n">
        <f aca="false">IF(AND(A3929&lt;&gt;A3928,LEFT(A3929,1)&lt;&gt;"C"),1,0)</f>
        <v>0</v>
      </c>
    </row>
    <row r="3930" customFormat="false" ht="15" hidden="false" customHeight="false" outlineLevel="0" collapsed="false">
      <c r="A3930" s="0" t="s">
        <v>2596</v>
      </c>
      <c r="B3930" s="0" t="s">
        <v>101</v>
      </c>
      <c r="C3930" s="0" t="s">
        <v>102</v>
      </c>
      <c r="D3930" s="0" t="n">
        <v>96</v>
      </c>
      <c r="E3930" s="6" t="n">
        <v>40844.31875</v>
      </c>
      <c r="F3930" s="0" t="n">
        <v>0.72</v>
      </c>
      <c r="G3930" s="0" t="n">
        <v>12678</v>
      </c>
      <c r="H3930" s="0" t="s">
        <v>43</v>
      </c>
      <c r="I3930" s="7" t="n">
        <f aca="false">IF(AND(LEFT(A3930,1)&lt;&gt;"C",D3930&gt;0,F3930&gt;0),1,0)</f>
        <v>1</v>
      </c>
      <c r="J3930" s="7" t="n">
        <f aca="false">IF(I3930=1,D3930*F3930,0)</f>
        <v>69.12</v>
      </c>
      <c r="K3930" s="7" t="n">
        <f aca="false">YEAR(E3930)*100+MONTH(E3930)</f>
        <v>201110</v>
      </c>
      <c r="L3930" s="7" t="n">
        <f aca="false">IF(AND(A3930&lt;&gt;A3929,LEFT(A3930,1)&lt;&gt;"C"),1,0)</f>
        <v>0</v>
      </c>
    </row>
    <row r="3931" customFormat="false" ht="15" hidden="false" customHeight="false" outlineLevel="0" collapsed="false">
      <c r="A3931" s="0" t="s">
        <v>2596</v>
      </c>
      <c r="B3931" s="0" t="s">
        <v>1858</v>
      </c>
      <c r="C3931" s="0" t="s">
        <v>1859</v>
      </c>
      <c r="D3931" s="0" t="n">
        <v>48</v>
      </c>
      <c r="E3931" s="6" t="n">
        <v>40844.31875</v>
      </c>
      <c r="F3931" s="0" t="n">
        <v>1.45</v>
      </c>
      <c r="G3931" s="0" t="n">
        <v>12678</v>
      </c>
      <c r="H3931" s="0" t="s">
        <v>43</v>
      </c>
      <c r="I3931" s="7" t="n">
        <f aca="false">IF(AND(LEFT(A3931,1)&lt;&gt;"C",D3931&gt;0,F3931&gt;0),1,0)</f>
        <v>1</v>
      </c>
      <c r="J3931" s="7" t="n">
        <f aca="false">IF(I3931=1,D3931*F3931,0)</f>
        <v>69.6</v>
      </c>
      <c r="K3931" s="7" t="n">
        <f aca="false">YEAR(E3931)*100+MONTH(E3931)</f>
        <v>201110</v>
      </c>
      <c r="L3931" s="7" t="n">
        <f aca="false">IF(AND(A3931&lt;&gt;A3930,LEFT(A3931,1)&lt;&gt;"C"),1,0)</f>
        <v>0</v>
      </c>
    </row>
    <row r="3932" customFormat="false" ht="15" hidden="false" customHeight="false" outlineLevel="0" collapsed="false">
      <c r="A3932" s="0" t="s">
        <v>2596</v>
      </c>
      <c r="B3932" s="0" t="s">
        <v>689</v>
      </c>
      <c r="C3932" s="0" t="s">
        <v>690</v>
      </c>
      <c r="D3932" s="0" t="n">
        <v>36</v>
      </c>
      <c r="E3932" s="6" t="n">
        <v>40844.31875</v>
      </c>
      <c r="F3932" s="0" t="n">
        <v>1.25</v>
      </c>
      <c r="G3932" s="0" t="n">
        <v>12678</v>
      </c>
      <c r="H3932" s="0" t="s">
        <v>43</v>
      </c>
      <c r="I3932" s="7" t="n">
        <f aca="false">IF(AND(LEFT(A3932,1)&lt;&gt;"C",D3932&gt;0,F3932&gt;0),1,0)</f>
        <v>1</v>
      </c>
      <c r="J3932" s="7" t="n">
        <f aca="false">IF(I3932=1,D3932*F3932,0)</f>
        <v>45</v>
      </c>
      <c r="K3932" s="7" t="n">
        <f aca="false">YEAR(E3932)*100+MONTH(E3932)</f>
        <v>201110</v>
      </c>
      <c r="L3932" s="7" t="n">
        <f aca="false">IF(AND(A3932&lt;&gt;A3931,LEFT(A3932,1)&lt;&gt;"C"),1,0)</f>
        <v>0</v>
      </c>
    </row>
    <row r="3933" customFormat="false" ht="15" hidden="false" customHeight="false" outlineLevel="0" collapsed="false">
      <c r="A3933" s="0" t="s">
        <v>2596</v>
      </c>
      <c r="B3933" s="0" t="s">
        <v>109</v>
      </c>
      <c r="C3933" s="0" t="s">
        <v>110</v>
      </c>
      <c r="D3933" s="0" t="n">
        <v>72</v>
      </c>
      <c r="E3933" s="6" t="n">
        <v>40844.31875</v>
      </c>
      <c r="F3933" s="0" t="n">
        <v>0.83</v>
      </c>
      <c r="G3933" s="0" t="n">
        <v>12678</v>
      </c>
      <c r="H3933" s="0" t="s">
        <v>43</v>
      </c>
      <c r="I3933" s="7" t="n">
        <f aca="false">IF(AND(LEFT(A3933,1)&lt;&gt;"C",D3933&gt;0,F3933&gt;0),1,0)</f>
        <v>1</v>
      </c>
      <c r="J3933" s="7" t="n">
        <f aca="false">IF(I3933=1,D3933*F3933,0)</f>
        <v>59.76</v>
      </c>
      <c r="K3933" s="7" t="n">
        <f aca="false">YEAR(E3933)*100+MONTH(E3933)</f>
        <v>201110</v>
      </c>
      <c r="L3933" s="7" t="n">
        <f aca="false">IF(AND(A3933&lt;&gt;A3932,LEFT(A3933,1)&lt;&gt;"C"),1,0)</f>
        <v>0</v>
      </c>
    </row>
    <row r="3934" customFormat="false" ht="15" hidden="false" customHeight="false" outlineLevel="0" collapsed="false">
      <c r="A3934" s="0" t="s">
        <v>2596</v>
      </c>
      <c r="B3934" s="0" t="s">
        <v>717</v>
      </c>
      <c r="C3934" s="0" t="s">
        <v>718</v>
      </c>
      <c r="D3934" s="0" t="n">
        <v>48</v>
      </c>
      <c r="E3934" s="6" t="n">
        <v>40844.31875</v>
      </c>
      <c r="F3934" s="0" t="n">
        <v>0.83</v>
      </c>
      <c r="G3934" s="0" t="n">
        <v>12678</v>
      </c>
      <c r="H3934" s="0" t="s">
        <v>43</v>
      </c>
      <c r="I3934" s="7" t="n">
        <f aca="false">IF(AND(LEFT(A3934,1)&lt;&gt;"C",D3934&gt;0,F3934&gt;0),1,0)</f>
        <v>1</v>
      </c>
      <c r="J3934" s="7" t="n">
        <f aca="false">IF(I3934=1,D3934*F3934,0)</f>
        <v>39.84</v>
      </c>
      <c r="K3934" s="7" t="n">
        <f aca="false">YEAR(E3934)*100+MONTH(E3934)</f>
        <v>201110</v>
      </c>
      <c r="L3934" s="7" t="n">
        <f aca="false">IF(AND(A3934&lt;&gt;A3933,LEFT(A3934,1)&lt;&gt;"C"),1,0)</f>
        <v>0</v>
      </c>
    </row>
    <row r="3935" customFormat="false" ht="15" hidden="false" customHeight="false" outlineLevel="0" collapsed="false">
      <c r="A3935" s="0" t="s">
        <v>2596</v>
      </c>
      <c r="B3935" s="0" t="s">
        <v>1300</v>
      </c>
      <c r="C3935" s="0" t="s">
        <v>1301</v>
      </c>
      <c r="D3935" s="0" t="n">
        <v>72</v>
      </c>
      <c r="E3935" s="6" t="n">
        <v>40844.31875</v>
      </c>
      <c r="F3935" s="0" t="n">
        <v>0.55</v>
      </c>
      <c r="G3935" s="0" t="n">
        <v>12678</v>
      </c>
      <c r="H3935" s="0" t="s">
        <v>43</v>
      </c>
      <c r="I3935" s="7" t="n">
        <f aca="false">IF(AND(LEFT(A3935,1)&lt;&gt;"C",D3935&gt;0,F3935&gt;0),1,0)</f>
        <v>1</v>
      </c>
      <c r="J3935" s="7" t="n">
        <f aca="false">IF(I3935=1,D3935*F3935,0)</f>
        <v>39.6</v>
      </c>
      <c r="K3935" s="7" t="n">
        <f aca="false">YEAR(E3935)*100+MONTH(E3935)</f>
        <v>201110</v>
      </c>
      <c r="L3935" s="7" t="n">
        <f aca="false">IF(AND(A3935&lt;&gt;A3934,LEFT(A3935,1)&lt;&gt;"C"),1,0)</f>
        <v>0</v>
      </c>
    </row>
    <row r="3936" customFormat="false" ht="15" hidden="false" customHeight="false" outlineLevel="0" collapsed="false">
      <c r="A3936" s="0" t="s">
        <v>2596</v>
      </c>
      <c r="B3936" s="0" t="s">
        <v>103</v>
      </c>
      <c r="C3936" s="0" t="s">
        <v>104</v>
      </c>
      <c r="D3936" s="0" t="n">
        <v>72</v>
      </c>
      <c r="E3936" s="6" t="n">
        <v>40844.31875</v>
      </c>
      <c r="F3936" s="0" t="n">
        <v>0.55</v>
      </c>
      <c r="G3936" s="0" t="n">
        <v>12678</v>
      </c>
      <c r="H3936" s="0" t="s">
        <v>43</v>
      </c>
      <c r="I3936" s="7" t="n">
        <f aca="false">IF(AND(LEFT(A3936,1)&lt;&gt;"C",D3936&gt;0,F3936&gt;0),1,0)</f>
        <v>1</v>
      </c>
      <c r="J3936" s="7" t="n">
        <f aca="false">IF(I3936=1,D3936*F3936,0)</f>
        <v>39.6</v>
      </c>
      <c r="K3936" s="7" t="n">
        <f aca="false">YEAR(E3936)*100+MONTH(E3936)</f>
        <v>201110</v>
      </c>
      <c r="L3936" s="7" t="n">
        <f aca="false">IF(AND(A3936&lt;&gt;A3935,LEFT(A3936,1)&lt;&gt;"C"),1,0)</f>
        <v>0</v>
      </c>
    </row>
    <row r="3937" customFormat="false" ht="15" hidden="false" customHeight="false" outlineLevel="0" collapsed="false">
      <c r="A3937" s="0" t="s">
        <v>2596</v>
      </c>
      <c r="B3937" s="0" t="s">
        <v>771</v>
      </c>
      <c r="C3937" s="0" t="s">
        <v>772</v>
      </c>
      <c r="D3937" s="0" t="n">
        <v>72</v>
      </c>
      <c r="E3937" s="6" t="n">
        <v>40844.31875</v>
      </c>
      <c r="F3937" s="0" t="n">
        <v>0.55</v>
      </c>
      <c r="G3937" s="0" t="n">
        <v>12678</v>
      </c>
      <c r="H3937" s="0" t="s">
        <v>43</v>
      </c>
      <c r="I3937" s="7" t="n">
        <f aca="false">IF(AND(LEFT(A3937,1)&lt;&gt;"C",D3937&gt;0,F3937&gt;0),1,0)</f>
        <v>1</v>
      </c>
      <c r="J3937" s="7" t="n">
        <f aca="false">IF(I3937=1,D3937*F3937,0)</f>
        <v>39.6</v>
      </c>
      <c r="K3937" s="7" t="n">
        <f aca="false">YEAR(E3937)*100+MONTH(E3937)</f>
        <v>201110</v>
      </c>
      <c r="L3937" s="7" t="n">
        <f aca="false">IF(AND(A3937&lt;&gt;A3936,LEFT(A3937,1)&lt;&gt;"C"),1,0)</f>
        <v>0</v>
      </c>
    </row>
    <row r="3938" customFormat="false" ht="15" hidden="false" customHeight="false" outlineLevel="0" collapsed="false">
      <c r="A3938" s="0" t="s">
        <v>2596</v>
      </c>
      <c r="B3938" s="0" t="s">
        <v>2599</v>
      </c>
      <c r="C3938" s="0" t="s">
        <v>2600</v>
      </c>
      <c r="D3938" s="0" t="n">
        <v>72</v>
      </c>
      <c r="E3938" s="6" t="n">
        <v>40844.31875</v>
      </c>
      <c r="F3938" s="0" t="n">
        <v>0.55</v>
      </c>
      <c r="G3938" s="0" t="n">
        <v>12678</v>
      </c>
      <c r="H3938" s="0" t="s">
        <v>43</v>
      </c>
      <c r="I3938" s="7" t="n">
        <f aca="false">IF(AND(LEFT(A3938,1)&lt;&gt;"C",D3938&gt;0,F3938&gt;0),1,0)</f>
        <v>1</v>
      </c>
      <c r="J3938" s="7" t="n">
        <f aca="false">IF(I3938=1,D3938*F3938,0)</f>
        <v>39.6</v>
      </c>
      <c r="K3938" s="7" t="n">
        <f aca="false">YEAR(E3938)*100+MONTH(E3938)</f>
        <v>201110</v>
      </c>
      <c r="L3938" s="7" t="n">
        <f aca="false">IF(AND(A3938&lt;&gt;A3937,LEFT(A3938,1)&lt;&gt;"C"),1,0)</f>
        <v>0</v>
      </c>
    </row>
    <row r="3939" customFormat="false" ht="15" hidden="false" customHeight="false" outlineLevel="0" collapsed="false">
      <c r="A3939" s="0" t="s">
        <v>2596</v>
      </c>
      <c r="B3939" s="0" t="s">
        <v>318</v>
      </c>
      <c r="C3939" s="0" t="s">
        <v>319</v>
      </c>
      <c r="D3939" s="0" t="n">
        <v>48</v>
      </c>
      <c r="E3939" s="6" t="n">
        <v>40844.31875</v>
      </c>
      <c r="F3939" s="0" t="n">
        <v>3.75</v>
      </c>
      <c r="G3939" s="0" t="n">
        <v>12678</v>
      </c>
      <c r="H3939" s="0" t="s">
        <v>43</v>
      </c>
      <c r="I3939" s="7" t="n">
        <f aca="false">IF(AND(LEFT(A3939,1)&lt;&gt;"C",D3939&gt;0,F3939&gt;0),1,0)</f>
        <v>1</v>
      </c>
      <c r="J3939" s="7" t="n">
        <f aca="false">IF(I3939=1,D3939*F3939,0)</f>
        <v>180</v>
      </c>
      <c r="K3939" s="7" t="n">
        <f aca="false">YEAR(E3939)*100+MONTH(E3939)</f>
        <v>201110</v>
      </c>
      <c r="L3939" s="7" t="n">
        <f aca="false">IF(AND(A3939&lt;&gt;A3938,LEFT(A3939,1)&lt;&gt;"C"),1,0)</f>
        <v>0</v>
      </c>
    </row>
    <row r="3940" customFormat="false" ht="15" hidden="false" customHeight="false" outlineLevel="0" collapsed="false">
      <c r="A3940" s="0" t="s">
        <v>2596</v>
      </c>
      <c r="B3940" s="0" t="s">
        <v>320</v>
      </c>
      <c r="C3940" s="0" t="s">
        <v>321</v>
      </c>
      <c r="D3940" s="0" t="n">
        <v>48</v>
      </c>
      <c r="E3940" s="6" t="n">
        <v>40844.31875</v>
      </c>
      <c r="F3940" s="0" t="n">
        <v>3.75</v>
      </c>
      <c r="G3940" s="0" t="n">
        <v>12678</v>
      </c>
      <c r="H3940" s="0" t="s">
        <v>43</v>
      </c>
      <c r="I3940" s="7" t="n">
        <f aca="false">IF(AND(LEFT(A3940,1)&lt;&gt;"C",D3940&gt;0,F3940&gt;0),1,0)</f>
        <v>1</v>
      </c>
      <c r="J3940" s="7" t="n">
        <f aca="false">IF(I3940=1,D3940*F3940,0)</f>
        <v>180</v>
      </c>
      <c r="K3940" s="7" t="n">
        <f aca="false">YEAR(E3940)*100+MONTH(E3940)</f>
        <v>201110</v>
      </c>
      <c r="L3940" s="7" t="n">
        <f aca="false">IF(AND(A3940&lt;&gt;A3939,LEFT(A3940,1)&lt;&gt;"C"),1,0)</f>
        <v>0</v>
      </c>
    </row>
    <row r="3941" customFormat="false" ht="15" hidden="false" customHeight="false" outlineLevel="0" collapsed="false">
      <c r="A3941" s="0" t="s">
        <v>2596</v>
      </c>
      <c r="B3941" s="0" t="s">
        <v>1600</v>
      </c>
      <c r="C3941" s="0" t="s">
        <v>1601</v>
      </c>
      <c r="D3941" s="0" t="n">
        <v>24</v>
      </c>
      <c r="E3941" s="6" t="n">
        <v>40844.31875</v>
      </c>
      <c r="F3941" s="0" t="n">
        <v>1.95</v>
      </c>
      <c r="G3941" s="0" t="n">
        <v>12678</v>
      </c>
      <c r="H3941" s="0" t="s">
        <v>43</v>
      </c>
      <c r="I3941" s="7" t="n">
        <f aca="false">IF(AND(LEFT(A3941,1)&lt;&gt;"C",D3941&gt;0,F3941&gt;0),1,0)</f>
        <v>1</v>
      </c>
      <c r="J3941" s="7" t="n">
        <f aca="false">IF(I3941=1,D3941*F3941,0)</f>
        <v>46.8</v>
      </c>
      <c r="K3941" s="7" t="n">
        <f aca="false">YEAR(E3941)*100+MONTH(E3941)</f>
        <v>201110</v>
      </c>
      <c r="L3941" s="7" t="n">
        <f aca="false">IF(AND(A3941&lt;&gt;A3940,LEFT(A3941,1)&lt;&gt;"C"),1,0)</f>
        <v>0</v>
      </c>
    </row>
    <row r="3942" customFormat="false" ht="15" hidden="false" customHeight="false" outlineLevel="0" collapsed="false">
      <c r="A3942" s="0" t="s">
        <v>2596</v>
      </c>
      <c r="B3942" s="0" t="s">
        <v>2314</v>
      </c>
      <c r="C3942" s="0" t="s">
        <v>2315</v>
      </c>
      <c r="D3942" s="0" t="n">
        <v>72</v>
      </c>
      <c r="E3942" s="6" t="n">
        <v>40844.31875</v>
      </c>
      <c r="F3942" s="0" t="n">
        <v>3.29</v>
      </c>
      <c r="G3942" s="0" t="n">
        <v>12678</v>
      </c>
      <c r="H3942" s="0" t="s">
        <v>43</v>
      </c>
      <c r="I3942" s="7" t="n">
        <f aca="false">IF(AND(LEFT(A3942,1)&lt;&gt;"C",D3942&gt;0,F3942&gt;0),1,0)</f>
        <v>1</v>
      </c>
      <c r="J3942" s="7" t="n">
        <f aca="false">IF(I3942=1,D3942*F3942,0)</f>
        <v>236.88</v>
      </c>
      <c r="K3942" s="7" t="n">
        <f aca="false">YEAR(E3942)*100+MONTH(E3942)</f>
        <v>201110</v>
      </c>
      <c r="L3942" s="7" t="n">
        <f aca="false">IF(AND(A3942&lt;&gt;A3941,LEFT(A3942,1)&lt;&gt;"C"),1,0)</f>
        <v>0</v>
      </c>
    </row>
    <row r="3943" customFormat="false" ht="15" hidden="false" customHeight="false" outlineLevel="0" collapsed="false">
      <c r="A3943" s="0" t="s">
        <v>2596</v>
      </c>
      <c r="B3943" s="0" t="s">
        <v>84</v>
      </c>
      <c r="C3943" s="0" t="s">
        <v>85</v>
      </c>
      <c r="D3943" s="0" t="n">
        <v>3</v>
      </c>
      <c r="E3943" s="6" t="n">
        <v>40844.31875</v>
      </c>
      <c r="F3943" s="0" t="n">
        <v>145</v>
      </c>
      <c r="G3943" s="0" t="n">
        <v>12678</v>
      </c>
      <c r="H3943" s="0" t="s">
        <v>43</v>
      </c>
      <c r="I3943" s="7" t="n">
        <f aca="false">IF(AND(LEFT(A3943,1)&lt;&gt;"C",D3943&gt;0,F3943&gt;0),1,0)</f>
        <v>1</v>
      </c>
      <c r="J3943" s="7" t="n">
        <f aca="false">IF(I3943=1,D3943*F3943,0)</f>
        <v>435</v>
      </c>
      <c r="K3943" s="7" t="n">
        <f aca="false">YEAR(E3943)*100+MONTH(E3943)</f>
        <v>201110</v>
      </c>
      <c r="L3943" s="7" t="n">
        <f aca="false">IF(AND(A3943&lt;&gt;A3942,LEFT(A3943,1)&lt;&gt;"C"),1,0)</f>
        <v>0</v>
      </c>
    </row>
    <row r="3944" customFormat="false" ht="15" hidden="false" customHeight="false" outlineLevel="0" collapsed="false">
      <c r="A3944" s="0" t="s">
        <v>2596</v>
      </c>
      <c r="B3944" s="0" t="s">
        <v>297</v>
      </c>
      <c r="C3944" s="0" t="s">
        <v>298</v>
      </c>
      <c r="D3944" s="0" t="n">
        <v>48</v>
      </c>
      <c r="E3944" s="6" t="n">
        <v>40844.31875</v>
      </c>
      <c r="F3944" s="0" t="n">
        <v>3.75</v>
      </c>
      <c r="G3944" s="0" t="n">
        <v>12678</v>
      </c>
      <c r="H3944" s="0" t="s">
        <v>43</v>
      </c>
      <c r="I3944" s="7" t="n">
        <f aca="false">IF(AND(LEFT(A3944,1)&lt;&gt;"C",D3944&gt;0,F3944&gt;0),1,0)</f>
        <v>1</v>
      </c>
      <c r="J3944" s="7" t="n">
        <f aca="false">IF(I3944=1,D3944*F3944,0)</f>
        <v>180</v>
      </c>
      <c r="K3944" s="7" t="n">
        <f aca="false">YEAR(E3944)*100+MONTH(E3944)</f>
        <v>201110</v>
      </c>
      <c r="L3944" s="7" t="n">
        <f aca="false">IF(AND(A3944&lt;&gt;A3943,LEFT(A3944,1)&lt;&gt;"C"),1,0)</f>
        <v>0</v>
      </c>
    </row>
    <row r="3945" customFormat="false" ht="15" hidden="false" customHeight="false" outlineLevel="0" collapsed="false">
      <c r="A3945" s="0" t="s">
        <v>2596</v>
      </c>
      <c r="B3945" s="0" t="s">
        <v>87</v>
      </c>
      <c r="C3945" s="0" t="s">
        <v>88</v>
      </c>
      <c r="D3945" s="0" t="n">
        <v>48</v>
      </c>
      <c r="E3945" s="6" t="n">
        <v>40844.31875</v>
      </c>
      <c r="F3945" s="0" t="n">
        <v>4.15</v>
      </c>
      <c r="G3945" s="0" t="n">
        <v>12678</v>
      </c>
      <c r="H3945" s="0" t="s">
        <v>43</v>
      </c>
      <c r="I3945" s="7" t="n">
        <f aca="false">IF(AND(LEFT(A3945,1)&lt;&gt;"C",D3945&gt;0,F3945&gt;0),1,0)</f>
        <v>1</v>
      </c>
      <c r="J3945" s="7" t="n">
        <f aca="false">IF(I3945=1,D3945*F3945,0)</f>
        <v>199.2</v>
      </c>
      <c r="K3945" s="7" t="n">
        <f aca="false">YEAR(E3945)*100+MONTH(E3945)</f>
        <v>201110</v>
      </c>
      <c r="L3945" s="7" t="n">
        <f aca="false">IF(AND(A3945&lt;&gt;A3944,LEFT(A3945,1)&lt;&gt;"C"),1,0)</f>
        <v>0</v>
      </c>
    </row>
    <row r="3946" customFormat="false" ht="15" hidden="false" customHeight="false" outlineLevel="0" collapsed="false">
      <c r="A3946" s="0" t="s">
        <v>2601</v>
      </c>
      <c r="B3946" s="0" t="s">
        <v>326</v>
      </c>
      <c r="C3946" s="0" t="s">
        <v>327</v>
      </c>
      <c r="D3946" s="0" t="n">
        <v>-1</v>
      </c>
      <c r="E3946" s="6" t="n">
        <v>40844.4847222222</v>
      </c>
      <c r="F3946" s="0" t="n">
        <v>8.5</v>
      </c>
      <c r="G3946" s="0" t="n">
        <v>12709</v>
      </c>
      <c r="H3946" s="0" t="s">
        <v>33</v>
      </c>
      <c r="I3946" s="7" t="n">
        <f aca="false">IF(AND(LEFT(A3946,1)&lt;&gt;"C",D3946&gt;0,F3946&gt;0),1,0)</f>
        <v>0</v>
      </c>
      <c r="J3946" s="7" t="n">
        <f aca="false">IF(I3946=1,D3946*F3946,0)</f>
        <v>0</v>
      </c>
      <c r="K3946" s="7" t="n">
        <f aca="false">YEAR(E3946)*100+MONTH(E3946)</f>
        <v>201110</v>
      </c>
      <c r="L3946" s="7" t="n">
        <f aca="false">IF(AND(A3946&lt;&gt;A3945,LEFT(A3946,1)&lt;&gt;"C"),1,0)</f>
        <v>0</v>
      </c>
    </row>
    <row r="3947" customFormat="false" ht="15" hidden="false" customHeight="false" outlineLevel="0" collapsed="false">
      <c r="A3947" s="0" t="s">
        <v>2602</v>
      </c>
      <c r="B3947" s="0" t="s">
        <v>2603</v>
      </c>
      <c r="C3947" s="0" t="s">
        <v>2604</v>
      </c>
      <c r="D3947" s="0" t="n">
        <v>36</v>
      </c>
      <c r="E3947" s="6" t="n">
        <v>40844.5444444444</v>
      </c>
      <c r="F3947" s="0" t="n">
        <v>1.45</v>
      </c>
      <c r="G3947" s="0" t="n">
        <v>12678</v>
      </c>
      <c r="H3947" s="0" t="s">
        <v>43</v>
      </c>
      <c r="I3947" s="7" t="n">
        <f aca="false">IF(AND(LEFT(A3947,1)&lt;&gt;"C",D3947&gt;0,F3947&gt;0),1,0)</f>
        <v>1</v>
      </c>
      <c r="J3947" s="7" t="n">
        <f aca="false">IF(I3947=1,D3947*F3947,0)</f>
        <v>52.2</v>
      </c>
      <c r="K3947" s="7" t="n">
        <f aca="false">YEAR(E3947)*100+MONTH(E3947)</f>
        <v>201110</v>
      </c>
      <c r="L3947" s="7" t="n">
        <f aca="false">IF(AND(A3947&lt;&gt;A3946,LEFT(A3947,1)&lt;&gt;"C"),1,0)</f>
        <v>1</v>
      </c>
    </row>
    <row r="3948" customFormat="false" ht="15" hidden="false" customHeight="false" outlineLevel="0" collapsed="false">
      <c r="A3948" s="0" t="s">
        <v>2605</v>
      </c>
      <c r="B3948" s="0" t="s">
        <v>705</v>
      </c>
      <c r="C3948" s="0" t="s">
        <v>706</v>
      </c>
      <c r="D3948" s="0" t="n">
        <v>12</v>
      </c>
      <c r="E3948" s="6" t="n">
        <v>40844.6020833333</v>
      </c>
      <c r="F3948" s="0" t="n">
        <v>0.85</v>
      </c>
      <c r="G3948" s="0" t="n">
        <v>13812</v>
      </c>
      <c r="H3948" s="0" t="s">
        <v>33</v>
      </c>
      <c r="I3948" s="7" t="n">
        <f aca="false">IF(AND(LEFT(A3948,1)&lt;&gt;"C",D3948&gt;0,F3948&gt;0),1,0)</f>
        <v>1</v>
      </c>
      <c r="J3948" s="7" t="n">
        <f aca="false">IF(I3948=1,D3948*F3948,0)</f>
        <v>10.2</v>
      </c>
      <c r="K3948" s="7" t="n">
        <f aca="false">YEAR(E3948)*100+MONTH(E3948)</f>
        <v>201110</v>
      </c>
      <c r="L3948" s="7" t="n">
        <f aca="false">IF(AND(A3948&lt;&gt;A3947,LEFT(A3948,1)&lt;&gt;"C"),1,0)</f>
        <v>1</v>
      </c>
    </row>
    <row r="3949" customFormat="false" ht="15" hidden="false" customHeight="false" outlineLevel="0" collapsed="false">
      <c r="A3949" s="0" t="s">
        <v>2605</v>
      </c>
      <c r="B3949" s="0" t="s">
        <v>452</v>
      </c>
      <c r="C3949" s="0" t="s">
        <v>453</v>
      </c>
      <c r="D3949" s="0" t="n">
        <v>2</v>
      </c>
      <c r="E3949" s="6" t="n">
        <v>40844.6020833333</v>
      </c>
      <c r="F3949" s="0" t="n">
        <v>8.5</v>
      </c>
      <c r="G3949" s="0" t="n">
        <v>13812</v>
      </c>
      <c r="H3949" s="0" t="s">
        <v>33</v>
      </c>
      <c r="I3949" s="7" t="n">
        <f aca="false">IF(AND(LEFT(A3949,1)&lt;&gt;"C",D3949&gt;0,F3949&gt;0),1,0)</f>
        <v>1</v>
      </c>
      <c r="J3949" s="7" t="n">
        <f aca="false">IF(I3949=1,D3949*F3949,0)</f>
        <v>17</v>
      </c>
      <c r="K3949" s="7" t="n">
        <f aca="false">YEAR(E3949)*100+MONTH(E3949)</f>
        <v>201110</v>
      </c>
      <c r="L3949" s="7" t="n">
        <f aca="false">IF(AND(A3949&lt;&gt;A3948,LEFT(A3949,1)&lt;&gt;"C"),1,0)</f>
        <v>0</v>
      </c>
    </row>
    <row r="3950" customFormat="false" ht="15" hidden="false" customHeight="false" outlineLevel="0" collapsed="false">
      <c r="A3950" s="0" t="s">
        <v>2605</v>
      </c>
      <c r="B3950" s="0" t="s">
        <v>895</v>
      </c>
      <c r="C3950" s="0" t="s">
        <v>896</v>
      </c>
      <c r="D3950" s="0" t="n">
        <v>6</v>
      </c>
      <c r="E3950" s="6" t="n">
        <v>40844.6020833333</v>
      </c>
      <c r="F3950" s="0" t="n">
        <v>2.89</v>
      </c>
      <c r="G3950" s="0" t="n">
        <v>13812</v>
      </c>
      <c r="H3950" s="0" t="s">
        <v>33</v>
      </c>
      <c r="I3950" s="7" t="n">
        <f aca="false">IF(AND(LEFT(A3950,1)&lt;&gt;"C",D3950&gt;0,F3950&gt;0),1,0)</f>
        <v>1</v>
      </c>
      <c r="J3950" s="7" t="n">
        <f aca="false">IF(I3950=1,D3950*F3950,0)</f>
        <v>17.34</v>
      </c>
      <c r="K3950" s="7" t="n">
        <f aca="false">YEAR(E3950)*100+MONTH(E3950)</f>
        <v>201110</v>
      </c>
      <c r="L3950" s="7" t="n">
        <f aca="false">IF(AND(A3950&lt;&gt;A3949,LEFT(A3950,1)&lt;&gt;"C"),1,0)</f>
        <v>0</v>
      </c>
    </row>
    <row r="3951" customFormat="false" ht="15" hidden="false" customHeight="false" outlineLevel="0" collapsed="false">
      <c r="A3951" s="0" t="s">
        <v>2605</v>
      </c>
      <c r="B3951" s="0" t="s">
        <v>1951</v>
      </c>
      <c r="C3951" s="0" t="s">
        <v>1952</v>
      </c>
      <c r="D3951" s="0" t="n">
        <v>24</v>
      </c>
      <c r="E3951" s="6" t="n">
        <v>40844.6020833333</v>
      </c>
      <c r="F3951" s="0" t="n">
        <v>0.29</v>
      </c>
      <c r="G3951" s="0" t="n">
        <v>13812</v>
      </c>
      <c r="H3951" s="0" t="s">
        <v>33</v>
      </c>
      <c r="I3951" s="7" t="n">
        <f aca="false">IF(AND(LEFT(A3951,1)&lt;&gt;"C",D3951&gt;0,F3951&gt;0),1,0)</f>
        <v>1</v>
      </c>
      <c r="J3951" s="7" t="n">
        <f aca="false">IF(I3951=1,D3951*F3951,0)</f>
        <v>6.96</v>
      </c>
      <c r="K3951" s="7" t="n">
        <f aca="false">YEAR(E3951)*100+MONTH(E3951)</f>
        <v>201110</v>
      </c>
      <c r="L3951" s="7" t="n">
        <f aca="false">IF(AND(A3951&lt;&gt;A3950,LEFT(A3951,1)&lt;&gt;"C"),1,0)</f>
        <v>0</v>
      </c>
    </row>
    <row r="3952" customFormat="false" ht="15" hidden="false" customHeight="false" outlineLevel="0" collapsed="false">
      <c r="A3952" s="0" t="s">
        <v>2605</v>
      </c>
      <c r="B3952" s="0" t="s">
        <v>2255</v>
      </c>
      <c r="C3952" s="0" t="s">
        <v>2256</v>
      </c>
      <c r="D3952" s="0" t="n">
        <v>12</v>
      </c>
      <c r="E3952" s="6" t="n">
        <v>40844.6020833333</v>
      </c>
      <c r="F3952" s="0" t="n">
        <v>1.25</v>
      </c>
      <c r="G3952" s="0" t="n">
        <v>13812</v>
      </c>
      <c r="H3952" s="0" t="s">
        <v>33</v>
      </c>
      <c r="I3952" s="7" t="n">
        <f aca="false">IF(AND(LEFT(A3952,1)&lt;&gt;"C",D3952&gt;0,F3952&gt;0),1,0)</f>
        <v>1</v>
      </c>
      <c r="J3952" s="7" t="n">
        <f aca="false">IF(I3952=1,D3952*F3952,0)</f>
        <v>15</v>
      </c>
      <c r="K3952" s="7" t="n">
        <f aca="false">YEAR(E3952)*100+MONTH(E3952)</f>
        <v>201110</v>
      </c>
      <c r="L3952" s="7" t="n">
        <f aca="false">IF(AND(A3952&lt;&gt;A3951,LEFT(A3952,1)&lt;&gt;"C"),1,0)</f>
        <v>0</v>
      </c>
    </row>
    <row r="3953" customFormat="false" ht="15" hidden="false" customHeight="false" outlineLevel="0" collapsed="false">
      <c r="A3953" s="0" t="s">
        <v>2605</v>
      </c>
      <c r="B3953" s="0" t="s">
        <v>1586</v>
      </c>
      <c r="C3953" s="0" t="s">
        <v>1587</v>
      </c>
      <c r="D3953" s="0" t="n">
        <v>6</v>
      </c>
      <c r="E3953" s="6" t="n">
        <v>40844.6020833333</v>
      </c>
      <c r="F3953" s="0" t="n">
        <v>2.08</v>
      </c>
      <c r="G3953" s="0" t="n">
        <v>13812</v>
      </c>
      <c r="H3953" s="0" t="s">
        <v>33</v>
      </c>
      <c r="I3953" s="7" t="n">
        <f aca="false">IF(AND(LEFT(A3953,1)&lt;&gt;"C",D3953&gt;0,F3953&gt;0),1,0)</f>
        <v>1</v>
      </c>
      <c r="J3953" s="7" t="n">
        <f aca="false">IF(I3953=1,D3953*F3953,0)</f>
        <v>12.48</v>
      </c>
      <c r="K3953" s="7" t="n">
        <f aca="false">YEAR(E3953)*100+MONTH(E3953)</f>
        <v>201110</v>
      </c>
      <c r="L3953" s="7" t="n">
        <f aca="false">IF(AND(A3953&lt;&gt;A3952,LEFT(A3953,1)&lt;&gt;"C"),1,0)</f>
        <v>0</v>
      </c>
    </row>
    <row r="3954" customFormat="false" ht="15" hidden="false" customHeight="false" outlineLevel="0" collapsed="false">
      <c r="A3954" s="0" t="s">
        <v>2605</v>
      </c>
      <c r="B3954" s="0" t="s">
        <v>943</v>
      </c>
      <c r="C3954" s="0" t="s">
        <v>944</v>
      </c>
      <c r="D3954" s="0" t="n">
        <v>12</v>
      </c>
      <c r="E3954" s="6" t="n">
        <v>40844.6020833333</v>
      </c>
      <c r="F3954" s="0" t="n">
        <v>1.95</v>
      </c>
      <c r="G3954" s="0" t="n">
        <v>13812</v>
      </c>
      <c r="H3954" s="0" t="s">
        <v>33</v>
      </c>
      <c r="I3954" s="7" t="n">
        <f aca="false">IF(AND(LEFT(A3954,1)&lt;&gt;"C",D3954&gt;0,F3954&gt;0),1,0)</f>
        <v>1</v>
      </c>
      <c r="J3954" s="7" t="n">
        <f aca="false">IF(I3954=1,D3954*F3954,0)</f>
        <v>23.4</v>
      </c>
      <c r="K3954" s="7" t="n">
        <f aca="false">YEAR(E3954)*100+MONTH(E3954)</f>
        <v>201110</v>
      </c>
      <c r="L3954" s="7" t="n">
        <f aca="false">IF(AND(A3954&lt;&gt;A3953,LEFT(A3954,1)&lt;&gt;"C"),1,0)</f>
        <v>0</v>
      </c>
    </row>
    <row r="3955" customFormat="false" ht="15" hidden="false" customHeight="false" outlineLevel="0" collapsed="false">
      <c r="A3955" s="0" t="s">
        <v>2605</v>
      </c>
      <c r="B3955" s="0" t="s">
        <v>84</v>
      </c>
      <c r="C3955" s="0" t="s">
        <v>85</v>
      </c>
      <c r="D3955" s="0" t="n">
        <v>1</v>
      </c>
      <c r="E3955" s="6" t="n">
        <v>40844.6020833333</v>
      </c>
      <c r="F3955" s="0" t="n">
        <v>18</v>
      </c>
      <c r="G3955" s="0" t="n">
        <v>13812</v>
      </c>
      <c r="H3955" s="0" t="s">
        <v>33</v>
      </c>
      <c r="I3955" s="7" t="n">
        <f aca="false">IF(AND(LEFT(A3955,1)&lt;&gt;"C",D3955&gt;0,F3955&gt;0),1,0)</f>
        <v>1</v>
      </c>
      <c r="J3955" s="7" t="n">
        <f aca="false">IF(I3955=1,D3955*F3955,0)</f>
        <v>18</v>
      </c>
      <c r="K3955" s="7" t="n">
        <f aca="false">YEAR(E3955)*100+MONTH(E3955)</f>
        <v>201110</v>
      </c>
      <c r="L3955" s="7" t="n">
        <f aca="false">IF(AND(A3955&lt;&gt;A3954,LEFT(A3955,1)&lt;&gt;"C"),1,0)</f>
        <v>0</v>
      </c>
    </row>
    <row r="3956" customFormat="false" ht="15" hidden="false" customHeight="false" outlineLevel="0" collapsed="false">
      <c r="A3956" s="0" t="s">
        <v>2606</v>
      </c>
      <c r="B3956" s="0" t="s">
        <v>136</v>
      </c>
      <c r="C3956" s="0" t="s">
        <v>137</v>
      </c>
      <c r="D3956" s="0" t="n">
        <v>4</v>
      </c>
      <c r="E3956" s="6" t="n">
        <v>40844.6138888889</v>
      </c>
      <c r="F3956" s="0" t="n">
        <v>4.95</v>
      </c>
      <c r="G3956" s="0" t="n">
        <v>12705</v>
      </c>
      <c r="H3956" s="0" t="s">
        <v>33</v>
      </c>
      <c r="I3956" s="7" t="n">
        <f aca="false">IF(AND(LEFT(A3956,1)&lt;&gt;"C",D3956&gt;0,F3956&gt;0),1,0)</f>
        <v>1</v>
      </c>
      <c r="J3956" s="7" t="n">
        <f aca="false">IF(I3956=1,D3956*F3956,0)</f>
        <v>19.8</v>
      </c>
      <c r="K3956" s="7" t="n">
        <f aca="false">YEAR(E3956)*100+MONTH(E3956)</f>
        <v>201110</v>
      </c>
      <c r="L3956" s="7" t="n">
        <f aca="false">IF(AND(A3956&lt;&gt;A3955,LEFT(A3956,1)&lt;&gt;"C"),1,0)</f>
        <v>1</v>
      </c>
    </row>
    <row r="3957" customFormat="false" ht="15" hidden="false" customHeight="false" outlineLevel="0" collapsed="false">
      <c r="A3957" s="0" t="s">
        <v>2606</v>
      </c>
      <c r="B3957" s="0" t="s">
        <v>103</v>
      </c>
      <c r="C3957" s="0" t="s">
        <v>104</v>
      </c>
      <c r="D3957" s="0" t="n">
        <v>24</v>
      </c>
      <c r="E3957" s="6" t="n">
        <v>40844.6138888889</v>
      </c>
      <c r="F3957" s="0" t="n">
        <v>0.55</v>
      </c>
      <c r="G3957" s="0" t="n">
        <v>12705</v>
      </c>
      <c r="H3957" s="0" t="s">
        <v>33</v>
      </c>
      <c r="I3957" s="7" t="n">
        <f aca="false">IF(AND(LEFT(A3957,1)&lt;&gt;"C",D3957&gt;0,F3957&gt;0),1,0)</f>
        <v>1</v>
      </c>
      <c r="J3957" s="7" t="n">
        <f aca="false">IF(I3957=1,D3957*F3957,0)</f>
        <v>13.2</v>
      </c>
      <c r="K3957" s="7" t="n">
        <f aca="false">YEAR(E3957)*100+MONTH(E3957)</f>
        <v>201110</v>
      </c>
      <c r="L3957" s="7" t="n">
        <f aca="false">IF(AND(A3957&lt;&gt;A3956,LEFT(A3957,1)&lt;&gt;"C"),1,0)</f>
        <v>0</v>
      </c>
    </row>
    <row r="3958" customFormat="false" ht="15" hidden="false" customHeight="false" outlineLevel="0" collapsed="false">
      <c r="A3958" s="0" t="s">
        <v>2606</v>
      </c>
      <c r="B3958" s="0" t="s">
        <v>569</v>
      </c>
      <c r="C3958" s="0" t="s">
        <v>570</v>
      </c>
      <c r="D3958" s="0" t="n">
        <v>20</v>
      </c>
      <c r="E3958" s="6" t="n">
        <v>40844.6138888889</v>
      </c>
      <c r="F3958" s="0" t="n">
        <v>2.08</v>
      </c>
      <c r="G3958" s="0" t="n">
        <v>12705</v>
      </c>
      <c r="H3958" s="0" t="s">
        <v>33</v>
      </c>
      <c r="I3958" s="7" t="n">
        <f aca="false">IF(AND(LEFT(A3958,1)&lt;&gt;"C",D3958&gt;0,F3958&gt;0),1,0)</f>
        <v>1</v>
      </c>
      <c r="J3958" s="7" t="n">
        <f aca="false">IF(I3958=1,D3958*F3958,0)</f>
        <v>41.6</v>
      </c>
      <c r="K3958" s="7" t="n">
        <f aca="false">YEAR(E3958)*100+MONTH(E3958)</f>
        <v>201110</v>
      </c>
      <c r="L3958" s="7" t="n">
        <f aca="false">IF(AND(A3958&lt;&gt;A3957,LEFT(A3958,1)&lt;&gt;"C"),1,0)</f>
        <v>0</v>
      </c>
    </row>
    <row r="3959" customFormat="false" ht="15" hidden="false" customHeight="false" outlineLevel="0" collapsed="false">
      <c r="A3959" s="0" t="s">
        <v>2606</v>
      </c>
      <c r="B3959" s="0" t="s">
        <v>2235</v>
      </c>
      <c r="C3959" s="0" t="s">
        <v>2236</v>
      </c>
      <c r="D3959" s="0" t="n">
        <v>10</v>
      </c>
      <c r="E3959" s="6" t="n">
        <v>40844.6138888889</v>
      </c>
      <c r="F3959" s="0" t="n">
        <v>2.08</v>
      </c>
      <c r="G3959" s="0" t="n">
        <v>12705</v>
      </c>
      <c r="H3959" s="0" t="s">
        <v>33</v>
      </c>
      <c r="I3959" s="7" t="n">
        <f aca="false">IF(AND(LEFT(A3959,1)&lt;&gt;"C",D3959&gt;0,F3959&gt;0),1,0)</f>
        <v>1</v>
      </c>
      <c r="J3959" s="7" t="n">
        <f aca="false">IF(I3959=1,D3959*F3959,0)</f>
        <v>20.8</v>
      </c>
      <c r="K3959" s="7" t="n">
        <f aca="false">YEAR(E3959)*100+MONTH(E3959)</f>
        <v>201110</v>
      </c>
      <c r="L3959" s="7" t="n">
        <f aca="false">IF(AND(A3959&lt;&gt;A3958,LEFT(A3959,1)&lt;&gt;"C"),1,0)</f>
        <v>0</v>
      </c>
    </row>
    <row r="3960" customFormat="false" ht="15" hidden="false" customHeight="false" outlineLevel="0" collapsed="false">
      <c r="A3960" s="0" t="s">
        <v>2606</v>
      </c>
      <c r="B3960" s="0" t="s">
        <v>2542</v>
      </c>
      <c r="C3960" s="0" t="s">
        <v>2543</v>
      </c>
      <c r="D3960" s="0" t="n">
        <v>3</v>
      </c>
      <c r="E3960" s="6" t="n">
        <v>40844.6138888889</v>
      </c>
      <c r="F3960" s="0" t="n">
        <v>5.95</v>
      </c>
      <c r="G3960" s="0" t="n">
        <v>12705</v>
      </c>
      <c r="H3960" s="0" t="s">
        <v>33</v>
      </c>
      <c r="I3960" s="7" t="n">
        <f aca="false">IF(AND(LEFT(A3960,1)&lt;&gt;"C",D3960&gt;0,F3960&gt;0),1,0)</f>
        <v>1</v>
      </c>
      <c r="J3960" s="7" t="n">
        <f aca="false">IF(I3960=1,D3960*F3960,0)</f>
        <v>17.85</v>
      </c>
      <c r="K3960" s="7" t="n">
        <f aca="false">YEAR(E3960)*100+MONTH(E3960)</f>
        <v>201110</v>
      </c>
      <c r="L3960" s="7" t="n">
        <f aca="false">IF(AND(A3960&lt;&gt;A3959,LEFT(A3960,1)&lt;&gt;"C"),1,0)</f>
        <v>0</v>
      </c>
    </row>
    <row r="3961" customFormat="false" ht="15" hidden="false" customHeight="false" outlineLevel="0" collapsed="false">
      <c r="A3961" s="0" t="s">
        <v>2606</v>
      </c>
      <c r="B3961" s="0" t="s">
        <v>2607</v>
      </c>
      <c r="C3961" s="0" t="s">
        <v>2608</v>
      </c>
      <c r="D3961" s="0" t="n">
        <v>6</v>
      </c>
      <c r="E3961" s="6" t="n">
        <v>40844.6138888889</v>
      </c>
      <c r="F3961" s="0" t="n">
        <v>3.75</v>
      </c>
      <c r="G3961" s="0" t="n">
        <v>12705</v>
      </c>
      <c r="H3961" s="0" t="s">
        <v>33</v>
      </c>
      <c r="I3961" s="7" t="n">
        <f aca="false">IF(AND(LEFT(A3961,1)&lt;&gt;"C",D3961&gt;0,F3961&gt;0),1,0)</f>
        <v>1</v>
      </c>
      <c r="J3961" s="7" t="n">
        <f aca="false">IF(I3961=1,D3961*F3961,0)</f>
        <v>22.5</v>
      </c>
      <c r="K3961" s="7" t="n">
        <f aca="false">YEAR(E3961)*100+MONTH(E3961)</f>
        <v>201110</v>
      </c>
      <c r="L3961" s="7" t="n">
        <f aca="false">IF(AND(A3961&lt;&gt;A3960,LEFT(A3961,1)&lt;&gt;"C"),1,0)</f>
        <v>0</v>
      </c>
    </row>
    <row r="3962" customFormat="false" ht="15" hidden="false" customHeight="false" outlineLevel="0" collapsed="false">
      <c r="A3962" s="0" t="s">
        <v>2606</v>
      </c>
      <c r="B3962" s="0" t="s">
        <v>794</v>
      </c>
      <c r="C3962" s="0" t="s">
        <v>795</v>
      </c>
      <c r="D3962" s="0" t="n">
        <v>10</v>
      </c>
      <c r="E3962" s="6" t="n">
        <v>40844.6138888889</v>
      </c>
      <c r="F3962" s="0" t="n">
        <v>0.85</v>
      </c>
      <c r="G3962" s="0" t="n">
        <v>12705</v>
      </c>
      <c r="H3962" s="0" t="s">
        <v>33</v>
      </c>
      <c r="I3962" s="7" t="n">
        <f aca="false">IF(AND(LEFT(A3962,1)&lt;&gt;"C",D3962&gt;0,F3962&gt;0),1,0)</f>
        <v>1</v>
      </c>
      <c r="J3962" s="7" t="n">
        <f aca="false">IF(I3962=1,D3962*F3962,0)</f>
        <v>8.5</v>
      </c>
      <c r="K3962" s="7" t="n">
        <f aca="false">YEAR(E3962)*100+MONTH(E3962)</f>
        <v>201110</v>
      </c>
      <c r="L3962" s="7" t="n">
        <f aca="false">IF(AND(A3962&lt;&gt;A3961,LEFT(A3962,1)&lt;&gt;"C"),1,0)</f>
        <v>0</v>
      </c>
    </row>
    <row r="3963" customFormat="false" ht="15" hidden="false" customHeight="false" outlineLevel="0" collapsed="false">
      <c r="A3963" s="0" t="s">
        <v>2606</v>
      </c>
      <c r="B3963" s="0" t="s">
        <v>627</v>
      </c>
      <c r="C3963" s="0" t="s">
        <v>628</v>
      </c>
      <c r="D3963" s="0" t="n">
        <v>10</v>
      </c>
      <c r="E3963" s="6" t="n">
        <v>40844.6138888889</v>
      </c>
      <c r="F3963" s="0" t="n">
        <v>0.85</v>
      </c>
      <c r="G3963" s="0" t="n">
        <v>12705</v>
      </c>
      <c r="H3963" s="0" t="s">
        <v>33</v>
      </c>
      <c r="I3963" s="7" t="n">
        <f aca="false">IF(AND(LEFT(A3963,1)&lt;&gt;"C",D3963&gt;0,F3963&gt;0),1,0)</f>
        <v>1</v>
      </c>
      <c r="J3963" s="7" t="n">
        <f aca="false">IF(I3963=1,D3963*F3963,0)</f>
        <v>8.5</v>
      </c>
      <c r="K3963" s="7" t="n">
        <f aca="false">YEAR(E3963)*100+MONTH(E3963)</f>
        <v>201110</v>
      </c>
      <c r="L3963" s="7" t="n">
        <f aca="false">IF(AND(A3963&lt;&gt;A3962,LEFT(A3963,1)&lt;&gt;"C"),1,0)</f>
        <v>0</v>
      </c>
    </row>
    <row r="3964" customFormat="false" ht="15" hidden="false" customHeight="false" outlineLevel="0" collapsed="false">
      <c r="A3964" s="0" t="s">
        <v>2606</v>
      </c>
      <c r="B3964" s="0" t="s">
        <v>168</v>
      </c>
      <c r="C3964" s="0" t="s">
        <v>169</v>
      </c>
      <c r="D3964" s="0" t="n">
        <v>10</v>
      </c>
      <c r="E3964" s="6" t="n">
        <v>40844.6138888889</v>
      </c>
      <c r="F3964" s="0" t="n">
        <v>0.85</v>
      </c>
      <c r="G3964" s="0" t="n">
        <v>12705</v>
      </c>
      <c r="H3964" s="0" t="s">
        <v>33</v>
      </c>
      <c r="I3964" s="7" t="n">
        <f aca="false">IF(AND(LEFT(A3964,1)&lt;&gt;"C",D3964&gt;0,F3964&gt;0),1,0)</f>
        <v>1</v>
      </c>
      <c r="J3964" s="7" t="n">
        <f aca="false">IF(I3964=1,D3964*F3964,0)</f>
        <v>8.5</v>
      </c>
      <c r="K3964" s="7" t="n">
        <f aca="false">YEAR(E3964)*100+MONTH(E3964)</f>
        <v>201110</v>
      </c>
      <c r="L3964" s="7" t="n">
        <f aca="false">IF(AND(A3964&lt;&gt;A3963,LEFT(A3964,1)&lt;&gt;"C"),1,0)</f>
        <v>0</v>
      </c>
    </row>
    <row r="3965" customFormat="false" ht="15" hidden="false" customHeight="false" outlineLevel="0" collapsed="false">
      <c r="A3965" s="0" t="s">
        <v>2606</v>
      </c>
      <c r="B3965" s="0" t="s">
        <v>521</v>
      </c>
      <c r="C3965" s="0" t="s">
        <v>522</v>
      </c>
      <c r="D3965" s="0" t="n">
        <v>8</v>
      </c>
      <c r="E3965" s="6" t="n">
        <v>40844.6138888889</v>
      </c>
      <c r="F3965" s="0" t="n">
        <v>1.95</v>
      </c>
      <c r="G3965" s="0" t="n">
        <v>12705</v>
      </c>
      <c r="H3965" s="0" t="s">
        <v>33</v>
      </c>
      <c r="I3965" s="7" t="n">
        <f aca="false">IF(AND(LEFT(A3965,1)&lt;&gt;"C",D3965&gt;0,F3965&gt;0),1,0)</f>
        <v>1</v>
      </c>
      <c r="J3965" s="7" t="n">
        <f aca="false">IF(I3965=1,D3965*F3965,0)</f>
        <v>15.6</v>
      </c>
      <c r="K3965" s="7" t="n">
        <f aca="false">YEAR(E3965)*100+MONTH(E3965)</f>
        <v>201110</v>
      </c>
      <c r="L3965" s="7" t="n">
        <f aca="false">IF(AND(A3965&lt;&gt;A3964,LEFT(A3965,1)&lt;&gt;"C"),1,0)</f>
        <v>0</v>
      </c>
    </row>
    <row r="3966" customFormat="false" ht="15" hidden="false" customHeight="false" outlineLevel="0" collapsed="false">
      <c r="A3966" s="0" t="s">
        <v>2606</v>
      </c>
      <c r="B3966" s="0" t="s">
        <v>1693</v>
      </c>
      <c r="C3966" s="0" t="s">
        <v>1694</v>
      </c>
      <c r="D3966" s="0" t="n">
        <v>4</v>
      </c>
      <c r="E3966" s="6" t="n">
        <v>40844.6138888889</v>
      </c>
      <c r="F3966" s="0" t="n">
        <v>7.5</v>
      </c>
      <c r="G3966" s="0" t="n">
        <v>12705</v>
      </c>
      <c r="H3966" s="0" t="s">
        <v>33</v>
      </c>
      <c r="I3966" s="7" t="n">
        <f aca="false">IF(AND(LEFT(A3966,1)&lt;&gt;"C",D3966&gt;0,F3966&gt;0),1,0)</f>
        <v>1</v>
      </c>
      <c r="J3966" s="7" t="n">
        <f aca="false">IF(I3966=1,D3966*F3966,0)</f>
        <v>30</v>
      </c>
      <c r="K3966" s="7" t="n">
        <f aca="false">YEAR(E3966)*100+MONTH(E3966)</f>
        <v>201110</v>
      </c>
      <c r="L3966" s="7" t="n">
        <f aca="false">IF(AND(A3966&lt;&gt;A3965,LEFT(A3966,1)&lt;&gt;"C"),1,0)</f>
        <v>0</v>
      </c>
    </row>
    <row r="3967" customFormat="false" ht="15" hidden="false" customHeight="false" outlineLevel="0" collapsed="false">
      <c r="A3967" s="0" t="s">
        <v>2606</v>
      </c>
      <c r="B3967" s="0" t="s">
        <v>2609</v>
      </c>
      <c r="C3967" s="0" t="s">
        <v>2610</v>
      </c>
      <c r="D3967" s="0" t="n">
        <v>2</v>
      </c>
      <c r="E3967" s="6" t="n">
        <v>40844.6138888889</v>
      </c>
      <c r="F3967" s="0" t="n">
        <v>7.95</v>
      </c>
      <c r="G3967" s="0" t="n">
        <v>12705</v>
      </c>
      <c r="H3967" s="0" t="s">
        <v>33</v>
      </c>
      <c r="I3967" s="7" t="n">
        <f aca="false">IF(AND(LEFT(A3967,1)&lt;&gt;"C",D3967&gt;0,F3967&gt;0),1,0)</f>
        <v>1</v>
      </c>
      <c r="J3967" s="7" t="n">
        <f aca="false">IF(I3967=1,D3967*F3967,0)</f>
        <v>15.9</v>
      </c>
      <c r="K3967" s="7" t="n">
        <f aca="false">YEAR(E3967)*100+MONTH(E3967)</f>
        <v>201110</v>
      </c>
      <c r="L3967" s="7" t="n">
        <f aca="false">IF(AND(A3967&lt;&gt;A3966,LEFT(A3967,1)&lt;&gt;"C"),1,0)</f>
        <v>0</v>
      </c>
    </row>
    <row r="3968" customFormat="false" ht="15" hidden="false" customHeight="false" outlineLevel="0" collapsed="false">
      <c r="A3968" s="0" t="s">
        <v>2606</v>
      </c>
      <c r="B3968" s="0" t="s">
        <v>939</v>
      </c>
      <c r="C3968" s="0" t="s">
        <v>940</v>
      </c>
      <c r="D3968" s="0" t="n">
        <v>24</v>
      </c>
      <c r="E3968" s="6" t="n">
        <v>40844.6138888889</v>
      </c>
      <c r="F3968" s="0" t="n">
        <v>0.85</v>
      </c>
      <c r="G3968" s="0" t="n">
        <v>12705</v>
      </c>
      <c r="H3968" s="0" t="s">
        <v>33</v>
      </c>
      <c r="I3968" s="7" t="n">
        <f aca="false">IF(AND(LEFT(A3968,1)&lt;&gt;"C",D3968&gt;0,F3968&gt;0),1,0)</f>
        <v>1</v>
      </c>
      <c r="J3968" s="7" t="n">
        <f aca="false">IF(I3968=1,D3968*F3968,0)</f>
        <v>20.4</v>
      </c>
      <c r="K3968" s="7" t="n">
        <f aca="false">YEAR(E3968)*100+MONTH(E3968)</f>
        <v>201110</v>
      </c>
      <c r="L3968" s="7" t="n">
        <f aca="false">IF(AND(A3968&lt;&gt;A3967,LEFT(A3968,1)&lt;&gt;"C"),1,0)</f>
        <v>0</v>
      </c>
    </row>
    <row r="3969" customFormat="false" ht="15" hidden="false" customHeight="false" outlineLevel="0" collapsed="false">
      <c r="A3969" s="0" t="s">
        <v>2606</v>
      </c>
      <c r="B3969" s="0" t="s">
        <v>2611</v>
      </c>
      <c r="C3969" s="0" t="s">
        <v>2612</v>
      </c>
      <c r="D3969" s="0" t="n">
        <v>12</v>
      </c>
      <c r="E3969" s="6" t="n">
        <v>40844.6138888889</v>
      </c>
      <c r="F3969" s="0" t="n">
        <v>4.25</v>
      </c>
      <c r="G3969" s="0" t="n">
        <v>12705</v>
      </c>
      <c r="H3969" s="0" t="s">
        <v>33</v>
      </c>
      <c r="I3969" s="7" t="n">
        <f aca="false">IF(AND(LEFT(A3969,1)&lt;&gt;"C",D3969&gt;0,F3969&gt;0),1,0)</f>
        <v>1</v>
      </c>
      <c r="J3969" s="7" t="n">
        <f aca="false">IF(I3969=1,D3969*F3969,0)</f>
        <v>51</v>
      </c>
      <c r="K3969" s="7" t="n">
        <f aca="false">YEAR(E3969)*100+MONTH(E3969)</f>
        <v>201110</v>
      </c>
      <c r="L3969" s="7" t="n">
        <f aca="false">IF(AND(A3969&lt;&gt;A3968,LEFT(A3969,1)&lt;&gt;"C"),1,0)</f>
        <v>0</v>
      </c>
    </row>
    <row r="3970" customFormat="false" ht="15" hidden="false" customHeight="false" outlineLevel="0" collapsed="false">
      <c r="A3970" s="0" t="s">
        <v>2606</v>
      </c>
      <c r="B3970" s="0" t="s">
        <v>756</v>
      </c>
      <c r="C3970" s="0" t="s">
        <v>757</v>
      </c>
      <c r="D3970" s="0" t="n">
        <v>8</v>
      </c>
      <c r="E3970" s="6" t="n">
        <v>40844.6138888889</v>
      </c>
      <c r="F3970" s="0" t="n">
        <v>3.75</v>
      </c>
      <c r="G3970" s="0" t="n">
        <v>12705</v>
      </c>
      <c r="H3970" s="0" t="s">
        <v>33</v>
      </c>
      <c r="I3970" s="7" t="n">
        <f aca="false">IF(AND(LEFT(A3970,1)&lt;&gt;"C",D3970&gt;0,F3970&gt;0),1,0)</f>
        <v>1</v>
      </c>
      <c r="J3970" s="7" t="n">
        <f aca="false">IF(I3970=1,D3970*F3970,0)</f>
        <v>30</v>
      </c>
      <c r="K3970" s="7" t="n">
        <f aca="false">YEAR(E3970)*100+MONTH(E3970)</f>
        <v>201110</v>
      </c>
      <c r="L3970" s="7" t="n">
        <f aca="false">IF(AND(A3970&lt;&gt;A3969,LEFT(A3970,1)&lt;&gt;"C"),1,0)</f>
        <v>0</v>
      </c>
    </row>
    <row r="3971" customFormat="false" ht="15" hidden="false" customHeight="false" outlineLevel="0" collapsed="false">
      <c r="A3971" s="0" t="s">
        <v>2606</v>
      </c>
      <c r="B3971" s="0" t="s">
        <v>1521</v>
      </c>
      <c r="C3971" s="0" t="s">
        <v>1522</v>
      </c>
      <c r="D3971" s="0" t="n">
        <v>4</v>
      </c>
      <c r="E3971" s="6" t="n">
        <v>40844.6138888889</v>
      </c>
      <c r="F3971" s="0" t="n">
        <v>4.25</v>
      </c>
      <c r="G3971" s="0" t="n">
        <v>12705</v>
      </c>
      <c r="H3971" s="0" t="s">
        <v>33</v>
      </c>
      <c r="I3971" s="7" t="n">
        <f aca="false">IF(AND(LEFT(A3971,1)&lt;&gt;"C",D3971&gt;0,F3971&gt;0),1,0)</f>
        <v>1</v>
      </c>
      <c r="J3971" s="7" t="n">
        <f aca="false">IF(I3971=1,D3971*F3971,0)</f>
        <v>17</v>
      </c>
      <c r="K3971" s="7" t="n">
        <f aca="false">YEAR(E3971)*100+MONTH(E3971)</f>
        <v>201110</v>
      </c>
      <c r="L3971" s="7" t="n">
        <f aca="false">IF(AND(A3971&lt;&gt;A3970,LEFT(A3971,1)&lt;&gt;"C"),1,0)</f>
        <v>0</v>
      </c>
    </row>
    <row r="3972" customFormat="false" ht="15" hidden="false" customHeight="false" outlineLevel="0" collapsed="false">
      <c r="A3972" s="0" t="s">
        <v>2606</v>
      </c>
      <c r="B3972" s="0" t="s">
        <v>148</v>
      </c>
      <c r="C3972" s="0" t="s">
        <v>149</v>
      </c>
      <c r="D3972" s="0" t="n">
        <v>8</v>
      </c>
      <c r="E3972" s="6" t="n">
        <v>40844.6138888889</v>
      </c>
      <c r="F3972" s="0" t="n">
        <v>12.75</v>
      </c>
      <c r="G3972" s="0" t="n">
        <v>12705</v>
      </c>
      <c r="H3972" s="0" t="s">
        <v>33</v>
      </c>
      <c r="I3972" s="7" t="n">
        <f aca="false">IF(AND(LEFT(A3972,1)&lt;&gt;"C",D3972&gt;0,F3972&gt;0),1,0)</f>
        <v>1</v>
      </c>
      <c r="J3972" s="7" t="n">
        <f aca="false">IF(I3972=1,D3972*F3972,0)</f>
        <v>102</v>
      </c>
      <c r="K3972" s="7" t="n">
        <f aca="false">YEAR(E3972)*100+MONTH(E3972)</f>
        <v>201110</v>
      </c>
      <c r="L3972" s="7" t="n">
        <f aca="false">IF(AND(A3972&lt;&gt;A3971,LEFT(A3972,1)&lt;&gt;"C"),1,0)</f>
        <v>0</v>
      </c>
    </row>
    <row r="3973" customFormat="false" ht="15" hidden="false" customHeight="false" outlineLevel="0" collapsed="false">
      <c r="A3973" s="0" t="s">
        <v>2606</v>
      </c>
      <c r="B3973" s="0" t="s">
        <v>1919</v>
      </c>
      <c r="C3973" s="0" t="s">
        <v>1920</v>
      </c>
      <c r="D3973" s="0" t="n">
        <v>12</v>
      </c>
      <c r="E3973" s="6" t="n">
        <v>40844.6138888889</v>
      </c>
      <c r="F3973" s="0" t="n">
        <v>1.25</v>
      </c>
      <c r="G3973" s="0" t="n">
        <v>12705</v>
      </c>
      <c r="H3973" s="0" t="s">
        <v>33</v>
      </c>
      <c r="I3973" s="7" t="n">
        <f aca="false">IF(AND(LEFT(A3973,1)&lt;&gt;"C",D3973&gt;0,F3973&gt;0),1,0)</f>
        <v>1</v>
      </c>
      <c r="J3973" s="7" t="n">
        <f aca="false">IF(I3973=1,D3973*F3973,0)</f>
        <v>15</v>
      </c>
      <c r="K3973" s="7" t="n">
        <f aca="false">YEAR(E3973)*100+MONTH(E3973)</f>
        <v>201110</v>
      </c>
      <c r="L3973" s="7" t="n">
        <f aca="false">IF(AND(A3973&lt;&gt;A3972,LEFT(A3973,1)&lt;&gt;"C"),1,0)</f>
        <v>0</v>
      </c>
    </row>
    <row r="3974" customFormat="false" ht="15" hidden="false" customHeight="false" outlineLevel="0" collapsed="false">
      <c r="A3974" s="0" t="s">
        <v>2606</v>
      </c>
      <c r="B3974" s="0" t="s">
        <v>661</v>
      </c>
      <c r="C3974" s="0" t="s">
        <v>662</v>
      </c>
      <c r="D3974" s="0" t="n">
        <v>2</v>
      </c>
      <c r="E3974" s="6" t="n">
        <v>40844.6138888889</v>
      </c>
      <c r="F3974" s="0" t="n">
        <v>9.95</v>
      </c>
      <c r="G3974" s="0" t="n">
        <v>12705</v>
      </c>
      <c r="H3974" s="0" t="s">
        <v>33</v>
      </c>
      <c r="I3974" s="7" t="n">
        <f aca="false">IF(AND(LEFT(A3974,1)&lt;&gt;"C",D3974&gt;0,F3974&gt;0),1,0)</f>
        <v>1</v>
      </c>
      <c r="J3974" s="7" t="n">
        <f aca="false">IF(I3974=1,D3974*F3974,0)</f>
        <v>19.9</v>
      </c>
      <c r="K3974" s="7" t="n">
        <f aca="false">YEAR(E3974)*100+MONTH(E3974)</f>
        <v>201110</v>
      </c>
      <c r="L3974" s="7" t="n">
        <f aca="false">IF(AND(A3974&lt;&gt;A3973,LEFT(A3974,1)&lt;&gt;"C"),1,0)</f>
        <v>0</v>
      </c>
    </row>
    <row r="3975" customFormat="false" ht="15" hidden="false" customHeight="false" outlineLevel="0" collapsed="false">
      <c r="A3975" s="0" t="s">
        <v>2606</v>
      </c>
      <c r="B3975" s="0" t="s">
        <v>1583</v>
      </c>
      <c r="C3975" s="0" t="s">
        <v>1584</v>
      </c>
      <c r="D3975" s="0" t="n">
        <v>12</v>
      </c>
      <c r="E3975" s="6" t="n">
        <v>40844.6138888889</v>
      </c>
      <c r="F3975" s="0" t="n">
        <v>2.1</v>
      </c>
      <c r="G3975" s="0" t="n">
        <v>12705</v>
      </c>
      <c r="H3975" s="0" t="s">
        <v>33</v>
      </c>
      <c r="I3975" s="7" t="n">
        <f aca="false">IF(AND(LEFT(A3975,1)&lt;&gt;"C",D3975&gt;0,F3975&gt;0),1,0)</f>
        <v>1</v>
      </c>
      <c r="J3975" s="7" t="n">
        <f aca="false">IF(I3975=1,D3975*F3975,0)</f>
        <v>25.2</v>
      </c>
      <c r="K3975" s="7" t="n">
        <f aca="false">YEAR(E3975)*100+MONTH(E3975)</f>
        <v>201110</v>
      </c>
      <c r="L3975" s="7" t="n">
        <f aca="false">IF(AND(A3975&lt;&gt;A3974,LEFT(A3975,1)&lt;&gt;"C"),1,0)</f>
        <v>0</v>
      </c>
    </row>
    <row r="3976" customFormat="false" ht="15" hidden="false" customHeight="false" outlineLevel="0" collapsed="false">
      <c r="A3976" s="0" t="s">
        <v>2606</v>
      </c>
      <c r="B3976" s="0" t="s">
        <v>1323</v>
      </c>
      <c r="C3976" s="0" t="s">
        <v>1324</v>
      </c>
      <c r="D3976" s="0" t="n">
        <v>4</v>
      </c>
      <c r="E3976" s="6" t="n">
        <v>40844.6138888889</v>
      </c>
      <c r="F3976" s="0" t="n">
        <v>4.95</v>
      </c>
      <c r="G3976" s="0" t="n">
        <v>12705</v>
      </c>
      <c r="H3976" s="0" t="s">
        <v>33</v>
      </c>
      <c r="I3976" s="7" t="n">
        <f aca="false">IF(AND(LEFT(A3976,1)&lt;&gt;"C",D3976&gt;0,F3976&gt;0),1,0)</f>
        <v>1</v>
      </c>
      <c r="J3976" s="7" t="n">
        <f aca="false">IF(I3976=1,D3976*F3976,0)</f>
        <v>19.8</v>
      </c>
      <c r="K3976" s="7" t="n">
        <f aca="false">YEAR(E3976)*100+MONTH(E3976)</f>
        <v>201110</v>
      </c>
      <c r="L3976" s="7" t="n">
        <f aca="false">IF(AND(A3976&lt;&gt;A3975,LEFT(A3976,1)&lt;&gt;"C"),1,0)</f>
        <v>0</v>
      </c>
    </row>
    <row r="3977" customFormat="false" ht="15" hidden="false" customHeight="false" outlineLevel="0" collapsed="false">
      <c r="A3977" s="0" t="s">
        <v>2606</v>
      </c>
      <c r="B3977" s="0" t="s">
        <v>1067</v>
      </c>
      <c r="C3977" s="0" t="s">
        <v>1068</v>
      </c>
      <c r="D3977" s="0" t="n">
        <v>10</v>
      </c>
      <c r="E3977" s="6" t="n">
        <v>40844.6138888889</v>
      </c>
      <c r="F3977" s="0" t="n">
        <v>0.82</v>
      </c>
      <c r="G3977" s="0" t="n">
        <v>12705</v>
      </c>
      <c r="H3977" s="0" t="s">
        <v>33</v>
      </c>
      <c r="I3977" s="7" t="n">
        <f aca="false">IF(AND(LEFT(A3977,1)&lt;&gt;"C",D3977&gt;0,F3977&gt;0),1,0)</f>
        <v>1</v>
      </c>
      <c r="J3977" s="7" t="n">
        <f aca="false">IF(I3977=1,D3977*F3977,0)</f>
        <v>8.2</v>
      </c>
      <c r="K3977" s="7" t="n">
        <f aca="false">YEAR(E3977)*100+MONTH(E3977)</f>
        <v>201110</v>
      </c>
      <c r="L3977" s="7" t="n">
        <f aca="false">IF(AND(A3977&lt;&gt;A3976,LEFT(A3977,1)&lt;&gt;"C"),1,0)</f>
        <v>0</v>
      </c>
    </row>
    <row r="3978" customFormat="false" ht="15" hidden="false" customHeight="false" outlineLevel="0" collapsed="false">
      <c r="A3978" s="0" t="s">
        <v>2606</v>
      </c>
      <c r="B3978" s="0" t="s">
        <v>1983</v>
      </c>
      <c r="C3978" s="0" t="s">
        <v>1984</v>
      </c>
      <c r="D3978" s="0" t="n">
        <v>12</v>
      </c>
      <c r="E3978" s="6" t="n">
        <v>40844.6138888889</v>
      </c>
      <c r="F3978" s="0" t="n">
        <v>1.25</v>
      </c>
      <c r="G3978" s="0" t="n">
        <v>12705</v>
      </c>
      <c r="H3978" s="0" t="s">
        <v>33</v>
      </c>
      <c r="I3978" s="7" t="n">
        <f aca="false">IF(AND(LEFT(A3978,1)&lt;&gt;"C",D3978&gt;0,F3978&gt;0),1,0)</f>
        <v>1</v>
      </c>
      <c r="J3978" s="7" t="n">
        <f aca="false">IF(I3978=1,D3978*F3978,0)</f>
        <v>15</v>
      </c>
      <c r="K3978" s="7" t="n">
        <f aca="false">YEAR(E3978)*100+MONTH(E3978)</f>
        <v>201110</v>
      </c>
      <c r="L3978" s="7" t="n">
        <f aca="false">IF(AND(A3978&lt;&gt;A3977,LEFT(A3978,1)&lt;&gt;"C"),1,0)</f>
        <v>0</v>
      </c>
    </row>
    <row r="3979" customFormat="false" ht="15" hidden="false" customHeight="false" outlineLevel="0" collapsed="false">
      <c r="A3979" s="0" t="s">
        <v>2606</v>
      </c>
      <c r="B3979" s="0" t="s">
        <v>245</v>
      </c>
      <c r="C3979" s="0" t="s">
        <v>246</v>
      </c>
      <c r="D3979" s="0" t="n">
        <v>25</v>
      </c>
      <c r="E3979" s="6" t="n">
        <v>40844.6138888889</v>
      </c>
      <c r="F3979" s="0" t="n">
        <v>0.42</v>
      </c>
      <c r="G3979" s="0" t="n">
        <v>12705</v>
      </c>
      <c r="H3979" s="0" t="s">
        <v>33</v>
      </c>
      <c r="I3979" s="7" t="n">
        <f aca="false">IF(AND(LEFT(A3979,1)&lt;&gt;"C",D3979&gt;0,F3979&gt;0),1,0)</f>
        <v>1</v>
      </c>
      <c r="J3979" s="7" t="n">
        <f aca="false">IF(I3979=1,D3979*F3979,0)</f>
        <v>10.5</v>
      </c>
      <c r="K3979" s="7" t="n">
        <f aca="false">YEAR(E3979)*100+MONTH(E3979)</f>
        <v>201110</v>
      </c>
      <c r="L3979" s="7" t="n">
        <f aca="false">IF(AND(A3979&lt;&gt;A3978,LEFT(A3979,1)&lt;&gt;"C"),1,0)</f>
        <v>0</v>
      </c>
    </row>
    <row r="3980" customFormat="false" ht="15" hidden="false" customHeight="false" outlineLevel="0" collapsed="false">
      <c r="A3980" s="0" t="s">
        <v>2606</v>
      </c>
      <c r="B3980" s="0" t="s">
        <v>247</v>
      </c>
      <c r="C3980" s="0" t="s">
        <v>248</v>
      </c>
      <c r="D3980" s="0" t="n">
        <v>25</v>
      </c>
      <c r="E3980" s="6" t="n">
        <v>40844.6138888889</v>
      </c>
      <c r="F3980" s="0" t="n">
        <v>0.42</v>
      </c>
      <c r="G3980" s="0" t="n">
        <v>12705</v>
      </c>
      <c r="H3980" s="0" t="s">
        <v>33</v>
      </c>
      <c r="I3980" s="7" t="n">
        <f aca="false">IF(AND(LEFT(A3980,1)&lt;&gt;"C",D3980&gt;0,F3980&gt;0),1,0)</f>
        <v>1</v>
      </c>
      <c r="J3980" s="7" t="n">
        <f aca="false">IF(I3980=1,D3980*F3980,0)</f>
        <v>10.5</v>
      </c>
      <c r="K3980" s="7" t="n">
        <f aca="false">YEAR(E3980)*100+MONTH(E3980)</f>
        <v>201110</v>
      </c>
      <c r="L3980" s="7" t="n">
        <f aca="false">IF(AND(A3980&lt;&gt;A3979,LEFT(A3980,1)&lt;&gt;"C"),1,0)</f>
        <v>0</v>
      </c>
    </row>
    <row r="3981" customFormat="false" ht="15" hidden="false" customHeight="false" outlineLevel="0" collapsed="false">
      <c r="A3981" s="0" t="s">
        <v>2606</v>
      </c>
      <c r="B3981" s="0" t="s">
        <v>1257</v>
      </c>
      <c r="C3981" s="0" t="s">
        <v>1258</v>
      </c>
      <c r="D3981" s="0" t="n">
        <v>25</v>
      </c>
      <c r="E3981" s="6" t="n">
        <v>40844.6138888889</v>
      </c>
      <c r="F3981" s="0" t="n">
        <v>0.42</v>
      </c>
      <c r="G3981" s="0" t="n">
        <v>12705</v>
      </c>
      <c r="H3981" s="0" t="s">
        <v>33</v>
      </c>
      <c r="I3981" s="7" t="n">
        <f aca="false">IF(AND(LEFT(A3981,1)&lt;&gt;"C",D3981&gt;0,F3981&gt;0),1,0)</f>
        <v>1</v>
      </c>
      <c r="J3981" s="7" t="n">
        <f aca="false">IF(I3981=1,D3981*F3981,0)</f>
        <v>10.5</v>
      </c>
      <c r="K3981" s="7" t="n">
        <f aca="false">YEAR(E3981)*100+MONTH(E3981)</f>
        <v>201110</v>
      </c>
      <c r="L3981" s="7" t="n">
        <f aca="false">IF(AND(A3981&lt;&gt;A3980,LEFT(A3981,1)&lt;&gt;"C"),1,0)</f>
        <v>0</v>
      </c>
    </row>
    <row r="3982" customFormat="false" ht="15" hidden="false" customHeight="false" outlineLevel="0" collapsed="false">
      <c r="A3982" s="0" t="s">
        <v>2606</v>
      </c>
      <c r="B3982" s="0" t="s">
        <v>1238</v>
      </c>
      <c r="C3982" s="0" t="s">
        <v>1239</v>
      </c>
      <c r="D3982" s="0" t="n">
        <v>25</v>
      </c>
      <c r="E3982" s="6" t="n">
        <v>40844.6138888889</v>
      </c>
      <c r="F3982" s="0" t="n">
        <v>0.42</v>
      </c>
      <c r="G3982" s="0" t="n">
        <v>12705</v>
      </c>
      <c r="H3982" s="0" t="s">
        <v>33</v>
      </c>
      <c r="I3982" s="7" t="n">
        <f aca="false">IF(AND(LEFT(A3982,1)&lt;&gt;"C",D3982&gt;0,F3982&gt;0),1,0)</f>
        <v>1</v>
      </c>
      <c r="J3982" s="7" t="n">
        <f aca="false">IF(I3982=1,D3982*F3982,0)</f>
        <v>10.5</v>
      </c>
      <c r="K3982" s="7" t="n">
        <f aca="false">YEAR(E3982)*100+MONTH(E3982)</f>
        <v>201110</v>
      </c>
      <c r="L3982" s="7" t="n">
        <f aca="false">IF(AND(A3982&lt;&gt;A3981,LEFT(A3982,1)&lt;&gt;"C"),1,0)</f>
        <v>0</v>
      </c>
    </row>
    <row r="3983" customFormat="false" ht="15" hidden="false" customHeight="false" outlineLevel="0" collapsed="false">
      <c r="A3983" s="0" t="s">
        <v>2606</v>
      </c>
      <c r="B3983" s="0" t="s">
        <v>2613</v>
      </c>
      <c r="C3983" s="0" t="s">
        <v>2614</v>
      </c>
      <c r="D3983" s="0" t="n">
        <v>12</v>
      </c>
      <c r="E3983" s="6" t="n">
        <v>40844.6138888889</v>
      </c>
      <c r="F3983" s="0" t="n">
        <v>1.65</v>
      </c>
      <c r="G3983" s="0" t="n">
        <v>12705</v>
      </c>
      <c r="H3983" s="0" t="s">
        <v>33</v>
      </c>
      <c r="I3983" s="7" t="n">
        <f aca="false">IF(AND(LEFT(A3983,1)&lt;&gt;"C",D3983&gt;0,F3983&gt;0),1,0)</f>
        <v>1</v>
      </c>
      <c r="J3983" s="7" t="n">
        <f aca="false">IF(I3983=1,D3983*F3983,0)</f>
        <v>19.8</v>
      </c>
      <c r="K3983" s="7" t="n">
        <f aca="false">YEAR(E3983)*100+MONTH(E3983)</f>
        <v>201110</v>
      </c>
      <c r="L3983" s="7" t="n">
        <f aca="false">IF(AND(A3983&lt;&gt;A3982,LEFT(A3983,1)&lt;&gt;"C"),1,0)</f>
        <v>0</v>
      </c>
    </row>
    <row r="3984" customFormat="false" ht="15" hidden="false" customHeight="false" outlineLevel="0" collapsed="false">
      <c r="A3984" s="0" t="s">
        <v>2606</v>
      </c>
      <c r="B3984" s="0" t="s">
        <v>943</v>
      </c>
      <c r="C3984" s="0" t="s">
        <v>944</v>
      </c>
      <c r="D3984" s="0" t="n">
        <v>12</v>
      </c>
      <c r="E3984" s="6" t="n">
        <v>40844.6138888889</v>
      </c>
      <c r="F3984" s="0" t="n">
        <v>1.95</v>
      </c>
      <c r="G3984" s="0" t="n">
        <v>12705</v>
      </c>
      <c r="H3984" s="0" t="s">
        <v>33</v>
      </c>
      <c r="I3984" s="7" t="n">
        <f aca="false">IF(AND(LEFT(A3984,1)&lt;&gt;"C",D3984&gt;0,F3984&gt;0),1,0)</f>
        <v>1</v>
      </c>
      <c r="J3984" s="7" t="n">
        <f aca="false">IF(I3984=1,D3984*F3984,0)</f>
        <v>23.4</v>
      </c>
      <c r="K3984" s="7" t="n">
        <f aca="false">YEAR(E3984)*100+MONTH(E3984)</f>
        <v>201110</v>
      </c>
      <c r="L3984" s="7" t="n">
        <f aca="false">IF(AND(A3984&lt;&gt;A3983,LEFT(A3984,1)&lt;&gt;"C"),1,0)</f>
        <v>0</v>
      </c>
    </row>
    <row r="3985" customFormat="false" ht="15" hidden="false" customHeight="false" outlineLevel="0" collapsed="false">
      <c r="A3985" s="0" t="s">
        <v>2606</v>
      </c>
      <c r="B3985" s="0" t="s">
        <v>1418</v>
      </c>
      <c r="C3985" s="0" t="s">
        <v>1419</v>
      </c>
      <c r="D3985" s="0" t="n">
        <v>12</v>
      </c>
      <c r="E3985" s="6" t="n">
        <v>40844.6138888889</v>
      </c>
      <c r="F3985" s="0" t="n">
        <v>1.25</v>
      </c>
      <c r="G3985" s="0" t="n">
        <v>12705</v>
      </c>
      <c r="H3985" s="0" t="s">
        <v>33</v>
      </c>
      <c r="I3985" s="7" t="n">
        <f aca="false">IF(AND(LEFT(A3985,1)&lt;&gt;"C",D3985&gt;0,F3985&gt;0),1,0)</f>
        <v>1</v>
      </c>
      <c r="J3985" s="7" t="n">
        <f aca="false">IF(I3985=1,D3985*F3985,0)</f>
        <v>15</v>
      </c>
      <c r="K3985" s="7" t="n">
        <f aca="false">YEAR(E3985)*100+MONTH(E3985)</f>
        <v>201110</v>
      </c>
      <c r="L3985" s="7" t="n">
        <f aca="false">IF(AND(A3985&lt;&gt;A3984,LEFT(A3985,1)&lt;&gt;"C"),1,0)</f>
        <v>0</v>
      </c>
    </row>
    <row r="3986" customFormat="false" ht="15" hidden="false" customHeight="false" outlineLevel="0" collapsed="false">
      <c r="A3986" s="0" t="s">
        <v>2606</v>
      </c>
      <c r="B3986" s="0" t="s">
        <v>2615</v>
      </c>
      <c r="C3986" s="0" t="s">
        <v>2616</v>
      </c>
      <c r="D3986" s="0" t="n">
        <v>12</v>
      </c>
      <c r="E3986" s="6" t="n">
        <v>40844.6138888889</v>
      </c>
      <c r="F3986" s="0" t="n">
        <v>1.25</v>
      </c>
      <c r="G3986" s="0" t="n">
        <v>12705</v>
      </c>
      <c r="H3986" s="0" t="s">
        <v>33</v>
      </c>
      <c r="I3986" s="7" t="n">
        <f aca="false">IF(AND(LEFT(A3986,1)&lt;&gt;"C",D3986&gt;0,F3986&gt;0),1,0)</f>
        <v>1</v>
      </c>
      <c r="J3986" s="7" t="n">
        <f aca="false">IF(I3986=1,D3986*F3986,0)</f>
        <v>15</v>
      </c>
      <c r="K3986" s="7" t="n">
        <f aca="false">YEAR(E3986)*100+MONTH(E3986)</f>
        <v>201110</v>
      </c>
      <c r="L3986" s="7" t="n">
        <f aca="false">IF(AND(A3986&lt;&gt;A3985,LEFT(A3986,1)&lt;&gt;"C"),1,0)</f>
        <v>0</v>
      </c>
    </row>
    <row r="3987" customFormat="false" ht="15" hidden="false" customHeight="false" outlineLevel="0" collapsed="false">
      <c r="A3987" s="0" t="s">
        <v>2606</v>
      </c>
      <c r="B3987" s="0" t="s">
        <v>2393</v>
      </c>
      <c r="C3987" s="0" t="s">
        <v>2394</v>
      </c>
      <c r="D3987" s="0" t="n">
        <v>12</v>
      </c>
      <c r="E3987" s="6" t="n">
        <v>40844.6138888889</v>
      </c>
      <c r="F3987" s="0" t="n">
        <v>1.25</v>
      </c>
      <c r="G3987" s="0" t="n">
        <v>12705</v>
      </c>
      <c r="H3987" s="0" t="s">
        <v>33</v>
      </c>
      <c r="I3987" s="7" t="n">
        <f aca="false">IF(AND(LEFT(A3987,1)&lt;&gt;"C",D3987&gt;0,F3987&gt;0),1,0)</f>
        <v>1</v>
      </c>
      <c r="J3987" s="7" t="n">
        <f aca="false">IF(I3987=1,D3987*F3987,0)</f>
        <v>15</v>
      </c>
      <c r="K3987" s="7" t="n">
        <f aca="false">YEAR(E3987)*100+MONTH(E3987)</f>
        <v>201110</v>
      </c>
      <c r="L3987" s="7" t="n">
        <f aca="false">IF(AND(A3987&lt;&gt;A3986,LEFT(A3987,1)&lt;&gt;"C"),1,0)</f>
        <v>0</v>
      </c>
    </row>
    <row r="3988" customFormat="false" ht="15" hidden="false" customHeight="false" outlineLevel="0" collapsed="false">
      <c r="A3988" s="0" t="s">
        <v>2606</v>
      </c>
      <c r="B3988" s="0" t="s">
        <v>2395</v>
      </c>
      <c r="C3988" s="0" t="s">
        <v>2396</v>
      </c>
      <c r="D3988" s="0" t="n">
        <v>12</v>
      </c>
      <c r="E3988" s="6" t="n">
        <v>40844.6138888889</v>
      </c>
      <c r="F3988" s="0" t="n">
        <v>1.25</v>
      </c>
      <c r="G3988" s="0" t="n">
        <v>12705</v>
      </c>
      <c r="H3988" s="0" t="s">
        <v>33</v>
      </c>
      <c r="I3988" s="7" t="n">
        <f aca="false">IF(AND(LEFT(A3988,1)&lt;&gt;"C",D3988&gt;0,F3988&gt;0),1,0)</f>
        <v>1</v>
      </c>
      <c r="J3988" s="7" t="n">
        <f aca="false">IF(I3988=1,D3988*F3988,0)</f>
        <v>15</v>
      </c>
      <c r="K3988" s="7" t="n">
        <f aca="false">YEAR(E3988)*100+MONTH(E3988)</f>
        <v>201110</v>
      </c>
      <c r="L3988" s="7" t="n">
        <f aca="false">IF(AND(A3988&lt;&gt;A3987,LEFT(A3988,1)&lt;&gt;"C"),1,0)</f>
        <v>0</v>
      </c>
    </row>
    <row r="3989" customFormat="false" ht="15" hidden="false" customHeight="false" outlineLevel="0" collapsed="false">
      <c r="A3989" s="0" t="s">
        <v>2606</v>
      </c>
      <c r="B3989" s="0" t="s">
        <v>84</v>
      </c>
      <c r="C3989" s="0" t="s">
        <v>85</v>
      </c>
      <c r="D3989" s="0" t="n">
        <v>4</v>
      </c>
      <c r="E3989" s="6" t="n">
        <v>40844.6138888889</v>
      </c>
      <c r="F3989" s="0" t="n">
        <v>18</v>
      </c>
      <c r="G3989" s="0" t="n">
        <v>12705</v>
      </c>
      <c r="H3989" s="0" t="s">
        <v>33</v>
      </c>
      <c r="I3989" s="7" t="n">
        <f aca="false">IF(AND(LEFT(A3989,1)&lt;&gt;"C",D3989&gt;0,F3989&gt;0),1,0)</f>
        <v>1</v>
      </c>
      <c r="J3989" s="7" t="n">
        <f aca="false">IF(I3989=1,D3989*F3989,0)</f>
        <v>72</v>
      </c>
      <c r="K3989" s="7" t="n">
        <f aca="false">YEAR(E3989)*100+MONTH(E3989)</f>
        <v>201110</v>
      </c>
      <c r="L3989" s="7" t="n">
        <f aca="false">IF(AND(A3989&lt;&gt;A3988,LEFT(A3989,1)&lt;&gt;"C"),1,0)</f>
        <v>0</v>
      </c>
    </row>
    <row r="3990" customFormat="false" ht="15" hidden="false" customHeight="false" outlineLevel="0" collapsed="false">
      <c r="A3990" s="0" t="s">
        <v>2606</v>
      </c>
      <c r="B3990" s="0" t="s">
        <v>2617</v>
      </c>
      <c r="C3990" s="0" t="s">
        <v>2618</v>
      </c>
      <c r="D3990" s="0" t="n">
        <v>12</v>
      </c>
      <c r="E3990" s="6" t="n">
        <v>40844.6138888889</v>
      </c>
      <c r="F3990" s="0" t="n">
        <v>1.25</v>
      </c>
      <c r="G3990" s="0" t="n">
        <v>12705</v>
      </c>
      <c r="H3990" s="0" t="s">
        <v>33</v>
      </c>
      <c r="I3990" s="7" t="n">
        <f aca="false">IF(AND(LEFT(A3990,1)&lt;&gt;"C",D3990&gt;0,F3990&gt;0),1,0)</f>
        <v>1</v>
      </c>
      <c r="J3990" s="7" t="n">
        <f aca="false">IF(I3990=1,D3990*F3990,0)</f>
        <v>15</v>
      </c>
      <c r="K3990" s="7" t="n">
        <f aca="false">YEAR(E3990)*100+MONTH(E3990)</f>
        <v>201110</v>
      </c>
      <c r="L3990" s="7" t="n">
        <f aca="false">IF(AND(A3990&lt;&gt;A3989,LEFT(A3990,1)&lt;&gt;"C"),1,0)</f>
        <v>0</v>
      </c>
    </row>
    <row r="3991" customFormat="false" ht="15" hidden="false" customHeight="false" outlineLevel="0" collapsed="false">
      <c r="A3991" s="0" t="s">
        <v>2606</v>
      </c>
      <c r="B3991" s="0" t="s">
        <v>2619</v>
      </c>
      <c r="C3991" s="0" t="s">
        <v>2620</v>
      </c>
      <c r="D3991" s="0" t="n">
        <v>12</v>
      </c>
      <c r="E3991" s="6" t="n">
        <v>40844.6138888889</v>
      </c>
      <c r="F3991" s="0" t="n">
        <v>1.25</v>
      </c>
      <c r="G3991" s="0" t="n">
        <v>12705</v>
      </c>
      <c r="H3991" s="0" t="s">
        <v>33</v>
      </c>
      <c r="I3991" s="7" t="n">
        <f aca="false">IF(AND(LEFT(A3991,1)&lt;&gt;"C",D3991&gt;0,F3991&gt;0),1,0)</f>
        <v>1</v>
      </c>
      <c r="J3991" s="7" t="n">
        <f aca="false">IF(I3991=1,D3991*F3991,0)</f>
        <v>15</v>
      </c>
      <c r="K3991" s="7" t="n">
        <f aca="false">YEAR(E3991)*100+MONTH(E3991)</f>
        <v>201110</v>
      </c>
      <c r="L3991" s="7" t="n">
        <f aca="false">IF(AND(A3991&lt;&gt;A3990,LEFT(A3991,1)&lt;&gt;"C"),1,0)</f>
        <v>0</v>
      </c>
    </row>
    <row r="3992" customFormat="false" ht="15" hidden="false" customHeight="false" outlineLevel="0" collapsed="false">
      <c r="A3992" s="0" t="s">
        <v>2606</v>
      </c>
      <c r="B3992" s="0" t="s">
        <v>2621</v>
      </c>
      <c r="C3992" s="0" t="s">
        <v>2622</v>
      </c>
      <c r="D3992" s="0" t="n">
        <v>2</v>
      </c>
      <c r="E3992" s="6" t="n">
        <v>40844.6138888889</v>
      </c>
      <c r="F3992" s="0" t="n">
        <v>12.5</v>
      </c>
      <c r="G3992" s="0" t="n">
        <v>12705</v>
      </c>
      <c r="H3992" s="0" t="s">
        <v>33</v>
      </c>
      <c r="I3992" s="7" t="n">
        <f aca="false">IF(AND(LEFT(A3992,1)&lt;&gt;"C",D3992&gt;0,F3992&gt;0),1,0)</f>
        <v>1</v>
      </c>
      <c r="J3992" s="7" t="n">
        <f aca="false">IF(I3992=1,D3992*F3992,0)</f>
        <v>25</v>
      </c>
      <c r="K3992" s="7" t="n">
        <f aca="false">YEAR(E3992)*100+MONTH(E3992)</f>
        <v>201110</v>
      </c>
      <c r="L3992" s="7" t="n">
        <f aca="false">IF(AND(A3992&lt;&gt;A3991,LEFT(A3992,1)&lt;&gt;"C"),1,0)</f>
        <v>0</v>
      </c>
    </row>
    <row r="3993" customFormat="false" ht="15" hidden="false" customHeight="false" outlineLevel="0" collapsed="false">
      <c r="A3993" s="0" t="s">
        <v>2606</v>
      </c>
      <c r="B3993" s="0" t="s">
        <v>320</v>
      </c>
      <c r="C3993" s="0" t="s">
        <v>321</v>
      </c>
      <c r="D3993" s="0" t="n">
        <v>8</v>
      </c>
      <c r="E3993" s="6" t="n">
        <v>40844.6138888889</v>
      </c>
      <c r="F3993" s="0" t="n">
        <v>3.75</v>
      </c>
      <c r="G3993" s="0" t="n">
        <v>12705</v>
      </c>
      <c r="H3993" s="0" t="s">
        <v>33</v>
      </c>
      <c r="I3993" s="7" t="n">
        <f aca="false">IF(AND(LEFT(A3993,1)&lt;&gt;"C",D3993&gt;0,F3993&gt;0),1,0)</f>
        <v>1</v>
      </c>
      <c r="J3993" s="7" t="n">
        <f aca="false">IF(I3993=1,D3993*F3993,0)</f>
        <v>30</v>
      </c>
      <c r="K3993" s="7" t="n">
        <f aca="false">YEAR(E3993)*100+MONTH(E3993)</f>
        <v>201110</v>
      </c>
      <c r="L3993" s="7" t="n">
        <f aca="false">IF(AND(A3993&lt;&gt;A3992,LEFT(A3993,1)&lt;&gt;"C"),1,0)</f>
        <v>0</v>
      </c>
    </row>
    <row r="3994" customFormat="false" ht="15" hidden="false" customHeight="false" outlineLevel="0" collapsed="false">
      <c r="A3994" s="0" t="s">
        <v>2606</v>
      </c>
      <c r="B3994" s="0" t="s">
        <v>322</v>
      </c>
      <c r="C3994" s="0" t="s">
        <v>323</v>
      </c>
      <c r="D3994" s="0" t="n">
        <v>8</v>
      </c>
      <c r="E3994" s="6" t="n">
        <v>40844.6138888889</v>
      </c>
      <c r="F3994" s="0" t="n">
        <v>3.75</v>
      </c>
      <c r="G3994" s="0" t="n">
        <v>12705</v>
      </c>
      <c r="H3994" s="0" t="s">
        <v>33</v>
      </c>
      <c r="I3994" s="7" t="n">
        <f aca="false">IF(AND(LEFT(A3994,1)&lt;&gt;"C",D3994&gt;0,F3994&gt;0),1,0)</f>
        <v>1</v>
      </c>
      <c r="J3994" s="7" t="n">
        <f aca="false">IF(I3994=1,D3994*F3994,0)</f>
        <v>30</v>
      </c>
      <c r="K3994" s="7" t="n">
        <f aca="false">YEAR(E3994)*100+MONTH(E3994)</f>
        <v>201110</v>
      </c>
      <c r="L3994" s="7" t="n">
        <f aca="false">IF(AND(A3994&lt;&gt;A3993,LEFT(A3994,1)&lt;&gt;"C"),1,0)</f>
        <v>0</v>
      </c>
    </row>
    <row r="3995" customFormat="false" ht="15" hidden="false" customHeight="false" outlineLevel="0" collapsed="false">
      <c r="A3995" s="0" t="s">
        <v>2606</v>
      </c>
      <c r="B3995" s="0" t="s">
        <v>297</v>
      </c>
      <c r="C3995" s="0" t="s">
        <v>298</v>
      </c>
      <c r="D3995" s="0" t="n">
        <v>8</v>
      </c>
      <c r="E3995" s="6" t="n">
        <v>40844.6138888889</v>
      </c>
      <c r="F3995" s="0" t="n">
        <v>3.75</v>
      </c>
      <c r="G3995" s="0" t="n">
        <v>12705</v>
      </c>
      <c r="H3995" s="0" t="s">
        <v>33</v>
      </c>
      <c r="I3995" s="7" t="n">
        <f aca="false">IF(AND(LEFT(A3995,1)&lt;&gt;"C",D3995&gt;0,F3995&gt;0),1,0)</f>
        <v>1</v>
      </c>
      <c r="J3995" s="7" t="n">
        <f aca="false">IF(I3995=1,D3995*F3995,0)</f>
        <v>30</v>
      </c>
      <c r="K3995" s="7" t="n">
        <f aca="false">YEAR(E3995)*100+MONTH(E3995)</f>
        <v>201110</v>
      </c>
      <c r="L3995" s="7" t="n">
        <f aca="false">IF(AND(A3995&lt;&gt;A3994,LEFT(A3995,1)&lt;&gt;"C"),1,0)</f>
        <v>0</v>
      </c>
    </row>
    <row r="3996" customFormat="false" ht="15" hidden="false" customHeight="false" outlineLevel="0" collapsed="false">
      <c r="A3996" s="0" t="s">
        <v>2606</v>
      </c>
      <c r="B3996" s="0" t="s">
        <v>295</v>
      </c>
      <c r="C3996" s="0" t="s">
        <v>296</v>
      </c>
      <c r="D3996" s="0" t="n">
        <v>8</v>
      </c>
      <c r="E3996" s="6" t="n">
        <v>40844.6138888889</v>
      </c>
      <c r="F3996" s="0" t="n">
        <v>3.75</v>
      </c>
      <c r="G3996" s="0" t="n">
        <v>12705</v>
      </c>
      <c r="H3996" s="0" t="s">
        <v>33</v>
      </c>
      <c r="I3996" s="7" t="n">
        <f aca="false">IF(AND(LEFT(A3996,1)&lt;&gt;"C",D3996&gt;0,F3996&gt;0),1,0)</f>
        <v>1</v>
      </c>
      <c r="J3996" s="7" t="n">
        <f aca="false">IF(I3996=1,D3996*F3996,0)</f>
        <v>30</v>
      </c>
      <c r="K3996" s="7" t="n">
        <f aca="false">YEAR(E3996)*100+MONTH(E3996)</f>
        <v>201110</v>
      </c>
      <c r="L3996" s="7" t="n">
        <f aca="false">IF(AND(A3996&lt;&gt;A3995,LEFT(A3996,1)&lt;&gt;"C"),1,0)</f>
        <v>0</v>
      </c>
    </row>
    <row r="3997" customFormat="false" ht="15" hidden="false" customHeight="false" outlineLevel="0" collapsed="false">
      <c r="A3997" s="0" t="s">
        <v>2606</v>
      </c>
      <c r="B3997" s="0" t="s">
        <v>318</v>
      </c>
      <c r="C3997" s="0" t="s">
        <v>319</v>
      </c>
      <c r="D3997" s="0" t="n">
        <v>8</v>
      </c>
      <c r="E3997" s="6" t="n">
        <v>40844.6138888889</v>
      </c>
      <c r="F3997" s="0" t="n">
        <v>3.75</v>
      </c>
      <c r="G3997" s="0" t="n">
        <v>12705</v>
      </c>
      <c r="H3997" s="0" t="s">
        <v>33</v>
      </c>
      <c r="I3997" s="7" t="n">
        <f aca="false">IF(AND(LEFT(A3997,1)&lt;&gt;"C",D3997&gt;0,F3997&gt;0),1,0)</f>
        <v>1</v>
      </c>
      <c r="J3997" s="7" t="n">
        <f aca="false">IF(I3997=1,D3997*F3997,0)</f>
        <v>30</v>
      </c>
      <c r="K3997" s="7" t="n">
        <f aca="false">YEAR(E3997)*100+MONTH(E3997)</f>
        <v>201110</v>
      </c>
      <c r="L3997" s="7" t="n">
        <f aca="false">IF(AND(A3997&lt;&gt;A3996,LEFT(A3997,1)&lt;&gt;"C"),1,0)</f>
        <v>0</v>
      </c>
    </row>
    <row r="3998" customFormat="false" ht="15" hidden="false" customHeight="false" outlineLevel="0" collapsed="false">
      <c r="A3998" s="0" t="s">
        <v>2623</v>
      </c>
      <c r="B3998" s="0" t="s">
        <v>1665</v>
      </c>
      <c r="C3998" s="0" t="s">
        <v>1666</v>
      </c>
      <c r="D3998" s="0" t="n">
        <v>5</v>
      </c>
      <c r="E3998" s="6" t="n">
        <v>40844.7548611111</v>
      </c>
      <c r="F3998" s="0" t="n">
        <v>8.5</v>
      </c>
      <c r="G3998" s="0" t="n">
        <v>12657</v>
      </c>
      <c r="H3998" s="0" t="s">
        <v>43</v>
      </c>
      <c r="I3998" s="7" t="n">
        <f aca="false">IF(AND(LEFT(A3998,1)&lt;&gt;"C",D3998&gt;0,F3998&gt;0),1,0)</f>
        <v>1</v>
      </c>
      <c r="J3998" s="7" t="n">
        <f aca="false">IF(I3998=1,D3998*F3998,0)</f>
        <v>42.5</v>
      </c>
      <c r="K3998" s="7" t="n">
        <f aca="false">YEAR(E3998)*100+MONTH(E3998)</f>
        <v>201110</v>
      </c>
      <c r="L3998" s="7" t="n">
        <f aca="false">IF(AND(A3998&lt;&gt;A3997,LEFT(A3998,1)&lt;&gt;"C"),1,0)</f>
        <v>1</v>
      </c>
    </row>
    <row r="3999" customFormat="false" ht="15" hidden="false" customHeight="false" outlineLevel="0" collapsed="false">
      <c r="A3999" s="0" t="s">
        <v>2624</v>
      </c>
      <c r="B3999" s="0" t="s">
        <v>873</v>
      </c>
      <c r="C3999" s="0" t="s">
        <v>874</v>
      </c>
      <c r="D3999" s="0" t="n">
        <v>12</v>
      </c>
      <c r="E3999" s="6" t="n">
        <v>40846.6555555556</v>
      </c>
      <c r="F3999" s="0" t="n">
        <v>0.83</v>
      </c>
      <c r="G3999" s="0" t="n">
        <v>12494</v>
      </c>
      <c r="H3999" s="0" t="s">
        <v>43</v>
      </c>
      <c r="I3999" s="7" t="n">
        <f aca="false">IF(AND(LEFT(A3999,1)&lt;&gt;"C",D3999&gt;0,F3999&gt;0),1,0)</f>
        <v>1</v>
      </c>
      <c r="J3999" s="7" t="n">
        <f aca="false">IF(I3999=1,D3999*F3999,0)</f>
        <v>9.96</v>
      </c>
      <c r="K3999" s="7" t="n">
        <f aca="false">YEAR(E3999)*100+MONTH(E3999)</f>
        <v>201110</v>
      </c>
      <c r="L3999" s="7" t="n">
        <f aca="false">IF(AND(A3999&lt;&gt;A3998,LEFT(A3999,1)&lt;&gt;"C"),1,0)</f>
        <v>1</v>
      </c>
    </row>
    <row r="4000" customFormat="false" ht="15" hidden="false" customHeight="false" outlineLevel="0" collapsed="false">
      <c r="A4000" s="0" t="s">
        <v>2624</v>
      </c>
      <c r="B4000" s="0" t="s">
        <v>2625</v>
      </c>
      <c r="C4000" s="0" t="s">
        <v>2626</v>
      </c>
      <c r="D4000" s="0" t="n">
        <v>6</v>
      </c>
      <c r="E4000" s="6" t="n">
        <v>40846.6555555556</v>
      </c>
      <c r="F4000" s="0" t="n">
        <v>2.95</v>
      </c>
      <c r="G4000" s="0" t="n">
        <v>12494</v>
      </c>
      <c r="H4000" s="0" t="s">
        <v>43</v>
      </c>
      <c r="I4000" s="7" t="n">
        <f aca="false">IF(AND(LEFT(A4000,1)&lt;&gt;"C",D4000&gt;0,F4000&gt;0),1,0)</f>
        <v>1</v>
      </c>
      <c r="J4000" s="7" t="n">
        <f aca="false">IF(I4000=1,D4000*F4000,0)</f>
        <v>17.7</v>
      </c>
      <c r="K4000" s="7" t="n">
        <f aca="false">YEAR(E4000)*100+MONTH(E4000)</f>
        <v>201110</v>
      </c>
      <c r="L4000" s="7" t="n">
        <f aca="false">IF(AND(A4000&lt;&gt;A3999,LEFT(A4000,1)&lt;&gt;"C"),1,0)</f>
        <v>0</v>
      </c>
    </row>
    <row r="4001" customFormat="false" ht="15" hidden="false" customHeight="false" outlineLevel="0" collapsed="false">
      <c r="A4001" s="0" t="s">
        <v>2624</v>
      </c>
      <c r="B4001" s="0" t="s">
        <v>2617</v>
      </c>
      <c r="C4001" s="0" t="s">
        <v>2618</v>
      </c>
      <c r="D4001" s="0" t="n">
        <v>12</v>
      </c>
      <c r="E4001" s="6" t="n">
        <v>40846.6555555556</v>
      </c>
      <c r="F4001" s="0" t="n">
        <v>1.25</v>
      </c>
      <c r="G4001" s="0" t="n">
        <v>12494</v>
      </c>
      <c r="H4001" s="0" t="s">
        <v>43</v>
      </c>
      <c r="I4001" s="7" t="n">
        <f aca="false">IF(AND(LEFT(A4001,1)&lt;&gt;"C",D4001&gt;0,F4001&gt;0),1,0)</f>
        <v>1</v>
      </c>
      <c r="J4001" s="7" t="n">
        <f aca="false">IF(I4001=1,D4001*F4001,0)</f>
        <v>15</v>
      </c>
      <c r="K4001" s="7" t="n">
        <f aca="false">YEAR(E4001)*100+MONTH(E4001)</f>
        <v>201110</v>
      </c>
      <c r="L4001" s="7" t="n">
        <f aca="false">IF(AND(A4001&lt;&gt;A4000,LEFT(A4001,1)&lt;&gt;"C"),1,0)</f>
        <v>0</v>
      </c>
    </row>
    <row r="4002" customFormat="false" ht="15" hidden="false" customHeight="false" outlineLevel="0" collapsed="false">
      <c r="A4002" s="0" t="s">
        <v>2624</v>
      </c>
      <c r="B4002" s="0" t="s">
        <v>2619</v>
      </c>
      <c r="C4002" s="0" t="s">
        <v>2620</v>
      </c>
      <c r="D4002" s="0" t="n">
        <v>12</v>
      </c>
      <c r="E4002" s="6" t="n">
        <v>40846.6555555556</v>
      </c>
      <c r="F4002" s="0" t="n">
        <v>1.25</v>
      </c>
      <c r="G4002" s="0" t="n">
        <v>12494</v>
      </c>
      <c r="H4002" s="0" t="s">
        <v>43</v>
      </c>
      <c r="I4002" s="7" t="n">
        <f aca="false">IF(AND(LEFT(A4002,1)&lt;&gt;"C",D4002&gt;0,F4002&gt;0),1,0)</f>
        <v>1</v>
      </c>
      <c r="J4002" s="7" t="n">
        <f aca="false">IF(I4002=1,D4002*F4002,0)</f>
        <v>15</v>
      </c>
      <c r="K4002" s="7" t="n">
        <f aca="false">YEAR(E4002)*100+MONTH(E4002)</f>
        <v>201110</v>
      </c>
      <c r="L4002" s="7" t="n">
        <f aca="false">IF(AND(A4002&lt;&gt;A4001,LEFT(A4002,1)&lt;&gt;"C"),1,0)</f>
        <v>0</v>
      </c>
    </row>
    <row r="4003" customFormat="false" ht="15" hidden="false" customHeight="false" outlineLevel="0" collapsed="false">
      <c r="A4003" s="0" t="s">
        <v>2624</v>
      </c>
      <c r="B4003" s="0" t="s">
        <v>901</v>
      </c>
      <c r="C4003" s="0" t="s">
        <v>902</v>
      </c>
      <c r="D4003" s="0" t="n">
        <v>2</v>
      </c>
      <c r="E4003" s="6" t="n">
        <v>40846.6555555556</v>
      </c>
      <c r="F4003" s="0" t="n">
        <v>9.95</v>
      </c>
      <c r="G4003" s="0" t="n">
        <v>12494</v>
      </c>
      <c r="H4003" s="0" t="s">
        <v>43</v>
      </c>
      <c r="I4003" s="7" t="n">
        <f aca="false">IF(AND(LEFT(A4003,1)&lt;&gt;"C",D4003&gt;0,F4003&gt;0),1,0)</f>
        <v>1</v>
      </c>
      <c r="J4003" s="7" t="n">
        <f aca="false">IF(I4003=1,D4003*F4003,0)</f>
        <v>19.9</v>
      </c>
      <c r="K4003" s="7" t="n">
        <f aca="false">YEAR(E4003)*100+MONTH(E4003)</f>
        <v>201110</v>
      </c>
      <c r="L4003" s="7" t="n">
        <f aca="false">IF(AND(A4003&lt;&gt;A4002,LEFT(A4003,1)&lt;&gt;"C"),1,0)</f>
        <v>0</v>
      </c>
    </row>
    <row r="4004" customFormat="false" ht="15" hidden="false" customHeight="false" outlineLevel="0" collapsed="false">
      <c r="A4004" s="0" t="s">
        <v>2624</v>
      </c>
      <c r="B4004" s="0" t="s">
        <v>953</v>
      </c>
      <c r="C4004" s="0" t="s">
        <v>954</v>
      </c>
      <c r="D4004" s="0" t="n">
        <v>10</v>
      </c>
      <c r="E4004" s="6" t="n">
        <v>40846.6555555556</v>
      </c>
      <c r="F4004" s="0" t="n">
        <v>1.25</v>
      </c>
      <c r="G4004" s="0" t="n">
        <v>12494</v>
      </c>
      <c r="H4004" s="0" t="s">
        <v>43</v>
      </c>
      <c r="I4004" s="7" t="n">
        <f aca="false">IF(AND(LEFT(A4004,1)&lt;&gt;"C",D4004&gt;0,F4004&gt;0),1,0)</f>
        <v>1</v>
      </c>
      <c r="J4004" s="7" t="n">
        <f aca="false">IF(I4004=1,D4004*F4004,0)</f>
        <v>12.5</v>
      </c>
      <c r="K4004" s="7" t="n">
        <f aca="false">YEAR(E4004)*100+MONTH(E4004)</f>
        <v>201110</v>
      </c>
      <c r="L4004" s="7" t="n">
        <f aca="false">IF(AND(A4004&lt;&gt;A4003,LEFT(A4004,1)&lt;&gt;"C"),1,0)</f>
        <v>0</v>
      </c>
    </row>
    <row r="4005" customFormat="false" ht="15" hidden="false" customHeight="false" outlineLevel="0" collapsed="false">
      <c r="A4005" s="0" t="s">
        <v>2624</v>
      </c>
      <c r="B4005" s="0" t="s">
        <v>941</v>
      </c>
      <c r="C4005" s="0" t="s">
        <v>942</v>
      </c>
      <c r="D4005" s="0" t="n">
        <v>24</v>
      </c>
      <c r="E4005" s="6" t="n">
        <v>40846.6555555556</v>
      </c>
      <c r="F4005" s="0" t="n">
        <v>0.55</v>
      </c>
      <c r="G4005" s="0" t="n">
        <v>12494</v>
      </c>
      <c r="H4005" s="0" t="s">
        <v>43</v>
      </c>
      <c r="I4005" s="7" t="n">
        <f aca="false">IF(AND(LEFT(A4005,1)&lt;&gt;"C",D4005&gt;0,F4005&gt;0),1,0)</f>
        <v>1</v>
      </c>
      <c r="J4005" s="7" t="n">
        <f aca="false">IF(I4005=1,D4005*F4005,0)</f>
        <v>13.2</v>
      </c>
      <c r="K4005" s="7" t="n">
        <f aca="false">YEAR(E4005)*100+MONTH(E4005)</f>
        <v>201110</v>
      </c>
      <c r="L4005" s="7" t="n">
        <f aca="false">IF(AND(A4005&lt;&gt;A4004,LEFT(A4005,1)&lt;&gt;"C"),1,0)</f>
        <v>0</v>
      </c>
    </row>
    <row r="4006" customFormat="false" ht="15" hidden="false" customHeight="false" outlineLevel="0" collapsed="false">
      <c r="A4006" s="0" t="s">
        <v>2624</v>
      </c>
      <c r="B4006" s="0" t="s">
        <v>217</v>
      </c>
      <c r="C4006" s="0" t="s">
        <v>218</v>
      </c>
      <c r="D4006" s="0" t="n">
        <v>24</v>
      </c>
      <c r="E4006" s="6" t="n">
        <v>40846.6555555556</v>
      </c>
      <c r="F4006" s="0" t="n">
        <v>0.55</v>
      </c>
      <c r="G4006" s="0" t="n">
        <v>12494</v>
      </c>
      <c r="H4006" s="0" t="s">
        <v>43</v>
      </c>
      <c r="I4006" s="7" t="n">
        <f aca="false">IF(AND(LEFT(A4006,1)&lt;&gt;"C",D4006&gt;0,F4006&gt;0),1,0)</f>
        <v>1</v>
      </c>
      <c r="J4006" s="7" t="n">
        <f aca="false">IF(I4006=1,D4006*F4006,0)</f>
        <v>13.2</v>
      </c>
      <c r="K4006" s="7" t="n">
        <f aca="false">YEAR(E4006)*100+MONTH(E4006)</f>
        <v>201110</v>
      </c>
      <c r="L4006" s="7" t="n">
        <f aca="false">IF(AND(A4006&lt;&gt;A4005,LEFT(A4006,1)&lt;&gt;"C"),1,0)</f>
        <v>0</v>
      </c>
    </row>
    <row r="4007" customFormat="false" ht="15" hidden="false" customHeight="false" outlineLevel="0" collapsed="false">
      <c r="A4007" s="0" t="s">
        <v>2624</v>
      </c>
      <c r="B4007" s="0" t="s">
        <v>215</v>
      </c>
      <c r="C4007" s="0" t="s">
        <v>216</v>
      </c>
      <c r="D4007" s="0" t="n">
        <v>24</v>
      </c>
      <c r="E4007" s="6" t="n">
        <v>40846.6555555556</v>
      </c>
      <c r="F4007" s="0" t="n">
        <v>0.55</v>
      </c>
      <c r="G4007" s="0" t="n">
        <v>12494</v>
      </c>
      <c r="H4007" s="0" t="s">
        <v>43</v>
      </c>
      <c r="I4007" s="7" t="n">
        <f aca="false">IF(AND(LEFT(A4007,1)&lt;&gt;"C",D4007&gt;0,F4007&gt;0),1,0)</f>
        <v>1</v>
      </c>
      <c r="J4007" s="7" t="n">
        <f aca="false">IF(I4007=1,D4007*F4007,0)</f>
        <v>13.2</v>
      </c>
      <c r="K4007" s="7" t="n">
        <f aca="false">YEAR(E4007)*100+MONTH(E4007)</f>
        <v>201110</v>
      </c>
      <c r="L4007" s="7" t="n">
        <f aca="false">IF(AND(A4007&lt;&gt;A4006,LEFT(A4007,1)&lt;&gt;"C"),1,0)</f>
        <v>0</v>
      </c>
    </row>
    <row r="4008" customFormat="false" ht="15" hidden="false" customHeight="false" outlineLevel="0" collapsed="false">
      <c r="A4008" s="0" t="s">
        <v>2624</v>
      </c>
      <c r="B4008" s="0" t="s">
        <v>103</v>
      </c>
      <c r="C4008" s="0" t="s">
        <v>104</v>
      </c>
      <c r="D4008" s="0" t="n">
        <v>24</v>
      </c>
      <c r="E4008" s="6" t="n">
        <v>40846.6555555556</v>
      </c>
      <c r="F4008" s="0" t="n">
        <v>0.55</v>
      </c>
      <c r="G4008" s="0" t="n">
        <v>12494</v>
      </c>
      <c r="H4008" s="0" t="s">
        <v>43</v>
      </c>
      <c r="I4008" s="7" t="n">
        <f aca="false">IF(AND(LEFT(A4008,1)&lt;&gt;"C",D4008&gt;0,F4008&gt;0),1,0)</f>
        <v>1</v>
      </c>
      <c r="J4008" s="7" t="n">
        <f aca="false">IF(I4008=1,D4008*F4008,0)</f>
        <v>13.2</v>
      </c>
      <c r="K4008" s="7" t="n">
        <f aca="false">YEAR(E4008)*100+MONTH(E4008)</f>
        <v>201110</v>
      </c>
      <c r="L4008" s="7" t="n">
        <f aca="false">IF(AND(A4008&lt;&gt;A4007,LEFT(A4008,1)&lt;&gt;"C"),1,0)</f>
        <v>0</v>
      </c>
    </row>
    <row r="4009" customFormat="false" ht="15" hidden="false" customHeight="false" outlineLevel="0" collapsed="false">
      <c r="A4009" s="0" t="s">
        <v>2624</v>
      </c>
      <c r="B4009" s="0" t="s">
        <v>1300</v>
      </c>
      <c r="C4009" s="0" t="s">
        <v>1301</v>
      </c>
      <c r="D4009" s="0" t="n">
        <v>24</v>
      </c>
      <c r="E4009" s="6" t="n">
        <v>40846.6555555556</v>
      </c>
      <c r="F4009" s="0" t="n">
        <v>0.55</v>
      </c>
      <c r="G4009" s="0" t="n">
        <v>12494</v>
      </c>
      <c r="H4009" s="0" t="s">
        <v>43</v>
      </c>
      <c r="I4009" s="7" t="n">
        <f aca="false">IF(AND(LEFT(A4009,1)&lt;&gt;"C",D4009&gt;0,F4009&gt;0),1,0)</f>
        <v>1</v>
      </c>
      <c r="J4009" s="7" t="n">
        <f aca="false">IF(I4009=1,D4009*F4009,0)</f>
        <v>13.2</v>
      </c>
      <c r="K4009" s="7" t="n">
        <f aca="false">YEAR(E4009)*100+MONTH(E4009)</f>
        <v>201110</v>
      </c>
      <c r="L4009" s="7" t="n">
        <f aca="false">IF(AND(A4009&lt;&gt;A4008,LEFT(A4009,1)&lt;&gt;"C"),1,0)</f>
        <v>0</v>
      </c>
    </row>
    <row r="4010" customFormat="false" ht="15" hidden="false" customHeight="false" outlineLevel="0" collapsed="false">
      <c r="A4010" s="0" t="s">
        <v>2624</v>
      </c>
      <c r="B4010" s="0" t="s">
        <v>2599</v>
      </c>
      <c r="C4010" s="0" t="s">
        <v>2600</v>
      </c>
      <c r="D4010" s="0" t="n">
        <v>24</v>
      </c>
      <c r="E4010" s="6" t="n">
        <v>40846.6555555556</v>
      </c>
      <c r="F4010" s="0" t="n">
        <v>0.55</v>
      </c>
      <c r="G4010" s="0" t="n">
        <v>12494</v>
      </c>
      <c r="H4010" s="0" t="s">
        <v>43</v>
      </c>
      <c r="I4010" s="7" t="n">
        <f aca="false">IF(AND(LEFT(A4010,1)&lt;&gt;"C",D4010&gt;0,F4010&gt;0),1,0)</f>
        <v>1</v>
      </c>
      <c r="J4010" s="7" t="n">
        <f aca="false">IF(I4010=1,D4010*F4010,0)</f>
        <v>13.2</v>
      </c>
      <c r="K4010" s="7" t="n">
        <f aca="false">YEAR(E4010)*100+MONTH(E4010)</f>
        <v>201110</v>
      </c>
      <c r="L4010" s="7" t="n">
        <f aca="false">IF(AND(A4010&lt;&gt;A4009,LEFT(A4010,1)&lt;&gt;"C"),1,0)</f>
        <v>0</v>
      </c>
    </row>
    <row r="4011" customFormat="false" ht="15" hidden="false" customHeight="false" outlineLevel="0" collapsed="false">
      <c r="A4011" s="0" t="s">
        <v>2624</v>
      </c>
      <c r="B4011" s="0" t="s">
        <v>1065</v>
      </c>
      <c r="C4011" s="0" t="s">
        <v>1066</v>
      </c>
      <c r="D4011" s="0" t="n">
        <v>6</v>
      </c>
      <c r="E4011" s="6" t="n">
        <v>40846.6555555556</v>
      </c>
      <c r="F4011" s="0" t="n">
        <v>2.08</v>
      </c>
      <c r="G4011" s="0" t="n">
        <v>12494</v>
      </c>
      <c r="H4011" s="0" t="s">
        <v>43</v>
      </c>
      <c r="I4011" s="7" t="n">
        <f aca="false">IF(AND(LEFT(A4011,1)&lt;&gt;"C",D4011&gt;0,F4011&gt;0),1,0)</f>
        <v>1</v>
      </c>
      <c r="J4011" s="7" t="n">
        <f aca="false">IF(I4011=1,D4011*F4011,0)</f>
        <v>12.48</v>
      </c>
      <c r="K4011" s="7" t="n">
        <f aca="false">YEAR(E4011)*100+MONTH(E4011)</f>
        <v>201110</v>
      </c>
      <c r="L4011" s="7" t="n">
        <f aca="false">IF(AND(A4011&lt;&gt;A4010,LEFT(A4011,1)&lt;&gt;"C"),1,0)</f>
        <v>0</v>
      </c>
    </row>
    <row r="4012" customFormat="false" ht="15" hidden="false" customHeight="false" outlineLevel="0" collapsed="false">
      <c r="A4012" s="0" t="s">
        <v>2624</v>
      </c>
      <c r="B4012" s="0" t="s">
        <v>2573</v>
      </c>
      <c r="C4012" s="0" t="s">
        <v>2574</v>
      </c>
      <c r="D4012" s="0" t="n">
        <v>4</v>
      </c>
      <c r="E4012" s="6" t="n">
        <v>40846.6555555556</v>
      </c>
      <c r="F4012" s="0" t="n">
        <v>3.75</v>
      </c>
      <c r="G4012" s="0" t="n">
        <v>12494</v>
      </c>
      <c r="H4012" s="0" t="s">
        <v>43</v>
      </c>
      <c r="I4012" s="7" t="n">
        <f aca="false">IF(AND(LEFT(A4012,1)&lt;&gt;"C",D4012&gt;0,F4012&gt;0),1,0)</f>
        <v>1</v>
      </c>
      <c r="J4012" s="7" t="n">
        <f aca="false">IF(I4012=1,D4012*F4012,0)</f>
        <v>15</v>
      </c>
      <c r="K4012" s="7" t="n">
        <f aca="false">YEAR(E4012)*100+MONTH(E4012)</f>
        <v>201110</v>
      </c>
      <c r="L4012" s="7" t="n">
        <f aca="false">IF(AND(A4012&lt;&gt;A4011,LEFT(A4012,1)&lt;&gt;"C"),1,0)</f>
        <v>0</v>
      </c>
    </row>
    <row r="4013" customFormat="false" ht="15" hidden="false" customHeight="false" outlineLevel="0" collapsed="false">
      <c r="A4013" s="0" t="s">
        <v>2624</v>
      </c>
      <c r="B4013" s="0" t="s">
        <v>84</v>
      </c>
      <c r="C4013" s="0" t="s">
        <v>85</v>
      </c>
      <c r="D4013" s="0" t="n">
        <v>1</v>
      </c>
      <c r="E4013" s="6" t="n">
        <v>40846.6555555556</v>
      </c>
      <c r="F4013" s="0" t="n">
        <v>18</v>
      </c>
      <c r="G4013" s="0" t="n">
        <v>12494</v>
      </c>
      <c r="H4013" s="0" t="s">
        <v>43</v>
      </c>
      <c r="I4013" s="7" t="n">
        <f aca="false">IF(AND(LEFT(A4013,1)&lt;&gt;"C",D4013&gt;0,F4013&gt;0),1,0)</f>
        <v>1</v>
      </c>
      <c r="J4013" s="7" t="n">
        <f aca="false">IF(I4013=1,D4013*F4013,0)</f>
        <v>18</v>
      </c>
      <c r="K4013" s="7" t="n">
        <f aca="false">YEAR(E4013)*100+MONTH(E4013)</f>
        <v>201110</v>
      </c>
      <c r="L4013" s="7" t="n">
        <f aca="false">IF(AND(A4013&lt;&gt;A4012,LEFT(A4013,1)&lt;&gt;"C"),1,0)</f>
        <v>0</v>
      </c>
    </row>
    <row r="4014" customFormat="false" ht="15" hidden="false" customHeight="false" outlineLevel="0" collapsed="false">
      <c r="A4014" s="0" t="s">
        <v>2627</v>
      </c>
      <c r="B4014" s="0" t="s">
        <v>2628</v>
      </c>
      <c r="C4014" s="0" t="s">
        <v>2629</v>
      </c>
      <c r="D4014" s="0" t="n">
        <v>10</v>
      </c>
      <c r="E4014" s="6" t="n">
        <v>40847.3722222222</v>
      </c>
      <c r="F4014" s="0" t="n">
        <v>0.85</v>
      </c>
      <c r="G4014" s="0" t="n">
        <v>12581</v>
      </c>
      <c r="H4014" s="0" t="s">
        <v>33</v>
      </c>
      <c r="I4014" s="7" t="n">
        <f aca="false">IF(AND(LEFT(A4014,1)&lt;&gt;"C",D4014&gt;0,F4014&gt;0),1,0)</f>
        <v>1</v>
      </c>
      <c r="J4014" s="7" t="n">
        <f aca="false">IF(I4014=1,D4014*F4014,0)</f>
        <v>8.5</v>
      </c>
      <c r="K4014" s="7" t="n">
        <f aca="false">YEAR(E4014)*100+MONTH(E4014)</f>
        <v>201110</v>
      </c>
      <c r="L4014" s="7" t="n">
        <f aca="false">IF(AND(A4014&lt;&gt;A4013,LEFT(A4014,1)&lt;&gt;"C"),1,0)</f>
        <v>1</v>
      </c>
    </row>
    <row r="4015" customFormat="false" ht="15" hidden="false" customHeight="false" outlineLevel="0" collapsed="false">
      <c r="A4015" s="0" t="s">
        <v>2627</v>
      </c>
      <c r="B4015" s="0" t="s">
        <v>245</v>
      </c>
      <c r="C4015" s="0" t="s">
        <v>246</v>
      </c>
      <c r="D4015" s="0" t="n">
        <v>25</v>
      </c>
      <c r="E4015" s="6" t="n">
        <v>40847.3722222222</v>
      </c>
      <c r="F4015" s="0" t="n">
        <v>0.42</v>
      </c>
      <c r="G4015" s="0" t="n">
        <v>12581</v>
      </c>
      <c r="H4015" s="0" t="s">
        <v>33</v>
      </c>
      <c r="I4015" s="7" t="n">
        <f aca="false">IF(AND(LEFT(A4015,1)&lt;&gt;"C",D4015&gt;0,F4015&gt;0),1,0)</f>
        <v>1</v>
      </c>
      <c r="J4015" s="7" t="n">
        <f aca="false">IF(I4015=1,D4015*F4015,0)</f>
        <v>10.5</v>
      </c>
      <c r="K4015" s="7" t="n">
        <f aca="false">YEAR(E4015)*100+MONTH(E4015)</f>
        <v>201110</v>
      </c>
      <c r="L4015" s="7" t="n">
        <f aca="false">IF(AND(A4015&lt;&gt;A4014,LEFT(A4015,1)&lt;&gt;"C"),1,0)</f>
        <v>0</v>
      </c>
    </row>
    <row r="4016" customFormat="false" ht="15" hidden="false" customHeight="false" outlineLevel="0" collapsed="false">
      <c r="A4016" s="0" t="s">
        <v>2627</v>
      </c>
      <c r="B4016" s="0" t="s">
        <v>1682</v>
      </c>
      <c r="C4016" s="0" t="s">
        <v>1683</v>
      </c>
      <c r="D4016" s="0" t="n">
        <v>10</v>
      </c>
      <c r="E4016" s="6" t="n">
        <v>40847.3722222222</v>
      </c>
      <c r="F4016" s="0" t="n">
        <v>0.79</v>
      </c>
      <c r="G4016" s="0" t="n">
        <v>12581</v>
      </c>
      <c r="H4016" s="0" t="s">
        <v>33</v>
      </c>
      <c r="I4016" s="7" t="n">
        <f aca="false">IF(AND(LEFT(A4016,1)&lt;&gt;"C",D4016&gt;0,F4016&gt;0),1,0)</f>
        <v>1</v>
      </c>
      <c r="J4016" s="7" t="n">
        <f aca="false">IF(I4016=1,D4016*F4016,0)</f>
        <v>7.9</v>
      </c>
      <c r="K4016" s="7" t="n">
        <f aca="false">YEAR(E4016)*100+MONTH(E4016)</f>
        <v>201110</v>
      </c>
      <c r="L4016" s="7" t="n">
        <f aca="false">IF(AND(A4016&lt;&gt;A4015,LEFT(A4016,1)&lt;&gt;"C"),1,0)</f>
        <v>0</v>
      </c>
    </row>
    <row r="4017" customFormat="false" ht="15" hidden="false" customHeight="false" outlineLevel="0" collapsed="false">
      <c r="A4017" s="0" t="s">
        <v>2627</v>
      </c>
      <c r="B4017" s="0" t="s">
        <v>2156</v>
      </c>
      <c r="C4017" s="0" t="s">
        <v>2157</v>
      </c>
      <c r="D4017" s="0" t="n">
        <v>12</v>
      </c>
      <c r="E4017" s="6" t="n">
        <v>40847.3722222222</v>
      </c>
      <c r="F4017" s="0" t="n">
        <v>1.25</v>
      </c>
      <c r="G4017" s="0" t="n">
        <v>12581</v>
      </c>
      <c r="H4017" s="0" t="s">
        <v>33</v>
      </c>
      <c r="I4017" s="7" t="n">
        <f aca="false">IF(AND(LEFT(A4017,1)&lt;&gt;"C",D4017&gt;0,F4017&gt;0),1,0)</f>
        <v>1</v>
      </c>
      <c r="J4017" s="7" t="n">
        <f aca="false">IF(I4017=1,D4017*F4017,0)</f>
        <v>15</v>
      </c>
      <c r="K4017" s="7" t="n">
        <f aca="false">YEAR(E4017)*100+MONTH(E4017)</f>
        <v>201110</v>
      </c>
      <c r="L4017" s="7" t="n">
        <f aca="false">IF(AND(A4017&lt;&gt;A4016,LEFT(A4017,1)&lt;&gt;"C"),1,0)</f>
        <v>0</v>
      </c>
    </row>
    <row r="4018" customFormat="false" ht="15" hidden="false" customHeight="false" outlineLevel="0" collapsed="false">
      <c r="A4018" s="0" t="s">
        <v>2627</v>
      </c>
      <c r="B4018" s="0" t="s">
        <v>2158</v>
      </c>
      <c r="C4018" s="0" t="s">
        <v>2159</v>
      </c>
      <c r="D4018" s="0" t="n">
        <v>12</v>
      </c>
      <c r="E4018" s="6" t="n">
        <v>40847.3722222222</v>
      </c>
      <c r="F4018" s="0" t="n">
        <v>1.25</v>
      </c>
      <c r="G4018" s="0" t="n">
        <v>12581</v>
      </c>
      <c r="H4018" s="0" t="s">
        <v>33</v>
      </c>
      <c r="I4018" s="7" t="n">
        <f aca="false">IF(AND(LEFT(A4018,1)&lt;&gt;"C",D4018&gt;0,F4018&gt;0),1,0)</f>
        <v>1</v>
      </c>
      <c r="J4018" s="7" t="n">
        <f aca="false">IF(I4018=1,D4018*F4018,0)</f>
        <v>15</v>
      </c>
      <c r="K4018" s="7" t="n">
        <f aca="false">YEAR(E4018)*100+MONTH(E4018)</f>
        <v>201110</v>
      </c>
      <c r="L4018" s="7" t="n">
        <f aca="false">IF(AND(A4018&lt;&gt;A4017,LEFT(A4018,1)&lt;&gt;"C"),1,0)</f>
        <v>0</v>
      </c>
    </row>
    <row r="4019" customFormat="false" ht="15" hidden="false" customHeight="false" outlineLevel="0" collapsed="false">
      <c r="A4019" s="0" t="s">
        <v>2627</v>
      </c>
      <c r="B4019" s="0" t="s">
        <v>1636</v>
      </c>
      <c r="C4019" s="0" t="s">
        <v>1637</v>
      </c>
      <c r="D4019" s="0" t="n">
        <v>12</v>
      </c>
      <c r="E4019" s="6" t="n">
        <v>40847.3722222222</v>
      </c>
      <c r="F4019" s="0" t="n">
        <v>1.25</v>
      </c>
      <c r="G4019" s="0" t="n">
        <v>12581</v>
      </c>
      <c r="H4019" s="0" t="s">
        <v>33</v>
      </c>
      <c r="I4019" s="7" t="n">
        <f aca="false">IF(AND(LEFT(A4019,1)&lt;&gt;"C",D4019&gt;0,F4019&gt;0),1,0)</f>
        <v>1</v>
      </c>
      <c r="J4019" s="7" t="n">
        <f aca="false">IF(I4019=1,D4019*F4019,0)</f>
        <v>15</v>
      </c>
      <c r="K4019" s="7" t="n">
        <f aca="false">YEAR(E4019)*100+MONTH(E4019)</f>
        <v>201110</v>
      </c>
      <c r="L4019" s="7" t="n">
        <f aca="false">IF(AND(A4019&lt;&gt;A4018,LEFT(A4019,1)&lt;&gt;"C"),1,0)</f>
        <v>0</v>
      </c>
    </row>
    <row r="4020" customFormat="false" ht="15" hidden="false" customHeight="false" outlineLevel="0" collapsed="false">
      <c r="A4020" s="0" t="s">
        <v>2627</v>
      </c>
      <c r="B4020" s="0" t="s">
        <v>2630</v>
      </c>
      <c r="C4020" s="0" t="s">
        <v>2631</v>
      </c>
      <c r="D4020" s="0" t="n">
        <v>1</v>
      </c>
      <c r="E4020" s="6" t="n">
        <v>40847.3722222222</v>
      </c>
      <c r="F4020" s="0" t="n">
        <v>9.95</v>
      </c>
      <c r="G4020" s="0" t="n">
        <v>12581</v>
      </c>
      <c r="H4020" s="0" t="s">
        <v>33</v>
      </c>
      <c r="I4020" s="7" t="n">
        <f aca="false">IF(AND(LEFT(A4020,1)&lt;&gt;"C",D4020&gt;0,F4020&gt;0),1,0)</f>
        <v>1</v>
      </c>
      <c r="J4020" s="7" t="n">
        <f aca="false">IF(I4020=1,D4020*F4020,0)</f>
        <v>9.95</v>
      </c>
      <c r="K4020" s="7" t="n">
        <f aca="false">YEAR(E4020)*100+MONTH(E4020)</f>
        <v>201110</v>
      </c>
      <c r="L4020" s="7" t="n">
        <f aca="false">IF(AND(A4020&lt;&gt;A4019,LEFT(A4020,1)&lt;&gt;"C"),1,0)</f>
        <v>0</v>
      </c>
    </row>
    <row r="4021" customFormat="false" ht="15" hidden="false" customHeight="false" outlineLevel="0" collapsed="false">
      <c r="A4021" s="0" t="s">
        <v>2627</v>
      </c>
      <c r="B4021" s="0" t="s">
        <v>2632</v>
      </c>
      <c r="C4021" s="0" t="s">
        <v>2633</v>
      </c>
      <c r="D4021" s="0" t="n">
        <v>12</v>
      </c>
      <c r="E4021" s="6" t="n">
        <v>40847.3722222222</v>
      </c>
      <c r="F4021" s="0" t="n">
        <v>0.83</v>
      </c>
      <c r="G4021" s="0" t="n">
        <v>12581</v>
      </c>
      <c r="H4021" s="0" t="s">
        <v>33</v>
      </c>
      <c r="I4021" s="7" t="n">
        <f aca="false">IF(AND(LEFT(A4021,1)&lt;&gt;"C",D4021&gt;0,F4021&gt;0),1,0)</f>
        <v>1</v>
      </c>
      <c r="J4021" s="7" t="n">
        <f aca="false">IF(I4021=1,D4021*F4021,0)</f>
        <v>9.96</v>
      </c>
      <c r="K4021" s="7" t="n">
        <f aca="false">YEAR(E4021)*100+MONTH(E4021)</f>
        <v>201110</v>
      </c>
      <c r="L4021" s="7" t="n">
        <f aca="false">IF(AND(A4021&lt;&gt;A4020,LEFT(A4021,1)&lt;&gt;"C"),1,0)</f>
        <v>0</v>
      </c>
    </row>
    <row r="4022" customFormat="false" ht="15" hidden="false" customHeight="false" outlineLevel="0" collapsed="false">
      <c r="A4022" s="0" t="s">
        <v>2627</v>
      </c>
      <c r="B4022" s="0" t="s">
        <v>2634</v>
      </c>
      <c r="C4022" s="0" t="s">
        <v>2635</v>
      </c>
      <c r="D4022" s="0" t="n">
        <v>12</v>
      </c>
      <c r="E4022" s="6" t="n">
        <v>40847.3722222222</v>
      </c>
      <c r="F4022" s="0" t="n">
        <v>1.65</v>
      </c>
      <c r="G4022" s="0" t="n">
        <v>12581</v>
      </c>
      <c r="H4022" s="0" t="s">
        <v>33</v>
      </c>
      <c r="I4022" s="7" t="n">
        <f aca="false">IF(AND(LEFT(A4022,1)&lt;&gt;"C",D4022&gt;0,F4022&gt;0),1,0)</f>
        <v>1</v>
      </c>
      <c r="J4022" s="7" t="n">
        <f aca="false">IF(I4022=1,D4022*F4022,0)</f>
        <v>19.8</v>
      </c>
      <c r="K4022" s="7" t="n">
        <f aca="false">YEAR(E4022)*100+MONTH(E4022)</f>
        <v>201110</v>
      </c>
      <c r="L4022" s="7" t="n">
        <f aca="false">IF(AND(A4022&lt;&gt;A4021,LEFT(A4022,1)&lt;&gt;"C"),1,0)</f>
        <v>0</v>
      </c>
    </row>
    <row r="4023" customFormat="false" ht="15" hidden="false" customHeight="false" outlineLevel="0" collapsed="false">
      <c r="A4023" s="0" t="s">
        <v>2627</v>
      </c>
      <c r="B4023" s="0" t="s">
        <v>123</v>
      </c>
      <c r="C4023" s="0" t="s">
        <v>124</v>
      </c>
      <c r="D4023" s="0" t="n">
        <v>6</v>
      </c>
      <c r="E4023" s="6" t="n">
        <v>40847.3722222222</v>
      </c>
      <c r="F4023" s="0" t="n">
        <v>2.95</v>
      </c>
      <c r="G4023" s="0" t="n">
        <v>12581</v>
      </c>
      <c r="H4023" s="0" t="s">
        <v>33</v>
      </c>
      <c r="I4023" s="7" t="n">
        <f aca="false">IF(AND(LEFT(A4023,1)&lt;&gt;"C",D4023&gt;0,F4023&gt;0),1,0)</f>
        <v>1</v>
      </c>
      <c r="J4023" s="7" t="n">
        <f aca="false">IF(I4023=1,D4023*F4023,0)</f>
        <v>17.7</v>
      </c>
      <c r="K4023" s="7" t="n">
        <f aca="false">YEAR(E4023)*100+MONTH(E4023)</f>
        <v>201110</v>
      </c>
      <c r="L4023" s="7" t="n">
        <f aca="false">IF(AND(A4023&lt;&gt;A4022,LEFT(A4023,1)&lt;&gt;"C"),1,0)</f>
        <v>0</v>
      </c>
    </row>
    <row r="4024" customFormat="false" ht="15" hidden="false" customHeight="false" outlineLevel="0" collapsed="false">
      <c r="A4024" s="0" t="s">
        <v>2627</v>
      </c>
      <c r="B4024" s="0" t="s">
        <v>2636</v>
      </c>
      <c r="C4024" s="0" t="s">
        <v>2637</v>
      </c>
      <c r="D4024" s="0" t="n">
        <v>12</v>
      </c>
      <c r="E4024" s="6" t="n">
        <v>40847.3722222222</v>
      </c>
      <c r="F4024" s="0" t="n">
        <v>1.25</v>
      </c>
      <c r="G4024" s="0" t="n">
        <v>12581</v>
      </c>
      <c r="H4024" s="0" t="s">
        <v>33</v>
      </c>
      <c r="I4024" s="7" t="n">
        <f aca="false">IF(AND(LEFT(A4024,1)&lt;&gt;"C",D4024&gt;0,F4024&gt;0),1,0)</f>
        <v>1</v>
      </c>
      <c r="J4024" s="7" t="n">
        <f aca="false">IF(I4024=1,D4024*F4024,0)</f>
        <v>15</v>
      </c>
      <c r="K4024" s="7" t="n">
        <f aca="false">YEAR(E4024)*100+MONTH(E4024)</f>
        <v>201110</v>
      </c>
      <c r="L4024" s="7" t="n">
        <f aca="false">IF(AND(A4024&lt;&gt;A4023,LEFT(A4024,1)&lt;&gt;"C"),1,0)</f>
        <v>0</v>
      </c>
    </row>
    <row r="4025" customFormat="false" ht="15" hidden="false" customHeight="false" outlineLevel="0" collapsed="false">
      <c r="A4025" s="0" t="s">
        <v>2627</v>
      </c>
      <c r="B4025" s="0" t="s">
        <v>2638</v>
      </c>
      <c r="C4025" s="0" t="s">
        <v>2639</v>
      </c>
      <c r="D4025" s="0" t="n">
        <v>12</v>
      </c>
      <c r="E4025" s="6" t="n">
        <v>40847.3722222222</v>
      </c>
      <c r="F4025" s="0" t="n">
        <v>0.85</v>
      </c>
      <c r="G4025" s="0" t="n">
        <v>12581</v>
      </c>
      <c r="H4025" s="0" t="s">
        <v>33</v>
      </c>
      <c r="I4025" s="7" t="n">
        <f aca="false">IF(AND(LEFT(A4025,1)&lt;&gt;"C",D4025&gt;0,F4025&gt;0),1,0)</f>
        <v>1</v>
      </c>
      <c r="J4025" s="7" t="n">
        <f aca="false">IF(I4025=1,D4025*F4025,0)</f>
        <v>10.2</v>
      </c>
      <c r="K4025" s="7" t="n">
        <f aca="false">YEAR(E4025)*100+MONTH(E4025)</f>
        <v>201110</v>
      </c>
      <c r="L4025" s="7" t="n">
        <f aca="false">IF(AND(A4025&lt;&gt;A4024,LEFT(A4025,1)&lt;&gt;"C"),1,0)</f>
        <v>0</v>
      </c>
    </row>
    <row r="4026" customFormat="false" ht="15" hidden="false" customHeight="false" outlineLevel="0" collapsed="false">
      <c r="A4026" s="0" t="s">
        <v>2627</v>
      </c>
      <c r="B4026" s="0" t="s">
        <v>2640</v>
      </c>
      <c r="C4026" s="0" t="s">
        <v>2641</v>
      </c>
      <c r="D4026" s="0" t="n">
        <v>12</v>
      </c>
      <c r="E4026" s="6" t="n">
        <v>40847.3722222222</v>
      </c>
      <c r="F4026" s="0" t="n">
        <v>1.25</v>
      </c>
      <c r="G4026" s="0" t="n">
        <v>12581</v>
      </c>
      <c r="H4026" s="0" t="s">
        <v>33</v>
      </c>
      <c r="I4026" s="7" t="n">
        <f aca="false">IF(AND(LEFT(A4026,1)&lt;&gt;"C",D4026&gt;0,F4026&gt;0),1,0)</f>
        <v>1</v>
      </c>
      <c r="J4026" s="7" t="n">
        <f aca="false">IF(I4026=1,D4026*F4026,0)</f>
        <v>15</v>
      </c>
      <c r="K4026" s="7" t="n">
        <f aca="false">YEAR(E4026)*100+MONTH(E4026)</f>
        <v>201110</v>
      </c>
      <c r="L4026" s="7" t="n">
        <f aca="false">IF(AND(A4026&lt;&gt;A4025,LEFT(A4026,1)&lt;&gt;"C"),1,0)</f>
        <v>0</v>
      </c>
    </row>
    <row r="4027" customFormat="false" ht="15" hidden="false" customHeight="false" outlineLevel="0" collapsed="false">
      <c r="A4027" s="0" t="s">
        <v>2627</v>
      </c>
      <c r="B4027" s="0" t="s">
        <v>115</v>
      </c>
      <c r="C4027" s="0" t="s">
        <v>116</v>
      </c>
      <c r="D4027" s="0" t="n">
        <v>12</v>
      </c>
      <c r="E4027" s="6" t="n">
        <v>40847.3722222222</v>
      </c>
      <c r="F4027" s="0" t="n">
        <v>0.85</v>
      </c>
      <c r="G4027" s="0" t="n">
        <v>12581</v>
      </c>
      <c r="H4027" s="0" t="s">
        <v>33</v>
      </c>
      <c r="I4027" s="7" t="n">
        <f aca="false">IF(AND(LEFT(A4027,1)&lt;&gt;"C",D4027&gt;0,F4027&gt;0),1,0)</f>
        <v>1</v>
      </c>
      <c r="J4027" s="7" t="n">
        <f aca="false">IF(I4027=1,D4027*F4027,0)</f>
        <v>10.2</v>
      </c>
      <c r="K4027" s="7" t="n">
        <f aca="false">YEAR(E4027)*100+MONTH(E4027)</f>
        <v>201110</v>
      </c>
      <c r="L4027" s="7" t="n">
        <f aca="false">IF(AND(A4027&lt;&gt;A4026,LEFT(A4027,1)&lt;&gt;"C"),1,0)</f>
        <v>0</v>
      </c>
    </row>
    <row r="4028" customFormat="false" ht="15" hidden="false" customHeight="false" outlineLevel="0" collapsed="false">
      <c r="A4028" s="0" t="s">
        <v>2627</v>
      </c>
      <c r="B4028" s="0" t="s">
        <v>84</v>
      </c>
      <c r="C4028" s="0" t="s">
        <v>85</v>
      </c>
      <c r="D4028" s="0" t="n">
        <v>1</v>
      </c>
      <c r="E4028" s="6" t="n">
        <v>40847.3722222222</v>
      </c>
      <c r="F4028" s="0" t="n">
        <v>18</v>
      </c>
      <c r="G4028" s="0" t="n">
        <v>12581</v>
      </c>
      <c r="H4028" s="0" t="s">
        <v>33</v>
      </c>
      <c r="I4028" s="7" t="n">
        <f aca="false">IF(AND(LEFT(A4028,1)&lt;&gt;"C",D4028&gt;0,F4028&gt;0),1,0)</f>
        <v>1</v>
      </c>
      <c r="J4028" s="7" t="n">
        <f aca="false">IF(I4028=1,D4028*F4028,0)</f>
        <v>18</v>
      </c>
      <c r="K4028" s="7" t="n">
        <f aca="false">YEAR(E4028)*100+MONTH(E4028)</f>
        <v>201110</v>
      </c>
      <c r="L4028" s="7" t="n">
        <f aca="false">IF(AND(A4028&lt;&gt;A4027,LEFT(A4028,1)&lt;&gt;"C"),1,0)</f>
        <v>0</v>
      </c>
    </row>
    <row r="4029" customFormat="false" ht="15" hidden="false" customHeight="false" outlineLevel="0" collapsed="false">
      <c r="A4029" s="0" t="s">
        <v>2642</v>
      </c>
      <c r="B4029" s="0" t="s">
        <v>205</v>
      </c>
      <c r="C4029" s="0" t="s">
        <v>206</v>
      </c>
      <c r="D4029" s="0" t="n">
        <v>144</v>
      </c>
      <c r="E4029" s="6" t="n">
        <v>40847.4201388889</v>
      </c>
      <c r="F4029" s="0" t="n">
        <v>0.39</v>
      </c>
      <c r="G4029" s="0" t="n">
        <v>12720</v>
      </c>
      <c r="H4029" s="0" t="s">
        <v>33</v>
      </c>
      <c r="I4029" s="7" t="n">
        <f aca="false">IF(AND(LEFT(A4029,1)&lt;&gt;"C",D4029&gt;0,F4029&gt;0),1,0)</f>
        <v>1</v>
      </c>
      <c r="J4029" s="7" t="n">
        <f aca="false">IF(I4029=1,D4029*F4029,0)</f>
        <v>56.16</v>
      </c>
      <c r="K4029" s="7" t="n">
        <f aca="false">YEAR(E4029)*100+MONTH(E4029)</f>
        <v>201110</v>
      </c>
      <c r="L4029" s="7" t="n">
        <f aca="false">IF(AND(A4029&lt;&gt;A4028,LEFT(A4029,1)&lt;&gt;"C"),1,0)</f>
        <v>1</v>
      </c>
    </row>
    <row r="4030" customFormat="false" ht="15" hidden="false" customHeight="false" outlineLevel="0" collapsed="false">
      <c r="A4030" s="0" t="s">
        <v>2642</v>
      </c>
      <c r="B4030" s="0" t="s">
        <v>1386</v>
      </c>
      <c r="C4030" s="0" t="s">
        <v>1387</v>
      </c>
      <c r="D4030" s="0" t="n">
        <v>10</v>
      </c>
      <c r="E4030" s="6" t="n">
        <v>40847.4201388889</v>
      </c>
      <c r="F4030" s="0" t="n">
        <v>2.08</v>
      </c>
      <c r="G4030" s="0" t="n">
        <v>12720</v>
      </c>
      <c r="H4030" s="0" t="s">
        <v>33</v>
      </c>
      <c r="I4030" s="7" t="n">
        <f aca="false">IF(AND(LEFT(A4030,1)&lt;&gt;"C",D4030&gt;0,F4030&gt;0),1,0)</f>
        <v>1</v>
      </c>
      <c r="J4030" s="7" t="n">
        <f aca="false">IF(I4030=1,D4030*F4030,0)</f>
        <v>20.8</v>
      </c>
      <c r="K4030" s="7" t="n">
        <f aca="false">YEAR(E4030)*100+MONTH(E4030)</f>
        <v>201110</v>
      </c>
      <c r="L4030" s="7" t="n">
        <f aca="false">IF(AND(A4030&lt;&gt;A4029,LEFT(A4030,1)&lt;&gt;"C"),1,0)</f>
        <v>0</v>
      </c>
    </row>
    <row r="4031" customFormat="false" ht="15" hidden="false" customHeight="false" outlineLevel="0" collapsed="false">
      <c r="A4031" s="0" t="s">
        <v>2643</v>
      </c>
      <c r="B4031" s="0" t="s">
        <v>2644</v>
      </c>
      <c r="C4031" s="0" t="s">
        <v>2645</v>
      </c>
      <c r="D4031" s="0" t="n">
        <v>12</v>
      </c>
      <c r="E4031" s="6" t="n">
        <v>40847.4298611111</v>
      </c>
      <c r="F4031" s="0" t="n">
        <v>0.83</v>
      </c>
      <c r="G4031" s="0" t="n">
        <v>12571</v>
      </c>
      <c r="H4031" s="0" t="s">
        <v>43</v>
      </c>
      <c r="I4031" s="7" t="n">
        <f aca="false">IF(AND(LEFT(A4031,1)&lt;&gt;"C",D4031&gt;0,F4031&gt;0),1,0)</f>
        <v>1</v>
      </c>
      <c r="J4031" s="7" t="n">
        <f aca="false">IF(I4031=1,D4031*F4031,0)</f>
        <v>9.96</v>
      </c>
      <c r="K4031" s="7" t="n">
        <f aca="false">YEAR(E4031)*100+MONTH(E4031)</f>
        <v>201110</v>
      </c>
      <c r="L4031" s="7" t="n">
        <f aca="false">IF(AND(A4031&lt;&gt;A4030,LEFT(A4031,1)&lt;&gt;"C"),1,0)</f>
        <v>1</v>
      </c>
    </row>
    <row r="4032" customFormat="false" ht="15" hidden="false" customHeight="false" outlineLevel="0" collapsed="false">
      <c r="A4032" s="0" t="s">
        <v>2643</v>
      </c>
      <c r="B4032" s="0" t="s">
        <v>2646</v>
      </c>
      <c r="C4032" s="0" t="s">
        <v>2647</v>
      </c>
      <c r="D4032" s="0" t="n">
        <v>12</v>
      </c>
      <c r="E4032" s="6" t="n">
        <v>40847.4298611111</v>
      </c>
      <c r="F4032" s="0" t="n">
        <v>0.65</v>
      </c>
      <c r="G4032" s="0" t="n">
        <v>12571</v>
      </c>
      <c r="H4032" s="0" t="s">
        <v>43</v>
      </c>
      <c r="I4032" s="7" t="n">
        <f aca="false">IF(AND(LEFT(A4032,1)&lt;&gt;"C",D4032&gt;0,F4032&gt;0),1,0)</f>
        <v>1</v>
      </c>
      <c r="J4032" s="7" t="n">
        <f aca="false">IF(I4032=1,D4032*F4032,0)</f>
        <v>7.8</v>
      </c>
      <c r="K4032" s="7" t="n">
        <f aca="false">YEAR(E4032)*100+MONTH(E4032)</f>
        <v>201110</v>
      </c>
      <c r="L4032" s="7" t="n">
        <f aca="false">IF(AND(A4032&lt;&gt;A4031,LEFT(A4032,1)&lt;&gt;"C"),1,0)</f>
        <v>0</v>
      </c>
    </row>
    <row r="4033" customFormat="false" ht="15" hidden="false" customHeight="false" outlineLevel="0" collapsed="false">
      <c r="A4033" s="0" t="s">
        <v>2643</v>
      </c>
      <c r="B4033" s="0" t="s">
        <v>335</v>
      </c>
      <c r="C4033" s="0" t="s">
        <v>336</v>
      </c>
      <c r="D4033" s="0" t="n">
        <v>12</v>
      </c>
      <c r="E4033" s="6" t="n">
        <v>40847.4298611111</v>
      </c>
      <c r="F4033" s="0" t="n">
        <v>1.65</v>
      </c>
      <c r="G4033" s="0" t="n">
        <v>12571</v>
      </c>
      <c r="H4033" s="0" t="s">
        <v>43</v>
      </c>
      <c r="I4033" s="7" t="n">
        <f aca="false">IF(AND(LEFT(A4033,1)&lt;&gt;"C",D4033&gt;0,F4033&gt;0),1,0)</f>
        <v>1</v>
      </c>
      <c r="J4033" s="7" t="n">
        <f aca="false">IF(I4033=1,D4033*F4033,0)</f>
        <v>19.8</v>
      </c>
      <c r="K4033" s="7" t="n">
        <f aca="false">YEAR(E4033)*100+MONTH(E4033)</f>
        <v>201110</v>
      </c>
      <c r="L4033" s="7" t="n">
        <f aca="false">IF(AND(A4033&lt;&gt;A4032,LEFT(A4033,1)&lt;&gt;"C"),1,0)</f>
        <v>0</v>
      </c>
    </row>
    <row r="4034" customFormat="false" ht="15" hidden="false" customHeight="false" outlineLevel="0" collapsed="false">
      <c r="A4034" s="0" t="s">
        <v>2643</v>
      </c>
      <c r="B4034" s="0" t="s">
        <v>1338</v>
      </c>
      <c r="C4034" s="0" t="s">
        <v>1339</v>
      </c>
      <c r="D4034" s="0" t="n">
        <v>6</v>
      </c>
      <c r="E4034" s="6" t="n">
        <v>40847.4298611111</v>
      </c>
      <c r="F4034" s="0" t="n">
        <v>2.95</v>
      </c>
      <c r="G4034" s="0" t="n">
        <v>12571</v>
      </c>
      <c r="H4034" s="0" t="s">
        <v>43</v>
      </c>
      <c r="I4034" s="7" t="n">
        <f aca="false">IF(AND(LEFT(A4034,1)&lt;&gt;"C",D4034&gt;0,F4034&gt;0),1,0)</f>
        <v>1</v>
      </c>
      <c r="J4034" s="7" t="n">
        <f aca="false">IF(I4034=1,D4034*F4034,0)</f>
        <v>17.7</v>
      </c>
      <c r="K4034" s="7" t="n">
        <f aca="false">YEAR(E4034)*100+MONTH(E4034)</f>
        <v>201110</v>
      </c>
      <c r="L4034" s="7" t="n">
        <f aca="false">IF(AND(A4034&lt;&gt;A4033,LEFT(A4034,1)&lt;&gt;"C"),1,0)</f>
        <v>0</v>
      </c>
    </row>
    <row r="4035" customFormat="false" ht="15" hidden="false" customHeight="false" outlineLevel="0" collapsed="false">
      <c r="A4035" s="0" t="s">
        <v>2643</v>
      </c>
      <c r="B4035" s="0" t="s">
        <v>217</v>
      </c>
      <c r="C4035" s="0" t="s">
        <v>218</v>
      </c>
      <c r="D4035" s="0" t="n">
        <v>24</v>
      </c>
      <c r="E4035" s="6" t="n">
        <v>40847.4298611111</v>
      </c>
      <c r="F4035" s="0" t="n">
        <v>0.55</v>
      </c>
      <c r="G4035" s="0" t="n">
        <v>12571</v>
      </c>
      <c r="H4035" s="0" t="s">
        <v>43</v>
      </c>
      <c r="I4035" s="7" t="n">
        <f aca="false">IF(AND(LEFT(A4035,1)&lt;&gt;"C",D4035&gt;0,F4035&gt;0),1,0)</f>
        <v>1</v>
      </c>
      <c r="J4035" s="7" t="n">
        <f aca="false">IF(I4035=1,D4035*F4035,0)</f>
        <v>13.2</v>
      </c>
      <c r="K4035" s="7" t="n">
        <f aca="false">YEAR(E4035)*100+MONTH(E4035)</f>
        <v>201110</v>
      </c>
      <c r="L4035" s="7" t="n">
        <f aca="false">IF(AND(A4035&lt;&gt;A4034,LEFT(A4035,1)&lt;&gt;"C"),1,0)</f>
        <v>0</v>
      </c>
    </row>
    <row r="4036" customFormat="false" ht="15" hidden="false" customHeight="false" outlineLevel="0" collapsed="false">
      <c r="A4036" s="0" t="s">
        <v>2643</v>
      </c>
      <c r="B4036" s="0" t="s">
        <v>416</v>
      </c>
      <c r="C4036" s="0" t="s">
        <v>417</v>
      </c>
      <c r="D4036" s="0" t="n">
        <v>36</v>
      </c>
      <c r="E4036" s="6" t="n">
        <v>40847.4298611111</v>
      </c>
      <c r="F4036" s="0" t="n">
        <v>0.65</v>
      </c>
      <c r="G4036" s="0" t="n">
        <v>12571</v>
      </c>
      <c r="H4036" s="0" t="s">
        <v>43</v>
      </c>
      <c r="I4036" s="7" t="n">
        <f aca="false">IF(AND(LEFT(A4036,1)&lt;&gt;"C",D4036&gt;0,F4036&gt;0),1,0)</f>
        <v>1</v>
      </c>
      <c r="J4036" s="7" t="n">
        <f aca="false">IF(I4036=1,D4036*F4036,0)</f>
        <v>23.4</v>
      </c>
      <c r="K4036" s="7" t="n">
        <f aca="false">YEAR(E4036)*100+MONTH(E4036)</f>
        <v>201110</v>
      </c>
      <c r="L4036" s="7" t="n">
        <f aca="false">IF(AND(A4036&lt;&gt;A4035,LEFT(A4036,1)&lt;&gt;"C"),1,0)</f>
        <v>0</v>
      </c>
    </row>
    <row r="4037" customFormat="false" ht="15" hidden="false" customHeight="false" outlineLevel="0" collapsed="false">
      <c r="A4037" s="0" t="s">
        <v>2643</v>
      </c>
      <c r="B4037" s="0" t="s">
        <v>2648</v>
      </c>
      <c r="C4037" s="0" t="s">
        <v>2649</v>
      </c>
      <c r="D4037" s="0" t="n">
        <v>12</v>
      </c>
      <c r="E4037" s="6" t="n">
        <v>40847.4298611111</v>
      </c>
      <c r="F4037" s="0" t="n">
        <v>1.25</v>
      </c>
      <c r="G4037" s="0" t="n">
        <v>12571</v>
      </c>
      <c r="H4037" s="0" t="s">
        <v>43</v>
      </c>
      <c r="I4037" s="7" t="n">
        <f aca="false">IF(AND(LEFT(A4037,1)&lt;&gt;"C",D4037&gt;0,F4037&gt;0),1,0)</f>
        <v>1</v>
      </c>
      <c r="J4037" s="7" t="n">
        <f aca="false">IF(I4037=1,D4037*F4037,0)</f>
        <v>15</v>
      </c>
      <c r="K4037" s="7" t="n">
        <f aca="false">YEAR(E4037)*100+MONTH(E4037)</f>
        <v>201110</v>
      </c>
      <c r="L4037" s="7" t="n">
        <f aca="false">IF(AND(A4037&lt;&gt;A4036,LEFT(A4037,1)&lt;&gt;"C"),1,0)</f>
        <v>0</v>
      </c>
    </row>
    <row r="4038" customFormat="false" ht="15" hidden="false" customHeight="false" outlineLevel="0" collapsed="false">
      <c r="A4038" s="0" t="s">
        <v>2643</v>
      </c>
      <c r="B4038" s="0" t="s">
        <v>527</v>
      </c>
      <c r="C4038" s="0" t="s">
        <v>528</v>
      </c>
      <c r="D4038" s="0" t="n">
        <v>6</v>
      </c>
      <c r="E4038" s="6" t="n">
        <v>40847.4298611111</v>
      </c>
      <c r="F4038" s="0" t="n">
        <v>2.95</v>
      </c>
      <c r="G4038" s="0" t="n">
        <v>12571</v>
      </c>
      <c r="H4038" s="0" t="s">
        <v>43</v>
      </c>
      <c r="I4038" s="7" t="n">
        <f aca="false">IF(AND(LEFT(A4038,1)&lt;&gt;"C",D4038&gt;0,F4038&gt;0),1,0)</f>
        <v>1</v>
      </c>
      <c r="J4038" s="7" t="n">
        <f aca="false">IF(I4038=1,D4038*F4038,0)</f>
        <v>17.7</v>
      </c>
      <c r="K4038" s="7" t="n">
        <f aca="false">YEAR(E4038)*100+MONTH(E4038)</f>
        <v>201110</v>
      </c>
      <c r="L4038" s="7" t="n">
        <f aca="false">IF(AND(A4038&lt;&gt;A4037,LEFT(A4038,1)&lt;&gt;"C"),1,0)</f>
        <v>0</v>
      </c>
    </row>
    <row r="4039" customFormat="false" ht="15" hidden="false" customHeight="false" outlineLevel="0" collapsed="false">
      <c r="A4039" s="0" t="s">
        <v>2643</v>
      </c>
      <c r="B4039" s="0" t="s">
        <v>909</v>
      </c>
      <c r="C4039" s="0" t="s">
        <v>910</v>
      </c>
      <c r="D4039" s="0" t="n">
        <v>12</v>
      </c>
      <c r="E4039" s="6" t="n">
        <v>40847.4298611111</v>
      </c>
      <c r="F4039" s="0" t="n">
        <v>1.25</v>
      </c>
      <c r="G4039" s="0" t="n">
        <v>12571</v>
      </c>
      <c r="H4039" s="0" t="s">
        <v>43</v>
      </c>
      <c r="I4039" s="7" t="n">
        <f aca="false">IF(AND(LEFT(A4039,1)&lt;&gt;"C",D4039&gt;0,F4039&gt;0),1,0)</f>
        <v>1</v>
      </c>
      <c r="J4039" s="7" t="n">
        <f aca="false">IF(I4039=1,D4039*F4039,0)</f>
        <v>15</v>
      </c>
      <c r="K4039" s="7" t="n">
        <f aca="false">YEAR(E4039)*100+MONTH(E4039)</f>
        <v>201110</v>
      </c>
      <c r="L4039" s="7" t="n">
        <f aca="false">IF(AND(A4039&lt;&gt;A4038,LEFT(A4039,1)&lt;&gt;"C"),1,0)</f>
        <v>0</v>
      </c>
    </row>
    <row r="4040" customFormat="false" ht="15" hidden="false" customHeight="false" outlineLevel="0" collapsed="false">
      <c r="A4040" s="0" t="s">
        <v>2643</v>
      </c>
      <c r="B4040" s="0" t="s">
        <v>2385</v>
      </c>
      <c r="C4040" s="0" t="s">
        <v>2386</v>
      </c>
      <c r="D4040" s="0" t="n">
        <v>10</v>
      </c>
      <c r="E4040" s="6" t="n">
        <v>40847.4298611111</v>
      </c>
      <c r="F4040" s="0" t="n">
        <v>1.65</v>
      </c>
      <c r="G4040" s="0" t="n">
        <v>12571</v>
      </c>
      <c r="H4040" s="0" t="s">
        <v>43</v>
      </c>
      <c r="I4040" s="7" t="n">
        <f aca="false">IF(AND(LEFT(A4040,1)&lt;&gt;"C",D4040&gt;0,F4040&gt;0),1,0)</f>
        <v>1</v>
      </c>
      <c r="J4040" s="7" t="n">
        <f aca="false">IF(I4040=1,D4040*F4040,0)</f>
        <v>16.5</v>
      </c>
      <c r="K4040" s="7" t="n">
        <f aca="false">YEAR(E4040)*100+MONTH(E4040)</f>
        <v>201110</v>
      </c>
      <c r="L4040" s="7" t="n">
        <f aca="false">IF(AND(A4040&lt;&gt;A4039,LEFT(A4040,1)&lt;&gt;"C"),1,0)</f>
        <v>0</v>
      </c>
    </row>
    <row r="4041" customFormat="false" ht="15" hidden="false" customHeight="false" outlineLevel="0" collapsed="false">
      <c r="A4041" s="0" t="s">
        <v>2643</v>
      </c>
      <c r="B4041" s="0" t="s">
        <v>197</v>
      </c>
      <c r="C4041" s="0" t="s">
        <v>198</v>
      </c>
      <c r="D4041" s="0" t="n">
        <v>12</v>
      </c>
      <c r="E4041" s="6" t="n">
        <v>40847.4298611111</v>
      </c>
      <c r="F4041" s="0" t="n">
        <v>0.85</v>
      </c>
      <c r="G4041" s="0" t="n">
        <v>12571</v>
      </c>
      <c r="H4041" s="0" t="s">
        <v>43</v>
      </c>
      <c r="I4041" s="7" t="n">
        <f aca="false">IF(AND(LEFT(A4041,1)&lt;&gt;"C",D4041&gt;0,F4041&gt;0),1,0)</f>
        <v>1</v>
      </c>
      <c r="J4041" s="7" t="n">
        <f aca="false">IF(I4041=1,D4041*F4041,0)</f>
        <v>10.2</v>
      </c>
      <c r="K4041" s="7" t="n">
        <f aca="false">YEAR(E4041)*100+MONTH(E4041)</f>
        <v>201110</v>
      </c>
      <c r="L4041" s="7" t="n">
        <f aca="false">IF(AND(A4041&lt;&gt;A4040,LEFT(A4041,1)&lt;&gt;"C"),1,0)</f>
        <v>0</v>
      </c>
    </row>
    <row r="4042" customFormat="false" ht="15" hidden="false" customHeight="false" outlineLevel="0" collapsed="false">
      <c r="A4042" s="0" t="s">
        <v>2643</v>
      </c>
      <c r="B4042" s="0" t="s">
        <v>193</v>
      </c>
      <c r="C4042" s="0" t="s">
        <v>194</v>
      </c>
      <c r="D4042" s="0" t="n">
        <v>12</v>
      </c>
      <c r="E4042" s="6" t="n">
        <v>40847.4298611111</v>
      </c>
      <c r="F4042" s="0" t="n">
        <v>0.65</v>
      </c>
      <c r="G4042" s="0" t="n">
        <v>12571</v>
      </c>
      <c r="H4042" s="0" t="s">
        <v>43</v>
      </c>
      <c r="I4042" s="7" t="n">
        <f aca="false">IF(AND(LEFT(A4042,1)&lt;&gt;"C",D4042&gt;0,F4042&gt;0),1,0)</f>
        <v>1</v>
      </c>
      <c r="J4042" s="7" t="n">
        <f aca="false">IF(I4042=1,D4042*F4042,0)</f>
        <v>7.8</v>
      </c>
      <c r="K4042" s="7" t="n">
        <f aca="false">YEAR(E4042)*100+MONTH(E4042)</f>
        <v>201110</v>
      </c>
      <c r="L4042" s="7" t="n">
        <f aca="false">IF(AND(A4042&lt;&gt;A4041,LEFT(A4042,1)&lt;&gt;"C"),1,0)</f>
        <v>0</v>
      </c>
    </row>
    <row r="4043" customFormat="false" ht="15" hidden="false" customHeight="false" outlineLevel="0" collapsed="false">
      <c r="A4043" s="0" t="s">
        <v>2643</v>
      </c>
      <c r="B4043" s="0" t="s">
        <v>151</v>
      </c>
      <c r="C4043" s="0" t="s">
        <v>152</v>
      </c>
      <c r="D4043" s="0" t="n">
        <v>12</v>
      </c>
      <c r="E4043" s="6" t="n">
        <v>40847.4298611111</v>
      </c>
      <c r="F4043" s="0" t="n">
        <v>0.85</v>
      </c>
      <c r="G4043" s="0" t="n">
        <v>12571</v>
      </c>
      <c r="H4043" s="0" t="s">
        <v>43</v>
      </c>
      <c r="I4043" s="7" t="n">
        <f aca="false">IF(AND(LEFT(A4043,1)&lt;&gt;"C",D4043&gt;0,F4043&gt;0),1,0)</f>
        <v>1</v>
      </c>
      <c r="J4043" s="7" t="n">
        <f aca="false">IF(I4043=1,D4043*F4043,0)</f>
        <v>10.2</v>
      </c>
      <c r="K4043" s="7" t="n">
        <f aca="false">YEAR(E4043)*100+MONTH(E4043)</f>
        <v>201110</v>
      </c>
      <c r="L4043" s="7" t="n">
        <f aca="false">IF(AND(A4043&lt;&gt;A4042,LEFT(A4043,1)&lt;&gt;"C"),1,0)</f>
        <v>0</v>
      </c>
    </row>
    <row r="4044" customFormat="false" ht="15" hidden="false" customHeight="false" outlineLevel="0" collapsed="false">
      <c r="A4044" s="0" t="s">
        <v>2643</v>
      </c>
      <c r="B4044" s="0" t="s">
        <v>2650</v>
      </c>
      <c r="C4044" s="0" t="s">
        <v>2651</v>
      </c>
      <c r="D4044" s="0" t="n">
        <v>12</v>
      </c>
      <c r="E4044" s="6" t="n">
        <v>40847.4298611111</v>
      </c>
      <c r="F4044" s="0" t="n">
        <v>0.83</v>
      </c>
      <c r="G4044" s="0" t="n">
        <v>12571</v>
      </c>
      <c r="H4044" s="0" t="s">
        <v>43</v>
      </c>
      <c r="I4044" s="7" t="n">
        <f aca="false">IF(AND(LEFT(A4044,1)&lt;&gt;"C",D4044&gt;0,F4044&gt;0),1,0)</f>
        <v>1</v>
      </c>
      <c r="J4044" s="7" t="n">
        <f aca="false">IF(I4044=1,D4044*F4044,0)</f>
        <v>9.96</v>
      </c>
      <c r="K4044" s="7" t="n">
        <f aca="false">YEAR(E4044)*100+MONTH(E4044)</f>
        <v>201110</v>
      </c>
      <c r="L4044" s="7" t="n">
        <f aca="false">IF(AND(A4044&lt;&gt;A4043,LEFT(A4044,1)&lt;&gt;"C"),1,0)</f>
        <v>0</v>
      </c>
    </row>
    <row r="4045" customFormat="false" ht="15" hidden="false" customHeight="false" outlineLevel="0" collapsed="false">
      <c r="A4045" s="0" t="s">
        <v>2643</v>
      </c>
      <c r="B4045" s="0" t="s">
        <v>2573</v>
      </c>
      <c r="C4045" s="0" t="s">
        <v>2574</v>
      </c>
      <c r="D4045" s="0" t="n">
        <v>4</v>
      </c>
      <c r="E4045" s="6" t="n">
        <v>40847.4298611111</v>
      </c>
      <c r="F4045" s="0" t="n">
        <v>3.75</v>
      </c>
      <c r="G4045" s="0" t="n">
        <v>12571</v>
      </c>
      <c r="H4045" s="0" t="s">
        <v>43</v>
      </c>
      <c r="I4045" s="7" t="n">
        <f aca="false">IF(AND(LEFT(A4045,1)&lt;&gt;"C",D4045&gt;0,F4045&gt;0),1,0)</f>
        <v>1</v>
      </c>
      <c r="J4045" s="7" t="n">
        <f aca="false">IF(I4045=1,D4045*F4045,0)</f>
        <v>15</v>
      </c>
      <c r="K4045" s="7" t="n">
        <f aca="false">YEAR(E4045)*100+MONTH(E4045)</f>
        <v>201110</v>
      </c>
      <c r="L4045" s="7" t="n">
        <f aca="false">IF(AND(A4045&lt;&gt;A4044,LEFT(A4045,1)&lt;&gt;"C"),1,0)</f>
        <v>0</v>
      </c>
    </row>
    <row r="4046" customFormat="false" ht="15" hidden="false" customHeight="false" outlineLevel="0" collapsed="false">
      <c r="A4046" s="0" t="s">
        <v>2643</v>
      </c>
      <c r="B4046" s="0" t="s">
        <v>1572</v>
      </c>
      <c r="C4046" s="0" t="s">
        <v>1573</v>
      </c>
      <c r="D4046" s="0" t="n">
        <v>36</v>
      </c>
      <c r="E4046" s="6" t="n">
        <v>40847.4298611111</v>
      </c>
      <c r="F4046" s="0" t="n">
        <v>0.19</v>
      </c>
      <c r="G4046" s="0" t="n">
        <v>12571</v>
      </c>
      <c r="H4046" s="0" t="s">
        <v>43</v>
      </c>
      <c r="I4046" s="7" t="n">
        <f aca="false">IF(AND(LEFT(A4046,1)&lt;&gt;"C",D4046&gt;0,F4046&gt;0),1,0)</f>
        <v>1</v>
      </c>
      <c r="J4046" s="7" t="n">
        <f aca="false">IF(I4046=1,D4046*F4046,0)</f>
        <v>6.84</v>
      </c>
      <c r="K4046" s="7" t="n">
        <f aca="false">YEAR(E4046)*100+MONTH(E4046)</f>
        <v>201110</v>
      </c>
      <c r="L4046" s="7" t="n">
        <f aca="false">IF(AND(A4046&lt;&gt;A4045,LEFT(A4046,1)&lt;&gt;"C"),1,0)</f>
        <v>0</v>
      </c>
    </row>
    <row r="4047" customFormat="false" ht="15" hidden="false" customHeight="false" outlineLevel="0" collapsed="false">
      <c r="A4047" s="0" t="s">
        <v>2643</v>
      </c>
      <c r="B4047" s="0" t="s">
        <v>2652</v>
      </c>
      <c r="C4047" s="0" t="s">
        <v>2653</v>
      </c>
      <c r="D4047" s="0" t="n">
        <v>24</v>
      </c>
      <c r="E4047" s="6" t="n">
        <v>40847.4298611111</v>
      </c>
      <c r="F4047" s="0" t="n">
        <v>0.65</v>
      </c>
      <c r="G4047" s="0" t="n">
        <v>12571</v>
      </c>
      <c r="H4047" s="0" t="s">
        <v>43</v>
      </c>
      <c r="I4047" s="7" t="n">
        <f aca="false">IF(AND(LEFT(A4047,1)&lt;&gt;"C",D4047&gt;0,F4047&gt;0),1,0)</f>
        <v>1</v>
      </c>
      <c r="J4047" s="7" t="n">
        <f aca="false">IF(I4047=1,D4047*F4047,0)</f>
        <v>15.6</v>
      </c>
      <c r="K4047" s="7" t="n">
        <f aca="false">YEAR(E4047)*100+MONTH(E4047)</f>
        <v>201110</v>
      </c>
      <c r="L4047" s="7" t="n">
        <f aca="false">IF(AND(A4047&lt;&gt;A4046,LEFT(A4047,1)&lt;&gt;"C"),1,0)</f>
        <v>0</v>
      </c>
    </row>
    <row r="4048" customFormat="false" ht="15" hidden="false" customHeight="false" outlineLevel="0" collapsed="false">
      <c r="A4048" s="0" t="s">
        <v>2643</v>
      </c>
      <c r="B4048" s="0" t="s">
        <v>219</v>
      </c>
      <c r="C4048" s="0" t="s">
        <v>220</v>
      </c>
      <c r="D4048" s="0" t="n">
        <v>24</v>
      </c>
      <c r="E4048" s="6" t="n">
        <v>40847.4298611111</v>
      </c>
      <c r="F4048" s="0" t="n">
        <v>0.55</v>
      </c>
      <c r="G4048" s="0" t="n">
        <v>12571</v>
      </c>
      <c r="H4048" s="0" t="s">
        <v>43</v>
      </c>
      <c r="I4048" s="7" t="n">
        <f aca="false">IF(AND(LEFT(A4048,1)&lt;&gt;"C",D4048&gt;0,F4048&gt;0),1,0)</f>
        <v>1</v>
      </c>
      <c r="J4048" s="7" t="n">
        <f aca="false">IF(I4048=1,D4048*F4048,0)</f>
        <v>13.2</v>
      </c>
      <c r="K4048" s="7" t="n">
        <f aca="false">YEAR(E4048)*100+MONTH(E4048)</f>
        <v>201110</v>
      </c>
      <c r="L4048" s="7" t="n">
        <f aca="false">IF(AND(A4048&lt;&gt;A4047,LEFT(A4048,1)&lt;&gt;"C"),1,0)</f>
        <v>0</v>
      </c>
    </row>
    <row r="4049" customFormat="false" ht="15" hidden="false" customHeight="false" outlineLevel="0" collapsed="false">
      <c r="A4049" s="0" t="s">
        <v>2643</v>
      </c>
      <c r="B4049" s="0" t="s">
        <v>941</v>
      </c>
      <c r="C4049" s="0" t="s">
        <v>942</v>
      </c>
      <c r="D4049" s="0" t="n">
        <v>24</v>
      </c>
      <c r="E4049" s="6" t="n">
        <v>40847.4298611111</v>
      </c>
      <c r="F4049" s="0" t="n">
        <v>0.55</v>
      </c>
      <c r="G4049" s="0" t="n">
        <v>12571</v>
      </c>
      <c r="H4049" s="0" t="s">
        <v>43</v>
      </c>
      <c r="I4049" s="7" t="n">
        <f aca="false">IF(AND(LEFT(A4049,1)&lt;&gt;"C",D4049&gt;0,F4049&gt;0),1,0)</f>
        <v>1</v>
      </c>
      <c r="J4049" s="7" t="n">
        <f aca="false">IF(I4049=1,D4049*F4049,0)</f>
        <v>13.2</v>
      </c>
      <c r="K4049" s="7" t="n">
        <f aca="false">YEAR(E4049)*100+MONTH(E4049)</f>
        <v>201110</v>
      </c>
      <c r="L4049" s="7" t="n">
        <f aca="false">IF(AND(A4049&lt;&gt;A4048,LEFT(A4049,1)&lt;&gt;"C"),1,0)</f>
        <v>0</v>
      </c>
    </row>
    <row r="4050" customFormat="false" ht="15" hidden="false" customHeight="false" outlineLevel="0" collapsed="false">
      <c r="A4050" s="0" t="s">
        <v>2643</v>
      </c>
      <c r="B4050" s="0" t="s">
        <v>966</v>
      </c>
      <c r="C4050" s="0" t="s">
        <v>967</v>
      </c>
      <c r="D4050" s="0" t="n">
        <v>24</v>
      </c>
      <c r="E4050" s="6" t="n">
        <v>40847.4298611111</v>
      </c>
      <c r="F4050" s="0" t="n">
        <v>0.55</v>
      </c>
      <c r="G4050" s="0" t="n">
        <v>12571</v>
      </c>
      <c r="H4050" s="0" t="s">
        <v>43</v>
      </c>
      <c r="I4050" s="7" t="n">
        <f aca="false">IF(AND(LEFT(A4050,1)&lt;&gt;"C",D4050&gt;0,F4050&gt;0),1,0)</f>
        <v>1</v>
      </c>
      <c r="J4050" s="7" t="n">
        <f aca="false">IF(I4050=1,D4050*F4050,0)</f>
        <v>13.2</v>
      </c>
      <c r="K4050" s="7" t="n">
        <f aca="false">YEAR(E4050)*100+MONTH(E4050)</f>
        <v>201110</v>
      </c>
      <c r="L4050" s="7" t="n">
        <f aca="false">IF(AND(A4050&lt;&gt;A4049,LEFT(A4050,1)&lt;&gt;"C"),1,0)</f>
        <v>0</v>
      </c>
    </row>
    <row r="4051" customFormat="false" ht="15" hidden="false" customHeight="false" outlineLevel="0" collapsed="false">
      <c r="A4051" s="0" t="s">
        <v>2654</v>
      </c>
      <c r="B4051" s="0" t="s">
        <v>2655</v>
      </c>
      <c r="C4051" s="0" t="s">
        <v>2656</v>
      </c>
      <c r="D4051" s="0" t="n">
        <v>4</v>
      </c>
      <c r="E4051" s="6" t="n">
        <v>40847.4430555556</v>
      </c>
      <c r="F4051" s="0" t="n">
        <v>4.95</v>
      </c>
      <c r="G4051" s="0" t="n">
        <v>13813</v>
      </c>
      <c r="H4051" s="0" t="s">
        <v>33</v>
      </c>
      <c r="I4051" s="7" t="n">
        <f aca="false">IF(AND(LEFT(A4051,1)&lt;&gt;"C",D4051&gt;0,F4051&gt;0),1,0)</f>
        <v>1</v>
      </c>
      <c r="J4051" s="7" t="n">
        <f aca="false">IF(I4051=1,D4051*F4051,0)</f>
        <v>19.8</v>
      </c>
      <c r="K4051" s="7" t="n">
        <f aca="false">YEAR(E4051)*100+MONTH(E4051)</f>
        <v>201110</v>
      </c>
      <c r="L4051" s="7" t="n">
        <f aca="false">IF(AND(A4051&lt;&gt;A4050,LEFT(A4051,1)&lt;&gt;"C"),1,0)</f>
        <v>1</v>
      </c>
    </row>
    <row r="4052" customFormat="false" ht="15" hidden="false" customHeight="false" outlineLevel="0" collapsed="false">
      <c r="A4052" s="0" t="s">
        <v>2654</v>
      </c>
      <c r="B4052" s="0" t="s">
        <v>960</v>
      </c>
      <c r="C4052" s="0" t="s">
        <v>961</v>
      </c>
      <c r="D4052" s="0" t="n">
        <v>8</v>
      </c>
      <c r="E4052" s="6" t="n">
        <v>40847.4430555556</v>
      </c>
      <c r="F4052" s="0" t="n">
        <v>3.95</v>
      </c>
      <c r="G4052" s="0" t="n">
        <v>13813</v>
      </c>
      <c r="H4052" s="0" t="s">
        <v>33</v>
      </c>
      <c r="I4052" s="7" t="n">
        <f aca="false">IF(AND(LEFT(A4052,1)&lt;&gt;"C",D4052&gt;0,F4052&gt;0),1,0)</f>
        <v>1</v>
      </c>
      <c r="J4052" s="7" t="n">
        <f aca="false">IF(I4052=1,D4052*F4052,0)</f>
        <v>31.6</v>
      </c>
      <c r="K4052" s="7" t="n">
        <f aca="false">YEAR(E4052)*100+MONTH(E4052)</f>
        <v>201110</v>
      </c>
      <c r="L4052" s="7" t="n">
        <f aca="false">IF(AND(A4052&lt;&gt;A4051,LEFT(A4052,1)&lt;&gt;"C"),1,0)</f>
        <v>0</v>
      </c>
    </row>
    <row r="4053" customFormat="false" ht="15" hidden="false" customHeight="false" outlineLevel="0" collapsed="false">
      <c r="A4053" s="0" t="s">
        <v>2654</v>
      </c>
      <c r="B4053" s="0" t="s">
        <v>343</v>
      </c>
      <c r="C4053" s="0" t="s">
        <v>344</v>
      </c>
      <c r="D4053" s="0" t="n">
        <v>12</v>
      </c>
      <c r="E4053" s="6" t="n">
        <v>40847.4430555556</v>
      </c>
      <c r="F4053" s="0" t="n">
        <v>1.45</v>
      </c>
      <c r="G4053" s="0" t="n">
        <v>13813</v>
      </c>
      <c r="H4053" s="0" t="s">
        <v>33</v>
      </c>
      <c r="I4053" s="7" t="n">
        <f aca="false">IF(AND(LEFT(A4053,1)&lt;&gt;"C",D4053&gt;0,F4053&gt;0),1,0)</f>
        <v>1</v>
      </c>
      <c r="J4053" s="7" t="n">
        <f aca="false">IF(I4053=1,D4053*F4053,0)</f>
        <v>17.4</v>
      </c>
      <c r="K4053" s="7" t="n">
        <f aca="false">YEAR(E4053)*100+MONTH(E4053)</f>
        <v>201110</v>
      </c>
      <c r="L4053" s="7" t="n">
        <f aca="false">IF(AND(A4053&lt;&gt;A4052,LEFT(A4053,1)&lt;&gt;"C"),1,0)</f>
        <v>0</v>
      </c>
    </row>
    <row r="4054" customFormat="false" ht="15" hidden="false" customHeight="false" outlineLevel="0" collapsed="false">
      <c r="A4054" s="0" t="s">
        <v>2654</v>
      </c>
      <c r="B4054" s="0" t="s">
        <v>2271</v>
      </c>
      <c r="C4054" s="0" t="s">
        <v>2272</v>
      </c>
      <c r="D4054" s="0" t="n">
        <v>6</v>
      </c>
      <c r="E4054" s="6" t="n">
        <v>40847.4430555556</v>
      </c>
      <c r="F4054" s="0" t="n">
        <v>1.45</v>
      </c>
      <c r="G4054" s="0" t="n">
        <v>13813</v>
      </c>
      <c r="H4054" s="0" t="s">
        <v>33</v>
      </c>
      <c r="I4054" s="7" t="n">
        <f aca="false">IF(AND(LEFT(A4054,1)&lt;&gt;"C",D4054&gt;0,F4054&gt;0),1,0)</f>
        <v>1</v>
      </c>
      <c r="J4054" s="7" t="n">
        <f aca="false">IF(I4054=1,D4054*F4054,0)</f>
        <v>8.7</v>
      </c>
      <c r="K4054" s="7" t="n">
        <f aca="false">YEAR(E4054)*100+MONTH(E4054)</f>
        <v>201110</v>
      </c>
      <c r="L4054" s="7" t="n">
        <f aca="false">IF(AND(A4054&lt;&gt;A4053,LEFT(A4054,1)&lt;&gt;"C"),1,0)</f>
        <v>0</v>
      </c>
    </row>
    <row r="4055" customFormat="false" ht="15" hidden="false" customHeight="false" outlineLevel="0" collapsed="false">
      <c r="A4055" s="0" t="s">
        <v>2654</v>
      </c>
      <c r="B4055" s="0" t="s">
        <v>895</v>
      </c>
      <c r="C4055" s="0" t="s">
        <v>896</v>
      </c>
      <c r="D4055" s="0" t="n">
        <v>6</v>
      </c>
      <c r="E4055" s="6" t="n">
        <v>40847.4430555556</v>
      </c>
      <c r="F4055" s="0" t="n">
        <v>2.89</v>
      </c>
      <c r="G4055" s="0" t="n">
        <v>13813</v>
      </c>
      <c r="H4055" s="0" t="s">
        <v>33</v>
      </c>
      <c r="I4055" s="7" t="n">
        <f aca="false">IF(AND(LEFT(A4055,1)&lt;&gt;"C",D4055&gt;0,F4055&gt;0),1,0)</f>
        <v>1</v>
      </c>
      <c r="J4055" s="7" t="n">
        <f aca="false">IF(I4055=1,D4055*F4055,0)</f>
        <v>17.34</v>
      </c>
      <c r="K4055" s="7" t="n">
        <f aca="false">YEAR(E4055)*100+MONTH(E4055)</f>
        <v>201110</v>
      </c>
      <c r="L4055" s="7" t="n">
        <f aca="false">IF(AND(A4055&lt;&gt;A4054,LEFT(A4055,1)&lt;&gt;"C"),1,0)</f>
        <v>0</v>
      </c>
    </row>
    <row r="4056" customFormat="false" ht="15" hidden="false" customHeight="false" outlineLevel="0" collapsed="false">
      <c r="A4056" s="0" t="s">
        <v>2654</v>
      </c>
      <c r="B4056" s="0" t="s">
        <v>1204</v>
      </c>
      <c r="C4056" s="0" t="s">
        <v>1205</v>
      </c>
      <c r="D4056" s="0" t="n">
        <v>2</v>
      </c>
      <c r="E4056" s="6" t="n">
        <v>40847.4430555556</v>
      </c>
      <c r="F4056" s="0" t="n">
        <v>9.95</v>
      </c>
      <c r="G4056" s="0" t="n">
        <v>13813</v>
      </c>
      <c r="H4056" s="0" t="s">
        <v>33</v>
      </c>
      <c r="I4056" s="7" t="n">
        <f aca="false">IF(AND(LEFT(A4056,1)&lt;&gt;"C",D4056&gt;0,F4056&gt;0),1,0)</f>
        <v>1</v>
      </c>
      <c r="J4056" s="7" t="n">
        <f aca="false">IF(I4056=1,D4056*F4056,0)</f>
        <v>19.9</v>
      </c>
      <c r="K4056" s="7" t="n">
        <f aca="false">YEAR(E4056)*100+MONTH(E4056)</f>
        <v>201110</v>
      </c>
      <c r="L4056" s="7" t="n">
        <f aca="false">IF(AND(A4056&lt;&gt;A4055,LEFT(A4056,1)&lt;&gt;"C"),1,0)</f>
        <v>0</v>
      </c>
    </row>
    <row r="4057" customFormat="false" ht="15" hidden="false" customHeight="false" outlineLevel="0" collapsed="false">
      <c r="A4057" s="0" t="s">
        <v>2654</v>
      </c>
      <c r="B4057" s="0" t="s">
        <v>82</v>
      </c>
      <c r="C4057" s="0" t="s">
        <v>83</v>
      </c>
      <c r="D4057" s="0" t="n">
        <v>3</v>
      </c>
      <c r="E4057" s="6" t="n">
        <v>40847.4430555556</v>
      </c>
      <c r="F4057" s="0" t="n">
        <v>5.95</v>
      </c>
      <c r="G4057" s="0" t="n">
        <v>13813</v>
      </c>
      <c r="H4057" s="0" t="s">
        <v>33</v>
      </c>
      <c r="I4057" s="7" t="n">
        <f aca="false">IF(AND(LEFT(A4057,1)&lt;&gt;"C",D4057&gt;0,F4057&gt;0),1,0)</f>
        <v>1</v>
      </c>
      <c r="J4057" s="7" t="n">
        <f aca="false">IF(I4057=1,D4057*F4057,0)</f>
        <v>17.85</v>
      </c>
      <c r="K4057" s="7" t="n">
        <f aca="false">YEAR(E4057)*100+MONTH(E4057)</f>
        <v>201110</v>
      </c>
      <c r="L4057" s="7" t="n">
        <f aca="false">IF(AND(A4057&lt;&gt;A4056,LEFT(A4057,1)&lt;&gt;"C"),1,0)</f>
        <v>0</v>
      </c>
    </row>
    <row r="4058" customFormat="false" ht="15" hidden="false" customHeight="false" outlineLevel="0" collapsed="false">
      <c r="A4058" s="0" t="s">
        <v>2654</v>
      </c>
      <c r="B4058" s="0" t="s">
        <v>752</v>
      </c>
      <c r="C4058" s="0" t="s">
        <v>753</v>
      </c>
      <c r="D4058" s="0" t="n">
        <v>12</v>
      </c>
      <c r="E4058" s="6" t="n">
        <v>40847.4430555556</v>
      </c>
      <c r="F4058" s="0" t="n">
        <v>1.65</v>
      </c>
      <c r="G4058" s="0" t="n">
        <v>13813</v>
      </c>
      <c r="H4058" s="0" t="s">
        <v>33</v>
      </c>
      <c r="I4058" s="7" t="n">
        <f aca="false">IF(AND(LEFT(A4058,1)&lt;&gt;"C",D4058&gt;0,F4058&gt;0),1,0)</f>
        <v>1</v>
      </c>
      <c r="J4058" s="7" t="n">
        <f aca="false">IF(I4058=1,D4058*F4058,0)</f>
        <v>19.8</v>
      </c>
      <c r="K4058" s="7" t="n">
        <f aca="false">YEAR(E4058)*100+MONTH(E4058)</f>
        <v>201110</v>
      </c>
      <c r="L4058" s="7" t="n">
        <f aca="false">IF(AND(A4058&lt;&gt;A4057,LEFT(A4058,1)&lt;&gt;"C"),1,0)</f>
        <v>0</v>
      </c>
    </row>
    <row r="4059" customFormat="false" ht="15" hidden="false" customHeight="false" outlineLevel="0" collapsed="false">
      <c r="A4059" s="0" t="s">
        <v>2654</v>
      </c>
      <c r="B4059" s="0" t="s">
        <v>1000</v>
      </c>
      <c r="C4059" s="0" t="s">
        <v>1001</v>
      </c>
      <c r="D4059" s="0" t="n">
        <v>4</v>
      </c>
      <c r="E4059" s="6" t="n">
        <v>40847.4430555556</v>
      </c>
      <c r="F4059" s="0" t="n">
        <v>4.95</v>
      </c>
      <c r="G4059" s="0" t="n">
        <v>13813</v>
      </c>
      <c r="H4059" s="0" t="s">
        <v>33</v>
      </c>
      <c r="I4059" s="7" t="n">
        <f aca="false">IF(AND(LEFT(A4059,1)&lt;&gt;"C",D4059&gt;0,F4059&gt;0),1,0)</f>
        <v>1</v>
      </c>
      <c r="J4059" s="7" t="n">
        <f aca="false">IF(I4059=1,D4059*F4059,0)</f>
        <v>19.8</v>
      </c>
      <c r="K4059" s="7" t="n">
        <f aca="false">YEAR(E4059)*100+MONTH(E4059)</f>
        <v>201110</v>
      </c>
      <c r="L4059" s="7" t="n">
        <f aca="false">IF(AND(A4059&lt;&gt;A4058,LEFT(A4059,1)&lt;&gt;"C"),1,0)</f>
        <v>0</v>
      </c>
    </row>
    <row r="4060" customFormat="false" ht="15" hidden="false" customHeight="false" outlineLevel="0" collapsed="false">
      <c r="A4060" s="0" t="s">
        <v>2654</v>
      </c>
      <c r="B4060" s="0" t="s">
        <v>1323</v>
      </c>
      <c r="C4060" s="0" t="s">
        <v>1324</v>
      </c>
      <c r="D4060" s="0" t="n">
        <v>4</v>
      </c>
      <c r="E4060" s="6" t="n">
        <v>40847.4430555556</v>
      </c>
      <c r="F4060" s="0" t="n">
        <v>4.95</v>
      </c>
      <c r="G4060" s="0" t="n">
        <v>13813</v>
      </c>
      <c r="H4060" s="0" t="s">
        <v>33</v>
      </c>
      <c r="I4060" s="7" t="n">
        <f aca="false">IF(AND(LEFT(A4060,1)&lt;&gt;"C",D4060&gt;0,F4060&gt;0),1,0)</f>
        <v>1</v>
      </c>
      <c r="J4060" s="7" t="n">
        <f aca="false">IF(I4060=1,D4060*F4060,0)</f>
        <v>19.8</v>
      </c>
      <c r="K4060" s="7" t="n">
        <f aca="false">YEAR(E4060)*100+MONTH(E4060)</f>
        <v>201110</v>
      </c>
      <c r="L4060" s="7" t="n">
        <f aca="false">IF(AND(A4060&lt;&gt;A4059,LEFT(A4060,1)&lt;&gt;"C"),1,0)</f>
        <v>0</v>
      </c>
    </row>
    <row r="4061" customFormat="false" ht="15" hidden="false" customHeight="false" outlineLevel="0" collapsed="false">
      <c r="A4061" s="0" t="s">
        <v>2654</v>
      </c>
      <c r="B4061" s="0" t="s">
        <v>273</v>
      </c>
      <c r="C4061" s="0" t="s">
        <v>274</v>
      </c>
      <c r="D4061" s="0" t="n">
        <v>4</v>
      </c>
      <c r="E4061" s="6" t="n">
        <v>40847.4430555556</v>
      </c>
      <c r="F4061" s="0" t="n">
        <v>4.95</v>
      </c>
      <c r="G4061" s="0" t="n">
        <v>13813</v>
      </c>
      <c r="H4061" s="0" t="s">
        <v>33</v>
      </c>
      <c r="I4061" s="7" t="n">
        <f aca="false">IF(AND(LEFT(A4061,1)&lt;&gt;"C",D4061&gt;0,F4061&gt;0),1,0)</f>
        <v>1</v>
      </c>
      <c r="J4061" s="7" t="n">
        <f aca="false">IF(I4061=1,D4061*F4061,0)</f>
        <v>19.8</v>
      </c>
      <c r="K4061" s="7" t="n">
        <f aca="false">YEAR(E4061)*100+MONTH(E4061)</f>
        <v>201110</v>
      </c>
      <c r="L4061" s="7" t="n">
        <f aca="false">IF(AND(A4061&lt;&gt;A4060,LEFT(A4061,1)&lt;&gt;"C"),1,0)</f>
        <v>0</v>
      </c>
    </row>
    <row r="4062" customFormat="false" ht="15" hidden="false" customHeight="false" outlineLevel="0" collapsed="false">
      <c r="A4062" s="0" t="s">
        <v>2654</v>
      </c>
      <c r="B4062" s="0" t="s">
        <v>131</v>
      </c>
      <c r="C4062" s="0" t="s">
        <v>132</v>
      </c>
      <c r="D4062" s="0" t="n">
        <v>8</v>
      </c>
      <c r="E4062" s="6" t="n">
        <v>40847.4430555556</v>
      </c>
      <c r="F4062" s="0" t="n">
        <v>1.65</v>
      </c>
      <c r="G4062" s="0" t="n">
        <v>13813</v>
      </c>
      <c r="H4062" s="0" t="s">
        <v>33</v>
      </c>
      <c r="I4062" s="7" t="n">
        <f aca="false">IF(AND(LEFT(A4062,1)&lt;&gt;"C",D4062&gt;0,F4062&gt;0),1,0)</f>
        <v>1</v>
      </c>
      <c r="J4062" s="7" t="n">
        <f aca="false">IF(I4062=1,D4062*F4062,0)</f>
        <v>13.2</v>
      </c>
      <c r="K4062" s="7" t="n">
        <f aca="false">YEAR(E4062)*100+MONTH(E4062)</f>
        <v>201110</v>
      </c>
      <c r="L4062" s="7" t="n">
        <f aca="false">IF(AND(A4062&lt;&gt;A4061,LEFT(A4062,1)&lt;&gt;"C"),1,0)</f>
        <v>0</v>
      </c>
    </row>
    <row r="4063" customFormat="false" ht="15" hidden="false" customHeight="false" outlineLevel="0" collapsed="false">
      <c r="A4063" s="0" t="s">
        <v>2654</v>
      </c>
      <c r="B4063" s="0" t="s">
        <v>545</v>
      </c>
      <c r="C4063" s="0" t="s">
        <v>546</v>
      </c>
      <c r="D4063" s="0" t="n">
        <v>3</v>
      </c>
      <c r="E4063" s="6" t="n">
        <v>40847.4430555556</v>
      </c>
      <c r="F4063" s="0" t="n">
        <v>4.95</v>
      </c>
      <c r="G4063" s="0" t="n">
        <v>13813</v>
      </c>
      <c r="H4063" s="0" t="s">
        <v>33</v>
      </c>
      <c r="I4063" s="7" t="n">
        <f aca="false">IF(AND(LEFT(A4063,1)&lt;&gt;"C",D4063&gt;0,F4063&gt;0),1,0)</f>
        <v>1</v>
      </c>
      <c r="J4063" s="7" t="n">
        <f aca="false">IF(I4063=1,D4063*F4063,0)</f>
        <v>14.85</v>
      </c>
      <c r="K4063" s="7" t="n">
        <f aca="false">YEAR(E4063)*100+MONTH(E4063)</f>
        <v>201110</v>
      </c>
      <c r="L4063" s="7" t="n">
        <f aca="false">IF(AND(A4063&lt;&gt;A4062,LEFT(A4063,1)&lt;&gt;"C"),1,0)</f>
        <v>0</v>
      </c>
    </row>
    <row r="4064" customFormat="false" ht="15" hidden="false" customHeight="false" outlineLevel="0" collapsed="false">
      <c r="A4064" s="0" t="s">
        <v>2654</v>
      </c>
      <c r="B4064" s="0" t="s">
        <v>1436</v>
      </c>
      <c r="C4064" s="0" t="s">
        <v>1437</v>
      </c>
      <c r="D4064" s="0" t="n">
        <v>3</v>
      </c>
      <c r="E4064" s="6" t="n">
        <v>40847.4430555556</v>
      </c>
      <c r="F4064" s="0" t="n">
        <v>4.95</v>
      </c>
      <c r="G4064" s="0" t="n">
        <v>13813</v>
      </c>
      <c r="H4064" s="0" t="s">
        <v>33</v>
      </c>
      <c r="I4064" s="7" t="n">
        <f aca="false">IF(AND(LEFT(A4064,1)&lt;&gt;"C",D4064&gt;0,F4064&gt;0),1,0)</f>
        <v>1</v>
      </c>
      <c r="J4064" s="7" t="n">
        <f aca="false">IF(I4064=1,D4064*F4064,0)</f>
        <v>14.85</v>
      </c>
      <c r="K4064" s="7" t="n">
        <f aca="false">YEAR(E4064)*100+MONTH(E4064)</f>
        <v>201110</v>
      </c>
      <c r="L4064" s="7" t="n">
        <f aca="false">IF(AND(A4064&lt;&gt;A4063,LEFT(A4064,1)&lt;&gt;"C"),1,0)</f>
        <v>0</v>
      </c>
    </row>
    <row r="4065" customFormat="false" ht="15" hidden="false" customHeight="false" outlineLevel="0" collapsed="false">
      <c r="A4065" s="0" t="s">
        <v>2654</v>
      </c>
      <c r="B4065" s="0" t="s">
        <v>48</v>
      </c>
      <c r="C4065" s="0" t="s">
        <v>49</v>
      </c>
      <c r="D4065" s="0" t="n">
        <v>12</v>
      </c>
      <c r="E4065" s="6" t="n">
        <v>40847.4430555556</v>
      </c>
      <c r="F4065" s="0" t="n">
        <v>0.65</v>
      </c>
      <c r="G4065" s="0" t="n">
        <v>13813</v>
      </c>
      <c r="H4065" s="0" t="s">
        <v>33</v>
      </c>
      <c r="I4065" s="7" t="n">
        <f aca="false">IF(AND(LEFT(A4065,1)&lt;&gt;"C",D4065&gt;0,F4065&gt;0),1,0)</f>
        <v>1</v>
      </c>
      <c r="J4065" s="7" t="n">
        <f aca="false">IF(I4065=1,D4065*F4065,0)</f>
        <v>7.8</v>
      </c>
      <c r="K4065" s="7" t="n">
        <f aca="false">YEAR(E4065)*100+MONTH(E4065)</f>
        <v>201110</v>
      </c>
      <c r="L4065" s="7" t="n">
        <f aca="false">IF(AND(A4065&lt;&gt;A4064,LEFT(A4065,1)&lt;&gt;"C"),1,0)</f>
        <v>0</v>
      </c>
    </row>
    <row r="4066" customFormat="false" ht="15" hidden="false" customHeight="false" outlineLevel="0" collapsed="false">
      <c r="A4066" s="0" t="s">
        <v>2654</v>
      </c>
      <c r="B4066" s="0" t="s">
        <v>38</v>
      </c>
      <c r="C4066" s="0" t="s">
        <v>39</v>
      </c>
      <c r="D4066" s="0" t="n">
        <v>6</v>
      </c>
      <c r="E4066" s="6" t="n">
        <v>40847.4430555556</v>
      </c>
      <c r="F4066" s="0" t="n">
        <v>2.1</v>
      </c>
      <c r="G4066" s="0" t="n">
        <v>13813</v>
      </c>
      <c r="H4066" s="0" t="s">
        <v>33</v>
      </c>
      <c r="I4066" s="7" t="n">
        <f aca="false">IF(AND(LEFT(A4066,1)&lt;&gt;"C",D4066&gt;0,F4066&gt;0),1,0)</f>
        <v>1</v>
      </c>
      <c r="J4066" s="7" t="n">
        <f aca="false">IF(I4066=1,D4066*F4066,0)</f>
        <v>12.6</v>
      </c>
      <c r="K4066" s="7" t="n">
        <f aca="false">YEAR(E4066)*100+MONTH(E4066)</f>
        <v>201110</v>
      </c>
      <c r="L4066" s="7" t="n">
        <f aca="false">IF(AND(A4066&lt;&gt;A4065,LEFT(A4066,1)&lt;&gt;"C"),1,0)</f>
        <v>0</v>
      </c>
    </row>
    <row r="4067" customFormat="false" ht="15" hidden="false" customHeight="false" outlineLevel="0" collapsed="false">
      <c r="A4067" s="0" t="s">
        <v>2654</v>
      </c>
      <c r="B4067" s="0" t="s">
        <v>958</v>
      </c>
      <c r="C4067" s="0" t="s">
        <v>959</v>
      </c>
      <c r="D4067" s="0" t="n">
        <v>3</v>
      </c>
      <c r="E4067" s="6" t="n">
        <v>40847.4430555556</v>
      </c>
      <c r="F4067" s="0" t="n">
        <v>5.95</v>
      </c>
      <c r="G4067" s="0" t="n">
        <v>13813</v>
      </c>
      <c r="H4067" s="0" t="s">
        <v>33</v>
      </c>
      <c r="I4067" s="7" t="n">
        <f aca="false">IF(AND(LEFT(A4067,1)&lt;&gt;"C",D4067&gt;0,F4067&gt;0),1,0)</f>
        <v>1</v>
      </c>
      <c r="J4067" s="7" t="n">
        <f aca="false">IF(I4067=1,D4067*F4067,0)</f>
        <v>17.85</v>
      </c>
      <c r="K4067" s="7" t="n">
        <f aca="false">YEAR(E4067)*100+MONTH(E4067)</f>
        <v>201110</v>
      </c>
      <c r="L4067" s="7" t="n">
        <f aca="false">IF(AND(A4067&lt;&gt;A4066,LEFT(A4067,1)&lt;&gt;"C"),1,0)</f>
        <v>0</v>
      </c>
    </row>
    <row r="4068" customFormat="false" ht="15" hidden="false" customHeight="false" outlineLevel="0" collapsed="false">
      <c r="A4068" s="0" t="s">
        <v>2654</v>
      </c>
      <c r="B4068" s="0" t="s">
        <v>1149</v>
      </c>
      <c r="C4068" s="0" t="s">
        <v>1150</v>
      </c>
      <c r="D4068" s="0" t="n">
        <v>6</v>
      </c>
      <c r="E4068" s="6" t="n">
        <v>40847.4430555556</v>
      </c>
      <c r="F4068" s="0" t="n">
        <v>5.95</v>
      </c>
      <c r="G4068" s="0" t="n">
        <v>13813</v>
      </c>
      <c r="H4068" s="0" t="s">
        <v>33</v>
      </c>
      <c r="I4068" s="7" t="n">
        <f aca="false">IF(AND(LEFT(A4068,1)&lt;&gt;"C",D4068&gt;0,F4068&gt;0),1,0)</f>
        <v>1</v>
      </c>
      <c r="J4068" s="7" t="n">
        <f aca="false">IF(I4068=1,D4068*F4068,0)</f>
        <v>35.7</v>
      </c>
      <c r="K4068" s="7" t="n">
        <f aca="false">YEAR(E4068)*100+MONTH(E4068)</f>
        <v>201110</v>
      </c>
      <c r="L4068" s="7" t="n">
        <f aca="false">IF(AND(A4068&lt;&gt;A4067,LEFT(A4068,1)&lt;&gt;"C"),1,0)</f>
        <v>0</v>
      </c>
    </row>
    <row r="4069" customFormat="false" ht="15" hidden="false" customHeight="false" outlineLevel="0" collapsed="false">
      <c r="A4069" s="0" t="s">
        <v>2654</v>
      </c>
      <c r="B4069" s="0" t="s">
        <v>537</v>
      </c>
      <c r="C4069" s="0" t="s">
        <v>538</v>
      </c>
      <c r="D4069" s="0" t="n">
        <v>6</v>
      </c>
      <c r="E4069" s="6" t="n">
        <v>40847.4430555556</v>
      </c>
      <c r="F4069" s="0" t="n">
        <v>4.15</v>
      </c>
      <c r="G4069" s="0" t="n">
        <v>13813</v>
      </c>
      <c r="H4069" s="0" t="s">
        <v>33</v>
      </c>
      <c r="I4069" s="7" t="n">
        <f aca="false">IF(AND(LEFT(A4069,1)&lt;&gt;"C",D4069&gt;0,F4069&gt;0),1,0)</f>
        <v>1</v>
      </c>
      <c r="J4069" s="7" t="n">
        <f aca="false">IF(I4069=1,D4069*F4069,0)</f>
        <v>24.9</v>
      </c>
      <c r="K4069" s="7" t="n">
        <f aca="false">YEAR(E4069)*100+MONTH(E4069)</f>
        <v>201110</v>
      </c>
      <c r="L4069" s="7" t="n">
        <f aca="false">IF(AND(A4069&lt;&gt;A4068,LEFT(A4069,1)&lt;&gt;"C"),1,0)</f>
        <v>0</v>
      </c>
    </row>
    <row r="4070" customFormat="false" ht="15" hidden="false" customHeight="false" outlineLevel="0" collapsed="false">
      <c r="A4070" s="0" t="s">
        <v>2654</v>
      </c>
      <c r="B4070" s="0" t="s">
        <v>84</v>
      </c>
      <c r="C4070" s="0" t="s">
        <v>85</v>
      </c>
      <c r="D4070" s="0" t="n">
        <v>3</v>
      </c>
      <c r="E4070" s="6" t="n">
        <v>40847.4430555556</v>
      </c>
      <c r="F4070" s="0" t="n">
        <v>18</v>
      </c>
      <c r="G4070" s="0" t="n">
        <v>13813</v>
      </c>
      <c r="H4070" s="0" t="s">
        <v>33</v>
      </c>
      <c r="I4070" s="7" t="n">
        <f aca="false">IF(AND(LEFT(A4070,1)&lt;&gt;"C",D4070&gt;0,F4070&gt;0),1,0)</f>
        <v>1</v>
      </c>
      <c r="J4070" s="7" t="n">
        <f aca="false">IF(I4070=1,D4070*F4070,0)</f>
        <v>54</v>
      </c>
      <c r="K4070" s="7" t="n">
        <f aca="false">YEAR(E4070)*100+MONTH(E4070)</f>
        <v>201110</v>
      </c>
      <c r="L4070" s="7" t="n">
        <f aca="false">IF(AND(A4070&lt;&gt;A4069,LEFT(A4070,1)&lt;&gt;"C"),1,0)</f>
        <v>0</v>
      </c>
    </row>
    <row r="4071" customFormat="false" ht="15" hidden="false" customHeight="false" outlineLevel="0" collapsed="false">
      <c r="A4071" s="0" t="s">
        <v>2657</v>
      </c>
      <c r="B4071" s="0" t="s">
        <v>1457</v>
      </c>
      <c r="C4071" s="0" t="s">
        <v>1458</v>
      </c>
      <c r="D4071" s="0" t="n">
        <v>6</v>
      </c>
      <c r="E4071" s="6" t="n">
        <v>40847.4458333333</v>
      </c>
      <c r="F4071" s="0" t="n">
        <v>2.95</v>
      </c>
      <c r="G4071" s="0" t="n">
        <v>12488</v>
      </c>
      <c r="H4071" s="0" t="s">
        <v>43</v>
      </c>
      <c r="I4071" s="7" t="n">
        <f aca="false">IF(AND(LEFT(A4071,1)&lt;&gt;"C",D4071&gt;0,F4071&gt;0),1,0)</f>
        <v>1</v>
      </c>
      <c r="J4071" s="7" t="n">
        <f aca="false">IF(I4071=1,D4071*F4071,0)</f>
        <v>17.7</v>
      </c>
      <c r="K4071" s="7" t="n">
        <f aca="false">YEAR(E4071)*100+MONTH(E4071)</f>
        <v>201110</v>
      </c>
      <c r="L4071" s="7" t="n">
        <f aca="false">IF(AND(A4071&lt;&gt;A4070,LEFT(A4071,1)&lt;&gt;"C"),1,0)</f>
        <v>1</v>
      </c>
    </row>
    <row r="4072" customFormat="false" ht="15" hidden="false" customHeight="false" outlineLevel="0" collapsed="false">
      <c r="A4072" s="0" t="s">
        <v>2657</v>
      </c>
      <c r="B4072" s="0" t="s">
        <v>2573</v>
      </c>
      <c r="C4072" s="0" t="s">
        <v>2574</v>
      </c>
      <c r="D4072" s="0" t="n">
        <v>12</v>
      </c>
      <c r="E4072" s="6" t="n">
        <v>40847.4458333333</v>
      </c>
      <c r="F4072" s="0" t="n">
        <v>3.75</v>
      </c>
      <c r="G4072" s="0" t="n">
        <v>12488</v>
      </c>
      <c r="H4072" s="0" t="s">
        <v>43</v>
      </c>
      <c r="I4072" s="7" t="n">
        <f aca="false">IF(AND(LEFT(A4072,1)&lt;&gt;"C",D4072&gt;0,F4072&gt;0),1,0)</f>
        <v>1</v>
      </c>
      <c r="J4072" s="7" t="n">
        <f aca="false">IF(I4072=1,D4072*F4072,0)</f>
        <v>45</v>
      </c>
      <c r="K4072" s="7" t="n">
        <f aca="false">YEAR(E4072)*100+MONTH(E4072)</f>
        <v>201110</v>
      </c>
      <c r="L4072" s="7" t="n">
        <f aca="false">IF(AND(A4072&lt;&gt;A4071,LEFT(A4072,1)&lt;&gt;"C"),1,0)</f>
        <v>0</v>
      </c>
    </row>
    <row r="4073" customFormat="false" ht="15" hidden="false" customHeight="false" outlineLevel="0" collapsed="false">
      <c r="A4073" s="0" t="s">
        <v>2657</v>
      </c>
      <c r="B4073" s="0" t="s">
        <v>64</v>
      </c>
      <c r="C4073" s="0" t="s">
        <v>65</v>
      </c>
      <c r="D4073" s="0" t="n">
        <v>36</v>
      </c>
      <c r="E4073" s="6" t="n">
        <v>40847.4458333333</v>
      </c>
      <c r="F4073" s="0" t="n">
        <v>1.65</v>
      </c>
      <c r="G4073" s="0" t="n">
        <v>12488</v>
      </c>
      <c r="H4073" s="0" t="s">
        <v>43</v>
      </c>
      <c r="I4073" s="7" t="n">
        <f aca="false">IF(AND(LEFT(A4073,1)&lt;&gt;"C",D4073&gt;0,F4073&gt;0),1,0)</f>
        <v>1</v>
      </c>
      <c r="J4073" s="7" t="n">
        <f aca="false">IF(I4073=1,D4073*F4073,0)</f>
        <v>59.4</v>
      </c>
      <c r="K4073" s="7" t="n">
        <f aca="false">YEAR(E4073)*100+MONTH(E4073)</f>
        <v>201110</v>
      </c>
      <c r="L4073" s="7" t="n">
        <f aca="false">IF(AND(A4073&lt;&gt;A4072,LEFT(A4073,1)&lt;&gt;"C"),1,0)</f>
        <v>0</v>
      </c>
    </row>
    <row r="4074" customFormat="false" ht="15" hidden="false" customHeight="false" outlineLevel="0" collapsed="false">
      <c r="A4074" s="0" t="s">
        <v>2657</v>
      </c>
      <c r="B4074" s="0" t="s">
        <v>756</v>
      </c>
      <c r="C4074" s="0" t="s">
        <v>757</v>
      </c>
      <c r="D4074" s="0" t="n">
        <v>4</v>
      </c>
      <c r="E4074" s="6" t="n">
        <v>40847.4458333333</v>
      </c>
      <c r="F4074" s="0" t="n">
        <v>3.75</v>
      </c>
      <c r="G4074" s="0" t="n">
        <v>12488</v>
      </c>
      <c r="H4074" s="0" t="s">
        <v>43</v>
      </c>
      <c r="I4074" s="7" t="n">
        <f aca="false">IF(AND(LEFT(A4074,1)&lt;&gt;"C",D4074&gt;0,F4074&gt;0),1,0)</f>
        <v>1</v>
      </c>
      <c r="J4074" s="7" t="n">
        <f aca="false">IF(I4074=1,D4074*F4074,0)</f>
        <v>15</v>
      </c>
      <c r="K4074" s="7" t="n">
        <f aca="false">YEAR(E4074)*100+MONTH(E4074)</f>
        <v>201110</v>
      </c>
      <c r="L4074" s="7" t="n">
        <f aca="false">IF(AND(A4074&lt;&gt;A4073,LEFT(A4074,1)&lt;&gt;"C"),1,0)</f>
        <v>0</v>
      </c>
    </row>
    <row r="4075" customFormat="false" ht="15" hidden="false" customHeight="false" outlineLevel="0" collapsed="false">
      <c r="A4075" s="0" t="s">
        <v>2657</v>
      </c>
      <c r="B4075" s="0" t="s">
        <v>1035</v>
      </c>
      <c r="C4075" s="0" t="s">
        <v>1036</v>
      </c>
      <c r="D4075" s="0" t="n">
        <v>4</v>
      </c>
      <c r="E4075" s="6" t="n">
        <v>40847.4458333333</v>
      </c>
      <c r="F4075" s="0" t="n">
        <v>4.25</v>
      </c>
      <c r="G4075" s="0" t="n">
        <v>12488</v>
      </c>
      <c r="H4075" s="0" t="s">
        <v>43</v>
      </c>
      <c r="I4075" s="7" t="n">
        <f aca="false">IF(AND(LEFT(A4075,1)&lt;&gt;"C",D4075&gt;0,F4075&gt;0),1,0)</f>
        <v>1</v>
      </c>
      <c r="J4075" s="7" t="n">
        <f aca="false">IF(I4075=1,D4075*F4075,0)</f>
        <v>17</v>
      </c>
      <c r="K4075" s="7" t="n">
        <f aca="false">YEAR(E4075)*100+MONTH(E4075)</f>
        <v>201110</v>
      </c>
      <c r="L4075" s="7" t="n">
        <f aca="false">IF(AND(A4075&lt;&gt;A4074,LEFT(A4075,1)&lt;&gt;"C"),1,0)</f>
        <v>0</v>
      </c>
    </row>
    <row r="4076" customFormat="false" ht="15" hidden="false" customHeight="false" outlineLevel="0" collapsed="false">
      <c r="A4076" s="0" t="s">
        <v>2657</v>
      </c>
      <c r="B4076" s="0" t="s">
        <v>2244</v>
      </c>
      <c r="C4076" s="0" t="s">
        <v>2245</v>
      </c>
      <c r="D4076" s="0" t="n">
        <v>4</v>
      </c>
      <c r="E4076" s="6" t="n">
        <v>40847.4458333333</v>
      </c>
      <c r="F4076" s="0" t="n">
        <v>4.25</v>
      </c>
      <c r="G4076" s="0" t="n">
        <v>12488</v>
      </c>
      <c r="H4076" s="0" t="s">
        <v>43</v>
      </c>
      <c r="I4076" s="7" t="n">
        <f aca="false">IF(AND(LEFT(A4076,1)&lt;&gt;"C",D4076&gt;0,F4076&gt;0),1,0)</f>
        <v>1</v>
      </c>
      <c r="J4076" s="7" t="n">
        <f aca="false">IF(I4076=1,D4076*F4076,0)</f>
        <v>17</v>
      </c>
      <c r="K4076" s="7" t="n">
        <f aca="false">YEAR(E4076)*100+MONTH(E4076)</f>
        <v>201110</v>
      </c>
      <c r="L4076" s="7" t="n">
        <f aca="false">IF(AND(A4076&lt;&gt;A4075,LEFT(A4076,1)&lt;&gt;"C"),1,0)</f>
        <v>0</v>
      </c>
    </row>
    <row r="4077" customFormat="false" ht="15" hidden="false" customHeight="false" outlineLevel="0" collapsed="false">
      <c r="A4077" s="0" t="s">
        <v>2657</v>
      </c>
      <c r="B4077" s="0" t="s">
        <v>62</v>
      </c>
      <c r="C4077" s="0" t="s">
        <v>63</v>
      </c>
      <c r="D4077" s="0" t="n">
        <v>24</v>
      </c>
      <c r="E4077" s="6" t="n">
        <v>40847.4458333333</v>
      </c>
      <c r="F4077" s="0" t="n">
        <v>1.79</v>
      </c>
      <c r="G4077" s="0" t="n">
        <v>12488</v>
      </c>
      <c r="H4077" s="0" t="s">
        <v>43</v>
      </c>
      <c r="I4077" s="7" t="n">
        <f aca="false">IF(AND(LEFT(A4077,1)&lt;&gt;"C",D4077&gt;0,F4077&gt;0),1,0)</f>
        <v>1</v>
      </c>
      <c r="J4077" s="7" t="n">
        <f aca="false">IF(I4077=1,D4077*F4077,0)</f>
        <v>42.96</v>
      </c>
      <c r="K4077" s="7" t="n">
        <f aca="false">YEAR(E4077)*100+MONTH(E4077)</f>
        <v>201110</v>
      </c>
      <c r="L4077" s="7" t="n">
        <f aca="false">IF(AND(A4077&lt;&gt;A4076,LEFT(A4077,1)&lt;&gt;"C"),1,0)</f>
        <v>0</v>
      </c>
    </row>
    <row r="4078" customFormat="false" ht="15" hidden="false" customHeight="false" outlineLevel="0" collapsed="false">
      <c r="A4078" s="0" t="s">
        <v>2658</v>
      </c>
      <c r="B4078" s="0" t="s">
        <v>1972</v>
      </c>
      <c r="C4078" s="0" t="s">
        <v>1973</v>
      </c>
      <c r="D4078" s="0" t="n">
        <v>18</v>
      </c>
      <c r="E4078" s="6" t="n">
        <v>40847.6458333333</v>
      </c>
      <c r="F4078" s="0" t="n">
        <v>0.79</v>
      </c>
      <c r="G4078" s="0" t="n">
        <v>12522</v>
      </c>
      <c r="H4078" s="0" t="s">
        <v>33</v>
      </c>
      <c r="I4078" s="7" t="n">
        <f aca="false">IF(AND(LEFT(A4078,1)&lt;&gt;"C",D4078&gt;0,F4078&gt;0),1,0)</f>
        <v>1</v>
      </c>
      <c r="J4078" s="7" t="n">
        <f aca="false">IF(I4078=1,D4078*F4078,0)</f>
        <v>14.22</v>
      </c>
      <c r="K4078" s="7" t="n">
        <f aca="false">YEAR(E4078)*100+MONTH(E4078)</f>
        <v>201110</v>
      </c>
      <c r="L4078" s="7" t="n">
        <f aca="false">IF(AND(A4078&lt;&gt;A4077,LEFT(A4078,1)&lt;&gt;"C"),1,0)</f>
        <v>1</v>
      </c>
    </row>
    <row r="4079" customFormat="false" ht="15" hidden="false" customHeight="false" outlineLevel="0" collapsed="false">
      <c r="A4079" s="0" t="s">
        <v>2658</v>
      </c>
      <c r="B4079" s="0" t="s">
        <v>2659</v>
      </c>
      <c r="C4079" s="0" t="s">
        <v>2660</v>
      </c>
      <c r="D4079" s="0" t="n">
        <v>24</v>
      </c>
      <c r="E4079" s="6" t="n">
        <v>40847.6458333333</v>
      </c>
      <c r="F4079" s="0" t="n">
        <v>0.79</v>
      </c>
      <c r="G4079" s="0" t="n">
        <v>12522</v>
      </c>
      <c r="H4079" s="0" t="s">
        <v>33</v>
      </c>
      <c r="I4079" s="7" t="n">
        <f aca="false">IF(AND(LEFT(A4079,1)&lt;&gt;"C",D4079&gt;0,F4079&gt;0),1,0)</f>
        <v>1</v>
      </c>
      <c r="J4079" s="7" t="n">
        <f aca="false">IF(I4079=1,D4079*F4079,0)</f>
        <v>18.96</v>
      </c>
      <c r="K4079" s="7" t="n">
        <f aca="false">YEAR(E4079)*100+MONTH(E4079)</f>
        <v>201110</v>
      </c>
      <c r="L4079" s="7" t="n">
        <f aca="false">IF(AND(A4079&lt;&gt;A4078,LEFT(A4079,1)&lt;&gt;"C"),1,0)</f>
        <v>0</v>
      </c>
    </row>
    <row r="4080" customFormat="false" ht="15" hidden="false" customHeight="false" outlineLevel="0" collapsed="false">
      <c r="A4080" s="0" t="s">
        <v>2658</v>
      </c>
      <c r="B4080" s="0" t="s">
        <v>2106</v>
      </c>
      <c r="C4080" s="0" t="s">
        <v>2107</v>
      </c>
      <c r="D4080" s="0" t="n">
        <v>4</v>
      </c>
      <c r="E4080" s="6" t="n">
        <v>40847.6458333333</v>
      </c>
      <c r="F4080" s="0" t="n">
        <v>3.75</v>
      </c>
      <c r="G4080" s="0" t="n">
        <v>12522</v>
      </c>
      <c r="H4080" s="0" t="s">
        <v>33</v>
      </c>
      <c r="I4080" s="7" t="n">
        <f aca="false">IF(AND(LEFT(A4080,1)&lt;&gt;"C",D4080&gt;0,F4080&gt;0),1,0)</f>
        <v>1</v>
      </c>
      <c r="J4080" s="7" t="n">
        <f aca="false">IF(I4080=1,D4080*F4080,0)</f>
        <v>15</v>
      </c>
      <c r="K4080" s="7" t="n">
        <f aca="false">YEAR(E4080)*100+MONTH(E4080)</f>
        <v>201110</v>
      </c>
      <c r="L4080" s="7" t="n">
        <f aca="false">IF(AND(A4080&lt;&gt;A4079,LEFT(A4080,1)&lt;&gt;"C"),1,0)</f>
        <v>0</v>
      </c>
    </row>
    <row r="4081" customFormat="false" ht="15" hidden="false" customHeight="false" outlineLevel="0" collapsed="false">
      <c r="A4081" s="0" t="s">
        <v>2658</v>
      </c>
      <c r="B4081" s="0" t="s">
        <v>1189</v>
      </c>
      <c r="C4081" s="0" t="s">
        <v>1190</v>
      </c>
      <c r="D4081" s="0" t="n">
        <v>6</v>
      </c>
      <c r="E4081" s="6" t="n">
        <v>40847.6458333333</v>
      </c>
      <c r="F4081" s="0" t="n">
        <v>2.89</v>
      </c>
      <c r="G4081" s="0" t="n">
        <v>12522</v>
      </c>
      <c r="H4081" s="0" t="s">
        <v>33</v>
      </c>
      <c r="I4081" s="7" t="n">
        <f aca="false">IF(AND(LEFT(A4081,1)&lt;&gt;"C",D4081&gt;0,F4081&gt;0),1,0)</f>
        <v>1</v>
      </c>
      <c r="J4081" s="7" t="n">
        <f aca="false">IF(I4081=1,D4081*F4081,0)</f>
        <v>17.34</v>
      </c>
      <c r="K4081" s="7" t="n">
        <f aca="false">YEAR(E4081)*100+MONTH(E4081)</f>
        <v>201110</v>
      </c>
      <c r="L4081" s="7" t="n">
        <f aca="false">IF(AND(A4081&lt;&gt;A4080,LEFT(A4081,1)&lt;&gt;"C"),1,0)</f>
        <v>0</v>
      </c>
    </row>
    <row r="4082" customFormat="false" ht="15" hidden="false" customHeight="false" outlineLevel="0" collapsed="false">
      <c r="A4082" s="0" t="s">
        <v>2658</v>
      </c>
      <c r="B4082" s="0" t="s">
        <v>853</v>
      </c>
      <c r="C4082" s="0" t="s">
        <v>854</v>
      </c>
      <c r="D4082" s="0" t="n">
        <v>12</v>
      </c>
      <c r="E4082" s="6" t="n">
        <v>40847.6458333333</v>
      </c>
      <c r="F4082" s="0" t="n">
        <v>1.65</v>
      </c>
      <c r="G4082" s="0" t="n">
        <v>12522</v>
      </c>
      <c r="H4082" s="0" t="s">
        <v>33</v>
      </c>
      <c r="I4082" s="7" t="n">
        <f aca="false">IF(AND(LEFT(A4082,1)&lt;&gt;"C",D4082&gt;0,F4082&gt;0),1,0)</f>
        <v>1</v>
      </c>
      <c r="J4082" s="7" t="n">
        <f aca="false">IF(I4082=1,D4082*F4082,0)</f>
        <v>19.8</v>
      </c>
      <c r="K4082" s="7" t="n">
        <f aca="false">YEAR(E4082)*100+MONTH(E4082)</f>
        <v>201110</v>
      </c>
      <c r="L4082" s="7" t="n">
        <f aca="false">IF(AND(A4082&lt;&gt;A4081,LEFT(A4082,1)&lt;&gt;"C"),1,0)</f>
        <v>0</v>
      </c>
    </row>
    <row r="4083" customFormat="false" ht="15" hidden="false" customHeight="false" outlineLevel="0" collapsed="false">
      <c r="A4083" s="0" t="s">
        <v>2658</v>
      </c>
      <c r="B4083" s="0" t="s">
        <v>84</v>
      </c>
      <c r="C4083" s="0" t="s">
        <v>85</v>
      </c>
      <c r="D4083" s="0" t="n">
        <v>1</v>
      </c>
      <c r="E4083" s="6" t="n">
        <v>40847.6458333333</v>
      </c>
      <c r="F4083" s="0" t="n">
        <v>18</v>
      </c>
      <c r="G4083" s="0" t="n">
        <v>12522</v>
      </c>
      <c r="H4083" s="0" t="s">
        <v>33</v>
      </c>
      <c r="I4083" s="7" t="n">
        <f aca="false">IF(AND(LEFT(A4083,1)&lt;&gt;"C",D4083&gt;0,F4083&gt;0),1,0)</f>
        <v>1</v>
      </c>
      <c r="J4083" s="7" t="n">
        <f aca="false">IF(I4083=1,D4083*F4083,0)</f>
        <v>18</v>
      </c>
      <c r="K4083" s="7" t="n">
        <f aca="false">YEAR(E4083)*100+MONTH(E4083)</f>
        <v>201110</v>
      </c>
      <c r="L4083" s="7" t="n">
        <f aca="false">IF(AND(A4083&lt;&gt;A4082,LEFT(A4083,1)&lt;&gt;"C"),1,0)</f>
        <v>0</v>
      </c>
    </row>
    <row r="4084" customFormat="false" ht="15" hidden="false" customHeight="false" outlineLevel="0" collapsed="false">
      <c r="A4084" s="0" t="s">
        <v>2661</v>
      </c>
      <c r="B4084" s="0" t="s">
        <v>62</v>
      </c>
      <c r="C4084" s="0" t="s">
        <v>63</v>
      </c>
      <c r="D4084" s="0" t="n">
        <v>48</v>
      </c>
      <c r="E4084" s="6" t="n">
        <v>40848.5083333333</v>
      </c>
      <c r="F4084" s="0" t="n">
        <v>1.79</v>
      </c>
      <c r="G4084" s="0" t="n">
        <v>12674</v>
      </c>
      <c r="H4084" s="0" t="s">
        <v>43</v>
      </c>
      <c r="I4084" s="7" t="n">
        <f aca="false">IF(AND(LEFT(A4084,1)&lt;&gt;"C",D4084&gt;0,F4084&gt;0),1,0)</f>
        <v>1</v>
      </c>
      <c r="J4084" s="7" t="n">
        <f aca="false">IF(I4084=1,D4084*F4084,0)</f>
        <v>85.92</v>
      </c>
      <c r="K4084" s="7" t="n">
        <f aca="false">YEAR(E4084)*100+MONTH(E4084)</f>
        <v>201111</v>
      </c>
      <c r="L4084" s="7" t="n">
        <f aca="false">IF(AND(A4084&lt;&gt;A4083,LEFT(A4084,1)&lt;&gt;"C"),1,0)</f>
        <v>1</v>
      </c>
    </row>
    <row r="4085" customFormat="false" ht="15" hidden="false" customHeight="false" outlineLevel="0" collapsed="false">
      <c r="A4085" s="0" t="s">
        <v>2661</v>
      </c>
      <c r="B4085" s="0" t="s">
        <v>733</v>
      </c>
      <c r="C4085" s="0" t="s">
        <v>734</v>
      </c>
      <c r="D4085" s="0" t="n">
        <v>48</v>
      </c>
      <c r="E4085" s="6" t="n">
        <v>40848.5083333333</v>
      </c>
      <c r="F4085" s="0" t="n">
        <v>1.25</v>
      </c>
      <c r="G4085" s="0" t="n">
        <v>12674</v>
      </c>
      <c r="H4085" s="0" t="s">
        <v>43</v>
      </c>
      <c r="I4085" s="7" t="n">
        <f aca="false">IF(AND(LEFT(A4085,1)&lt;&gt;"C",D4085&gt;0,F4085&gt;0),1,0)</f>
        <v>1</v>
      </c>
      <c r="J4085" s="7" t="n">
        <f aca="false">IF(I4085=1,D4085*F4085,0)</f>
        <v>60</v>
      </c>
      <c r="K4085" s="7" t="n">
        <f aca="false">YEAR(E4085)*100+MONTH(E4085)</f>
        <v>201111</v>
      </c>
      <c r="L4085" s="7" t="n">
        <f aca="false">IF(AND(A4085&lt;&gt;A4084,LEFT(A4085,1)&lt;&gt;"C"),1,0)</f>
        <v>0</v>
      </c>
    </row>
    <row r="4086" customFormat="false" ht="15" hidden="false" customHeight="false" outlineLevel="0" collapsed="false">
      <c r="A4086" s="0" t="s">
        <v>2661</v>
      </c>
      <c r="B4086" s="0" t="s">
        <v>1861</v>
      </c>
      <c r="C4086" s="0" t="s">
        <v>1862</v>
      </c>
      <c r="D4086" s="0" t="n">
        <v>20</v>
      </c>
      <c r="E4086" s="6" t="n">
        <v>40848.5083333333</v>
      </c>
      <c r="F4086" s="0" t="n">
        <v>1.25</v>
      </c>
      <c r="G4086" s="0" t="n">
        <v>12674</v>
      </c>
      <c r="H4086" s="0" t="s">
        <v>43</v>
      </c>
      <c r="I4086" s="7" t="n">
        <f aca="false">IF(AND(LEFT(A4086,1)&lt;&gt;"C",D4086&gt;0,F4086&gt;0),1,0)</f>
        <v>1</v>
      </c>
      <c r="J4086" s="7" t="n">
        <f aca="false">IF(I4086=1,D4086*F4086,0)</f>
        <v>25</v>
      </c>
      <c r="K4086" s="7" t="n">
        <f aca="false">YEAR(E4086)*100+MONTH(E4086)</f>
        <v>201111</v>
      </c>
      <c r="L4086" s="7" t="n">
        <f aca="false">IF(AND(A4086&lt;&gt;A4085,LEFT(A4086,1)&lt;&gt;"C"),1,0)</f>
        <v>0</v>
      </c>
    </row>
    <row r="4087" customFormat="false" ht="15" hidden="false" customHeight="false" outlineLevel="0" collapsed="false">
      <c r="A4087" s="0" t="s">
        <v>2661</v>
      </c>
      <c r="B4087" s="0" t="s">
        <v>463</v>
      </c>
      <c r="C4087" s="0" t="s">
        <v>464</v>
      </c>
      <c r="D4087" s="0" t="n">
        <v>2</v>
      </c>
      <c r="E4087" s="6" t="n">
        <v>40848.5083333333</v>
      </c>
      <c r="F4087" s="0" t="n">
        <v>7.95</v>
      </c>
      <c r="G4087" s="0" t="n">
        <v>12674</v>
      </c>
      <c r="H4087" s="0" t="s">
        <v>43</v>
      </c>
      <c r="I4087" s="7" t="n">
        <f aca="false">IF(AND(LEFT(A4087,1)&lt;&gt;"C",D4087&gt;0,F4087&gt;0),1,0)</f>
        <v>1</v>
      </c>
      <c r="J4087" s="7" t="n">
        <f aca="false">IF(I4087=1,D4087*F4087,0)</f>
        <v>15.9</v>
      </c>
      <c r="K4087" s="7" t="n">
        <f aca="false">YEAR(E4087)*100+MONTH(E4087)</f>
        <v>201111</v>
      </c>
      <c r="L4087" s="7" t="n">
        <f aca="false">IF(AND(A4087&lt;&gt;A4086,LEFT(A4087,1)&lt;&gt;"C"),1,0)</f>
        <v>0</v>
      </c>
    </row>
    <row r="4088" customFormat="false" ht="15" hidden="false" customHeight="false" outlineLevel="0" collapsed="false">
      <c r="A4088" s="0" t="s">
        <v>2661</v>
      </c>
      <c r="B4088" s="0" t="s">
        <v>1122</v>
      </c>
      <c r="C4088" s="0" t="s">
        <v>1123</v>
      </c>
      <c r="D4088" s="0" t="n">
        <v>12</v>
      </c>
      <c r="E4088" s="6" t="n">
        <v>40848.5083333333</v>
      </c>
      <c r="F4088" s="0" t="n">
        <v>0.83</v>
      </c>
      <c r="G4088" s="0" t="n">
        <v>12674</v>
      </c>
      <c r="H4088" s="0" t="s">
        <v>43</v>
      </c>
      <c r="I4088" s="7" t="n">
        <f aca="false">IF(AND(LEFT(A4088,1)&lt;&gt;"C",D4088&gt;0,F4088&gt;0),1,0)</f>
        <v>1</v>
      </c>
      <c r="J4088" s="7" t="n">
        <f aca="false">IF(I4088=1,D4088*F4088,0)</f>
        <v>9.96</v>
      </c>
      <c r="K4088" s="7" t="n">
        <f aca="false">YEAR(E4088)*100+MONTH(E4088)</f>
        <v>201111</v>
      </c>
      <c r="L4088" s="7" t="n">
        <f aca="false">IF(AND(A4088&lt;&gt;A4087,LEFT(A4088,1)&lt;&gt;"C"),1,0)</f>
        <v>0</v>
      </c>
    </row>
    <row r="4089" customFormat="false" ht="15" hidden="false" customHeight="false" outlineLevel="0" collapsed="false">
      <c r="A4089" s="0" t="s">
        <v>2661</v>
      </c>
      <c r="B4089" s="0" t="s">
        <v>2273</v>
      </c>
      <c r="C4089" s="0" t="s">
        <v>2274</v>
      </c>
      <c r="D4089" s="0" t="n">
        <v>12</v>
      </c>
      <c r="E4089" s="6" t="n">
        <v>40848.5083333333</v>
      </c>
      <c r="F4089" s="0" t="n">
        <v>2.1</v>
      </c>
      <c r="G4089" s="0" t="n">
        <v>12674</v>
      </c>
      <c r="H4089" s="0" t="s">
        <v>43</v>
      </c>
      <c r="I4089" s="7" t="n">
        <f aca="false">IF(AND(LEFT(A4089,1)&lt;&gt;"C",D4089&gt;0,F4089&gt;0),1,0)</f>
        <v>1</v>
      </c>
      <c r="J4089" s="7" t="n">
        <f aca="false">IF(I4089=1,D4089*F4089,0)</f>
        <v>25.2</v>
      </c>
      <c r="K4089" s="7" t="n">
        <f aca="false">YEAR(E4089)*100+MONTH(E4089)</f>
        <v>201111</v>
      </c>
      <c r="L4089" s="7" t="n">
        <f aca="false">IF(AND(A4089&lt;&gt;A4088,LEFT(A4089,1)&lt;&gt;"C"),1,0)</f>
        <v>0</v>
      </c>
    </row>
    <row r="4090" customFormat="false" ht="15" hidden="false" customHeight="false" outlineLevel="0" collapsed="false">
      <c r="A4090" s="0" t="s">
        <v>2661</v>
      </c>
      <c r="B4090" s="0" t="s">
        <v>89</v>
      </c>
      <c r="C4090" s="0" t="s">
        <v>90</v>
      </c>
      <c r="D4090" s="0" t="n">
        <v>8</v>
      </c>
      <c r="E4090" s="6" t="n">
        <v>40848.5083333333</v>
      </c>
      <c r="F4090" s="0" t="n">
        <v>4.15</v>
      </c>
      <c r="G4090" s="0" t="n">
        <v>12674</v>
      </c>
      <c r="H4090" s="0" t="s">
        <v>43</v>
      </c>
      <c r="I4090" s="7" t="n">
        <f aca="false">IF(AND(LEFT(A4090,1)&lt;&gt;"C",D4090&gt;0,F4090&gt;0),1,0)</f>
        <v>1</v>
      </c>
      <c r="J4090" s="7" t="n">
        <f aca="false">IF(I4090=1,D4090*F4090,0)</f>
        <v>33.2</v>
      </c>
      <c r="K4090" s="7" t="n">
        <f aca="false">YEAR(E4090)*100+MONTH(E4090)</f>
        <v>201111</v>
      </c>
      <c r="L4090" s="7" t="n">
        <f aca="false">IF(AND(A4090&lt;&gt;A4089,LEFT(A4090,1)&lt;&gt;"C"),1,0)</f>
        <v>0</v>
      </c>
    </row>
    <row r="4091" customFormat="false" ht="15" hidden="false" customHeight="false" outlineLevel="0" collapsed="false">
      <c r="A4091" s="0" t="s">
        <v>2661</v>
      </c>
      <c r="B4091" s="0" t="s">
        <v>87</v>
      </c>
      <c r="C4091" s="0" t="s">
        <v>88</v>
      </c>
      <c r="D4091" s="0" t="n">
        <v>8</v>
      </c>
      <c r="E4091" s="6" t="n">
        <v>40848.5083333333</v>
      </c>
      <c r="F4091" s="0" t="n">
        <v>4.15</v>
      </c>
      <c r="G4091" s="0" t="n">
        <v>12674</v>
      </c>
      <c r="H4091" s="0" t="s">
        <v>43</v>
      </c>
      <c r="I4091" s="7" t="n">
        <f aca="false">IF(AND(LEFT(A4091,1)&lt;&gt;"C",D4091&gt;0,F4091&gt;0),1,0)</f>
        <v>1</v>
      </c>
      <c r="J4091" s="7" t="n">
        <f aca="false">IF(I4091=1,D4091*F4091,0)</f>
        <v>33.2</v>
      </c>
      <c r="K4091" s="7" t="n">
        <f aca="false">YEAR(E4091)*100+MONTH(E4091)</f>
        <v>201111</v>
      </c>
      <c r="L4091" s="7" t="n">
        <f aca="false">IF(AND(A4091&lt;&gt;A4090,LEFT(A4091,1)&lt;&gt;"C"),1,0)</f>
        <v>0</v>
      </c>
    </row>
    <row r="4092" customFormat="false" ht="15" hidden="false" customHeight="false" outlineLevel="0" collapsed="false">
      <c r="A4092" s="0" t="s">
        <v>2661</v>
      </c>
      <c r="B4092" s="0" t="s">
        <v>93</v>
      </c>
      <c r="C4092" s="0" t="s">
        <v>94</v>
      </c>
      <c r="D4092" s="0" t="n">
        <v>8</v>
      </c>
      <c r="E4092" s="6" t="n">
        <v>40848.5083333333</v>
      </c>
      <c r="F4092" s="0" t="n">
        <v>4.15</v>
      </c>
      <c r="G4092" s="0" t="n">
        <v>12674</v>
      </c>
      <c r="H4092" s="0" t="s">
        <v>43</v>
      </c>
      <c r="I4092" s="7" t="n">
        <f aca="false">IF(AND(LEFT(A4092,1)&lt;&gt;"C",D4092&gt;0,F4092&gt;0),1,0)</f>
        <v>1</v>
      </c>
      <c r="J4092" s="7" t="n">
        <f aca="false">IF(I4092=1,D4092*F4092,0)</f>
        <v>33.2</v>
      </c>
      <c r="K4092" s="7" t="n">
        <f aca="false">YEAR(E4092)*100+MONTH(E4092)</f>
        <v>201111</v>
      </c>
      <c r="L4092" s="7" t="n">
        <f aca="false">IF(AND(A4092&lt;&gt;A4091,LEFT(A4092,1)&lt;&gt;"C"),1,0)</f>
        <v>0</v>
      </c>
    </row>
    <row r="4093" customFormat="false" ht="15" hidden="false" customHeight="false" outlineLevel="0" collapsed="false">
      <c r="A4093" s="0" t="s">
        <v>2661</v>
      </c>
      <c r="B4093" s="0" t="s">
        <v>841</v>
      </c>
      <c r="C4093" s="0" t="s">
        <v>842</v>
      </c>
      <c r="D4093" s="0" t="n">
        <v>6</v>
      </c>
      <c r="E4093" s="6" t="n">
        <v>40848.5083333333</v>
      </c>
      <c r="F4093" s="0" t="n">
        <v>3.35</v>
      </c>
      <c r="G4093" s="0" t="n">
        <v>12674</v>
      </c>
      <c r="H4093" s="0" t="s">
        <v>43</v>
      </c>
      <c r="I4093" s="7" t="n">
        <f aca="false">IF(AND(LEFT(A4093,1)&lt;&gt;"C",D4093&gt;0,F4093&gt;0),1,0)</f>
        <v>1</v>
      </c>
      <c r="J4093" s="7" t="n">
        <f aca="false">IF(I4093=1,D4093*F4093,0)</f>
        <v>20.1</v>
      </c>
      <c r="K4093" s="7" t="n">
        <f aca="false">YEAR(E4093)*100+MONTH(E4093)</f>
        <v>201111</v>
      </c>
      <c r="L4093" s="7" t="n">
        <f aca="false">IF(AND(A4093&lt;&gt;A4092,LEFT(A4093,1)&lt;&gt;"C"),1,0)</f>
        <v>0</v>
      </c>
    </row>
    <row r="4094" customFormat="false" ht="15" hidden="false" customHeight="false" outlineLevel="0" collapsed="false">
      <c r="A4094" s="0" t="s">
        <v>2661</v>
      </c>
      <c r="B4094" s="0" t="s">
        <v>2261</v>
      </c>
      <c r="C4094" s="0" t="s">
        <v>2262</v>
      </c>
      <c r="D4094" s="0" t="n">
        <v>8</v>
      </c>
      <c r="E4094" s="6" t="n">
        <v>40848.5083333333</v>
      </c>
      <c r="F4094" s="0" t="n">
        <v>1.65</v>
      </c>
      <c r="G4094" s="0" t="n">
        <v>12674</v>
      </c>
      <c r="H4094" s="0" t="s">
        <v>43</v>
      </c>
      <c r="I4094" s="7" t="n">
        <f aca="false">IF(AND(LEFT(A4094,1)&lt;&gt;"C",D4094&gt;0,F4094&gt;0),1,0)</f>
        <v>1</v>
      </c>
      <c r="J4094" s="7" t="n">
        <f aca="false">IF(I4094=1,D4094*F4094,0)</f>
        <v>13.2</v>
      </c>
      <c r="K4094" s="7" t="n">
        <f aca="false">YEAR(E4094)*100+MONTH(E4094)</f>
        <v>201111</v>
      </c>
      <c r="L4094" s="7" t="n">
        <f aca="false">IF(AND(A4094&lt;&gt;A4093,LEFT(A4094,1)&lt;&gt;"C"),1,0)</f>
        <v>0</v>
      </c>
    </row>
    <row r="4095" customFormat="false" ht="15" hidden="false" customHeight="false" outlineLevel="0" collapsed="false">
      <c r="A4095" s="0" t="s">
        <v>2661</v>
      </c>
      <c r="B4095" s="0" t="s">
        <v>131</v>
      </c>
      <c r="C4095" s="0" t="s">
        <v>132</v>
      </c>
      <c r="D4095" s="0" t="n">
        <v>8</v>
      </c>
      <c r="E4095" s="6" t="n">
        <v>40848.5083333333</v>
      </c>
      <c r="F4095" s="0" t="n">
        <v>1.65</v>
      </c>
      <c r="G4095" s="0" t="n">
        <v>12674</v>
      </c>
      <c r="H4095" s="0" t="s">
        <v>43</v>
      </c>
      <c r="I4095" s="7" t="n">
        <f aca="false">IF(AND(LEFT(A4095,1)&lt;&gt;"C",D4095&gt;0,F4095&gt;0),1,0)</f>
        <v>1</v>
      </c>
      <c r="J4095" s="7" t="n">
        <f aca="false">IF(I4095=1,D4095*F4095,0)</f>
        <v>13.2</v>
      </c>
      <c r="K4095" s="7" t="n">
        <f aca="false">YEAR(E4095)*100+MONTH(E4095)</f>
        <v>201111</v>
      </c>
      <c r="L4095" s="7" t="n">
        <f aca="false">IF(AND(A4095&lt;&gt;A4094,LEFT(A4095,1)&lt;&gt;"C"),1,0)</f>
        <v>0</v>
      </c>
    </row>
    <row r="4096" customFormat="false" ht="15" hidden="false" customHeight="false" outlineLevel="0" collapsed="false">
      <c r="A4096" s="0" t="s">
        <v>2661</v>
      </c>
      <c r="B4096" s="0" t="s">
        <v>157</v>
      </c>
      <c r="C4096" s="0" t="s">
        <v>158</v>
      </c>
      <c r="D4096" s="0" t="n">
        <v>12</v>
      </c>
      <c r="E4096" s="6" t="n">
        <v>40848.5083333333</v>
      </c>
      <c r="F4096" s="0" t="n">
        <v>0.65</v>
      </c>
      <c r="G4096" s="0" t="n">
        <v>12674</v>
      </c>
      <c r="H4096" s="0" t="s">
        <v>43</v>
      </c>
      <c r="I4096" s="7" t="n">
        <f aca="false">IF(AND(LEFT(A4096,1)&lt;&gt;"C",D4096&gt;0,F4096&gt;0),1,0)</f>
        <v>1</v>
      </c>
      <c r="J4096" s="7" t="n">
        <f aca="false">IF(I4096=1,D4096*F4096,0)</f>
        <v>7.8</v>
      </c>
      <c r="K4096" s="7" t="n">
        <f aca="false">YEAR(E4096)*100+MONTH(E4096)</f>
        <v>201111</v>
      </c>
      <c r="L4096" s="7" t="n">
        <f aca="false">IF(AND(A4096&lt;&gt;A4095,LEFT(A4096,1)&lt;&gt;"C"),1,0)</f>
        <v>0</v>
      </c>
    </row>
    <row r="4097" customFormat="false" ht="15" hidden="false" customHeight="false" outlineLevel="0" collapsed="false">
      <c r="A4097" s="0" t="s">
        <v>2661</v>
      </c>
      <c r="B4097" s="0" t="s">
        <v>193</v>
      </c>
      <c r="C4097" s="0" t="s">
        <v>194</v>
      </c>
      <c r="D4097" s="0" t="n">
        <v>12</v>
      </c>
      <c r="E4097" s="6" t="n">
        <v>40848.5083333333</v>
      </c>
      <c r="F4097" s="0" t="n">
        <v>0.65</v>
      </c>
      <c r="G4097" s="0" t="n">
        <v>12674</v>
      </c>
      <c r="H4097" s="0" t="s">
        <v>43</v>
      </c>
      <c r="I4097" s="7" t="n">
        <f aca="false">IF(AND(LEFT(A4097,1)&lt;&gt;"C",D4097&gt;0,F4097&gt;0),1,0)</f>
        <v>1</v>
      </c>
      <c r="J4097" s="7" t="n">
        <f aca="false">IF(I4097=1,D4097*F4097,0)</f>
        <v>7.8</v>
      </c>
      <c r="K4097" s="7" t="n">
        <f aca="false">YEAR(E4097)*100+MONTH(E4097)</f>
        <v>201111</v>
      </c>
      <c r="L4097" s="7" t="n">
        <f aca="false">IF(AND(A4097&lt;&gt;A4096,LEFT(A4097,1)&lt;&gt;"C"),1,0)</f>
        <v>0</v>
      </c>
    </row>
    <row r="4098" customFormat="false" ht="15" hidden="false" customHeight="false" outlineLevel="0" collapsed="false">
      <c r="A4098" s="0" t="s">
        <v>2661</v>
      </c>
      <c r="B4098" s="0" t="s">
        <v>127</v>
      </c>
      <c r="C4098" s="0" t="s">
        <v>128</v>
      </c>
      <c r="D4098" s="0" t="n">
        <v>8</v>
      </c>
      <c r="E4098" s="6" t="n">
        <v>40848.5083333333</v>
      </c>
      <c r="F4098" s="0" t="n">
        <v>1.65</v>
      </c>
      <c r="G4098" s="0" t="n">
        <v>12674</v>
      </c>
      <c r="H4098" s="0" t="s">
        <v>43</v>
      </c>
      <c r="I4098" s="7" t="n">
        <f aca="false">IF(AND(LEFT(A4098,1)&lt;&gt;"C",D4098&gt;0,F4098&gt;0),1,0)</f>
        <v>1</v>
      </c>
      <c r="J4098" s="7" t="n">
        <f aca="false">IF(I4098=1,D4098*F4098,0)</f>
        <v>13.2</v>
      </c>
      <c r="K4098" s="7" t="n">
        <f aca="false">YEAR(E4098)*100+MONTH(E4098)</f>
        <v>201111</v>
      </c>
      <c r="L4098" s="7" t="n">
        <f aca="false">IF(AND(A4098&lt;&gt;A4097,LEFT(A4098,1)&lt;&gt;"C"),1,0)</f>
        <v>0</v>
      </c>
    </row>
    <row r="4099" customFormat="false" ht="15" hidden="false" customHeight="false" outlineLevel="0" collapsed="false">
      <c r="A4099" s="0" t="s">
        <v>2661</v>
      </c>
      <c r="B4099" s="0" t="s">
        <v>1572</v>
      </c>
      <c r="C4099" s="0" t="s">
        <v>1573</v>
      </c>
      <c r="D4099" s="0" t="n">
        <v>36</v>
      </c>
      <c r="E4099" s="6" t="n">
        <v>40848.5083333333</v>
      </c>
      <c r="F4099" s="0" t="n">
        <v>0.19</v>
      </c>
      <c r="G4099" s="0" t="n">
        <v>12674</v>
      </c>
      <c r="H4099" s="0" t="s">
        <v>43</v>
      </c>
      <c r="I4099" s="7" t="n">
        <f aca="false">IF(AND(LEFT(A4099,1)&lt;&gt;"C",D4099&gt;0,F4099&gt;0),1,0)</f>
        <v>1</v>
      </c>
      <c r="J4099" s="7" t="n">
        <f aca="false">IF(I4099=1,D4099*F4099,0)</f>
        <v>6.84</v>
      </c>
      <c r="K4099" s="7" t="n">
        <f aca="false">YEAR(E4099)*100+MONTH(E4099)</f>
        <v>201111</v>
      </c>
      <c r="L4099" s="7" t="n">
        <f aca="false">IF(AND(A4099&lt;&gt;A4098,LEFT(A4099,1)&lt;&gt;"C"),1,0)</f>
        <v>0</v>
      </c>
    </row>
    <row r="4100" customFormat="false" ht="15" hidden="false" customHeight="false" outlineLevel="0" collapsed="false">
      <c r="A4100" s="0" t="s">
        <v>2661</v>
      </c>
      <c r="B4100" s="0" t="s">
        <v>119</v>
      </c>
      <c r="C4100" s="0" t="s">
        <v>120</v>
      </c>
      <c r="D4100" s="0" t="n">
        <v>12</v>
      </c>
      <c r="E4100" s="6" t="n">
        <v>40848.5083333333</v>
      </c>
      <c r="F4100" s="0" t="n">
        <v>0.42</v>
      </c>
      <c r="G4100" s="0" t="n">
        <v>12674</v>
      </c>
      <c r="H4100" s="0" t="s">
        <v>43</v>
      </c>
      <c r="I4100" s="7" t="n">
        <f aca="false">IF(AND(LEFT(A4100,1)&lt;&gt;"C",D4100&gt;0,F4100&gt;0),1,0)</f>
        <v>1</v>
      </c>
      <c r="J4100" s="7" t="n">
        <f aca="false">IF(I4100=1,D4100*F4100,0)</f>
        <v>5.04</v>
      </c>
      <c r="K4100" s="7" t="n">
        <f aca="false">YEAR(E4100)*100+MONTH(E4100)</f>
        <v>201111</v>
      </c>
      <c r="L4100" s="7" t="n">
        <f aca="false">IF(AND(A4100&lt;&gt;A4099,LEFT(A4100,1)&lt;&gt;"C"),1,0)</f>
        <v>0</v>
      </c>
    </row>
    <row r="4101" customFormat="false" ht="15" hidden="false" customHeight="false" outlineLevel="0" collapsed="false">
      <c r="A4101" s="0" t="s">
        <v>2661</v>
      </c>
      <c r="B4101" s="0" t="s">
        <v>183</v>
      </c>
      <c r="C4101" s="0" t="s">
        <v>184</v>
      </c>
      <c r="D4101" s="0" t="n">
        <v>12</v>
      </c>
      <c r="E4101" s="6" t="n">
        <v>40848.5083333333</v>
      </c>
      <c r="F4101" s="0" t="n">
        <v>0.42</v>
      </c>
      <c r="G4101" s="0" t="n">
        <v>12674</v>
      </c>
      <c r="H4101" s="0" t="s">
        <v>43</v>
      </c>
      <c r="I4101" s="7" t="n">
        <f aca="false">IF(AND(LEFT(A4101,1)&lt;&gt;"C",D4101&gt;0,F4101&gt;0),1,0)</f>
        <v>1</v>
      </c>
      <c r="J4101" s="7" t="n">
        <f aca="false">IF(I4101=1,D4101*F4101,0)</f>
        <v>5.04</v>
      </c>
      <c r="K4101" s="7" t="n">
        <f aca="false">YEAR(E4101)*100+MONTH(E4101)</f>
        <v>201111</v>
      </c>
      <c r="L4101" s="7" t="n">
        <f aca="false">IF(AND(A4101&lt;&gt;A4100,LEFT(A4101,1)&lt;&gt;"C"),1,0)</f>
        <v>0</v>
      </c>
    </row>
    <row r="4102" customFormat="false" ht="15" hidden="false" customHeight="false" outlineLevel="0" collapsed="false">
      <c r="A4102" s="0" t="s">
        <v>2661</v>
      </c>
      <c r="B4102" s="0" t="s">
        <v>297</v>
      </c>
      <c r="C4102" s="0" t="s">
        <v>298</v>
      </c>
      <c r="D4102" s="0" t="n">
        <v>4</v>
      </c>
      <c r="E4102" s="6" t="n">
        <v>40848.5083333333</v>
      </c>
      <c r="F4102" s="0" t="n">
        <v>3.75</v>
      </c>
      <c r="G4102" s="0" t="n">
        <v>12674</v>
      </c>
      <c r="H4102" s="0" t="s">
        <v>43</v>
      </c>
      <c r="I4102" s="7" t="n">
        <f aca="false">IF(AND(LEFT(A4102,1)&lt;&gt;"C",D4102&gt;0,F4102&gt;0),1,0)</f>
        <v>1</v>
      </c>
      <c r="J4102" s="7" t="n">
        <f aca="false">IF(I4102=1,D4102*F4102,0)</f>
        <v>15</v>
      </c>
      <c r="K4102" s="7" t="n">
        <f aca="false">YEAR(E4102)*100+MONTH(E4102)</f>
        <v>201111</v>
      </c>
      <c r="L4102" s="7" t="n">
        <f aca="false">IF(AND(A4102&lt;&gt;A4101,LEFT(A4102,1)&lt;&gt;"C"),1,0)</f>
        <v>0</v>
      </c>
    </row>
    <row r="4103" customFormat="false" ht="15" hidden="false" customHeight="false" outlineLevel="0" collapsed="false">
      <c r="A4103" s="0" t="s">
        <v>2661</v>
      </c>
      <c r="B4103" s="0" t="s">
        <v>318</v>
      </c>
      <c r="C4103" s="0" t="s">
        <v>319</v>
      </c>
      <c r="D4103" s="0" t="n">
        <v>4</v>
      </c>
      <c r="E4103" s="6" t="n">
        <v>40848.5083333333</v>
      </c>
      <c r="F4103" s="0" t="n">
        <v>3.75</v>
      </c>
      <c r="G4103" s="0" t="n">
        <v>12674</v>
      </c>
      <c r="H4103" s="0" t="s">
        <v>43</v>
      </c>
      <c r="I4103" s="7" t="n">
        <f aca="false">IF(AND(LEFT(A4103,1)&lt;&gt;"C",D4103&gt;0,F4103&gt;0),1,0)</f>
        <v>1</v>
      </c>
      <c r="J4103" s="7" t="n">
        <f aca="false">IF(I4103=1,D4103*F4103,0)</f>
        <v>15</v>
      </c>
      <c r="K4103" s="7" t="n">
        <f aca="false">YEAR(E4103)*100+MONTH(E4103)</f>
        <v>201111</v>
      </c>
      <c r="L4103" s="7" t="n">
        <f aca="false">IF(AND(A4103&lt;&gt;A4102,LEFT(A4103,1)&lt;&gt;"C"),1,0)</f>
        <v>0</v>
      </c>
    </row>
    <row r="4104" customFormat="false" ht="15" hidden="false" customHeight="false" outlineLevel="0" collapsed="false">
      <c r="A4104" s="0" t="s">
        <v>2661</v>
      </c>
      <c r="B4104" s="0" t="s">
        <v>320</v>
      </c>
      <c r="C4104" s="0" t="s">
        <v>321</v>
      </c>
      <c r="D4104" s="0" t="n">
        <v>8</v>
      </c>
      <c r="E4104" s="6" t="n">
        <v>40848.5083333333</v>
      </c>
      <c r="F4104" s="0" t="n">
        <v>3.75</v>
      </c>
      <c r="G4104" s="0" t="n">
        <v>12674</v>
      </c>
      <c r="H4104" s="0" t="s">
        <v>43</v>
      </c>
      <c r="I4104" s="7" t="n">
        <f aca="false">IF(AND(LEFT(A4104,1)&lt;&gt;"C",D4104&gt;0,F4104&gt;0),1,0)</f>
        <v>1</v>
      </c>
      <c r="J4104" s="7" t="n">
        <f aca="false">IF(I4104=1,D4104*F4104,0)</f>
        <v>30</v>
      </c>
      <c r="K4104" s="7" t="n">
        <f aca="false">YEAR(E4104)*100+MONTH(E4104)</f>
        <v>201111</v>
      </c>
      <c r="L4104" s="7" t="n">
        <f aca="false">IF(AND(A4104&lt;&gt;A4103,LEFT(A4104,1)&lt;&gt;"C"),1,0)</f>
        <v>0</v>
      </c>
    </row>
    <row r="4105" customFormat="false" ht="15" hidden="false" customHeight="false" outlineLevel="0" collapsed="false">
      <c r="A4105" s="0" t="s">
        <v>2661</v>
      </c>
      <c r="B4105" s="0" t="s">
        <v>84</v>
      </c>
      <c r="C4105" s="0" t="s">
        <v>85</v>
      </c>
      <c r="D4105" s="0" t="n">
        <v>2</v>
      </c>
      <c r="E4105" s="6" t="n">
        <v>40848.5083333333</v>
      </c>
      <c r="F4105" s="0" t="n">
        <v>18</v>
      </c>
      <c r="G4105" s="0" t="n">
        <v>12674</v>
      </c>
      <c r="H4105" s="0" t="s">
        <v>43</v>
      </c>
      <c r="I4105" s="7" t="n">
        <f aca="false">IF(AND(LEFT(A4105,1)&lt;&gt;"C",D4105&gt;0,F4105&gt;0),1,0)</f>
        <v>1</v>
      </c>
      <c r="J4105" s="7" t="n">
        <f aca="false">IF(I4105=1,D4105*F4105,0)</f>
        <v>36</v>
      </c>
      <c r="K4105" s="7" t="n">
        <f aca="false">YEAR(E4105)*100+MONTH(E4105)</f>
        <v>201111</v>
      </c>
      <c r="L4105" s="7" t="n">
        <f aca="false">IF(AND(A4105&lt;&gt;A4104,LEFT(A4105,1)&lt;&gt;"C"),1,0)</f>
        <v>0</v>
      </c>
    </row>
    <row r="4106" customFormat="false" ht="15" hidden="false" customHeight="false" outlineLevel="0" collapsed="false">
      <c r="A4106" s="0" t="s">
        <v>2661</v>
      </c>
      <c r="B4106" s="0" t="s">
        <v>123</v>
      </c>
      <c r="C4106" s="0" t="s">
        <v>124</v>
      </c>
      <c r="D4106" s="0" t="n">
        <v>12</v>
      </c>
      <c r="E4106" s="6" t="n">
        <v>40848.5083333333</v>
      </c>
      <c r="F4106" s="0" t="n">
        <v>2.95</v>
      </c>
      <c r="G4106" s="0" t="n">
        <v>12674</v>
      </c>
      <c r="H4106" s="0" t="s">
        <v>43</v>
      </c>
      <c r="I4106" s="7" t="n">
        <f aca="false">IF(AND(LEFT(A4106,1)&lt;&gt;"C",D4106&gt;0,F4106&gt;0),1,0)</f>
        <v>1</v>
      </c>
      <c r="J4106" s="7" t="n">
        <f aca="false">IF(I4106=1,D4106*F4106,0)</f>
        <v>35.4</v>
      </c>
      <c r="K4106" s="7" t="n">
        <f aca="false">YEAR(E4106)*100+MONTH(E4106)</f>
        <v>201111</v>
      </c>
      <c r="L4106" s="7" t="n">
        <f aca="false">IF(AND(A4106&lt;&gt;A4105,LEFT(A4106,1)&lt;&gt;"C"),1,0)</f>
        <v>0</v>
      </c>
    </row>
    <row r="4107" customFormat="false" ht="15" hidden="false" customHeight="false" outlineLevel="0" collapsed="false">
      <c r="A4107" s="0" t="s">
        <v>2661</v>
      </c>
      <c r="B4107" s="0" t="s">
        <v>416</v>
      </c>
      <c r="C4107" s="0" t="s">
        <v>417</v>
      </c>
      <c r="D4107" s="0" t="n">
        <v>36</v>
      </c>
      <c r="E4107" s="6" t="n">
        <v>40848.5083333333</v>
      </c>
      <c r="F4107" s="0" t="n">
        <v>0.65</v>
      </c>
      <c r="G4107" s="0" t="n">
        <v>12674</v>
      </c>
      <c r="H4107" s="0" t="s">
        <v>43</v>
      </c>
      <c r="I4107" s="7" t="n">
        <f aca="false">IF(AND(LEFT(A4107,1)&lt;&gt;"C",D4107&gt;0,F4107&gt;0),1,0)</f>
        <v>1</v>
      </c>
      <c r="J4107" s="7" t="n">
        <f aca="false">IF(I4107=1,D4107*F4107,0)</f>
        <v>23.4</v>
      </c>
      <c r="K4107" s="7" t="n">
        <f aca="false">YEAR(E4107)*100+MONTH(E4107)</f>
        <v>201111</v>
      </c>
      <c r="L4107" s="7" t="n">
        <f aca="false">IF(AND(A4107&lt;&gt;A4106,LEFT(A4107,1)&lt;&gt;"C"),1,0)</f>
        <v>0</v>
      </c>
    </row>
    <row r="4108" customFormat="false" ht="15" hidden="false" customHeight="false" outlineLevel="0" collapsed="false">
      <c r="A4108" s="0" t="s">
        <v>2662</v>
      </c>
      <c r="B4108" s="0" t="s">
        <v>1981</v>
      </c>
      <c r="C4108" s="0" t="s">
        <v>1982</v>
      </c>
      <c r="D4108" s="0" t="n">
        <v>24</v>
      </c>
      <c r="E4108" s="6" t="n">
        <v>40848.5125</v>
      </c>
      <c r="F4108" s="0" t="n">
        <v>0.65</v>
      </c>
      <c r="G4108" s="0" t="n">
        <v>12491</v>
      </c>
      <c r="H4108" s="0" t="s">
        <v>43</v>
      </c>
      <c r="I4108" s="7" t="n">
        <f aca="false">IF(AND(LEFT(A4108,1)&lt;&gt;"C",D4108&gt;0,F4108&gt;0),1,0)</f>
        <v>1</v>
      </c>
      <c r="J4108" s="7" t="n">
        <f aca="false">IF(I4108=1,D4108*F4108,0)</f>
        <v>15.6</v>
      </c>
      <c r="K4108" s="7" t="n">
        <f aca="false">YEAR(E4108)*100+MONTH(E4108)</f>
        <v>201111</v>
      </c>
      <c r="L4108" s="7" t="n">
        <f aca="false">IF(AND(A4108&lt;&gt;A4107,LEFT(A4108,1)&lt;&gt;"C"),1,0)</f>
        <v>1</v>
      </c>
    </row>
    <row r="4109" customFormat="false" ht="15" hidden="false" customHeight="false" outlineLevel="0" collapsed="false">
      <c r="A4109" s="0" t="s">
        <v>2662</v>
      </c>
      <c r="B4109" s="0" t="s">
        <v>893</v>
      </c>
      <c r="C4109" s="0" t="s">
        <v>894</v>
      </c>
      <c r="D4109" s="0" t="n">
        <v>6</v>
      </c>
      <c r="E4109" s="6" t="n">
        <v>40848.5125</v>
      </c>
      <c r="F4109" s="0" t="n">
        <v>2.95</v>
      </c>
      <c r="G4109" s="0" t="n">
        <v>12491</v>
      </c>
      <c r="H4109" s="0" t="s">
        <v>43</v>
      </c>
      <c r="I4109" s="7" t="n">
        <f aca="false">IF(AND(LEFT(A4109,1)&lt;&gt;"C",D4109&gt;0,F4109&gt;0),1,0)</f>
        <v>1</v>
      </c>
      <c r="J4109" s="7" t="n">
        <f aca="false">IF(I4109=1,D4109*F4109,0)</f>
        <v>17.7</v>
      </c>
      <c r="K4109" s="7" t="n">
        <f aca="false">YEAR(E4109)*100+MONTH(E4109)</f>
        <v>201111</v>
      </c>
      <c r="L4109" s="7" t="n">
        <f aca="false">IF(AND(A4109&lt;&gt;A4108,LEFT(A4109,1)&lt;&gt;"C"),1,0)</f>
        <v>0</v>
      </c>
    </row>
    <row r="4110" customFormat="false" ht="15" hidden="false" customHeight="false" outlineLevel="0" collapsed="false">
      <c r="A4110" s="0" t="s">
        <v>2662</v>
      </c>
      <c r="B4110" s="0" t="s">
        <v>794</v>
      </c>
      <c r="C4110" s="0" t="s">
        <v>795</v>
      </c>
      <c r="D4110" s="0" t="n">
        <v>10</v>
      </c>
      <c r="E4110" s="6" t="n">
        <v>40848.5125</v>
      </c>
      <c r="F4110" s="0" t="n">
        <v>0.85</v>
      </c>
      <c r="G4110" s="0" t="n">
        <v>12491</v>
      </c>
      <c r="H4110" s="0" t="s">
        <v>43</v>
      </c>
      <c r="I4110" s="7" t="n">
        <f aca="false">IF(AND(LEFT(A4110,1)&lt;&gt;"C",D4110&gt;0,F4110&gt;0),1,0)</f>
        <v>1</v>
      </c>
      <c r="J4110" s="7" t="n">
        <f aca="false">IF(I4110=1,D4110*F4110,0)</f>
        <v>8.5</v>
      </c>
      <c r="K4110" s="7" t="n">
        <f aca="false">YEAR(E4110)*100+MONTH(E4110)</f>
        <v>201111</v>
      </c>
      <c r="L4110" s="7" t="n">
        <f aca="false">IF(AND(A4110&lt;&gt;A4109,LEFT(A4110,1)&lt;&gt;"C"),1,0)</f>
        <v>0</v>
      </c>
    </row>
    <row r="4111" customFormat="false" ht="15" hidden="false" customHeight="false" outlineLevel="0" collapsed="false">
      <c r="A4111" s="0" t="s">
        <v>2662</v>
      </c>
      <c r="B4111" s="0" t="s">
        <v>1048</v>
      </c>
      <c r="C4111" s="0" t="s">
        <v>1049</v>
      </c>
      <c r="D4111" s="0" t="n">
        <v>8</v>
      </c>
      <c r="E4111" s="6" t="n">
        <v>40848.5125</v>
      </c>
      <c r="F4111" s="0" t="n">
        <v>4.15</v>
      </c>
      <c r="G4111" s="0" t="n">
        <v>12491</v>
      </c>
      <c r="H4111" s="0" t="s">
        <v>43</v>
      </c>
      <c r="I4111" s="7" t="n">
        <f aca="false">IF(AND(LEFT(A4111,1)&lt;&gt;"C",D4111&gt;0,F4111&gt;0),1,0)</f>
        <v>1</v>
      </c>
      <c r="J4111" s="7" t="n">
        <f aca="false">IF(I4111=1,D4111*F4111,0)</f>
        <v>33.2</v>
      </c>
      <c r="K4111" s="7" t="n">
        <f aca="false">YEAR(E4111)*100+MONTH(E4111)</f>
        <v>201111</v>
      </c>
      <c r="L4111" s="7" t="n">
        <f aca="false">IF(AND(A4111&lt;&gt;A4110,LEFT(A4111,1)&lt;&gt;"C"),1,0)</f>
        <v>0</v>
      </c>
    </row>
    <row r="4112" customFormat="false" ht="15" hidden="false" customHeight="false" outlineLevel="0" collapsed="false">
      <c r="A4112" s="0" t="s">
        <v>2662</v>
      </c>
      <c r="B4112" s="0" t="s">
        <v>123</v>
      </c>
      <c r="C4112" s="0" t="s">
        <v>124</v>
      </c>
      <c r="D4112" s="0" t="n">
        <v>6</v>
      </c>
      <c r="E4112" s="6" t="n">
        <v>40848.5125</v>
      </c>
      <c r="F4112" s="0" t="n">
        <v>2.95</v>
      </c>
      <c r="G4112" s="0" t="n">
        <v>12491</v>
      </c>
      <c r="H4112" s="0" t="s">
        <v>43</v>
      </c>
      <c r="I4112" s="7" t="n">
        <f aca="false">IF(AND(LEFT(A4112,1)&lt;&gt;"C",D4112&gt;0,F4112&gt;0),1,0)</f>
        <v>1</v>
      </c>
      <c r="J4112" s="7" t="n">
        <f aca="false">IF(I4112=1,D4112*F4112,0)</f>
        <v>17.7</v>
      </c>
      <c r="K4112" s="7" t="n">
        <f aca="false">YEAR(E4112)*100+MONTH(E4112)</f>
        <v>201111</v>
      </c>
      <c r="L4112" s="7" t="n">
        <f aca="false">IF(AND(A4112&lt;&gt;A4111,LEFT(A4112,1)&lt;&gt;"C"),1,0)</f>
        <v>0</v>
      </c>
    </row>
    <row r="4113" customFormat="false" ht="15" hidden="false" customHeight="false" outlineLevel="0" collapsed="false">
      <c r="A4113" s="0" t="s">
        <v>2662</v>
      </c>
      <c r="B4113" s="0" t="s">
        <v>469</v>
      </c>
      <c r="C4113" s="0" t="s">
        <v>470</v>
      </c>
      <c r="D4113" s="0" t="n">
        <v>6</v>
      </c>
      <c r="E4113" s="6" t="n">
        <v>40848.5125</v>
      </c>
      <c r="F4113" s="0" t="n">
        <v>2.1</v>
      </c>
      <c r="G4113" s="0" t="n">
        <v>12491</v>
      </c>
      <c r="H4113" s="0" t="s">
        <v>43</v>
      </c>
      <c r="I4113" s="7" t="n">
        <f aca="false">IF(AND(LEFT(A4113,1)&lt;&gt;"C",D4113&gt;0,F4113&gt;0),1,0)</f>
        <v>1</v>
      </c>
      <c r="J4113" s="7" t="n">
        <f aca="false">IF(I4113=1,D4113*F4113,0)</f>
        <v>12.6</v>
      </c>
      <c r="K4113" s="7" t="n">
        <f aca="false">YEAR(E4113)*100+MONTH(E4113)</f>
        <v>201111</v>
      </c>
      <c r="L4113" s="7" t="n">
        <f aca="false">IF(AND(A4113&lt;&gt;A4112,LEFT(A4113,1)&lt;&gt;"C"),1,0)</f>
        <v>0</v>
      </c>
    </row>
    <row r="4114" customFormat="false" ht="15" hidden="false" customHeight="false" outlineLevel="0" collapsed="false">
      <c r="A4114" s="0" t="s">
        <v>2662</v>
      </c>
      <c r="B4114" s="0" t="s">
        <v>557</v>
      </c>
      <c r="C4114" s="0" t="s">
        <v>558</v>
      </c>
      <c r="D4114" s="0" t="n">
        <v>12</v>
      </c>
      <c r="E4114" s="6" t="n">
        <v>40848.5125</v>
      </c>
      <c r="F4114" s="0" t="n">
        <v>1.95</v>
      </c>
      <c r="G4114" s="0" t="n">
        <v>12491</v>
      </c>
      <c r="H4114" s="0" t="s">
        <v>43</v>
      </c>
      <c r="I4114" s="7" t="n">
        <f aca="false">IF(AND(LEFT(A4114,1)&lt;&gt;"C",D4114&gt;0,F4114&gt;0),1,0)</f>
        <v>1</v>
      </c>
      <c r="J4114" s="7" t="n">
        <f aca="false">IF(I4114=1,D4114*F4114,0)</f>
        <v>23.4</v>
      </c>
      <c r="K4114" s="7" t="n">
        <f aca="false">YEAR(E4114)*100+MONTH(E4114)</f>
        <v>201111</v>
      </c>
      <c r="L4114" s="7" t="n">
        <f aca="false">IF(AND(A4114&lt;&gt;A4113,LEFT(A4114,1)&lt;&gt;"C"),1,0)</f>
        <v>0</v>
      </c>
    </row>
    <row r="4115" customFormat="false" ht="15" hidden="false" customHeight="false" outlineLevel="0" collapsed="false">
      <c r="A4115" s="0" t="s">
        <v>2662</v>
      </c>
      <c r="B4115" s="0" t="s">
        <v>559</v>
      </c>
      <c r="C4115" s="0" t="s">
        <v>560</v>
      </c>
      <c r="D4115" s="0" t="n">
        <v>10</v>
      </c>
      <c r="E4115" s="6" t="n">
        <v>40848.5125</v>
      </c>
      <c r="F4115" s="0" t="n">
        <v>0.85</v>
      </c>
      <c r="G4115" s="0" t="n">
        <v>12491</v>
      </c>
      <c r="H4115" s="0" t="s">
        <v>43</v>
      </c>
      <c r="I4115" s="7" t="n">
        <f aca="false">IF(AND(LEFT(A4115,1)&lt;&gt;"C",D4115&gt;0,F4115&gt;0),1,0)</f>
        <v>1</v>
      </c>
      <c r="J4115" s="7" t="n">
        <f aca="false">IF(I4115=1,D4115*F4115,0)</f>
        <v>8.5</v>
      </c>
      <c r="K4115" s="7" t="n">
        <f aca="false">YEAR(E4115)*100+MONTH(E4115)</f>
        <v>201111</v>
      </c>
      <c r="L4115" s="7" t="n">
        <f aca="false">IF(AND(A4115&lt;&gt;A4114,LEFT(A4115,1)&lt;&gt;"C"),1,0)</f>
        <v>0</v>
      </c>
    </row>
    <row r="4116" customFormat="false" ht="15" hidden="false" customHeight="false" outlineLevel="0" collapsed="false">
      <c r="A4116" s="0" t="s">
        <v>2662</v>
      </c>
      <c r="B4116" s="0" t="s">
        <v>653</v>
      </c>
      <c r="C4116" s="0" t="s">
        <v>654</v>
      </c>
      <c r="D4116" s="0" t="n">
        <v>4</v>
      </c>
      <c r="E4116" s="6" t="n">
        <v>40848.5125</v>
      </c>
      <c r="F4116" s="0" t="n">
        <v>6.25</v>
      </c>
      <c r="G4116" s="0" t="n">
        <v>12491</v>
      </c>
      <c r="H4116" s="0" t="s">
        <v>43</v>
      </c>
      <c r="I4116" s="7" t="n">
        <f aca="false">IF(AND(LEFT(A4116,1)&lt;&gt;"C",D4116&gt;0,F4116&gt;0),1,0)</f>
        <v>1</v>
      </c>
      <c r="J4116" s="7" t="n">
        <f aca="false">IF(I4116=1,D4116*F4116,0)</f>
        <v>25</v>
      </c>
      <c r="K4116" s="7" t="n">
        <f aca="false">YEAR(E4116)*100+MONTH(E4116)</f>
        <v>201111</v>
      </c>
      <c r="L4116" s="7" t="n">
        <f aca="false">IF(AND(A4116&lt;&gt;A4115,LEFT(A4116,1)&lt;&gt;"C"),1,0)</f>
        <v>0</v>
      </c>
    </row>
    <row r="4117" customFormat="false" ht="15" hidden="false" customHeight="false" outlineLevel="0" collapsed="false">
      <c r="A4117" s="0" t="s">
        <v>2662</v>
      </c>
      <c r="B4117" s="0" t="s">
        <v>177</v>
      </c>
      <c r="C4117" s="0" t="s">
        <v>178</v>
      </c>
      <c r="D4117" s="0" t="n">
        <v>8</v>
      </c>
      <c r="E4117" s="6" t="n">
        <v>40848.5125</v>
      </c>
      <c r="F4117" s="0" t="n">
        <v>1.25</v>
      </c>
      <c r="G4117" s="0" t="n">
        <v>12491</v>
      </c>
      <c r="H4117" s="0" t="s">
        <v>43</v>
      </c>
      <c r="I4117" s="7" t="n">
        <f aca="false">IF(AND(LEFT(A4117,1)&lt;&gt;"C",D4117&gt;0,F4117&gt;0),1,0)</f>
        <v>1</v>
      </c>
      <c r="J4117" s="7" t="n">
        <f aca="false">IF(I4117=1,D4117*F4117,0)</f>
        <v>10</v>
      </c>
      <c r="K4117" s="7" t="n">
        <f aca="false">YEAR(E4117)*100+MONTH(E4117)</f>
        <v>201111</v>
      </c>
      <c r="L4117" s="7" t="n">
        <f aca="false">IF(AND(A4117&lt;&gt;A4116,LEFT(A4117,1)&lt;&gt;"C"),1,0)</f>
        <v>0</v>
      </c>
    </row>
    <row r="4118" customFormat="false" ht="15" hidden="false" customHeight="false" outlineLevel="0" collapsed="false">
      <c r="A4118" s="0" t="s">
        <v>2662</v>
      </c>
      <c r="B4118" s="0" t="s">
        <v>175</v>
      </c>
      <c r="C4118" s="0" t="s">
        <v>176</v>
      </c>
      <c r="D4118" s="0" t="n">
        <v>8</v>
      </c>
      <c r="E4118" s="6" t="n">
        <v>40848.5125</v>
      </c>
      <c r="F4118" s="0" t="n">
        <v>1.25</v>
      </c>
      <c r="G4118" s="0" t="n">
        <v>12491</v>
      </c>
      <c r="H4118" s="0" t="s">
        <v>43</v>
      </c>
      <c r="I4118" s="7" t="n">
        <f aca="false">IF(AND(LEFT(A4118,1)&lt;&gt;"C",D4118&gt;0,F4118&gt;0),1,0)</f>
        <v>1</v>
      </c>
      <c r="J4118" s="7" t="n">
        <f aca="false">IF(I4118=1,D4118*F4118,0)</f>
        <v>10</v>
      </c>
      <c r="K4118" s="7" t="n">
        <f aca="false">YEAR(E4118)*100+MONTH(E4118)</f>
        <v>201111</v>
      </c>
      <c r="L4118" s="7" t="n">
        <f aca="false">IF(AND(A4118&lt;&gt;A4117,LEFT(A4118,1)&lt;&gt;"C"),1,0)</f>
        <v>0</v>
      </c>
    </row>
    <row r="4119" customFormat="false" ht="15" hidden="false" customHeight="false" outlineLevel="0" collapsed="false">
      <c r="A4119" s="0" t="s">
        <v>2662</v>
      </c>
      <c r="B4119" s="0" t="s">
        <v>1044</v>
      </c>
      <c r="C4119" s="0" t="s">
        <v>1045</v>
      </c>
      <c r="D4119" s="0" t="n">
        <v>4</v>
      </c>
      <c r="E4119" s="6" t="n">
        <v>40848.5125</v>
      </c>
      <c r="F4119" s="0" t="n">
        <v>4.15</v>
      </c>
      <c r="G4119" s="0" t="n">
        <v>12491</v>
      </c>
      <c r="H4119" s="0" t="s">
        <v>43</v>
      </c>
      <c r="I4119" s="7" t="n">
        <f aca="false">IF(AND(LEFT(A4119,1)&lt;&gt;"C",D4119&gt;0,F4119&gt;0),1,0)</f>
        <v>1</v>
      </c>
      <c r="J4119" s="7" t="n">
        <f aca="false">IF(I4119=1,D4119*F4119,0)</f>
        <v>16.6</v>
      </c>
      <c r="K4119" s="7" t="n">
        <f aca="false">YEAR(E4119)*100+MONTH(E4119)</f>
        <v>201111</v>
      </c>
      <c r="L4119" s="7" t="n">
        <f aca="false">IF(AND(A4119&lt;&gt;A4118,LEFT(A4119,1)&lt;&gt;"C"),1,0)</f>
        <v>0</v>
      </c>
    </row>
    <row r="4120" customFormat="false" ht="15" hidden="false" customHeight="false" outlineLevel="0" collapsed="false">
      <c r="A4120" s="0" t="s">
        <v>2662</v>
      </c>
      <c r="B4120" s="0" t="s">
        <v>173</v>
      </c>
      <c r="C4120" s="0" t="s">
        <v>174</v>
      </c>
      <c r="D4120" s="0" t="n">
        <v>8</v>
      </c>
      <c r="E4120" s="6" t="n">
        <v>40848.5125</v>
      </c>
      <c r="F4120" s="0" t="n">
        <v>1.25</v>
      </c>
      <c r="G4120" s="0" t="n">
        <v>12491</v>
      </c>
      <c r="H4120" s="0" t="s">
        <v>43</v>
      </c>
      <c r="I4120" s="7" t="n">
        <f aca="false">IF(AND(LEFT(A4120,1)&lt;&gt;"C",D4120&gt;0,F4120&gt;0),1,0)</f>
        <v>1</v>
      </c>
      <c r="J4120" s="7" t="n">
        <f aca="false">IF(I4120=1,D4120*F4120,0)</f>
        <v>10</v>
      </c>
      <c r="K4120" s="7" t="n">
        <f aca="false">YEAR(E4120)*100+MONTH(E4120)</f>
        <v>201111</v>
      </c>
      <c r="L4120" s="7" t="n">
        <f aca="false">IF(AND(A4120&lt;&gt;A4119,LEFT(A4120,1)&lt;&gt;"C"),1,0)</f>
        <v>0</v>
      </c>
    </row>
    <row r="4121" customFormat="false" ht="15" hidden="false" customHeight="false" outlineLevel="0" collapsed="false">
      <c r="A4121" s="0" t="s">
        <v>2662</v>
      </c>
      <c r="B4121" s="0" t="s">
        <v>467</v>
      </c>
      <c r="C4121" s="0" t="s">
        <v>468</v>
      </c>
      <c r="D4121" s="0" t="n">
        <v>8</v>
      </c>
      <c r="E4121" s="6" t="n">
        <v>40848.5125</v>
      </c>
      <c r="F4121" s="0" t="n">
        <v>1.95</v>
      </c>
      <c r="G4121" s="0" t="n">
        <v>12491</v>
      </c>
      <c r="H4121" s="0" t="s">
        <v>43</v>
      </c>
      <c r="I4121" s="7" t="n">
        <f aca="false">IF(AND(LEFT(A4121,1)&lt;&gt;"C",D4121&gt;0,F4121&gt;0),1,0)</f>
        <v>1</v>
      </c>
      <c r="J4121" s="7" t="n">
        <f aca="false">IF(I4121=1,D4121*F4121,0)</f>
        <v>15.6</v>
      </c>
      <c r="K4121" s="7" t="n">
        <f aca="false">YEAR(E4121)*100+MONTH(E4121)</f>
        <v>201111</v>
      </c>
      <c r="L4121" s="7" t="n">
        <f aca="false">IF(AND(A4121&lt;&gt;A4120,LEFT(A4121,1)&lt;&gt;"C"),1,0)</f>
        <v>0</v>
      </c>
    </row>
    <row r="4122" customFormat="false" ht="15" hidden="false" customHeight="false" outlineLevel="0" collapsed="false">
      <c r="A4122" s="0" t="s">
        <v>2662</v>
      </c>
      <c r="B4122" s="0" t="s">
        <v>667</v>
      </c>
      <c r="C4122" s="0" t="s">
        <v>668</v>
      </c>
      <c r="D4122" s="0" t="n">
        <v>10</v>
      </c>
      <c r="E4122" s="6" t="n">
        <v>40848.5125</v>
      </c>
      <c r="F4122" s="0" t="n">
        <v>0.85</v>
      </c>
      <c r="G4122" s="0" t="n">
        <v>12491</v>
      </c>
      <c r="H4122" s="0" t="s">
        <v>43</v>
      </c>
      <c r="I4122" s="7" t="n">
        <f aca="false">IF(AND(LEFT(A4122,1)&lt;&gt;"C",D4122&gt;0,F4122&gt;0),1,0)</f>
        <v>1</v>
      </c>
      <c r="J4122" s="7" t="n">
        <f aca="false">IF(I4122=1,D4122*F4122,0)</f>
        <v>8.5</v>
      </c>
      <c r="K4122" s="7" t="n">
        <f aca="false">YEAR(E4122)*100+MONTH(E4122)</f>
        <v>201111</v>
      </c>
      <c r="L4122" s="7" t="n">
        <f aca="false">IF(AND(A4122&lt;&gt;A4121,LEFT(A4122,1)&lt;&gt;"C"),1,0)</f>
        <v>0</v>
      </c>
    </row>
    <row r="4123" customFormat="false" ht="15" hidden="false" customHeight="false" outlineLevel="0" collapsed="false">
      <c r="A4123" s="0" t="s">
        <v>2662</v>
      </c>
      <c r="B4123" s="0" t="s">
        <v>339</v>
      </c>
      <c r="C4123" s="0" t="s">
        <v>340</v>
      </c>
      <c r="D4123" s="0" t="n">
        <v>8</v>
      </c>
      <c r="E4123" s="6" t="n">
        <v>40848.5125</v>
      </c>
      <c r="F4123" s="0" t="n">
        <v>1.95</v>
      </c>
      <c r="G4123" s="0" t="n">
        <v>12491</v>
      </c>
      <c r="H4123" s="0" t="s">
        <v>43</v>
      </c>
      <c r="I4123" s="7" t="n">
        <f aca="false">IF(AND(LEFT(A4123,1)&lt;&gt;"C",D4123&gt;0,F4123&gt;0),1,0)</f>
        <v>1</v>
      </c>
      <c r="J4123" s="7" t="n">
        <f aca="false">IF(I4123=1,D4123*F4123,0)</f>
        <v>15.6</v>
      </c>
      <c r="K4123" s="7" t="n">
        <f aca="false">YEAR(E4123)*100+MONTH(E4123)</f>
        <v>201111</v>
      </c>
      <c r="L4123" s="7" t="n">
        <f aca="false">IF(AND(A4123&lt;&gt;A4122,LEFT(A4123,1)&lt;&gt;"C"),1,0)</f>
        <v>0</v>
      </c>
    </row>
    <row r="4124" customFormat="false" ht="15" hidden="false" customHeight="false" outlineLevel="0" collapsed="false">
      <c r="A4124" s="0" t="s">
        <v>2662</v>
      </c>
      <c r="B4124" s="0" t="s">
        <v>1436</v>
      </c>
      <c r="C4124" s="0" t="s">
        <v>1437</v>
      </c>
      <c r="D4124" s="0" t="n">
        <v>3</v>
      </c>
      <c r="E4124" s="6" t="n">
        <v>40848.5125</v>
      </c>
      <c r="F4124" s="0" t="n">
        <v>4.95</v>
      </c>
      <c r="G4124" s="0" t="n">
        <v>12491</v>
      </c>
      <c r="H4124" s="0" t="s">
        <v>43</v>
      </c>
      <c r="I4124" s="7" t="n">
        <f aca="false">IF(AND(LEFT(A4124,1)&lt;&gt;"C",D4124&gt;0,F4124&gt;0),1,0)</f>
        <v>1</v>
      </c>
      <c r="J4124" s="7" t="n">
        <f aca="false">IF(I4124=1,D4124*F4124,0)</f>
        <v>14.85</v>
      </c>
      <c r="K4124" s="7" t="n">
        <f aca="false">YEAR(E4124)*100+MONTH(E4124)</f>
        <v>201111</v>
      </c>
      <c r="L4124" s="7" t="n">
        <f aca="false">IF(AND(A4124&lt;&gt;A4123,LEFT(A4124,1)&lt;&gt;"C"),1,0)</f>
        <v>0</v>
      </c>
    </row>
    <row r="4125" customFormat="false" ht="15" hidden="false" customHeight="false" outlineLevel="0" collapsed="false">
      <c r="A4125" s="0" t="s">
        <v>2662</v>
      </c>
      <c r="B4125" s="0" t="s">
        <v>1432</v>
      </c>
      <c r="C4125" s="0" t="s">
        <v>1433</v>
      </c>
      <c r="D4125" s="0" t="n">
        <v>6</v>
      </c>
      <c r="E4125" s="6" t="n">
        <v>40848.5125</v>
      </c>
      <c r="F4125" s="0" t="n">
        <v>2.95</v>
      </c>
      <c r="G4125" s="0" t="n">
        <v>12491</v>
      </c>
      <c r="H4125" s="0" t="s">
        <v>43</v>
      </c>
      <c r="I4125" s="7" t="n">
        <f aca="false">IF(AND(LEFT(A4125,1)&lt;&gt;"C",D4125&gt;0,F4125&gt;0),1,0)</f>
        <v>1</v>
      </c>
      <c r="J4125" s="7" t="n">
        <f aca="false">IF(I4125=1,D4125*F4125,0)</f>
        <v>17.7</v>
      </c>
      <c r="K4125" s="7" t="n">
        <f aca="false">YEAR(E4125)*100+MONTH(E4125)</f>
        <v>201111</v>
      </c>
      <c r="L4125" s="7" t="n">
        <f aca="false">IF(AND(A4125&lt;&gt;A4124,LEFT(A4125,1)&lt;&gt;"C"),1,0)</f>
        <v>0</v>
      </c>
    </row>
    <row r="4126" customFormat="false" ht="15" hidden="false" customHeight="false" outlineLevel="0" collapsed="false">
      <c r="A4126" s="0" t="s">
        <v>2662</v>
      </c>
      <c r="B4126" s="0" t="s">
        <v>2020</v>
      </c>
      <c r="C4126" s="0" t="s">
        <v>2021</v>
      </c>
      <c r="D4126" s="0" t="n">
        <v>3</v>
      </c>
      <c r="E4126" s="6" t="n">
        <v>40848.5125</v>
      </c>
      <c r="F4126" s="0" t="n">
        <v>8.95</v>
      </c>
      <c r="G4126" s="0" t="n">
        <v>12491</v>
      </c>
      <c r="H4126" s="0" t="s">
        <v>43</v>
      </c>
      <c r="I4126" s="7" t="n">
        <f aca="false">IF(AND(LEFT(A4126,1)&lt;&gt;"C",D4126&gt;0,F4126&gt;0),1,0)</f>
        <v>1</v>
      </c>
      <c r="J4126" s="7" t="n">
        <f aca="false">IF(I4126=1,D4126*F4126,0)</f>
        <v>26.85</v>
      </c>
      <c r="K4126" s="7" t="n">
        <f aca="false">YEAR(E4126)*100+MONTH(E4126)</f>
        <v>201111</v>
      </c>
      <c r="L4126" s="7" t="n">
        <f aca="false">IF(AND(A4126&lt;&gt;A4125,LEFT(A4126,1)&lt;&gt;"C"),1,0)</f>
        <v>0</v>
      </c>
    </row>
    <row r="4127" customFormat="false" ht="15" hidden="false" customHeight="false" outlineLevel="0" collapsed="false">
      <c r="A4127" s="0" t="s">
        <v>2662</v>
      </c>
      <c r="B4127" s="0" t="s">
        <v>171</v>
      </c>
      <c r="C4127" s="0" t="s">
        <v>172</v>
      </c>
      <c r="D4127" s="0" t="n">
        <v>8</v>
      </c>
      <c r="E4127" s="6" t="n">
        <v>40848.5125</v>
      </c>
      <c r="F4127" s="0" t="n">
        <v>1.25</v>
      </c>
      <c r="G4127" s="0" t="n">
        <v>12491</v>
      </c>
      <c r="H4127" s="0" t="s">
        <v>43</v>
      </c>
      <c r="I4127" s="7" t="n">
        <f aca="false">IF(AND(LEFT(A4127,1)&lt;&gt;"C",D4127&gt;0,F4127&gt;0),1,0)</f>
        <v>1</v>
      </c>
      <c r="J4127" s="7" t="n">
        <f aca="false">IF(I4127=1,D4127*F4127,0)</f>
        <v>10</v>
      </c>
      <c r="K4127" s="7" t="n">
        <f aca="false">YEAR(E4127)*100+MONTH(E4127)</f>
        <v>201111</v>
      </c>
      <c r="L4127" s="7" t="n">
        <f aca="false">IF(AND(A4127&lt;&gt;A4126,LEFT(A4127,1)&lt;&gt;"C"),1,0)</f>
        <v>0</v>
      </c>
    </row>
    <row r="4128" customFormat="false" ht="15" hidden="false" customHeight="false" outlineLevel="0" collapsed="false">
      <c r="A4128" s="0" t="s">
        <v>2662</v>
      </c>
      <c r="B4128" s="0" t="s">
        <v>1042</v>
      </c>
      <c r="C4128" s="0" t="s">
        <v>1043</v>
      </c>
      <c r="D4128" s="0" t="n">
        <v>4</v>
      </c>
      <c r="E4128" s="6" t="n">
        <v>40848.5125</v>
      </c>
      <c r="F4128" s="0" t="n">
        <v>4.15</v>
      </c>
      <c r="G4128" s="0" t="n">
        <v>12491</v>
      </c>
      <c r="H4128" s="0" t="s">
        <v>43</v>
      </c>
      <c r="I4128" s="7" t="n">
        <f aca="false">IF(AND(LEFT(A4128,1)&lt;&gt;"C",D4128&gt;0,F4128&gt;0),1,0)</f>
        <v>1</v>
      </c>
      <c r="J4128" s="7" t="n">
        <f aca="false">IF(I4128=1,D4128*F4128,0)</f>
        <v>16.6</v>
      </c>
      <c r="K4128" s="7" t="n">
        <f aca="false">YEAR(E4128)*100+MONTH(E4128)</f>
        <v>201111</v>
      </c>
      <c r="L4128" s="7" t="n">
        <f aca="false">IF(AND(A4128&lt;&gt;A4127,LEFT(A4128,1)&lt;&gt;"C"),1,0)</f>
        <v>0</v>
      </c>
    </row>
    <row r="4129" customFormat="false" ht="15" hidden="false" customHeight="false" outlineLevel="0" collapsed="false">
      <c r="A4129" s="0" t="s">
        <v>2662</v>
      </c>
      <c r="B4129" s="0" t="s">
        <v>1501</v>
      </c>
      <c r="C4129" s="0" t="s">
        <v>1502</v>
      </c>
      <c r="D4129" s="0" t="n">
        <v>16</v>
      </c>
      <c r="E4129" s="6" t="n">
        <v>40848.5125</v>
      </c>
      <c r="F4129" s="0" t="n">
        <v>0.65</v>
      </c>
      <c r="G4129" s="0" t="n">
        <v>12491</v>
      </c>
      <c r="H4129" s="0" t="s">
        <v>43</v>
      </c>
      <c r="I4129" s="7" t="n">
        <f aca="false">IF(AND(LEFT(A4129,1)&lt;&gt;"C",D4129&gt;0,F4129&gt;0),1,0)</f>
        <v>1</v>
      </c>
      <c r="J4129" s="7" t="n">
        <f aca="false">IF(I4129=1,D4129*F4129,0)</f>
        <v>10.4</v>
      </c>
      <c r="K4129" s="7" t="n">
        <f aca="false">YEAR(E4129)*100+MONTH(E4129)</f>
        <v>201111</v>
      </c>
      <c r="L4129" s="7" t="n">
        <f aca="false">IF(AND(A4129&lt;&gt;A4128,LEFT(A4129,1)&lt;&gt;"C"),1,0)</f>
        <v>0</v>
      </c>
    </row>
    <row r="4130" customFormat="false" ht="15" hidden="false" customHeight="false" outlineLevel="0" collapsed="false">
      <c r="A4130" s="0" t="s">
        <v>2662</v>
      </c>
      <c r="B4130" s="0" t="s">
        <v>1994</v>
      </c>
      <c r="C4130" s="0" t="s">
        <v>1995</v>
      </c>
      <c r="D4130" s="0" t="n">
        <v>3</v>
      </c>
      <c r="E4130" s="6" t="n">
        <v>40848.5125</v>
      </c>
      <c r="F4130" s="0" t="n">
        <v>5.95</v>
      </c>
      <c r="G4130" s="0" t="n">
        <v>12491</v>
      </c>
      <c r="H4130" s="0" t="s">
        <v>43</v>
      </c>
      <c r="I4130" s="7" t="n">
        <f aca="false">IF(AND(LEFT(A4130,1)&lt;&gt;"C",D4130&gt;0,F4130&gt;0),1,0)</f>
        <v>1</v>
      </c>
      <c r="J4130" s="7" t="n">
        <f aca="false">IF(I4130=1,D4130*F4130,0)</f>
        <v>17.85</v>
      </c>
      <c r="K4130" s="7" t="n">
        <f aca="false">YEAR(E4130)*100+MONTH(E4130)</f>
        <v>201111</v>
      </c>
      <c r="L4130" s="7" t="n">
        <f aca="false">IF(AND(A4130&lt;&gt;A4129,LEFT(A4130,1)&lt;&gt;"C"),1,0)</f>
        <v>0</v>
      </c>
    </row>
    <row r="4131" customFormat="false" ht="15" hidden="false" customHeight="false" outlineLevel="0" collapsed="false">
      <c r="A4131" s="0" t="s">
        <v>2662</v>
      </c>
      <c r="B4131" s="0" t="s">
        <v>2240</v>
      </c>
      <c r="C4131" s="0" t="s">
        <v>2241</v>
      </c>
      <c r="D4131" s="0" t="n">
        <v>3</v>
      </c>
      <c r="E4131" s="6" t="n">
        <v>40848.5125</v>
      </c>
      <c r="F4131" s="0" t="n">
        <v>4.95</v>
      </c>
      <c r="G4131" s="0" t="n">
        <v>12491</v>
      </c>
      <c r="H4131" s="0" t="s">
        <v>43</v>
      </c>
      <c r="I4131" s="7" t="n">
        <f aca="false">IF(AND(LEFT(A4131,1)&lt;&gt;"C",D4131&gt;0,F4131&gt;0),1,0)</f>
        <v>1</v>
      </c>
      <c r="J4131" s="7" t="n">
        <f aca="false">IF(I4131=1,D4131*F4131,0)</f>
        <v>14.85</v>
      </c>
      <c r="K4131" s="7" t="n">
        <f aca="false">YEAR(E4131)*100+MONTH(E4131)</f>
        <v>201111</v>
      </c>
      <c r="L4131" s="7" t="n">
        <f aca="false">IF(AND(A4131&lt;&gt;A4130,LEFT(A4131,1)&lt;&gt;"C"),1,0)</f>
        <v>0</v>
      </c>
    </row>
    <row r="4132" customFormat="false" ht="15" hidden="false" customHeight="false" outlineLevel="0" collapsed="false">
      <c r="A4132" s="0" t="s">
        <v>2662</v>
      </c>
      <c r="B4132" s="0" t="s">
        <v>84</v>
      </c>
      <c r="C4132" s="0" t="s">
        <v>85</v>
      </c>
      <c r="D4132" s="0" t="n">
        <v>2</v>
      </c>
      <c r="E4132" s="6" t="n">
        <v>40848.5125</v>
      </c>
      <c r="F4132" s="0" t="n">
        <v>18</v>
      </c>
      <c r="G4132" s="0" t="n">
        <v>12491</v>
      </c>
      <c r="H4132" s="0" t="s">
        <v>43</v>
      </c>
      <c r="I4132" s="7" t="n">
        <f aca="false">IF(AND(LEFT(A4132,1)&lt;&gt;"C",D4132&gt;0,F4132&gt;0),1,0)</f>
        <v>1</v>
      </c>
      <c r="J4132" s="7" t="n">
        <f aca="false">IF(I4132=1,D4132*F4132,0)</f>
        <v>36</v>
      </c>
      <c r="K4132" s="7" t="n">
        <f aca="false">YEAR(E4132)*100+MONTH(E4132)</f>
        <v>201111</v>
      </c>
      <c r="L4132" s="7" t="n">
        <f aca="false">IF(AND(A4132&lt;&gt;A4131,LEFT(A4132,1)&lt;&gt;"C"),1,0)</f>
        <v>0</v>
      </c>
    </row>
    <row r="4133" customFormat="false" ht="15" hidden="false" customHeight="false" outlineLevel="0" collapsed="false">
      <c r="A4133" s="0" t="s">
        <v>2662</v>
      </c>
      <c r="B4133" s="0" t="s">
        <v>1981</v>
      </c>
      <c r="C4133" s="0" t="s">
        <v>1982</v>
      </c>
      <c r="D4133" s="0" t="n">
        <v>72</v>
      </c>
      <c r="E4133" s="6" t="n">
        <v>40848.5125</v>
      </c>
      <c r="F4133" s="0" t="n">
        <v>0.65</v>
      </c>
      <c r="G4133" s="0" t="n">
        <v>12491</v>
      </c>
      <c r="H4133" s="0" t="s">
        <v>43</v>
      </c>
      <c r="I4133" s="7" t="n">
        <f aca="false">IF(AND(LEFT(A4133,1)&lt;&gt;"C",D4133&gt;0,F4133&gt;0),1,0)</f>
        <v>1</v>
      </c>
      <c r="J4133" s="7" t="n">
        <f aca="false">IF(I4133=1,D4133*F4133,0)</f>
        <v>46.8</v>
      </c>
      <c r="K4133" s="7" t="n">
        <f aca="false">YEAR(E4133)*100+MONTH(E4133)</f>
        <v>201111</v>
      </c>
      <c r="L4133" s="7" t="n">
        <f aca="false">IF(AND(A4133&lt;&gt;A4132,LEFT(A4133,1)&lt;&gt;"C"),1,0)</f>
        <v>0</v>
      </c>
    </row>
    <row r="4134" customFormat="false" ht="15" hidden="false" customHeight="false" outlineLevel="0" collapsed="false">
      <c r="A4134" s="0" t="s">
        <v>2663</v>
      </c>
      <c r="B4134" s="0" t="s">
        <v>2556</v>
      </c>
      <c r="C4134" s="0" t="s">
        <v>2557</v>
      </c>
      <c r="D4134" s="0" t="n">
        <v>-1</v>
      </c>
      <c r="E4134" s="6" t="n">
        <v>40848.5159722222</v>
      </c>
      <c r="F4134" s="0" t="n">
        <v>25</v>
      </c>
      <c r="G4134" s="0" t="n">
        <v>12523</v>
      </c>
      <c r="H4134" s="0" t="s">
        <v>43</v>
      </c>
      <c r="I4134" s="7" t="n">
        <f aca="false">IF(AND(LEFT(A4134,1)&lt;&gt;"C",D4134&gt;0,F4134&gt;0),1,0)</f>
        <v>0</v>
      </c>
      <c r="J4134" s="7" t="n">
        <f aca="false">IF(I4134=1,D4134*F4134,0)</f>
        <v>0</v>
      </c>
      <c r="K4134" s="7" t="n">
        <f aca="false">YEAR(E4134)*100+MONTH(E4134)</f>
        <v>201111</v>
      </c>
      <c r="L4134" s="7" t="n">
        <f aca="false">IF(AND(A4134&lt;&gt;A4133,LEFT(A4134,1)&lt;&gt;"C"),1,0)</f>
        <v>0</v>
      </c>
    </row>
    <row r="4135" customFormat="false" ht="15" hidden="false" customHeight="false" outlineLevel="0" collapsed="false">
      <c r="A4135" s="0" t="s">
        <v>2664</v>
      </c>
      <c r="B4135" s="0" t="s">
        <v>958</v>
      </c>
      <c r="C4135" s="0" t="s">
        <v>959</v>
      </c>
      <c r="D4135" s="0" t="n">
        <v>6</v>
      </c>
      <c r="E4135" s="6" t="n">
        <v>40848.5805555556</v>
      </c>
      <c r="F4135" s="0" t="n">
        <v>5.95</v>
      </c>
      <c r="G4135" s="0" t="n">
        <v>12682</v>
      </c>
      <c r="H4135" s="0" t="s">
        <v>43</v>
      </c>
      <c r="I4135" s="7" t="n">
        <f aca="false">IF(AND(LEFT(A4135,1)&lt;&gt;"C",D4135&gt;0,F4135&gt;0),1,0)</f>
        <v>1</v>
      </c>
      <c r="J4135" s="7" t="n">
        <f aca="false">IF(I4135=1,D4135*F4135,0)</f>
        <v>35.7</v>
      </c>
      <c r="K4135" s="7" t="n">
        <f aca="false">YEAR(E4135)*100+MONTH(E4135)</f>
        <v>201111</v>
      </c>
      <c r="L4135" s="7" t="n">
        <f aca="false">IF(AND(A4135&lt;&gt;A4134,LEFT(A4135,1)&lt;&gt;"C"),1,0)</f>
        <v>1</v>
      </c>
    </row>
    <row r="4136" customFormat="false" ht="15" hidden="false" customHeight="false" outlineLevel="0" collapsed="false">
      <c r="A4136" s="0" t="s">
        <v>2664</v>
      </c>
      <c r="B4136" s="0" t="s">
        <v>58</v>
      </c>
      <c r="C4136" s="0" t="s">
        <v>59</v>
      </c>
      <c r="D4136" s="0" t="n">
        <v>12</v>
      </c>
      <c r="E4136" s="6" t="n">
        <v>40848.5805555556</v>
      </c>
      <c r="F4136" s="0" t="n">
        <v>2.55</v>
      </c>
      <c r="G4136" s="0" t="n">
        <v>12682</v>
      </c>
      <c r="H4136" s="0" t="s">
        <v>43</v>
      </c>
      <c r="I4136" s="7" t="n">
        <f aca="false">IF(AND(LEFT(A4136,1)&lt;&gt;"C",D4136&gt;0,F4136&gt;0),1,0)</f>
        <v>1</v>
      </c>
      <c r="J4136" s="7" t="n">
        <f aca="false">IF(I4136=1,D4136*F4136,0)</f>
        <v>30.6</v>
      </c>
      <c r="K4136" s="7" t="n">
        <f aca="false">YEAR(E4136)*100+MONTH(E4136)</f>
        <v>201111</v>
      </c>
      <c r="L4136" s="7" t="n">
        <f aca="false">IF(AND(A4136&lt;&gt;A4135,LEFT(A4136,1)&lt;&gt;"C"),1,0)</f>
        <v>0</v>
      </c>
    </row>
    <row r="4137" customFormat="false" ht="15" hidden="false" customHeight="false" outlineLevel="0" collapsed="false">
      <c r="A4137" s="0" t="s">
        <v>2664</v>
      </c>
      <c r="B4137" s="0" t="s">
        <v>537</v>
      </c>
      <c r="C4137" s="0" t="s">
        <v>538</v>
      </c>
      <c r="D4137" s="0" t="n">
        <v>6</v>
      </c>
      <c r="E4137" s="6" t="n">
        <v>40848.5805555556</v>
      </c>
      <c r="F4137" s="0" t="n">
        <v>4.15</v>
      </c>
      <c r="G4137" s="0" t="n">
        <v>12682</v>
      </c>
      <c r="H4137" s="0" t="s">
        <v>43</v>
      </c>
      <c r="I4137" s="7" t="n">
        <f aca="false">IF(AND(LEFT(A4137,1)&lt;&gt;"C",D4137&gt;0,F4137&gt;0),1,0)</f>
        <v>1</v>
      </c>
      <c r="J4137" s="7" t="n">
        <f aca="false">IF(I4137=1,D4137*F4137,0)</f>
        <v>24.9</v>
      </c>
      <c r="K4137" s="7" t="n">
        <f aca="false">YEAR(E4137)*100+MONTH(E4137)</f>
        <v>201111</v>
      </c>
      <c r="L4137" s="7" t="n">
        <f aca="false">IF(AND(A4137&lt;&gt;A4136,LEFT(A4137,1)&lt;&gt;"C"),1,0)</f>
        <v>0</v>
      </c>
    </row>
    <row r="4138" customFormat="false" ht="15" hidden="false" customHeight="false" outlineLevel="0" collapsed="false">
      <c r="A4138" s="0" t="s">
        <v>2664</v>
      </c>
      <c r="B4138" s="0" t="s">
        <v>837</v>
      </c>
      <c r="C4138" s="0" t="s">
        <v>838</v>
      </c>
      <c r="D4138" s="0" t="n">
        <v>6</v>
      </c>
      <c r="E4138" s="6" t="n">
        <v>40848.5805555556</v>
      </c>
      <c r="F4138" s="0" t="n">
        <v>4.15</v>
      </c>
      <c r="G4138" s="0" t="n">
        <v>12682</v>
      </c>
      <c r="H4138" s="0" t="s">
        <v>43</v>
      </c>
      <c r="I4138" s="7" t="n">
        <f aca="false">IF(AND(LEFT(A4138,1)&lt;&gt;"C",D4138&gt;0,F4138&gt;0),1,0)</f>
        <v>1</v>
      </c>
      <c r="J4138" s="7" t="n">
        <f aca="false">IF(I4138=1,D4138*F4138,0)</f>
        <v>24.9</v>
      </c>
      <c r="K4138" s="7" t="n">
        <f aca="false">YEAR(E4138)*100+MONTH(E4138)</f>
        <v>201111</v>
      </c>
      <c r="L4138" s="7" t="n">
        <f aca="false">IF(AND(A4138&lt;&gt;A4137,LEFT(A4138,1)&lt;&gt;"C"),1,0)</f>
        <v>0</v>
      </c>
    </row>
    <row r="4139" customFormat="false" ht="15" hidden="false" customHeight="false" outlineLevel="0" collapsed="false">
      <c r="A4139" s="0" t="s">
        <v>2664</v>
      </c>
      <c r="B4139" s="0" t="s">
        <v>2573</v>
      </c>
      <c r="C4139" s="0" t="s">
        <v>2574</v>
      </c>
      <c r="D4139" s="0" t="n">
        <v>4</v>
      </c>
      <c r="E4139" s="6" t="n">
        <v>40848.5805555556</v>
      </c>
      <c r="F4139" s="0" t="n">
        <v>3.75</v>
      </c>
      <c r="G4139" s="0" t="n">
        <v>12682</v>
      </c>
      <c r="H4139" s="0" t="s">
        <v>43</v>
      </c>
      <c r="I4139" s="7" t="n">
        <f aca="false">IF(AND(LEFT(A4139,1)&lt;&gt;"C",D4139&gt;0,F4139&gt;0),1,0)</f>
        <v>1</v>
      </c>
      <c r="J4139" s="7" t="n">
        <f aca="false">IF(I4139=1,D4139*F4139,0)</f>
        <v>15</v>
      </c>
      <c r="K4139" s="7" t="n">
        <f aca="false">YEAR(E4139)*100+MONTH(E4139)</f>
        <v>201111</v>
      </c>
      <c r="L4139" s="7" t="n">
        <f aca="false">IF(AND(A4139&lt;&gt;A4138,LEFT(A4139,1)&lt;&gt;"C"),1,0)</f>
        <v>0</v>
      </c>
    </row>
    <row r="4140" customFormat="false" ht="15" hidden="false" customHeight="false" outlineLevel="0" collapsed="false">
      <c r="A4140" s="0" t="s">
        <v>2664</v>
      </c>
      <c r="B4140" s="0" t="s">
        <v>2665</v>
      </c>
      <c r="C4140" s="0" t="s">
        <v>2666</v>
      </c>
      <c r="D4140" s="0" t="n">
        <v>24</v>
      </c>
      <c r="E4140" s="6" t="n">
        <v>40848.5805555556</v>
      </c>
      <c r="F4140" s="0" t="n">
        <v>0.42</v>
      </c>
      <c r="G4140" s="0" t="n">
        <v>12682</v>
      </c>
      <c r="H4140" s="0" t="s">
        <v>43</v>
      </c>
      <c r="I4140" s="7" t="n">
        <f aca="false">IF(AND(LEFT(A4140,1)&lt;&gt;"C",D4140&gt;0,F4140&gt;0),1,0)</f>
        <v>1</v>
      </c>
      <c r="J4140" s="7" t="n">
        <f aca="false">IF(I4140=1,D4140*F4140,0)</f>
        <v>10.08</v>
      </c>
      <c r="K4140" s="7" t="n">
        <f aca="false">YEAR(E4140)*100+MONTH(E4140)</f>
        <v>201111</v>
      </c>
      <c r="L4140" s="7" t="n">
        <f aca="false">IF(AND(A4140&lt;&gt;A4139,LEFT(A4140,1)&lt;&gt;"C"),1,0)</f>
        <v>0</v>
      </c>
    </row>
    <row r="4141" customFormat="false" ht="15" hidden="false" customHeight="false" outlineLevel="0" collapsed="false">
      <c r="A4141" s="0" t="s">
        <v>2664</v>
      </c>
      <c r="B4141" s="0" t="s">
        <v>2667</v>
      </c>
      <c r="C4141" s="0" t="s">
        <v>2668</v>
      </c>
      <c r="D4141" s="0" t="n">
        <v>8</v>
      </c>
      <c r="E4141" s="6" t="n">
        <v>40848.5805555556</v>
      </c>
      <c r="F4141" s="0" t="n">
        <v>1.95</v>
      </c>
      <c r="G4141" s="0" t="n">
        <v>12682</v>
      </c>
      <c r="H4141" s="0" t="s">
        <v>43</v>
      </c>
      <c r="I4141" s="7" t="n">
        <f aca="false">IF(AND(LEFT(A4141,1)&lt;&gt;"C",D4141&gt;0,F4141&gt;0),1,0)</f>
        <v>1</v>
      </c>
      <c r="J4141" s="7" t="n">
        <f aca="false">IF(I4141=1,D4141*F4141,0)</f>
        <v>15.6</v>
      </c>
      <c r="K4141" s="7" t="n">
        <f aca="false">YEAR(E4141)*100+MONTH(E4141)</f>
        <v>201111</v>
      </c>
      <c r="L4141" s="7" t="n">
        <f aca="false">IF(AND(A4141&lt;&gt;A4140,LEFT(A4141,1)&lt;&gt;"C"),1,0)</f>
        <v>0</v>
      </c>
    </row>
    <row r="4142" customFormat="false" ht="15" hidden="false" customHeight="false" outlineLevel="0" collapsed="false">
      <c r="A4142" s="0" t="s">
        <v>2664</v>
      </c>
      <c r="B4142" s="0" t="s">
        <v>412</v>
      </c>
      <c r="C4142" s="0" t="s">
        <v>413</v>
      </c>
      <c r="D4142" s="0" t="n">
        <v>12</v>
      </c>
      <c r="E4142" s="6" t="n">
        <v>40848.5805555556</v>
      </c>
      <c r="F4142" s="0" t="n">
        <v>1.25</v>
      </c>
      <c r="G4142" s="0" t="n">
        <v>12682</v>
      </c>
      <c r="H4142" s="0" t="s">
        <v>43</v>
      </c>
      <c r="I4142" s="7" t="n">
        <f aca="false">IF(AND(LEFT(A4142,1)&lt;&gt;"C",D4142&gt;0,F4142&gt;0),1,0)</f>
        <v>1</v>
      </c>
      <c r="J4142" s="7" t="n">
        <f aca="false">IF(I4142=1,D4142*F4142,0)</f>
        <v>15</v>
      </c>
      <c r="K4142" s="7" t="n">
        <f aca="false">YEAR(E4142)*100+MONTH(E4142)</f>
        <v>201111</v>
      </c>
      <c r="L4142" s="7" t="n">
        <f aca="false">IF(AND(A4142&lt;&gt;A4141,LEFT(A4142,1)&lt;&gt;"C"),1,0)</f>
        <v>0</v>
      </c>
    </row>
    <row r="4143" customFormat="false" ht="15" hidden="false" customHeight="false" outlineLevel="0" collapsed="false">
      <c r="A4143" s="0" t="s">
        <v>2664</v>
      </c>
      <c r="B4143" s="0" t="s">
        <v>159</v>
      </c>
      <c r="C4143" s="0" t="s">
        <v>160</v>
      </c>
      <c r="D4143" s="0" t="n">
        <v>6</v>
      </c>
      <c r="E4143" s="6" t="n">
        <v>40848.5805555556</v>
      </c>
      <c r="F4143" s="0" t="n">
        <v>2.55</v>
      </c>
      <c r="G4143" s="0" t="n">
        <v>12682</v>
      </c>
      <c r="H4143" s="0" t="s">
        <v>43</v>
      </c>
      <c r="I4143" s="7" t="n">
        <f aca="false">IF(AND(LEFT(A4143,1)&lt;&gt;"C",D4143&gt;0,F4143&gt;0),1,0)</f>
        <v>1</v>
      </c>
      <c r="J4143" s="7" t="n">
        <f aca="false">IF(I4143=1,D4143*F4143,0)</f>
        <v>15.3</v>
      </c>
      <c r="K4143" s="7" t="n">
        <f aca="false">YEAR(E4143)*100+MONTH(E4143)</f>
        <v>201111</v>
      </c>
      <c r="L4143" s="7" t="n">
        <f aca="false">IF(AND(A4143&lt;&gt;A4142,LEFT(A4143,1)&lt;&gt;"C"),1,0)</f>
        <v>0</v>
      </c>
    </row>
    <row r="4144" customFormat="false" ht="15" hidden="false" customHeight="false" outlineLevel="0" collapsed="false">
      <c r="A4144" s="0" t="s">
        <v>2664</v>
      </c>
      <c r="B4144" s="0" t="s">
        <v>1991</v>
      </c>
      <c r="C4144" s="0" t="s">
        <v>1992</v>
      </c>
      <c r="D4144" s="0" t="n">
        <v>6</v>
      </c>
      <c r="E4144" s="6" t="n">
        <v>40848.5805555556</v>
      </c>
      <c r="F4144" s="0" t="n">
        <v>1.65</v>
      </c>
      <c r="G4144" s="0" t="n">
        <v>12682</v>
      </c>
      <c r="H4144" s="0" t="s">
        <v>43</v>
      </c>
      <c r="I4144" s="7" t="n">
        <f aca="false">IF(AND(LEFT(A4144,1)&lt;&gt;"C",D4144&gt;0,F4144&gt;0),1,0)</f>
        <v>1</v>
      </c>
      <c r="J4144" s="7" t="n">
        <f aca="false">IF(I4144=1,D4144*F4144,0)</f>
        <v>9.9</v>
      </c>
      <c r="K4144" s="7" t="n">
        <f aca="false">YEAR(E4144)*100+MONTH(E4144)</f>
        <v>201111</v>
      </c>
      <c r="L4144" s="7" t="n">
        <f aca="false">IF(AND(A4144&lt;&gt;A4143,LEFT(A4144,1)&lt;&gt;"C"),1,0)</f>
        <v>0</v>
      </c>
    </row>
    <row r="4145" customFormat="false" ht="15" hidden="false" customHeight="false" outlineLevel="0" collapsed="false">
      <c r="A4145" s="0" t="s">
        <v>2664</v>
      </c>
      <c r="B4145" s="0" t="s">
        <v>471</v>
      </c>
      <c r="C4145" s="0" t="s">
        <v>472</v>
      </c>
      <c r="D4145" s="0" t="n">
        <v>12</v>
      </c>
      <c r="E4145" s="6" t="n">
        <v>40848.5805555556</v>
      </c>
      <c r="F4145" s="0" t="n">
        <v>1.65</v>
      </c>
      <c r="G4145" s="0" t="n">
        <v>12682</v>
      </c>
      <c r="H4145" s="0" t="s">
        <v>43</v>
      </c>
      <c r="I4145" s="7" t="n">
        <f aca="false">IF(AND(LEFT(A4145,1)&lt;&gt;"C",D4145&gt;0,F4145&gt;0),1,0)</f>
        <v>1</v>
      </c>
      <c r="J4145" s="7" t="n">
        <f aca="false">IF(I4145=1,D4145*F4145,0)</f>
        <v>19.8</v>
      </c>
      <c r="K4145" s="7" t="n">
        <f aca="false">YEAR(E4145)*100+MONTH(E4145)</f>
        <v>201111</v>
      </c>
      <c r="L4145" s="7" t="n">
        <f aca="false">IF(AND(A4145&lt;&gt;A4144,LEFT(A4145,1)&lt;&gt;"C"),1,0)</f>
        <v>0</v>
      </c>
    </row>
    <row r="4146" customFormat="false" ht="15" hidden="false" customHeight="false" outlineLevel="0" collapsed="false">
      <c r="A4146" s="0" t="s">
        <v>2664</v>
      </c>
      <c r="B4146" s="0" t="s">
        <v>335</v>
      </c>
      <c r="C4146" s="0" t="s">
        <v>336</v>
      </c>
      <c r="D4146" s="0" t="n">
        <v>12</v>
      </c>
      <c r="E4146" s="6" t="n">
        <v>40848.5805555556</v>
      </c>
      <c r="F4146" s="0" t="n">
        <v>1.65</v>
      </c>
      <c r="G4146" s="0" t="n">
        <v>12682</v>
      </c>
      <c r="H4146" s="0" t="s">
        <v>43</v>
      </c>
      <c r="I4146" s="7" t="n">
        <f aca="false">IF(AND(LEFT(A4146,1)&lt;&gt;"C",D4146&gt;0,F4146&gt;0),1,0)</f>
        <v>1</v>
      </c>
      <c r="J4146" s="7" t="n">
        <f aca="false">IF(I4146=1,D4146*F4146,0)</f>
        <v>19.8</v>
      </c>
      <c r="K4146" s="7" t="n">
        <f aca="false">YEAR(E4146)*100+MONTH(E4146)</f>
        <v>201111</v>
      </c>
      <c r="L4146" s="7" t="n">
        <f aca="false">IF(AND(A4146&lt;&gt;A4145,LEFT(A4146,1)&lt;&gt;"C"),1,0)</f>
        <v>0</v>
      </c>
    </row>
    <row r="4147" customFormat="false" ht="15" hidden="false" customHeight="false" outlineLevel="0" collapsed="false">
      <c r="A4147" s="0" t="s">
        <v>2664</v>
      </c>
      <c r="B4147" s="0" t="s">
        <v>70</v>
      </c>
      <c r="C4147" s="0" t="s">
        <v>71</v>
      </c>
      <c r="D4147" s="0" t="n">
        <v>10</v>
      </c>
      <c r="E4147" s="6" t="n">
        <v>40848.5805555556</v>
      </c>
      <c r="F4147" s="0" t="n">
        <v>1.65</v>
      </c>
      <c r="G4147" s="0" t="n">
        <v>12682</v>
      </c>
      <c r="H4147" s="0" t="s">
        <v>43</v>
      </c>
      <c r="I4147" s="7" t="n">
        <f aca="false">IF(AND(LEFT(A4147,1)&lt;&gt;"C",D4147&gt;0,F4147&gt;0),1,0)</f>
        <v>1</v>
      </c>
      <c r="J4147" s="7" t="n">
        <f aca="false">IF(I4147=1,D4147*F4147,0)</f>
        <v>16.5</v>
      </c>
      <c r="K4147" s="7" t="n">
        <f aca="false">YEAR(E4147)*100+MONTH(E4147)</f>
        <v>201111</v>
      </c>
      <c r="L4147" s="7" t="n">
        <f aca="false">IF(AND(A4147&lt;&gt;A4146,LEFT(A4147,1)&lt;&gt;"C"),1,0)</f>
        <v>0</v>
      </c>
    </row>
    <row r="4148" customFormat="false" ht="15" hidden="false" customHeight="false" outlineLevel="0" collapsed="false">
      <c r="A4148" s="0" t="s">
        <v>2664</v>
      </c>
      <c r="B4148" s="0" t="s">
        <v>62</v>
      </c>
      <c r="C4148" s="0" t="s">
        <v>63</v>
      </c>
      <c r="D4148" s="0" t="n">
        <v>216</v>
      </c>
      <c r="E4148" s="6" t="n">
        <v>40848.5805555556</v>
      </c>
      <c r="F4148" s="0" t="n">
        <v>1.79</v>
      </c>
      <c r="G4148" s="0" t="n">
        <v>12682</v>
      </c>
      <c r="H4148" s="0" t="s">
        <v>43</v>
      </c>
      <c r="I4148" s="7" t="n">
        <f aca="false">IF(AND(LEFT(A4148,1)&lt;&gt;"C",D4148&gt;0,F4148&gt;0),1,0)</f>
        <v>1</v>
      </c>
      <c r="J4148" s="7" t="n">
        <f aca="false">IF(I4148=1,D4148*F4148,0)</f>
        <v>386.64</v>
      </c>
      <c r="K4148" s="7" t="n">
        <f aca="false">YEAR(E4148)*100+MONTH(E4148)</f>
        <v>201111</v>
      </c>
      <c r="L4148" s="7" t="n">
        <f aca="false">IF(AND(A4148&lt;&gt;A4147,LEFT(A4148,1)&lt;&gt;"C"),1,0)</f>
        <v>0</v>
      </c>
    </row>
    <row r="4149" customFormat="false" ht="15" hidden="false" customHeight="false" outlineLevel="0" collapsed="false">
      <c r="A4149" s="0" t="s">
        <v>2664</v>
      </c>
      <c r="B4149" s="0" t="s">
        <v>78</v>
      </c>
      <c r="C4149" s="0" t="s">
        <v>79</v>
      </c>
      <c r="D4149" s="0" t="n">
        <v>10</v>
      </c>
      <c r="E4149" s="6" t="n">
        <v>40848.5805555556</v>
      </c>
      <c r="F4149" s="0" t="n">
        <v>1.65</v>
      </c>
      <c r="G4149" s="0" t="n">
        <v>12682</v>
      </c>
      <c r="H4149" s="0" t="s">
        <v>43</v>
      </c>
      <c r="I4149" s="7" t="n">
        <f aca="false">IF(AND(LEFT(A4149,1)&lt;&gt;"C",D4149&gt;0,F4149&gt;0),1,0)</f>
        <v>1</v>
      </c>
      <c r="J4149" s="7" t="n">
        <f aca="false">IF(I4149=1,D4149*F4149,0)</f>
        <v>16.5</v>
      </c>
      <c r="K4149" s="7" t="n">
        <f aca="false">YEAR(E4149)*100+MONTH(E4149)</f>
        <v>201111</v>
      </c>
      <c r="L4149" s="7" t="n">
        <f aca="false">IF(AND(A4149&lt;&gt;A4148,LEFT(A4149,1)&lt;&gt;"C"),1,0)</f>
        <v>0</v>
      </c>
    </row>
    <row r="4150" customFormat="false" ht="15" hidden="false" customHeight="false" outlineLevel="0" collapsed="false">
      <c r="A4150" s="0" t="s">
        <v>2664</v>
      </c>
      <c r="B4150" s="0" t="s">
        <v>1149</v>
      </c>
      <c r="C4150" s="0" t="s">
        <v>1150</v>
      </c>
      <c r="D4150" s="0" t="n">
        <v>6</v>
      </c>
      <c r="E4150" s="6" t="n">
        <v>40848.5805555556</v>
      </c>
      <c r="F4150" s="0" t="n">
        <v>5.95</v>
      </c>
      <c r="G4150" s="0" t="n">
        <v>12682</v>
      </c>
      <c r="H4150" s="0" t="s">
        <v>43</v>
      </c>
      <c r="I4150" s="7" t="n">
        <f aca="false">IF(AND(LEFT(A4150,1)&lt;&gt;"C",D4150&gt;0,F4150&gt;0),1,0)</f>
        <v>1</v>
      </c>
      <c r="J4150" s="7" t="n">
        <f aca="false">IF(I4150=1,D4150*F4150,0)</f>
        <v>35.7</v>
      </c>
      <c r="K4150" s="7" t="n">
        <f aca="false">YEAR(E4150)*100+MONTH(E4150)</f>
        <v>201111</v>
      </c>
      <c r="L4150" s="7" t="n">
        <f aca="false">IF(AND(A4150&lt;&gt;A4149,LEFT(A4150,1)&lt;&gt;"C"),1,0)</f>
        <v>0</v>
      </c>
    </row>
    <row r="4151" customFormat="false" ht="15" hidden="false" customHeight="false" outlineLevel="0" collapsed="false">
      <c r="A4151" s="0" t="s">
        <v>2664</v>
      </c>
      <c r="B4151" s="0" t="s">
        <v>82</v>
      </c>
      <c r="C4151" s="0" t="s">
        <v>83</v>
      </c>
      <c r="D4151" s="0" t="n">
        <v>3</v>
      </c>
      <c r="E4151" s="6" t="n">
        <v>40848.5805555556</v>
      </c>
      <c r="F4151" s="0" t="n">
        <v>5.95</v>
      </c>
      <c r="G4151" s="0" t="n">
        <v>12682</v>
      </c>
      <c r="H4151" s="0" t="s">
        <v>43</v>
      </c>
      <c r="I4151" s="7" t="n">
        <f aca="false">IF(AND(LEFT(A4151,1)&lt;&gt;"C",D4151&gt;0,F4151&gt;0),1,0)</f>
        <v>1</v>
      </c>
      <c r="J4151" s="7" t="n">
        <f aca="false">IF(I4151=1,D4151*F4151,0)</f>
        <v>17.85</v>
      </c>
      <c r="K4151" s="7" t="n">
        <f aca="false">YEAR(E4151)*100+MONTH(E4151)</f>
        <v>201111</v>
      </c>
      <c r="L4151" s="7" t="n">
        <f aca="false">IF(AND(A4151&lt;&gt;A4150,LEFT(A4151,1)&lt;&gt;"C"),1,0)</f>
        <v>0</v>
      </c>
    </row>
    <row r="4152" customFormat="false" ht="15" hidden="false" customHeight="false" outlineLevel="0" collapsed="false">
      <c r="A4152" s="0" t="s">
        <v>2664</v>
      </c>
      <c r="B4152" s="0" t="s">
        <v>606</v>
      </c>
      <c r="C4152" s="0" t="s">
        <v>607</v>
      </c>
      <c r="D4152" s="0" t="n">
        <v>12</v>
      </c>
      <c r="E4152" s="6" t="n">
        <v>40848.5805555556</v>
      </c>
      <c r="F4152" s="0" t="n">
        <v>0.42</v>
      </c>
      <c r="G4152" s="0" t="n">
        <v>12682</v>
      </c>
      <c r="H4152" s="0" t="s">
        <v>43</v>
      </c>
      <c r="I4152" s="7" t="n">
        <f aca="false">IF(AND(LEFT(A4152,1)&lt;&gt;"C",D4152&gt;0,F4152&gt;0),1,0)</f>
        <v>1</v>
      </c>
      <c r="J4152" s="7" t="n">
        <f aca="false">IF(I4152=1,D4152*F4152,0)</f>
        <v>5.04</v>
      </c>
      <c r="K4152" s="7" t="n">
        <f aca="false">YEAR(E4152)*100+MONTH(E4152)</f>
        <v>201111</v>
      </c>
      <c r="L4152" s="7" t="n">
        <f aca="false">IF(AND(A4152&lt;&gt;A4151,LEFT(A4152,1)&lt;&gt;"C"),1,0)</f>
        <v>0</v>
      </c>
    </row>
    <row r="4153" customFormat="false" ht="15" hidden="false" customHeight="false" outlineLevel="0" collapsed="false">
      <c r="A4153" s="0" t="s">
        <v>2664</v>
      </c>
      <c r="B4153" s="0" t="s">
        <v>503</v>
      </c>
      <c r="C4153" s="0" t="s">
        <v>504</v>
      </c>
      <c r="D4153" s="0" t="n">
        <v>25</v>
      </c>
      <c r="E4153" s="6" t="n">
        <v>40848.5805555556</v>
      </c>
      <c r="F4153" s="0" t="n">
        <v>0.42</v>
      </c>
      <c r="G4153" s="0" t="n">
        <v>12682</v>
      </c>
      <c r="H4153" s="0" t="s">
        <v>43</v>
      </c>
      <c r="I4153" s="7" t="n">
        <f aca="false">IF(AND(LEFT(A4153,1)&lt;&gt;"C",D4153&gt;0,F4153&gt;0),1,0)</f>
        <v>1</v>
      </c>
      <c r="J4153" s="7" t="n">
        <f aca="false">IF(I4153=1,D4153*F4153,0)</f>
        <v>10.5</v>
      </c>
      <c r="K4153" s="7" t="n">
        <f aca="false">YEAR(E4153)*100+MONTH(E4153)</f>
        <v>201111</v>
      </c>
      <c r="L4153" s="7" t="n">
        <f aca="false">IF(AND(A4153&lt;&gt;A4152,LEFT(A4153,1)&lt;&gt;"C"),1,0)</f>
        <v>0</v>
      </c>
    </row>
    <row r="4154" customFormat="false" ht="15" hidden="false" customHeight="false" outlineLevel="0" collapsed="false">
      <c r="A4154" s="0" t="s">
        <v>2664</v>
      </c>
      <c r="B4154" s="0" t="s">
        <v>247</v>
      </c>
      <c r="C4154" s="0" t="s">
        <v>248</v>
      </c>
      <c r="D4154" s="0" t="n">
        <v>25</v>
      </c>
      <c r="E4154" s="6" t="n">
        <v>40848.5805555556</v>
      </c>
      <c r="F4154" s="0" t="n">
        <v>0.42</v>
      </c>
      <c r="G4154" s="0" t="n">
        <v>12682</v>
      </c>
      <c r="H4154" s="0" t="s">
        <v>43</v>
      </c>
      <c r="I4154" s="7" t="n">
        <f aca="false">IF(AND(LEFT(A4154,1)&lt;&gt;"C",D4154&gt;0,F4154&gt;0),1,0)</f>
        <v>1</v>
      </c>
      <c r="J4154" s="7" t="n">
        <f aca="false">IF(I4154=1,D4154*F4154,0)</f>
        <v>10.5</v>
      </c>
      <c r="K4154" s="7" t="n">
        <f aca="false">YEAR(E4154)*100+MONTH(E4154)</f>
        <v>201111</v>
      </c>
      <c r="L4154" s="7" t="n">
        <f aca="false">IF(AND(A4154&lt;&gt;A4153,LEFT(A4154,1)&lt;&gt;"C"),1,0)</f>
        <v>0</v>
      </c>
    </row>
    <row r="4155" customFormat="false" ht="15" hidden="false" customHeight="false" outlineLevel="0" collapsed="false">
      <c r="A4155" s="0" t="s">
        <v>2664</v>
      </c>
      <c r="B4155" s="0" t="s">
        <v>84</v>
      </c>
      <c r="C4155" s="0" t="s">
        <v>85</v>
      </c>
      <c r="D4155" s="0" t="n">
        <v>5</v>
      </c>
      <c r="E4155" s="6" t="n">
        <v>40848.5805555556</v>
      </c>
      <c r="F4155" s="0" t="n">
        <v>18</v>
      </c>
      <c r="G4155" s="0" t="n">
        <v>12682</v>
      </c>
      <c r="H4155" s="0" t="s">
        <v>43</v>
      </c>
      <c r="I4155" s="7" t="n">
        <f aca="false">IF(AND(LEFT(A4155,1)&lt;&gt;"C",D4155&gt;0,F4155&gt;0),1,0)</f>
        <v>1</v>
      </c>
      <c r="J4155" s="7" t="n">
        <f aca="false">IF(I4155=1,D4155*F4155,0)</f>
        <v>90</v>
      </c>
      <c r="K4155" s="7" t="n">
        <f aca="false">YEAR(E4155)*100+MONTH(E4155)</f>
        <v>201111</v>
      </c>
      <c r="L4155" s="7" t="n">
        <f aca="false">IF(AND(A4155&lt;&gt;A4154,LEFT(A4155,1)&lt;&gt;"C"),1,0)</f>
        <v>0</v>
      </c>
    </row>
    <row r="4156" customFormat="false" ht="15" hidden="false" customHeight="false" outlineLevel="0" collapsed="false">
      <c r="A4156" s="0" t="s">
        <v>2669</v>
      </c>
      <c r="B4156" s="0" t="s">
        <v>1450</v>
      </c>
      <c r="C4156" s="0" t="s">
        <v>1451</v>
      </c>
      <c r="D4156" s="0" t="n">
        <v>-12</v>
      </c>
      <c r="E4156" s="6" t="n">
        <v>40849.5958333333</v>
      </c>
      <c r="F4156" s="0" t="n">
        <v>4.25</v>
      </c>
      <c r="G4156" s="0" t="n">
        <v>12474</v>
      </c>
      <c r="H4156" s="0" t="s">
        <v>33</v>
      </c>
      <c r="I4156" s="7" t="n">
        <f aca="false">IF(AND(LEFT(A4156,1)&lt;&gt;"C",D4156&gt;0,F4156&gt;0),1,0)</f>
        <v>0</v>
      </c>
      <c r="J4156" s="7" t="n">
        <f aca="false">IF(I4156=1,D4156*F4156,0)</f>
        <v>0</v>
      </c>
      <c r="K4156" s="7" t="n">
        <f aca="false">YEAR(E4156)*100+MONTH(E4156)</f>
        <v>201111</v>
      </c>
      <c r="L4156" s="7" t="n">
        <f aca="false">IF(AND(A4156&lt;&gt;A4155,LEFT(A4156,1)&lt;&gt;"C"),1,0)</f>
        <v>0</v>
      </c>
    </row>
    <row r="4157" customFormat="false" ht="15" hidden="false" customHeight="false" outlineLevel="0" collapsed="false">
      <c r="A4157" s="0" t="s">
        <v>2670</v>
      </c>
      <c r="B4157" s="0" t="s">
        <v>1146</v>
      </c>
      <c r="C4157" s="0" t="s">
        <v>1147</v>
      </c>
      <c r="D4157" s="0" t="n">
        <v>10</v>
      </c>
      <c r="E4157" s="6" t="n">
        <v>40849.61875</v>
      </c>
      <c r="F4157" s="0" t="n">
        <v>2.08</v>
      </c>
      <c r="G4157" s="0" t="n">
        <v>12490</v>
      </c>
      <c r="H4157" s="0" t="s">
        <v>43</v>
      </c>
      <c r="I4157" s="7" t="n">
        <f aca="false">IF(AND(LEFT(A4157,1)&lt;&gt;"C",D4157&gt;0,F4157&gt;0),1,0)</f>
        <v>1</v>
      </c>
      <c r="J4157" s="7" t="n">
        <f aca="false">IF(I4157=1,D4157*F4157,0)</f>
        <v>20.8</v>
      </c>
      <c r="K4157" s="7" t="n">
        <f aca="false">YEAR(E4157)*100+MONTH(E4157)</f>
        <v>201111</v>
      </c>
      <c r="L4157" s="7" t="n">
        <f aca="false">IF(AND(A4157&lt;&gt;A4156,LEFT(A4157,1)&lt;&gt;"C"),1,0)</f>
        <v>1</v>
      </c>
    </row>
    <row r="4158" customFormat="false" ht="15" hidden="false" customHeight="false" outlineLevel="0" collapsed="false">
      <c r="A4158" s="0" t="s">
        <v>2670</v>
      </c>
      <c r="B4158" s="0" t="s">
        <v>2671</v>
      </c>
      <c r="C4158" s="0" t="s">
        <v>2672</v>
      </c>
      <c r="D4158" s="0" t="n">
        <v>2</v>
      </c>
      <c r="E4158" s="6" t="n">
        <v>40849.61875</v>
      </c>
      <c r="F4158" s="0" t="n">
        <v>12.5</v>
      </c>
      <c r="G4158" s="0" t="n">
        <v>12490</v>
      </c>
      <c r="H4158" s="0" t="s">
        <v>43</v>
      </c>
      <c r="I4158" s="7" t="n">
        <f aca="false">IF(AND(LEFT(A4158,1)&lt;&gt;"C",D4158&gt;0,F4158&gt;0),1,0)</f>
        <v>1</v>
      </c>
      <c r="J4158" s="7" t="n">
        <f aca="false">IF(I4158=1,D4158*F4158,0)</f>
        <v>25</v>
      </c>
      <c r="K4158" s="7" t="n">
        <f aca="false">YEAR(E4158)*100+MONTH(E4158)</f>
        <v>201111</v>
      </c>
      <c r="L4158" s="7" t="n">
        <f aca="false">IF(AND(A4158&lt;&gt;A4157,LEFT(A4158,1)&lt;&gt;"C"),1,0)</f>
        <v>0</v>
      </c>
    </row>
    <row r="4159" customFormat="false" ht="15" hidden="false" customHeight="false" outlineLevel="0" collapsed="false">
      <c r="A4159" s="0" t="s">
        <v>2670</v>
      </c>
      <c r="B4159" s="0" t="s">
        <v>1027</v>
      </c>
      <c r="C4159" s="0" t="s">
        <v>1028</v>
      </c>
      <c r="D4159" s="0" t="n">
        <v>12</v>
      </c>
      <c r="E4159" s="6" t="n">
        <v>40849.61875</v>
      </c>
      <c r="F4159" s="0" t="n">
        <v>1.25</v>
      </c>
      <c r="G4159" s="0" t="n">
        <v>12490</v>
      </c>
      <c r="H4159" s="0" t="s">
        <v>43</v>
      </c>
      <c r="I4159" s="7" t="n">
        <f aca="false">IF(AND(LEFT(A4159,1)&lt;&gt;"C",D4159&gt;0,F4159&gt;0),1,0)</f>
        <v>1</v>
      </c>
      <c r="J4159" s="7" t="n">
        <f aca="false">IF(I4159=1,D4159*F4159,0)</f>
        <v>15</v>
      </c>
      <c r="K4159" s="7" t="n">
        <f aca="false">YEAR(E4159)*100+MONTH(E4159)</f>
        <v>201111</v>
      </c>
      <c r="L4159" s="7" t="n">
        <f aca="false">IF(AND(A4159&lt;&gt;A4158,LEFT(A4159,1)&lt;&gt;"C"),1,0)</f>
        <v>0</v>
      </c>
    </row>
    <row r="4160" customFormat="false" ht="15" hidden="false" customHeight="false" outlineLevel="0" collapsed="false">
      <c r="A4160" s="0" t="s">
        <v>2670</v>
      </c>
      <c r="B4160" s="0" t="s">
        <v>2583</v>
      </c>
      <c r="C4160" s="0" t="s">
        <v>2584</v>
      </c>
      <c r="D4160" s="0" t="n">
        <v>10</v>
      </c>
      <c r="E4160" s="6" t="n">
        <v>40849.61875</v>
      </c>
      <c r="F4160" s="0" t="n">
        <v>1.65</v>
      </c>
      <c r="G4160" s="0" t="n">
        <v>12490</v>
      </c>
      <c r="H4160" s="0" t="s">
        <v>43</v>
      </c>
      <c r="I4160" s="7" t="n">
        <f aca="false">IF(AND(LEFT(A4160,1)&lt;&gt;"C",D4160&gt;0,F4160&gt;0),1,0)</f>
        <v>1</v>
      </c>
      <c r="J4160" s="7" t="n">
        <f aca="false">IF(I4160=1,D4160*F4160,0)</f>
        <v>16.5</v>
      </c>
      <c r="K4160" s="7" t="n">
        <f aca="false">YEAR(E4160)*100+MONTH(E4160)</f>
        <v>201111</v>
      </c>
      <c r="L4160" s="7" t="n">
        <f aca="false">IF(AND(A4160&lt;&gt;A4159,LEFT(A4160,1)&lt;&gt;"C"),1,0)</f>
        <v>0</v>
      </c>
    </row>
    <row r="4161" customFormat="false" ht="15" hidden="false" customHeight="false" outlineLevel="0" collapsed="false">
      <c r="A4161" s="0" t="s">
        <v>2670</v>
      </c>
      <c r="B4161" s="0" t="s">
        <v>418</v>
      </c>
      <c r="C4161" s="0" t="s">
        <v>419</v>
      </c>
      <c r="D4161" s="0" t="n">
        <v>12</v>
      </c>
      <c r="E4161" s="6" t="n">
        <v>40849.61875</v>
      </c>
      <c r="F4161" s="0" t="n">
        <v>3.25</v>
      </c>
      <c r="G4161" s="0" t="n">
        <v>12490</v>
      </c>
      <c r="H4161" s="0" t="s">
        <v>43</v>
      </c>
      <c r="I4161" s="7" t="n">
        <f aca="false">IF(AND(LEFT(A4161,1)&lt;&gt;"C",D4161&gt;0,F4161&gt;0),1,0)</f>
        <v>1</v>
      </c>
      <c r="J4161" s="7" t="n">
        <f aca="false">IF(I4161=1,D4161*F4161,0)</f>
        <v>39</v>
      </c>
      <c r="K4161" s="7" t="n">
        <f aca="false">YEAR(E4161)*100+MONTH(E4161)</f>
        <v>201111</v>
      </c>
      <c r="L4161" s="7" t="n">
        <f aca="false">IF(AND(A4161&lt;&gt;A4160,LEFT(A4161,1)&lt;&gt;"C"),1,0)</f>
        <v>0</v>
      </c>
    </row>
    <row r="4162" customFormat="false" ht="15" hidden="false" customHeight="false" outlineLevel="0" collapsed="false">
      <c r="A4162" s="0" t="s">
        <v>2670</v>
      </c>
      <c r="B4162" s="0" t="s">
        <v>627</v>
      </c>
      <c r="C4162" s="0" t="s">
        <v>628</v>
      </c>
      <c r="D4162" s="0" t="n">
        <v>10</v>
      </c>
      <c r="E4162" s="6" t="n">
        <v>40849.61875</v>
      </c>
      <c r="F4162" s="0" t="n">
        <v>0.85</v>
      </c>
      <c r="G4162" s="0" t="n">
        <v>12490</v>
      </c>
      <c r="H4162" s="0" t="s">
        <v>43</v>
      </c>
      <c r="I4162" s="7" t="n">
        <f aca="false">IF(AND(LEFT(A4162,1)&lt;&gt;"C",D4162&gt;0,F4162&gt;0),1,0)</f>
        <v>1</v>
      </c>
      <c r="J4162" s="7" t="n">
        <f aca="false">IF(I4162=1,D4162*F4162,0)</f>
        <v>8.5</v>
      </c>
      <c r="K4162" s="7" t="n">
        <f aca="false">YEAR(E4162)*100+MONTH(E4162)</f>
        <v>201111</v>
      </c>
      <c r="L4162" s="7" t="n">
        <f aca="false">IF(AND(A4162&lt;&gt;A4161,LEFT(A4162,1)&lt;&gt;"C"),1,0)</f>
        <v>0</v>
      </c>
    </row>
    <row r="4163" customFormat="false" ht="15" hidden="false" customHeight="false" outlineLevel="0" collapsed="false">
      <c r="A4163" s="0" t="s">
        <v>2670</v>
      </c>
      <c r="B4163" s="0" t="s">
        <v>903</v>
      </c>
      <c r="C4163" s="0" t="s">
        <v>904</v>
      </c>
      <c r="D4163" s="0" t="n">
        <v>2</v>
      </c>
      <c r="E4163" s="6" t="n">
        <v>40849.61875</v>
      </c>
      <c r="F4163" s="0" t="n">
        <v>9.95</v>
      </c>
      <c r="G4163" s="0" t="n">
        <v>12490</v>
      </c>
      <c r="H4163" s="0" t="s">
        <v>43</v>
      </c>
      <c r="I4163" s="7" t="n">
        <f aca="false">IF(AND(LEFT(A4163,1)&lt;&gt;"C",D4163&gt;0,F4163&gt;0),1,0)</f>
        <v>1</v>
      </c>
      <c r="J4163" s="7" t="n">
        <f aca="false">IF(I4163=1,D4163*F4163,0)</f>
        <v>19.9</v>
      </c>
      <c r="K4163" s="7" t="n">
        <f aca="false">YEAR(E4163)*100+MONTH(E4163)</f>
        <v>201111</v>
      </c>
      <c r="L4163" s="7" t="n">
        <f aca="false">IF(AND(A4163&lt;&gt;A4162,LEFT(A4163,1)&lt;&gt;"C"),1,0)</f>
        <v>0</v>
      </c>
    </row>
    <row r="4164" customFormat="false" ht="15" hidden="false" customHeight="false" outlineLevel="0" collapsed="false">
      <c r="A4164" s="0" t="s">
        <v>2670</v>
      </c>
      <c r="B4164" s="0" t="s">
        <v>962</v>
      </c>
      <c r="C4164" s="0" t="s">
        <v>963</v>
      </c>
      <c r="D4164" s="0" t="n">
        <v>8</v>
      </c>
      <c r="E4164" s="6" t="n">
        <v>40849.61875</v>
      </c>
      <c r="F4164" s="0" t="n">
        <v>0.85</v>
      </c>
      <c r="G4164" s="0" t="n">
        <v>12490</v>
      </c>
      <c r="H4164" s="0" t="s">
        <v>43</v>
      </c>
      <c r="I4164" s="7" t="n">
        <f aca="false">IF(AND(LEFT(A4164,1)&lt;&gt;"C",D4164&gt;0,F4164&gt;0),1,0)</f>
        <v>1</v>
      </c>
      <c r="J4164" s="7" t="n">
        <f aca="false">IF(I4164=1,D4164*F4164,0)</f>
        <v>6.8</v>
      </c>
      <c r="K4164" s="7" t="n">
        <f aca="false">YEAR(E4164)*100+MONTH(E4164)</f>
        <v>201111</v>
      </c>
      <c r="L4164" s="7" t="n">
        <f aca="false">IF(AND(A4164&lt;&gt;A4163,LEFT(A4164,1)&lt;&gt;"C"),1,0)</f>
        <v>0</v>
      </c>
    </row>
    <row r="4165" customFormat="false" ht="15" hidden="false" customHeight="false" outlineLevel="0" collapsed="false">
      <c r="A4165" s="0" t="s">
        <v>2670</v>
      </c>
      <c r="B4165" s="0" t="s">
        <v>977</v>
      </c>
      <c r="C4165" s="0" t="s">
        <v>978</v>
      </c>
      <c r="D4165" s="0" t="n">
        <v>10</v>
      </c>
      <c r="E4165" s="6" t="n">
        <v>40849.61875</v>
      </c>
      <c r="F4165" s="0" t="n">
        <v>1.65</v>
      </c>
      <c r="G4165" s="0" t="n">
        <v>12490</v>
      </c>
      <c r="H4165" s="0" t="s">
        <v>43</v>
      </c>
      <c r="I4165" s="7" t="n">
        <f aca="false">IF(AND(LEFT(A4165,1)&lt;&gt;"C",D4165&gt;0,F4165&gt;0),1,0)</f>
        <v>1</v>
      </c>
      <c r="J4165" s="7" t="n">
        <f aca="false">IF(I4165=1,D4165*F4165,0)</f>
        <v>16.5</v>
      </c>
      <c r="K4165" s="7" t="n">
        <f aca="false">YEAR(E4165)*100+MONTH(E4165)</f>
        <v>201111</v>
      </c>
      <c r="L4165" s="7" t="n">
        <f aca="false">IF(AND(A4165&lt;&gt;A4164,LEFT(A4165,1)&lt;&gt;"C"),1,0)</f>
        <v>0</v>
      </c>
    </row>
    <row r="4166" customFormat="false" ht="15" hidden="false" customHeight="false" outlineLevel="0" collapsed="false">
      <c r="A4166" s="0" t="s">
        <v>2670</v>
      </c>
      <c r="B4166" s="0" t="s">
        <v>517</v>
      </c>
      <c r="C4166" s="0" t="s">
        <v>518</v>
      </c>
      <c r="D4166" s="0" t="n">
        <v>10</v>
      </c>
      <c r="E4166" s="6" t="n">
        <v>40849.61875</v>
      </c>
      <c r="F4166" s="0" t="n">
        <v>2.08</v>
      </c>
      <c r="G4166" s="0" t="n">
        <v>12490</v>
      </c>
      <c r="H4166" s="0" t="s">
        <v>43</v>
      </c>
      <c r="I4166" s="7" t="n">
        <f aca="false">IF(AND(LEFT(A4166,1)&lt;&gt;"C",D4166&gt;0,F4166&gt;0),1,0)</f>
        <v>1</v>
      </c>
      <c r="J4166" s="7" t="n">
        <f aca="false">IF(I4166=1,D4166*F4166,0)</f>
        <v>20.8</v>
      </c>
      <c r="K4166" s="7" t="n">
        <f aca="false">YEAR(E4166)*100+MONTH(E4166)</f>
        <v>201111</v>
      </c>
      <c r="L4166" s="7" t="n">
        <f aca="false">IF(AND(A4166&lt;&gt;A4165,LEFT(A4166,1)&lt;&gt;"C"),1,0)</f>
        <v>0</v>
      </c>
    </row>
    <row r="4167" customFormat="false" ht="15" hidden="false" customHeight="false" outlineLevel="0" collapsed="false">
      <c r="A4167" s="0" t="s">
        <v>2670</v>
      </c>
      <c r="B4167" s="0" t="s">
        <v>575</v>
      </c>
      <c r="C4167" s="0" t="s">
        <v>576</v>
      </c>
      <c r="D4167" s="0" t="n">
        <v>10</v>
      </c>
      <c r="E4167" s="6" t="n">
        <v>40849.61875</v>
      </c>
      <c r="F4167" s="0" t="n">
        <v>2.08</v>
      </c>
      <c r="G4167" s="0" t="n">
        <v>12490</v>
      </c>
      <c r="H4167" s="0" t="s">
        <v>43</v>
      </c>
      <c r="I4167" s="7" t="n">
        <f aca="false">IF(AND(LEFT(A4167,1)&lt;&gt;"C",D4167&gt;0,F4167&gt;0),1,0)</f>
        <v>1</v>
      </c>
      <c r="J4167" s="7" t="n">
        <f aca="false">IF(I4167=1,D4167*F4167,0)</f>
        <v>20.8</v>
      </c>
      <c r="K4167" s="7" t="n">
        <f aca="false">YEAR(E4167)*100+MONTH(E4167)</f>
        <v>201111</v>
      </c>
      <c r="L4167" s="7" t="n">
        <f aca="false">IF(AND(A4167&lt;&gt;A4166,LEFT(A4167,1)&lt;&gt;"C"),1,0)</f>
        <v>0</v>
      </c>
    </row>
    <row r="4168" customFormat="false" ht="15" hidden="false" customHeight="false" outlineLevel="0" collapsed="false">
      <c r="A4168" s="0" t="s">
        <v>2670</v>
      </c>
      <c r="B4168" s="0" t="s">
        <v>1386</v>
      </c>
      <c r="C4168" s="0" t="s">
        <v>1387</v>
      </c>
      <c r="D4168" s="0" t="n">
        <v>20</v>
      </c>
      <c r="E4168" s="6" t="n">
        <v>40849.61875</v>
      </c>
      <c r="F4168" s="0" t="n">
        <v>2.08</v>
      </c>
      <c r="G4168" s="0" t="n">
        <v>12490</v>
      </c>
      <c r="H4168" s="0" t="s">
        <v>43</v>
      </c>
      <c r="I4168" s="7" t="n">
        <f aca="false">IF(AND(LEFT(A4168,1)&lt;&gt;"C",D4168&gt;0,F4168&gt;0),1,0)</f>
        <v>1</v>
      </c>
      <c r="J4168" s="7" t="n">
        <f aca="false">IF(I4168=1,D4168*F4168,0)</f>
        <v>41.6</v>
      </c>
      <c r="K4168" s="7" t="n">
        <f aca="false">YEAR(E4168)*100+MONTH(E4168)</f>
        <v>201111</v>
      </c>
      <c r="L4168" s="7" t="n">
        <f aca="false">IF(AND(A4168&lt;&gt;A4167,LEFT(A4168,1)&lt;&gt;"C"),1,0)</f>
        <v>0</v>
      </c>
    </row>
    <row r="4169" customFormat="false" ht="15" hidden="false" customHeight="false" outlineLevel="0" collapsed="false">
      <c r="A4169" s="0" t="s">
        <v>2670</v>
      </c>
      <c r="B4169" s="0" t="s">
        <v>667</v>
      </c>
      <c r="C4169" s="0" t="s">
        <v>668</v>
      </c>
      <c r="D4169" s="0" t="n">
        <v>10</v>
      </c>
      <c r="E4169" s="6" t="n">
        <v>40849.61875</v>
      </c>
      <c r="F4169" s="0" t="n">
        <v>0.85</v>
      </c>
      <c r="G4169" s="0" t="n">
        <v>12490</v>
      </c>
      <c r="H4169" s="0" t="s">
        <v>43</v>
      </c>
      <c r="I4169" s="7" t="n">
        <f aca="false">IF(AND(LEFT(A4169,1)&lt;&gt;"C",D4169&gt;0,F4169&gt;0),1,0)</f>
        <v>1</v>
      </c>
      <c r="J4169" s="7" t="n">
        <f aca="false">IF(I4169=1,D4169*F4169,0)</f>
        <v>8.5</v>
      </c>
      <c r="K4169" s="7" t="n">
        <f aca="false">YEAR(E4169)*100+MONTH(E4169)</f>
        <v>201111</v>
      </c>
      <c r="L4169" s="7" t="n">
        <f aca="false">IF(AND(A4169&lt;&gt;A4168,LEFT(A4169,1)&lt;&gt;"C"),1,0)</f>
        <v>0</v>
      </c>
    </row>
    <row r="4170" customFormat="false" ht="15" hidden="false" customHeight="false" outlineLevel="0" collapsed="false">
      <c r="A4170" s="0" t="s">
        <v>2670</v>
      </c>
      <c r="B4170" s="0" t="s">
        <v>754</v>
      </c>
      <c r="C4170" s="0" t="s">
        <v>755</v>
      </c>
      <c r="D4170" s="0" t="n">
        <v>12</v>
      </c>
      <c r="E4170" s="6" t="n">
        <v>40849.61875</v>
      </c>
      <c r="F4170" s="0" t="n">
        <v>2.1</v>
      </c>
      <c r="G4170" s="0" t="n">
        <v>12490</v>
      </c>
      <c r="H4170" s="0" t="s">
        <v>43</v>
      </c>
      <c r="I4170" s="7" t="n">
        <f aca="false">IF(AND(LEFT(A4170,1)&lt;&gt;"C",D4170&gt;0,F4170&gt;0),1,0)</f>
        <v>1</v>
      </c>
      <c r="J4170" s="7" t="n">
        <f aca="false">IF(I4170=1,D4170*F4170,0)</f>
        <v>25.2</v>
      </c>
      <c r="K4170" s="7" t="n">
        <f aca="false">YEAR(E4170)*100+MONTH(E4170)</f>
        <v>201111</v>
      </c>
      <c r="L4170" s="7" t="n">
        <f aca="false">IF(AND(A4170&lt;&gt;A4169,LEFT(A4170,1)&lt;&gt;"C"),1,0)</f>
        <v>0</v>
      </c>
    </row>
    <row r="4171" customFormat="false" ht="15" hidden="false" customHeight="false" outlineLevel="0" collapsed="false">
      <c r="A4171" s="0" t="s">
        <v>2670</v>
      </c>
      <c r="B4171" s="0" t="s">
        <v>1613</v>
      </c>
      <c r="C4171" s="0" t="s">
        <v>1614</v>
      </c>
      <c r="D4171" s="0" t="n">
        <v>20</v>
      </c>
      <c r="E4171" s="6" t="n">
        <v>40849.61875</v>
      </c>
      <c r="F4171" s="0" t="n">
        <v>0.42</v>
      </c>
      <c r="G4171" s="0" t="n">
        <v>12490</v>
      </c>
      <c r="H4171" s="0" t="s">
        <v>43</v>
      </c>
      <c r="I4171" s="7" t="n">
        <f aca="false">IF(AND(LEFT(A4171,1)&lt;&gt;"C",D4171&gt;0,F4171&gt;0),1,0)</f>
        <v>1</v>
      </c>
      <c r="J4171" s="7" t="n">
        <f aca="false">IF(I4171=1,D4171*F4171,0)</f>
        <v>8.4</v>
      </c>
      <c r="K4171" s="7" t="n">
        <f aca="false">YEAR(E4171)*100+MONTH(E4171)</f>
        <v>201111</v>
      </c>
      <c r="L4171" s="7" t="n">
        <f aca="false">IF(AND(A4171&lt;&gt;A4170,LEFT(A4171,1)&lt;&gt;"C"),1,0)</f>
        <v>0</v>
      </c>
    </row>
    <row r="4172" customFormat="false" ht="15" hidden="false" customHeight="false" outlineLevel="0" collapsed="false">
      <c r="A4172" s="0" t="s">
        <v>2670</v>
      </c>
      <c r="B4172" s="0" t="s">
        <v>610</v>
      </c>
      <c r="C4172" s="0" t="s">
        <v>611</v>
      </c>
      <c r="D4172" s="0" t="n">
        <v>6</v>
      </c>
      <c r="E4172" s="6" t="n">
        <v>40849.61875</v>
      </c>
      <c r="F4172" s="0" t="n">
        <v>2.95</v>
      </c>
      <c r="G4172" s="0" t="n">
        <v>12490</v>
      </c>
      <c r="H4172" s="0" t="s">
        <v>43</v>
      </c>
      <c r="I4172" s="7" t="n">
        <f aca="false">IF(AND(LEFT(A4172,1)&lt;&gt;"C",D4172&gt;0,F4172&gt;0),1,0)</f>
        <v>1</v>
      </c>
      <c r="J4172" s="7" t="n">
        <f aca="false">IF(I4172=1,D4172*F4172,0)</f>
        <v>17.7</v>
      </c>
      <c r="K4172" s="7" t="n">
        <f aca="false">YEAR(E4172)*100+MONTH(E4172)</f>
        <v>201111</v>
      </c>
      <c r="L4172" s="7" t="n">
        <f aca="false">IF(AND(A4172&lt;&gt;A4171,LEFT(A4172,1)&lt;&gt;"C"),1,0)</f>
        <v>0</v>
      </c>
    </row>
    <row r="4173" customFormat="false" ht="15" hidden="false" customHeight="false" outlineLevel="0" collapsed="false">
      <c r="A4173" s="0" t="s">
        <v>2670</v>
      </c>
      <c r="B4173" s="0" t="s">
        <v>659</v>
      </c>
      <c r="C4173" s="0" t="s">
        <v>660</v>
      </c>
      <c r="D4173" s="0" t="n">
        <v>6</v>
      </c>
      <c r="E4173" s="6" t="n">
        <v>40849.61875</v>
      </c>
      <c r="F4173" s="0" t="n">
        <v>4.15</v>
      </c>
      <c r="G4173" s="0" t="n">
        <v>12490</v>
      </c>
      <c r="H4173" s="0" t="s">
        <v>43</v>
      </c>
      <c r="I4173" s="7" t="n">
        <f aca="false">IF(AND(LEFT(A4173,1)&lt;&gt;"C",D4173&gt;0,F4173&gt;0),1,0)</f>
        <v>1</v>
      </c>
      <c r="J4173" s="7" t="n">
        <f aca="false">IF(I4173=1,D4173*F4173,0)</f>
        <v>24.9</v>
      </c>
      <c r="K4173" s="7" t="n">
        <f aca="false">YEAR(E4173)*100+MONTH(E4173)</f>
        <v>201111</v>
      </c>
      <c r="L4173" s="7" t="n">
        <f aca="false">IF(AND(A4173&lt;&gt;A4172,LEFT(A4173,1)&lt;&gt;"C"),1,0)</f>
        <v>0</v>
      </c>
    </row>
    <row r="4174" customFormat="false" ht="15" hidden="false" customHeight="false" outlineLevel="0" collapsed="false">
      <c r="A4174" s="0" t="s">
        <v>2670</v>
      </c>
      <c r="B4174" s="0" t="s">
        <v>1290</v>
      </c>
      <c r="C4174" s="0" t="s">
        <v>1291</v>
      </c>
      <c r="D4174" s="0" t="n">
        <v>12</v>
      </c>
      <c r="E4174" s="6" t="n">
        <v>40849.61875</v>
      </c>
      <c r="F4174" s="0" t="n">
        <v>3.25</v>
      </c>
      <c r="G4174" s="0" t="n">
        <v>12490</v>
      </c>
      <c r="H4174" s="0" t="s">
        <v>43</v>
      </c>
      <c r="I4174" s="7" t="n">
        <f aca="false">IF(AND(LEFT(A4174,1)&lt;&gt;"C",D4174&gt;0,F4174&gt;0),1,0)</f>
        <v>1</v>
      </c>
      <c r="J4174" s="7" t="n">
        <f aca="false">IF(I4174=1,D4174*F4174,0)</f>
        <v>39</v>
      </c>
      <c r="K4174" s="7" t="n">
        <f aca="false">YEAR(E4174)*100+MONTH(E4174)</f>
        <v>201111</v>
      </c>
      <c r="L4174" s="7" t="n">
        <f aca="false">IF(AND(A4174&lt;&gt;A4173,LEFT(A4174,1)&lt;&gt;"C"),1,0)</f>
        <v>0</v>
      </c>
    </row>
    <row r="4175" customFormat="false" ht="15" hidden="false" customHeight="false" outlineLevel="0" collapsed="false">
      <c r="A4175" s="0" t="s">
        <v>2670</v>
      </c>
      <c r="B4175" s="0" t="s">
        <v>62</v>
      </c>
      <c r="C4175" s="0" t="s">
        <v>63</v>
      </c>
      <c r="D4175" s="0" t="n">
        <v>96</v>
      </c>
      <c r="E4175" s="6" t="n">
        <v>40849.61875</v>
      </c>
      <c r="F4175" s="0" t="n">
        <v>1.79</v>
      </c>
      <c r="G4175" s="0" t="n">
        <v>12490</v>
      </c>
      <c r="H4175" s="0" t="s">
        <v>43</v>
      </c>
      <c r="I4175" s="7" t="n">
        <f aca="false">IF(AND(LEFT(A4175,1)&lt;&gt;"C",D4175&gt;0,F4175&gt;0),1,0)</f>
        <v>1</v>
      </c>
      <c r="J4175" s="7" t="n">
        <f aca="false">IF(I4175=1,D4175*F4175,0)</f>
        <v>171.84</v>
      </c>
      <c r="K4175" s="7" t="n">
        <f aca="false">YEAR(E4175)*100+MONTH(E4175)</f>
        <v>201111</v>
      </c>
      <c r="L4175" s="7" t="n">
        <f aca="false">IF(AND(A4175&lt;&gt;A4174,LEFT(A4175,1)&lt;&gt;"C"),1,0)</f>
        <v>0</v>
      </c>
    </row>
    <row r="4176" customFormat="false" ht="15" hidden="false" customHeight="false" outlineLevel="0" collapsed="false">
      <c r="A4176" s="0" t="s">
        <v>2670</v>
      </c>
      <c r="B4176" s="0" t="s">
        <v>1120</v>
      </c>
      <c r="C4176" s="0" t="s">
        <v>1121</v>
      </c>
      <c r="D4176" s="0" t="n">
        <v>4</v>
      </c>
      <c r="E4176" s="6" t="n">
        <v>40849.61875</v>
      </c>
      <c r="F4176" s="0" t="n">
        <v>3.75</v>
      </c>
      <c r="G4176" s="0" t="n">
        <v>12490</v>
      </c>
      <c r="H4176" s="0" t="s">
        <v>43</v>
      </c>
      <c r="I4176" s="7" t="n">
        <f aca="false">IF(AND(LEFT(A4176,1)&lt;&gt;"C",D4176&gt;0,F4176&gt;0),1,0)</f>
        <v>1</v>
      </c>
      <c r="J4176" s="7" t="n">
        <f aca="false">IF(I4176=1,D4176*F4176,0)</f>
        <v>15</v>
      </c>
      <c r="K4176" s="7" t="n">
        <f aca="false">YEAR(E4176)*100+MONTH(E4176)</f>
        <v>201111</v>
      </c>
      <c r="L4176" s="7" t="n">
        <f aca="false">IF(AND(A4176&lt;&gt;A4175,LEFT(A4176,1)&lt;&gt;"C"),1,0)</f>
        <v>0</v>
      </c>
    </row>
    <row r="4177" customFormat="false" ht="15" hidden="false" customHeight="false" outlineLevel="0" collapsed="false">
      <c r="A4177" s="0" t="s">
        <v>2670</v>
      </c>
      <c r="B4177" s="0" t="s">
        <v>84</v>
      </c>
      <c r="C4177" s="0" t="s">
        <v>85</v>
      </c>
      <c r="D4177" s="0" t="n">
        <v>3</v>
      </c>
      <c r="E4177" s="6" t="n">
        <v>40849.61875</v>
      </c>
      <c r="F4177" s="0" t="n">
        <v>18</v>
      </c>
      <c r="G4177" s="0" t="n">
        <v>12490</v>
      </c>
      <c r="H4177" s="0" t="s">
        <v>43</v>
      </c>
      <c r="I4177" s="7" t="n">
        <f aca="false">IF(AND(LEFT(A4177,1)&lt;&gt;"C",D4177&gt;0,F4177&gt;0),1,0)</f>
        <v>1</v>
      </c>
      <c r="J4177" s="7" t="n">
        <f aca="false">IF(I4177=1,D4177*F4177,0)</f>
        <v>54</v>
      </c>
      <c r="K4177" s="7" t="n">
        <f aca="false">YEAR(E4177)*100+MONTH(E4177)</f>
        <v>201111</v>
      </c>
      <c r="L4177" s="7" t="n">
        <f aca="false">IF(AND(A4177&lt;&gt;A4176,LEFT(A4177,1)&lt;&gt;"C"),1,0)</f>
        <v>0</v>
      </c>
    </row>
    <row r="4178" customFormat="false" ht="15" hidden="false" customHeight="false" outlineLevel="0" collapsed="false">
      <c r="A4178" s="0" t="s">
        <v>2670</v>
      </c>
      <c r="B4178" s="0" t="s">
        <v>1338</v>
      </c>
      <c r="C4178" s="0" t="s">
        <v>1339</v>
      </c>
      <c r="D4178" s="0" t="n">
        <v>6</v>
      </c>
      <c r="E4178" s="6" t="n">
        <v>40849.61875</v>
      </c>
      <c r="F4178" s="0" t="n">
        <v>2.95</v>
      </c>
      <c r="G4178" s="0" t="n">
        <v>12490</v>
      </c>
      <c r="H4178" s="0" t="s">
        <v>43</v>
      </c>
      <c r="I4178" s="7" t="n">
        <f aca="false">IF(AND(LEFT(A4178,1)&lt;&gt;"C",D4178&gt;0,F4178&gt;0),1,0)</f>
        <v>1</v>
      </c>
      <c r="J4178" s="7" t="n">
        <f aca="false">IF(I4178=1,D4178*F4178,0)</f>
        <v>17.7</v>
      </c>
      <c r="K4178" s="7" t="n">
        <f aca="false">YEAR(E4178)*100+MONTH(E4178)</f>
        <v>201111</v>
      </c>
      <c r="L4178" s="7" t="n">
        <f aca="false">IF(AND(A4178&lt;&gt;A4177,LEFT(A4178,1)&lt;&gt;"C"),1,0)</f>
        <v>0</v>
      </c>
    </row>
    <row r="4179" customFormat="false" ht="15" hidden="false" customHeight="false" outlineLevel="0" collapsed="false">
      <c r="A4179" s="0" t="s">
        <v>2673</v>
      </c>
      <c r="B4179" s="0" t="s">
        <v>31</v>
      </c>
      <c r="C4179" s="0" t="s">
        <v>32</v>
      </c>
      <c r="D4179" s="0" t="n">
        <v>2</v>
      </c>
      <c r="E4179" s="6" t="n">
        <v>40849.6229166667</v>
      </c>
      <c r="F4179" s="0" t="n">
        <v>8.95</v>
      </c>
      <c r="G4179" s="0" t="n">
        <v>12654</v>
      </c>
      <c r="H4179" s="0" t="s">
        <v>33</v>
      </c>
      <c r="I4179" s="7" t="n">
        <f aca="false">IF(AND(LEFT(A4179,1)&lt;&gt;"C",D4179&gt;0,F4179&gt;0),1,0)</f>
        <v>1</v>
      </c>
      <c r="J4179" s="7" t="n">
        <f aca="false">IF(I4179=1,D4179*F4179,0)</f>
        <v>17.9</v>
      </c>
      <c r="K4179" s="7" t="n">
        <f aca="false">YEAR(E4179)*100+MONTH(E4179)</f>
        <v>201111</v>
      </c>
      <c r="L4179" s="7" t="n">
        <f aca="false">IF(AND(A4179&lt;&gt;A4178,LEFT(A4179,1)&lt;&gt;"C"),1,0)</f>
        <v>1</v>
      </c>
    </row>
    <row r="4180" customFormat="false" ht="15" hidden="false" customHeight="false" outlineLevel="0" collapsed="false">
      <c r="A4180" s="0" t="s">
        <v>2673</v>
      </c>
      <c r="B4180" s="0" t="s">
        <v>2674</v>
      </c>
      <c r="C4180" s="0" t="s">
        <v>2675</v>
      </c>
      <c r="D4180" s="0" t="n">
        <v>12</v>
      </c>
      <c r="E4180" s="6" t="n">
        <v>40849.6229166667</v>
      </c>
      <c r="F4180" s="0" t="n">
        <v>2.1</v>
      </c>
      <c r="G4180" s="0" t="n">
        <v>12654</v>
      </c>
      <c r="H4180" s="0" t="s">
        <v>33</v>
      </c>
      <c r="I4180" s="7" t="n">
        <f aca="false">IF(AND(LEFT(A4180,1)&lt;&gt;"C",D4180&gt;0,F4180&gt;0),1,0)</f>
        <v>1</v>
      </c>
      <c r="J4180" s="7" t="n">
        <f aca="false">IF(I4180=1,D4180*F4180,0)</f>
        <v>25.2</v>
      </c>
      <c r="K4180" s="7" t="n">
        <f aca="false">YEAR(E4180)*100+MONTH(E4180)</f>
        <v>201111</v>
      </c>
      <c r="L4180" s="7" t="n">
        <f aca="false">IF(AND(A4180&lt;&gt;A4179,LEFT(A4180,1)&lt;&gt;"C"),1,0)</f>
        <v>0</v>
      </c>
    </row>
    <row r="4181" customFormat="false" ht="15" hidden="false" customHeight="false" outlineLevel="0" collapsed="false">
      <c r="A4181" s="0" t="s">
        <v>2673</v>
      </c>
      <c r="B4181" s="0" t="s">
        <v>2443</v>
      </c>
      <c r="C4181" s="0" t="s">
        <v>2444</v>
      </c>
      <c r="D4181" s="0" t="n">
        <v>12</v>
      </c>
      <c r="E4181" s="6" t="n">
        <v>40849.6229166667</v>
      </c>
      <c r="F4181" s="0" t="n">
        <v>2.1</v>
      </c>
      <c r="G4181" s="0" t="n">
        <v>12654</v>
      </c>
      <c r="H4181" s="0" t="s">
        <v>33</v>
      </c>
      <c r="I4181" s="7" t="n">
        <f aca="false">IF(AND(LEFT(A4181,1)&lt;&gt;"C",D4181&gt;0,F4181&gt;0),1,0)</f>
        <v>1</v>
      </c>
      <c r="J4181" s="7" t="n">
        <f aca="false">IF(I4181=1,D4181*F4181,0)</f>
        <v>25.2</v>
      </c>
      <c r="K4181" s="7" t="n">
        <f aca="false">YEAR(E4181)*100+MONTH(E4181)</f>
        <v>201111</v>
      </c>
      <c r="L4181" s="7" t="n">
        <f aca="false">IF(AND(A4181&lt;&gt;A4180,LEFT(A4181,1)&lt;&gt;"C"),1,0)</f>
        <v>0</v>
      </c>
    </row>
    <row r="4182" customFormat="false" ht="15" hidden="false" customHeight="false" outlineLevel="0" collapsed="false">
      <c r="A4182" s="0" t="s">
        <v>2673</v>
      </c>
      <c r="B4182" s="0" t="s">
        <v>545</v>
      </c>
      <c r="C4182" s="0" t="s">
        <v>546</v>
      </c>
      <c r="D4182" s="0" t="n">
        <v>3</v>
      </c>
      <c r="E4182" s="6" t="n">
        <v>40849.6229166667</v>
      </c>
      <c r="F4182" s="0" t="n">
        <v>4.95</v>
      </c>
      <c r="G4182" s="0" t="n">
        <v>12654</v>
      </c>
      <c r="H4182" s="0" t="s">
        <v>33</v>
      </c>
      <c r="I4182" s="7" t="n">
        <f aca="false">IF(AND(LEFT(A4182,1)&lt;&gt;"C",D4182&gt;0,F4182&gt;0),1,0)</f>
        <v>1</v>
      </c>
      <c r="J4182" s="7" t="n">
        <f aca="false">IF(I4182=1,D4182*F4182,0)</f>
        <v>14.85</v>
      </c>
      <c r="K4182" s="7" t="n">
        <f aca="false">YEAR(E4182)*100+MONTH(E4182)</f>
        <v>201111</v>
      </c>
      <c r="L4182" s="7" t="n">
        <f aca="false">IF(AND(A4182&lt;&gt;A4181,LEFT(A4182,1)&lt;&gt;"C"),1,0)</f>
        <v>0</v>
      </c>
    </row>
    <row r="4183" customFormat="false" ht="15" hidden="false" customHeight="false" outlineLevel="0" collapsed="false">
      <c r="A4183" s="0" t="s">
        <v>2673</v>
      </c>
      <c r="B4183" s="0" t="s">
        <v>897</v>
      </c>
      <c r="C4183" s="0" t="s">
        <v>898</v>
      </c>
      <c r="D4183" s="0" t="n">
        <v>3</v>
      </c>
      <c r="E4183" s="6" t="n">
        <v>40849.6229166667</v>
      </c>
      <c r="F4183" s="0" t="n">
        <v>4.95</v>
      </c>
      <c r="G4183" s="0" t="n">
        <v>12654</v>
      </c>
      <c r="H4183" s="0" t="s">
        <v>33</v>
      </c>
      <c r="I4183" s="7" t="n">
        <f aca="false">IF(AND(LEFT(A4183,1)&lt;&gt;"C",D4183&gt;0,F4183&gt;0),1,0)</f>
        <v>1</v>
      </c>
      <c r="J4183" s="7" t="n">
        <f aca="false">IF(I4183=1,D4183*F4183,0)</f>
        <v>14.85</v>
      </c>
      <c r="K4183" s="7" t="n">
        <f aca="false">YEAR(E4183)*100+MONTH(E4183)</f>
        <v>201111</v>
      </c>
      <c r="L4183" s="7" t="n">
        <f aca="false">IF(AND(A4183&lt;&gt;A4182,LEFT(A4183,1)&lt;&gt;"C"),1,0)</f>
        <v>0</v>
      </c>
    </row>
    <row r="4184" customFormat="false" ht="15" hidden="false" customHeight="false" outlineLevel="0" collapsed="false">
      <c r="A4184" s="0" t="s">
        <v>2673</v>
      </c>
      <c r="B4184" s="0" t="s">
        <v>148</v>
      </c>
      <c r="C4184" s="0" t="s">
        <v>149</v>
      </c>
      <c r="D4184" s="0" t="n">
        <v>1</v>
      </c>
      <c r="E4184" s="6" t="n">
        <v>40849.6229166667</v>
      </c>
      <c r="F4184" s="0" t="n">
        <v>12.75</v>
      </c>
      <c r="G4184" s="0" t="n">
        <v>12654</v>
      </c>
      <c r="H4184" s="0" t="s">
        <v>33</v>
      </c>
      <c r="I4184" s="7" t="n">
        <f aca="false">IF(AND(LEFT(A4184,1)&lt;&gt;"C",D4184&gt;0,F4184&gt;0),1,0)</f>
        <v>1</v>
      </c>
      <c r="J4184" s="7" t="n">
        <f aca="false">IF(I4184=1,D4184*F4184,0)</f>
        <v>12.75</v>
      </c>
      <c r="K4184" s="7" t="n">
        <f aca="false">YEAR(E4184)*100+MONTH(E4184)</f>
        <v>201111</v>
      </c>
      <c r="L4184" s="7" t="n">
        <f aca="false">IF(AND(A4184&lt;&gt;A4183,LEFT(A4184,1)&lt;&gt;"C"),1,0)</f>
        <v>0</v>
      </c>
    </row>
    <row r="4185" customFormat="false" ht="15" hidden="false" customHeight="false" outlineLevel="0" collapsed="false">
      <c r="A4185" s="0" t="s">
        <v>2673</v>
      </c>
      <c r="B4185" s="0" t="s">
        <v>2676</v>
      </c>
      <c r="C4185" s="0" t="s">
        <v>2677</v>
      </c>
      <c r="D4185" s="0" t="n">
        <v>6</v>
      </c>
      <c r="E4185" s="6" t="n">
        <v>40849.6229166667</v>
      </c>
      <c r="F4185" s="0" t="n">
        <v>1.65</v>
      </c>
      <c r="G4185" s="0" t="n">
        <v>12654</v>
      </c>
      <c r="H4185" s="0" t="s">
        <v>33</v>
      </c>
      <c r="I4185" s="7" t="n">
        <f aca="false">IF(AND(LEFT(A4185,1)&lt;&gt;"C",D4185&gt;0,F4185&gt;0),1,0)</f>
        <v>1</v>
      </c>
      <c r="J4185" s="7" t="n">
        <f aca="false">IF(I4185=1,D4185*F4185,0)</f>
        <v>9.9</v>
      </c>
      <c r="K4185" s="7" t="n">
        <f aca="false">YEAR(E4185)*100+MONTH(E4185)</f>
        <v>201111</v>
      </c>
      <c r="L4185" s="7" t="n">
        <f aca="false">IF(AND(A4185&lt;&gt;A4184,LEFT(A4185,1)&lt;&gt;"C"),1,0)</f>
        <v>0</v>
      </c>
    </row>
    <row r="4186" customFormat="false" ht="15" hidden="false" customHeight="false" outlineLevel="0" collapsed="false">
      <c r="A4186" s="0" t="s">
        <v>2673</v>
      </c>
      <c r="B4186" s="0" t="s">
        <v>2397</v>
      </c>
      <c r="C4186" s="0" t="s">
        <v>2398</v>
      </c>
      <c r="D4186" s="0" t="n">
        <v>6</v>
      </c>
      <c r="E4186" s="6" t="n">
        <v>40849.6229166667</v>
      </c>
      <c r="F4186" s="0" t="n">
        <v>1.65</v>
      </c>
      <c r="G4186" s="0" t="n">
        <v>12654</v>
      </c>
      <c r="H4186" s="0" t="s">
        <v>33</v>
      </c>
      <c r="I4186" s="7" t="n">
        <f aca="false">IF(AND(LEFT(A4186,1)&lt;&gt;"C",D4186&gt;0,F4186&gt;0),1,0)</f>
        <v>1</v>
      </c>
      <c r="J4186" s="7" t="n">
        <f aca="false">IF(I4186=1,D4186*F4186,0)</f>
        <v>9.9</v>
      </c>
      <c r="K4186" s="7" t="n">
        <f aca="false">YEAR(E4186)*100+MONTH(E4186)</f>
        <v>201111</v>
      </c>
      <c r="L4186" s="7" t="n">
        <f aca="false">IF(AND(A4186&lt;&gt;A4185,LEFT(A4186,1)&lt;&gt;"C"),1,0)</f>
        <v>0</v>
      </c>
    </row>
    <row r="4187" customFormat="false" ht="15" hidden="false" customHeight="false" outlineLevel="0" collapsed="false">
      <c r="A4187" s="0" t="s">
        <v>2673</v>
      </c>
      <c r="B4187" s="0" t="s">
        <v>2638</v>
      </c>
      <c r="C4187" s="0" t="s">
        <v>2639</v>
      </c>
      <c r="D4187" s="0" t="n">
        <v>12</v>
      </c>
      <c r="E4187" s="6" t="n">
        <v>40849.6229166667</v>
      </c>
      <c r="F4187" s="0" t="n">
        <v>0.85</v>
      </c>
      <c r="G4187" s="0" t="n">
        <v>12654</v>
      </c>
      <c r="H4187" s="0" t="s">
        <v>33</v>
      </c>
      <c r="I4187" s="7" t="n">
        <f aca="false">IF(AND(LEFT(A4187,1)&lt;&gt;"C",D4187&gt;0,F4187&gt;0),1,0)</f>
        <v>1</v>
      </c>
      <c r="J4187" s="7" t="n">
        <f aca="false">IF(I4187=1,D4187*F4187,0)</f>
        <v>10.2</v>
      </c>
      <c r="K4187" s="7" t="n">
        <f aca="false">YEAR(E4187)*100+MONTH(E4187)</f>
        <v>201111</v>
      </c>
      <c r="L4187" s="7" t="n">
        <f aca="false">IF(AND(A4187&lt;&gt;A4186,LEFT(A4187,1)&lt;&gt;"C"),1,0)</f>
        <v>0</v>
      </c>
    </row>
    <row r="4188" customFormat="false" ht="15" hidden="false" customHeight="false" outlineLevel="0" collapsed="false">
      <c r="A4188" s="0" t="s">
        <v>2673</v>
      </c>
      <c r="B4188" s="0" t="s">
        <v>84</v>
      </c>
      <c r="C4188" s="0" t="s">
        <v>85</v>
      </c>
      <c r="D4188" s="0" t="n">
        <v>1</v>
      </c>
      <c r="E4188" s="6" t="n">
        <v>40849.6229166667</v>
      </c>
      <c r="F4188" s="0" t="n">
        <v>18</v>
      </c>
      <c r="G4188" s="0" t="n">
        <v>12654</v>
      </c>
      <c r="H4188" s="0" t="s">
        <v>33</v>
      </c>
      <c r="I4188" s="7" t="n">
        <f aca="false">IF(AND(LEFT(A4188,1)&lt;&gt;"C",D4188&gt;0,F4188&gt;0),1,0)</f>
        <v>1</v>
      </c>
      <c r="J4188" s="7" t="n">
        <f aca="false">IF(I4188=1,D4188*F4188,0)</f>
        <v>18</v>
      </c>
      <c r="K4188" s="7" t="n">
        <f aca="false">YEAR(E4188)*100+MONTH(E4188)</f>
        <v>201111</v>
      </c>
      <c r="L4188" s="7" t="n">
        <f aca="false">IF(AND(A4188&lt;&gt;A4187,LEFT(A4188,1)&lt;&gt;"C"),1,0)</f>
        <v>0</v>
      </c>
    </row>
    <row r="4189" customFormat="false" ht="15" hidden="false" customHeight="false" outlineLevel="0" collapsed="false">
      <c r="A4189" s="0" t="s">
        <v>2673</v>
      </c>
      <c r="B4189" s="0" t="s">
        <v>62</v>
      </c>
      <c r="C4189" s="0" t="s">
        <v>63</v>
      </c>
      <c r="D4189" s="0" t="n">
        <v>6</v>
      </c>
      <c r="E4189" s="6" t="n">
        <v>40849.6229166667</v>
      </c>
      <c r="F4189" s="0" t="n">
        <v>2.08</v>
      </c>
      <c r="G4189" s="0" t="n">
        <v>12654</v>
      </c>
      <c r="H4189" s="0" t="s">
        <v>33</v>
      </c>
      <c r="I4189" s="7" t="n">
        <f aca="false">IF(AND(LEFT(A4189,1)&lt;&gt;"C",D4189&gt;0,F4189&gt;0),1,0)</f>
        <v>1</v>
      </c>
      <c r="J4189" s="7" t="n">
        <f aca="false">IF(I4189=1,D4189*F4189,0)</f>
        <v>12.48</v>
      </c>
      <c r="K4189" s="7" t="n">
        <f aca="false">YEAR(E4189)*100+MONTH(E4189)</f>
        <v>201111</v>
      </c>
      <c r="L4189" s="7" t="n">
        <f aca="false">IF(AND(A4189&lt;&gt;A4188,LEFT(A4189,1)&lt;&gt;"C"),1,0)</f>
        <v>0</v>
      </c>
    </row>
    <row r="4190" customFormat="false" ht="15" hidden="false" customHeight="false" outlineLevel="0" collapsed="false">
      <c r="A4190" s="0" t="s">
        <v>2678</v>
      </c>
      <c r="B4190" s="0" t="s">
        <v>125</v>
      </c>
      <c r="C4190" s="0" t="s">
        <v>126</v>
      </c>
      <c r="D4190" s="0" t="n">
        <v>24</v>
      </c>
      <c r="E4190" s="6" t="n">
        <v>40850.4048611111</v>
      </c>
      <c r="F4190" s="0" t="n">
        <v>1.25</v>
      </c>
      <c r="G4190" s="0" t="n">
        <v>12437</v>
      </c>
      <c r="H4190" s="0" t="s">
        <v>43</v>
      </c>
      <c r="I4190" s="7" t="n">
        <f aca="false">IF(AND(LEFT(A4190,1)&lt;&gt;"C",D4190&gt;0,F4190&gt;0),1,0)</f>
        <v>1</v>
      </c>
      <c r="J4190" s="7" t="n">
        <f aca="false">IF(I4190=1,D4190*F4190,0)</f>
        <v>30</v>
      </c>
      <c r="K4190" s="7" t="n">
        <f aca="false">YEAR(E4190)*100+MONTH(E4190)</f>
        <v>201111</v>
      </c>
      <c r="L4190" s="7" t="n">
        <f aca="false">IF(AND(A4190&lt;&gt;A4189,LEFT(A4190,1)&lt;&gt;"C"),1,0)</f>
        <v>1</v>
      </c>
    </row>
    <row r="4191" customFormat="false" ht="15" hidden="false" customHeight="false" outlineLevel="0" collapsed="false">
      <c r="A4191" s="0" t="s">
        <v>2678</v>
      </c>
      <c r="B4191" s="0" t="s">
        <v>616</v>
      </c>
      <c r="C4191" s="0" t="s">
        <v>617</v>
      </c>
      <c r="D4191" s="0" t="n">
        <v>24</v>
      </c>
      <c r="E4191" s="6" t="n">
        <v>40850.4048611111</v>
      </c>
      <c r="F4191" s="0" t="n">
        <v>1.25</v>
      </c>
      <c r="G4191" s="0" t="n">
        <v>12437</v>
      </c>
      <c r="H4191" s="0" t="s">
        <v>43</v>
      </c>
      <c r="I4191" s="7" t="n">
        <f aca="false">IF(AND(LEFT(A4191,1)&lt;&gt;"C",D4191&gt;0,F4191&gt;0),1,0)</f>
        <v>1</v>
      </c>
      <c r="J4191" s="7" t="n">
        <f aca="false">IF(I4191=1,D4191*F4191,0)</f>
        <v>30</v>
      </c>
      <c r="K4191" s="7" t="n">
        <f aca="false">YEAR(E4191)*100+MONTH(E4191)</f>
        <v>201111</v>
      </c>
      <c r="L4191" s="7" t="n">
        <f aca="false">IF(AND(A4191&lt;&gt;A4190,LEFT(A4191,1)&lt;&gt;"C"),1,0)</f>
        <v>0</v>
      </c>
    </row>
    <row r="4192" customFormat="false" ht="15" hidden="false" customHeight="false" outlineLevel="0" collapsed="false">
      <c r="A4192" s="0" t="s">
        <v>2678</v>
      </c>
      <c r="B4192" s="0" t="s">
        <v>586</v>
      </c>
      <c r="C4192" s="0" t="s">
        <v>587</v>
      </c>
      <c r="D4192" s="0" t="n">
        <v>24</v>
      </c>
      <c r="E4192" s="6" t="n">
        <v>40850.4048611111</v>
      </c>
      <c r="F4192" s="0" t="n">
        <v>1.25</v>
      </c>
      <c r="G4192" s="0" t="n">
        <v>12437</v>
      </c>
      <c r="H4192" s="0" t="s">
        <v>43</v>
      </c>
      <c r="I4192" s="7" t="n">
        <f aca="false">IF(AND(LEFT(A4192,1)&lt;&gt;"C",D4192&gt;0,F4192&gt;0),1,0)</f>
        <v>1</v>
      </c>
      <c r="J4192" s="7" t="n">
        <f aca="false">IF(I4192=1,D4192*F4192,0)</f>
        <v>30</v>
      </c>
      <c r="K4192" s="7" t="n">
        <f aca="false">YEAR(E4192)*100+MONTH(E4192)</f>
        <v>201111</v>
      </c>
      <c r="L4192" s="7" t="n">
        <f aca="false">IF(AND(A4192&lt;&gt;A4191,LEFT(A4192,1)&lt;&gt;"C"),1,0)</f>
        <v>0</v>
      </c>
    </row>
    <row r="4193" customFormat="false" ht="15" hidden="false" customHeight="false" outlineLevel="0" collapsed="false">
      <c r="A4193" s="0" t="s">
        <v>2678</v>
      </c>
      <c r="B4193" s="0" t="s">
        <v>1798</v>
      </c>
      <c r="C4193" s="0" t="s">
        <v>1799</v>
      </c>
      <c r="D4193" s="0" t="n">
        <v>12</v>
      </c>
      <c r="E4193" s="6" t="n">
        <v>40850.4048611111</v>
      </c>
      <c r="F4193" s="0" t="n">
        <v>1.25</v>
      </c>
      <c r="G4193" s="0" t="n">
        <v>12437</v>
      </c>
      <c r="H4193" s="0" t="s">
        <v>43</v>
      </c>
      <c r="I4193" s="7" t="n">
        <f aca="false">IF(AND(LEFT(A4193,1)&lt;&gt;"C",D4193&gt;0,F4193&gt;0),1,0)</f>
        <v>1</v>
      </c>
      <c r="J4193" s="7" t="n">
        <f aca="false">IF(I4193=1,D4193*F4193,0)</f>
        <v>15</v>
      </c>
      <c r="K4193" s="7" t="n">
        <f aca="false">YEAR(E4193)*100+MONTH(E4193)</f>
        <v>201111</v>
      </c>
      <c r="L4193" s="7" t="n">
        <f aca="false">IF(AND(A4193&lt;&gt;A4192,LEFT(A4193,1)&lt;&gt;"C"),1,0)</f>
        <v>0</v>
      </c>
    </row>
    <row r="4194" customFormat="false" ht="15" hidden="false" customHeight="false" outlineLevel="0" collapsed="false">
      <c r="A4194" s="0" t="s">
        <v>2678</v>
      </c>
      <c r="B4194" s="0" t="s">
        <v>1551</v>
      </c>
      <c r="C4194" s="0" t="s">
        <v>1552</v>
      </c>
      <c r="D4194" s="0" t="n">
        <v>24</v>
      </c>
      <c r="E4194" s="6" t="n">
        <v>40850.4048611111</v>
      </c>
      <c r="F4194" s="0" t="n">
        <v>0.42</v>
      </c>
      <c r="G4194" s="0" t="n">
        <v>12437</v>
      </c>
      <c r="H4194" s="0" t="s">
        <v>43</v>
      </c>
      <c r="I4194" s="7" t="n">
        <f aca="false">IF(AND(LEFT(A4194,1)&lt;&gt;"C",D4194&gt;0,F4194&gt;0),1,0)</f>
        <v>1</v>
      </c>
      <c r="J4194" s="7" t="n">
        <f aca="false">IF(I4194=1,D4194*F4194,0)</f>
        <v>10.08</v>
      </c>
      <c r="K4194" s="7" t="n">
        <f aca="false">YEAR(E4194)*100+MONTH(E4194)</f>
        <v>201111</v>
      </c>
      <c r="L4194" s="7" t="n">
        <f aca="false">IF(AND(A4194&lt;&gt;A4193,LEFT(A4194,1)&lt;&gt;"C"),1,0)</f>
        <v>0</v>
      </c>
    </row>
    <row r="4195" customFormat="false" ht="15" hidden="false" customHeight="false" outlineLevel="0" collapsed="false">
      <c r="A4195" s="0" t="s">
        <v>2678</v>
      </c>
      <c r="B4195" s="0" t="s">
        <v>119</v>
      </c>
      <c r="C4195" s="0" t="s">
        <v>120</v>
      </c>
      <c r="D4195" s="0" t="n">
        <v>24</v>
      </c>
      <c r="E4195" s="6" t="n">
        <v>40850.4048611111</v>
      </c>
      <c r="F4195" s="0" t="n">
        <v>0.42</v>
      </c>
      <c r="G4195" s="0" t="n">
        <v>12437</v>
      </c>
      <c r="H4195" s="0" t="s">
        <v>43</v>
      </c>
      <c r="I4195" s="7" t="n">
        <f aca="false">IF(AND(LEFT(A4195,1)&lt;&gt;"C",D4195&gt;0,F4195&gt;0),1,0)</f>
        <v>1</v>
      </c>
      <c r="J4195" s="7" t="n">
        <f aca="false">IF(I4195=1,D4195*F4195,0)</f>
        <v>10.08</v>
      </c>
      <c r="K4195" s="7" t="n">
        <f aca="false">YEAR(E4195)*100+MONTH(E4195)</f>
        <v>201111</v>
      </c>
      <c r="L4195" s="7" t="n">
        <f aca="false">IF(AND(A4195&lt;&gt;A4194,LEFT(A4195,1)&lt;&gt;"C"),1,0)</f>
        <v>0</v>
      </c>
    </row>
    <row r="4196" customFormat="false" ht="15" hidden="false" customHeight="false" outlineLevel="0" collapsed="false">
      <c r="A4196" s="0" t="s">
        <v>2678</v>
      </c>
      <c r="B4196" s="0" t="s">
        <v>2679</v>
      </c>
      <c r="C4196" s="0" t="s">
        <v>2680</v>
      </c>
      <c r="D4196" s="0" t="n">
        <v>6</v>
      </c>
      <c r="E4196" s="6" t="n">
        <v>40850.4048611111</v>
      </c>
      <c r="F4196" s="0" t="n">
        <v>2.95</v>
      </c>
      <c r="G4196" s="0" t="n">
        <v>12437</v>
      </c>
      <c r="H4196" s="0" t="s">
        <v>43</v>
      </c>
      <c r="I4196" s="7" t="n">
        <f aca="false">IF(AND(LEFT(A4196,1)&lt;&gt;"C",D4196&gt;0,F4196&gt;0),1,0)</f>
        <v>1</v>
      </c>
      <c r="J4196" s="7" t="n">
        <f aca="false">IF(I4196=1,D4196*F4196,0)</f>
        <v>17.7</v>
      </c>
      <c r="K4196" s="7" t="n">
        <f aca="false">YEAR(E4196)*100+MONTH(E4196)</f>
        <v>201111</v>
      </c>
      <c r="L4196" s="7" t="n">
        <f aca="false">IF(AND(A4196&lt;&gt;A4195,LEFT(A4196,1)&lt;&gt;"C"),1,0)</f>
        <v>0</v>
      </c>
    </row>
    <row r="4197" customFormat="false" ht="15" hidden="false" customHeight="false" outlineLevel="0" collapsed="false">
      <c r="A4197" s="0" t="s">
        <v>2678</v>
      </c>
      <c r="B4197" s="0" t="s">
        <v>2681</v>
      </c>
      <c r="C4197" s="0" t="s">
        <v>2682</v>
      </c>
      <c r="D4197" s="0" t="n">
        <v>6</v>
      </c>
      <c r="E4197" s="6" t="n">
        <v>40850.4048611111</v>
      </c>
      <c r="F4197" s="0" t="n">
        <v>2.95</v>
      </c>
      <c r="G4197" s="0" t="n">
        <v>12437</v>
      </c>
      <c r="H4197" s="0" t="s">
        <v>43</v>
      </c>
      <c r="I4197" s="7" t="n">
        <f aca="false">IF(AND(LEFT(A4197,1)&lt;&gt;"C",D4197&gt;0,F4197&gt;0),1,0)</f>
        <v>1</v>
      </c>
      <c r="J4197" s="7" t="n">
        <f aca="false">IF(I4197=1,D4197*F4197,0)</f>
        <v>17.7</v>
      </c>
      <c r="K4197" s="7" t="n">
        <f aca="false">YEAR(E4197)*100+MONTH(E4197)</f>
        <v>201111</v>
      </c>
      <c r="L4197" s="7" t="n">
        <f aca="false">IF(AND(A4197&lt;&gt;A4196,LEFT(A4197,1)&lt;&gt;"C"),1,0)</f>
        <v>0</v>
      </c>
    </row>
    <row r="4198" customFormat="false" ht="15" hidden="false" customHeight="false" outlineLevel="0" collapsed="false">
      <c r="A4198" s="0" t="s">
        <v>2678</v>
      </c>
      <c r="B4198" s="0" t="s">
        <v>2683</v>
      </c>
      <c r="C4198" s="0" t="s">
        <v>2684</v>
      </c>
      <c r="D4198" s="0" t="n">
        <v>24</v>
      </c>
      <c r="E4198" s="6" t="n">
        <v>40850.4048611111</v>
      </c>
      <c r="F4198" s="0" t="n">
        <v>1.25</v>
      </c>
      <c r="G4198" s="0" t="n">
        <v>12437</v>
      </c>
      <c r="H4198" s="0" t="s">
        <v>43</v>
      </c>
      <c r="I4198" s="7" t="n">
        <f aca="false">IF(AND(LEFT(A4198,1)&lt;&gt;"C",D4198&gt;0,F4198&gt;0),1,0)</f>
        <v>1</v>
      </c>
      <c r="J4198" s="7" t="n">
        <f aca="false">IF(I4198=1,D4198*F4198,0)</f>
        <v>30</v>
      </c>
      <c r="K4198" s="7" t="n">
        <f aca="false">YEAR(E4198)*100+MONTH(E4198)</f>
        <v>201111</v>
      </c>
      <c r="L4198" s="7" t="n">
        <f aca="false">IF(AND(A4198&lt;&gt;A4197,LEFT(A4198,1)&lt;&gt;"C"),1,0)</f>
        <v>0</v>
      </c>
    </row>
    <row r="4199" customFormat="false" ht="15" hidden="false" customHeight="false" outlineLevel="0" collapsed="false">
      <c r="A4199" s="0" t="s">
        <v>2678</v>
      </c>
      <c r="B4199" s="0" t="s">
        <v>382</v>
      </c>
      <c r="C4199" s="0" t="s">
        <v>383</v>
      </c>
      <c r="D4199" s="0" t="n">
        <v>6</v>
      </c>
      <c r="E4199" s="6" t="n">
        <v>40850.4048611111</v>
      </c>
      <c r="F4199" s="0" t="n">
        <v>2.95</v>
      </c>
      <c r="G4199" s="0" t="n">
        <v>12437</v>
      </c>
      <c r="H4199" s="0" t="s">
        <v>43</v>
      </c>
      <c r="I4199" s="7" t="n">
        <f aca="false">IF(AND(LEFT(A4199,1)&lt;&gt;"C",D4199&gt;0,F4199&gt;0),1,0)</f>
        <v>1</v>
      </c>
      <c r="J4199" s="7" t="n">
        <f aca="false">IF(I4199=1,D4199*F4199,0)</f>
        <v>17.7</v>
      </c>
      <c r="K4199" s="7" t="n">
        <f aca="false">YEAR(E4199)*100+MONTH(E4199)</f>
        <v>201111</v>
      </c>
      <c r="L4199" s="7" t="n">
        <f aca="false">IF(AND(A4199&lt;&gt;A4198,LEFT(A4199,1)&lt;&gt;"C"),1,0)</f>
        <v>0</v>
      </c>
    </row>
    <row r="4200" customFormat="false" ht="15" hidden="false" customHeight="false" outlineLevel="0" collapsed="false">
      <c r="A4200" s="0" t="s">
        <v>2678</v>
      </c>
      <c r="B4200" s="0" t="s">
        <v>1338</v>
      </c>
      <c r="C4200" s="0" t="s">
        <v>1339</v>
      </c>
      <c r="D4200" s="0" t="n">
        <v>12</v>
      </c>
      <c r="E4200" s="6" t="n">
        <v>40850.4048611111</v>
      </c>
      <c r="F4200" s="0" t="n">
        <v>2.95</v>
      </c>
      <c r="G4200" s="0" t="n">
        <v>12437</v>
      </c>
      <c r="H4200" s="0" t="s">
        <v>43</v>
      </c>
      <c r="I4200" s="7" t="n">
        <f aca="false">IF(AND(LEFT(A4200,1)&lt;&gt;"C",D4200&gt;0,F4200&gt;0),1,0)</f>
        <v>1</v>
      </c>
      <c r="J4200" s="7" t="n">
        <f aca="false">IF(I4200=1,D4200*F4200,0)</f>
        <v>35.4</v>
      </c>
      <c r="K4200" s="7" t="n">
        <f aca="false">YEAR(E4200)*100+MONTH(E4200)</f>
        <v>201111</v>
      </c>
      <c r="L4200" s="7" t="n">
        <f aca="false">IF(AND(A4200&lt;&gt;A4199,LEFT(A4200,1)&lt;&gt;"C"),1,0)</f>
        <v>0</v>
      </c>
    </row>
    <row r="4201" customFormat="false" ht="15" hidden="false" customHeight="false" outlineLevel="0" collapsed="false">
      <c r="A4201" s="0" t="s">
        <v>2678</v>
      </c>
      <c r="B4201" s="0" t="s">
        <v>185</v>
      </c>
      <c r="C4201" s="0" t="s">
        <v>186</v>
      </c>
      <c r="D4201" s="0" t="n">
        <v>3</v>
      </c>
      <c r="E4201" s="6" t="n">
        <v>40850.4048611111</v>
      </c>
      <c r="F4201" s="0" t="n">
        <v>5.45</v>
      </c>
      <c r="G4201" s="0" t="n">
        <v>12437</v>
      </c>
      <c r="H4201" s="0" t="s">
        <v>43</v>
      </c>
      <c r="I4201" s="7" t="n">
        <f aca="false">IF(AND(LEFT(A4201,1)&lt;&gt;"C",D4201&gt;0,F4201&gt;0),1,0)</f>
        <v>1</v>
      </c>
      <c r="J4201" s="7" t="n">
        <f aca="false">IF(I4201=1,D4201*F4201,0)</f>
        <v>16.35</v>
      </c>
      <c r="K4201" s="7" t="n">
        <f aca="false">YEAR(E4201)*100+MONTH(E4201)</f>
        <v>201111</v>
      </c>
      <c r="L4201" s="7" t="n">
        <f aca="false">IF(AND(A4201&lt;&gt;A4200,LEFT(A4201,1)&lt;&gt;"C"),1,0)</f>
        <v>0</v>
      </c>
    </row>
    <row r="4202" customFormat="false" ht="15" hidden="false" customHeight="false" outlineLevel="0" collapsed="false">
      <c r="A4202" s="0" t="s">
        <v>2678</v>
      </c>
      <c r="B4202" s="0" t="s">
        <v>2685</v>
      </c>
      <c r="C4202" s="0" t="s">
        <v>2686</v>
      </c>
      <c r="D4202" s="0" t="n">
        <v>5</v>
      </c>
      <c r="E4202" s="6" t="n">
        <v>40850.4048611111</v>
      </c>
      <c r="F4202" s="0" t="n">
        <v>2.95</v>
      </c>
      <c r="G4202" s="0" t="n">
        <v>12437</v>
      </c>
      <c r="H4202" s="0" t="s">
        <v>43</v>
      </c>
      <c r="I4202" s="7" t="n">
        <f aca="false">IF(AND(LEFT(A4202,1)&lt;&gt;"C",D4202&gt;0,F4202&gt;0),1,0)</f>
        <v>1</v>
      </c>
      <c r="J4202" s="7" t="n">
        <f aca="false">IF(I4202=1,D4202*F4202,0)</f>
        <v>14.75</v>
      </c>
      <c r="K4202" s="7" t="n">
        <f aca="false">YEAR(E4202)*100+MONTH(E4202)</f>
        <v>201111</v>
      </c>
      <c r="L4202" s="7" t="n">
        <f aca="false">IF(AND(A4202&lt;&gt;A4201,LEFT(A4202,1)&lt;&gt;"C"),1,0)</f>
        <v>0</v>
      </c>
    </row>
    <row r="4203" customFormat="false" ht="15" hidden="false" customHeight="false" outlineLevel="0" collapsed="false">
      <c r="A4203" s="0" t="s">
        <v>2678</v>
      </c>
      <c r="B4203" s="0" t="s">
        <v>191</v>
      </c>
      <c r="C4203" s="0" t="s">
        <v>192</v>
      </c>
      <c r="D4203" s="0" t="n">
        <v>6</v>
      </c>
      <c r="E4203" s="6" t="n">
        <v>40850.4048611111</v>
      </c>
      <c r="F4203" s="0" t="n">
        <v>2.95</v>
      </c>
      <c r="G4203" s="0" t="n">
        <v>12437</v>
      </c>
      <c r="H4203" s="0" t="s">
        <v>43</v>
      </c>
      <c r="I4203" s="7" t="n">
        <f aca="false">IF(AND(LEFT(A4203,1)&lt;&gt;"C",D4203&gt;0,F4203&gt;0),1,0)</f>
        <v>1</v>
      </c>
      <c r="J4203" s="7" t="n">
        <f aca="false">IF(I4203=1,D4203*F4203,0)</f>
        <v>17.7</v>
      </c>
      <c r="K4203" s="7" t="n">
        <f aca="false">YEAR(E4203)*100+MONTH(E4203)</f>
        <v>201111</v>
      </c>
      <c r="L4203" s="7" t="n">
        <f aca="false">IF(AND(A4203&lt;&gt;A4202,LEFT(A4203,1)&lt;&gt;"C"),1,0)</f>
        <v>0</v>
      </c>
    </row>
    <row r="4204" customFormat="false" ht="15" hidden="false" customHeight="false" outlineLevel="0" collapsed="false">
      <c r="A4204" s="0" t="s">
        <v>2678</v>
      </c>
      <c r="B4204" s="0" t="s">
        <v>989</v>
      </c>
      <c r="C4204" s="0" t="s">
        <v>990</v>
      </c>
      <c r="D4204" s="0" t="n">
        <v>12</v>
      </c>
      <c r="E4204" s="6" t="n">
        <v>40850.4048611111</v>
      </c>
      <c r="F4204" s="0" t="n">
        <v>1.65</v>
      </c>
      <c r="G4204" s="0" t="n">
        <v>12437</v>
      </c>
      <c r="H4204" s="0" t="s">
        <v>43</v>
      </c>
      <c r="I4204" s="7" t="n">
        <f aca="false">IF(AND(LEFT(A4204,1)&lt;&gt;"C",D4204&gt;0,F4204&gt;0),1,0)</f>
        <v>1</v>
      </c>
      <c r="J4204" s="7" t="n">
        <f aca="false">IF(I4204=1,D4204*F4204,0)</f>
        <v>19.8</v>
      </c>
      <c r="K4204" s="7" t="n">
        <f aca="false">YEAR(E4204)*100+MONTH(E4204)</f>
        <v>201111</v>
      </c>
      <c r="L4204" s="7" t="n">
        <f aca="false">IF(AND(A4204&lt;&gt;A4203,LEFT(A4204,1)&lt;&gt;"C"),1,0)</f>
        <v>0</v>
      </c>
    </row>
    <row r="4205" customFormat="false" ht="15" hidden="false" customHeight="false" outlineLevel="0" collapsed="false">
      <c r="A4205" s="0" t="s">
        <v>2678</v>
      </c>
      <c r="B4205" s="0" t="s">
        <v>685</v>
      </c>
      <c r="C4205" s="0" t="s">
        <v>686</v>
      </c>
      <c r="D4205" s="0" t="n">
        <v>6</v>
      </c>
      <c r="E4205" s="6" t="n">
        <v>40850.4048611111</v>
      </c>
      <c r="F4205" s="0" t="n">
        <v>2.55</v>
      </c>
      <c r="G4205" s="0" t="n">
        <v>12437</v>
      </c>
      <c r="H4205" s="0" t="s">
        <v>43</v>
      </c>
      <c r="I4205" s="7" t="n">
        <f aca="false">IF(AND(LEFT(A4205,1)&lt;&gt;"C",D4205&gt;0,F4205&gt;0),1,0)</f>
        <v>1</v>
      </c>
      <c r="J4205" s="7" t="n">
        <f aca="false">IF(I4205=1,D4205*F4205,0)</f>
        <v>15.3</v>
      </c>
      <c r="K4205" s="7" t="n">
        <f aca="false">YEAR(E4205)*100+MONTH(E4205)</f>
        <v>201111</v>
      </c>
      <c r="L4205" s="7" t="n">
        <f aca="false">IF(AND(A4205&lt;&gt;A4204,LEFT(A4205,1)&lt;&gt;"C"),1,0)</f>
        <v>0</v>
      </c>
    </row>
    <row r="4206" customFormat="false" ht="15" hidden="false" customHeight="false" outlineLevel="0" collapsed="false">
      <c r="A4206" s="0" t="s">
        <v>2678</v>
      </c>
      <c r="B4206" s="0" t="s">
        <v>2687</v>
      </c>
      <c r="C4206" s="0" t="s">
        <v>2688</v>
      </c>
      <c r="D4206" s="0" t="n">
        <v>6</v>
      </c>
      <c r="E4206" s="6" t="n">
        <v>40850.4048611111</v>
      </c>
      <c r="F4206" s="0" t="n">
        <v>2.55</v>
      </c>
      <c r="G4206" s="0" t="n">
        <v>12437</v>
      </c>
      <c r="H4206" s="0" t="s">
        <v>43</v>
      </c>
      <c r="I4206" s="7" t="n">
        <f aca="false">IF(AND(LEFT(A4206,1)&lt;&gt;"C",D4206&gt;0,F4206&gt;0),1,0)</f>
        <v>1</v>
      </c>
      <c r="J4206" s="7" t="n">
        <f aca="false">IF(I4206=1,D4206*F4206,0)</f>
        <v>15.3</v>
      </c>
      <c r="K4206" s="7" t="n">
        <f aca="false">YEAR(E4206)*100+MONTH(E4206)</f>
        <v>201111</v>
      </c>
      <c r="L4206" s="7" t="n">
        <f aca="false">IF(AND(A4206&lt;&gt;A4205,LEFT(A4206,1)&lt;&gt;"C"),1,0)</f>
        <v>0</v>
      </c>
    </row>
    <row r="4207" customFormat="false" ht="15" hidden="false" customHeight="false" outlineLevel="0" collapsed="false">
      <c r="A4207" s="0" t="s">
        <v>2678</v>
      </c>
      <c r="B4207" s="0" t="s">
        <v>783</v>
      </c>
      <c r="C4207" s="0" t="s">
        <v>784</v>
      </c>
      <c r="D4207" s="0" t="n">
        <v>6</v>
      </c>
      <c r="E4207" s="6" t="n">
        <v>40850.4048611111</v>
      </c>
      <c r="F4207" s="0" t="n">
        <v>2.1</v>
      </c>
      <c r="G4207" s="0" t="n">
        <v>12437</v>
      </c>
      <c r="H4207" s="0" t="s">
        <v>43</v>
      </c>
      <c r="I4207" s="7" t="n">
        <f aca="false">IF(AND(LEFT(A4207,1)&lt;&gt;"C",D4207&gt;0,F4207&gt;0),1,0)</f>
        <v>1</v>
      </c>
      <c r="J4207" s="7" t="n">
        <f aca="false">IF(I4207=1,D4207*F4207,0)</f>
        <v>12.6</v>
      </c>
      <c r="K4207" s="7" t="n">
        <f aca="false">YEAR(E4207)*100+MONTH(E4207)</f>
        <v>201111</v>
      </c>
      <c r="L4207" s="7" t="n">
        <f aca="false">IF(AND(A4207&lt;&gt;A4206,LEFT(A4207,1)&lt;&gt;"C"),1,0)</f>
        <v>0</v>
      </c>
    </row>
    <row r="4208" customFormat="false" ht="15" hidden="false" customHeight="false" outlineLevel="0" collapsed="false">
      <c r="A4208" s="0" t="s">
        <v>2678</v>
      </c>
      <c r="B4208" s="0" t="s">
        <v>787</v>
      </c>
      <c r="C4208" s="0" t="s">
        <v>788</v>
      </c>
      <c r="D4208" s="0" t="n">
        <v>12</v>
      </c>
      <c r="E4208" s="6" t="n">
        <v>40850.4048611111</v>
      </c>
      <c r="F4208" s="0" t="n">
        <v>1.45</v>
      </c>
      <c r="G4208" s="0" t="n">
        <v>12437</v>
      </c>
      <c r="H4208" s="0" t="s">
        <v>43</v>
      </c>
      <c r="I4208" s="7" t="n">
        <f aca="false">IF(AND(LEFT(A4208,1)&lt;&gt;"C",D4208&gt;0,F4208&gt;0),1,0)</f>
        <v>1</v>
      </c>
      <c r="J4208" s="7" t="n">
        <f aca="false">IF(I4208=1,D4208*F4208,0)</f>
        <v>17.4</v>
      </c>
      <c r="K4208" s="7" t="n">
        <f aca="false">YEAR(E4208)*100+MONTH(E4208)</f>
        <v>201111</v>
      </c>
      <c r="L4208" s="7" t="n">
        <f aca="false">IF(AND(A4208&lt;&gt;A4207,LEFT(A4208,1)&lt;&gt;"C"),1,0)</f>
        <v>0</v>
      </c>
    </row>
    <row r="4209" customFormat="false" ht="15" hidden="false" customHeight="false" outlineLevel="0" collapsed="false">
      <c r="A4209" s="0" t="s">
        <v>2678</v>
      </c>
      <c r="B4209" s="0" t="s">
        <v>217</v>
      </c>
      <c r="C4209" s="0" t="s">
        <v>218</v>
      </c>
      <c r="D4209" s="0" t="n">
        <v>24</v>
      </c>
      <c r="E4209" s="6" t="n">
        <v>40850.4048611111</v>
      </c>
      <c r="F4209" s="0" t="n">
        <v>0.55</v>
      </c>
      <c r="G4209" s="0" t="n">
        <v>12437</v>
      </c>
      <c r="H4209" s="0" t="s">
        <v>43</v>
      </c>
      <c r="I4209" s="7" t="n">
        <f aca="false">IF(AND(LEFT(A4209,1)&lt;&gt;"C",D4209&gt;0,F4209&gt;0),1,0)</f>
        <v>1</v>
      </c>
      <c r="J4209" s="7" t="n">
        <f aca="false">IF(I4209=1,D4209*F4209,0)</f>
        <v>13.2</v>
      </c>
      <c r="K4209" s="7" t="n">
        <f aca="false">YEAR(E4209)*100+MONTH(E4209)</f>
        <v>201111</v>
      </c>
      <c r="L4209" s="7" t="n">
        <f aca="false">IF(AND(A4209&lt;&gt;A4208,LEFT(A4209,1)&lt;&gt;"C"),1,0)</f>
        <v>0</v>
      </c>
    </row>
    <row r="4210" customFormat="false" ht="15" hidden="false" customHeight="false" outlineLevel="0" collapsed="false">
      <c r="A4210" s="0" t="s">
        <v>2678</v>
      </c>
      <c r="B4210" s="0" t="s">
        <v>1234</v>
      </c>
      <c r="C4210" s="0" t="s">
        <v>1235</v>
      </c>
      <c r="D4210" s="0" t="n">
        <v>24</v>
      </c>
      <c r="E4210" s="6" t="n">
        <v>40850.4048611111</v>
      </c>
      <c r="F4210" s="0" t="n">
        <v>0.55</v>
      </c>
      <c r="G4210" s="0" t="n">
        <v>12437</v>
      </c>
      <c r="H4210" s="0" t="s">
        <v>43</v>
      </c>
      <c r="I4210" s="7" t="n">
        <f aca="false">IF(AND(LEFT(A4210,1)&lt;&gt;"C",D4210&gt;0,F4210&gt;0),1,0)</f>
        <v>1</v>
      </c>
      <c r="J4210" s="7" t="n">
        <f aca="false">IF(I4210=1,D4210*F4210,0)</f>
        <v>13.2</v>
      </c>
      <c r="K4210" s="7" t="n">
        <f aca="false">YEAR(E4210)*100+MONTH(E4210)</f>
        <v>201111</v>
      </c>
      <c r="L4210" s="7" t="n">
        <f aca="false">IF(AND(A4210&lt;&gt;A4209,LEFT(A4210,1)&lt;&gt;"C"),1,0)</f>
        <v>0</v>
      </c>
    </row>
    <row r="4211" customFormat="false" ht="15" hidden="false" customHeight="false" outlineLevel="0" collapsed="false">
      <c r="A4211" s="0" t="s">
        <v>2678</v>
      </c>
      <c r="B4211" s="0" t="s">
        <v>771</v>
      </c>
      <c r="C4211" s="0" t="s">
        <v>772</v>
      </c>
      <c r="D4211" s="0" t="n">
        <v>48</v>
      </c>
      <c r="E4211" s="6" t="n">
        <v>40850.4048611111</v>
      </c>
      <c r="F4211" s="0" t="n">
        <v>0.55</v>
      </c>
      <c r="G4211" s="0" t="n">
        <v>12437</v>
      </c>
      <c r="H4211" s="0" t="s">
        <v>43</v>
      </c>
      <c r="I4211" s="7" t="n">
        <f aca="false">IF(AND(LEFT(A4211,1)&lt;&gt;"C",D4211&gt;0,F4211&gt;0),1,0)</f>
        <v>1</v>
      </c>
      <c r="J4211" s="7" t="n">
        <f aca="false">IF(I4211=1,D4211*F4211,0)</f>
        <v>26.4</v>
      </c>
      <c r="K4211" s="7" t="n">
        <f aca="false">YEAR(E4211)*100+MONTH(E4211)</f>
        <v>201111</v>
      </c>
      <c r="L4211" s="7" t="n">
        <f aca="false">IF(AND(A4211&lt;&gt;A4210,LEFT(A4211,1)&lt;&gt;"C"),1,0)</f>
        <v>0</v>
      </c>
    </row>
    <row r="4212" customFormat="false" ht="15" hidden="false" customHeight="false" outlineLevel="0" collapsed="false">
      <c r="A4212" s="0" t="s">
        <v>2678</v>
      </c>
      <c r="B4212" s="0" t="s">
        <v>219</v>
      </c>
      <c r="C4212" s="0" t="s">
        <v>220</v>
      </c>
      <c r="D4212" s="0" t="n">
        <v>24</v>
      </c>
      <c r="E4212" s="6" t="n">
        <v>40850.4048611111</v>
      </c>
      <c r="F4212" s="0" t="n">
        <v>0.55</v>
      </c>
      <c r="G4212" s="0" t="n">
        <v>12437</v>
      </c>
      <c r="H4212" s="0" t="s">
        <v>43</v>
      </c>
      <c r="I4212" s="7" t="n">
        <f aca="false">IF(AND(LEFT(A4212,1)&lt;&gt;"C",D4212&gt;0,F4212&gt;0),1,0)</f>
        <v>1</v>
      </c>
      <c r="J4212" s="7" t="n">
        <f aca="false">IF(I4212=1,D4212*F4212,0)</f>
        <v>13.2</v>
      </c>
      <c r="K4212" s="7" t="n">
        <f aca="false">YEAR(E4212)*100+MONTH(E4212)</f>
        <v>201111</v>
      </c>
      <c r="L4212" s="7" t="n">
        <f aca="false">IF(AND(A4212&lt;&gt;A4211,LEFT(A4212,1)&lt;&gt;"C"),1,0)</f>
        <v>0</v>
      </c>
    </row>
    <row r="4213" customFormat="false" ht="15" hidden="false" customHeight="false" outlineLevel="0" collapsed="false">
      <c r="A4213" s="0" t="s">
        <v>2678</v>
      </c>
      <c r="B4213" s="0" t="s">
        <v>721</v>
      </c>
      <c r="C4213" s="0" t="s">
        <v>722</v>
      </c>
      <c r="D4213" s="0" t="n">
        <v>6</v>
      </c>
      <c r="E4213" s="6" t="n">
        <v>40850.4048611111</v>
      </c>
      <c r="F4213" s="0" t="n">
        <v>2.1</v>
      </c>
      <c r="G4213" s="0" t="n">
        <v>12437</v>
      </c>
      <c r="H4213" s="0" t="s">
        <v>43</v>
      </c>
      <c r="I4213" s="7" t="n">
        <f aca="false">IF(AND(LEFT(A4213,1)&lt;&gt;"C",D4213&gt;0,F4213&gt;0),1,0)</f>
        <v>1</v>
      </c>
      <c r="J4213" s="7" t="n">
        <f aca="false">IF(I4213=1,D4213*F4213,0)</f>
        <v>12.6</v>
      </c>
      <c r="K4213" s="7" t="n">
        <f aca="false">YEAR(E4213)*100+MONTH(E4213)</f>
        <v>201111</v>
      </c>
      <c r="L4213" s="7" t="n">
        <f aca="false">IF(AND(A4213&lt;&gt;A4212,LEFT(A4213,1)&lt;&gt;"C"),1,0)</f>
        <v>0</v>
      </c>
    </row>
    <row r="4214" customFormat="false" ht="15" hidden="false" customHeight="false" outlineLevel="0" collapsed="false">
      <c r="A4214" s="0" t="s">
        <v>2678</v>
      </c>
      <c r="B4214" s="0" t="s">
        <v>773</v>
      </c>
      <c r="C4214" s="0" t="s">
        <v>774</v>
      </c>
      <c r="D4214" s="0" t="n">
        <v>24</v>
      </c>
      <c r="E4214" s="6" t="n">
        <v>40850.4048611111</v>
      </c>
      <c r="F4214" s="0" t="n">
        <v>0.55</v>
      </c>
      <c r="G4214" s="0" t="n">
        <v>12437</v>
      </c>
      <c r="H4214" s="0" t="s">
        <v>43</v>
      </c>
      <c r="I4214" s="7" t="n">
        <f aca="false">IF(AND(LEFT(A4214,1)&lt;&gt;"C",D4214&gt;0,F4214&gt;0),1,0)</f>
        <v>1</v>
      </c>
      <c r="J4214" s="7" t="n">
        <f aca="false">IF(I4214=1,D4214*F4214,0)</f>
        <v>13.2</v>
      </c>
      <c r="K4214" s="7" t="n">
        <f aca="false">YEAR(E4214)*100+MONTH(E4214)</f>
        <v>201111</v>
      </c>
      <c r="L4214" s="7" t="n">
        <f aca="false">IF(AND(A4214&lt;&gt;A4213,LEFT(A4214,1)&lt;&gt;"C"),1,0)</f>
        <v>0</v>
      </c>
    </row>
    <row r="4215" customFormat="false" ht="15" hidden="false" customHeight="false" outlineLevel="0" collapsed="false">
      <c r="A4215" s="0" t="s">
        <v>2678</v>
      </c>
      <c r="B4215" s="0" t="s">
        <v>109</v>
      </c>
      <c r="C4215" s="0" t="s">
        <v>110</v>
      </c>
      <c r="D4215" s="0" t="n">
        <v>8</v>
      </c>
      <c r="E4215" s="6" t="n">
        <v>40850.4048611111</v>
      </c>
      <c r="F4215" s="0" t="n">
        <v>0.83</v>
      </c>
      <c r="G4215" s="0" t="n">
        <v>12437</v>
      </c>
      <c r="H4215" s="0" t="s">
        <v>43</v>
      </c>
      <c r="I4215" s="7" t="n">
        <f aca="false">IF(AND(LEFT(A4215,1)&lt;&gt;"C",D4215&gt;0,F4215&gt;0),1,0)</f>
        <v>1</v>
      </c>
      <c r="J4215" s="7" t="n">
        <f aca="false">IF(I4215=1,D4215*F4215,0)</f>
        <v>6.64</v>
      </c>
      <c r="K4215" s="7" t="n">
        <f aca="false">YEAR(E4215)*100+MONTH(E4215)</f>
        <v>201111</v>
      </c>
      <c r="L4215" s="7" t="n">
        <f aca="false">IF(AND(A4215&lt;&gt;A4214,LEFT(A4215,1)&lt;&gt;"C"),1,0)</f>
        <v>0</v>
      </c>
    </row>
    <row r="4216" customFormat="false" ht="15" hidden="false" customHeight="false" outlineLevel="0" collapsed="false">
      <c r="A4216" s="0" t="s">
        <v>2678</v>
      </c>
      <c r="B4216" s="0" t="s">
        <v>2689</v>
      </c>
      <c r="C4216" s="0" t="s">
        <v>2690</v>
      </c>
      <c r="D4216" s="0" t="n">
        <v>12</v>
      </c>
      <c r="E4216" s="6" t="n">
        <v>40850.4048611111</v>
      </c>
      <c r="F4216" s="0" t="n">
        <v>1.25</v>
      </c>
      <c r="G4216" s="0" t="n">
        <v>12437</v>
      </c>
      <c r="H4216" s="0" t="s">
        <v>43</v>
      </c>
      <c r="I4216" s="7" t="n">
        <f aca="false">IF(AND(LEFT(A4216,1)&lt;&gt;"C",D4216&gt;0,F4216&gt;0),1,0)</f>
        <v>1</v>
      </c>
      <c r="J4216" s="7" t="n">
        <f aca="false">IF(I4216=1,D4216*F4216,0)</f>
        <v>15</v>
      </c>
      <c r="K4216" s="7" t="n">
        <f aca="false">YEAR(E4216)*100+MONTH(E4216)</f>
        <v>201111</v>
      </c>
      <c r="L4216" s="7" t="n">
        <f aca="false">IF(AND(A4216&lt;&gt;A4215,LEFT(A4216,1)&lt;&gt;"C"),1,0)</f>
        <v>0</v>
      </c>
    </row>
    <row r="4217" customFormat="false" ht="15" hidden="false" customHeight="false" outlineLevel="0" collapsed="false">
      <c r="A4217" s="0" t="s">
        <v>2678</v>
      </c>
      <c r="B4217" s="0" t="s">
        <v>1336</v>
      </c>
      <c r="C4217" s="0" t="s">
        <v>1337</v>
      </c>
      <c r="D4217" s="0" t="n">
        <v>12</v>
      </c>
      <c r="E4217" s="6" t="n">
        <v>40850.4048611111</v>
      </c>
      <c r="F4217" s="0" t="n">
        <v>1.25</v>
      </c>
      <c r="G4217" s="0" t="n">
        <v>12437</v>
      </c>
      <c r="H4217" s="0" t="s">
        <v>43</v>
      </c>
      <c r="I4217" s="7" t="n">
        <f aca="false">IF(AND(LEFT(A4217,1)&lt;&gt;"C",D4217&gt;0,F4217&gt;0),1,0)</f>
        <v>1</v>
      </c>
      <c r="J4217" s="7" t="n">
        <f aca="false">IF(I4217=1,D4217*F4217,0)</f>
        <v>15</v>
      </c>
      <c r="K4217" s="7" t="n">
        <f aca="false">YEAR(E4217)*100+MONTH(E4217)</f>
        <v>201111</v>
      </c>
      <c r="L4217" s="7" t="n">
        <f aca="false">IF(AND(A4217&lt;&gt;A4216,LEFT(A4217,1)&lt;&gt;"C"),1,0)</f>
        <v>0</v>
      </c>
    </row>
    <row r="4218" customFormat="false" ht="15" hidden="false" customHeight="false" outlineLevel="0" collapsed="false">
      <c r="A4218" s="0" t="s">
        <v>2678</v>
      </c>
      <c r="B4218" s="0" t="s">
        <v>2691</v>
      </c>
      <c r="C4218" s="0" t="s">
        <v>2692</v>
      </c>
      <c r="D4218" s="0" t="n">
        <v>20</v>
      </c>
      <c r="E4218" s="6" t="n">
        <v>40850.4048611111</v>
      </c>
      <c r="F4218" s="0" t="n">
        <v>0.42</v>
      </c>
      <c r="G4218" s="0" t="n">
        <v>12437</v>
      </c>
      <c r="H4218" s="0" t="s">
        <v>43</v>
      </c>
      <c r="I4218" s="7" t="n">
        <f aca="false">IF(AND(LEFT(A4218,1)&lt;&gt;"C",D4218&gt;0,F4218&gt;0),1,0)</f>
        <v>1</v>
      </c>
      <c r="J4218" s="7" t="n">
        <f aca="false">IF(I4218=1,D4218*F4218,0)</f>
        <v>8.4</v>
      </c>
      <c r="K4218" s="7" t="n">
        <f aca="false">YEAR(E4218)*100+MONTH(E4218)</f>
        <v>201111</v>
      </c>
      <c r="L4218" s="7" t="n">
        <f aca="false">IF(AND(A4218&lt;&gt;A4217,LEFT(A4218,1)&lt;&gt;"C"),1,0)</f>
        <v>0</v>
      </c>
    </row>
    <row r="4219" customFormat="false" ht="15" hidden="false" customHeight="false" outlineLevel="0" collapsed="false">
      <c r="A4219" s="0" t="s">
        <v>2678</v>
      </c>
      <c r="B4219" s="0" t="s">
        <v>1738</v>
      </c>
      <c r="C4219" s="0" t="s">
        <v>1739</v>
      </c>
      <c r="D4219" s="0" t="n">
        <v>20</v>
      </c>
      <c r="E4219" s="6" t="n">
        <v>40850.4048611111</v>
      </c>
      <c r="F4219" s="0" t="n">
        <v>1.25</v>
      </c>
      <c r="G4219" s="0" t="n">
        <v>12437</v>
      </c>
      <c r="H4219" s="0" t="s">
        <v>43</v>
      </c>
      <c r="I4219" s="7" t="n">
        <f aca="false">IF(AND(LEFT(A4219,1)&lt;&gt;"C",D4219&gt;0,F4219&gt;0),1,0)</f>
        <v>1</v>
      </c>
      <c r="J4219" s="7" t="n">
        <f aca="false">IF(I4219=1,D4219*F4219,0)</f>
        <v>25</v>
      </c>
      <c r="K4219" s="7" t="n">
        <f aca="false">YEAR(E4219)*100+MONTH(E4219)</f>
        <v>201111</v>
      </c>
      <c r="L4219" s="7" t="n">
        <f aca="false">IF(AND(A4219&lt;&gt;A4218,LEFT(A4219,1)&lt;&gt;"C"),1,0)</f>
        <v>0</v>
      </c>
    </row>
    <row r="4220" customFormat="false" ht="15" hidden="false" customHeight="false" outlineLevel="0" collapsed="false">
      <c r="A4220" s="0" t="s">
        <v>2678</v>
      </c>
      <c r="B4220" s="0" t="s">
        <v>733</v>
      </c>
      <c r="C4220" s="0" t="s">
        <v>734</v>
      </c>
      <c r="D4220" s="0" t="n">
        <v>24</v>
      </c>
      <c r="E4220" s="6" t="n">
        <v>40850.4048611111</v>
      </c>
      <c r="F4220" s="0" t="n">
        <v>1.25</v>
      </c>
      <c r="G4220" s="0" t="n">
        <v>12437</v>
      </c>
      <c r="H4220" s="0" t="s">
        <v>43</v>
      </c>
      <c r="I4220" s="7" t="n">
        <f aca="false">IF(AND(LEFT(A4220,1)&lt;&gt;"C",D4220&gt;0,F4220&gt;0),1,0)</f>
        <v>1</v>
      </c>
      <c r="J4220" s="7" t="n">
        <f aca="false">IF(I4220=1,D4220*F4220,0)</f>
        <v>30</v>
      </c>
      <c r="K4220" s="7" t="n">
        <f aca="false">YEAR(E4220)*100+MONTH(E4220)</f>
        <v>201111</v>
      </c>
      <c r="L4220" s="7" t="n">
        <f aca="false">IF(AND(A4220&lt;&gt;A4219,LEFT(A4220,1)&lt;&gt;"C"),1,0)</f>
        <v>0</v>
      </c>
    </row>
    <row r="4221" customFormat="false" ht="15" hidden="false" customHeight="false" outlineLevel="0" collapsed="false">
      <c r="A4221" s="0" t="s">
        <v>2678</v>
      </c>
      <c r="B4221" s="0" t="s">
        <v>155</v>
      </c>
      <c r="C4221" s="0" t="s">
        <v>156</v>
      </c>
      <c r="D4221" s="0" t="n">
        <v>5</v>
      </c>
      <c r="E4221" s="6" t="n">
        <v>40850.4048611111</v>
      </c>
      <c r="F4221" s="0" t="n">
        <v>10.95</v>
      </c>
      <c r="G4221" s="0" t="n">
        <v>12437</v>
      </c>
      <c r="H4221" s="0" t="s">
        <v>43</v>
      </c>
      <c r="I4221" s="7" t="n">
        <f aca="false">IF(AND(LEFT(A4221,1)&lt;&gt;"C",D4221&gt;0,F4221&gt;0),1,0)</f>
        <v>1</v>
      </c>
      <c r="J4221" s="7" t="n">
        <f aca="false">IF(I4221=1,D4221*F4221,0)</f>
        <v>54.75</v>
      </c>
      <c r="K4221" s="7" t="n">
        <f aca="false">YEAR(E4221)*100+MONTH(E4221)</f>
        <v>201111</v>
      </c>
      <c r="L4221" s="7" t="n">
        <f aca="false">IF(AND(A4221&lt;&gt;A4220,LEFT(A4221,1)&lt;&gt;"C"),1,0)</f>
        <v>0</v>
      </c>
    </row>
    <row r="4222" customFormat="false" ht="15" hidden="false" customHeight="false" outlineLevel="0" collapsed="false">
      <c r="A4222" s="0" t="s">
        <v>2678</v>
      </c>
      <c r="B4222" s="0" t="s">
        <v>2693</v>
      </c>
      <c r="C4222" s="0" t="s">
        <v>2694</v>
      </c>
      <c r="D4222" s="0" t="n">
        <v>2</v>
      </c>
      <c r="E4222" s="6" t="n">
        <v>40850.4048611111</v>
      </c>
      <c r="F4222" s="0" t="n">
        <v>9.95</v>
      </c>
      <c r="G4222" s="0" t="n">
        <v>12437</v>
      </c>
      <c r="H4222" s="0" t="s">
        <v>43</v>
      </c>
      <c r="I4222" s="7" t="n">
        <f aca="false">IF(AND(LEFT(A4222,1)&lt;&gt;"C",D4222&gt;0,F4222&gt;0),1,0)</f>
        <v>1</v>
      </c>
      <c r="J4222" s="7" t="n">
        <f aca="false">IF(I4222=1,D4222*F4222,0)</f>
        <v>19.9</v>
      </c>
      <c r="K4222" s="7" t="n">
        <f aca="false">YEAR(E4222)*100+MONTH(E4222)</f>
        <v>201111</v>
      </c>
      <c r="L4222" s="7" t="n">
        <f aca="false">IF(AND(A4222&lt;&gt;A4221,LEFT(A4222,1)&lt;&gt;"C"),1,0)</f>
        <v>0</v>
      </c>
    </row>
    <row r="4223" customFormat="false" ht="15" hidden="false" customHeight="false" outlineLevel="0" collapsed="false">
      <c r="A4223" s="0" t="s">
        <v>2678</v>
      </c>
      <c r="B4223" s="0" t="s">
        <v>769</v>
      </c>
      <c r="C4223" s="0" t="s">
        <v>770</v>
      </c>
      <c r="D4223" s="0" t="n">
        <v>12</v>
      </c>
      <c r="E4223" s="6" t="n">
        <v>40850.4048611111</v>
      </c>
      <c r="F4223" s="0" t="n">
        <v>1.45</v>
      </c>
      <c r="G4223" s="0" t="n">
        <v>12437</v>
      </c>
      <c r="H4223" s="0" t="s">
        <v>43</v>
      </c>
      <c r="I4223" s="7" t="n">
        <f aca="false">IF(AND(LEFT(A4223,1)&lt;&gt;"C",D4223&gt;0,F4223&gt;0),1,0)</f>
        <v>1</v>
      </c>
      <c r="J4223" s="7" t="n">
        <f aca="false">IF(I4223=1,D4223*F4223,0)</f>
        <v>17.4</v>
      </c>
      <c r="K4223" s="7" t="n">
        <f aca="false">YEAR(E4223)*100+MONTH(E4223)</f>
        <v>201111</v>
      </c>
      <c r="L4223" s="7" t="n">
        <f aca="false">IF(AND(A4223&lt;&gt;A4222,LEFT(A4223,1)&lt;&gt;"C"),1,0)</f>
        <v>0</v>
      </c>
    </row>
    <row r="4224" customFormat="false" ht="15" hidden="false" customHeight="false" outlineLevel="0" collapsed="false">
      <c r="A4224" s="0" t="s">
        <v>2678</v>
      </c>
      <c r="B4224" s="0" t="s">
        <v>565</v>
      </c>
      <c r="C4224" s="0" t="s">
        <v>2695</v>
      </c>
      <c r="D4224" s="0" t="n">
        <v>12</v>
      </c>
      <c r="E4224" s="6" t="n">
        <v>40850.4048611111</v>
      </c>
      <c r="F4224" s="0" t="n">
        <v>1.45</v>
      </c>
      <c r="G4224" s="0" t="n">
        <v>12437</v>
      </c>
      <c r="H4224" s="0" t="s">
        <v>43</v>
      </c>
      <c r="I4224" s="7" t="n">
        <f aca="false">IF(AND(LEFT(A4224,1)&lt;&gt;"C",D4224&gt;0,F4224&gt;0),1,0)</f>
        <v>1</v>
      </c>
      <c r="J4224" s="7" t="n">
        <f aca="false">IF(I4224=1,D4224*F4224,0)</f>
        <v>17.4</v>
      </c>
      <c r="K4224" s="7" t="n">
        <f aca="false">YEAR(E4224)*100+MONTH(E4224)</f>
        <v>201111</v>
      </c>
      <c r="L4224" s="7" t="n">
        <f aca="false">IF(AND(A4224&lt;&gt;A4223,LEFT(A4224,1)&lt;&gt;"C"),1,0)</f>
        <v>0</v>
      </c>
    </row>
    <row r="4225" customFormat="false" ht="15" hidden="false" customHeight="false" outlineLevel="0" collapsed="false">
      <c r="A4225" s="0" t="s">
        <v>2678</v>
      </c>
      <c r="B4225" s="0" t="s">
        <v>2696</v>
      </c>
      <c r="C4225" s="0" t="s">
        <v>2697</v>
      </c>
      <c r="D4225" s="0" t="n">
        <v>12</v>
      </c>
      <c r="E4225" s="6" t="n">
        <v>40850.4048611111</v>
      </c>
      <c r="F4225" s="0" t="n">
        <v>1.45</v>
      </c>
      <c r="G4225" s="0" t="n">
        <v>12437</v>
      </c>
      <c r="H4225" s="0" t="s">
        <v>43</v>
      </c>
      <c r="I4225" s="7" t="n">
        <f aca="false">IF(AND(LEFT(A4225,1)&lt;&gt;"C",D4225&gt;0,F4225&gt;0),1,0)</f>
        <v>1</v>
      </c>
      <c r="J4225" s="7" t="n">
        <f aca="false">IF(I4225=1,D4225*F4225,0)</f>
        <v>17.4</v>
      </c>
      <c r="K4225" s="7" t="n">
        <f aca="false">YEAR(E4225)*100+MONTH(E4225)</f>
        <v>201111</v>
      </c>
      <c r="L4225" s="7" t="n">
        <f aca="false">IF(AND(A4225&lt;&gt;A4224,LEFT(A4225,1)&lt;&gt;"C"),1,0)</f>
        <v>0</v>
      </c>
    </row>
    <row r="4226" customFormat="false" ht="15" hidden="false" customHeight="false" outlineLevel="0" collapsed="false">
      <c r="A4226" s="0" t="s">
        <v>2678</v>
      </c>
      <c r="B4226" s="0" t="s">
        <v>1375</v>
      </c>
      <c r="C4226" s="0" t="s">
        <v>1376</v>
      </c>
      <c r="D4226" s="0" t="n">
        <v>12</v>
      </c>
      <c r="E4226" s="6" t="n">
        <v>40850.4048611111</v>
      </c>
      <c r="F4226" s="0" t="n">
        <v>1.45</v>
      </c>
      <c r="G4226" s="0" t="n">
        <v>12437</v>
      </c>
      <c r="H4226" s="0" t="s">
        <v>43</v>
      </c>
      <c r="I4226" s="7" t="n">
        <f aca="false">IF(AND(LEFT(A4226,1)&lt;&gt;"C",D4226&gt;0,F4226&gt;0),1,0)</f>
        <v>1</v>
      </c>
      <c r="J4226" s="7" t="n">
        <f aca="false">IF(I4226=1,D4226*F4226,0)</f>
        <v>17.4</v>
      </c>
      <c r="K4226" s="7" t="n">
        <f aca="false">YEAR(E4226)*100+MONTH(E4226)</f>
        <v>201111</v>
      </c>
      <c r="L4226" s="7" t="n">
        <f aca="false">IF(AND(A4226&lt;&gt;A4225,LEFT(A4226,1)&lt;&gt;"C"),1,0)</f>
        <v>0</v>
      </c>
    </row>
    <row r="4227" customFormat="false" ht="15" hidden="false" customHeight="false" outlineLevel="0" collapsed="false">
      <c r="A4227" s="0" t="s">
        <v>2678</v>
      </c>
      <c r="B4227" s="0" t="s">
        <v>561</v>
      </c>
      <c r="C4227" s="0" t="s">
        <v>2698</v>
      </c>
      <c r="D4227" s="0" t="n">
        <v>12</v>
      </c>
      <c r="E4227" s="6" t="n">
        <v>40850.4048611111</v>
      </c>
      <c r="F4227" s="0" t="n">
        <v>1.45</v>
      </c>
      <c r="G4227" s="0" t="n">
        <v>12437</v>
      </c>
      <c r="H4227" s="0" t="s">
        <v>43</v>
      </c>
      <c r="I4227" s="7" t="n">
        <f aca="false">IF(AND(LEFT(A4227,1)&lt;&gt;"C",D4227&gt;0,F4227&gt;0),1,0)</f>
        <v>1</v>
      </c>
      <c r="J4227" s="7" t="n">
        <f aca="false">IF(I4227=1,D4227*F4227,0)</f>
        <v>17.4</v>
      </c>
      <c r="K4227" s="7" t="n">
        <f aca="false">YEAR(E4227)*100+MONTH(E4227)</f>
        <v>201111</v>
      </c>
      <c r="L4227" s="7" t="n">
        <f aca="false">IF(AND(A4227&lt;&gt;A4226,LEFT(A4227,1)&lt;&gt;"C"),1,0)</f>
        <v>0</v>
      </c>
    </row>
    <row r="4228" customFormat="false" ht="15" hidden="false" customHeight="false" outlineLevel="0" collapsed="false">
      <c r="A4228" s="0" t="s">
        <v>2678</v>
      </c>
      <c r="B4228" s="0" t="s">
        <v>213</v>
      </c>
      <c r="C4228" s="0" t="s">
        <v>214</v>
      </c>
      <c r="D4228" s="0" t="n">
        <v>12</v>
      </c>
      <c r="E4228" s="6" t="n">
        <v>40850.4048611111</v>
      </c>
      <c r="F4228" s="0" t="n">
        <v>0.85</v>
      </c>
      <c r="G4228" s="0" t="n">
        <v>12437</v>
      </c>
      <c r="H4228" s="0" t="s">
        <v>43</v>
      </c>
      <c r="I4228" s="7" t="n">
        <f aca="false">IF(AND(LEFT(A4228,1)&lt;&gt;"C",D4228&gt;0,F4228&gt;0),1,0)</f>
        <v>1</v>
      </c>
      <c r="J4228" s="7" t="n">
        <f aca="false">IF(I4228=1,D4228*F4228,0)</f>
        <v>10.2</v>
      </c>
      <c r="K4228" s="7" t="n">
        <f aca="false">YEAR(E4228)*100+MONTH(E4228)</f>
        <v>201111</v>
      </c>
      <c r="L4228" s="7" t="n">
        <f aca="false">IF(AND(A4228&lt;&gt;A4227,LEFT(A4228,1)&lt;&gt;"C"),1,0)</f>
        <v>0</v>
      </c>
    </row>
    <row r="4229" customFormat="false" ht="15" hidden="false" customHeight="false" outlineLevel="0" collapsed="false">
      <c r="A4229" s="0" t="s">
        <v>2699</v>
      </c>
      <c r="B4229" s="0" t="s">
        <v>318</v>
      </c>
      <c r="C4229" s="0" t="s">
        <v>319</v>
      </c>
      <c r="D4229" s="0" t="n">
        <v>-1</v>
      </c>
      <c r="E4229" s="6" t="n">
        <v>40850.4125</v>
      </c>
      <c r="F4229" s="0" t="n">
        <v>3.75</v>
      </c>
      <c r="G4229" s="0" t="n">
        <v>12674</v>
      </c>
      <c r="H4229" s="0" t="s">
        <v>43</v>
      </c>
      <c r="I4229" s="7" t="n">
        <f aca="false">IF(AND(LEFT(A4229,1)&lt;&gt;"C",D4229&gt;0,F4229&gt;0),1,0)</f>
        <v>0</v>
      </c>
      <c r="J4229" s="7" t="n">
        <f aca="false">IF(I4229=1,D4229*F4229,0)</f>
        <v>0</v>
      </c>
      <c r="K4229" s="7" t="n">
        <f aca="false">YEAR(E4229)*100+MONTH(E4229)</f>
        <v>201111</v>
      </c>
      <c r="L4229" s="7" t="n">
        <f aca="false">IF(AND(A4229&lt;&gt;A4228,LEFT(A4229,1)&lt;&gt;"C"),1,0)</f>
        <v>0</v>
      </c>
    </row>
    <row r="4230" customFormat="false" ht="15" hidden="false" customHeight="false" outlineLevel="0" collapsed="false">
      <c r="A4230" s="0" t="s">
        <v>2699</v>
      </c>
      <c r="B4230" s="0" t="s">
        <v>209</v>
      </c>
      <c r="C4230" s="0" t="s">
        <v>210</v>
      </c>
      <c r="D4230" s="0" t="n">
        <v>-1</v>
      </c>
      <c r="E4230" s="6" t="n">
        <v>40850.4125</v>
      </c>
      <c r="F4230" s="0" t="n">
        <v>0.39</v>
      </c>
      <c r="G4230" s="0" t="n">
        <v>12674</v>
      </c>
      <c r="H4230" s="0" t="s">
        <v>43</v>
      </c>
      <c r="I4230" s="7" t="n">
        <f aca="false">IF(AND(LEFT(A4230,1)&lt;&gt;"C",D4230&gt;0,F4230&gt;0),1,0)</f>
        <v>0</v>
      </c>
      <c r="J4230" s="7" t="n">
        <f aca="false">IF(I4230=1,D4230*F4230,0)</f>
        <v>0</v>
      </c>
      <c r="K4230" s="7" t="n">
        <f aca="false">YEAR(E4230)*100+MONTH(E4230)</f>
        <v>201111</v>
      </c>
      <c r="L4230" s="7" t="n">
        <f aca="false">IF(AND(A4230&lt;&gt;A4229,LEFT(A4230,1)&lt;&gt;"C"),1,0)</f>
        <v>0</v>
      </c>
    </row>
    <row r="4231" customFormat="false" ht="15" hidden="false" customHeight="false" outlineLevel="0" collapsed="false">
      <c r="A4231" s="0" t="s">
        <v>2699</v>
      </c>
      <c r="B4231" s="0" t="s">
        <v>123</v>
      </c>
      <c r="C4231" s="0" t="s">
        <v>124</v>
      </c>
      <c r="D4231" s="0" t="n">
        <v>-1</v>
      </c>
      <c r="E4231" s="6" t="n">
        <v>40850.4125</v>
      </c>
      <c r="F4231" s="0" t="n">
        <v>2.95</v>
      </c>
      <c r="G4231" s="0" t="n">
        <v>12674</v>
      </c>
      <c r="H4231" s="0" t="s">
        <v>43</v>
      </c>
      <c r="I4231" s="7" t="n">
        <f aca="false">IF(AND(LEFT(A4231,1)&lt;&gt;"C",D4231&gt;0,F4231&gt;0),1,0)</f>
        <v>0</v>
      </c>
      <c r="J4231" s="7" t="n">
        <f aca="false">IF(I4231=1,D4231*F4231,0)</f>
        <v>0</v>
      </c>
      <c r="K4231" s="7" t="n">
        <f aca="false">YEAR(E4231)*100+MONTH(E4231)</f>
        <v>201111</v>
      </c>
      <c r="L4231" s="7" t="n">
        <f aca="false">IF(AND(A4231&lt;&gt;A4230,LEFT(A4231,1)&lt;&gt;"C"),1,0)</f>
        <v>0</v>
      </c>
    </row>
    <row r="4232" customFormat="false" ht="15" hidden="false" customHeight="false" outlineLevel="0" collapsed="false">
      <c r="A4232" s="0" t="s">
        <v>2699</v>
      </c>
      <c r="B4232" s="0" t="s">
        <v>123</v>
      </c>
      <c r="C4232" s="0" t="s">
        <v>124</v>
      </c>
      <c r="D4232" s="0" t="n">
        <v>-1</v>
      </c>
      <c r="E4232" s="6" t="n">
        <v>40850.4125</v>
      </c>
      <c r="F4232" s="0" t="n">
        <v>2.95</v>
      </c>
      <c r="G4232" s="0" t="n">
        <v>12674</v>
      </c>
      <c r="H4232" s="0" t="s">
        <v>43</v>
      </c>
      <c r="I4232" s="7" t="n">
        <f aca="false">IF(AND(LEFT(A4232,1)&lt;&gt;"C",D4232&gt;0,F4232&gt;0),1,0)</f>
        <v>0</v>
      </c>
      <c r="J4232" s="7" t="n">
        <f aca="false">IF(I4232=1,D4232*F4232,0)</f>
        <v>0</v>
      </c>
      <c r="K4232" s="7" t="n">
        <f aca="false">YEAR(E4232)*100+MONTH(E4232)</f>
        <v>201111</v>
      </c>
      <c r="L4232" s="7" t="n">
        <f aca="false">IF(AND(A4232&lt;&gt;A4231,LEFT(A4232,1)&lt;&gt;"C"),1,0)</f>
        <v>0</v>
      </c>
    </row>
    <row r="4233" customFormat="false" ht="15" hidden="false" customHeight="false" outlineLevel="0" collapsed="false">
      <c r="A4233" s="0" t="s">
        <v>2699</v>
      </c>
      <c r="B4233" s="0" t="s">
        <v>837</v>
      </c>
      <c r="C4233" s="0" t="s">
        <v>838</v>
      </c>
      <c r="D4233" s="0" t="n">
        <v>-1</v>
      </c>
      <c r="E4233" s="6" t="n">
        <v>40850.4125</v>
      </c>
      <c r="F4233" s="0" t="n">
        <v>4.15</v>
      </c>
      <c r="G4233" s="0" t="n">
        <v>12674</v>
      </c>
      <c r="H4233" s="0" t="s">
        <v>43</v>
      </c>
      <c r="I4233" s="7" t="n">
        <f aca="false">IF(AND(LEFT(A4233,1)&lt;&gt;"C",D4233&gt;0,F4233&gt;0),1,0)</f>
        <v>0</v>
      </c>
      <c r="J4233" s="7" t="n">
        <f aca="false">IF(I4233=1,D4233*F4233,0)</f>
        <v>0</v>
      </c>
      <c r="K4233" s="7" t="n">
        <f aca="false">YEAR(E4233)*100+MONTH(E4233)</f>
        <v>201111</v>
      </c>
      <c r="L4233" s="7" t="n">
        <f aca="false">IF(AND(A4233&lt;&gt;A4232,LEFT(A4233,1)&lt;&gt;"C"),1,0)</f>
        <v>0</v>
      </c>
    </row>
    <row r="4234" customFormat="false" ht="15" hidden="false" customHeight="false" outlineLevel="0" collapsed="false">
      <c r="A4234" s="0" t="s">
        <v>2699</v>
      </c>
      <c r="B4234" s="0" t="s">
        <v>89</v>
      </c>
      <c r="C4234" s="0" t="s">
        <v>90</v>
      </c>
      <c r="D4234" s="0" t="n">
        <v>-1</v>
      </c>
      <c r="E4234" s="6" t="n">
        <v>40850.4125</v>
      </c>
      <c r="F4234" s="0" t="n">
        <v>4.15</v>
      </c>
      <c r="G4234" s="0" t="n">
        <v>12674</v>
      </c>
      <c r="H4234" s="0" t="s">
        <v>43</v>
      </c>
      <c r="I4234" s="7" t="n">
        <f aca="false">IF(AND(LEFT(A4234,1)&lt;&gt;"C",D4234&gt;0,F4234&gt;0),1,0)</f>
        <v>0</v>
      </c>
      <c r="J4234" s="7" t="n">
        <f aca="false">IF(I4234=1,D4234*F4234,0)</f>
        <v>0</v>
      </c>
      <c r="K4234" s="7" t="n">
        <f aca="false">YEAR(E4234)*100+MONTH(E4234)</f>
        <v>201111</v>
      </c>
      <c r="L4234" s="7" t="n">
        <f aca="false">IF(AND(A4234&lt;&gt;A4233,LEFT(A4234,1)&lt;&gt;"C"),1,0)</f>
        <v>0</v>
      </c>
    </row>
    <row r="4235" customFormat="false" ht="15" hidden="false" customHeight="false" outlineLevel="0" collapsed="false">
      <c r="A4235" s="0" t="s">
        <v>2700</v>
      </c>
      <c r="B4235" s="0" t="s">
        <v>1221</v>
      </c>
      <c r="C4235" s="0" t="s">
        <v>1222</v>
      </c>
      <c r="D4235" s="0" t="n">
        <v>12</v>
      </c>
      <c r="E4235" s="6" t="n">
        <v>40850.4138888889</v>
      </c>
      <c r="F4235" s="0" t="n">
        <v>1.65</v>
      </c>
      <c r="G4235" s="0" t="n">
        <v>12471</v>
      </c>
      <c r="H4235" s="0" t="s">
        <v>33</v>
      </c>
      <c r="I4235" s="7" t="n">
        <f aca="false">IF(AND(LEFT(A4235,1)&lt;&gt;"C",D4235&gt;0,F4235&gt;0),1,0)</f>
        <v>1</v>
      </c>
      <c r="J4235" s="7" t="n">
        <f aca="false">IF(I4235=1,D4235*F4235,0)</f>
        <v>19.8</v>
      </c>
      <c r="K4235" s="7" t="n">
        <f aca="false">YEAR(E4235)*100+MONTH(E4235)</f>
        <v>201111</v>
      </c>
      <c r="L4235" s="7" t="n">
        <f aca="false">IF(AND(A4235&lt;&gt;A4234,LEFT(A4235,1)&lt;&gt;"C"),1,0)</f>
        <v>1</v>
      </c>
    </row>
    <row r="4236" customFormat="false" ht="15" hidden="false" customHeight="false" outlineLevel="0" collapsed="false">
      <c r="A4236" s="0" t="s">
        <v>2700</v>
      </c>
      <c r="B4236" s="0" t="s">
        <v>657</v>
      </c>
      <c r="C4236" s="0" t="s">
        <v>658</v>
      </c>
      <c r="D4236" s="0" t="n">
        <v>12</v>
      </c>
      <c r="E4236" s="6" t="n">
        <v>40850.4138888889</v>
      </c>
      <c r="F4236" s="0" t="n">
        <v>1.25</v>
      </c>
      <c r="G4236" s="0" t="n">
        <v>12471</v>
      </c>
      <c r="H4236" s="0" t="s">
        <v>33</v>
      </c>
      <c r="I4236" s="7" t="n">
        <f aca="false">IF(AND(LEFT(A4236,1)&lt;&gt;"C",D4236&gt;0,F4236&gt;0),1,0)</f>
        <v>1</v>
      </c>
      <c r="J4236" s="7" t="n">
        <f aca="false">IF(I4236=1,D4236*F4236,0)</f>
        <v>15</v>
      </c>
      <c r="K4236" s="7" t="n">
        <f aca="false">YEAR(E4236)*100+MONTH(E4236)</f>
        <v>201111</v>
      </c>
      <c r="L4236" s="7" t="n">
        <f aca="false">IF(AND(A4236&lt;&gt;A4235,LEFT(A4236,1)&lt;&gt;"C"),1,0)</f>
        <v>0</v>
      </c>
    </row>
    <row r="4237" customFormat="false" ht="15" hidden="false" customHeight="false" outlineLevel="0" collapsed="false">
      <c r="A4237" s="0" t="s">
        <v>2700</v>
      </c>
      <c r="B4237" s="0" t="s">
        <v>374</v>
      </c>
      <c r="C4237" s="0" t="s">
        <v>375</v>
      </c>
      <c r="D4237" s="0" t="n">
        <v>12</v>
      </c>
      <c r="E4237" s="6" t="n">
        <v>40850.4138888889</v>
      </c>
      <c r="F4237" s="0" t="n">
        <v>1.25</v>
      </c>
      <c r="G4237" s="0" t="n">
        <v>12471</v>
      </c>
      <c r="H4237" s="0" t="s">
        <v>33</v>
      </c>
      <c r="I4237" s="7" t="n">
        <f aca="false">IF(AND(LEFT(A4237,1)&lt;&gt;"C",D4237&gt;0,F4237&gt;0),1,0)</f>
        <v>1</v>
      </c>
      <c r="J4237" s="7" t="n">
        <f aca="false">IF(I4237=1,D4237*F4237,0)</f>
        <v>15</v>
      </c>
      <c r="K4237" s="7" t="n">
        <f aca="false">YEAR(E4237)*100+MONTH(E4237)</f>
        <v>201111</v>
      </c>
      <c r="L4237" s="7" t="n">
        <f aca="false">IF(AND(A4237&lt;&gt;A4236,LEFT(A4237,1)&lt;&gt;"C"),1,0)</f>
        <v>0</v>
      </c>
    </row>
    <row r="4238" customFormat="false" ht="15" hidden="false" customHeight="false" outlineLevel="0" collapsed="false">
      <c r="A4238" s="0" t="s">
        <v>2700</v>
      </c>
      <c r="B4238" s="0" t="s">
        <v>1175</v>
      </c>
      <c r="C4238" s="0" t="s">
        <v>1176</v>
      </c>
      <c r="D4238" s="0" t="n">
        <v>6</v>
      </c>
      <c r="E4238" s="6" t="n">
        <v>40850.4138888889</v>
      </c>
      <c r="F4238" s="0" t="n">
        <v>2.08</v>
      </c>
      <c r="G4238" s="0" t="n">
        <v>12471</v>
      </c>
      <c r="H4238" s="0" t="s">
        <v>33</v>
      </c>
      <c r="I4238" s="7" t="n">
        <f aca="false">IF(AND(LEFT(A4238,1)&lt;&gt;"C",D4238&gt;0,F4238&gt;0),1,0)</f>
        <v>1</v>
      </c>
      <c r="J4238" s="7" t="n">
        <f aca="false">IF(I4238=1,D4238*F4238,0)</f>
        <v>12.48</v>
      </c>
      <c r="K4238" s="7" t="n">
        <f aca="false">YEAR(E4238)*100+MONTH(E4238)</f>
        <v>201111</v>
      </c>
      <c r="L4238" s="7" t="n">
        <f aca="false">IF(AND(A4238&lt;&gt;A4237,LEFT(A4238,1)&lt;&gt;"C"),1,0)</f>
        <v>0</v>
      </c>
    </row>
    <row r="4239" customFormat="false" ht="15" hidden="false" customHeight="false" outlineLevel="0" collapsed="false">
      <c r="A4239" s="0" t="s">
        <v>2700</v>
      </c>
      <c r="B4239" s="0" t="s">
        <v>333</v>
      </c>
      <c r="C4239" s="0" t="s">
        <v>334</v>
      </c>
      <c r="D4239" s="0" t="n">
        <v>12</v>
      </c>
      <c r="E4239" s="6" t="n">
        <v>40850.4138888889</v>
      </c>
      <c r="F4239" s="0" t="n">
        <v>1.65</v>
      </c>
      <c r="G4239" s="0" t="n">
        <v>12471</v>
      </c>
      <c r="H4239" s="0" t="s">
        <v>33</v>
      </c>
      <c r="I4239" s="7" t="n">
        <f aca="false">IF(AND(LEFT(A4239,1)&lt;&gt;"C",D4239&gt;0,F4239&gt;0),1,0)</f>
        <v>1</v>
      </c>
      <c r="J4239" s="7" t="n">
        <f aca="false">IF(I4239=1,D4239*F4239,0)</f>
        <v>19.8</v>
      </c>
      <c r="K4239" s="7" t="n">
        <f aca="false">YEAR(E4239)*100+MONTH(E4239)</f>
        <v>201111</v>
      </c>
      <c r="L4239" s="7" t="n">
        <f aca="false">IF(AND(A4239&lt;&gt;A4238,LEFT(A4239,1)&lt;&gt;"C"),1,0)</f>
        <v>0</v>
      </c>
    </row>
    <row r="4240" customFormat="false" ht="15" hidden="false" customHeight="false" outlineLevel="0" collapsed="false">
      <c r="A4240" s="0" t="s">
        <v>2700</v>
      </c>
      <c r="B4240" s="0" t="s">
        <v>653</v>
      </c>
      <c r="C4240" s="0" t="s">
        <v>654</v>
      </c>
      <c r="D4240" s="0" t="n">
        <v>4</v>
      </c>
      <c r="E4240" s="6" t="n">
        <v>40850.4138888889</v>
      </c>
      <c r="F4240" s="0" t="n">
        <v>6.25</v>
      </c>
      <c r="G4240" s="0" t="n">
        <v>12471</v>
      </c>
      <c r="H4240" s="0" t="s">
        <v>33</v>
      </c>
      <c r="I4240" s="7" t="n">
        <f aca="false">IF(AND(LEFT(A4240,1)&lt;&gt;"C",D4240&gt;0,F4240&gt;0),1,0)</f>
        <v>1</v>
      </c>
      <c r="J4240" s="7" t="n">
        <f aca="false">IF(I4240=1,D4240*F4240,0)</f>
        <v>25</v>
      </c>
      <c r="K4240" s="7" t="n">
        <f aca="false">YEAR(E4240)*100+MONTH(E4240)</f>
        <v>201111</v>
      </c>
      <c r="L4240" s="7" t="n">
        <f aca="false">IF(AND(A4240&lt;&gt;A4239,LEFT(A4240,1)&lt;&gt;"C"),1,0)</f>
        <v>0</v>
      </c>
    </row>
    <row r="4241" customFormat="false" ht="15" hidden="false" customHeight="false" outlineLevel="0" collapsed="false">
      <c r="A4241" s="0" t="s">
        <v>2700</v>
      </c>
      <c r="B4241" s="0" t="s">
        <v>177</v>
      </c>
      <c r="C4241" s="0" t="s">
        <v>178</v>
      </c>
      <c r="D4241" s="0" t="n">
        <v>8</v>
      </c>
      <c r="E4241" s="6" t="n">
        <v>40850.4138888889</v>
      </c>
      <c r="F4241" s="0" t="n">
        <v>1.25</v>
      </c>
      <c r="G4241" s="0" t="n">
        <v>12471</v>
      </c>
      <c r="H4241" s="0" t="s">
        <v>33</v>
      </c>
      <c r="I4241" s="7" t="n">
        <f aca="false">IF(AND(LEFT(A4241,1)&lt;&gt;"C",D4241&gt;0,F4241&gt;0),1,0)</f>
        <v>1</v>
      </c>
      <c r="J4241" s="7" t="n">
        <f aca="false">IF(I4241=1,D4241*F4241,0)</f>
        <v>10</v>
      </c>
      <c r="K4241" s="7" t="n">
        <f aca="false">YEAR(E4241)*100+MONTH(E4241)</f>
        <v>201111</v>
      </c>
      <c r="L4241" s="7" t="n">
        <f aca="false">IF(AND(A4241&lt;&gt;A4240,LEFT(A4241,1)&lt;&gt;"C"),1,0)</f>
        <v>0</v>
      </c>
    </row>
    <row r="4242" customFormat="false" ht="15" hidden="false" customHeight="false" outlineLevel="0" collapsed="false">
      <c r="A4242" s="0" t="s">
        <v>2700</v>
      </c>
      <c r="B4242" s="0" t="s">
        <v>175</v>
      </c>
      <c r="C4242" s="0" t="s">
        <v>176</v>
      </c>
      <c r="D4242" s="0" t="n">
        <v>8</v>
      </c>
      <c r="E4242" s="6" t="n">
        <v>40850.4138888889</v>
      </c>
      <c r="F4242" s="0" t="n">
        <v>1.25</v>
      </c>
      <c r="G4242" s="0" t="n">
        <v>12471</v>
      </c>
      <c r="H4242" s="0" t="s">
        <v>33</v>
      </c>
      <c r="I4242" s="7" t="n">
        <f aca="false">IF(AND(LEFT(A4242,1)&lt;&gt;"C",D4242&gt;0,F4242&gt;0),1,0)</f>
        <v>1</v>
      </c>
      <c r="J4242" s="7" t="n">
        <f aca="false">IF(I4242=1,D4242*F4242,0)</f>
        <v>10</v>
      </c>
      <c r="K4242" s="7" t="n">
        <f aca="false">YEAR(E4242)*100+MONTH(E4242)</f>
        <v>201111</v>
      </c>
      <c r="L4242" s="7" t="n">
        <f aca="false">IF(AND(A4242&lt;&gt;A4241,LEFT(A4242,1)&lt;&gt;"C"),1,0)</f>
        <v>0</v>
      </c>
    </row>
    <row r="4243" customFormat="false" ht="15" hidden="false" customHeight="false" outlineLevel="0" collapsed="false">
      <c r="A4243" s="0" t="s">
        <v>2700</v>
      </c>
      <c r="B4243" s="0" t="s">
        <v>372</v>
      </c>
      <c r="C4243" s="0" t="s">
        <v>373</v>
      </c>
      <c r="D4243" s="0" t="n">
        <v>12</v>
      </c>
      <c r="E4243" s="6" t="n">
        <v>40850.4138888889</v>
      </c>
      <c r="F4243" s="0" t="n">
        <v>1.25</v>
      </c>
      <c r="G4243" s="0" t="n">
        <v>12471</v>
      </c>
      <c r="H4243" s="0" t="s">
        <v>33</v>
      </c>
      <c r="I4243" s="7" t="n">
        <f aca="false">IF(AND(LEFT(A4243,1)&lt;&gt;"C",D4243&gt;0,F4243&gt;0),1,0)</f>
        <v>1</v>
      </c>
      <c r="J4243" s="7" t="n">
        <f aca="false">IF(I4243=1,D4243*F4243,0)</f>
        <v>15</v>
      </c>
      <c r="K4243" s="7" t="n">
        <f aca="false">YEAR(E4243)*100+MONTH(E4243)</f>
        <v>201111</v>
      </c>
      <c r="L4243" s="7" t="n">
        <f aca="false">IF(AND(A4243&lt;&gt;A4242,LEFT(A4243,1)&lt;&gt;"C"),1,0)</f>
        <v>0</v>
      </c>
    </row>
    <row r="4244" customFormat="false" ht="15" hidden="false" customHeight="false" outlineLevel="0" collapsed="false">
      <c r="A4244" s="0" t="s">
        <v>2700</v>
      </c>
      <c r="B4244" s="0" t="s">
        <v>89</v>
      </c>
      <c r="C4244" s="0" t="s">
        <v>90</v>
      </c>
      <c r="D4244" s="0" t="n">
        <v>4</v>
      </c>
      <c r="E4244" s="6" t="n">
        <v>40850.4138888889</v>
      </c>
      <c r="F4244" s="0" t="n">
        <v>4.15</v>
      </c>
      <c r="G4244" s="0" t="n">
        <v>12471</v>
      </c>
      <c r="H4244" s="0" t="s">
        <v>33</v>
      </c>
      <c r="I4244" s="7" t="n">
        <f aca="false">IF(AND(LEFT(A4244,1)&lt;&gt;"C",D4244&gt;0,F4244&gt;0),1,0)</f>
        <v>1</v>
      </c>
      <c r="J4244" s="7" t="n">
        <f aca="false">IF(I4244=1,D4244*F4244,0)</f>
        <v>16.6</v>
      </c>
      <c r="K4244" s="7" t="n">
        <f aca="false">YEAR(E4244)*100+MONTH(E4244)</f>
        <v>201111</v>
      </c>
      <c r="L4244" s="7" t="n">
        <f aca="false">IF(AND(A4244&lt;&gt;A4243,LEFT(A4244,1)&lt;&gt;"C"),1,0)</f>
        <v>0</v>
      </c>
    </row>
    <row r="4245" customFormat="false" ht="15" hidden="false" customHeight="false" outlineLevel="0" collapsed="false">
      <c r="A4245" s="0" t="s">
        <v>2700</v>
      </c>
      <c r="B4245" s="0" t="s">
        <v>93</v>
      </c>
      <c r="C4245" s="0" t="s">
        <v>94</v>
      </c>
      <c r="D4245" s="0" t="n">
        <v>4</v>
      </c>
      <c r="E4245" s="6" t="n">
        <v>40850.4138888889</v>
      </c>
      <c r="F4245" s="0" t="n">
        <v>4.15</v>
      </c>
      <c r="G4245" s="0" t="n">
        <v>12471</v>
      </c>
      <c r="H4245" s="0" t="s">
        <v>33</v>
      </c>
      <c r="I4245" s="7" t="n">
        <f aca="false">IF(AND(LEFT(A4245,1)&lt;&gt;"C",D4245&gt;0,F4245&gt;0),1,0)</f>
        <v>1</v>
      </c>
      <c r="J4245" s="7" t="n">
        <f aca="false">IF(I4245=1,D4245*F4245,0)</f>
        <v>16.6</v>
      </c>
      <c r="K4245" s="7" t="n">
        <f aca="false">YEAR(E4245)*100+MONTH(E4245)</f>
        <v>201111</v>
      </c>
      <c r="L4245" s="7" t="n">
        <f aca="false">IF(AND(A4245&lt;&gt;A4244,LEFT(A4245,1)&lt;&gt;"C"),1,0)</f>
        <v>0</v>
      </c>
    </row>
    <row r="4246" customFormat="false" ht="15" hidden="false" customHeight="false" outlineLevel="0" collapsed="false">
      <c r="A4246" s="0" t="s">
        <v>2700</v>
      </c>
      <c r="B4246" s="0" t="s">
        <v>1099</v>
      </c>
      <c r="C4246" s="0" t="s">
        <v>1100</v>
      </c>
      <c r="D4246" s="0" t="n">
        <v>24</v>
      </c>
      <c r="E4246" s="6" t="n">
        <v>40850.4138888889</v>
      </c>
      <c r="F4246" s="0" t="n">
        <v>2.49</v>
      </c>
      <c r="G4246" s="0" t="n">
        <v>12471</v>
      </c>
      <c r="H4246" s="0" t="s">
        <v>33</v>
      </c>
      <c r="I4246" s="7" t="n">
        <f aca="false">IF(AND(LEFT(A4246,1)&lt;&gt;"C",D4246&gt;0,F4246&gt;0),1,0)</f>
        <v>1</v>
      </c>
      <c r="J4246" s="7" t="n">
        <f aca="false">IF(I4246=1,D4246*F4246,0)</f>
        <v>59.76</v>
      </c>
      <c r="K4246" s="7" t="n">
        <f aca="false">YEAR(E4246)*100+MONTH(E4246)</f>
        <v>201111</v>
      </c>
      <c r="L4246" s="7" t="n">
        <f aca="false">IF(AND(A4246&lt;&gt;A4245,LEFT(A4246,1)&lt;&gt;"C"),1,0)</f>
        <v>0</v>
      </c>
    </row>
    <row r="4247" customFormat="false" ht="15" hidden="false" customHeight="false" outlineLevel="0" collapsed="false">
      <c r="A4247" s="0" t="s">
        <v>2700</v>
      </c>
      <c r="B4247" s="0" t="s">
        <v>1841</v>
      </c>
      <c r="C4247" s="0" t="s">
        <v>1842</v>
      </c>
      <c r="D4247" s="0" t="n">
        <v>48</v>
      </c>
      <c r="E4247" s="6" t="n">
        <v>40850.4138888889</v>
      </c>
      <c r="F4247" s="0" t="n">
        <v>0.42</v>
      </c>
      <c r="G4247" s="0" t="n">
        <v>12471</v>
      </c>
      <c r="H4247" s="0" t="s">
        <v>33</v>
      </c>
      <c r="I4247" s="7" t="n">
        <f aca="false">IF(AND(LEFT(A4247,1)&lt;&gt;"C",D4247&gt;0,F4247&gt;0),1,0)</f>
        <v>1</v>
      </c>
      <c r="J4247" s="7" t="n">
        <f aca="false">IF(I4247=1,D4247*F4247,0)</f>
        <v>20.16</v>
      </c>
      <c r="K4247" s="7" t="n">
        <f aca="false">YEAR(E4247)*100+MONTH(E4247)</f>
        <v>201111</v>
      </c>
      <c r="L4247" s="7" t="n">
        <f aca="false">IF(AND(A4247&lt;&gt;A4246,LEFT(A4247,1)&lt;&gt;"C"),1,0)</f>
        <v>0</v>
      </c>
    </row>
    <row r="4248" customFormat="false" ht="15" hidden="false" customHeight="false" outlineLevel="0" collapsed="false">
      <c r="A4248" s="0" t="s">
        <v>2700</v>
      </c>
      <c r="B4248" s="0" t="s">
        <v>1341</v>
      </c>
      <c r="C4248" s="0" t="s">
        <v>1342</v>
      </c>
      <c r="D4248" s="0" t="n">
        <v>6</v>
      </c>
      <c r="E4248" s="6" t="n">
        <v>40850.4138888889</v>
      </c>
      <c r="F4248" s="0" t="n">
        <v>4.95</v>
      </c>
      <c r="G4248" s="0" t="n">
        <v>12471</v>
      </c>
      <c r="H4248" s="0" t="s">
        <v>33</v>
      </c>
      <c r="I4248" s="7" t="n">
        <f aca="false">IF(AND(LEFT(A4248,1)&lt;&gt;"C",D4248&gt;0,F4248&gt;0),1,0)</f>
        <v>1</v>
      </c>
      <c r="J4248" s="7" t="n">
        <f aca="false">IF(I4248=1,D4248*F4248,0)</f>
        <v>29.7</v>
      </c>
      <c r="K4248" s="7" t="n">
        <f aca="false">YEAR(E4248)*100+MONTH(E4248)</f>
        <v>201111</v>
      </c>
      <c r="L4248" s="7" t="n">
        <f aca="false">IF(AND(A4248&lt;&gt;A4247,LEFT(A4248,1)&lt;&gt;"C"),1,0)</f>
        <v>0</v>
      </c>
    </row>
    <row r="4249" customFormat="false" ht="15" hidden="false" customHeight="false" outlineLevel="0" collapsed="false">
      <c r="A4249" s="0" t="s">
        <v>2700</v>
      </c>
      <c r="B4249" s="0" t="s">
        <v>1048</v>
      </c>
      <c r="C4249" s="0" t="s">
        <v>1049</v>
      </c>
      <c r="D4249" s="0" t="n">
        <v>4</v>
      </c>
      <c r="E4249" s="6" t="n">
        <v>40850.4138888889</v>
      </c>
      <c r="F4249" s="0" t="n">
        <v>4.15</v>
      </c>
      <c r="G4249" s="0" t="n">
        <v>12471</v>
      </c>
      <c r="H4249" s="0" t="s">
        <v>33</v>
      </c>
      <c r="I4249" s="7" t="n">
        <f aca="false">IF(AND(LEFT(A4249,1)&lt;&gt;"C",D4249&gt;0,F4249&gt;0),1,0)</f>
        <v>1</v>
      </c>
      <c r="J4249" s="7" t="n">
        <f aca="false">IF(I4249=1,D4249*F4249,0)</f>
        <v>16.6</v>
      </c>
      <c r="K4249" s="7" t="n">
        <f aca="false">YEAR(E4249)*100+MONTH(E4249)</f>
        <v>201111</v>
      </c>
      <c r="L4249" s="7" t="n">
        <f aca="false">IF(AND(A4249&lt;&gt;A4248,LEFT(A4249,1)&lt;&gt;"C"),1,0)</f>
        <v>0</v>
      </c>
    </row>
    <row r="4250" customFormat="false" ht="15" hidden="false" customHeight="false" outlineLevel="0" collapsed="false">
      <c r="A4250" s="0" t="s">
        <v>2700</v>
      </c>
      <c r="B4250" s="0" t="s">
        <v>1110</v>
      </c>
      <c r="C4250" s="0" t="s">
        <v>1111</v>
      </c>
      <c r="D4250" s="0" t="n">
        <v>4</v>
      </c>
      <c r="E4250" s="6" t="n">
        <v>40850.4138888889</v>
      </c>
      <c r="F4250" s="0" t="n">
        <v>4.15</v>
      </c>
      <c r="G4250" s="0" t="n">
        <v>12471</v>
      </c>
      <c r="H4250" s="0" t="s">
        <v>33</v>
      </c>
      <c r="I4250" s="7" t="n">
        <f aca="false">IF(AND(LEFT(A4250,1)&lt;&gt;"C",D4250&gt;0,F4250&gt;0),1,0)</f>
        <v>1</v>
      </c>
      <c r="J4250" s="7" t="n">
        <f aca="false">IF(I4250=1,D4250*F4250,0)</f>
        <v>16.6</v>
      </c>
      <c r="K4250" s="7" t="n">
        <f aca="false">YEAR(E4250)*100+MONTH(E4250)</f>
        <v>201111</v>
      </c>
      <c r="L4250" s="7" t="n">
        <f aca="false">IF(AND(A4250&lt;&gt;A4249,LEFT(A4250,1)&lt;&gt;"C"),1,0)</f>
        <v>0</v>
      </c>
    </row>
    <row r="4251" customFormat="false" ht="15" hidden="false" customHeight="false" outlineLevel="0" collapsed="false">
      <c r="A4251" s="0" t="s">
        <v>2700</v>
      </c>
      <c r="B4251" s="0" t="s">
        <v>136</v>
      </c>
      <c r="C4251" s="0" t="s">
        <v>137</v>
      </c>
      <c r="D4251" s="0" t="n">
        <v>32</v>
      </c>
      <c r="E4251" s="6" t="n">
        <v>40850.4138888889</v>
      </c>
      <c r="F4251" s="0" t="n">
        <v>4.15</v>
      </c>
      <c r="G4251" s="0" t="n">
        <v>12471</v>
      </c>
      <c r="H4251" s="0" t="s">
        <v>33</v>
      </c>
      <c r="I4251" s="7" t="n">
        <f aca="false">IF(AND(LEFT(A4251,1)&lt;&gt;"C",D4251&gt;0,F4251&gt;0),1,0)</f>
        <v>1</v>
      </c>
      <c r="J4251" s="7" t="n">
        <f aca="false">IF(I4251=1,D4251*F4251,0)</f>
        <v>132.8</v>
      </c>
      <c r="K4251" s="7" t="n">
        <f aca="false">YEAR(E4251)*100+MONTH(E4251)</f>
        <v>201111</v>
      </c>
      <c r="L4251" s="7" t="n">
        <f aca="false">IF(AND(A4251&lt;&gt;A4250,LEFT(A4251,1)&lt;&gt;"C"),1,0)</f>
        <v>0</v>
      </c>
    </row>
    <row r="4252" customFormat="false" ht="15" hidden="false" customHeight="false" outlineLevel="0" collapsed="false">
      <c r="A4252" s="0" t="s">
        <v>2700</v>
      </c>
      <c r="B4252" s="0" t="s">
        <v>2701</v>
      </c>
      <c r="C4252" s="0" t="s">
        <v>2702</v>
      </c>
      <c r="D4252" s="0" t="n">
        <v>12</v>
      </c>
      <c r="E4252" s="6" t="n">
        <v>40850.4138888889</v>
      </c>
      <c r="F4252" s="0" t="n">
        <v>1.25</v>
      </c>
      <c r="G4252" s="0" t="n">
        <v>12471</v>
      </c>
      <c r="H4252" s="0" t="s">
        <v>33</v>
      </c>
      <c r="I4252" s="7" t="n">
        <f aca="false">IF(AND(LEFT(A4252,1)&lt;&gt;"C",D4252&gt;0,F4252&gt;0),1,0)</f>
        <v>1</v>
      </c>
      <c r="J4252" s="7" t="n">
        <f aca="false">IF(I4252=1,D4252*F4252,0)</f>
        <v>15</v>
      </c>
      <c r="K4252" s="7" t="n">
        <f aca="false">YEAR(E4252)*100+MONTH(E4252)</f>
        <v>201111</v>
      </c>
      <c r="L4252" s="7" t="n">
        <f aca="false">IF(AND(A4252&lt;&gt;A4251,LEFT(A4252,1)&lt;&gt;"C"),1,0)</f>
        <v>0</v>
      </c>
    </row>
    <row r="4253" customFormat="false" ht="15" hidden="false" customHeight="false" outlineLevel="0" collapsed="false">
      <c r="A4253" s="0" t="s">
        <v>2700</v>
      </c>
      <c r="B4253" s="0" t="s">
        <v>1122</v>
      </c>
      <c r="C4253" s="0" t="s">
        <v>1123</v>
      </c>
      <c r="D4253" s="0" t="n">
        <v>12</v>
      </c>
      <c r="E4253" s="6" t="n">
        <v>40850.4138888889</v>
      </c>
      <c r="F4253" s="0" t="n">
        <v>0.83</v>
      </c>
      <c r="G4253" s="0" t="n">
        <v>12471</v>
      </c>
      <c r="H4253" s="0" t="s">
        <v>33</v>
      </c>
      <c r="I4253" s="7" t="n">
        <f aca="false">IF(AND(LEFT(A4253,1)&lt;&gt;"C",D4253&gt;0,F4253&gt;0),1,0)</f>
        <v>1</v>
      </c>
      <c r="J4253" s="7" t="n">
        <f aca="false">IF(I4253=1,D4253*F4253,0)</f>
        <v>9.96</v>
      </c>
      <c r="K4253" s="7" t="n">
        <f aca="false">YEAR(E4253)*100+MONTH(E4253)</f>
        <v>201111</v>
      </c>
      <c r="L4253" s="7" t="n">
        <f aca="false">IF(AND(A4253&lt;&gt;A4252,LEFT(A4253,1)&lt;&gt;"C"),1,0)</f>
        <v>0</v>
      </c>
    </row>
    <row r="4254" customFormat="false" ht="15" hidden="false" customHeight="false" outlineLevel="0" collapsed="false">
      <c r="A4254" s="0" t="s">
        <v>2700</v>
      </c>
      <c r="B4254" s="0" t="s">
        <v>2703</v>
      </c>
      <c r="C4254" s="0" t="s">
        <v>2704</v>
      </c>
      <c r="D4254" s="0" t="n">
        <v>12</v>
      </c>
      <c r="E4254" s="6" t="n">
        <v>40850.4138888889</v>
      </c>
      <c r="F4254" s="0" t="n">
        <v>0.83</v>
      </c>
      <c r="G4254" s="0" t="n">
        <v>12471</v>
      </c>
      <c r="H4254" s="0" t="s">
        <v>33</v>
      </c>
      <c r="I4254" s="7" t="n">
        <f aca="false">IF(AND(LEFT(A4254,1)&lt;&gt;"C",D4254&gt;0,F4254&gt;0),1,0)</f>
        <v>1</v>
      </c>
      <c r="J4254" s="7" t="n">
        <f aca="false">IF(I4254=1,D4254*F4254,0)</f>
        <v>9.96</v>
      </c>
      <c r="K4254" s="7" t="n">
        <f aca="false">YEAR(E4254)*100+MONTH(E4254)</f>
        <v>201111</v>
      </c>
      <c r="L4254" s="7" t="n">
        <f aca="false">IF(AND(A4254&lt;&gt;A4253,LEFT(A4254,1)&lt;&gt;"C"),1,0)</f>
        <v>0</v>
      </c>
    </row>
    <row r="4255" customFormat="false" ht="15" hidden="false" customHeight="false" outlineLevel="0" collapsed="false">
      <c r="A4255" s="0" t="s">
        <v>2700</v>
      </c>
      <c r="B4255" s="0" t="s">
        <v>1065</v>
      </c>
      <c r="C4255" s="0" t="s">
        <v>1066</v>
      </c>
      <c r="D4255" s="0" t="n">
        <v>18</v>
      </c>
      <c r="E4255" s="6" t="n">
        <v>40850.4138888889</v>
      </c>
      <c r="F4255" s="0" t="n">
        <v>2.08</v>
      </c>
      <c r="G4255" s="0" t="n">
        <v>12471</v>
      </c>
      <c r="H4255" s="0" t="s">
        <v>33</v>
      </c>
      <c r="I4255" s="7" t="n">
        <f aca="false">IF(AND(LEFT(A4255,1)&lt;&gt;"C",D4255&gt;0,F4255&gt;0),1,0)</f>
        <v>1</v>
      </c>
      <c r="J4255" s="7" t="n">
        <f aca="false">IF(I4255=1,D4255*F4255,0)</f>
        <v>37.44</v>
      </c>
      <c r="K4255" s="7" t="n">
        <f aca="false">YEAR(E4255)*100+MONTH(E4255)</f>
        <v>201111</v>
      </c>
      <c r="L4255" s="7" t="n">
        <f aca="false">IF(AND(A4255&lt;&gt;A4254,LEFT(A4255,1)&lt;&gt;"C"),1,0)</f>
        <v>0</v>
      </c>
    </row>
    <row r="4256" customFormat="false" ht="15" hidden="false" customHeight="false" outlineLevel="0" collapsed="false">
      <c r="A4256" s="0" t="s">
        <v>2700</v>
      </c>
      <c r="B4256" s="0" t="s">
        <v>1620</v>
      </c>
      <c r="C4256" s="0" t="s">
        <v>1621</v>
      </c>
      <c r="D4256" s="0" t="n">
        <v>16</v>
      </c>
      <c r="E4256" s="6" t="n">
        <v>40850.4138888889</v>
      </c>
      <c r="F4256" s="0" t="n">
        <v>0.65</v>
      </c>
      <c r="G4256" s="0" t="n">
        <v>12471</v>
      </c>
      <c r="H4256" s="0" t="s">
        <v>33</v>
      </c>
      <c r="I4256" s="7" t="n">
        <f aca="false">IF(AND(LEFT(A4256,1)&lt;&gt;"C",D4256&gt;0,F4256&gt;0),1,0)</f>
        <v>1</v>
      </c>
      <c r="J4256" s="7" t="n">
        <f aca="false">IF(I4256=1,D4256*F4256,0)</f>
        <v>10.4</v>
      </c>
      <c r="K4256" s="7" t="n">
        <f aca="false">YEAR(E4256)*100+MONTH(E4256)</f>
        <v>201111</v>
      </c>
      <c r="L4256" s="7" t="n">
        <f aca="false">IF(AND(A4256&lt;&gt;A4255,LEFT(A4256,1)&lt;&gt;"C"),1,0)</f>
        <v>0</v>
      </c>
    </row>
    <row r="4257" customFormat="false" ht="15" hidden="false" customHeight="false" outlineLevel="0" collapsed="false">
      <c r="A4257" s="0" t="s">
        <v>2700</v>
      </c>
      <c r="B4257" s="0" t="s">
        <v>537</v>
      </c>
      <c r="C4257" s="0" t="s">
        <v>538</v>
      </c>
      <c r="D4257" s="0" t="n">
        <v>6</v>
      </c>
      <c r="E4257" s="6" t="n">
        <v>40850.4138888889</v>
      </c>
      <c r="F4257" s="0" t="n">
        <v>4.15</v>
      </c>
      <c r="G4257" s="0" t="n">
        <v>12471</v>
      </c>
      <c r="H4257" s="0" t="s">
        <v>33</v>
      </c>
      <c r="I4257" s="7" t="n">
        <f aca="false">IF(AND(LEFT(A4257,1)&lt;&gt;"C",D4257&gt;0,F4257&gt;0),1,0)</f>
        <v>1</v>
      </c>
      <c r="J4257" s="7" t="n">
        <f aca="false">IF(I4257=1,D4257*F4257,0)</f>
        <v>24.9</v>
      </c>
      <c r="K4257" s="7" t="n">
        <f aca="false">YEAR(E4257)*100+MONTH(E4257)</f>
        <v>201111</v>
      </c>
      <c r="L4257" s="7" t="n">
        <f aca="false">IF(AND(A4257&lt;&gt;A4256,LEFT(A4257,1)&lt;&gt;"C"),1,0)</f>
        <v>0</v>
      </c>
    </row>
    <row r="4258" customFormat="false" ht="15" hidden="false" customHeight="false" outlineLevel="0" collapsed="false">
      <c r="A4258" s="0" t="s">
        <v>2700</v>
      </c>
      <c r="B4258" s="0" t="s">
        <v>140</v>
      </c>
      <c r="C4258" s="0" t="s">
        <v>141</v>
      </c>
      <c r="D4258" s="0" t="n">
        <v>12</v>
      </c>
      <c r="E4258" s="6" t="n">
        <v>40850.4138888889</v>
      </c>
      <c r="F4258" s="0" t="n">
        <v>1.45</v>
      </c>
      <c r="G4258" s="0" t="n">
        <v>12471</v>
      </c>
      <c r="H4258" s="0" t="s">
        <v>33</v>
      </c>
      <c r="I4258" s="7" t="n">
        <f aca="false">IF(AND(LEFT(A4258,1)&lt;&gt;"C",D4258&gt;0,F4258&gt;0),1,0)</f>
        <v>1</v>
      </c>
      <c r="J4258" s="7" t="n">
        <f aca="false">IF(I4258=1,D4258*F4258,0)</f>
        <v>17.4</v>
      </c>
      <c r="K4258" s="7" t="n">
        <f aca="false">YEAR(E4258)*100+MONTH(E4258)</f>
        <v>201111</v>
      </c>
      <c r="L4258" s="7" t="n">
        <f aca="false">IF(AND(A4258&lt;&gt;A4257,LEFT(A4258,1)&lt;&gt;"C"),1,0)</f>
        <v>0</v>
      </c>
    </row>
    <row r="4259" customFormat="false" ht="15" hidden="false" customHeight="false" outlineLevel="0" collapsed="false">
      <c r="A4259" s="0" t="s">
        <v>2700</v>
      </c>
      <c r="B4259" s="0" t="s">
        <v>830</v>
      </c>
      <c r="C4259" s="0" t="s">
        <v>831</v>
      </c>
      <c r="D4259" s="0" t="n">
        <v>36</v>
      </c>
      <c r="E4259" s="6" t="n">
        <v>40850.4138888889</v>
      </c>
      <c r="F4259" s="0" t="n">
        <v>0.83</v>
      </c>
      <c r="G4259" s="0" t="n">
        <v>12471</v>
      </c>
      <c r="H4259" s="0" t="s">
        <v>33</v>
      </c>
      <c r="I4259" s="7" t="n">
        <f aca="false">IF(AND(LEFT(A4259,1)&lt;&gt;"C",D4259&gt;0,F4259&gt;0),1,0)</f>
        <v>1</v>
      </c>
      <c r="J4259" s="7" t="n">
        <f aca="false">IF(I4259=1,D4259*F4259,0)</f>
        <v>29.88</v>
      </c>
      <c r="K4259" s="7" t="n">
        <f aca="false">YEAR(E4259)*100+MONTH(E4259)</f>
        <v>201111</v>
      </c>
      <c r="L4259" s="7" t="n">
        <f aca="false">IF(AND(A4259&lt;&gt;A4258,LEFT(A4259,1)&lt;&gt;"C"),1,0)</f>
        <v>0</v>
      </c>
    </row>
    <row r="4260" customFormat="false" ht="15" hidden="false" customHeight="false" outlineLevel="0" collapsed="false">
      <c r="A4260" s="0" t="s">
        <v>2700</v>
      </c>
      <c r="B4260" s="0" t="s">
        <v>2650</v>
      </c>
      <c r="C4260" s="0" t="s">
        <v>2651</v>
      </c>
      <c r="D4260" s="0" t="n">
        <v>12</v>
      </c>
      <c r="E4260" s="6" t="n">
        <v>40850.4138888889</v>
      </c>
      <c r="F4260" s="0" t="n">
        <v>0.83</v>
      </c>
      <c r="G4260" s="0" t="n">
        <v>12471</v>
      </c>
      <c r="H4260" s="0" t="s">
        <v>33</v>
      </c>
      <c r="I4260" s="7" t="n">
        <f aca="false">IF(AND(LEFT(A4260,1)&lt;&gt;"C",D4260&gt;0,F4260&gt;0),1,0)</f>
        <v>1</v>
      </c>
      <c r="J4260" s="7" t="n">
        <f aca="false">IF(I4260=1,D4260*F4260,0)</f>
        <v>9.96</v>
      </c>
      <c r="K4260" s="7" t="n">
        <f aca="false">YEAR(E4260)*100+MONTH(E4260)</f>
        <v>201111</v>
      </c>
      <c r="L4260" s="7" t="n">
        <f aca="false">IF(AND(A4260&lt;&gt;A4259,LEFT(A4260,1)&lt;&gt;"C"),1,0)</f>
        <v>0</v>
      </c>
    </row>
    <row r="4261" customFormat="false" ht="15" hidden="false" customHeight="false" outlineLevel="0" collapsed="false">
      <c r="A4261" s="0" t="s">
        <v>2700</v>
      </c>
      <c r="B4261" s="0" t="s">
        <v>2591</v>
      </c>
      <c r="C4261" s="0" t="s">
        <v>2592</v>
      </c>
      <c r="D4261" s="0" t="n">
        <v>12</v>
      </c>
      <c r="E4261" s="6" t="n">
        <v>40850.4138888889</v>
      </c>
      <c r="F4261" s="0" t="n">
        <v>0.83</v>
      </c>
      <c r="G4261" s="0" t="n">
        <v>12471</v>
      </c>
      <c r="H4261" s="0" t="s">
        <v>33</v>
      </c>
      <c r="I4261" s="7" t="n">
        <f aca="false">IF(AND(LEFT(A4261,1)&lt;&gt;"C",D4261&gt;0,F4261&gt;0),1,0)</f>
        <v>1</v>
      </c>
      <c r="J4261" s="7" t="n">
        <f aca="false">IF(I4261=1,D4261*F4261,0)</f>
        <v>9.96</v>
      </c>
      <c r="K4261" s="7" t="n">
        <f aca="false">YEAR(E4261)*100+MONTH(E4261)</f>
        <v>201111</v>
      </c>
      <c r="L4261" s="7" t="n">
        <f aca="false">IF(AND(A4261&lt;&gt;A4260,LEFT(A4261,1)&lt;&gt;"C"),1,0)</f>
        <v>0</v>
      </c>
    </row>
    <row r="4262" customFormat="false" ht="15" hidden="false" customHeight="false" outlineLevel="0" collapsed="false">
      <c r="A4262" s="0" t="s">
        <v>2700</v>
      </c>
      <c r="B4262" s="0" t="s">
        <v>2705</v>
      </c>
      <c r="C4262" s="0" t="s">
        <v>2706</v>
      </c>
      <c r="D4262" s="0" t="n">
        <v>12</v>
      </c>
      <c r="E4262" s="6" t="n">
        <v>40850.4138888889</v>
      </c>
      <c r="F4262" s="0" t="n">
        <v>0.83</v>
      </c>
      <c r="G4262" s="0" t="n">
        <v>12471</v>
      </c>
      <c r="H4262" s="0" t="s">
        <v>33</v>
      </c>
      <c r="I4262" s="7" t="n">
        <f aca="false">IF(AND(LEFT(A4262,1)&lt;&gt;"C",D4262&gt;0,F4262&gt;0),1,0)</f>
        <v>1</v>
      </c>
      <c r="J4262" s="7" t="n">
        <f aca="false">IF(I4262=1,D4262*F4262,0)</f>
        <v>9.96</v>
      </c>
      <c r="K4262" s="7" t="n">
        <f aca="false">YEAR(E4262)*100+MONTH(E4262)</f>
        <v>201111</v>
      </c>
      <c r="L4262" s="7" t="n">
        <f aca="false">IF(AND(A4262&lt;&gt;A4261,LEFT(A4262,1)&lt;&gt;"C"),1,0)</f>
        <v>0</v>
      </c>
    </row>
    <row r="4263" customFormat="false" ht="15" hidden="false" customHeight="false" outlineLevel="0" collapsed="false">
      <c r="A4263" s="0" t="s">
        <v>2700</v>
      </c>
      <c r="B4263" s="0" t="s">
        <v>84</v>
      </c>
      <c r="C4263" s="0" t="s">
        <v>85</v>
      </c>
      <c r="D4263" s="0" t="n">
        <v>5</v>
      </c>
      <c r="E4263" s="6" t="n">
        <v>40850.4138888889</v>
      </c>
      <c r="F4263" s="0" t="n">
        <v>18</v>
      </c>
      <c r="G4263" s="0" t="n">
        <v>12471</v>
      </c>
      <c r="H4263" s="0" t="s">
        <v>33</v>
      </c>
      <c r="I4263" s="7" t="n">
        <f aca="false">IF(AND(LEFT(A4263,1)&lt;&gt;"C",D4263&gt;0,F4263&gt;0),1,0)</f>
        <v>1</v>
      </c>
      <c r="J4263" s="7" t="n">
        <f aca="false">IF(I4263=1,D4263*F4263,0)</f>
        <v>90</v>
      </c>
      <c r="K4263" s="7" t="n">
        <f aca="false">YEAR(E4263)*100+MONTH(E4263)</f>
        <v>201111</v>
      </c>
      <c r="L4263" s="7" t="n">
        <f aca="false">IF(AND(A4263&lt;&gt;A4262,LEFT(A4263,1)&lt;&gt;"C"),1,0)</f>
        <v>0</v>
      </c>
    </row>
    <row r="4264" customFormat="false" ht="15" hidden="false" customHeight="false" outlineLevel="0" collapsed="false">
      <c r="A4264" s="0" t="s">
        <v>2707</v>
      </c>
      <c r="B4264" s="0" t="s">
        <v>62</v>
      </c>
      <c r="C4264" s="0" t="s">
        <v>63</v>
      </c>
      <c r="D4264" s="0" t="n">
        <v>96</v>
      </c>
      <c r="E4264" s="6" t="n">
        <v>40850.4479166667</v>
      </c>
      <c r="F4264" s="0" t="n">
        <v>1.79</v>
      </c>
      <c r="G4264" s="0" t="n">
        <v>12615</v>
      </c>
      <c r="H4264" s="0" t="s">
        <v>43</v>
      </c>
      <c r="I4264" s="7" t="n">
        <f aca="false">IF(AND(LEFT(A4264,1)&lt;&gt;"C",D4264&gt;0,F4264&gt;0),1,0)</f>
        <v>1</v>
      </c>
      <c r="J4264" s="7" t="n">
        <f aca="false">IF(I4264=1,D4264*F4264,0)</f>
        <v>171.84</v>
      </c>
      <c r="K4264" s="7" t="n">
        <f aca="false">YEAR(E4264)*100+MONTH(E4264)</f>
        <v>201111</v>
      </c>
      <c r="L4264" s="7" t="n">
        <f aca="false">IF(AND(A4264&lt;&gt;A4263,LEFT(A4264,1)&lt;&gt;"C"),1,0)</f>
        <v>1</v>
      </c>
    </row>
    <row r="4265" customFormat="false" ht="15" hidden="false" customHeight="false" outlineLevel="0" collapsed="false">
      <c r="A4265" s="0" t="s">
        <v>2707</v>
      </c>
      <c r="B4265" s="0" t="s">
        <v>2655</v>
      </c>
      <c r="C4265" s="0" t="s">
        <v>2656</v>
      </c>
      <c r="D4265" s="0" t="n">
        <v>8</v>
      </c>
      <c r="E4265" s="6" t="n">
        <v>40850.4479166667</v>
      </c>
      <c r="F4265" s="0" t="n">
        <v>4.95</v>
      </c>
      <c r="G4265" s="0" t="n">
        <v>12615</v>
      </c>
      <c r="H4265" s="0" t="s">
        <v>43</v>
      </c>
      <c r="I4265" s="7" t="n">
        <f aca="false">IF(AND(LEFT(A4265,1)&lt;&gt;"C",D4265&gt;0,F4265&gt;0),1,0)</f>
        <v>1</v>
      </c>
      <c r="J4265" s="7" t="n">
        <f aca="false">IF(I4265=1,D4265*F4265,0)</f>
        <v>39.6</v>
      </c>
      <c r="K4265" s="7" t="n">
        <f aca="false">YEAR(E4265)*100+MONTH(E4265)</f>
        <v>201111</v>
      </c>
      <c r="L4265" s="7" t="n">
        <f aca="false">IF(AND(A4265&lt;&gt;A4264,LEFT(A4265,1)&lt;&gt;"C"),1,0)</f>
        <v>0</v>
      </c>
    </row>
    <row r="4266" customFormat="false" ht="15" hidden="false" customHeight="false" outlineLevel="0" collapsed="false">
      <c r="A4266" s="0" t="s">
        <v>2707</v>
      </c>
      <c r="B4266" s="0" t="s">
        <v>2544</v>
      </c>
      <c r="C4266" s="0" t="s">
        <v>2545</v>
      </c>
      <c r="D4266" s="0" t="n">
        <v>12</v>
      </c>
      <c r="E4266" s="6" t="n">
        <v>40850.4479166667</v>
      </c>
      <c r="F4266" s="0" t="n">
        <v>1.65</v>
      </c>
      <c r="G4266" s="0" t="n">
        <v>12615</v>
      </c>
      <c r="H4266" s="0" t="s">
        <v>43</v>
      </c>
      <c r="I4266" s="7" t="n">
        <f aca="false">IF(AND(LEFT(A4266,1)&lt;&gt;"C",D4266&gt;0,F4266&gt;0),1,0)</f>
        <v>1</v>
      </c>
      <c r="J4266" s="7" t="n">
        <f aca="false">IF(I4266=1,D4266*F4266,0)</f>
        <v>19.8</v>
      </c>
      <c r="K4266" s="7" t="n">
        <f aca="false">YEAR(E4266)*100+MONTH(E4266)</f>
        <v>201111</v>
      </c>
      <c r="L4266" s="7" t="n">
        <f aca="false">IF(AND(A4266&lt;&gt;A4265,LEFT(A4266,1)&lt;&gt;"C"),1,0)</f>
        <v>0</v>
      </c>
    </row>
    <row r="4267" customFormat="false" ht="15" hidden="false" customHeight="false" outlineLevel="0" collapsed="false">
      <c r="A4267" s="0" t="s">
        <v>2707</v>
      </c>
      <c r="B4267" s="0" t="s">
        <v>2282</v>
      </c>
      <c r="C4267" s="0" t="s">
        <v>2283</v>
      </c>
      <c r="D4267" s="0" t="n">
        <v>6</v>
      </c>
      <c r="E4267" s="6" t="n">
        <v>40850.4479166667</v>
      </c>
      <c r="F4267" s="0" t="n">
        <v>7.95</v>
      </c>
      <c r="G4267" s="0" t="n">
        <v>12615</v>
      </c>
      <c r="H4267" s="0" t="s">
        <v>43</v>
      </c>
      <c r="I4267" s="7" t="n">
        <f aca="false">IF(AND(LEFT(A4267,1)&lt;&gt;"C",D4267&gt;0,F4267&gt;0),1,0)</f>
        <v>1</v>
      </c>
      <c r="J4267" s="7" t="n">
        <f aca="false">IF(I4267=1,D4267*F4267,0)</f>
        <v>47.7</v>
      </c>
      <c r="K4267" s="7" t="n">
        <f aca="false">YEAR(E4267)*100+MONTH(E4267)</f>
        <v>201111</v>
      </c>
      <c r="L4267" s="7" t="n">
        <f aca="false">IF(AND(A4267&lt;&gt;A4266,LEFT(A4267,1)&lt;&gt;"C"),1,0)</f>
        <v>0</v>
      </c>
    </row>
    <row r="4268" customFormat="false" ht="15" hidden="false" customHeight="false" outlineLevel="0" collapsed="false">
      <c r="A4268" s="0" t="s">
        <v>2707</v>
      </c>
      <c r="B4268" s="0" t="s">
        <v>465</v>
      </c>
      <c r="C4268" s="0" t="s">
        <v>466</v>
      </c>
      <c r="D4268" s="0" t="n">
        <v>2</v>
      </c>
      <c r="E4268" s="6" t="n">
        <v>40850.4479166667</v>
      </c>
      <c r="F4268" s="0" t="n">
        <v>7.95</v>
      </c>
      <c r="G4268" s="0" t="n">
        <v>12615</v>
      </c>
      <c r="H4268" s="0" t="s">
        <v>43</v>
      </c>
      <c r="I4268" s="7" t="n">
        <f aca="false">IF(AND(LEFT(A4268,1)&lt;&gt;"C",D4268&gt;0,F4268&gt;0),1,0)</f>
        <v>1</v>
      </c>
      <c r="J4268" s="7" t="n">
        <f aca="false">IF(I4268=1,D4268*F4268,0)</f>
        <v>15.9</v>
      </c>
      <c r="K4268" s="7" t="n">
        <f aca="false">YEAR(E4268)*100+MONTH(E4268)</f>
        <v>201111</v>
      </c>
      <c r="L4268" s="7" t="n">
        <f aca="false">IF(AND(A4268&lt;&gt;A4267,LEFT(A4268,1)&lt;&gt;"C"),1,0)</f>
        <v>0</v>
      </c>
    </row>
    <row r="4269" customFormat="false" ht="15" hidden="false" customHeight="false" outlineLevel="0" collapsed="false">
      <c r="A4269" s="0" t="s">
        <v>2707</v>
      </c>
      <c r="B4269" s="0" t="s">
        <v>1149</v>
      </c>
      <c r="C4269" s="0" t="s">
        <v>1150</v>
      </c>
      <c r="D4269" s="0" t="n">
        <v>3</v>
      </c>
      <c r="E4269" s="6" t="n">
        <v>40850.4479166667</v>
      </c>
      <c r="F4269" s="0" t="n">
        <v>5.95</v>
      </c>
      <c r="G4269" s="0" t="n">
        <v>12615</v>
      </c>
      <c r="H4269" s="0" t="s">
        <v>43</v>
      </c>
      <c r="I4269" s="7" t="n">
        <f aca="false">IF(AND(LEFT(A4269,1)&lt;&gt;"C",D4269&gt;0,F4269&gt;0),1,0)</f>
        <v>1</v>
      </c>
      <c r="J4269" s="7" t="n">
        <f aca="false">IF(I4269=1,D4269*F4269,0)</f>
        <v>17.85</v>
      </c>
      <c r="K4269" s="7" t="n">
        <f aca="false">YEAR(E4269)*100+MONTH(E4269)</f>
        <v>201111</v>
      </c>
      <c r="L4269" s="7" t="n">
        <f aca="false">IF(AND(A4269&lt;&gt;A4268,LEFT(A4269,1)&lt;&gt;"C"),1,0)</f>
        <v>0</v>
      </c>
    </row>
    <row r="4270" customFormat="false" ht="15" hidden="false" customHeight="false" outlineLevel="0" collapsed="false">
      <c r="A4270" s="0" t="s">
        <v>2707</v>
      </c>
      <c r="B4270" s="0" t="s">
        <v>1187</v>
      </c>
      <c r="C4270" s="0" t="s">
        <v>1188</v>
      </c>
      <c r="D4270" s="0" t="n">
        <v>6</v>
      </c>
      <c r="E4270" s="6" t="n">
        <v>40850.4479166667</v>
      </c>
      <c r="F4270" s="0" t="n">
        <v>5.95</v>
      </c>
      <c r="G4270" s="0" t="n">
        <v>12615</v>
      </c>
      <c r="H4270" s="0" t="s">
        <v>43</v>
      </c>
      <c r="I4270" s="7" t="n">
        <f aca="false">IF(AND(LEFT(A4270,1)&lt;&gt;"C",D4270&gt;0,F4270&gt;0),1,0)</f>
        <v>1</v>
      </c>
      <c r="J4270" s="7" t="n">
        <f aca="false">IF(I4270=1,D4270*F4270,0)</f>
        <v>35.7</v>
      </c>
      <c r="K4270" s="7" t="n">
        <f aca="false">YEAR(E4270)*100+MONTH(E4270)</f>
        <v>201111</v>
      </c>
      <c r="L4270" s="7" t="n">
        <f aca="false">IF(AND(A4270&lt;&gt;A4269,LEFT(A4270,1)&lt;&gt;"C"),1,0)</f>
        <v>0</v>
      </c>
    </row>
    <row r="4271" customFormat="false" ht="15" hidden="false" customHeight="false" outlineLevel="0" collapsed="false">
      <c r="A4271" s="0" t="s">
        <v>2707</v>
      </c>
      <c r="B4271" s="0" t="s">
        <v>2708</v>
      </c>
      <c r="C4271" s="0" t="s">
        <v>2709</v>
      </c>
      <c r="D4271" s="0" t="n">
        <v>12</v>
      </c>
      <c r="E4271" s="6" t="n">
        <v>40850.4479166667</v>
      </c>
      <c r="F4271" s="0" t="n">
        <v>1.25</v>
      </c>
      <c r="G4271" s="0" t="n">
        <v>12615</v>
      </c>
      <c r="H4271" s="0" t="s">
        <v>43</v>
      </c>
      <c r="I4271" s="7" t="n">
        <f aca="false">IF(AND(LEFT(A4271,1)&lt;&gt;"C",D4271&gt;0,F4271&gt;0),1,0)</f>
        <v>1</v>
      </c>
      <c r="J4271" s="7" t="n">
        <f aca="false">IF(I4271=1,D4271*F4271,0)</f>
        <v>15</v>
      </c>
      <c r="K4271" s="7" t="n">
        <f aca="false">YEAR(E4271)*100+MONTH(E4271)</f>
        <v>201111</v>
      </c>
      <c r="L4271" s="7" t="n">
        <f aca="false">IF(AND(A4271&lt;&gt;A4270,LEFT(A4271,1)&lt;&gt;"C"),1,0)</f>
        <v>0</v>
      </c>
    </row>
    <row r="4272" customFormat="false" ht="15" hidden="false" customHeight="false" outlineLevel="0" collapsed="false">
      <c r="A4272" s="0" t="s">
        <v>2707</v>
      </c>
      <c r="B4272" s="0" t="s">
        <v>2710</v>
      </c>
      <c r="C4272" s="0" t="s">
        <v>2711</v>
      </c>
      <c r="D4272" s="0" t="n">
        <v>12</v>
      </c>
      <c r="E4272" s="6" t="n">
        <v>40850.4479166667</v>
      </c>
      <c r="F4272" s="0" t="n">
        <v>2.08</v>
      </c>
      <c r="G4272" s="0" t="n">
        <v>12615</v>
      </c>
      <c r="H4272" s="0" t="s">
        <v>43</v>
      </c>
      <c r="I4272" s="7" t="n">
        <f aca="false">IF(AND(LEFT(A4272,1)&lt;&gt;"C",D4272&gt;0,F4272&gt;0),1,0)</f>
        <v>1</v>
      </c>
      <c r="J4272" s="7" t="n">
        <f aca="false">IF(I4272=1,D4272*F4272,0)</f>
        <v>24.96</v>
      </c>
      <c r="K4272" s="7" t="n">
        <f aca="false">YEAR(E4272)*100+MONTH(E4272)</f>
        <v>201111</v>
      </c>
      <c r="L4272" s="7" t="n">
        <f aca="false">IF(AND(A4272&lt;&gt;A4271,LEFT(A4272,1)&lt;&gt;"C"),1,0)</f>
        <v>0</v>
      </c>
    </row>
    <row r="4273" customFormat="false" ht="15" hidden="false" customHeight="false" outlineLevel="0" collapsed="false">
      <c r="A4273" s="0" t="s">
        <v>2707</v>
      </c>
      <c r="B4273" s="0" t="s">
        <v>1039</v>
      </c>
      <c r="C4273" s="0" t="s">
        <v>1040</v>
      </c>
      <c r="D4273" s="0" t="n">
        <v>12</v>
      </c>
      <c r="E4273" s="6" t="n">
        <v>40850.4479166667</v>
      </c>
      <c r="F4273" s="0" t="n">
        <v>0.83</v>
      </c>
      <c r="G4273" s="0" t="n">
        <v>12615</v>
      </c>
      <c r="H4273" s="0" t="s">
        <v>43</v>
      </c>
      <c r="I4273" s="7" t="n">
        <f aca="false">IF(AND(LEFT(A4273,1)&lt;&gt;"C",D4273&gt;0,F4273&gt;0),1,0)</f>
        <v>1</v>
      </c>
      <c r="J4273" s="7" t="n">
        <f aca="false">IF(I4273=1,D4273*F4273,0)</f>
        <v>9.96</v>
      </c>
      <c r="K4273" s="7" t="n">
        <f aca="false">YEAR(E4273)*100+MONTH(E4273)</f>
        <v>201111</v>
      </c>
      <c r="L4273" s="7" t="n">
        <f aca="false">IF(AND(A4273&lt;&gt;A4272,LEFT(A4273,1)&lt;&gt;"C"),1,0)</f>
        <v>0</v>
      </c>
    </row>
    <row r="4274" customFormat="false" ht="15" hidden="false" customHeight="false" outlineLevel="0" collapsed="false">
      <c r="A4274" s="0" t="s">
        <v>2707</v>
      </c>
      <c r="B4274" s="0" t="s">
        <v>1037</v>
      </c>
      <c r="C4274" s="0" t="s">
        <v>1038</v>
      </c>
      <c r="D4274" s="0" t="n">
        <v>12</v>
      </c>
      <c r="E4274" s="6" t="n">
        <v>40850.4479166667</v>
      </c>
      <c r="F4274" s="0" t="n">
        <v>0.83</v>
      </c>
      <c r="G4274" s="0" t="n">
        <v>12615</v>
      </c>
      <c r="H4274" s="0" t="s">
        <v>43</v>
      </c>
      <c r="I4274" s="7" t="n">
        <f aca="false">IF(AND(LEFT(A4274,1)&lt;&gt;"C",D4274&gt;0,F4274&gt;0),1,0)</f>
        <v>1</v>
      </c>
      <c r="J4274" s="7" t="n">
        <f aca="false">IF(I4274=1,D4274*F4274,0)</f>
        <v>9.96</v>
      </c>
      <c r="K4274" s="7" t="n">
        <f aca="false">YEAR(E4274)*100+MONTH(E4274)</f>
        <v>201111</v>
      </c>
      <c r="L4274" s="7" t="n">
        <f aca="false">IF(AND(A4274&lt;&gt;A4273,LEFT(A4274,1)&lt;&gt;"C"),1,0)</f>
        <v>0</v>
      </c>
    </row>
    <row r="4275" customFormat="false" ht="15" hidden="false" customHeight="false" outlineLevel="0" collapsed="false">
      <c r="A4275" s="0" t="s">
        <v>2707</v>
      </c>
      <c r="B4275" s="0" t="s">
        <v>2712</v>
      </c>
      <c r="C4275" s="0" t="s">
        <v>2713</v>
      </c>
      <c r="D4275" s="0" t="n">
        <v>12</v>
      </c>
      <c r="E4275" s="6" t="n">
        <v>40850.4479166667</v>
      </c>
      <c r="F4275" s="0" t="n">
        <v>1.25</v>
      </c>
      <c r="G4275" s="0" t="n">
        <v>12615</v>
      </c>
      <c r="H4275" s="0" t="s">
        <v>43</v>
      </c>
      <c r="I4275" s="7" t="n">
        <f aca="false">IF(AND(LEFT(A4275,1)&lt;&gt;"C",D4275&gt;0,F4275&gt;0),1,0)</f>
        <v>1</v>
      </c>
      <c r="J4275" s="7" t="n">
        <f aca="false">IF(I4275=1,D4275*F4275,0)</f>
        <v>15</v>
      </c>
      <c r="K4275" s="7" t="n">
        <f aca="false">YEAR(E4275)*100+MONTH(E4275)</f>
        <v>201111</v>
      </c>
      <c r="L4275" s="7" t="n">
        <f aca="false">IF(AND(A4275&lt;&gt;A4274,LEFT(A4275,1)&lt;&gt;"C"),1,0)</f>
        <v>0</v>
      </c>
    </row>
    <row r="4276" customFormat="false" ht="15" hidden="false" customHeight="false" outlineLevel="0" collapsed="false">
      <c r="A4276" s="0" t="s">
        <v>2707</v>
      </c>
      <c r="B4276" s="0" t="s">
        <v>2357</v>
      </c>
      <c r="C4276" s="0" t="s">
        <v>2358</v>
      </c>
      <c r="D4276" s="0" t="n">
        <v>12</v>
      </c>
      <c r="E4276" s="6" t="n">
        <v>40850.4479166667</v>
      </c>
      <c r="F4276" s="0" t="n">
        <v>0.85</v>
      </c>
      <c r="G4276" s="0" t="n">
        <v>12615</v>
      </c>
      <c r="H4276" s="0" t="s">
        <v>43</v>
      </c>
      <c r="I4276" s="7" t="n">
        <f aca="false">IF(AND(LEFT(A4276,1)&lt;&gt;"C",D4276&gt;0,F4276&gt;0),1,0)</f>
        <v>1</v>
      </c>
      <c r="J4276" s="7" t="n">
        <f aca="false">IF(I4276=1,D4276*F4276,0)</f>
        <v>10.2</v>
      </c>
      <c r="K4276" s="7" t="n">
        <f aca="false">YEAR(E4276)*100+MONTH(E4276)</f>
        <v>201111</v>
      </c>
      <c r="L4276" s="7" t="n">
        <f aca="false">IF(AND(A4276&lt;&gt;A4275,LEFT(A4276,1)&lt;&gt;"C"),1,0)</f>
        <v>0</v>
      </c>
    </row>
    <row r="4277" customFormat="false" ht="15" hidden="false" customHeight="false" outlineLevel="0" collapsed="false">
      <c r="A4277" s="0" t="s">
        <v>2707</v>
      </c>
      <c r="B4277" s="0" t="s">
        <v>2714</v>
      </c>
      <c r="C4277" s="0" t="s">
        <v>2715</v>
      </c>
      <c r="D4277" s="0" t="n">
        <v>12</v>
      </c>
      <c r="E4277" s="6" t="n">
        <v>40850.4479166667</v>
      </c>
      <c r="F4277" s="0" t="n">
        <v>0.85</v>
      </c>
      <c r="G4277" s="0" t="n">
        <v>12615</v>
      </c>
      <c r="H4277" s="0" t="s">
        <v>43</v>
      </c>
      <c r="I4277" s="7" t="n">
        <f aca="false">IF(AND(LEFT(A4277,1)&lt;&gt;"C",D4277&gt;0,F4277&gt;0),1,0)</f>
        <v>1</v>
      </c>
      <c r="J4277" s="7" t="n">
        <f aca="false">IF(I4277=1,D4277*F4277,0)</f>
        <v>10.2</v>
      </c>
      <c r="K4277" s="7" t="n">
        <f aca="false">YEAR(E4277)*100+MONTH(E4277)</f>
        <v>201111</v>
      </c>
      <c r="L4277" s="7" t="n">
        <f aca="false">IF(AND(A4277&lt;&gt;A4276,LEFT(A4277,1)&lt;&gt;"C"),1,0)</f>
        <v>0</v>
      </c>
    </row>
    <row r="4278" customFormat="false" ht="15" hidden="false" customHeight="false" outlineLevel="0" collapsed="false">
      <c r="A4278" s="0" t="s">
        <v>2707</v>
      </c>
      <c r="B4278" s="0" t="s">
        <v>705</v>
      </c>
      <c r="C4278" s="0" t="s">
        <v>706</v>
      </c>
      <c r="D4278" s="0" t="n">
        <v>12</v>
      </c>
      <c r="E4278" s="6" t="n">
        <v>40850.4479166667</v>
      </c>
      <c r="F4278" s="0" t="n">
        <v>0.85</v>
      </c>
      <c r="G4278" s="0" t="n">
        <v>12615</v>
      </c>
      <c r="H4278" s="0" t="s">
        <v>43</v>
      </c>
      <c r="I4278" s="7" t="n">
        <f aca="false">IF(AND(LEFT(A4278,1)&lt;&gt;"C",D4278&gt;0,F4278&gt;0),1,0)</f>
        <v>1</v>
      </c>
      <c r="J4278" s="7" t="n">
        <f aca="false">IF(I4278=1,D4278*F4278,0)</f>
        <v>10.2</v>
      </c>
      <c r="K4278" s="7" t="n">
        <f aca="false">YEAR(E4278)*100+MONTH(E4278)</f>
        <v>201111</v>
      </c>
      <c r="L4278" s="7" t="n">
        <f aca="false">IF(AND(A4278&lt;&gt;A4277,LEFT(A4278,1)&lt;&gt;"C"),1,0)</f>
        <v>0</v>
      </c>
    </row>
    <row r="4279" customFormat="false" ht="15" hidden="false" customHeight="false" outlineLevel="0" collapsed="false">
      <c r="A4279" s="0" t="s">
        <v>2707</v>
      </c>
      <c r="B4279" s="0" t="s">
        <v>2463</v>
      </c>
      <c r="C4279" s="0" t="s">
        <v>2464</v>
      </c>
      <c r="D4279" s="0" t="n">
        <v>24</v>
      </c>
      <c r="E4279" s="6" t="n">
        <v>40850.4479166667</v>
      </c>
      <c r="F4279" s="0" t="n">
        <v>1.25</v>
      </c>
      <c r="G4279" s="0" t="n">
        <v>12615</v>
      </c>
      <c r="H4279" s="0" t="s">
        <v>43</v>
      </c>
      <c r="I4279" s="7" t="n">
        <f aca="false">IF(AND(LEFT(A4279,1)&lt;&gt;"C",D4279&gt;0,F4279&gt;0),1,0)</f>
        <v>1</v>
      </c>
      <c r="J4279" s="7" t="n">
        <f aca="false">IF(I4279=1,D4279*F4279,0)</f>
        <v>30</v>
      </c>
      <c r="K4279" s="7" t="n">
        <f aca="false">YEAR(E4279)*100+MONTH(E4279)</f>
        <v>201111</v>
      </c>
      <c r="L4279" s="7" t="n">
        <f aca="false">IF(AND(A4279&lt;&gt;A4278,LEFT(A4279,1)&lt;&gt;"C"),1,0)</f>
        <v>0</v>
      </c>
    </row>
    <row r="4280" customFormat="false" ht="15" hidden="false" customHeight="false" outlineLevel="0" collapsed="false">
      <c r="A4280" s="0" t="s">
        <v>2707</v>
      </c>
      <c r="B4280" s="0" t="s">
        <v>699</v>
      </c>
      <c r="C4280" s="0" t="s">
        <v>700</v>
      </c>
      <c r="D4280" s="0" t="n">
        <v>12</v>
      </c>
      <c r="E4280" s="6" t="n">
        <v>40850.4479166667</v>
      </c>
      <c r="F4280" s="0" t="n">
        <v>1.25</v>
      </c>
      <c r="G4280" s="0" t="n">
        <v>12615</v>
      </c>
      <c r="H4280" s="0" t="s">
        <v>43</v>
      </c>
      <c r="I4280" s="7" t="n">
        <f aca="false">IF(AND(LEFT(A4280,1)&lt;&gt;"C",D4280&gt;0,F4280&gt;0),1,0)</f>
        <v>1</v>
      </c>
      <c r="J4280" s="7" t="n">
        <f aca="false">IF(I4280=1,D4280*F4280,0)</f>
        <v>15</v>
      </c>
      <c r="K4280" s="7" t="n">
        <f aca="false">YEAR(E4280)*100+MONTH(E4280)</f>
        <v>201111</v>
      </c>
      <c r="L4280" s="7" t="n">
        <f aca="false">IF(AND(A4280&lt;&gt;A4279,LEFT(A4280,1)&lt;&gt;"C"),1,0)</f>
        <v>0</v>
      </c>
    </row>
    <row r="4281" customFormat="false" ht="15" hidden="false" customHeight="false" outlineLevel="0" collapsed="false">
      <c r="A4281" s="0" t="s">
        <v>2707</v>
      </c>
      <c r="B4281" s="0" t="s">
        <v>2465</v>
      </c>
      <c r="C4281" s="0" t="s">
        <v>2466</v>
      </c>
      <c r="D4281" s="0" t="n">
        <v>24</v>
      </c>
      <c r="E4281" s="6" t="n">
        <v>40850.4479166667</v>
      </c>
      <c r="F4281" s="0" t="n">
        <v>1.25</v>
      </c>
      <c r="G4281" s="0" t="n">
        <v>12615</v>
      </c>
      <c r="H4281" s="0" t="s">
        <v>43</v>
      </c>
      <c r="I4281" s="7" t="n">
        <f aca="false">IF(AND(LEFT(A4281,1)&lt;&gt;"C",D4281&gt;0,F4281&gt;0),1,0)</f>
        <v>1</v>
      </c>
      <c r="J4281" s="7" t="n">
        <f aca="false">IF(I4281=1,D4281*F4281,0)</f>
        <v>30</v>
      </c>
      <c r="K4281" s="7" t="n">
        <f aca="false">YEAR(E4281)*100+MONTH(E4281)</f>
        <v>201111</v>
      </c>
      <c r="L4281" s="7" t="n">
        <f aca="false">IF(AND(A4281&lt;&gt;A4280,LEFT(A4281,1)&lt;&gt;"C"),1,0)</f>
        <v>0</v>
      </c>
    </row>
    <row r="4282" customFormat="false" ht="15" hidden="false" customHeight="false" outlineLevel="0" collapsed="false">
      <c r="A4282" s="0" t="s">
        <v>2707</v>
      </c>
      <c r="B4282" s="0" t="s">
        <v>388</v>
      </c>
      <c r="C4282" s="0" t="s">
        <v>389</v>
      </c>
      <c r="D4282" s="0" t="n">
        <v>16</v>
      </c>
      <c r="E4282" s="6" t="n">
        <v>40850.4479166667</v>
      </c>
      <c r="F4282" s="0" t="n">
        <v>1.69</v>
      </c>
      <c r="G4282" s="0" t="n">
        <v>12615</v>
      </c>
      <c r="H4282" s="0" t="s">
        <v>43</v>
      </c>
      <c r="I4282" s="7" t="n">
        <f aca="false">IF(AND(LEFT(A4282,1)&lt;&gt;"C",D4282&gt;0,F4282&gt;0),1,0)</f>
        <v>1</v>
      </c>
      <c r="J4282" s="7" t="n">
        <f aca="false">IF(I4282=1,D4282*F4282,0)</f>
        <v>27.04</v>
      </c>
      <c r="K4282" s="7" t="n">
        <f aca="false">YEAR(E4282)*100+MONTH(E4282)</f>
        <v>201111</v>
      </c>
      <c r="L4282" s="7" t="n">
        <f aca="false">IF(AND(A4282&lt;&gt;A4281,LEFT(A4282,1)&lt;&gt;"C"),1,0)</f>
        <v>0</v>
      </c>
    </row>
    <row r="4283" customFormat="false" ht="15" hidden="false" customHeight="false" outlineLevel="0" collapsed="false">
      <c r="A4283" s="0" t="s">
        <v>2707</v>
      </c>
      <c r="B4283" s="0" t="s">
        <v>308</v>
      </c>
      <c r="C4283" s="0" t="s">
        <v>309</v>
      </c>
      <c r="D4283" s="0" t="n">
        <v>12</v>
      </c>
      <c r="E4283" s="6" t="n">
        <v>40850.4479166667</v>
      </c>
      <c r="F4283" s="0" t="n">
        <v>1.25</v>
      </c>
      <c r="G4283" s="0" t="n">
        <v>12615</v>
      </c>
      <c r="H4283" s="0" t="s">
        <v>43</v>
      </c>
      <c r="I4283" s="7" t="n">
        <f aca="false">IF(AND(LEFT(A4283,1)&lt;&gt;"C",D4283&gt;0,F4283&gt;0),1,0)</f>
        <v>1</v>
      </c>
      <c r="J4283" s="7" t="n">
        <f aca="false">IF(I4283=1,D4283*F4283,0)</f>
        <v>15</v>
      </c>
      <c r="K4283" s="7" t="n">
        <f aca="false">YEAR(E4283)*100+MONTH(E4283)</f>
        <v>201111</v>
      </c>
      <c r="L4283" s="7" t="n">
        <f aca="false">IF(AND(A4283&lt;&gt;A4282,LEFT(A4283,1)&lt;&gt;"C"),1,0)</f>
        <v>0</v>
      </c>
    </row>
    <row r="4284" customFormat="false" ht="15" hidden="false" customHeight="false" outlineLevel="0" collapsed="false">
      <c r="A4284" s="0" t="s">
        <v>2707</v>
      </c>
      <c r="B4284" s="0" t="s">
        <v>237</v>
      </c>
      <c r="C4284" s="0" t="s">
        <v>238</v>
      </c>
      <c r="D4284" s="0" t="n">
        <v>4</v>
      </c>
      <c r="E4284" s="6" t="n">
        <v>40850.4479166667</v>
      </c>
      <c r="F4284" s="0" t="n">
        <v>2.55</v>
      </c>
      <c r="G4284" s="0" t="n">
        <v>12615</v>
      </c>
      <c r="H4284" s="0" t="s">
        <v>43</v>
      </c>
      <c r="I4284" s="7" t="n">
        <f aca="false">IF(AND(LEFT(A4284,1)&lt;&gt;"C",D4284&gt;0,F4284&gt;0),1,0)</f>
        <v>1</v>
      </c>
      <c r="J4284" s="7" t="n">
        <f aca="false">IF(I4284=1,D4284*F4284,0)</f>
        <v>10.2</v>
      </c>
      <c r="K4284" s="7" t="n">
        <f aca="false">YEAR(E4284)*100+MONTH(E4284)</f>
        <v>201111</v>
      </c>
      <c r="L4284" s="7" t="n">
        <f aca="false">IF(AND(A4284&lt;&gt;A4283,LEFT(A4284,1)&lt;&gt;"C"),1,0)</f>
        <v>0</v>
      </c>
    </row>
    <row r="4285" customFormat="false" ht="15" hidden="false" customHeight="false" outlineLevel="0" collapsed="false">
      <c r="A4285" s="0" t="s">
        <v>2707</v>
      </c>
      <c r="B4285" s="0" t="s">
        <v>1607</v>
      </c>
      <c r="C4285" s="0" t="s">
        <v>1608</v>
      </c>
      <c r="D4285" s="0" t="n">
        <v>20</v>
      </c>
      <c r="E4285" s="6" t="n">
        <v>40850.4479166667</v>
      </c>
      <c r="F4285" s="0" t="n">
        <v>0.42</v>
      </c>
      <c r="G4285" s="0" t="n">
        <v>12615</v>
      </c>
      <c r="H4285" s="0" t="s">
        <v>43</v>
      </c>
      <c r="I4285" s="7" t="n">
        <f aca="false">IF(AND(LEFT(A4285,1)&lt;&gt;"C",D4285&gt;0,F4285&gt;0),1,0)</f>
        <v>1</v>
      </c>
      <c r="J4285" s="7" t="n">
        <f aca="false">IF(I4285=1,D4285*F4285,0)</f>
        <v>8.4</v>
      </c>
      <c r="K4285" s="7" t="n">
        <f aca="false">YEAR(E4285)*100+MONTH(E4285)</f>
        <v>201111</v>
      </c>
      <c r="L4285" s="7" t="n">
        <f aca="false">IF(AND(A4285&lt;&gt;A4284,LEFT(A4285,1)&lt;&gt;"C"),1,0)</f>
        <v>0</v>
      </c>
    </row>
    <row r="4286" customFormat="false" ht="15" hidden="false" customHeight="false" outlineLevel="0" collapsed="false">
      <c r="A4286" s="0" t="s">
        <v>2707</v>
      </c>
      <c r="B4286" s="0" t="s">
        <v>1596</v>
      </c>
      <c r="C4286" s="0" t="s">
        <v>1597</v>
      </c>
      <c r="D4286" s="0" t="n">
        <v>20</v>
      </c>
      <c r="E4286" s="6" t="n">
        <v>40850.4479166667</v>
      </c>
      <c r="F4286" s="0" t="n">
        <v>0.42</v>
      </c>
      <c r="G4286" s="0" t="n">
        <v>12615</v>
      </c>
      <c r="H4286" s="0" t="s">
        <v>43</v>
      </c>
      <c r="I4286" s="7" t="n">
        <f aca="false">IF(AND(LEFT(A4286,1)&lt;&gt;"C",D4286&gt;0,F4286&gt;0),1,0)</f>
        <v>1</v>
      </c>
      <c r="J4286" s="7" t="n">
        <f aca="false">IF(I4286=1,D4286*F4286,0)</f>
        <v>8.4</v>
      </c>
      <c r="K4286" s="7" t="n">
        <f aca="false">YEAR(E4286)*100+MONTH(E4286)</f>
        <v>201111</v>
      </c>
      <c r="L4286" s="7" t="n">
        <f aca="false">IF(AND(A4286&lt;&gt;A4285,LEFT(A4286,1)&lt;&gt;"C"),1,0)</f>
        <v>0</v>
      </c>
    </row>
    <row r="4287" customFormat="false" ht="15" hidden="false" customHeight="false" outlineLevel="0" collapsed="false">
      <c r="A4287" s="0" t="s">
        <v>2707</v>
      </c>
      <c r="B4287" s="0" t="s">
        <v>1116</v>
      </c>
      <c r="C4287" s="0" t="s">
        <v>1117</v>
      </c>
      <c r="D4287" s="0" t="n">
        <v>12</v>
      </c>
      <c r="E4287" s="6" t="n">
        <v>40850.4479166667</v>
      </c>
      <c r="F4287" s="0" t="n">
        <v>0.42</v>
      </c>
      <c r="G4287" s="0" t="n">
        <v>12615</v>
      </c>
      <c r="H4287" s="0" t="s">
        <v>43</v>
      </c>
      <c r="I4287" s="7" t="n">
        <f aca="false">IF(AND(LEFT(A4287,1)&lt;&gt;"C",D4287&gt;0,F4287&gt;0),1,0)</f>
        <v>1</v>
      </c>
      <c r="J4287" s="7" t="n">
        <f aca="false">IF(I4287=1,D4287*F4287,0)</f>
        <v>5.04</v>
      </c>
      <c r="K4287" s="7" t="n">
        <f aca="false">YEAR(E4287)*100+MONTH(E4287)</f>
        <v>201111</v>
      </c>
      <c r="L4287" s="7" t="n">
        <f aca="false">IF(AND(A4287&lt;&gt;A4286,LEFT(A4287,1)&lt;&gt;"C"),1,0)</f>
        <v>0</v>
      </c>
    </row>
    <row r="4288" customFormat="false" ht="15" hidden="false" customHeight="false" outlineLevel="0" collapsed="false">
      <c r="A4288" s="0" t="s">
        <v>2707</v>
      </c>
      <c r="B4288" s="0" t="s">
        <v>84</v>
      </c>
      <c r="C4288" s="0" t="s">
        <v>85</v>
      </c>
      <c r="D4288" s="0" t="n">
        <v>3</v>
      </c>
      <c r="E4288" s="6" t="n">
        <v>40850.4479166667</v>
      </c>
      <c r="F4288" s="0" t="n">
        <v>18</v>
      </c>
      <c r="G4288" s="0" t="n">
        <v>12615</v>
      </c>
      <c r="H4288" s="0" t="s">
        <v>43</v>
      </c>
      <c r="I4288" s="7" t="n">
        <f aca="false">IF(AND(LEFT(A4288,1)&lt;&gt;"C",D4288&gt;0,F4288&gt;0),1,0)</f>
        <v>1</v>
      </c>
      <c r="J4288" s="7" t="n">
        <f aca="false">IF(I4288=1,D4288*F4288,0)</f>
        <v>54</v>
      </c>
      <c r="K4288" s="7" t="n">
        <f aca="false">YEAR(E4288)*100+MONTH(E4288)</f>
        <v>201111</v>
      </c>
      <c r="L4288" s="7" t="n">
        <f aca="false">IF(AND(A4288&lt;&gt;A4287,LEFT(A4288,1)&lt;&gt;"C"),1,0)</f>
        <v>0</v>
      </c>
    </row>
    <row r="4289" customFormat="false" ht="15" hidden="false" customHeight="false" outlineLevel="0" collapsed="false">
      <c r="A4289" s="0" t="s">
        <v>2716</v>
      </c>
      <c r="B4289" s="0" t="s">
        <v>2573</v>
      </c>
      <c r="C4289" s="0" t="s">
        <v>2574</v>
      </c>
      <c r="D4289" s="0" t="n">
        <v>8</v>
      </c>
      <c r="E4289" s="6" t="n">
        <v>40850.5583333333</v>
      </c>
      <c r="F4289" s="0" t="n">
        <v>3.75</v>
      </c>
      <c r="G4289" s="0" t="n">
        <v>12437</v>
      </c>
      <c r="H4289" s="0" t="s">
        <v>43</v>
      </c>
      <c r="I4289" s="7" t="n">
        <f aca="false">IF(AND(LEFT(A4289,1)&lt;&gt;"C",D4289&gt;0,F4289&gt;0),1,0)</f>
        <v>1</v>
      </c>
      <c r="J4289" s="7" t="n">
        <f aca="false">IF(I4289=1,D4289*F4289,0)</f>
        <v>30</v>
      </c>
      <c r="K4289" s="7" t="n">
        <f aca="false">YEAR(E4289)*100+MONTH(E4289)</f>
        <v>201111</v>
      </c>
      <c r="L4289" s="7" t="n">
        <f aca="false">IF(AND(A4289&lt;&gt;A4288,LEFT(A4289,1)&lt;&gt;"C"),1,0)</f>
        <v>1</v>
      </c>
    </row>
    <row r="4290" customFormat="false" ht="15" hidden="false" customHeight="false" outlineLevel="0" collapsed="false">
      <c r="A4290" s="0" t="s">
        <v>2716</v>
      </c>
      <c r="B4290" s="0" t="s">
        <v>123</v>
      </c>
      <c r="C4290" s="0" t="s">
        <v>124</v>
      </c>
      <c r="D4290" s="0" t="n">
        <v>12</v>
      </c>
      <c r="E4290" s="6" t="n">
        <v>40850.5583333333</v>
      </c>
      <c r="F4290" s="0" t="n">
        <v>2.95</v>
      </c>
      <c r="G4290" s="0" t="n">
        <v>12437</v>
      </c>
      <c r="H4290" s="0" t="s">
        <v>43</v>
      </c>
      <c r="I4290" s="7" t="n">
        <f aca="false">IF(AND(LEFT(A4290,1)&lt;&gt;"C",D4290&gt;0,F4290&gt;0),1,0)</f>
        <v>1</v>
      </c>
      <c r="J4290" s="7" t="n">
        <f aca="false">IF(I4290=1,D4290*F4290,0)</f>
        <v>35.4</v>
      </c>
      <c r="K4290" s="7" t="n">
        <f aca="false">YEAR(E4290)*100+MONTH(E4290)</f>
        <v>201111</v>
      </c>
      <c r="L4290" s="7" t="n">
        <f aca="false">IF(AND(A4290&lt;&gt;A4289,LEFT(A4290,1)&lt;&gt;"C"),1,0)</f>
        <v>0</v>
      </c>
    </row>
    <row r="4291" customFormat="false" ht="15" hidden="false" customHeight="false" outlineLevel="0" collapsed="false">
      <c r="A4291" s="0" t="s">
        <v>2716</v>
      </c>
      <c r="B4291" s="0" t="s">
        <v>557</v>
      </c>
      <c r="C4291" s="0" t="s">
        <v>558</v>
      </c>
      <c r="D4291" s="0" t="n">
        <v>12</v>
      </c>
      <c r="E4291" s="6" t="n">
        <v>40850.5583333333</v>
      </c>
      <c r="F4291" s="0" t="n">
        <v>1.95</v>
      </c>
      <c r="G4291" s="0" t="n">
        <v>12437</v>
      </c>
      <c r="H4291" s="0" t="s">
        <v>43</v>
      </c>
      <c r="I4291" s="7" t="n">
        <f aca="false">IF(AND(LEFT(A4291,1)&lt;&gt;"C",D4291&gt;0,F4291&gt;0),1,0)</f>
        <v>1</v>
      </c>
      <c r="J4291" s="7" t="n">
        <f aca="false">IF(I4291=1,D4291*F4291,0)</f>
        <v>23.4</v>
      </c>
      <c r="K4291" s="7" t="n">
        <f aca="false">YEAR(E4291)*100+MONTH(E4291)</f>
        <v>201111</v>
      </c>
      <c r="L4291" s="7" t="n">
        <f aca="false">IF(AND(A4291&lt;&gt;A4290,LEFT(A4291,1)&lt;&gt;"C"),1,0)</f>
        <v>0</v>
      </c>
    </row>
    <row r="4292" customFormat="false" ht="15" hidden="false" customHeight="false" outlineLevel="0" collapsed="false">
      <c r="A4292" s="0" t="s">
        <v>2716</v>
      </c>
      <c r="B4292" s="0" t="s">
        <v>74</v>
      </c>
      <c r="C4292" s="0" t="s">
        <v>75</v>
      </c>
      <c r="D4292" s="0" t="n">
        <v>12</v>
      </c>
      <c r="E4292" s="6" t="n">
        <v>40850.5583333333</v>
      </c>
      <c r="F4292" s="0" t="n">
        <v>1.95</v>
      </c>
      <c r="G4292" s="0" t="n">
        <v>12437</v>
      </c>
      <c r="H4292" s="0" t="s">
        <v>43</v>
      </c>
      <c r="I4292" s="7" t="n">
        <f aca="false">IF(AND(LEFT(A4292,1)&lt;&gt;"C",D4292&gt;0,F4292&gt;0),1,0)</f>
        <v>1</v>
      </c>
      <c r="J4292" s="7" t="n">
        <f aca="false">IF(I4292=1,D4292*F4292,0)</f>
        <v>23.4</v>
      </c>
      <c r="K4292" s="7" t="n">
        <f aca="false">YEAR(E4292)*100+MONTH(E4292)</f>
        <v>201111</v>
      </c>
      <c r="L4292" s="7" t="n">
        <f aca="false">IF(AND(A4292&lt;&gt;A4291,LEFT(A4292,1)&lt;&gt;"C"),1,0)</f>
        <v>0</v>
      </c>
    </row>
    <row r="4293" customFormat="false" ht="15" hidden="false" customHeight="false" outlineLevel="0" collapsed="false">
      <c r="A4293" s="0" t="s">
        <v>2716</v>
      </c>
      <c r="B4293" s="0" t="s">
        <v>70</v>
      </c>
      <c r="C4293" s="0" t="s">
        <v>71</v>
      </c>
      <c r="D4293" s="0" t="n">
        <v>20</v>
      </c>
      <c r="E4293" s="6" t="n">
        <v>40850.5583333333</v>
      </c>
      <c r="F4293" s="0" t="n">
        <v>1.65</v>
      </c>
      <c r="G4293" s="0" t="n">
        <v>12437</v>
      </c>
      <c r="H4293" s="0" t="s">
        <v>43</v>
      </c>
      <c r="I4293" s="7" t="n">
        <f aca="false">IF(AND(LEFT(A4293,1)&lt;&gt;"C",D4293&gt;0,F4293&gt;0),1,0)</f>
        <v>1</v>
      </c>
      <c r="J4293" s="7" t="n">
        <f aca="false">IF(I4293=1,D4293*F4293,0)</f>
        <v>33</v>
      </c>
      <c r="K4293" s="7" t="n">
        <f aca="false">YEAR(E4293)*100+MONTH(E4293)</f>
        <v>201111</v>
      </c>
      <c r="L4293" s="7" t="n">
        <f aca="false">IF(AND(A4293&lt;&gt;A4292,LEFT(A4293,1)&lt;&gt;"C"),1,0)</f>
        <v>0</v>
      </c>
    </row>
    <row r="4294" customFormat="false" ht="15" hidden="false" customHeight="false" outlineLevel="0" collapsed="false">
      <c r="A4294" s="0" t="s">
        <v>2716</v>
      </c>
      <c r="B4294" s="0" t="s">
        <v>335</v>
      </c>
      <c r="C4294" s="0" t="s">
        <v>336</v>
      </c>
      <c r="D4294" s="0" t="n">
        <v>12</v>
      </c>
      <c r="E4294" s="6" t="n">
        <v>40850.5583333333</v>
      </c>
      <c r="F4294" s="0" t="n">
        <v>1.65</v>
      </c>
      <c r="G4294" s="0" t="n">
        <v>12437</v>
      </c>
      <c r="H4294" s="0" t="s">
        <v>43</v>
      </c>
      <c r="I4294" s="7" t="n">
        <f aca="false">IF(AND(LEFT(A4294,1)&lt;&gt;"C",D4294&gt;0,F4294&gt;0),1,0)</f>
        <v>1</v>
      </c>
      <c r="J4294" s="7" t="n">
        <f aca="false">IF(I4294=1,D4294*F4294,0)</f>
        <v>19.8</v>
      </c>
      <c r="K4294" s="7" t="n">
        <f aca="false">YEAR(E4294)*100+MONTH(E4294)</f>
        <v>201111</v>
      </c>
      <c r="L4294" s="7" t="n">
        <f aca="false">IF(AND(A4294&lt;&gt;A4293,LEFT(A4294,1)&lt;&gt;"C"),1,0)</f>
        <v>0</v>
      </c>
    </row>
    <row r="4295" customFormat="false" ht="15" hidden="false" customHeight="false" outlineLevel="0" collapsed="false">
      <c r="A4295" s="0" t="s">
        <v>2716</v>
      </c>
      <c r="B4295" s="0" t="s">
        <v>62</v>
      </c>
      <c r="C4295" s="0" t="s">
        <v>63</v>
      </c>
      <c r="D4295" s="0" t="n">
        <v>6</v>
      </c>
      <c r="E4295" s="6" t="n">
        <v>40850.5583333333</v>
      </c>
      <c r="F4295" s="0" t="n">
        <v>2.08</v>
      </c>
      <c r="G4295" s="0" t="n">
        <v>12437</v>
      </c>
      <c r="H4295" s="0" t="s">
        <v>43</v>
      </c>
      <c r="I4295" s="7" t="n">
        <f aca="false">IF(AND(LEFT(A4295,1)&lt;&gt;"C",D4295&gt;0,F4295&gt;0),1,0)</f>
        <v>1</v>
      </c>
      <c r="J4295" s="7" t="n">
        <f aca="false">IF(I4295=1,D4295*F4295,0)</f>
        <v>12.48</v>
      </c>
      <c r="K4295" s="7" t="n">
        <f aca="false">YEAR(E4295)*100+MONTH(E4295)</f>
        <v>201111</v>
      </c>
      <c r="L4295" s="7" t="n">
        <f aca="false">IF(AND(A4295&lt;&gt;A4294,LEFT(A4295,1)&lt;&gt;"C"),1,0)</f>
        <v>0</v>
      </c>
    </row>
    <row r="4296" customFormat="false" ht="15" hidden="false" customHeight="false" outlineLevel="0" collapsed="false">
      <c r="A4296" s="0" t="s">
        <v>2716</v>
      </c>
      <c r="B4296" s="0" t="s">
        <v>2314</v>
      </c>
      <c r="C4296" s="0" t="s">
        <v>2315</v>
      </c>
      <c r="D4296" s="0" t="n">
        <v>8</v>
      </c>
      <c r="E4296" s="6" t="n">
        <v>40850.5583333333</v>
      </c>
      <c r="F4296" s="0" t="n">
        <v>3.75</v>
      </c>
      <c r="G4296" s="0" t="n">
        <v>12437</v>
      </c>
      <c r="H4296" s="0" t="s">
        <v>43</v>
      </c>
      <c r="I4296" s="7" t="n">
        <f aca="false">IF(AND(LEFT(A4296,1)&lt;&gt;"C",D4296&gt;0,F4296&gt;0),1,0)</f>
        <v>1</v>
      </c>
      <c r="J4296" s="7" t="n">
        <f aca="false">IF(I4296=1,D4296*F4296,0)</f>
        <v>30</v>
      </c>
      <c r="K4296" s="7" t="n">
        <f aca="false">YEAR(E4296)*100+MONTH(E4296)</f>
        <v>201111</v>
      </c>
      <c r="L4296" s="7" t="n">
        <f aca="false">IF(AND(A4296&lt;&gt;A4295,LEFT(A4296,1)&lt;&gt;"C"),1,0)</f>
        <v>0</v>
      </c>
    </row>
    <row r="4297" customFormat="false" ht="15" hidden="false" customHeight="false" outlineLevel="0" collapsed="false">
      <c r="A4297" s="0" t="s">
        <v>2716</v>
      </c>
      <c r="B4297" s="0" t="s">
        <v>441</v>
      </c>
      <c r="C4297" s="0" t="s">
        <v>442</v>
      </c>
      <c r="D4297" s="0" t="n">
        <v>2</v>
      </c>
      <c r="E4297" s="6" t="n">
        <v>40850.5583333333</v>
      </c>
      <c r="F4297" s="0" t="n">
        <v>8.5</v>
      </c>
      <c r="G4297" s="0" t="n">
        <v>12437</v>
      </c>
      <c r="H4297" s="0" t="s">
        <v>43</v>
      </c>
      <c r="I4297" s="7" t="n">
        <f aca="false">IF(AND(LEFT(A4297,1)&lt;&gt;"C",D4297&gt;0,F4297&gt;0),1,0)</f>
        <v>1</v>
      </c>
      <c r="J4297" s="7" t="n">
        <f aca="false">IF(I4297=1,D4297*F4297,0)</f>
        <v>17</v>
      </c>
      <c r="K4297" s="7" t="n">
        <f aca="false">YEAR(E4297)*100+MONTH(E4297)</f>
        <v>201111</v>
      </c>
      <c r="L4297" s="7" t="n">
        <f aca="false">IF(AND(A4297&lt;&gt;A4296,LEFT(A4297,1)&lt;&gt;"C"),1,0)</f>
        <v>0</v>
      </c>
    </row>
    <row r="4298" customFormat="false" ht="15" hidden="false" customHeight="false" outlineLevel="0" collapsed="false">
      <c r="A4298" s="0" t="s">
        <v>2716</v>
      </c>
      <c r="B4298" s="0" t="s">
        <v>84</v>
      </c>
      <c r="C4298" s="0" t="s">
        <v>85</v>
      </c>
      <c r="D4298" s="0" t="n">
        <v>2</v>
      </c>
      <c r="E4298" s="6" t="n">
        <v>40850.5583333333</v>
      </c>
      <c r="F4298" s="0" t="n">
        <v>18</v>
      </c>
      <c r="G4298" s="0" t="n">
        <v>12437</v>
      </c>
      <c r="H4298" s="0" t="s">
        <v>43</v>
      </c>
      <c r="I4298" s="7" t="n">
        <f aca="false">IF(AND(LEFT(A4298,1)&lt;&gt;"C",D4298&gt;0,F4298&gt;0),1,0)</f>
        <v>1</v>
      </c>
      <c r="J4298" s="7" t="n">
        <f aca="false">IF(I4298=1,D4298*F4298,0)</f>
        <v>36</v>
      </c>
      <c r="K4298" s="7" t="n">
        <f aca="false">YEAR(E4298)*100+MONTH(E4298)</f>
        <v>201111</v>
      </c>
      <c r="L4298" s="7" t="n">
        <f aca="false">IF(AND(A4298&lt;&gt;A4297,LEFT(A4298,1)&lt;&gt;"C"),1,0)</f>
        <v>0</v>
      </c>
    </row>
    <row r="4299" customFormat="false" ht="15" hidden="false" customHeight="false" outlineLevel="0" collapsed="false">
      <c r="A4299" s="0" t="s">
        <v>2716</v>
      </c>
      <c r="B4299" s="0" t="s">
        <v>2285</v>
      </c>
      <c r="C4299" s="0" t="s">
        <v>2286</v>
      </c>
      <c r="D4299" s="0" t="n">
        <v>1</v>
      </c>
      <c r="E4299" s="6" t="n">
        <v>40850.5583333333</v>
      </c>
      <c r="F4299" s="0" t="n">
        <v>0</v>
      </c>
      <c r="G4299" s="0" t="n">
        <v>12437</v>
      </c>
      <c r="H4299" s="0" t="s">
        <v>43</v>
      </c>
      <c r="I4299" s="7" t="n">
        <f aca="false">IF(AND(LEFT(A4299,1)&lt;&gt;"C",D4299&gt;0,F4299&gt;0),1,0)</f>
        <v>0</v>
      </c>
      <c r="J4299" s="7" t="n">
        <f aca="false">IF(I4299=1,D4299*F4299,0)</f>
        <v>0</v>
      </c>
      <c r="K4299" s="7" t="n">
        <f aca="false">YEAR(E4299)*100+MONTH(E4299)</f>
        <v>201111</v>
      </c>
      <c r="L4299" s="7" t="n">
        <f aca="false">IF(AND(A4299&lt;&gt;A4298,LEFT(A4299,1)&lt;&gt;"C"),1,0)</f>
        <v>0</v>
      </c>
    </row>
    <row r="4300" customFormat="false" ht="15" hidden="false" customHeight="false" outlineLevel="0" collapsed="false">
      <c r="A4300" s="0" t="s">
        <v>2717</v>
      </c>
      <c r="B4300" s="0" t="s">
        <v>1097</v>
      </c>
      <c r="C4300" s="0" t="s">
        <v>1098</v>
      </c>
      <c r="D4300" s="0" t="n">
        <v>3</v>
      </c>
      <c r="E4300" s="6" t="n">
        <v>40850.5722222222</v>
      </c>
      <c r="F4300" s="0" t="n">
        <v>4.95</v>
      </c>
      <c r="G4300" s="0" t="n">
        <v>12569</v>
      </c>
      <c r="H4300" s="0" t="s">
        <v>33</v>
      </c>
      <c r="I4300" s="7" t="n">
        <f aca="false">IF(AND(LEFT(A4300,1)&lt;&gt;"C",D4300&gt;0,F4300&gt;0),1,0)</f>
        <v>1</v>
      </c>
      <c r="J4300" s="7" t="n">
        <f aca="false">IF(I4300=1,D4300*F4300,0)</f>
        <v>14.85</v>
      </c>
      <c r="K4300" s="7" t="n">
        <f aca="false">YEAR(E4300)*100+MONTH(E4300)</f>
        <v>201111</v>
      </c>
      <c r="L4300" s="7" t="n">
        <f aca="false">IF(AND(A4300&lt;&gt;A4299,LEFT(A4300,1)&lt;&gt;"C"),1,0)</f>
        <v>1</v>
      </c>
    </row>
    <row r="4301" customFormat="false" ht="15" hidden="false" customHeight="false" outlineLevel="0" collapsed="false">
      <c r="A4301" s="0" t="s">
        <v>2717</v>
      </c>
      <c r="B4301" s="0" t="s">
        <v>989</v>
      </c>
      <c r="C4301" s="0" t="s">
        <v>990</v>
      </c>
      <c r="D4301" s="0" t="n">
        <v>12</v>
      </c>
      <c r="E4301" s="6" t="n">
        <v>40850.5722222222</v>
      </c>
      <c r="F4301" s="0" t="n">
        <v>1.65</v>
      </c>
      <c r="G4301" s="0" t="n">
        <v>12569</v>
      </c>
      <c r="H4301" s="0" t="s">
        <v>33</v>
      </c>
      <c r="I4301" s="7" t="n">
        <f aca="false">IF(AND(LEFT(A4301,1)&lt;&gt;"C",D4301&gt;0,F4301&gt;0),1,0)</f>
        <v>1</v>
      </c>
      <c r="J4301" s="7" t="n">
        <f aca="false">IF(I4301=1,D4301*F4301,0)</f>
        <v>19.8</v>
      </c>
      <c r="K4301" s="7" t="n">
        <f aca="false">YEAR(E4301)*100+MONTH(E4301)</f>
        <v>201111</v>
      </c>
      <c r="L4301" s="7" t="n">
        <f aca="false">IF(AND(A4301&lt;&gt;A4300,LEFT(A4301,1)&lt;&gt;"C"),1,0)</f>
        <v>0</v>
      </c>
    </row>
    <row r="4302" customFormat="false" ht="15" hidden="false" customHeight="false" outlineLevel="0" collapsed="false">
      <c r="A4302" s="0" t="s">
        <v>2717</v>
      </c>
      <c r="B4302" s="0" t="s">
        <v>2718</v>
      </c>
      <c r="C4302" s="0" t="s">
        <v>2719</v>
      </c>
      <c r="D4302" s="0" t="n">
        <v>12</v>
      </c>
      <c r="E4302" s="6" t="n">
        <v>40850.5722222222</v>
      </c>
      <c r="F4302" s="0" t="n">
        <v>1.65</v>
      </c>
      <c r="G4302" s="0" t="n">
        <v>12569</v>
      </c>
      <c r="H4302" s="0" t="s">
        <v>33</v>
      </c>
      <c r="I4302" s="7" t="n">
        <f aca="false">IF(AND(LEFT(A4302,1)&lt;&gt;"C",D4302&gt;0,F4302&gt;0),1,0)</f>
        <v>1</v>
      </c>
      <c r="J4302" s="7" t="n">
        <f aca="false">IF(I4302=1,D4302*F4302,0)</f>
        <v>19.8</v>
      </c>
      <c r="K4302" s="7" t="n">
        <f aca="false">YEAR(E4302)*100+MONTH(E4302)</f>
        <v>201111</v>
      </c>
      <c r="L4302" s="7" t="n">
        <f aca="false">IF(AND(A4302&lt;&gt;A4301,LEFT(A4302,1)&lt;&gt;"C"),1,0)</f>
        <v>0</v>
      </c>
    </row>
    <row r="4303" customFormat="false" ht="15" hidden="false" customHeight="false" outlineLevel="0" collapsed="false">
      <c r="A4303" s="0" t="s">
        <v>2717</v>
      </c>
      <c r="B4303" s="0" t="s">
        <v>2506</v>
      </c>
      <c r="C4303" s="0" t="s">
        <v>2507</v>
      </c>
      <c r="D4303" s="0" t="n">
        <v>12</v>
      </c>
      <c r="E4303" s="6" t="n">
        <v>40850.5722222222</v>
      </c>
      <c r="F4303" s="0" t="n">
        <v>1.65</v>
      </c>
      <c r="G4303" s="0" t="n">
        <v>12569</v>
      </c>
      <c r="H4303" s="0" t="s">
        <v>33</v>
      </c>
      <c r="I4303" s="7" t="n">
        <f aca="false">IF(AND(LEFT(A4303,1)&lt;&gt;"C",D4303&gt;0,F4303&gt;0),1,0)</f>
        <v>1</v>
      </c>
      <c r="J4303" s="7" t="n">
        <f aca="false">IF(I4303=1,D4303*F4303,0)</f>
        <v>19.8</v>
      </c>
      <c r="K4303" s="7" t="n">
        <f aca="false">YEAR(E4303)*100+MONTH(E4303)</f>
        <v>201111</v>
      </c>
      <c r="L4303" s="7" t="n">
        <f aca="false">IF(AND(A4303&lt;&gt;A4302,LEFT(A4303,1)&lt;&gt;"C"),1,0)</f>
        <v>0</v>
      </c>
    </row>
    <row r="4304" customFormat="false" ht="15" hidden="false" customHeight="false" outlineLevel="0" collapsed="false">
      <c r="A4304" s="0" t="s">
        <v>2717</v>
      </c>
      <c r="B4304" s="0" t="s">
        <v>84</v>
      </c>
      <c r="C4304" s="0" t="s">
        <v>85</v>
      </c>
      <c r="D4304" s="0" t="n">
        <v>1</v>
      </c>
      <c r="E4304" s="6" t="n">
        <v>40850.5722222222</v>
      </c>
      <c r="F4304" s="0" t="n">
        <v>18</v>
      </c>
      <c r="G4304" s="0" t="n">
        <v>12569</v>
      </c>
      <c r="H4304" s="0" t="s">
        <v>33</v>
      </c>
      <c r="I4304" s="7" t="n">
        <f aca="false">IF(AND(LEFT(A4304,1)&lt;&gt;"C",D4304&gt;0,F4304&gt;0),1,0)</f>
        <v>1</v>
      </c>
      <c r="J4304" s="7" t="n">
        <f aca="false">IF(I4304=1,D4304*F4304,0)</f>
        <v>18</v>
      </c>
      <c r="K4304" s="7" t="n">
        <f aca="false">YEAR(E4304)*100+MONTH(E4304)</f>
        <v>201111</v>
      </c>
      <c r="L4304" s="7" t="n">
        <f aca="false">IF(AND(A4304&lt;&gt;A4303,LEFT(A4304,1)&lt;&gt;"C"),1,0)</f>
        <v>0</v>
      </c>
    </row>
    <row r="4305" customFormat="false" ht="15" hidden="false" customHeight="false" outlineLevel="0" collapsed="false">
      <c r="A4305" s="0" t="s">
        <v>2720</v>
      </c>
      <c r="B4305" s="0" t="s">
        <v>478</v>
      </c>
      <c r="C4305" s="0" t="s">
        <v>479</v>
      </c>
      <c r="D4305" s="0" t="n">
        <v>-6</v>
      </c>
      <c r="E4305" s="6" t="n">
        <v>40850.5833333333</v>
      </c>
      <c r="F4305" s="0" t="n">
        <v>1.65</v>
      </c>
      <c r="G4305" s="0" t="n">
        <v>12683</v>
      </c>
      <c r="H4305" s="0" t="s">
        <v>43</v>
      </c>
      <c r="I4305" s="7" t="n">
        <f aca="false">IF(AND(LEFT(A4305,1)&lt;&gt;"C",D4305&gt;0,F4305&gt;0),1,0)</f>
        <v>0</v>
      </c>
      <c r="J4305" s="7" t="n">
        <f aca="false">IF(I4305=1,D4305*F4305,0)</f>
        <v>0</v>
      </c>
      <c r="K4305" s="7" t="n">
        <f aca="false">YEAR(E4305)*100+MONTH(E4305)</f>
        <v>201111</v>
      </c>
      <c r="L4305" s="7" t="n">
        <f aca="false">IF(AND(A4305&lt;&gt;A4304,LEFT(A4305,1)&lt;&gt;"C"),1,0)</f>
        <v>0</v>
      </c>
    </row>
    <row r="4306" customFormat="false" ht="15" hidden="false" customHeight="false" outlineLevel="0" collapsed="false">
      <c r="A4306" s="0" t="s">
        <v>2720</v>
      </c>
      <c r="B4306" s="0" t="s">
        <v>58</v>
      </c>
      <c r="C4306" s="0" t="s">
        <v>59</v>
      </c>
      <c r="D4306" s="0" t="n">
        <v>-1</v>
      </c>
      <c r="E4306" s="6" t="n">
        <v>40850.5833333333</v>
      </c>
      <c r="F4306" s="0" t="n">
        <v>2.55</v>
      </c>
      <c r="G4306" s="0" t="n">
        <v>12683</v>
      </c>
      <c r="H4306" s="0" t="s">
        <v>43</v>
      </c>
      <c r="I4306" s="7" t="n">
        <f aca="false">IF(AND(LEFT(A4306,1)&lt;&gt;"C",D4306&gt;0,F4306&gt;0),1,0)</f>
        <v>0</v>
      </c>
      <c r="J4306" s="7" t="n">
        <f aca="false">IF(I4306=1,D4306*F4306,0)</f>
        <v>0</v>
      </c>
      <c r="K4306" s="7" t="n">
        <f aca="false">YEAR(E4306)*100+MONTH(E4306)</f>
        <v>201111</v>
      </c>
      <c r="L4306" s="7" t="n">
        <f aca="false">IF(AND(A4306&lt;&gt;A4305,LEFT(A4306,1)&lt;&gt;"C"),1,0)</f>
        <v>0</v>
      </c>
    </row>
    <row r="4307" customFormat="false" ht="15" hidden="false" customHeight="false" outlineLevel="0" collapsed="false">
      <c r="A4307" s="0" t="s">
        <v>2720</v>
      </c>
      <c r="B4307" s="0" t="s">
        <v>153</v>
      </c>
      <c r="C4307" s="0" t="s">
        <v>154</v>
      </c>
      <c r="D4307" s="0" t="n">
        <v>-5</v>
      </c>
      <c r="E4307" s="6" t="n">
        <v>40850.5833333333</v>
      </c>
      <c r="F4307" s="0" t="n">
        <v>0.39</v>
      </c>
      <c r="G4307" s="0" t="n">
        <v>12683</v>
      </c>
      <c r="H4307" s="0" t="s">
        <v>43</v>
      </c>
      <c r="I4307" s="7" t="n">
        <f aca="false">IF(AND(LEFT(A4307,1)&lt;&gt;"C",D4307&gt;0,F4307&gt;0),1,0)</f>
        <v>0</v>
      </c>
      <c r="J4307" s="7" t="n">
        <f aca="false">IF(I4307=1,D4307*F4307,0)</f>
        <v>0</v>
      </c>
      <c r="K4307" s="7" t="n">
        <f aca="false">YEAR(E4307)*100+MONTH(E4307)</f>
        <v>201111</v>
      </c>
      <c r="L4307" s="7" t="n">
        <f aca="false">IF(AND(A4307&lt;&gt;A4306,LEFT(A4307,1)&lt;&gt;"C"),1,0)</f>
        <v>0</v>
      </c>
    </row>
    <row r="4308" customFormat="false" ht="15" hidden="false" customHeight="false" outlineLevel="0" collapsed="false">
      <c r="A4308" s="0" t="s">
        <v>2720</v>
      </c>
      <c r="B4308" s="0" t="s">
        <v>1425</v>
      </c>
      <c r="C4308" s="0" t="s">
        <v>1426</v>
      </c>
      <c r="D4308" s="0" t="n">
        <v>-4</v>
      </c>
      <c r="E4308" s="6" t="n">
        <v>40850.5833333333</v>
      </c>
      <c r="F4308" s="0" t="n">
        <v>8.5</v>
      </c>
      <c r="G4308" s="0" t="n">
        <v>12683</v>
      </c>
      <c r="H4308" s="0" t="s">
        <v>43</v>
      </c>
      <c r="I4308" s="7" t="n">
        <f aca="false">IF(AND(LEFT(A4308,1)&lt;&gt;"C",D4308&gt;0,F4308&gt;0),1,0)</f>
        <v>0</v>
      </c>
      <c r="J4308" s="7" t="n">
        <f aca="false">IF(I4308=1,D4308*F4308,0)</f>
        <v>0</v>
      </c>
      <c r="K4308" s="7" t="n">
        <f aca="false">YEAR(E4308)*100+MONTH(E4308)</f>
        <v>201111</v>
      </c>
      <c r="L4308" s="7" t="n">
        <f aca="false">IF(AND(A4308&lt;&gt;A4307,LEFT(A4308,1)&lt;&gt;"C"),1,0)</f>
        <v>0</v>
      </c>
    </row>
    <row r="4309" customFormat="false" ht="15" hidden="false" customHeight="false" outlineLevel="0" collapsed="false">
      <c r="A4309" s="0" t="s">
        <v>2720</v>
      </c>
      <c r="B4309" s="0" t="s">
        <v>1225</v>
      </c>
      <c r="C4309" s="0" t="s">
        <v>1226</v>
      </c>
      <c r="D4309" s="0" t="n">
        <v>-2</v>
      </c>
      <c r="E4309" s="6" t="n">
        <v>40850.5833333333</v>
      </c>
      <c r="F4309" s="0" t="n">
        <v>4.15</v>
      </c>
      <c r="G4309" s="0" t="n">
        <v>12683</v>
      </c>
      <c r="H4309" s="0" t="s">
        <v>43</v>
      </c>
      <c r="I4309" s="7" t="n">
        <f aca="false">IF(AND(LEFT(A4309,1)&lt;&gt;"C",D4309&gt;0,F4309&gt;0),1,0)</f>
        <v>0</v>
      </c>
      <c r="J4309" s="7" t="n">
        <f aca="false">IF(I4309=1,D4309*F4309,0)</f>
        <v>0</v>
      </c>
      <c r="K4309" s="7" t="n">
        <f aca="false">YEAR(E4309)*100+MONTH(E4309)</f>
        <v>201111</v>
      </c>
      <c r="L4309" s="7" t="n">
        <f aca="false">IF(AND(A4309&lt;&gt;A4308,LEFT(A4309,1)&lt;&gt;"C"),1,0)</f>
        <v>0</v>
      </c>
    </row>
    <row r="4310" customFormat="false" ht="15" hidden="false" customHeight="false" outlineLevel="0" collapsed="false">
      <c r="A4310" s="0" t="s">
        <v>2720</v>
      </c>
      <c r="B4310" s="0" t="s">
        <v>146</v>
      </c>
      <c r="C4310" s="0" t="s">
        <v>147</v>
      </c>
      <c r="D4310" s="0" t="n">
        <v>-4</v>
      </c>
      <c r="E4310" s="6" t="n">
        <v>40850.5833333333</v>
      </c>
      <c r="F4310" s="0" t="n">
        <v>2.89</v>
      </c>
      <c r="G4310" s="0" t="n">
        <v>12683</v>
      </c>
      <c r="H4310" s="0" t="s">
        <v>43</v>
      </c>
      <c r="I4310" s="7" t="n">
        <f aca="false">IF(AND(LEFT(A4310,1)&lt;&gt;"C",D4310&gt;0,F4310&gt;0),1,0)</f>
        <v>0</v>
      </c>
      <c r="J4310" s="7" t="n">
        <f aca="false">IF(I4310=1,D4310*F4310,0)</f>
        <v>0</v>
      </c>
      <c r="K4310" s="7" t="n">
        <f aca="false">YEAR(E4310)*100+MONTH(E4310)</f>
        <v>201111</v>
      </c>
      <c r="L4310" s="7" t="n">
        <f aca="false">IF(AND(A4310&lt;&gt;A4309,LEFT(A4310,1)&lt;&gt;"C"),1,0)</f>
        <v>0</v>
      </c>
    </row>
    <row r="4311" customFormat="false" ht="15" hidden="false" customHeight="false" outlineLevel="0" collapsed="false">
      <c r="A4311" s="0" t="s">
        <v>2721</v>
      </c>
      <c r="B4311" s="0" t="s">
        <v>1151</v>
      </c>
      <c r="C4311" s="0" t="s">
        <v>1152</v>
      </c>
      <c r="D4311" s="0" t="n">
        <v>-1</v>
      </c>
      <c r="E4311" s="6" t="n">
        <v>40851.4361111111</v>
      </c>
      <c r="F4311" s="0" t="n">
        <v>10.4</v>
      </c>
      <c r="G4311" s="0" t="n">
        <v>12500</v>
      </c>
      <c r="H4311" s="0" t="s">
        <v>33</v>
      </c>
      <c r="I4311" s="7" t="n">
        <f aca="false">IF(AND(LEFT(A4311,1)&lt;&gt;"C",D4311&gt;0,F4311&gt;0),1,0)</f>
        <v>0</v>
      </c>
      <c r="J4311" s="7" t="n">
        <f aca="false">IF(I4311=1,D4311*F4311,0)</f>
        <v>0</v>
      </c>
      <c r="K4311" s="7" t="n">
        <f aca="false">YEAR(E4311)*100+MONTH(E4311)</f>
        <v>201111</v>
      </c>
      <c r="L4311" s="7" t="n">
        <f aca="false">IF(AND(A4311&lt;&gt;A4310,LEFT(A4311,1)&lt;&gt;"C"),1,0)</f>
        <v>0</v>
      </c>
    </row>
    <row r="4312" customFormat="false" ht="15" hidden="false" customHeight="false" outlineLevel="0" collapsed="false">
      <c r="A4312" s="0" t="s">
        <v>2721</v>
      </c>
      <c r="B4312" s="0" t="s">
        <v>808</v>
      </c>
      <c r="C4312" s="0" t="s">
        <v>809</v>
      </c>
      <c r="D4312" s="0" t="n">
        <v>-3</v>
      </c>
      <c r="E4312" s="6" t="n">
        <v>40851.4361111111</v>
      </c>
      <c r="F4312" s="0" t="n">
        <v>3.75</v>
      </c>
      <c r="G4312" s="0" t="n">
        <v>12500</v>
      </c>
      <c r="H4312" s="0" t="s">
        <v>33</v>
      </c>
      <c r="I4312" s="7" t="n">
        <f aca="false">IF(AND(LEFT(A4312,1)&lt;&gt;"C",D4312&gt;0,F4312&gt;0),1,0)</f>
        <v>0</v>
      </c>
      <c r="J4312" s="7" t="n">
        <f aca="false">IF(I4312=1,D4312*F4312,0)</f>
        <v>0</v>
      </c>
      <c r="K4312" s="7" t="n">
        <f aca="false">YEAR(E4312)*100+MONTH(E4312)</f>
        <v>201111</v>
      </c>
      <c r="L4312" s="7" t="n">
        <f aca="false">IF(AND(A4312&lt;&gt;A4311,LEFT(A4312,1)&lt;&gt;"C"),1,0)</f>
        <v>0</v>
      </c>
    </row>
    <row r="4313" customFormat="false" ht="15" hidden="false" customHeight="false" outlineLevel="0" collapsed="false">
      <c r="A4313" s="0" t="s">
        <v>2722</v>
      </c>
      <c r="B4313" s="0" t="s">
        <v>1817</v>
      </c>
      <c r="C4313" s="0" t="s">
        <v>1818</v>
      </c>
      <c r="D4313" s="0" t="n">
        <v>5</v>
      </c>
      <c r="E4313" s="6" t="n">
        <v>40851.5520833333</v>
      </c>
      <c r="F4313" s="0" t="n">
        <v>2.1</v>
      </c>
      <c r="G4313" s="0" t="n">
        <v>12577</v>
      </c>
      <c r="H4313" s="0" t="s">
        <v>43</v>
      </c>
      <c r="I4313" s="7" t="n">
        <f aca="false">IF(AND(LEFT(A4313,1)&lt;&gt;"C",D4313&gt;0,F4313&gt;0),1,0)</f>
        <v>1</v>
      </c>
      <c r="J4313" s="7" t="n">
        <f aca="false">IF(I4313=1,D4313*F4313,0)</f>
        <v>10.5</v>
      </c>
      <c r="K4313" s="7" t="n">
        <f aca="false">YEAR(E4313)*100+MONTH(E4313)</f>
        <v>201111</v>
      </c>
      <c r="L4313" s="7" t="n">
        <f aca="false">IF(AND(A4313&lt;&gt;A4312,LEFT(A4313,1)&lt;&gt;"C"),1,0)</f>
        <v>1</v>
      </c>
    </row>
    <row r="4314" customFormat="false" ht="15" hidden="false" customHeight="false" outlineLevel="0" collapsed="false">
      <c r="A4314" s="0" t="s">
        <v>2722</v>
      </c>
      <c r="B4314" s="0" t="s">
        <v>2723</v>
      </c>
      <c r="C4314" s="0" t="s">
        <v>2724</v>
      </c>
      <c r="D4314" s="0" t="n">
        <v>2</v>
      </c>
      <c r="E4314" s="6" t="n">
        <v>40851.5520833333</v>
      </c>
      <c r="F4314" s="0" t="n">
        <v>0.75</v>
      </c>
      <c r="G4314" s="0" t="n">
        <v>12577</v>
      </c>
      <c r="H4314" s="0" t="s">
        <v>43</v>
      </c>
      <c r="I4314" s="7" t="n">
        <f aca="false">IF(AND(LEFT(A4314,1)&lt;&gt;"C",D4314&gt;0,F4314&gt;0),1,0)</f>
        <v>1</v>
      </c>
      <c r="J4314" s="7" t="n">
        <f aca="false">IF(I4314=1,D4314*F4314,0)</f>
        <v>1.5</v>
      </c>
      <c r="K4314" s="7" t="n">
        <f aca="false">YEAR(E4314)*100+MONTH(E4314)</f>
        <v>201111</v>
      </c>
      <c r="L4314" s="7" t="n">
        <f aca="false">IF(AND(A4314&lt;&gt;A4313,LEFT(A4314,1)&lt;&gt;"C"),1,0)</f>
        <v>0</v>
      </c>
    </row>
    <row r="4315" customFormat="false" ht="15" hidden="false" customHeight="false" outlineLevel="0" collapsed="false">
      <c r="A4315" s="0" t="s">
        <v>2722</v>
      </c>
      <c r="B4315" s="0" t="s">
        <v>2725</v>
      </c>
      <c r="C4315" s="0" t="s">
        <v>2726</v>
      </c>
      <c r="D4315" s="0" t="n">
        <v>3</v>
      </c>
      <c r="E4315" s="6" t="n">
        <v>40851.5520833333</v>
      </c>
      <c r="F4315" s="0" t="n">
        <v>0.75</v>
      </c>
      <c r="G4315" s="0" t="n">
        <v>12577</v>
      </c>
      <c r="H4315" s="0" t="s">
        <v>43</v>
      </c>
      <c r="I4315" s="7" t="n">
        <f aca="false">IF(AND(LEFT(A4315,1)&lt;&gt;"C",D4315&gt;0,F4315&gt;0),1,0)</f>
        <v>1</v>
      </c>
      <c r="J4315" s="7" t="n">
        <f aca="false">IF(I4315=1,D4315*F4315,0)</f>
        <v>2.25</v>
      </c>
      <c r="K4315" s="7" t="n">
        <f aca="false">YEAR(E4315)*100+MONTH(E4315)</f>
        <v>201111</v>
      </c>
      <c r="L4315" s="7" t="n">
        <f aca="false">IF(AND(A4315&lt;&gt;A4314,LEFT(A4315,1)&lt;&gt;"C"),1,0)</f>
        <v>0</v>
      </c>
    </row>
    <row r="4316" customFormat="false" ht="15" hidden="false" customHeight="false" outlineLevel="0" collapsed="false">
      <c r="A4316" s="0" t="s">
        <v>2722</v>
      </c>
      <c r="B4316" s="0" t="s">
        <v>2727</v>
      </c>
      <c r="C4316" s="0" t="s">
        <v>2728</v>
      </c>
      <c r="D4316" s="0" t="n">
        <v>3</v>
      </c>
      <c r="E4316" s="6" t="n">
        <v>40851.5520833333</v>
      </c>
      <c r="F4316" s="0" t="n">
        <v>1.25</v>
      </c>
      <c r="G4316" s="0" t="n">
        <v>12577</v>
      </c>
      <c r="H4316" s="0" t="s">
        <v>43</v>
      </c>
      <c r="I4316" s="7" t="n">
        <f aca="false">IF(AND(LEFT(A4316,1)&lt;&gt;"C",D4316&gt;0,F4316&gt;0),1,0)</f>
        <v>1</v>
      </c>
      <c r="J4316" s="7" t="n">
        <f aca="false">IF(I4316=1,D4316*F4316,0)</f>
        <v>3.75</v>
      </c>
      <c r="K4316" s="7" t="n">
        <f aca="false">YEAR(E4316)*100+MONTH(E4316)</f>
        <v>201111</v>
      </c>
      <c r="L4316" s="7" t="n">
        <f aca="false">IF(AND(A4316&lt;&gt;A4315,LEFT(A4316,1)&lt;&gt;"C"),1,0)</f>
        <v>0</v>
      </c>
    </row>
    <row r="4317" customFormat="false" ht="15" hidden="false" customHeight="false" outlineLevel="0" collapsed="false">
      <c r="A4317" s="0" t="s">
        <v>2722</v>
      </c>
      <c r="B4317" s="0" t="s">
        <v>2729</v>
      </c>
      <c r="C4317" s="0" t="s">
        <v>2730</v>
      </c>
      <c r="D4317" s="0" t="n">
        <v>2</v>
      </c>
      <c r="E4317" s="6" t="n">
        <v>40851.5520833333</v>
      </c>
      <c r="F4317" s="0" t="n">
        <v>1.25</v>
      </c>
      <c r="G4317" s="0" t="n">
        <v>12577</v>
      </c>
      <c r="H4317" s="0" t="s">
        <v>43</v>
      </c>
      <c r="I4317" s="7" t="n">
        <f aca="false">IF(AND(LEFT(A4317,1)&lt;&gt;"C",D4317&gt;0,F4317&gt;0),1,0)</f>
        <v>1</v>
      </c>
      <c r="J4317" s="7" t="n">
        <f aca="false">IF(I4317=1,D4317*F4317,0)</f>
        <v>2.5</v>
      </c>
      <c r="K4317" s="7" t="n">
        <f aca="false">YEAR(E4317)*100+MONTH(E4317)</f>
        <v>201111</v>
      </c>
      <c r="L4317" s="7" t="n">
        <f aca="false">IF(AND(A4317&lt;&gt;A4316,LEFT(A4317,1)&lt;&gt;"C"),1,0)</f>
        <v>0</v>
      </c>
    </row>
    <row r="4318" customFormat="false" ht="15" hidden="false" customHeight="false" outlineLevel="0" collapsed="false">
      <c r="A4318" s="0" t="s">
        <v>2722</v>
      </c>
      <c r="B4318" s="0" t="s">
        <v>2731</v>
      </c>
      <c r="C4318" s="0" t="s">
        <v>2732</v>
      </c>
      <c r="D4318" s="0" t="n">
        <v>2</v>
      </c>
      <c r="E4318" s="6" t="n">
        <v>40851.5520833333</v>
      </c>
      <c r="F4318" s="0" t="n">
        <v>1.25</v>
      </c>
      <c r="G4318" s="0" t="n">
        <v>12577</v>
      </c>
      <c r="H4318" s="0" t="s">
        <v>43</v>
      </c>
      <c r="I4318" s="7" t="n">
        <f aca="false">IF(AND(LEFT(A4318,1)&lt;&gt;"C",D4318&gt;0,F4318&gt;0),1,0)</f>
        <v>1</v>
      </c>
      <c r="J4318" s="7" t="n">
        <f aca="false">IF(I4318=1,D4318*F4318,0)</f>
        <v>2.5</v>
      </c>
      <c r="K4318" s="7" t="n">
        <f aca="false">YEAR(E4318)*100+MONTH(E4318)</f>
        <v>201111</v>
      </c>
      <c r="L4318" s="7" t="n">
        <f aca="false">IF(AND(A4318&lt;&gt;A4317,LEFT(A4318,1)&lt;&gt;"C"),1,0)</f>
        <v>0</v>
      </c>
    </row>
    <row r="4319" customFormat="false" ht="15" hidden="false" customHeight="false" outlineLevel="0" collapsed="false">
      <c r="A4319" s="0" t="s">
        <v>2722</v>
      </c>
      <c r="B4319" s="0" t="s">
        <v>2733</v>
      </c>
      <c r="C4319" s="0" t="s">
        <v>2734</v>
      </c>
      <c r="D4319" s="0" t="n">
        <v>2</v>
      </c>
      <c r="E4319" s="6" t="n">
        <v>40851.5520833333</v>
      </c>
      <c r="F4319" s="0" t="n">
        <v>1.25</v>
      </c>
      <c r="G4319" s="0" t="n">
        <v>12577</v>
      </c>
      <c r="H4319" s="0" t="s">
        <v>43</v>
      </c>
      <c r="I4319" s="7" t="n">
        <f aca="false">IF(AND(LEFT(A4319,1)&lt;&gt;"C",D4319&gt;0,F4319&gt;0),1,0)</f>
        <v>1</v>
      </c>
      <c r="J4319" s="7" t="n">
        <f aca="false">IF(I4319=1,D4319*F4319,0)</f>
        <v>2.5</v>
      </c>
      <c r="K4319" s="7" t="n">
        <f aca="false">YEAR(E4319)*100+MONTH(E4319)</f>
        <v>201111</v>
      </c>
      <c r="L4319" s="7" t="n">
        <f aca="false">IF(AND(A4319&lt;&gt;A4318,LEFT(A4319,1)&lt;&gt;"C"),1,0)</f>
        <v>0</v>
      </c>
    </row>
    <row r="4320" customFormat="false" ht="15" hidden="false" customHeight="false" outlineLevel="0" collapsed="false">
      <c r="A4320" s="0" t="s">
        <v>2722</v>
      </c>
      <c r="B4320" s="0" t="s">
        <v>883</v>
      </c>
      <c r="C4320" s="0" t="s">
        <v>884</v>
      </c>
      <c r="D4320" s="0" t="n">
        <v>3</v>
      </c>
      <c r="E4320" s="6" t="n">
        <v>40851.5520833333</v>
      </c>
      <c r="F4320" s="0" t="n">
        <v>0.12</v>
      </c>
      <c r="G4320" s="0" t="n">
        <v>12577</v>
      </c>
      <c r="H4320" s="0" t="s">
        <v>43</v>
      </c>
      <c r="I4320" s="7" t="n">
        <f aca="false">IF(AND(LEFT(A4320,1)&lt;&gt;"C",D4320&gt;0,F4320&gt;0),1,0)</f>
        <v>1</v>
      </c>
      <c r="J4320" s="7" t="n">
        <f aca="false">IF(I4320=1,D4320*F4320,0)</f>
        <v>0.36</v>
      </c>
      <c r="K4320" s="7" t="n">
        <f aca="false">YEAR(E4320)*100+MONTH(E4320)</f>
        <v>201111</v>
      </c>
      <c r="L4320" s="7" t="n">
        <f aca="false">IF(AND(A4320&lt;&gt;A4319,LEFT(A4320,1)&lt;&gt;"C"),1,0)</f>
        <v>0</v>
      </c>
    </row>
    <row r="4321" customFormat="false" ht="15" hidden="false" customHeight="false" outlineLevel="0" collapsed="false">
      <c r="A4321" s="0" t="s">
        <v>2722</v>
      </c>
      <c r="B4321" s="0" t="s">
        <v>885</v>
      </c>
      <c r="C4321" s="0" t="s">
        <v>886</v>
      </c>
      <c r="D4321" s="0" t="n">
        <v>3</v>
      </c>
      <c r="E4321" s="6" t="n">
        <v>40851.5520833333</v>
      </c>
      <c r="F4321" s="0" t="n">
        <v>0.12</v>
      </c>
      <c r="G4321" s="0" t="n">
        <v>12577</v>
      </c>
      <c r="H4321" s="0" t="s">
        <v>43</v>
      </c>
      <c r="I4321" s="7" t="n">
        <f aca="false">IF(AND(LEFT(A4321,1)&lt;&gt;"C",D4321&gt;0,F4321&gt;0),1,0)</f>
        <v>1</v>
      </c>
      <c r="J4321" s="7" t="n">
        <f aca="false">IF(I4321=1,D4321*F4321,0)</f>
        <v>0.36</v>
      </c>
      <c r="K4321" s="7" t="n">
        <f aca="false">YEAR(E4321)*100+MONTH(E4321)</f>
        <v>201111</v>
      </c>
      <c r="L4321" s="7" t="n">
        <f aca="false">IF(AND(A4321&lt;&gt;A4320,LEFT(A4321,1)&lt;&gt;"C"),1,0)</f>
        <v>0</v>
      </c>
    </row>
    <row r="4322" customFormat="false" ht="15" hidden="false" customHeight="false" outlineLevel="0" collapsed="false">
      <c r="A4322" s="0" t="s">
        <v>2722</v>
      </c>
      <c r="B4322" s="0" t="s">
        <v>1088</v>
      </c>
      <c r="C4322" s="0" t="s">
        <v>1089</v>
      </c>
      <c r="D4322" s="0" t="n">
        <v>6</v>
      </c>
      <c r="E4322" s="6" t="n">
        <v>40851.5520833333</v>
      </c>
      <c r="F4322" s="0" t="n">
        <v>0.39</v>
      </c>
      <c r="G4322" s="0" t="n">
        <v>12577</v>
      </c>
      <c r="H4322" s="0" t="s">
        <v>43</v>
      </c>
      <c r="I4322" s="7" t="n">
        <f aca="false">IF(AND(LEFT(A4322,1)&lt;&gt;"C",D4322&gt;0,F4322&gt;0),1,0)</f>
        <v>1</v>
      </c>
      <c r="J4322" s="7" t="n">
        <f aca="false">IF(I4322=1,D4322*F4322,0)</f>
        <v>2.34</v>
      </c>
      <c r="K4322" s="7" t="n">
        <f aca="false">YEAR(E4322)*100+MONTH(E4322)</f>
        <v>201111</v>
      </c>
      <c r="L4322" s="7" t="n">
        <f aca="false">IF(AND(A4322&lt;&gt;A4321,LEFT(A4322,1)&lt;&gt;"C"),1,0)</f>
        <v>0</v>
      </c>
    </row>
    <row r="4323" customFormat="false" ht="15" hidden="false" customHeight="false" outlineLevel="0" collapsed="false">
      <c r="A4323" s="0" t="s">
        <v>2722</v>
      </c>
      <c r="B4323" s="0" t="s">
        <v>2735</v>
      </c>
      <c r="C4323" s="0" t="s">
        <v>2736</v>
      </c>
      <c r="D4323" s="0" t="n">
        <v>4</v>
      </c>
      <c r="E4323" s="6" t="n">
        <v>40851.5520833333</v>
      </c>
      <c r="F4323" s="0" t="n">
        <v>1.65</v>
      </c>
      <c r="G4323" s="0" t="n">
        <v>12577</v>
      </c>
      <c r="H4323" s="0" t="s">
        <v>43</v>
      </c>
      <c r="I4323" s="7" t="n">
        <f aca="false">IF(AND(LEFT(A4323,1)&lt;&gt;"C",D4323&gt;0,F4323&gt;0),1,0)</f>
        <v>1</v>
      </c>
      <c r="J4323" s="7" t="n">
        <f aca="false">IF(I4323=1,D4323*F4323,0)</f>
        <v>6.6</v>
      </c>
      <c r="K4323" s="7" t="n">
        <f aca="false">YEAR(E4323)*100+MONTH(E4323)</f>
        <v>201111</v>
      </c>
      <c r="L4323" s="7" t="n">
        <f aca="false">IF(AND(A4323&lt;&gt;A4322,LEFT(A4323,1)&lt;&gt;"C"),1,0)</f>
        <v>0</v>
      </c>
    </row>
    <row r="4324" customFormat="false" ht="15" hidden="false" customHeight="false" outlineLevel="0" collapsed="false">
      <c r="A4324" s="0" t="s">
        <v>2722</v>
      </c>
      <c r="B4324" s="0" t="s">
        <v>855</v>
      </c>
      <c r="C4324" s="0" t="s">
        <v>856</v>
      </c>
      <c r="D4324" s="0" t="n">
        <v>5</v>
      </c>
      <c r="E4324" s="6" t="n">
        <v>40851.5520833333</v>
      </c>
      <c r="F4324" s="0" t="n">
        <v>1.65</v>
      </c>
      <c r="G4324" s="0" t="n">
        <v>12577</v>
      </c>
      <c r="H4324" s="0" t="s">
        <v>43</v>
      </c>
      <c r="I4324" s="7" t="n">
        <f aca="false">IF(AND(LEFT(A4324,1)&lt;&gt;"C",D4324&gt;0,F4324&gt;0),1,0)</f>
        <v>1</v>
      </c>
      <c r="J4324" s="7" t="n">
        <f aca="false">IF(I4324=1,D4324*F4324,0)</f>
        <v>8.25</v>
      </c>
      <c r="K4324" s="7" t="n">
        <f aca="false">YEAR(E4324)*100+MONTH(E4324)</f>
        <v>201111</v>
      </c>
      <c r="L4324" s="7" t="n">
        <f aca="false">IF(AND(A4324&lt;&gt;A4323,LEFT(A4324,1)&lt;&gt;"C"),1,0)</f>
        <v>0</v>
      </c>
    </row>
    <row r="4325" customFormat="false" ht="15" hidden="false" customHeight="false" outlineLevel="0" collapsed="false">
      <c r="A4325" s="0" t="s">
        <v>2722</v>
      </c>
      <c r="B4325" s="0" t="s">
        <v>853</v>
      </c>
      <c r="C4325" s="0" t="s">
        <v>854</v>
      </c>
      <c r="D4325" s="0" t="n">
        <v>5</v>
      </c>
      <c r="E4325" s="6" t="n">
        <v>40851.5520833333</v>
      </c>
      <c r="F4325" s="0" t="n">
        <v>1.65</v>
      </c>
      <c r="G4325" s="0" t="n">
        <v>12577</v>
      </c>
      <c r="H4325" s="0" t="s">
        <v>43</v>
      </c>
      <c r="I4325" s="7" t="n">
        <f aca="false">IF(AND(LEFT(A4325,1)&lt;&gt;"C",D4325&gt;0,F4325&gt;0),1,0)</f>
        <v>1</v>
      </c>
      <c r="J4325" s="7" t="n">
        <f aca="false">IF(I4325=1,D4325*F4325,0)</f>
        <v>8.25</v>
      </c>
      <c r="K4325" s="7" t="n">
        <f aca="false">YEAR(E4325)*100+MONTH(E4325)</f>
        <v>201111</v>
      </c>
      <c r="L4325" s="7" t="n">
        <f aca="false">IF(AND(A4325&lt;&gt;A4324,LEFT(A4325,1)&lt;&gt;"C"),1,0)</f>
        <v>0</v>
      </c>
    </row>
    <row r="4326" customFormat="false" ht="15" hidden="false" customHeight="false" outlineLevel="0" collapsed="false">
      <c r="A4326" s="0" t="s">
        <v>2722</v>
      </c>
      <c r="B4326" s="0" t="s">
        <v>2737</v>
      </c>
      <c r="C4326" s="0" t="s">
        <v>2738</v>
      </c>
      <c r="D4326" s="0" t="n">
        <v>4</v>
      </c>
      <c r="E4326" s="6" t="n">
        <v>40851.5520833333</v>
      </c>
      <c r="F4326" s="0" t="n">
        <v>0.39</v>
      </c>
      <c r="G4326" s="0" t="n">
        <v>12577</v>
      </c>
      <c r="H4326" s="0" t="s">
        <v>43</v>
      </c>
      <c r="I4326" s="7" t="n">
        <f aca="false">IF(AND(LEFT(A4326,1)&lt;&gt;"C",D4326&gt;0,F4326&gt;0),1,0)</f>
        <v>1</v>
      </c>
      <c r="J4326" s="7" t="n">
        <f aca="false">IF(I4326=1,D4326*F4326,0)</f>
        <v>1.56</v>
      </c>
      <c r="K4326" s="7" t="n">
        <f aca="false">YEAR(E4326)*100+MONTH(E4326)</f>
        <v>201111</v>
      </c>
      <c r="L4326" s="7" t="n">
        <f aca="false">IF(AND(A4326&lt;&gt;A4325,LEFT(A4326,1)&lt;&gt;"C"),1,0)</f>
        <v>0</v>
      </c>
    </row>
    <row r="4327" customFormat="false" ht="15" hidden="false" customHeight="false" outlineLevel="0" collapsed="false">
      <c r="A4327" s="0" t="s">
        <v>2722</v>
      </c>
      <c r="B4327" s="0" t="s">
        <v>2739</v>
      </c>
      <c r="C4327" s="0" t="s">
        <v>2740</v>
      </c>
      <c r="D4327" s="0" t="n">
        <v>6</v>
      </c>
      <c r="E4327" s="6" t="n">
        <v>40851.5520833333</v>
      </c>
      <c r="F4327" s="0" t="n">
        <v>1.06</v>
      </c>
      <c r="G4327" s="0" t="n">
        <v>12577</v>
      </c>
      <c r="H4327" s="0" t="s">
        <v>43</v>
      </c>
      <c r="I4327" s="7" t="n">
        <f aca="false">IF(AND(LEFT(A4327,1)&lt;&gt;"C",D4327&gt;0,F4327&gt;0),1,0)</f>
        <v>1</v>
      </c>
      <c r="J4327" s="7" t="n">
        <f aca="false">IF(I4327=1,D4327*F4327,0)</f>
        <v>6.36</v>
      </c>
      <c r="K4327" s="7" t="n">
        <f aca="false">YEAR(E4327)*100+MONTH(E4327)</f>
        <v>201111</v>
      </c>
      <c r="L4327" s="7" t="n">
        <f aca="false">IF(AND(A4327&lt;&gt;A4326,LEFT(A4327,1)&lt;&gt;"C"),1,0)</f>
        <v>0</v>
      </c>
    </row>
    <row r="4328" customFormat="false" ht="15" hidden="false" customHeight="false" outlineLevel="0" collapsed="false">
      <c r="A4328" s="0" t="s">
        <v>2722</v>
      </c>
      <c r="B4328" s="0" t="s">
        <v>2741</v>
      </c>
      <c r="C4328" s="0" t="s">
        <v>2742</v>
      </c>
      <c r="D4328" s="0" t="n">
        <v>12</v>
      </c>
      <c r="E4328" s="6" t="n">
        <v>40851.5520833333</v>
      </c>
      <c r="F4328" s="0" t="n">
        <v>1.25</v>
      </c>
      <c r="G4328" s="0" t="n">
        <v>12577</v>
      </c>
      <c r="H4328" s="0" t="s">
        <v>43</v>
      </c>
      <c r="I4328" s="7" t="n">
        <f aca="false">IF(AND(LEFT(A4328,1)&lt;&gt;"C",D4328&gt;0,F4328&gt;0),1,0)</f>
        <v>1</v>
      </c>
      <c r="J4328" s="7" t="n">
        <f aca="false">IF(I4328=1,D4328*F4328,0)</f>
        <v>15</v>
      </c>
      <c r="K4328" s="7" t="n">
        <f aca="false">YEAR(E4328)*100+MONTH(E4328)</f>
        <v>201111</v>
      </c>
      <c r="L4328" s="7" t="n">
        <f aca="false">IF(AND(A4328&lt;&gt;A4327,LEFT(A4328,1)&lt;&gt;"C"),1,0)</f>
        <v>0</v>
      </c>
    </row>
    <row r="4329" customFormat="false" ht="15" hidden="false" customHeight="false" outlineLevel="0" collapsed="false">
      <c r="A4329" s="0" t="s">
        <v>2722</v>
      </c>
      <c r="B4329" s="0" t="s">
        <v>2743</v>
      </c>
      <c r="C4329" s="0" t="s">
        <v>2744</v>
      </c>
      <c r="D4329" s="0" t="n">
        <v>5</v>
      </c>
      <c r="E4329" s="6" t="n">
        <v>40851.5520833333</v>
      </c>
      <c r="F4329" s="0" t="n">
        <v>1.65</v>
      </c>
      <c r="G4329" s="0" t="n">
        <v>12577</v>
      </c>
      <c r="H4329" s="0" t="s">
        <v>43</v>
      </c>
      <c r="I4329" s="7" t="n">
        <f aca="false">IF(AND(LEFT(A4329,1)&lt;&gt;"C",D4329&gt;0,F4329&gt;0),1,0)</f>
        <v>1</v>
      </c>
      <c r="J4329" s="7" t="n">
        <f aca="false">IF(I4329=1,D4329*F4329,0)</f>
        <v>8.25</v>
      </c>
      <c r="K4329" s="7" t="n">
        <f aca="false">YEAR(E4329)*100+MONTH(E4329)</f>
        <v>201111</v>
      </c>
      <c r="L4329" s="7" t="n">
        <f aca="false">IF(AND(A4329&lt;&gt;A4328,LEFT(A4329,1)&lt;&gt;"C"),1,0)</f>
        <v>0</v>
      </c>
    </row>
    <row r="4330" customFormat="false" ht="15" hidden="false" customHeight="false" outlineLevel="0" collapsed="false">
      <c r="A4330" s="0" t="s">
        <v>2722</v>
      </c>
      <c r="B4330" s="0" t="s">
        <v>2745</v>
      </c>
      <c r="C4330" s="0" t="s">
        <v>2746</v>
      </c>
      <c r="D4330" s="0" t="n">
        <v>6</v>
      </c>
      <c r="E4330" s="6" t="n">
        <v>40851.5520833333</v>
      </c>
      <c r="F4330" s="0" t="n">
        <v>1.25</v>
      </c>
      <c r="G4330" s="0" t="n">
        <v>12577</v>
      </c>
      <c r="H4330" s="0" t="s">
        <v>43</v>
      </c>
      <c r="I4330" s="7" t="n">
        <f aca="false">IF(AND(LEFT(A4330,1)&lt;&gt;"C",D4330&gt;0,F4330&gt;0),1,0)</f>
        <v>1</v>
      </c>
      <c r="J4330" s="7" t="n">
        <f aca="false">IF(I4330=1,D4330*F4330,0)</f>
        <v>7.5</v>
      </c>
      <c r="K4330" s="7" t="n">
        <f aca="false">YEAR(E4330)*100+MONTH(E4330)</f>
        <v>201111</v>
      </c>
      <c r="L4330" s="7" t="n">
        <f aca="false">IF(AND(A4330&lt;&gt;A4329,LEFT(A4330,1)&lt;&gt;"C"),1,0)</f>
        <v>0</v>
      </c>
    </row>
    <row r="4331" customFormat="false" ht="15" hidden="false" customHeight="false" outlineLevel="0" collapsed="false">
      <c r="A4331" s="0" t="s">
        <v>2722</v>
      </c>
      <c r="B4331" s="0" t="s">
        <v>2747</v>
      </c>
      <c r="C4331" s="0" t="s">
        <v>2748</v>
      </c>
      <c r="D4331" s="0" t="n">
        <v>4</v>
      </c>
      <c r="E4331" s="6" t="n">
        <v>40851.5520833333</v>
      </c>
      <c r="F4331" s="0" t="n">
        <v>2.1</v>
      </c>
      <c r="G4331" s="0" t="n">
        <v>12577</v>
      </c>
      <c r="H4331" s="0" t="s">
        <v>43</v>
      </c>
      <c r="I4331" s="7" t="n">
        <f aca="false">IF(AND(LEFT(A4331,1)&lt;&gt;"C",D4331&gt;0,F4331&gt;0),1,0)</f>
        <v>1</v>
      </c>
      <c r="J4331" s="7" t="n">
        <f aca="false">IF(I4331=1,D4331*F4331,0)</f>
        <v>8.4</v>
      </c>
      <c r="K4331" s="7" t="n">
        <f aca="false">YEAR(E4331)*100+MONTH(E4331)</f>
        <v>201111</v>
      </c>
      <c r="L4331" s="7" t="n">
        <f aca="false">IF(AND(A4331&lt;&gt;A4330,LEFT(A4331,1)&lt;&gt;"C"),1,0)</f>
        <v>0</v>
      </c>
    </row>
    <row r="4332" customFormat="false" ht="15" hidden="false" customHeight="false" outlineLevel="0" collapsed="false">
      <c r="A4332" s="0" t="s">
        <v>2722</v>
      </c>
      <c r="B4332" s="0" t="s">
        <v>1642</v>
      </c>
      <c r="C4332" s="0" t="s">
        <v>1643</v>
      </c>
      <c r="D4332" s="0" t="n">
        <v>8</v>
      </c>
      <c r="E4332" s="6" t="n">
        <v>40851.5520833333</v>
      </c>
      <c r="F4332" s="0" t="n">
        <v>0.42</v>
      </c>
      <c r="G4332" s="0" t="n">
        <v>12577</v>
      </c>
      <c r="H4332" s="0" t="s">
        <v>43</v>
      </c>
      <c r="I4332" s="7" t="n">
        <f aca="false">IF(AND(LEFT(A4332,1)&lt;&gt;"C",D4332&gt;0,F4332&gt;0),1,0)</f>
        <v>1</v>
      </c>
      <c r="J4332" s="7" t="n">
        <f aca="false">IF(I4332=1,D4332*F4332,0)</f>
        <v>3.36</v>
      </c>
      <c r="K4332" s="7" t="n">
        <f aca="false">YEAR(E4332)*100+MONTH(E4332)</f>
        <v>201111</v>
      </c>
      <c r="L4332" s="7" t="n">
        <f aca="false">IF(AND(A4332&lt;&gt;A4331,LEFT(A4332,1)&lt;&gt;"C"),1,0)</f>
        <v>0</v>
      </c>
    </row>
    <row r="4333" customFormat="false" ht="15" hidden="false" customHeight="false" outlineLevel="0" collapsed="false">
      <c r="A4333" s="0" t="s">
        <v>2722</v>
      </c>
      <c r="B4333" s="0" t="s">
        <v>1644</v>
      </c>
      <c r="C4333" s="0" t="s">
        <v>1645</v>
      </c>
      <c r="D4333" s="0" t="n">
        <v>8</v>
      </c>
      <c r="E4333" s="6" t="n">
        <v>40851.5520833333</v>
      </c>
      <c r="F4333" s="0" t="n">
        <v>0.42</v>
      </c>
      <c r="G4333" s="0" t="n">
        <v>12577</v>
      </c>
      <c r="H4333" s="0" t="s">
        <v>43</v>
      </c>
      <c r="I4333" s="7" t="n">
        <f aca="false">IF(AND(LEFT(A4333,1)&lt;&gt;"C",D4333&gt;0,F4333&gt;0),1,0)</f>
        <v>1</v>
      </c>
      <c r="J4333" s="7" t="n">
        <f aca="false">IF(I4333=1,D4333*F4333,0)</f>
        <v>3.36</v>
      </c>
      <c r="K4333" s="7" t="n">
        <f aca="false">YEAR(E4333)*100+MONTH(E4333)</f>
        <v>201111</v>
      </c>
      <c r="L4333" s="7" t="n">
        <f aca="false">IF(AND(A4333&lt;&gt;A4332,LEFT(A4333,1)&lt;&gt;"C"),1,0)</f>
        <v>0</v>
      </c>
    </row>
    <row r="4334" customFormat="false" ht="15" hidden="false" customHeight="false" outlineLevel="0" collapsed="false">
      <c r="A4334" s="0" t="s">
        <v>2722</v>
      </c>
      <c r="B4334" s="0" t="s">
        <v>2174</v>
      </c>
      <c r="C4334" s="0" t="s">
        <v>2175</v>
      </c>
      <c r="D4334" s="0" t="n">
        <v>5</v>
      </c>
      <c r="E4334" s="6" t="n">
        <v>40851.5520833333</v>
      </c>
      <c r="F4334" s="0" t="n">
        <v>1.65</v>
      </c>
      <c r="G4334" s="0" t="n">
        <v>12577</v>
      </c>
      <c r="H4334" s="0" t="s">
        <v>43</v>
      </c>
      <c r="I4334" s="7" t="n">
        <f aca="false">IF(AND(LEFT(A4334,1)&lt;&gt;"C",D4334&gt;0,F4334&gt;0),1,0)</f>
        <v>1</v>
      </c>
      <c r="J4334" s="7" t="n">
        <f aca="false">IF(I4334=1,D4334*F4334,0)</f>
        <v>8.25</v>
      </c>
      <c r="K4334" s="7" t="n">
        <f aca="false">YEAR(E4334)*100+MONTH(E4334)</f>
        <v>201111</v>
      </c>
      <c r="L4334" s="7" t="n">
        <f aca="false">IF(AND(A4334&lt;&gt;A4333,LEFT(A4334,1)&lt;&gt;"C"),1,0)</f>
        <v>0</v>
      </c>
    </row>
    <row r="4335" customFormat="false" ht="15" hidden="false" customHeight="false" outlineLevel="0" collapsed="false">
      <c r="A4335" s="0" t="s">
        <v>2722</v>
      </c>
      <c r="B4335" s="0" t="s">
        <v>2749</v>
      </c>
      <c r="C4335" s="0" t="s">
        <v>2750</v>
      </c>
      <c r="D4335" s="0" t="n">
        <v>4</v>
      </c>
      <c r="E4335" s="6" t="n">
        <v>40851.5520833333</v>
      </c>
      <c r="F4335" s="0" t="n">
        <v>1.25</v>
      </c>
      <c r="G4335" s="0" t="n">
        <v>12577</v>
      </c>
      <c r="H4335" s="0" t="s">
        <v>43</v>
      </c>
      <c r="I4335" s="7" t="n">
        <f aca="false">IF(AND(LEFT(A4335,1)&lt;&gt;"C",D4335&gt;0,F4335&gt;0),1,0)</f>
        <v>1</v>
      </c>
      <c r="J4335" s="7" t="n">
        <f aca="false">IF(I4335=1,D4335*F4335,0)</f>
        <v>5</v>
      </c>
      <c r="K4335" s="7" t="n">
        <f aca="false">YEAR(E4335)*100+MONTH(E4335)</f>
        <v>201111</v>
      </c>
      <c r="L4335" s="7" t="n">
        <f aca="false">IF(AND(A4335&lt;&gt;A4334,LEFT(A4335,1)&lt;&gt;"C"),1,0)</f>
        <v>0</v>
      </c>
    </row>
    <row r="4336" customFormat="false" ht="15" hidden="false" customHeight="false" outlineLevel="0" collapsed="false">
      <c r="A4336" s="0" t="s">
        <v>2722</v>
      </c>
      <c r="B4336" s="0" t="s">
        <v>1784</v>
      </c>
      <c r="C4336" s="0" t="s">
        <v>1785</v>
      </c>
      <c r="D4336" s="0" t="n">
        <v>20</v>
      </c>
      <c r="E4336" s="6" t="n">
        <v>40851.5520833333</v>
      </c>
      <c r="F4336" s="0" t="n">
        <v>1.25</v>
      </c>
      <c r="G4336" s="0" t="n">
        <v>12577</v>
      </c>
      <c r="H4336" s="0" t="s">
        <v>43</v>
      </c>
      <c r="I4336" s="7" t="n">
        <f aca="false">IF(AND(LEFT(A4336,1)&lt;&gt;"C",D4336&gt;0,F4336&gt;0),1,0)</f>
        <v>1</v>
      </c>
      <c r="J4336" s="7" t="n">
        <f aca="false">IF(I4336=1,D4336*F4336,0)</f>
        <v>25</v>
      </c>
      <c r="K4336" s="7" t="n">
        <f aca="false">YEAR(E4336)*100+MONTH(E4336)</f>
        <v>201111</v>
      </c>
      <c r="L4336" s="7" t="n">
        <f aca="false">IF(AND(A4336&lt;&gt;A4335,LEFT(A4336,1)&lt;&gt;"C"),1,0)</f>
        <v>0</v>
      </c>
    </row>
    <row r="4337" customFormat="false" ht="15" hidden="false" customHeight="false" outlineLevel="0" collapsed="false">
      <c r="A4337" s="0" t="s">
        <v>2722</v>
      </c>
      <c r="B4337" s="0" t="s">
        <v>1861</v>
      </c>
      <c r="C4337" s="0" t="s">
        <v>1862</v>
      </c>
      <c r="D4337" s="0" t="n">
        <v>20</v>
      </c>
      <c r="E4337" s="6" t="n">
        <v>40851.5520833333</v>
      </c>
      <c r="F4337" s="0" t="n">
        <v>1.25</v>
      </c>
      <c r="G4337" s="0" t="n">
        <v>12577</v>
      </c>
      <c r="H4337" s="0" t="s">
        <v>43</v>
      </c>
      <c r="I4337" s="7" t="n">
        <f aca="false">IF(AND(LEFT(A4337,1)&lt;&gt;"C",D4337&gt;0,F4337&gt;0),1,0)</f>
        <v>1</v>
      </c>
      <c r="J4337" s="7" t="n">
        <f aca="false">IF(I4337=1,D4337*F4337,0)</f>
        <v>25</v>
      </c>
      <c r="K4337" s="7" t="n">
        <f aca="false">YEAR(E4337)*100+MONTH(E4337)</f>
        <v>201111</v>
      </c>
      <c r="L4337" s="7" t="n">
        <f aca="false">IF(AND(A4337&lt;&gt;A4336,LEFT(A4337,1)&lt;&gt;"C"),1,0)</f>
        <v>0</v>
      </c>
    </row>
    <row r="4338" customFormat="false" ht="15" hidden="false" customHeight="false" outlineLevel="0" collapsed="false">
      <c r="A4338" s="0" t="s">
        <v>2722</v>
      </c>
      <c r="B4338" s="0" t="s">
        <v>359</v>
      </c>
      <c r="C4338" s="0" t="s">
        <v>360</v>
      </c>
      <c r="D4338" s="0" t="n">
        <v>4</v>
      </c>
      <c r="E4338" s="6" t="n">
        <v>40851.5520833333</v>
      </c>
      <c r="F4338" s="0" t="n">
        <v>2.95</v>
      </c>
      <c r="G4338" s="0" t="n">
        <v>12577</v>
      </c>
      <c r="H4338" s="0" t="s">
        <v>43</v>
      </c>
      <c r="I4338" s="7" t="n">
        <f aca="false">IF(AND(LEFT(A4338,1)&lt;&gt;"C",D4338&gt;0,F4338&gt;0),1,0)</f>
        <v>1</v>
      </c>
      <c r="J4338" s="7" t="n">
        <f aca="false">IF(I4338=1,D4338*F4338,0)</f>
        <v>11.8</v>
      </c>
      <c r="K4338" s="7" t="n">
        <f aca="false">YEAR(E4338)*100+MONTH(E4338)</f>
        <v>201111</v>
      </c>
      <c r="L4338" s="7" t="n">
        <f aca="false">IF(AND(A4338&lt;&gt;A4337,LEFT(A4338,1)&lt;&gt;"C"),1,0)</f>
        <v>0</v>
      </c>
    </row>
    <row r="4339" customFormat="false" ht="15" hidden="false" customHeight="false" outlineLevel="0" collapsed="false">
      <c r="A4339" s="0" t="s">
        <v>2722</v>
      </c>
      <c r="B4339" s="0" t="s">
        <v>2751</v>
      </c>
      <c r="C4339" s="0" t="s">
        <v>2752</v>
      </c>
      <c r="D4339" s="0" t="n">
        <v>3</v>
      </c>
      <c r="E4339" s="6" t="n">
        <v>40851.5520833333</v>
      </c>
      <c r="F4339" s="0" t="n">
        <v>1.25</v>
      </c>
      <c r="G4339" s="0" t="n">
        <v>12577</v>
      </c>
      <c r="H4339" s="0" t="s">
        <v>43</v>
      </c>
      <c r="I4339" s="7" t="n">
        <f aca="false">IF(AND(LEFT(A4339,1)&lt;&gt;"C",D4339&gt;0,F4339&gt;0),1,0)</f>
        <v>1</v>
      </c>
      <c r="J4339" s="7" t="n">
        <f aca="false">IF(I4339=1,D4339*F4339,0)</f>
        <v>3.75</v>
      </c>
      <c r="K4339" s="7" t="n">
        <f aca="false">YEAR(E4339)*100+MONTH(E4339)</f>
        <v>201111</v>
      </c>
      <c r="L4339" s="7" t="n">
        <f aca="false">IF(AND(A4339&lt;&gt;A4338,LEFT(A4339,1)&lt;&gt;"C"),1,0)</f>
        <v>0</v>
      </c>
    </row>
    <row r="4340" customFormat="false" ht="15" hidden="false" customHeight="false" outlineLevel="0" collapsed="false">
      <c r="A4340" s="0" t="s">
        <v>2722</v>
      </c>
      <c r="B4340" s="0" t="s">
        <v>596</v>
      </c>
      <c r="C4340" s="0" t="s">
        <v>597</v>
      </c>
      <c r="D4340" s="0" t="n">
        <v>3</v>
      </c>
      <c r="E4340" s="6" t="n">
        <v>40851.5520833333</v>
      </c>
      <c r="F4340" s="0" t="n">
        <v>1.25</v>
      </c>
      <c r="G4340" s="0" t="n">
        <v>12577</v>
      </c>
      <c r="H4340" s="0" t="s">
        <v>43</v>
      </c>
      <c r="I4340" s="7" t="n">
        <f aca="false">IF(AND(LEFT(A4340,1)&lt;&gt;"C",D4340&gt;0,F4340&gt;0),1,0)</f>
        <v>1</v>
      </c>
      <c r="J4340" s="7" t="n">
        <f aca="false">IF(I4340=1,D4340*F4340,0)</f>
        <v>3.75</v>
      </c>
      <c r="K4340" s="7" t="n">
        <f aca="false">YEAR(E4340)*100+MONTH(E4340)</f>
        <v>201111</v>
      </c>
      <c r="L4340" s="7" t="n">
        <f aca="false">IF(AND(A4340&lt;&gt;A4339,LEFT(A4340,1)&lt;&gt;"C"),1,0)</f>
        <v>0</v>
      </c>
    </row>
    <row r="4341" customFormat="false" ht="15" hidden="false" customHeight="false" outlineLevel="0" collapsed="false">
      <c r="A4341" s="0" t="s">
        <v>2722</v>
      </c>
      <c r="B4341" s="0" t="s">
        <v>2753</v>
      </c>
      <c r="C4341" s="0" t="s">
        <v>2754</v>
      </c>
      <c r="D4341" s="0" t="n">
        <v>3</v>
      </c>
      <c r="E4341" s="6" t="n">
        <v>40851.5520833333</v>
      </c>
      <c r="F4341" s="0" t="n">
        <v>0.85</v>
      </c>
      <c r="G4341" s="0" t="n">
        <v>12577</v>
      </c>
      <c r="H4341" s="0" t="s">
        <v>43</v>
      </c>
      <c r="I4341" s="7" t="n">
        <f aca="false">IF(AND(LEFT(A4341,1)&lt;&gt;"C",D4341&gt;0,F4341&gt;0),1,0)</f>
        <v>1</v>
      </c>
      <c r="J4341" s="7" t="n">
        <f aca="false">IF(I4341=1,D4341*F4341,0)</f>
        <v>2.55</v>
      </c>
      <c r="K4341" s="7" t="n">
        <f aca="false">YEAR(E4341)*100+MONTH(E4341)</f>
        <v>201111</v>
      </c>
      <c r="L4341" s="7" t="n">
        <f aca="false">IF(AND(A4341&lt;&gt;A4340,LEFT(A4341,1)&lt;&gt;"C"),1,0)</f>
        <v>0</v>
      </c>
    </row>
    <row r="4342" customFormat="false" ht="15" hidden="false" customHeight="false" outlineLevel="0" collapsed="false">
      <c r="A4342" s="0" t="s">
        <v>2722</v>
      </c>
      <c r="B4342" s="0" t="s">
        <v>1140</v>
      </c>
      <c r="C4342" s="0" t="s">
        <v>1141</v>
      </c>
      <c r="D4342" s="0" t="n">
        <v>3</v>
      </c>
      <c r="E4342" s="6" t="n">
        <v>40851.5520833333</v>
      </c>
      <c r="F4342" s="0" t="n">
        <v>4.25</v>
      </c>
      <c r="G4342" s="0" t="n">
        <v>12577</v>
      </c>
      <c r="H4342" s="0" t="s">
        <v>43</v>
      </c>
      <c r="I4342" s="7" t="n">
        <f aca="false">IF(AND(LEFT(A4342,1)&lt;&gt;"C",D4342&gt;0,F4342&gt;0),1,0)</f>
        <v>1</v>
      </c>
      <c r="J4342" s="7" t="n">
        <f aca="false">IF(I4342=1,D4342*F4342,0)</f>
        <v>12.75</v>
      </c>
      <c r="K4342" s="7" t="n">
        <f aca="false">YEAR(E4342)*100+MONTH(E4342)</f>
        <v>201111</v>
      </c>
      <c r="L4342" s="7" t="n">
        <f aca="false">IF(AND(A4342&lt;&gt;A4341,LEFT(A4342,1)&lt;&gt;"C"),1,0)</f>
        <v>0</v>
      </c>
    </row>
    <row r="4343" customFormat="false" ht="15" hidden="false" customHeight="false" outlineLevel="0" collapsed="false">
      <c r="A4343" s="0" t="s">
        <v>2722</v>
      </c>
      <c r="B4343" s="0" t="s">
        <v>2755</v>
      </c>
      <c r="C4343" s="0" t="s">
        <v>2756</v>
      </c>
      <c r="D4343" s="0" t="n">
        <v>3</v>
      </c>
      <c r="E4343" s="6" t="n">
        <v>40851.5520833333</v>
      </c>
      <c r="F4343" s="0" t="n">
        <v>0.29</v>
      </c>
      <c r="G4343" s="0" t="n">
        <v>12577</v>
      </c>
      <c r="H4343" s="0" t="s">
        <v>43</v>
      </c>
      <c r="I4343" s="7" t="n">
        <f aca="false">IF(AND(LEFT(A4343,1)&lt;&gt;"C",D4343&gt;0,F4343&gt;0),1,0)</f>
        <v>1</v>
      </c>
      <c r="J4343" s="7" t="n">
        <f aca="false">IF(I4343=1,D4343*F4343,0)</f>
        <v>0.87</v>
      </c>
      <c r="K4343" s="7" t="n">
        <f aca="false">YEAR(E4343)*100+MONTH(E4343)</f>
        <v>201111</v>
      </c>
      <c r="L4343" s="7" t="n">
        <f aca="false">IF(AND(A4343&lt;&gt;A4342,LEFT(A4343,1)&lt;&gt;"C"),1,0)</f>
        <v>0</v>
      </c>
    </row>
    <row r="4344" customFormat="false" ht="15" hidden="false" customHeight="false" outlineLevel="0" collapsed="false">
      <c r="A4344" s="0" t="s">
        <v>2722</v>
      </c>
      <c r="B4344" s="0" t="s">
        <v>1738</v>
      </c>
      <c r="C4344" s="0" t="s">
        <v>1739</v>
      </c>
      <c r="D4344" s="0" t="n">
        <v>20</v>
      </c>
      <c r="E4344" s="6" t="n">
        <v>40851.5520833333</v>
      </c>
      <c r="F4344" s="0" t="n">
        <v>1.25</v>
      </c>
      <c r="G4344" s="0" t="n">
        <v>12577</v>
      </c>
      <c r="H4344" s="0" t="s">
        <v>43</v>
      </c>
      <c r="I4344" s="7" t="n">
        <f aca="false">IF(AND(LEFT(A4344,1)&lt;&gt;"C",D4344&gt;0,F4344&gt;0),1,0)</f>
        <v>1</v>
      </c>
      <c r="J4344" s="7" t="n">
        <f aca="false">IF(I4344=1,D4344*F4344,0)</f>
        <v>25</v>
      </c>
      <c r="K4344" s="7" t="n">
        <f aca="false">YEAR(E4344)*100+MONTH(E4344)</f>
        <v>201111</v>
      </c>
      <c r="L4344" s="7" t="n">
        <f aca="false">IF(AND(A4344&lt;&gt;A4343,LEFT(A4344,1)&lt;&gt;"C"),1,0)</f>
        <v>0</v>
      </c>
    </row>
    <row r="4345" customFormat="false" ht="15" hidden="false" customHeight="false" outlineLevel="0" collapsed="false">
      <c r="A4345" s="0" t="s">
        <v>2722</v>
      </c>
      <c r="B4345" s="0" t="s">
        <v>52</v>
      </c>
      <c r="C4345" s="0" t="s">
        <v>53</v>
      </c>
      <c r="D4345" s="0" t="n">
        <v>7</v>
      </c>
      <c r="E4345" s="6" t="n">
        <v>40851.5520833333</v>
      </c>
      <c r="F4345" s="0" t="n">
        <v>1.95</v>
      </c>
      <c r="G4345" s="0" t="n">
        <v>12577</v>
      </c>
      <c r="H4345" s="0" t="s">
        <v>43</v>
      </c>
      <c r="I4345" s="7" t="n">
        <f aca="false">IF(AND(LEFT(A4345,1)&lt;&gt;"C",D4345&gt;0,F4345&gt;0),1,0)</f>
        <v>1</v>
      </c>
      <c r="J4345" s="7" t="n">
        <f aca="false">IF(I4345=1,D4345*F4345,0)</f>
        <v>13.65</v>
      </c>
      <c r="K4345" s="7" t="n">
        <f aca="false">YEAR(E4345)*100+MONTH(E4345)</f>
        <v>201111</v>
      </c>
      <c r="L4345" s="7" t="n">
        <f aca="false">IF(AND(A4345&lt;&gt;A4344,LEFT(A4345,1)&lt;&gt;"C"),1,0)</f>
        <v>0</v>
      </c>
    </row>
    <row r="4346" customFormat="false" ht="15" hidden="false" customHeight="false" outlineLevel="0" collapsed="false">
      <c r="A4346" s="0" t="s">
        <v>2722</v>
      </c>
      <c r="B4346" s="0" t="s">
        <v>277</v>
      </c>
      <c r="C4346" s="0" t="s">
        <v>278</v>
      </c>
      <c r="D4346" s="0" t="n">
        <v>3</v>
      </c>
      <c r="E4346" s="6" t="n">
        <v>40851.5520833333</v>
      </c>
      <c r="F4346" s="0" t="n">
        <v>1.65</v>
      </c>
      <c r="G4346" s="0" t="n">
        <v>12577</v>
      </c>
      <c r="H4346" s="0" t="s">
        <v>43</v>
      </c>
      <c r="I4346" s="7" t="n">
        <f aca="false">IF(AND(LEFT(A4346,1)&lt;&gt;"C",D4346&gt;0,F4346&gt;0),1,0)</f>
        <v>1</v>
      </c>
      <c r="J4346" s="7" t="n">
        <f aca="false">IF(I4346=1,D4346*F4346,0)</f>
        <v>4.95</v>
      </c>
      <c r="K4346" s="7" t="n">
        <f aca="false">YEAR(E4346)*100+MONTH(E4346)</f>
        <v>201111</v>
      </c>
      <c r="L4346" s="7" t="n">
        <f aca="false">IF(AND(A4346&lt;&gt;A4345,LEFT(A4346,1)&lt;&gt;"C"),1,0)</f>
        <v>0</v>
      </c>
    </row>
    <row r="4347" customFormat="false" ht="15" hidden="false" customHeight="false" outlineLevel="0" collapsed="false">
      <c r="A4347" s="0" t="s">
        <v>2722</v>
      </c>
      <c r="B4347" s="0" t="s">
        <v>2757</v>
      </c>
      <c r="C4347" s="0" t="s">
        <v>2758</v>
      </c>
      <c r="D4347" s="0" t="n">
        <v>2</v>
      </c>
      <c r="E4347" s="6" t="n">
        <v>40851.5520833333</v>
      </c>
      <c r="F4347" s="0" t="n">
        <v>0.83</v>
      </c>
      <c r="G4347" s="0" t="n">
        <v>12577</v>
      </c>
      <c r="H4347" s="0" t="s">
        <v>43</v>
      </c>
      <c r="I4347" s="7" t="n">
        <f aca="false">IF(AND(LEFT(A4347,1)&lt;&gt;"C",D4347&gt;0,F4347&gt;0),1,0)</f>
        <v>1</v>
      </c>
      <c r="J4347" s="7" t="n">
        <f aca="false">IF(I4347=1,D4347*F4347,0)</f>
        <v>1.66</v>
      </c>
      <c r="K4347" s="7" t="n">
        <f aca="false">YEAR(E4347)*100+MONTH(E4347)</f>
        <v>201111</v>
      </c>
      <c r="L4347" s="7" t="n">
        <f aca="false">IF(AND(A4347&lt;&gt;A4346,LEFT(A4347,1)&lt;&gt;"C"),1,0)</f>
        <v>0</v>
      </c>
    </row>
    <row r="4348" customFormat="false" ht="15" hidden="false" customHeight="false" outlineLevel="0" collapsed="false">
      <c r="A4348" s="0" t="s">
        <v>2722</v>
      </c>
      <c r="B4348" s="0" t="s">
        <v>2759</v>
      </c>
      <c r="C4348" s="0" t="s">
        <v>2760</v>
      </c>
      <c r="D4348" s="0" t="n">
        <v>2</v>
      </c>
      <c r="E4348" s="6" t="n">
        <v>40851.5520833333</v>
      </c>
      <c r="F4348" s="0" t="n">
        <v>0.83</v>
      </c>
      <c r="G4348" s="0" t="n">
        <v>12577</v>
      </c>
      <c r="H4348" s="0" t="s">
        <v>43</v>
      </c>
      <c r="I4348" s="7" t="n">
        <f aca="false">IF(AND(LEFT(A4348,1)&lt;&gt;"C",D4348&gt;0,F4348&gt;0),1,0)</f>
        <v>1</v>
      </c>
      <c r="J4348" s="7" t="n">
        <f aca="false">IF(I4348=1,D4348*F4348,0)</f>
        <v>1.66</v>
      </c>
      <c r="K4348" s="7" t="n">
        <f aca="false">YEAR(E4348)*100+MONTH(E4348)</f>
        <v>201111</v>
      </c>
      <c r="L4348" s="7" t="n">
        <f aca="false">IF(AND(A4348&lt;&gt;A4347,LEFT(A4348,1)&lt;&gt;"C"),1,0)</f>
        <v>0</v>
      </c>
    </row>
    <row r="4349" customFormat="false" ht="15" hidden="false" customHeight="false" outlineLevel="0" collapsed="false">
      <c r="A4349" s="0" t="s">
        <v>2722</v>
      </c>
      <c r="B4349" s="0" t="s">
        <v>693</v>
      </c>
      <c r="C4349" s="0" t="s">
        <v>694</v>
      </c>
      <c r="D4349" s="0" t="n">
        <v>2</v>
      </c>
      <c r="E4349" s="6" t="n">
        <v>40851.5520833333</v>
      </c>
      <c r="F4349" s="0" t="n">
        <v>0.83</v>
      </c>
      <c r="G4349" s="0" t="n">
        <v>12577</v>
      </c>
      <c r="H4349" s="0" t="s">
        <v>43</v>
      </c>
      <c r="I4349" s="7" t="n">
        <f aca="false">IF(AND(LEFT(A4349,1)&lt;&gt;"C",D4349&gt;0,F4349&gt;0),1,0)</f>
        <v>1</v>
      </c>
      <c r="J4349" s="7" t="n">
        <f aca="false">IF(I4349=1,D4349*F4349,0)</f>
        <v>1.66</v>
      </c>
      <c r="K4349" s="7" t="n">
        <f aca="false">YEAR(E4349)*100+MONTH(E4349)</f>
        <v>201111</v>
      </c>
      <c r="L4349" s="7" t="n">
        <f aca="false">IF(AND(A4349&lt;&gt;A4348,LEFT(A4349,1)&lt;&gt;"C"),1,0)</f>
        <v>0</v>
      </c>
    </row>
    <row r="4350" customFormat="false" ht="15" hidden="false" customHeight="false" outlineLevel="0" collapsed="false">
      <c r="A4350" s="0" t="s">
        <v>2722</v>
      </c>
      <c r="B4350" s="0" t="s">
        <v>1726</v>
      </c>
      <c r="C4350" s="0" t="s">
        <v>1727</v>
      </c>
      <c r="D4350" s="0" t="n">
        <v>5</v>
      </c>
      <c r="E4350" s="6" t="n">
        <v>40851.5520833333</v>
      </c>
      <c r="F4350" s="0" t="n">
        <v>0.21</v>
      </c>
      <c r="G4350" s="0" t="n">
        <v>12577</v>
      </c>
      <c r="H4350" s="0" t="s">
        <v>43</v>
      </c>
      <c r="I4350" s="7" t="n">
        <f aca="false">IF(AND(LEFT(A4350,1)&lt;&gt;"C",D4350&gt;0,F4350&gt;0),1,0)</f>
        <v>1</v>
      </c>
      <c r="J4350" s="7" t="n">
        <f aca="false">IF(I4350=1,D4350*F4350,0)</f>
        <v>1.05</v>
      </c>
      <c r="K4350" s="7" t="n">
        <f aca="false">YEAR(E4350)*100+MONTH(E4350)</f>
        <v>201111</v>
      </c>
      <c r="L4350" s="7" t="n">
        <f aca="false">IF(AND(A4350&lt;&gt;A4349,LEFT(A4350,1)&lt;&gt;"C"),1,0)</f>
        <v>0</v>
      </c>
    </row>
    <row r="4351" customFormat="false" ht="15" hidden="false" customHeight="false" outlineLevel="0" collapsed="false">
      <c r="A4351" s="0" t="s">
        <v>2722</v>
      </c>
      <c r="B4351" s="0" t="s">
        <v>2761</v>
      </c>
      <c r="C4351" s="0" t="s">
        <v>2762</v>
      </c>
      <c r="D4351" s="0" t="n">
        <v>5</v>
      </c>
      <c r="E4351" s="6" t="n">
        <v>40851.5520833333</v>
      </c>
      <c r="F4351" s="0" t="n">
        <v>0.21</v>
      </c>
      <c r="G4351" s="0" t="n">
        <v>12577</v>
      </c>
      <c r="H4351" s="0" t="s">
        <v>43</v>
      </c>
      <c r="I4351" s="7" t="n">
        <f aca="false">IF(AND(LEFT(A4351,1)&lt;&gt;"C",D4351&gt;0,F4351&gt;0),1,0)</f>
        <v>1</v>
      </c>
      <c r="J4351" s="7" t="n">
        <f aca="false">IF(I4351=1,D4351*F4351,0)</f>
        <v>1.05</v>
      </c>
      <c r="K4351" s="7" t="n">
        <f aca="false">YEAR(E4351)*100+MONTH(E4351)</f>
        <v>201111</v>
      </c>
      <c r="L4351" s="7" t="n">
        <f aca="false">IF(AND(A4351&lt;&gt;A4350,LEFT(A4351,1)&lt;&gt;"C"),1,0)</f>
        <v>0</v>
      </c>
    </row>
    <row r="4352" customFormat="false" ht="15" hidden="false" customHeight="false" outlineLevel="0" collapsed="false">
      <c r="A4352" s="0" t="s">
        <v>2722</v>
      </c>
      <c r="B4352" s="0" t="s">
        <v>2348</v>
      </c>
      <c r="C4352" s="0" t="s">
        <v>2349</v>
      </c>
      <c r="D4352" s="0" t="n">
        <v>2</v>
      </c>
      <c r="E4352" s="6" t="n">
        <v>40851.5520833333</v>
      </c>
      <c r="F4352" s="0" t="n">
        <v>0.83</v>
      </c>
      <c r="G4352" s="0" t="n">
        <v>12577</v>
      </c>
      <c r="H4352" s="0" t="s">
        <v>43</v>
      </c>
      <c r="I4352" s="7" t="n">
        <f aca="false">IF(AND(LEFT(A4352,1)&lt;&gt;"C",D4352&gt;0,F4352&gt;0),1,0)</f>
        <v>1</v>
      </c>
      <c r="J4352" s="7" t="n">
        <f aca="false">IF(I4352=1,D4352*F4352,0)</f>
        <v>1.66</v>
      </c>
      <c r="K4352" s="7" t="n">
        <f aca="false">YEAR(E4352)*100+MONTH(E4352)</f>
        <v>201111</v>
      </c>
      <c r="L4352" s="7" t="n">
        <f aca="false">IF(AND(A4352&lt;&gt;A4351,LEFT(A4352,1)&lt;&gt;"C"),1,0)</f>
        <v>0</v>
      </c>
    </row>
    <row r="4353" customFormat="false" ht="15" hidden="false" customHeight="false" outlineLevel="0" collapsed="false">
      <c r="A4353" s="0" t="s">
        <v>2722</v>
      </c>
      <c r="B4353" s="0" t="s">
        <v>2346</v>
      </c>
      <c r="C4353" s="0" t="s">
        <v>2347</v>
      </c>
      <c r="D4353" s="0" t="n">
        <v>2</v>
      </c>
      <c r="E4353" s="6" t="n">
        <v>40851.5520833333</v>
      </c>
      <c r="F4353" s="0" t="n">
        <v>0.83</v>
      </c>
      <c r="G4353" s="0" t="n">
        <v>12577</v>
      </c>
      <c r="H4353" s="0" t="s">
        <v>43</v>
      </c>
      <c r="I4353" s="7" t="n">
        <f aca="false">IF(AND(LEFT(A4353,1)&lt;&gt;"C",D4353&gt;0,F4353&gt;0),1,0)</f>
        <v>1</v>
      </c>
      <c r="J4353" s="7" t="n">
        <f aca="false">IF(I4353=1,D4353*F4353,0)</f>
        <v>1.66</v>
      </c>
      <c r="K4353" s="7" t="n">
        <f aca="false">YEAR(E4353)*100+MONTH(E4353)</f>
        <v>201111</v>
      </c>
      <c r="L4353" s="7" t="n">
        <f aca="false">IF(AND(A4353&lt;&gt;A4352,LEFT(A4353,1)&lt;&gt;"C"),1,0)</f>
        <v>0</v>
      </c>
    </row>
    <row r="4354" customFormat="false" ht="15" hidden="false" customHeight="false" outlineLevel="0" collapsed="false">
      <c r="A4354" s="0" t="s">
        <v>2722</v>
      </c>
      <c r="B4354" s="0" t="s">
        <v>847</v>
      </c>
      <c r="C4354" s="0" t="s">
        <v>848</v>
      </c>
      <c r="D4354" s="0" t="n">
        <v>3</v>
      </c>
      <c r="E4354" s="6" t="n">
        <v>40851.5520833333</v>
      </c>
      <c r="F4354" s="0" t="n">
        <v>1.45</v>
      </c>
      <c r="G4354" s="0" t="n">
        <v>12577</v>
      </c>
      <c r="H4354" s="0" t="s">
        <v>43</v>
      </c>
      <c r="I4354" s="7" t="n">
        <f aca="false">IF(AND(LEFT(A4354,1)&lt;&gt;"C",D4354&gt;0,F4354&gt;0),1,0)</f>
        <v>1</v>
      </c>
      <c r="J4354" s="7" t="n">
        <f aca="false">IF(I4354=1,D4354*F4354,0)</f>
        <v>4.35</v>
      </c>
      <c r="K4354" s="7" t="n">
        <f aca="false">YEAR(E4354)*100+MONTH(E4354)</f>
        <v>201111</v>
      </c>
      <c r="L4354" s="7" t="n">
        <f aca="false">IF(AND(A4354&lt;&gt;A4353,LEFT(A4354,1)&lt;&gt;"C"),1,0)</f>
        <v>0</v>
      </c>
    </row>
    <row r="4355" customFormat="false" ht="15" hidden="false" customHeight="false" outlineLevel="0" collapsed="false">
      <c r="A4355" s="0" t="s">
        <v>2722</v>
      </c>
      <c r="B4355" s="0" t="s">
        <v>140</v>
      </c>
      <c r="C4355" s="0" t="s">
        <v>141</v>
      </c>
      <c r="D4355" s="0" t="n">
        <v>3</v>
      </c>
      <c r="E4355" s="6" t="n">
        <v>40851.5520833333</v>
      </c>
      <c r="F4355" s="0" t="n">
        <v>1.45</v>
      </c>
      <c r="G4355" s="0" t="n">
        <v>12577</v>
      </c>
      <c r="H4355" s="0" t="s">
        <v>43</v>
      </c>
      <c r="I4355" s="7" t="n">
        <f aca="false">IF(AND(LEFT(A4355,1)&lt;&gt;"C",D4355&gt;0,F4355&gt;0),1,0)</f>
        <v>1</v>
      </c>
      <c r="J4355" s="7" t="n">
        <f aca="false">IF(I4355=1,D4355*F4355,0)</f>
        <v>4.35</v>
      </c>
      <c r="K4355" s="7" t="n">
        <f aca="false">YEAR(E4355)*100+MONTH(E4355)</f>
        <v>201111</v>
      </c>
      <c r="L4355" s="7" t="n">
        <f aca="false">IF(AND(A4355&lt;&gt;A4354,LEFT(A4355,1)&lt;&gt;"C"),1,0)</f>
        <v>0</v>
      </c>
    </row>
    <row r="4356" customFormat="false" ht="15" hidden="false" customHeight="false" outlineLevel="0" collapsed="false">
      <c r="A4356" s="0" t="s">
        <v>2722</v>
      </c>
      <c r="B4356" s="0" t="s">
        <v>2763</v>
      </c>
      <c r="C4356" s="0" t="s">
        <v>2764</v>
      </c>
      <c r="D4356" s="0" t="n">
        <v>2</v>
      </c>
      <c r="E4356" s="6" t="n">
        <v>40851.5520833333</v>
      </c>
      <c r="F4356" s="0" t="n">
        <v>1.25</v>
      </c>
      <c r="G4356" s="0" t="n">
        <v>12577</v>
      </c>
      <c r="H4356" s="0" t="s">
        <v>43</v>
      </c>
      <c r="I4356" s="7" t="n">
        <f aca="false">IF(AND(LEFT(A4356,1)&lt;&gt;"C",D4356&gt;0,F4356&gt;0),1,0)</f>
        <v>1</v>
      </c>
      <c r="J4356" s="7" t="n">
        <f aca="false">IF(I4356=1,D4356*F4356,0)</f>
        <v>2.5</v>
      </c>
      <c r="K4356" s="7" t="n">
        <f aca="false">YEAR(E4356)*100+MONTH(E4356)</f>
        <v>201111</v>
      </c>
      <c r="L4356" s="7" t="n">
        <f aca="false">IF(AND(A4356&lt;&gt;A4355,LEFT(A4356,1)&lt;&gt;"C"),1,0)</f>
        <v>0</v>
      </c>
    </row>
    <row r="4357" customFormat="false" ht="15" hidden="false" customHeight="false" outlineLevel="0" collapsed="false">
      <c r="A4357" s="0" t="s">
        <v>2722</v>
      </c>
      <c r="B4357" s="0" t="s">
        <v>1778</v>
      </c>
      <c r="C4357" s="0" t="s">
        <v>1779</v>
      </c>
      <c r="D4357" s="0" t="n">
        <v>2</v>
      </c>
      <c r="E4357" s="6" t="n">
        <v>40851.5520833333</v>
      </c>
      <c r="F4357" s="0" t="n">
        <v>1.25</v>
      </c>
      <c r="G4357" s="0" t="n">
        <v>12577</v>
      </c>
      <c r="H4357" s="0" t="s">
        <v>43</v>
      </c>
      <c r="I4357" s="7" t="n">
        <f aca="false">IF(AND(LEFT(A4357,1)&lt;&gt;"C",D4357&gt;0,F4357&gt;0),1,0)</f>
        <v>1</v>
      </c>
      <c r="J4357" s="7" t="n">
        <f aca="false">IF(I4357=1,D4357*F4357,0)</f>
        <v>2.5</v>
      </c>
      <c r="K4357" s="7" t="n">
        <f aca="false">YEAR(E4357)*100+MONTH(E4357)</f>
        <v>201111</v>
      </c>
      <c r="L4357" s="7" t="n">
        <f aca="false">IF(AND(A4357&lt;&gt;A4356,LEFT(A4357,1)&lt;&gt;"C"),1,0)</f>
        <v>0</v>
      </c>
    </row>
    <row r="4358" customFormat="false" ht="15" hidden="false" customHeight="false" outlineLevel="0" collapsed="false">
      <c r="A4358" s="0" t="s">
        <v>2722</v>
      </c>
      <c r="B4358" s="0" t="s">
        <v>1780</v>
      </c>
      <c r="C4358" s="0" t="s">
        <v>1781</v>
      </c>
      <c r="D4358" s="0" t="n">
        <v>2</v>
      </c>
      <c r="E4358" s="6" t="n">
        <v>40851.5520833333</v>
      </c>
      <c r="F4358" s="0" t="n">
        <v>1.25</v>
      </c>
      <c r="G4358" s="0" t="n">
        <v>12577</v>
      </c>
      <c r="H4358" s="0" t="s">
        <v>43</v>
      </c>
      <c r="I4358" s="7" t="n">
        <f aca="false">IF(AND(LEFT(A4358,1)&lt;&gt;"C",D4358&gt;0,F4358&gt;0),1,0)</f>
        <v>1</v>
      </c>
      <c r="J4358" s="7" t="n">
        <f aca="false">IF(I4358=1,D4358*F4358,0)</f>
        <v>2.5</v>
      </c>
      <c r="K4358" s="7" t="n">
        <f aca="false">YEAR(E4358)*100+MONTH(E4358)</f>
        <v>201111</v>
      </c>
      <c r="L4358" s="7" t="n">
        <f aca="false">IF(AND(A4358&lt;&gt;A4357,LEFT(A4358,1)&lt;&gt;"C"),1,0)</f>
        <v>0</v>
      </c>
    </row>
    <row r="4359" customFormat="false" ht="15" hidden="false" customHeight="false" outlineLevel="0" collapsed="false">
      <c r="A4359" s="0" t="s">
        <v>2722</v>
      </c>
      <c r="B4359" s="0" t="s">
        <v>2765</v>
      </c>
      <c r="C4359" s="0" t="s">
        <v>2766</v>
      </c>
      <c r="D4359" s="0" t="n">
        <v>2</v>
      </c>
      <c r="E4359" s="6" t="n">
        <v>40851.5520833333</v>
      </c>
      <c r="F4359" s="0" t="n">
        <v>0.42</v>
      </c>
      <c r="G4359" s="0" t="n">
        <v>12577</v>
      </c>
      <c r="H4359" s="0" t="s">
        <v>43</v>
      </c>
      <c r="I4359" s="7" t="n">
        <f aca="false">IF(AND(LEFT(A4359,1)&lt;&gt;"C",D4359&gt;0,F4359&gt;0),1,0)</f>
        <v>1</v>
      </c>
      <c r="J4359" s="7" t="n">
        <f aca="false">IF(I4359=1,D4359*F4359,0)</f>
        <v>0.84</v>
      </c>
      <c r="K4359" s="7" t="n">
        <f aca="false">YEAR(E4359)*100+MONTH(E4359)</f>
        <v>201111</v>
      </c>
      <c r="L4359" s="7" t="n">
        <f aca="false">IF(AND(A4359&lt;&gt;A4358,LEFT(A4359,1)&lt;&gt;"C"),1,0)</f>
        <v>0</v>
      </c>
    </row>
    <row r="4360" customFormat="false" ht="15" hidden="false" customHeight="false" outlineLevel="0" collapsed="false">
      <c r="A4360" s="0" t="s">
        <v>2722</v>
      </c>
      <c r="B4360" s="0" t="s">
        <v>2767</v>
      </c>
      <c r="C4360" s="0" t="s">
        <v>2768</v>
      </c>
      <c r="D4360" s="0" t="n">
        <v>2</v>
      </c>
      <c r="E4360" s="6" t="n">
        <v>40851.5520833333</v>
      </c>
      <c r="F4360" s="0" t="n">
        <v>0.42</v>
      </c>
      <c r="G4360" s="0" t="n">
        <v>12577</v>
      </c>
      <c r="H4360" s="0" t="s">
        <v>43</v>
      </c>
      <c r="I4360" s="7" t="n">
        <f aca="false">IF(AND(LEFT(A4360,1)&lt;&gt;"C",D4360&gt;0,F4360&gt;0),1,0)</f>
        <v>1</v>
      </c>
      <c r="J4360" s="7" t="n">
        <f aca="false">IF(I4360=1,D4360*F4360,0)</f>
        <v>0.84</v>
      </c>
      <c r="K4360" s="7" t="n">
        <f aca="false">YEAR(E4360)*100+MONTH(E4360)</f>
        <v>201111</v>
      </c>
      <c r="L4360" s="7" t="n">
        <f aca="false">IF(AND(A4360&lt;&gt;A4359,LEFT(A4360,1)&lt;&gt;"C"),1,0)</f>
        <v>0</v>
      </c>
    </row>
    <row r="4361" customFormat="false" ht="15" hidden="false" customHeight="false" outlineLevel="0" collapsed="false">
      <c r="A4361" s="0" t="s">
        <v>2722</v>
      </c>
      <c r="B4361" s="0" t="s">
        <v>1778</v>
      </c>
      <c r="C4361" s="0" t="s">
        <v>1779</v>
      </c>
      <c r="D4361" s="0" t="n">
        <v>4</v>
      </c>
      <c r="E4361" s="6" t="n">
        <v>40851.5520833333</v>
      </c>
      <c r="F4361" s="0" t="n">
        <v>1.25</v>
      </c>
      <c r="G4361" s="0" t="n">
        <v>12577</v>
      </c>
      <c r="H4361" s="0" t="s">
        <v>43</v>
      </c>
      <c r="I4361" s="7" t="n">
        <f aca="false">IF(AND(LEFT(A4361,1)&lt;&gt;"C",D4361&gt;0,F4361&gt;0),1,0)</f>
        <v>1</v>
      </c>
      <c r="J4361" s="7" t="n">
        <f aca="false">IF(I4361=1,D4361*F4361,0)</f>
        <v>5</v>
      </c>
      <c r="K4361" s="7" t="n">
        <f aca="false">YEAR(E4361)*100+MONTH(E4361)</f>
        <v>201111</v>
      </c>
      <c r="L4361" s="7" t="n">
        <f aca="false">IF(AND(A4361&lt;&gt;A4360,LEFT(A4361,1)&lt;&gt;"C"),1,0)</f>
        <v>0</v>
      </c>
    </row>
    <row r="4362" customFormat="false" ht="15" hidden="false" customHeight="false" outlineLevel="0" collapsed="false">
      <c r="A4362" s="0" t="s">
        <v>2722</v>
      </c>
      <c r="B4362" s="0" t="s">
        <v>2769</v>
      </c>
      <c r="C4362" s="0" t="s">
        <v>2770</v>
      </c>
      <c r="D4362" s="0" t="n">
        <v>10</v>
      </c>
      <c r="E4362" s="6" t="n">
        <v>40851.5520833333</v>
      </c>
      <c r="F4362" s="0" t="n">
        <v>0.21</v>
      </c>
      <c r="G4362" s="0" t="n">
        <v>12577</v>
      </c>
      <c r="H4362" s="0" t="s">
        <v>43</v>
      </c>
      <c r="I4362" s="7" t="n">
        <f aca="false">IF(AND(LEFT(A4362,1)&lt;&gt;"C",D4362&gt;0,F4362&gt;0),1,0)</f>
        <v>1</v>
      </c>
      <c r="J4362" s="7" t="n">
        <f aca="false">IF(I4362=1,D4362*F4362,0)</f>
        <v>2.1</v>
      </c>
      <c r="K4362" s="7" t="n">
        <f aca="false">YEAR(E4362)*100+MONTH(E4362)</f>
        <v>201111</v>
      </c>
      <c r="L4362" s="7" t="n">
        <f aca="false">IF(AND(A4362&lt;&gt;A4361,LEFT(A4362,1)&lt;&gt;"C"),1,0)</f>
        <v>0</v>
      </c>
    </row>
    <row r="4363" customFormat="false" ht="15" hidden="false" customHeight="false" outlineLevel="0" collapsed="false">
      <c r="A4363" s="0" t="s">
        <v>2722</v>
      </c>
      <c r="B4363" s="0" t="s">
        <v>1678</v>
      </c>
      <c r="C4363" s="0" t="s">
        <v>1679</v>
      </c>
      <c r="D4363" s="0" t="n">
        <v>6</v>
      </c>
      <c r="E4363" s="6" t="n">
        <v>40851.5520833333</v>
      </c>
      <c r="F4363" s="0" t="n">
        <v>0.65</v>
      </c>
      <c r="G4363" s="0" t="n">
        <v>12577</v>
      </c>
      <c r="H4363" s="0" t="s">
        <v>43</v>
      </c>
      <c r="I4363" s="7" t="n">
        <f aca="false">IF(AND(LEFT(A4363,1)&lt;&gt;"C",D4363&gt;0,F4363&gt;0),1,0)</f>
        <v>1</v>
      </c>
      <c r="J4363" s="7" t="n">
        <f aca="false">IF(I4363=1,D4363*F4363,0)</f>
        <v>3.9</v>
      </c>
      <c r="K4363" s="7" t="n">
        <f aca="false">YEAR(E4363)*100+MONTH(E4363)</f>
        <v>201111</v>
      </c>
      <c r="L4363" s="7" t="n">
        <f aca="false">IF(AND(A4363&lt;&gt;A4362,LEFT(A4363,1)&lt;&gt;"C"),1,0)</f>
        <v>0</v>
      </c>
    </row>
    <row r="4364" customFormat="false" ht="15" hidden="false" customHeight="false" outlineLevel="0" collapsed="false">
      <c r="A4364" s="0" t="s">
        <v>2722</v>
      </c>
      <c r="B4364" s="0" t="s">
        <v>1843</v>
      </c>
      <c r="C4364" s="0" t="s">
        <v>1844</v>
      </c>
      <c r="D4364" s="0" t="n">
        <v>6</v>
      </c>
      <c r="E4364" s="6" t="n">
        <v>40851.5520833333</v>
      </c>
      <c r="F4364" s="0" t="n">
        <v>0.65</v>
      </c>
      <c r="G4364" s="0" t="n">
        <v>12577</v>
      </c>
      <c r="H4364" s="0" t="s">
        <v>43</v>
      </c>
      <c r="I4364" s="7" t="n">
        <f aca="false">IF(AND(LEFT(A4364,1)&lt;&gt;"C",D4364&gt;0,F4364&gt;0),1,0)</f>
        <v>1</v>
      </c>
      <c r="J4364" s="7" t="n">
        <f aca="false">IF(I4364=1,D4364*F4364,0)</f>
        <v>3.9</v>
      </c>
      <c r="K4364" s="7" t="n">
        <f aca="false">YEAR(E4364)*100+MONTH(E4364)</f>
        <v>201111</v>
      </c>
      <c r="L4364" s="7" t="n">
        <f aca="false">IF(AND(A4364&lt;&gt;A4363,LEFT(A4364,1)&lt;&gt;"C"),1,0)</f>
        <v>0</v>
      </c>
    </row>
    <row r="4365" customFormat="false" ht="15" hidden="false" customHeight="false" outlineLevel="0" collapsed="false">
      <c r="A4365" s="0" t="s">
        <v>2722</v>
      </c>
      <c r="B4365" s="0" t="s">
        <v>1680</v>
      </c>
      <c r="C4365" s="0" t="s">
        <v>1681</v>
      </c>
      <c r="D4365" s="0" t="n">
        <v>6</v>
      </c>
      <c r="E4365" s="6" t="n">
        <v>40851.5520833333</v>
      </c>
      <c r="F4365" s="0" t="n">
        <v>0.65</v>
      </c>
      <c r="G4365" s="0" t="n">
        <v>12577</v>
      </c>
      <c r="H4365" s="0" t="s">
        <v>43</v>
      </c>
      <c r="I4365" s="7" t="n">
        <f aca="false">IF(AND(LEFT(A4365,1)&lt;&gt;"C",D4365&gt;0,F4365&gt;0),1,0)</f>
        <v>1</v>
      </c>
      <c r="J4365" s="7" t="n">
        <f aca="false">IF(I4365=1,D4365*F4365,0)</f>
        <v>3.9</v>
      </c>
      <c r="K4365" s="7" t="n">
        <f aca="false">YEAR(E4365)*100+MONTH(E4365)</f>
        <v>201111</v>
      </c>
      <c r="L4365" s="7" t="n">
        <f aca="false">IF(AND(A4365&lt;&gt;A4364,LEFT(A4365,1)&lt;&gt;"C"),1,0)</f>
        <v>0</v>
      </c>
    </row>
    <row r="4366" customFormat="false" ht="15" hidden="false" customHeight="false" outlineLevel="0" collapsed="false">
      <c r="A4366" s="0" t="s">
        <v>2722</v>
      </c>
      <c r="B4366" s="0" t="s">
        <v>2771</v>
      </c>
      <c r="C4366" s="0" t="s">
        <v>2772</v>
      </c>
      <c r="D4366" s="0" t="n">
        <v>12</v>
      </c>
      <c r="E4366" s="6" t="n">
        <v>40851.5520833333</v>
      </c>
      <c r="F4366" s="0" t="n">
        <v>1.25</v>
      </c>
      <c r="G4366" s="0" t="n">
        <v>12577</v>
      </c>
      <c r="H4366" s="0" t="s">
        <v>43</v>
      </c>
      <c r="I4366" s="7" t="n">
        <f aca="false">IF(AND(LEFT(A4366,1)&lt;&gt;"C",D4366&gt;0,F4366&gt;0),1,0)</f>
        <v>1</v>
      </c>
      <c r="J4366" s="7" t="n">
        <f aca="false">IF(I4366=1,D4366*F4366,0)</f>
        <v>15</v>
      </c>
      <c r="K4366" s="7" t="n">
        <f aca="false">YEAR(E4366)*100+MONTH(E4366)</f>
        <v>201111</v>
      </c>
      <c r="L4366" s="7" t="n">
        <f aca="false">IF(AND(A4366&lt;&gt;A4365,LEFT(A4366,1)&lt;&gt;"C"),1,0)</f>
        <v>0</v>
      </c>
    </row>
    <row r="4367" customFormat="false" ht="15" hidden="false" customHeight="false" outlineLevel="0" collapsed="false">
      <c r="A4367" s="0" t="s">
        <v>2722</v>
      </c>
      <c r="B4367" s="0" t="s">
        <v>2773</v>
      </c>
      <c r="C4367" s="0" t="s">
        <v>2774</v>
      </c>
      <c r="D4367" s="0" t="n">
        <v>2</v>
      </c>
      <c r="E4367" s="6" t="n">
        <v>40851.5520833333</v>
      </c>
      <c r="F4367" s="0" t="n">
        <v>1.65</v>
      </c>
      <c r="G4367" s="0" t="n">
        <v>12577</v>
      </c>
      <c r="H4367" s="0" t="s">
        <v>43</v>
      </c>
      <c r="I4367" s="7" t="n">
        <f aca="false">IF(AND(LEFT(A4367,1)&lt;&gt;"C",D4367&gt;0,F4367&gt;0),1,0)</f>
        <v>1</v>
      </c>
      <c r="J4367" s="7" t="n">
        <f aca="false">IF(I4367=1,D4367*F4367,0)</f>
        <v>3.3</v>
      </c>
      <c r="K4367" s="7" t="n">
        <f aca="false">YEAR(E4367)*100+MONTH(E4367)</f>
        <v>201111</v>
      </c>
      <c r="L4367" s="7" t="n">
        <f aca="false">IF(AND(A4367&lt;&gt;A4366,LEFT(A4367,1)&lt;&gt;"C"),1,0)</f>
        <v>0</v>
      </c>
    </row>
    <row r="4368" customFormat="false" ht="15" hidden="false" customHeight="false" outlineLevel="0" collapsed="false">
      <c r="A4368" s="0" t="s">
        <v>2722</v>
      </c>
      <c r="B4368" s="0" t="s">
        <v>2775</v>
      </c>
      <c r="C4368" s="0" t="s">
        <v>2776</v>
      </c>
      <c r="D4368" s="0" t="n">
        <v>12</v>
      </c>
      <c r="E4368" s="6" t="n">
        <v>40851.5520833333</v>
      </c>
      <c r="F4368" s="0" t="n">
        <v>0.42</v>
      </c>
      <c r="G4368" s="0" t="n">
        <v>12577</v>
      </c>
      <c r="H4368" s="0" t="s">
        <v>43</v>
      </c>
      <c r="I4368" s="7" t="n">
        <f aca="false">IF(AND(LEFT(A4368,1)&lt;&gt;"C",D4368&gt;0,F4368&gt;0),1,0)</f>
        <v>1</v>
      </c>
      <c r="J4368" s="7" t="n">
        <f aca="false">IF(I4368=1,D4368*F4368,0)</f>
        <v>5.04</v>
      </c>
      <c r="K4368" s="7" t="n">
        <f aca="false">YEAR(E4368)*100+MONTH(E4368)</f>
        <v>201111</v>
      </c>
      <c r="L4368" s="7" t="n">
        <f aca="false">IF(AND(A4368&lt;&gt;A4367,LEFT(A4368,1)&lt;&gt;"C"),1,0)</f>
        <v>0</v>
      </c>
    </row>
    <row r="4369" customFormat="false" ht="15" hidden="false" customHeight="false" outlineLevel="0" collapsed="false">
      <c r="A4369" s="0" t="s">
        <v>2722</v>
      </c>
      <c r="B4369" s="0" t="s">
        <v>915</v>
      </c>
      <c r="C4369" s="0" t="s">
        <v>916</v>
      </c>
      <c r="D4369" s="0" t="n">
        <v>12</v>
      </c>
      <c r="E4369" s="6" t="n">
        <v>40851.5520833333</v>
      </c>
      <c r="F4369" s="0" t="n">
        <v>0.65</v>
      </c>
      <c r="G4369" s="0" t="n">
        <v>12577</v>
      </c>
      <c r="H4369" s="0" t="s">
        <v>43</v>
      </c>
      <c r="I4369" s="7" t="n">
        <f aca="false">IF(AND(LEFT(A4369,1)&lt;&gt;"C",D4369&gt;0,F4369&gt;0),1,0)</f>
        <v>1</v>
      </c>
      <c r="J4369" s="7" t="n">
        <f aca="false">IF(I4369=1,D4369*F4369,0)</f>
        <v>7.8</v>
      </c>
      <c r="K4369" s="7" t="n">
        <f aca="false">YEAR(E4369)*100+MONTH(E4369)</f>
        <v>201111</v>
      </c>
      <c r="L4369" s="7" t="n">
        <f aca="false">IF(AND(A4369&lt;&gt;A4368,LEFT(A4369,1)&lt;&gt;"C"),1,0)</f>
        <v>0</v>
      </c>
    </row>
    <row r="4370" customFormat="false" ht="15" hidden="false" customHeight="false" outlineLevel="0" collapsed="false">
      <c r="A4370" s="0" t="s">
        <v>2722</v>
      </c>
      <c r="B4370" s="0" t="s">
        <v>2777</v>
      </c>
      <c r="C4370" s="0" t="s">
        <v>2778</v>
      </c>
      <c r="D4370" s="0" t="n">
        <v>2</v>
      </c>
      <c r="E4370" s="6" t="n">
        <v>40851.5520833333</v>
      </c>
      <c r="F4370" s="0" t="n">
        <v>0.95</v>
      </c>
      <c r="G4370" s="0" t="n">
        <v>12577</v>
      </c>
      <c r="H4370" s="0" t="s">
        <v>43</v>
      </c>
      <c r="I4370" s="7" t="n">
        <f aca="false">IF(AND(LEFT(A4370,1)&lt;&gt;"C",D4370&gt;0,F4370&gt;0),1,0)</f>
        <v>1</v>
      </c>
      <c r="J4370" s="7" t="n">
        <f aca="false">IF(I4370=1,D4370*F4370,0)</f>
        <v>1.9</v>
      </c>
      <c r="K4370" s="7" t="n">
        <f aca="false">YEAR(E4370)*100+MONTH(E4370)</f>
        <v>201111</v>
      </c>
      <c r="L4370" s="7" t="n">
        <f aca="false">IF(AND(A4370&lt;&gt;A4369,LEFT(A4370,1)&lt;&gt;"C"),1,0)</f>
        <v>0</v>
      </c>
    </row>
    <row r="4371" customFormat="false" ht="15" hidden="false" customHeight="false" outlineLevel="0" collapsed="false">
      <c r="A4371" s="0" t="s">
        <v>2779</v>
      </c>
      <c r="B4371" s="0" t="s">
        <v>2780</v>
      </c>
      <c r="C4371" s="0" t="s">
        <v>2781</v>
      </c>
      <c r="D4371" s="0" t="n">
        <v>1</v>
      </c>
      <c r="E4371" s="6" t="n">
        <v>40851.5583333333</v>
      </c>
      <c r="F4371" s="0" t="n">
        <v>1.65</v>
      </c>
      <c r="G4371" s="0" t="n">
        <v>12577</v>
      </c>
      <c r="H4371" s="0" t="s">
        <v>43</v>
      </c>
      <c r="I4371" s="7" t="n">
        <f aca="false">IF(AND(LEFT(A4371,1)&lt;&gt;"C",D4371&gt;0,F4371&gt;0),1,0)</f>
        <v>1</v>
      </c>
      <c r="J4371" s="7" t="n">
        <f aca="false">IF(I4371=1,D4371*F4371,0)</f>
        <v>1.65</v>
      </c>
      <c r="K4371" s="7" t="n">
        <f aca="false">YEAR(E4371)*100+MONTH(E4371)</f>
        <v>201111</v>
      </c>
      <c r="L4371" s="7" t="n">
        <f aca="false">IF(AND(A4371&lt;&gt;A4370,LEFT(A4371,1)&lt;&gt;"C"),1,0)</f>
        <v>1</v>
      </c>
    </row>
    <row r="4372" customFormat="false" ht="15" hidden="false" customHeight="false" outlineLevel="0" collapsed="false">
      <c r="A4372" s="0" t="s">
        <v>2779</v>
      </c>
      <c r="B4372" s="0" t="s">
        <v>2782</v>
      </c>
      <c r="C4372" s="0" t="s">
        <v>2783</v>
      </c>
      <c r="D4372" s="0" t="n">
        <v>2</v>
      </c>
      <c r="E4372" s="6" t="n">
        <v>40851.5583333333</v>
      </c>
      <c r="F4372" s="0" t="n">
        <v>2.89</v>
      </c>
      <c r="G4372" s="0" t="n">
        <v>12577</v>
      </c>
      <c r="H4372" s="0" t="s">
        <v>43</v>
      </c>
      <c r="I4372" s="7" t="n">
        <f aca="false">IF(AND(LEFT(A4372,1)&lt;&gt;"C",D4372&gt;0,F4372&gt;0),1,0)</f>
        <v>1</v>
      </c>
      <c r="J4372" s="7" t="n">
        <f aca="false">IF(I4372=1,D4372*F4372,0)</f>
        <v>5.78</v>
      </c>
      <c r="K4372" s="7" t="n">
        <f aca="false">YEAR(E4372)*100+MONTH(E4372)</f>
        <v>201111</v>
      </c>
      <c r="L4372" s="7" t="n">
        <f aca="false">IF(AND(A4372&lt;&gt;A4371,LEFT(A4372,1)&lt;&gt;"C"),1,0)</f>
        <v>0</v>
      </c>
    </row>
    <row r="4373" customFormat="false" ht="15" hidden="false" customHeight="false" outlineLevel="0" collapsed="false">
      <c r="A4373" s="0" t="s">
        <v>2779</v>
      </c>
      <c r="B4373" s="0" t="s">
        <v>2749</v>
      </c>
      <c r="C4373" s="0" t="s">
        <v>2750</v>
      </c>
      <c r="D4373" s="0" t="n">
        <v>2</v>
      </c>
      <c r="E4373" s="6" t="n">
        <v>40851.5583333333</v>
      </c>
      <c r="F4373" s="0" t="n">
        <v>1.25</v>
      </c>
      <c r="G4373" s="0" t="n">
        <v>12577</v>
      </c>
      <c r="H4373" s="0" t="s">
        <v>43</v>
      </c>
      <c r="I4373" s="7" t="n">
        <f aca="false">IF(AND(LEFT(A4373,1)&lt;&gt;"C",D4373&gt;0,F4373&gt;0),1,0)</f>
        <v>1</v>
      </c>
      <c r="J4373" s="7" t="n">
        <f aca="false">IF(I4373=1,D4373*F4373,0)</f>
        <v>2.5</v>
      </c>
      <c r="K4373" s="7" t="n">
        <f aca="false">YEAR(E4373)*100+MONTH(E4373)</f>
        <v>201111</v>
      </c>
      <c r="L4373" s="7" t="n">
        <f aca="false">IF(AND(A4373&lt;&gt;A4372,LEFT(A4373,1)&lt;&gt;"C"),1,0)</f>
        <v>0</v>
      </c>
    </row>
    <row r="4374" customFormat="false" ht="15" hidden="false" customHeight="false" outlineLevel="0" collapsed="false">
      <c r="A4374" s="0" t="s">
        <v>2779</v>
      </c>
      <c r="B4374" s="0" t="s">
        <v>2784</v>
      </c>
      <c r="C4374" s="0" t="s">
        <v>2785</v>
      </c>
      <c r="D4374" s="0" t="n">
        <v>3</v>
      </c>
      <c r="E4374" s="6" t="n">
        <v>40851.5583333333</v>
      </c>
      <c r="F4374" s="0" t="n">
        <v>10.4</v>
      </c>
      <c r="G4374" s="0" t="n">
        <v>12577</v>
      </c>
      <c r="H4374" s="0" t="s">
        <v>43</v>
      </c>
      <c r="I4374" s="7" t="n">
        <f aca="false">IF(AND(LEFT(A4374,1)&lt;&gt;"C",D4374&gt;0,F4374&gt;0),1,0)</f>
        <v>1</v>
      </c>
      <c r="J4374" s="7" t="n">
        <f aca="false">IF(I4374=1,D4374*F4374,0)</f>
        <v>31.2</v>
      </c>
      <c r="K4374" s="7" t="n">
        <f aca="false">YEAR(E4374)*100+MONTH(E4374)</f>
        <v>201111</v>
      </c>
      <c r="L4374" s="7" t="n">
        <f aca="false">IF(AND(A4374&lt;&gt;A4373,LEFT(A4374,1)&lt;&gt;"C"),1,0)</f>
        <v>0</v>
      </c>
    </row>
    <row r="4375" customFormat="false" ht="15" hidden="false" customHeight="false" outlineLevel="0" collapsed="false">
      <c r="A4375" s="0" t="s">
        <v>2779</v>
      </c>
      <c r="B4375" s="0" t="s">
        <v>1077</v>
      </c>
      <c r="C4375" s="0" t="s">
        <v>1078</v>
      </c>
      <c r="D4375" s="0" t="n">
        <v>1</v>
      </c>
      <c r="E4375" s="6" t="n">
        <v>40851.5583333333</v>
      </c>
      <c r="F4375" s="0" t="n">
        <v>2.08</v>
      </c>
      <c r="G4375" s="0" t="n">
        <v>12577</v>
      </c>
      <c r="H4375" s="0" t="s">
        <v>43</v>
      </c>
      <c r="I4375" s="7" t="n">
        <f aca="false">IF(AND(LEFT(A4375,1)&lt;&gt;"C",D4375&gt;0,F4375&gt;0),1,0)</f>
        <v>1</v>
      </c>
      <c r="J4375" s="7" t="n">
        <f aca="false">IF(I4375=1,D4375*F4375,0)</f>
        <v>2.08</v>
      </c>
      <c r="K4375" s="7" t="n">
        <f aca="false">YEAR(E4375)*100+MONTH(E4375)</f>
        <v>201111</v>
      </c>
      <c r="L4375" s="7" t="n">
        <f aca="false">IF(AND(A4375&lt;&gt;A4374,LEFT(A4375,1)&lt;&gt;"C"),1,0)</f>
        <v>0</v>
      </c>
    </row>
    <row r="4376" customFormat="false" ht="15" hidden="false" customHeight="false" outlineLevel="0" collapsed="false">
      <c r="A4376" s="0" t="s">
        <v>2779</v>
      </c>
      <c r="B4376" s="0" t="s">
        <v>355</v>
      </c>
      <c r="C4376" s="0" t="s">
        <v>356</v>
      </c>
      <c r="D4376" s="0" t="n">
        <v>1</v>
      </c>
      <c r="E4376" s="6" t="n">
        <v>40851.5583333333</v>
      </c>
      <c r="F4376" s="0" t="n">
        <v>1.65</v>
      </c>
      <c r="G4376" s="0" t="n">
        <v>12577</v>
      </c>
      <c r="H4376" s="0" t="s">
        <v>43</v>
      </c>
      <c r="I4376" s="7" t="n">
        <f aca="false">IF(AND(LEFT(A4376,1)&lt;&gt;"C",D4376&gt;0,F4376&gt;0),1,0)</f>
        <v>1</v>
      </c>
      <c r="J4376" s="7" t="n">
        <f aca="false">IF(I4376=1,D4376*F4376,0)</f>
        <v>1.65</v>
      </c>
      <c r="K4376" s="7" t="n">
        <f aca="false">YEAR(E4376)*100+MONTH(E4376)</f>
        <v>201111</v>
      </c>
      <c r="L4376" s="7" t="n">
        <f aca="false">IF(AND(A4376&lt;&gt;A4375,LEFT(A4376,1)&lt;&gt;"C"),1,0)</f>
        <v>0</v>
      </c>
    </row>
    <row r="4377" customFormat="false" ht="15" hidden="false" customHeight="false" outlineLevel="0" collapsed="false">
      <c r="A4377" s="0" t="s">
        <v>2779</v>
      </c>
      <c r="B4377" s="0" t="s">
        <v>2786</v>
      </c>
      <c r="C4377" s="0" t="s">
        <v>2787</v>
      </c>
      <c r="D4377" s="0" t="n">
        <v>1</v>
      </c>
      <c r="E4377" s="6" t="n">
        <v>40851.5583333333</v>
      </c>
      <c r="F4377" s="0" t="n">
        <v>0.65</v>
      </c>
      <c r="G4377" s="0" t="n">
        <v>12577</v>
      </c>
      <c r="H4377" s="0" t="s">
        <v>43</v>
      </c>
      <c r="I4377" s="7" t="n">
        <f aca="false">IF(AND(LEFT(A4377,1)&lt;&gt;"C",D4377&gt;0,F4377&gt;0),1,0)</f>
        <v>1</v>
      </c>
      <c r="J4377" s="7" t="n">
        <f aca="false">IF(I4377=1,D4377*F4377,0)</f>
        <v>0.65</v>
      </c>
      <c r="K4377" s="7" t="n">
        <f aca="false">YEAR(E4377)*100+MONTH(E4377)</f>
        <v>201111</v>
      </c>
      <c r="L4377" s="7" t="n">
        <f aca="false">IF(AND(A4377&lt;&gt;A4376,LEFT(A4377,1)&lt;&gt;"C"),1,0)</f>
        <v>0</v>
      </c>
    </row>
    <row r="4378" customFormat="false" ht="15" hidden="false" customHeight="false" outlineLevel="0" collapsed="false">
      <c r="A4378" s="0" t="s">
        <v>2779</v>
      </c>
      <c r="B4378" s="0" t="s">
        <v>2710</v>
      </c>
      <c r="C4378" s="0" t="s">
        <v>2711</v>
      </c>
      <c r="D4378" s="0" t="n">
        <v>2</v>
      </c>
      <c r="E4378" s="6" t="n">
        <v>40851.5583333333</v>
      </c>
      <c r="F4378" s="0" t="n">
        <v>2.08</v>
      </c>
      <c r="G4378" s="0" t="n">
        <v>12577</v>
      </c>
      <c r="H4378" s="0" t="s">
        <v>43</v>
      </c>
      <c r="I4378" s="7" t="n">
        <f aca="false">IF(AND(LEFT(A4378,1)&lt;&gt;"C",D4378&gt;0,F4378&gt;0),1,0)</f>
        <v>1</v>
      </c>
      <c r="J4378" s="7" t="n">
        <f aca="false">IF(I4378=1,D4378*F4378,0)</f>
        <v>4.16</v>
      </c>
      <c r="K4378" s="7" t="n">
        <f aca="false">YEAR(E4378)*100+MONTH(E4378)</f>
        <v>201111</v>
      </c>
      <c r="L4378" s="7" t="n">
        <f aca="false">IF(AND(A4378&lt;&gt;A4377,LEFT(A4378,1)&lt;&gt;"C"),1,0)</f>
        <v>0</v>
      </c>
    </row>
    <row r="4379" customFormat="false" ht="15" hidden="false" customHeight="false" outlineLevel="0" collapsed="false">
      <c r="A4379" s="0" t="s">
        <v>2779</v>
      </c>
      <c r="B4379" s="0" t="s">
        <v>2285</v>
      </c>
      <c r="C4379" s="0" t="s">
        <v>2286</v>
      </c>
      <c r="D4379" s="0" t="n">
        <v>1</v>
      </c>
      <c r="E4379" s="6" t="n">
        <v>40851.5583333333</v>
      </c>
      <c r="F4379" s="0" t="n">
        <v>3.95</v>
      </c>
      <c r="G4379" s="0" t="n">
        <v>12577</v>
      </c>
      <c r="H4379" s="0" t="s">
        <v>43</v>
      </c>
      <c r="I4379" s="7" t="n">
        <f aca="false">IF(AND(LEFT(A4379,1)&lt;&gt;"C",D4379&gt;0,F4379&gt;0),1,0)</f>
        <v>1</v>
      </c>
      <c r="J4379" s="7" t="n">
        <f aca="false">IF(I4379=1,D4379*F4379,0)</f>
        <v>3.95</v>
      </c>
      <c r="K4379" s="7" t="n">
        <f aca="false">YEAR(E4379)*100+MONTH(E4379)</f>
        <v>201111</v>
      </c>
      <c r="L4379" s="7" t="n">
        <f aca="false">IF(AND(A4379&lt;&gt;A4378,LEFT(A4379,1)&lt;&gt;"C"),1,0)</f>
        <v>0</v>
      </c>
    </row>
    <row r="4380" customFormat="false" ht="15" hidden="false" customHeight="false" outlineLevel="0" collapsed="false">
      <c r="A4380" s="0" t="s">
        <v>2779</v>
      </c>
      <c r="B4380" s="0" t="s">
        <v>2788</v>
      </c>
      <c r="C4380" s="0" t="s">
        <v>2789</v>
      </c>
      <c r="D4380" s="0" t="n">
        <v>1</v>
      </c>
      <c r="E4380" s="6" t="n">
        <v>40851.5583333333</v>
      </c>
      <c r="F4380" s="0" t="n">
        <v>8.25</v>
      </c>
      <c r="G4380" s="0" t="n">
        <v>12577</v>
      </c>
      <c r="H4380" s="0" t="s">
        <v>43</v>
      </c>
      <c r="I4380" s="7" t="n">
        <f aca="false">IF(AND(LEFT(A4380,1)&lt;&gt;"C",D4380&gt;0,F4380&gt;0),1,0)</f>
        <v>1</v>
      </c>
      <c r="J4380" s="7" t="n">
        <f aca="false">IF(I4380=1,D4380*F4380,0)</f>
        <v>8.25</v>
      </c>
      <c r="K4380" s="7" t="n">
        <f aca="false">YEAR(E4380)*100+MONTH(E4380)</f>
        <v>201111</v>
      </c>
      <c r="L4380" s="7" t="n">
        <f aca="false">IF(AND(A4380&lt;&gt;A4379,LEFT(A4380,1)&lt;&gt;"C"),1,0)</f>
        <v>0</v>
      </c>
    </row>
    <row r="4381" customFormat="false" ht="15" hidden="false" customHeight="false" outlineLevel="0" collapsed="false">
      <c r="A4381" s="0" t="s">
        <v>2779</v>
      </c>
      <c r="B4381" s="0" t="s">
        <v>641</v>
      </c>
      <c r="C4381" s="0" t="s">
        <v>642</v>
      </c>
      <c r="D4381" s="0" t="n">
        <v>1</v>
      </c>
      <c r="E4381" s="6" t="n">
        <v>40851.5583333333</v>
      </c>
      <c r="F4381" s="0" t="n">
        <v>1.65</v>
      </c>
      <c r="G4381" s="0" t="n">
        <v>12577</v>
      </c>
      <c r="H4381" s="0" t="s">
        <v>43</v>
      </c>
      <c r="I4381" s="7" t="n">
        <f aca="false">IF(AND(LEFT(A4381,1)&lt;&gt;"C",D4381&gt;0,F4381&gt;0),1,0)</f>
        <v>1</v>
      </c>
      <c r="J4381" s="7" t="n">
        <f aca="false">IF(I4381=1,D4381*F4381,0)</f>
        <v>1.65</v>
      </c>
      <c r="K4381" s="7" t="n">
        <f aca="false">YEAR(E4381)*100+MONTH(E4381)</f>
        <v>201111</v>
      </c>
      <c r="L4381" s="7" t="n">
        <f aca="false">IF(AND(A4381&lt;&gt;A4380,LEFT(A4381,1)&lt;&gt;"C"),1,0)</f>
        <v>0</v>
      </c>
    </row>
    <row r="4382" customFormat="false" ht="15" hidden="false" customHeight="false" outlineLevel="0" collapsed="false">
      <c r="A4382" s="0" t="s">
        <v>2779</v>
      </c>
      <c r="B4382" s="0" t="s">
        <v>213</v>
      </c>
      <c r="C4382" s="0" t="s">
        <v>214</v>
      </c>
      <c r="D4382" s="0" t="n">
        <v>2</v>
      </c>
      <c r="E4382" s="6" t="n">
        <v>40851.5583333333</v>
      </c>
      <c r="F4382" s="0" t="n">
        <v>0.85</v>
      </c>
      <c r="G4382" s="0" t="n">
        <v>12577</v>
      </c>
      <c r="H4382" s="0" t="s">
        <v>43</v>
      </c>
      <c r="I4382" s="7" t="n">
        <f aca="false">IF(AND(LEFT(A4382,1)&lt;&gt;"C",D4382&gt;0,F4382&gt;0),1,0)</f>
        <v>1</v>
      </c>
      <c r="J4382" s="7" t="n">
        <f aca="false">IF(I4382=1,D4382*F4382,0)</f>
        <v>1.7</v>
      </c>
      <c r="K4382" s="7" t="n">
        <f aca="false">YEAR(E4382)*100+MONTH(E4382)</f>
        <v>201111</v>
      </c>
      <c r="L4382" s="7" t="n">
        <f aca="false">IF(AND(A4382&lt;&gt;A4381,LEFT(A4382,1)&lt;&gt;"C"),1,0)</f>
        <v>0</v>
      </c>
    </row>
    <row r="4383" customFormat="false" ht="15" hidden="false" customHeight="false" outlineLevel="0" collapsed="false">
      <c r="A4383" s="0" t="s">
        <v>2779</v>
      </c>
      <c r="B4383" s="0" t="s">
        <v>1671</v>
      </c>
      <c r="C4383" s="0" t="s">
        <v>1672</v>
      </c>
      <c r="D4383" s="0" t="n">
        <v>1</v>
      </c>
      <c r="E4383" s="6" t="n">
        <v>40851.5583333333</v>
      </c>
      <c r="F4383" s="0" t="n">
        <v>8.25</v>
      </c>
      <c r="G4383" s="0" t="n">
        <v>12577</v>
      </c>
      <c r="H4383" s="0" t="s">
        <v>43</v>
      </c>
      <c r="I4383" s="7" t="n">
        <f aca="false">IF(AND(LEFT(A4383,1)&lt;&gt;"C",D4383&gt;0,F4383&gt;0),1,0)</f>
        <v>1</v>
      </c>
      <c r="J4383" s="7" t="n">
        <f aca="false">IF(I4383=1,D4383*F4383,0)</f>
        <v>8.25</v>
      </c>
      <c r="K4383" s="7" t="n">
        <f aca="false">YEAR(E4383)*100+MONTH(E4383)</f>
        <v>201111</v>
      </c>
      <c r="L4383" s="7" t="n">
        <f aca="false">IF(AND(A4383&lt;&gt;A4382,LEFT(A4383,1)&lt;&gt;"C"),1,0)</f>
        <v>0</v>
      </c>
    </row>
    <row r="4384" customFormat="false" ht="15" hidden="false" customHeight="false" outlineLevel="0" collapsed="false">
      <c r="A4384" s="0" t="s">
        <v>2779</v>
      </c>
      <c r="B4384" s="0" t="s">
        <v>2790</v>
      </c>
      <c r="C4384" s="0" t="s">
        <v>2791</v>
      </c>
      <c r="D4384" s="0" t="n">
        <v>1</v>
      </c>
      <c r="E4384" s="6" t="n">
        <v>40851.5583333333</v>
      </c>
      <c r="F4384" s="0" t="n">
        <v>0.75</v>
      </c>
      <c r="G4384" s="0" t="n">
        <v>12577</v>
      </c>
      <c r="H4384" s="0" t="s">
        <v>43</v>
      </c>
      <c r="I4384" s="7" t="n">
        <f aca="false">IF(AND(LEFT(A4384,1)&lt;&gt;"C",D4384&gt;0,F4384&gt;0),1,0)</f>
        <v>1</v>
      </c>
      <c r="J4384" s="7" t="n">
        <f aca="false">IF(I4384=1,D4384*F4384,0)</f>
        <v>0.75</v>
      </c>
      <c r="K4384" s="7" t="n">
        <f aca="false">YEAR(E4384)*100+MONTH(E4384)</f>
        <v>201111</v>
      </c>
      <c r="L4384" s="7" t="n">
        <f aca="false">IF(AND(A4384&lt;&gt;A4383,LEFT(A4384,1)&lt;&gt;"C"),1,0)</f>
        <v>0</v>
      </c>
    </row>
    <row r="4385" customFormat="false" ht="15" hidden="false" customHeight="false" outlineLevel="0" collapsed="false">
      <c r="A4385" s="0" t="s">
        <v>2779</v>
      </c>
      <c r="B4385" s="0" t="s">
        <v>2792</v>
      </c>
      <c r="C4385" s="0" t="s">
        <v>2793</v>
      </c>
      <c r="D4385" s="0" t="n">
        <v>1</v>
      </c>
      <c r="E4385" s="6" t="n">
        <v>40851.5583333333</v>
      </c>
      <c r="F4385" s="0" t="n">
        <v>2.95</v>
      </c>
      <c r="G4385" s="0" t="n">
        <v>12577</v>
      </c>
      <c r="H4385" s="0" t="s">
        <v>43</v>
      </c>
      <c r="I4385" s="7" t="n">
        <f aca="false">IF(AND(LEFT(A4385,1)&lt;&gt;"C",D4385&gt;0,F4385&gt;0),1,0)</f>
        <v>1</v>
      </c>
      <c r="J4385" s="7" t="n">
        <f aca="false">IF(I4385=1,D4385*F4385,0)</f>
        <v>2.95</v>
      </c>
      <c r="K4385" s="7" t="n">
        <f aca="false">YEAR(E4385)*100+MONTH(E4385)</f>
        <v>201111</v>
      </c>
      <c r="L4385" s="7" t="n">
        <f aca="false">IF(AND(A4385&lt;&gt;A4384,LEFT(A4385,1)&lt;&gt;"C"),1,0)</f>
        <v>0</v>
      </c>
    </row>
    <row r="4386" customFormat="false" ht="15" hidden="false" customHeight="false" outlineLevel="0" collapsed="false">
      <c r="A4386" s="0" t="s">
        <v>2779</v>
      </c>
      <c r="B4386" s="0" t="s">
        <v>1559</v>
      </c>
      <c r="C4386" s="0" t="s">
        <v>1560</v>
      </c>
      <c r="D4386" s="0" t="n">
        <v>1</v>
      </c>
      <c r="E4386" s="6" t="n">
        <v>40851.5583333333</v>
      </c>
      <c r="F4386" s="0" t="n">
        <v>2.1</v>
      </c>
      <c r="G4386" s="0" t="n">
        <v>12577</v>
      </c>
      <c r="H4386" s="0" t="s">
        <v>43</v>
      </c>
      <c r="I4386" s="7" t="n">
        <f aca="false">IF(AND(LEFT(A4386,1)&lt;&gt;"C",D4386&gt;0,F4386&gt;0),1,0)</f>
        <v>1</v>
      </c>
      <c r="J4386" s="7" t="n">
        <f aca="false">IF(I4386=1,D4386*F4386,0)</f>
        <v>2.1</v>
      </c>
      <c r="K4386" s="7" t="n">
        <f aca="false">YEAR(E4386)*100+MONTH(E4386)</f>
        <v>201111</v>
      </c>
      <c r="L4386" s="7" t="n">
        <f aca="false">IF(AND(A4386&lt;&gt;A4385,LEFT(A4386,1)&lt;&gt;"C"),1,0)</f>
        <v>0</v>
      </c>
    </row>
    <row r="4387" customFormat="false" ht="15" hidden="false" customHeight="false" outlineLevel="0" collapsed="false">
      <c r="A4387" s="0" t="s">
        <v>2779</v>
      </c>
      <c r="B4387" s="0" t="s">
        <v>2784</v>
      </c>
      <c r="C4387" s="0" t="s">
        <v>2785</v>
      </c>
      <c r="D4387" s="0" t="n">
        <v>3</v>
      </c>
      <c r="E4387" s="6" t="n">
        <v>40851.5583333333</v>
      </c>
      <c r="F4387" s="0" t="n">
        <v>10.4</v>
      </c>
      <c r="G4387" s="0" t="n">
        <v>12577</v>
      </c>
      <c r="H4387" s="0" t="s">
        <v>43</v>
      </c>
      <c r="I4387" s="7" t="n">
        <f aca="false">IF(AND(LEFT(A4387,1)&lt;&gt;"C",D4387&gt;0,F4387&gt;0),1,0)</f>
        <v>1</v>
      </c>
      <c r="J4387" s="7" t="n">
        <f aca="false">IF(I4387=1,D4387*F4387,0)</f>
        <v>31.2</v>
      </c>
      <c r="K4387" s="7" t="n">
        <f aca="false">YEAR(E4387)*100+MONTH(E4387)</f>
        <v>201111</v>
      </c>
      <c r="L4387" s="7" t="n">
        <f aca="false">IF(AND(A4387&lt;&gt;A4386,LEFT(A4387,1)&lt;&gt;"C"),1,0)</f>
        <v>0</v>
      </c>
    </row>
    <row r="4388" customFormat="false" ht="15" hidden="false" customHeight="false" outlineLevel="0" collapsed="false">
      <c r="A4388" s="0" t="s">
        <v>2779</v>
      </c>
      <c r="B4388" s="0" t="s">
        <v>2172</v>
      </c>
      <c r="C4388" s="0" t="s">
        <v>2173</v>
      </c>
      <c r="D4388" s="0" t="n">
        <v>1</v>
      </c>
      <c r="E4388" s="6" t="n">
        <v>40851.5583333333</v>
      </c>
      <c r="F4388" s="0" t="n">
        <v>8.25</v>
      </c>
      <c r="G4388" s="0" t="n">
        <v>12577</v>
      </c>
      <c r="H4388" s="0" t="s">
        <v>43</v>
      </c>
      <c r="I4388" s="7" t="n">
        <f aca="false">IF(AND(LEFT(A4388,1)&lt;&gt;"C",D4388&gt;0,F4388&gt;0),1,0)</f>
        <v>1</v>
      </c>
      <c r="J4388" s="7" t="n">
        <f aca="false">IF(I4388=1,D4388*F4388,0)</f>
        <v>8.25</v>
      </c>
      <c r="K4388" s="7" t="n">
        <f aca="false">YEAR(E4388)*100+MONTH(E4388)</f>
        <v>201111</v>
      </c>
      <c r="L4388" s="7" t="n">
        <f aca="false">IF(AND(A4388&lt;&gt;A4387,LEFT(A4388,1)&lt;&gt;"C"),1,0)</f>
        <v>0</v>
      </c>
    </row>
    <row r="4389" customFormat="false" ht="15" hidden="false" customHeight="false" outlineLevel="0" collapsed="false">
      <c r="A4389" s="0" t="s">
        <v>2779</v>
      </c>
      <c r="B4389" s="0" t="s">
        <v>1140</v>
      </c>
      <c r="C4389" s="0" t="s">
        <v>1141</v>
      </c>
      <c r="D4389" s="0" t="n">
        <v>1</v>
      </c>
      <c r="E4389" s="6" t="n">
        <v>40851.5583333333</v>
      </c>
      <c r="F4389" s="0" t="n">
        <v>4.25</v>
      </c>
      <c r="G4389" s="0" t="n">
        <v>12577</v>
      </c>
      <c r="H4389" s="0" t="s">
        <v>43</v>
      </c>
      <c r="I4389" s="7" t="n">
        <f aca="false">IF(AND(LEFT(A4389,1)&lt;&gt;"C",D4389&gt;0,F4389&gt;0),1,0)</f>
        <v>1</v>
      </c>
      <c r="J4389" s="7" t="n">
        <f aca="false">IF(I4389=1,D4389*F4389,0)</f>
        <v>4.25</v>
      </c>
      <c r="K4389" s="7" t="n">
        <f aca="false">YEAR(E4389)*100+MONTH(E4389)</f>
        <v>201111</v>
      </c>
      <c r="L4389" s="7" t="n">
        <f aca="false">IF(AND(A4389&lt;&gt;A4388,LEFT(A4389,1)&lt;&gt;"C"),1,0)</f>
        <v>0</v>
      </c>
    </row>
    <row r="4390" customFormat="false" ht="15" hidden="false" customHeight="false" outlineLevel="0" collapsed="false">
      <c r="A4390" s="0" t="s">
        <v>2779</v>
      </c>
      <c r="B4390" s="0" t="s">
        <v>2794</v>
      </c>
      <c r="C4390" s="0" t="s">
        <v>2795</v>
      </c>
      <c r="D4390" s="0" t="n">
        <v>2</v>
      </c>
      <c r="E4390" s="6" t="n">
        <v>40851.5583333333</v>
      </c>
      <c r="F4390" s="0" t="n">
        <v>0.85</v>
      </c>
      <c r="G4390" s="0" t="n">
        <v>12577</v>
      </c>
      <c r="H4390" s="0" t="s">
        <v>43</v>
      </c>
      <c r="I4390" s="7" t="n">
        <f aca="false">IF(AND(LEFT(A4390,1)&lt;&gt;"C",D4390&gt;0,F4390&gt;0),1,0)</f>
        <v>1</v>
      </c>
      <c r="J4390" s="7" t="n">
        <f aca="false">IF(I4390=1,D4390*F4390,0)</f>
        <v>1.7</v>
      </c>
      <c r="K4390" s="7" t="n">
        <f aca="false">YEAR(E4390)*100+MONTH(E4390)</f>
        <v>201111</v>
      </c>
      <c r="L4390" s="7" t="n">
        <f aca="false">IF(AND(A4390&lt;&gt;A4389,LEFT(A4390,1)&lt;&gt;"C"),1,0)</f>
        <v>0</v>
      </c>
    </row>
    <row r="4391" customFormat="false" ht="15" hidden="false" customHeight="false" outlineLevel="0" collapsed="false">
      <c r="A4391" s="0" t="s">
        <v>2779</v>
      </c>
      <c r="B4391" s="0" t="s">
        <v>2542</v>
      </c>
      <c r="C4391" s="0" t="s">
        <v>2543</v>
      </c>
      <c r="D4391" s="0" t="n">
        <v>1</v>
      </c>
      <c r="E4391" s="6" t="n">
        <v>40851.5583333333</v>
      </c>
      <c r="F4391" s="0" t="n">
        <v>5.95</v>
      </c>
      <c r="G4391" s="0" t="n">
        <v>12577</v>
      </c>
      <c r="H4391" s="0" t="s">
        <v>43</v>
      </c>
      <c r="I4391" s="7" t="n">
        <f aca="false">IF(AND(LEFT(A4391,1)&lt;&gt;"C",D4391&gt;0,F4391&gt;0),1,0)</f>
        <v>1</v>
      </c>
      <c r="J4391" s="7" t="n">
        <f aca="false">IF(I4391=1,D4391*F4391,0)</f>
        <v>5.95</v>
      </c>
      <c r="K4391" s="7" t="n">
        <f aca="false">YEAR(E4391)*100+MONTH(E4391)</f>
        <v>201111</v>
      </c>
      <c r="L4391" s="7" t="n">
        <f aca="false">IF(AND(A4391&lt;&gt;A4390,LEFT(A4391,1)&lt;&gt;"C"),1,0)</f>
        <v>0</v>
      </c>
    </row>
    <row r="4392" customFormat="false" ht="15" hidden="false" customHeight="false" outlineLevel="0" collapsed="false">
      <c r="A4392" s="0" t="s">
        <v>2779</v>
      </c>
      <c r="B4392" s="0" t="s">
        <v>213</v>
      </c>
      <c r="C4392" s="0" t="s">
        <v>214</v>
      </c>
      <c r="D4392" s="0" t="n">
        <v>4</v>
      </c>
      <c r="E4392" s="6" t="n">
        <v>40851.5583333333</v>
      </c>
      <c r="F4392" s="0" t="n">
        <v>0.85</v>
      </c>
      <c r="G4392" s="0" t="n">
        <v>12577</v>
      </c>
      <c r="H4392" s="0" t="s">
        <v>43</v>
      </c>
      <c r="I4392" s="7" t="n">
        <f aca="false">IF(AND(LEFT(A4392,1)&lt;&gt;"C",D4392&gt;0,F4392&gt;0),1,0)</f>
        <v>1</v>
      </c>
      <c r="J4392" s="7" t="n">
        <f aca="false">IF(I4392=1,D4392*F4392,0)</f>
        <v>3.4</v>
      </c>
      <c r="K4392" s="7" t="n">
        <f aca="false">YEAR(E4392)*100+MONTH(E4392)</f>
        <v>201111</v>
      </c>
      <c r="L4392" s="7" t="n">
        <f aca="false">IF(AND(A4392&lt;&gt;A4391,LEFT(A4392,1)&lt;&gt;"C"),1,0)</f>
        <v>0</v>
      </c>
    </row>
    <row r="4393" customFormat="false" ht="15" hidden="false" customHeight="false" outlineLevel="0" collapsed="false">
      <c r="A4393" s="0" t="s">
        <v>2796</v>
      </c>
      <c r="B4393" s="0" t="s">
        <v>2784</v>
      </c>
      <c r="C4393" s="0" t="s">
        <v>2785</v>
      </c>
      <c r="D4393" s="0" t="n">
        <v>-6</v>
      </c>
      <c r="E4393" s="6" t="n">
        <v>40851.5611111111</v>
      </c>
      <c r="F4393" s="0" t="n">
        <v>10.4</v>
      </c>
      <c r="G4393" s="0" t="n">
        <v>12577</v>
      </c>
      <c r="H4393" s="0" t="s">
        <v>43</v>
      </c>
      <c r="I4393" s="7" t="n">
        <f aca="false">IF(AND(LEFT(A4393,1)&lt;&gt;"C",D4393&gt;0,F4393&gt;0),1,0)</f>
        <v>0</v>
      </c>
      <c r="J4393" s="7" t="n">
        <f aca="false">IF(I4393=1,D4393*F4393,0)</f>
        <v>0</v>
      </c>
      <c r="K4393" s="7" t="n">
        <f aca="false">YEAR(E4393)*100+MONTH(E4393)</f>
        <v>201111</v>
      </c>
      <c r="L4393" s="7" t="n">
        <f aca="false">IF(AND(A4393&lt;&gt;A4392,LEFT(A4393,1)&lt;&gt;"C"),1,0)</f>
        <v>0</v>
      </c>
    </row>
    <row r="4394" customFormat="false" ht="15" hidden="false" customHeight="false" outlineLevel="0" collapsed="false">
      <c r="A4394" s="0" t="s">
        <v>2797</v>
      </c>
      <c r="B4394" s="0" t="s">
        <v>2798</v>
      </c>
      <c r="C4394" s="0" t="s">
        <v>2799</v>
      </c>
      <c r="D4394" s="0" t="n">
        <v>10</v>
      </c>
      <c r="E4394" s="6" t="n">
        <v>40853.4791666667</v>
      </c>
      <c r="F4394" s="0" t="n">
        <v>1.65</v>
      </c>
      <c r="G4394" s="0" t="n">
        <v>12619</v>
      </c>
      <c r="H4394" s="0" t="s">
        <v>33</v>
      </c>
      <c r="I4394" s="7" t="n">
        <f aca="false">IF(AND(LEFT(A4394,1)&lt;&gt;"C",D4394&gt;0,F4394&gt;0),1,0)</f>
        <v>1</v>
      </c>
      <c r="J4394" s="7" t="n">
        <f aca="false">IF(I4394=1,D4394*F4394,0)</f>
        <v>16.5</v>
      </c>
      <c r="K4394" s="7" t="n">
        <f aca="false">YEAR(E4394)*100+MONTH(E4394)</f>
        <v>201111</v>
      </c>
      <c r="L4394" s="7" t="n">
        <f aca="false">IF(AND(A4394&lt;&gt;A4393,LEFT(A4394,1)&lt;&gt;"C"),1,0)</f>
        <v>1</v>
      </c>
    </row>
    <row r="4395" customFormat="false" ht="15" hidden="false" customHeight="false" outlineLevel="0" collapsed="false">
      <c r="A4395" s="0" t="s">
        <v>2797</v>
      </c>
      <c r="B4395" s="0" t="s">
        <v>975</v>
      </c>
      <c r="C4395" s="0" t="s">
        <v>976</v>
      </c>
      <c r="D4395" s="0" t="n">
        <v>20</v>
      </c>
      <c r="E4395" s="6" t="n">
        <v>40853.4791666667</v>
      </c>
      <c r="F4395" s="0" t="n">
        <v>1.65</v>
      </c>
      <c r="G4395" s="0" t="n">
        <v>12619</v>
      </c>
      <c r="H4395" s="0" t="s">
        <v>33</v>
      </c>
      <c r="I4395" s="7" t="n">
        <f aca="false">IF(AND(LEFT(A4395,1)&lt;&gt;"C",D4395&gt;0,F4395&gt;0),1,0)</f>
        <v>1</v>
      </c>
      <c r="J4395" s="7" t="n">
        <f aca="false">IF(I4395=1,D4395*F4395,0)</f>
        <v>33</v>
      </c>
      <c r="K4395" s="7" t="n">
        <f aca="false">YEAR(E4395)*100+MONTH(E4395)</f>
        <v>201111</v>
      </c>
      <c r="L4395" s="7" t="n">
        <f aca="false">IF(AND(A4395&lt;&gt;A4394,LEFT(A4395,1)&lt;&gt;"C"),1,0)</f>
        <v>0</v>
      </c>
    </row>
    <row r="4396" customFormat="false" ht="15" hidden="false" customHeight="false" outlineLevel="0" collapsed="false">
      <c r="A4396" s="0" t="s">
        <v>2797</v>
      </c>
      <c r="B4396" s="0" t="s">
        <v>977</v>
      </c>
      <c r="C4396" s="0" t="s">
        <v>978</v>
      </c>
      <c r="D4396" s="0" t="n">
        <v>10</v>
      </c>
      <c r="E4396" s="6" t="n">
        <v>40853.4791666667</v>
      </c>
      <c r="F4396" s="0" t="n">
        <v>1.65</v>
      </c>
      <c r="G4396" s="0" t="n">
        <v>12619</v>
      </c>
      <c r="H4396" s="0" t="s">
        <v>33</v>
      </c>
      <c r="I4396" s="7" t="n">
        <f aca="false">IF(AND(LEFT(A4396,1)&lt;&gt;"C",D4396&gt;0,F4396&gt;0),1,0)</f>
        <v>1</v>
      </c>
      <c r="J4396" s="7" t="n">
        <f aca="false">IF(I4396=1,D4396*F4396,0)</f>
        <v>16.5</v>
      </c>
      <c r="K4396" s="7" t="n">
        <f aca="false">YEAR(E4396)*100+MONTH(E4396)</f>
        <v>201111</v>
      </c>
      <c r="L4396" s="7" t="n">
        <f aca="false">IF(AND(A4396&lt;&gt;A4395,LEFT(A4396,1)&lt;&gt;"C"),1,0)</f>
        <v>0</v>
      </c>
    </row>
    <row r="4397" customFormat="false" ht="15" hidden="false" customHeight="false" outlineLevel="0" collapsed="false">
      <c r="A4397" s="0" t="s">
        <v>2797</v>
      </c>
      <c r="B4397" s="0" t="s">
        <v>968</v>
      </c>
      <c r="C4397" s="0" t="s">
        <v>969</v>
      </c>
      <c r="D4397" s="0" t="n">
        <v>20</v>
      </c>
      <c r="E4397" s="6" t="n">
        <v>40853.4791666667</v>
      </c>
      <c r="F4397" s="0" t="n">
        <v>1.65</v>
      </c>
      <c r="G4397" s="0" t="n">
        <v>12619</v>
      </c>
      <c r="H4397" s="0" t="s">
        <v>33</v>
      </c>
      <c r="I4397" s="7" t="n">
        <f aca="false">IF(AND(LEFT(A4397,1)&lt;&gt;"C",D4397&gt;0,F4397&gt;0),1,0)</f>
        <v>1</v>
      </c>
      <c r="J4397" s="7" t="n">
        <f aca="false">IF(I4397=1,D4397*F4397,0)</f>
        <v>33</v>
      </c>
      <c r="K4397" s="7" t="n">
        <f aca="false">YEAR(E4397)*100+MONTH(E4397)</f>
        <v>201111</v>
      </c>
      <c r="L4397" s="7" t="n">
        <f aca="false">IF(AND(A4397&lt;&gt;A4396,LEFT(A4397,1)&lt;&gt;"C"),1,0)</f>
        <v>0</v>
      </c>
    </row>
    <row r="4398" customFormat="false" ht="15" hidden="false" customHeight="false" outlineLevel="0" collapsed="false">
      <c r="A4398" s="0" t="s">
        <v>2797</v>
      </c>
      <c r="B4398" s="0" t="s">
        <v>970</v>
      </c>
      <c r="C4398" s="0" t="s">
        <v>971</v>
      </c>
      <c r="D4398" s="0" t="n">
        <v>20</v>
      </c>
      <c r="E4398" s="6" t="n">
        <v>40853.4791666667</v>
      </c>
      <c r="F4398" s="0" t="n">
        <v>1.65</v>
      </c>
      <c r="G4398" s="0" t="n">
        <v>12619</v>
      </c>
      <c r="H4398" s="0" t="s">
        <v>33</v>
      </c>
      <c r="I4398" s="7" t="n">
        <f aca="false">IF(AND(LEFT(A4398,1)&lt;&gt;"C",D4398&gt;0,F4398&gt;0),1,0)</f>
        <v>1</v>
      </c>
      <c r="J4398" s="7" t="n">
        <f aca="false">IF(I4398=1,D4398*F4398,0)</f>
        <v>33</v>
      </c>
      <c r="K4398" s="7" t="n">
        <f aca="false">YEAR(E4398)*100+MONTH(E4398)</f>
        <v>201111</v>
      </c>
      <c r="L4398" s="7" t="n">
        <f aca="false">IF(AND(A4398&lt;&gt;A4397,LEFT(A4398,1)&lt;&gt;"C"),1,0)</f>
        <v>0</v>
      </c>
    </row>
    <row r="4399" customFormat="false" ht="15" hidden="false" customHeight="false" outlineLevel="0" collapsed="false">
      <c r="A4399" s="0" t="s">
        <v>2797</v>
      </c>
      <c r="B4399" s="0" t="s">
        <v>857</v>
      </c>
      <c r="C4399" s="0" t="s">
        <v>858</v>
      </c>
      <c r="D4399" s="0" t="n">
        <v>128</v>
      </c>
      <c r="E4399" s="6" t="n">
        <v>40853.4791666667</v>
      </c>
      <c r="F4399" s="0" t="n">
        <v>0.72</v>
      </c>
      <c r="G4399" s="0" t="n">
        <v>12619</v>
      </c>
      <c r="H4399" s="0" t="s">
        <v>33</v>
      </c>
      <c r="I4399" s="7" t="n">
        <f aca="false">IF(AND(LEFT(A4399,1)&lt;&gt;"C",D4399&gt;0,F4399&gt;0),1,0)</f>
        <v>1</v>
      </c>
      <c r="J4399" s="7" t="n">
        <f aca="false">IF(I4399=1,D4399*F4399,0)</f>
        <v>92.16</v>
      </c>
      <c r="K4399" s="7" t="n">
        <f aca="false">YEAR(E4399)*100+MONTH(E4399)</f>
        <v>201111</v>
      </c>
      <c r="L4399" s="7" t="n">
        <f aca="false">IF(AND(A4399&lt;&gt;A4398,LEFT(A4399,1)&lt;&gt;"C"),1,0)</f>
        <v>0</v>
      </c>
    </row>
    <row r="4400" customFormat="false" ht="15" hidden="false" customHeight="false" outlineLevel="0" collapsed="false">
      <c r="A4400" s="0" t="s">
        <v>2797</v>
      </c>
      <c r="B4400" s="0" t="s">
        <v>773</v>
      </c>
      <c r="C4400" s="0" t="s">
        <v>774</v>
      </c>
      <c r="D4400" s="0" t="n">
        <v>48</v>
      </c>
      <c r="E4400" s="6" t="n">
        <v>40853.4791666667</v>
      </c>
      <c r="F4400" s="0" t="n">
        <v>0.55</v>
      </c>
      <c r="G4400" s="0" t="n">
        <v>12619</v>
      </c>
      <c r="H4400" s="0" t="s">
        <v>33</v>
      </c>
      <c r="I4400" s="7" t="n">
        <f aca="false">IF(AND(LEFT(A4400,1)&lt;&gt;"C",D4400&gt;0,F4400&gt;0),1,0)</f>
        <v>1</v>
      </c>
      <c r="J4400" s="7" t="n">
        <f aca="false">IF(I4400=1,D4400*F4400,0)</f>
        <v>26.4</v>
      </c>
      <c r="K4400" s="7" t="n">
        <f aca="false">YEAR(E4400)*100+MONTH(E4400)</f>
        <v>201111</v>
      </c>
      <c r="L4400" s="7" t="n">
        <f aca="false">IF(AND(A4400&lt;&gt;A4399,LEFT(A4400,1)&lt;&gt;"C"),1,0)</f>
        <v>0</v>
      </c>
    </row>
    <row r="4401" customFormat="false" ht="15" hidden="false" customHeight="false" outlineLevel="0" collapsed="false">
      <c r="A4401" s="0" t="s">
        <v>2797</v>
      </c>
      <c r="B4401" s="0" t="s">
        <v>217</v>
      </c>
      <c r="C4401" s="0" t="s">
        <v>218</v>
      </c>
      <c r="D4401" s="0" t="n">
        <v>48</v>
      </c>
      <c r="E4401" s="6" t="n">
        <v>40853.4791666667</v>
      </c>
      <c r="F4401" s="0" t="n">
        <v>0.55</v>
      </c>
      <c r="G4401" s="0" t="n">
        <v>12619</v>
      </c>
      <c r="H4401" s="0" t="s">
        <v>33</v>
      </c>
      <c r="I4401" s="7" t="n">
        <f aca="false">IF(AND(LEFT(A4401,1)&lt;&gt;"C",D4401&gt;0,F4401&gt;0),1,0)</f>
        <v>1</v>
      </c>
      <c r="J4401" s="7" t="n">
        <f aca="false">IF(I4401=1,D4401*F4401,0)</f>
        <v>26.4</v>
      </c>
      <c r="K4401" s="7" t="n">
        <f aca="false">YEAR(E4401)*100+MONTH(E4401)</f>
        <v>201111</v>
      </c>
      <c r="L4401" s="7" t="n">
        <f aca="false">IF(AND(A4401&lt;&gt;A4400,LEFT(A4401,1)&lt;&gt;"C"),1,0)</f>
        <v>0</v>
      </c>
    </row>
    <row r="4402" customFormat="false" ht="15" hidden="false" customHeight="false" outlineLevel="0" collapsed="false">
      <c r="A4402" s="0" t="s">
        <v>2797</v>
      </c>
      <c r="B4402" s="0" t="s">
        <v>1300</v>
      </c>
      <c r="C4402" s="0" t="s">
        <v>1301</v>
      </c>
      <c r="D4402" s="0" t="n">
        <v>48</v>
      </c>
      <c r="E4402" s="6" t="n">
        <v>40853.4791666667</v>
      </c>
      <c r="F4402" s="0" t="n">
        <v>0.55</v>
      </c>
      <c r="G4402" s="0" t="n">
        <v>12619</v>
      </c>
      <c r="H4402" s="0" t="s">
        <v>33</v>
      </c>
      <c r="I4402" s="7" t="n">
        <f aca="false">IF(AND(LEFT(A4402,1)&lt;&gt;"C",D4402&gt;0,F4402&gt;0),1,0)</f>
        <v>1</v>
      </c>
      <c r="J4402" s="7" t="n">
        <f aca="false">IF(I4402=1,D4402*F4402,0)</f>
        <v>26.4</v>
      </c>
      <c r="K4402" s="7" t="n">
        <f aca="false">YEAR(E4402)*100+MONTH(E4402)</f>
        <v>201111</v>
      </c>
      <c r="L4402" s="7" t="n">
        <f aca="false">IF(AND(A4402&lt;&gt;A4401,LEFT(A4402,1)&lt;&gt;"C"),1,0)</f>
        <v>0</v>
      </c>
    </row>
    <row r="4403" customFormat="false" ht="15" hidden="false" customHeight="false" outlineLevel="0" collapsed="false">
      <c r="A4403" s="0" t="s">
        <v>2797</v>
      </c>
      <c r="B4403" s="0" t="s">
        <v>966</v>
      </c>
      <c r="C4403" s="0" t="s">
        <v>967</v>
      </c>
      <c r="D4403" s="0" t="n">
        <v>48</v>
      </c>
      <c r="E4403" s="6" t="n">
        <v>40853.4791666667</v>
      </c>
      <c r="F4403" s="0" t="n">
        <v>0.55</v>
      </c>
      <c r="G4403" s="0" t="n">
        <v>12619</v>
      </c>
      <c r="H4403" s="0" t="s">
        <v>33</v>
      </c>
      <c r="I4403" s="7" t="n">
        <f aca="false">IF(AND(LEFT(A4403,1)&lt;&gt;"C",D4403&gt;0,F4403&gt;0),1,0)</f>
        <v>1</v>
      </c>
      <c r="J4403" s="7" t="n">
        <f aca="false">IF(I4403=1,D4403*F4403,0)</f>
        <v>26.4</v>
      </c>
      <c r="K4403" s="7" t="n">
        <f aca="false">YEAR(E4403)*100+MONTH(E4403)</f>
        <v>201111</v>
      </c>
      <c r="L4403" s="7" t="n">
        <f aca="false">IF(AND(A4403&lt;&gt;A4402,LEFT(A4403,1)&lt;&gt;"C"),1,0)</f>
        <v>0</v>
      </c>
    </row>
    <row r="4404" customFormat="false" ht="15" hidden="false" customHeight="false" outlineLevel="0" collapsed="false">
      <c r="A4404" s="0" t="s">
        <v>2797</v>
      </c>
      <c r="B4404" s="0" t="s">
        <v>941</v>
      </c>
      <c r="C4404" s="0" t="s">
        <v>942</v>
      </c>
      <c r="D4404" s="0" t="n">
        <v>48</v>
      </c>
      <c r="E4404" s="6" t="n">
        <v>40853.4791666667</v>
      </c>
      <c r="F4404" s="0" t="n">
        <v>0.55</v>
      </c>
      <c r="G4404" s="0" t="n">
        <v>12619</v>
      </c>
      <c r="H4404" s="0" t="s">
        <v>33</v>
      </c>
      <c r="I4404" s="7" t="n">
        <f aca="false">IF(AND(LEFT(A4404,1)&lt;&gt;"C",D4404&gt;0,F4404&gt;0),1,0)</f>
        <v>1</v>
      </c>
      <c r="J4404" s="7" t="n">
        <f aca="false">IF(I4404=1,D4404*F4404,0)</f>
        <v>26.4</v>
      </c>
      <c r="K4404" s="7" t="n">
        <f aca="false">YEAR(E4404)*100+MONTH(E4404)</f>
        <v>201111</v>
      </c>
      <c r="L4404" s="7" t="n">
        <f aca="false">IF(AND(A4404&lt;&gt;A4403,LEFT(A4404,1)&lt;&gt;"C"),1,0)</f>
        <v>0</v>
      </c>
    </row>
    <row r="4405" customFormat="false" ht="15" hidden="false" customHeight="false" outlineLevel="0" collapsed="false">
      <c r="A4405" s="0" t="s">
        <v>2797</v>
      </c>
      <c r="B4405" s="0" t="s">
        <v>84</v>
      </c>
      <c r="C4405" s="0" t="s">
        <v>85</v>
      </c>
      <c r="D4405" s="0" t="n">
        <v>2</v>
      </c>
      <c r="E4405" s="6" t="n">
        <v>40853.4791666667</v>
      </c>
      <c r="F4405" s="0" t="n">
        <v>18</v>
      </c>
      <c r="G4405" s="0" t="n">
        <v>12619</v>
      </c>
      <c r="H4405" s="0" t="s">
        <v>33</v>
      </c>
      <c r="I4405" s="7" t="n">
        <f aca="false">IF(AND(LEFT(A4405,1)&lt;&gt;"C",D4405&gt;0,F4405&gt;0),1,0)</f>
        <v>1</v>
      </c>
      <c r="J4405" s="7" t="n">
        <f aca="false">IF(I4405=1,D4405*F4405,0)</f>
        <v>36</v>
      </c>
      <c r="K4405" s="7" t="n">
        <f aca="false">YEAR(E4405)*100+MONTH(E4405)</f>
        <v>201111</v>
      </c>
      <c r="L4405" s="7" t="n">
        <f aca="false">IF(AND(A4405&lt;&gt;A4404,LEFT(A4405,1)&lt;&gt;"C"),1,0)</f>
        <v>0</v>
      </c>
    </row>
    <row r="4406" customFormat="false" ht="15" hidden="false" customHeight="false" outlineLevel="0" collapsed="false">
      <c r="A4406" s="0" t="s">
        <v>2797</v>
      </c>
      <c r="B4406" s="0" t="s">
        <v>713</v>
      </c>
      <c r="C4406" s="0" t="s">
        <v>714</v>
      </c>
      <c r="D4406" s="0" t="n">
        <v>36</v>
      </c>
      <c r="E4406" s="6" t="n">
        <v>40853.4791666667</v>
      </c>
      <c r="F4406" s="0" t="n">
        <v>1.25</v>
      </c>
      <c r="G4406" s="0" t="n">
        <v>12619</v>
      </c>
      <c r="H4406" s="0" t="s">
        <v>33</v>
      </c>
      <c r="I4406" s="7" t="n">
        <f aca="false">IF(AND(LEFT(A4406,1)&lt;&gt;"C",D4406&gt;0,F4406&gt;0),1,0)</f>
        <v>1</v>
      </c>
      <c r="J4406" s="7" t="n">
        <f aca="false">IF(I4406=1,D4406*F4406,0)</f>
        <v>45</v>
      </c>
      <c r="K4406" s="7" t="n">
        <f aca="false">YEAR(E4406)*100+MONTH(E4406)</f>
        <v>201111</v>
      </c>
      <c r="L4406" s="7" t="n">
        <f aca="false">IF(AND(A4406&lt;&gt;A4405,LEFT(A4406,1)&lt;&gt;"C"),1,0)</f>
        <v>0</v>
      </c>
    </row>
    <row r="4407" customFormat="false" ht="15" hidden="false" customHeight="false" outlineLevel="0" collapsed="false">
      <c r="A4407" s="0" t="s">
        <v>2797</v>
      </c>
      <c r="B4407" s="0" t="s">
        <v>2421</v>
      </c>
      <c r="C4407" s="0" t="s">
        <v>2422</v>
      </c>
      <c r="D4407" s="0" t="n">
        <v>36</v>
      </c>
      <c r="E4407" s="6" t="n">
        <v>40853.4791666667</v>
      </c>
      <c r="F4407" s="0" t="n">
        <v>1.25</v>
      </c>
      <c r="G4407" s="0" t="n">
        <v>12619</v>
      </c>
      <c r="H4407" s="0" t="s">
        <v>33</v>
      </c>
      <c r="I4407" s="7" t="n">
        <f aca="false">IF(AND(LEFT(A4407,1)&lt;&gt;"C",D4407&gt;0,F4407&gt;0),1,0)</f>
        <v>1</v>
      </c>
      <c r="J4407" s="7" t="n">
        <f aca="false">IF(I4407=1,D4407*F4407,0)</f>
        <v>45</v>
      </c>
      <c r="K4407" s="7" t="n">
        <f aca="false">YEAR(E4407)*100+MONTH(E4407)</f>
        <v>201111</v>
      </c>
      <c r="L4407" s="7" t="n">
        <f aca="false">IF(AND(A4407&lt;&gt;A4406,LEFT(A4407,1)&lt;&gt;"C"),1,0)</f>
        <v>0</v>
      </c>
    </row>
    <row r="4408" customFormat="false" ht="15" hidden="false" customHeight="false" outlineLevel="0" collapsed="false">
      <c r="A4408" s="0" t="s">
        <v>2800</v>
      </c>
      <c r="B4408" s="0" t="s">
        <v>335</v>
      </c>
      <c r="C4408" s="0" t="s">
        <v>336</v>
      </c>
      <c r="D4408" s="0" t="n">
        <v>36</v>
      </c>
      <c r="E4408" s="6" t="n">
        <v>40853.5263888889</v>
      </c>
      <c r="F4408" s="0" t="n">
        <v>1.65</v>
      </c>
      <c r="G4408" s="0" t="n">
        <v>12645</v>
      </c>
      <c r="H4408" s="0" t="s">
        <v>33</v>
      </c>
      <c r="I4408" s="7" t="n">
        <f aca="false">IF(AND(LEFT(A4408,1)&lt;&gt;"C",D4408&gt;0,F4408&gt;0),1,0)</f>
        <v>1</v>
      </c>
      <c r="J4408" s="7" t="n">
        <f aca="false">IF(I4408=1,D4408*F4408,0)</f>
        <v>59.4</v>
      </c>
      <c r="K4408" s="7" t="n">
        <f aca="false">YEAR(E4408)*100+MONTH(E4408)</f>
        <v>201111</v>
      </c>
      <c r="L4408" s="7" t="n">
        <f aca="false">IF(AND(A4408&lt;&gt;A4407,LEFT(A4408,1)&lt;&gt;"C"),1,0)</f>
        <v>1</v>
      </c>
    </row>
    <row r="4409" customFormat="false" ht="15" hidden="false" customHeight="false" outlineLevel="0" collapsed="false">
      <c r="A4409" s="0" t="s">
        <v>2800</v>
      </c>
      <c r="B4409" s="0" t="s">
        <v>471</v>
      </c>
      <c r="C4409" s="0" t="s">
        <v>472</v>
      </c>
      <c r="D4409" s="0" t="n">
        <v>36</v>
      </c>
      <c r="E4409" s="6" t="n">
        <v>40853.5263888889</v>
      </c>
      <c r="F4409" s="0" t="n">
        <v>1.65</v>
      </c>
      <c r="G4409" s="0" t="n">
        <v>12645</v>
      </c>
      <c r="H4409" s="0" t="s">
        <v>33</v>
      </c>
      <c r="I4409" s="7" t="n">
        <f aca="false">IF(AND(LEFT(A4409,1)&lt;&gt;"C",D4409&gt;0,F4409&gt;0),1,0)</f>
        <v>1</v>
      </c>
      <c r="J4409" s="7" t="n">
        <f aca="false">IF(I4409=1,D4409*F4409,0)</f>
        <v>59.4</v>
      </c>
      <c r="K4409" s="7" t="n">
        <f aca="false">YEAR(E4409)*100+MONTH(E4409)</f>
        <v>201111</v>
      </c>
      <c r="L4409" s="7" t="n">
        <f aca="false">IF(AND(A4409&lt;&gt;A4408,LEFT(A4409,1)&lt;&gt;"C"),1,0)</f>
        <v>0</v>
      </c>
    </row>
    <row r="4410" customFormat="false" ht="15" hidden="false" customHeight="false" outlineLevel="0" collapsed="false">
      <c r="A4410" s="0" t="s">
        <v>2800</v>
      </c>
      <c r="B4410" s="0" t="s">
        <v>1751</v>
      </c>
      <c r="C4410" s="0" t="s">
        <v>1752</v>
      </c>
      <c r="D4410" s="0" t="n">
        <v>24</v>
      </c>
      <c r="E4410" s="6" t="n">
        <v>40853.5263888889</v>
      </c>
      <c r="F4410" s="0" t="n">
        <v>1.25</v>
      </c>
      <c r="G4410" s="0" t="n">
        <v>12645</v>
      </c>
      <c r="H4410" s="0" t="s">
        <v>33</v>
      </c>
      <c r="I4410" s="7" t="n">
        <f aca="false">IF(AND(LEFT(A4410,1)&lt;&gt;"C",D4410&gt;0,F4410&gt;0),1,0)</f>
        <v>1</v>
      </c>
      <c r="J4410" s="7" t="n">
        <f aca="false">IF(I4410=1,D4410*F4410,0)</f>
        <v>30</v>
      </c>
      <c r="K4410" s="7" t="n">
        <f aca="false">YEAR(E4410)*100+MONTH(E4410)</f>
        <v>201111</v>
      </c>
      <c r="L4410" s="7" t="n">
        <f aca="false">IF(AND(A4410&lt;&gt;A4409,LEFT(A4410,1)&lt;&gt;"C"),1,0)</f>
        <v>0</v>
      </c>
    </row>
    <row r="4411" customFormat="false" ht="15" hidden="false" customHeight="false" outlineLevel="0" collapsed="false">
      <c r="A4411" s="0" t="s">
        <v>2800</v>
      </c>
      <c r="B4411" s="0" t="s">
        <v>1175</v>
      </c>
      <c r="C4411" s="0" t="s">
        <v>1176</v>
      </c>
      <c r="D4411" s="0" t="n">
        <v>6</v>
      </c>
      <c r="E4411" s="6" t="n">
        <v>40853.5263888889</v>
      </c>
      <c r="F4411" s="0" t="n">
        <v>2.08</v>
      </c>
      <c r="G4411" s="0" t="n">
        <v>12645</v>
      </c>
      <c r="H4411" s="0" t="s">
        <v>33</v>
      </c>
      <c r="I4411" s="7" t="n">
        <f aca="false">IF(AND(LEFT(A4411,1)&lt;&gt;"C",D4411&gt;0,F4411&gt;0),1,0)</f>
        <v>1</v>
      </c>
      <c r="J4411" s="7" t="n">
        <f aca="false">IF(I4411=1,D4411*F4411,0)</f>
        <v>12.48</v>
      </c>
      <c r="K4411" s="7" t="n">
        <f aca="false">YEAR(E4411)*100+MONTH(E4411)</f>
        <v>201111</v>
      </c>
      <c r="L4411" s="7" t="n">
        <f aca="false">IF(AND(A4411&lt;&gt;A4410,LEFT(A4411,1)&lt;&gt;"C"),1,0)</f>
        <v>0</v>
      </c>
    </row>
    <row r="4412" customFormat="false" ht="15" hidden="false" customHeight="false" outlineLevel="0" collapsed="false">
      <c r="A4412" s="0" t="s">
        <v>2800</v>
      </c>
      <c r="B4412" s="0" t="s">
        <v>2801</v>
      </c>
      <c r="C4412" s="0" t="s">
        <v>2802</v>
      </c>
      <c r="D4412" s="0" t="n">
        <v>12</v>
      </c>
      <c r="E4412" s="6" t="n">
        <v>40853.5263888889</v>
      </c>
      <c r="F4412" s="0" t="n">
        <v>1.95</v>
      </c>
      <c r="G4412" s="0" t="n">
        <v>12645</v>
      </c>
      <c r="H4412" s="0" t="s">
        <v>33</v>
      </c>
      <c r="I4412" s="7" t="n">
        <f aca="false">IF(AND(LEFT(A4412,1)&lt;&gt;"C",D4412&gt;0,F4412&gt;0),1,0)</f>
        <v>1</v>
      </c>
      <c r="J4412" s="7" t="n">
        <f aca="false">IF(I4412=1,D4412*F4412,0)</f>
        <v>23.4</v>
      </c>
      <c r="K4412" s="7" t="n">
        <f aca="false">YEAR(E4412)*100+MONTH(E4412)</f>
        <v>201111</v>
      </c>
      <c r="L4412" s="7" t="n">
        <f aca="false">IF(AND(A4412&lt;&gt;A4411,LEFT(A4412,1)&lt;&gt;"C"),1,0)</f>
        <v>0</v>
      </c>
    </row>
    <row r="4413" customFormat="false" ht="15" hidden="false" customHeight="false" outlineLevel="0" collapsed="false">
      <c r="A4413" s="0" t="s">
        <v>2800</v>
      </c>
      <c r="B4413" s="0" t="s">
        <v>490</v>
      </c>
      <c r="C4413" s="0" t="s">
        <v>491</v>
      </c>
      <c r="D4413" s="0" t="n">
        <v>12</v>
      </c>
      <c r="E4413" s="6" t="n">
        <v>40853.5263888889</v>
      </c>
      <c r="F4413" s="0" t="n">
        <v>2.08</v>
      </c>
      <c r="G4413" s="0" t="n">
        <v>12645</v>
      </c>
      <c r="H4413" s="0" t="s">
        <v>33</v>
      </c>
      <c r="I4413" s="7" t="n">
        <f aca="false">IF(AND(LEFT(A4413,1)&lt;&gt;"C",D4413&gt;0,F4413&gt;0),1,0)</f>
        <v>1</v>
      </c>
      <c r="J4413" s="7" t="n">
        <f aca="false">IF(I4413=1,D4413*F4413,0)</f>
        <v>24.96</v>
      </c>
      <c r="K4413" s="7" t="n">
        <f aca="false">YEAR(E4413)*100+MONTH(E4413)</f>
        <v>201111</v>
      </c>
      <c r="L4413" s="7" t="n">
        <f aca="false">IF(AND(A4413&lt;&gt;A4412,LEFT(A4413,1)&lt;&gt;"C"),1,0)</f>
        <v>0</v>
      </c>
    </row>
    <row r="4414" customFormat="false" ht="15" hidden="false" customHeight="false" outlineLevel="0" collapsed="false">
      <c r="A4414" s="0" t="s">
        <v>2800</v>
      </c>
      <c r="B4414" s="0" t="s">
        <v>1436</v>
      </c>
      <c r="C4414" s="0" t="s">
        <v>1437</v>
      </c>
      <c r="D4414" s="0" t="n">
        <v>12</v>
      </c>
      <c r="E4414" s="6" t="n">
        <v>40853.5263888889</v>
      </c>
      <c r="F4414" s="0" t="n">
        <v>4.95</v>
      </c>
      <c r="G4414" s="0" t="n">
        <v>12645</v>
      </c>
      <c r="H4414" s="0" t="s">
        <v>33</v>
      </c>
      <c r="I4414" s="7" t="n">
        <f aca="false">IF(AND(LEFT(A4414,1)&lt;&gt;"C",D4414&gt;0,F4414&gt;0),1,0)</f>
        <v>1</v>
      </c>
      <c r="J4414" s="7" t="n">
        <f aca="false">IF(I4414=1,D4414*F4414,0)</f>
        <v>59.4</v>
      </c>
      <c r="K4414" s="7" t="n">
        <f aca="false">YEAR(E4414)*100+MONTH(E4414)</f>
        <v>201111</v>
      </c>
      <c r="L4414" s="7" t="n">
        <f aca="false">IF(AND(A4414&lt;&gt;A4413,LEFT(A4414,1)&lt;&gt;"C"),1,0)</f>
        <v>0</v>
      </c>
    </row>
    <row r="4415" customFormat="false" ht="15" hidden="false" customHeight="false" outlineLevel="0" collapsed="false">
      <c r="A4415" s="0" t="s">
        <v>2800</v>
      </c>
      <c r="B4415" s="0" t="s">
        <v>333</v>
      </c>
      <c r="C4415" s="0" t="s">
        <v>334</v>
      </c>
      <c r="D4415" s="0" t="n">
        <v>36</v>
      </c>
      <c r="E4415" s="6" t="n">
        <v>40853.5263888889</v>
      </c>
      <c r="F4415" s="0" t="n">
        <v>1.65</v>
      </c>
      <c r="G4415" s="0" t="n">
        <v>12645</v>
      </c>
      <c r="H4415" s="0" t="s">
        <v>33</v>
      </c>
      <c r="I4415" s="7" t="n">
        <f aca="false">IF(AND(LEFT(A4415,1)&lt;&gt;"C",D4415&gt;0,F4415&gt;0),1,0)</f>
        <v>1</v>
      </c>
      <c r="J4415" s="7" t="n">
        <f aca="false">IF(I4415=1,D4415*F4415,0)</f>
        <v>59.4</v>
      </c>
      <c r="K4415" s="7" t="n">
        <f aca="false">YEAR(E4415)*100+MONTH(E4415)</f>
        <v>201111</v>
      </c>
      <c r="L4415" s="7" t="n">
        <f aca="false">IF(AND(A4415&lt;&gt;A4414,LEFT(A4415,1)&lt;&gt;"C"),1,0)</f>
        <v>0</v>
      </c>
    </row>
    <row r="4416" customFormat="false" ht="15" hidden="false" customHeight="false" outlineLevel="0" collapsed="false">
      <c r="A4416" s="0" t="s">
        <v>2800</v>
      </c>
      <c r="B4416" s="0" t="s">
        <v>2273</v>
      </c>
      <c r="C4416" s="0" t="s">
        <v>2274</v>
      </c>
      <c r="D4416" s="0" t="n">
        <v>12</v>
      </c>
      <c r="E4416" s="6" t="n">
        <v>40853.5263888889</v>
      </c>
      <c r="F4416" s="0" t="n">
        <v>2.1</v>
      </c>
      <c r="G4416" s="0" t="n">
        <v>12645</v>
      </c>
      <c r="H4416" s="0" t="s">
        <v>33</v>
      </c>
      <c r="I4416" s="7" t="n">
        <f aca="false">IF(AND(LEFT(A4416,1)&lt;&gt;"C",D4416&gt;0,F4416&gt;0),1,0)</f>
        <v>1</v>
      </c>
      <c r="J4416" s="7" t="n">
        <f aca="false">IF(I4416=1,D4416*F4416,0)</f>
        <v>25.2</v>
      </c>
      <c r="K4416" s="7" t="n">
        <f aca="false">YEAR(E4416)*100+MONTH(E4416)</f>
        <v>201111</v>
      </c>
      <c r="L4416" s="7" t="n">
        <f aca="false">IF(AND(A4416&lt;&gt;A4415,LEFT(A4416,1)&lt;&gt;"C"),1,0)</f>
        <v>0</v>
      </c>
    </row>
    <row r="4417" customFormat="false" ht="15" hidden="false" customHeight="false" outlineLevel="0" collapsed="false">
      <c r="A4417" s="0" t="s">
        <v>2800</v>
      </c>
      <c r="B4417" s="0" t="s">
        <v>783</v>
      </c>
      <c r="C4417" s="0" t="s">
        <v>784</v>
      </c>
      <c r="D4417" s="0" t="n">
        <v>6</v>
      </c>
      <c r="E4417" s="6" t="n">
        <v>40853.5263888889</v>
      </c>
      <c r="F4417" s="0" t="n">
        <v>2.1</v>
      </c>
      <c r="G4417" s="0" t="n">
        <v>12645</v>
      </c>
      <c r="H4417" s="0" t="s">
        <v>33</v>
      </c>
      <c r="I4417" s="7" t="n">
        <f aca="false">IF(AND(LEFT(A4417,1)&lt;&gt;"C",D4417&gt;0,F4417&gt;0),1,0)</f>
        <v>1</v>
      </c>
      <c r="J4417" s="7" t="n">
        <f aca="false">IF(I4417=1,D4417*F4417,0)</f>
        <v>12.6</v>
      </c>
      <c r="K4417" s="7" t="n">
        <f aca="false">YEAR(E4417)*100+MONTH(E4417)</f>
        <v>201111</v>
      </c>
      <c r="L4417" s="7" t="n">
        <f aca="false">IF(AND(A4417&lt;&gt;A4416,LEFT(A4417,1)&lt;&gt;"C"),1,0)</f>
        <v>0</v>
      </c>
    </row>
    <row r="4418" customFormat="false" ht="15" hidden="false" customHeight="false" outlineLevel="0" collapsed="false">
      <c r="A4418" s="0" t="s">
        <v>2800</v>
      </c>
      <c r="B4418" s="0" t="s">
        <v>2060</v>
      </c>
      <c r="C4418" s="0" t="s">
        <v>2061</v>
      </c>
      <c r="D4418" s="0" t="n">
        <v>24</v>
      </c>
      <c r="E4418" s="6" t="n">
        <v>40853.5263888889</v>
      </c>
      <c r="F4418" s="0" t="n">
        <v>0.42</v>
      </c>
      <c r="G4418" s="0" t="n">
        <v>12645</v>
      </c>
      <c r="H4418" s="0" t="s">
        <v>33</v>
      </c>
      <c r="I4418" s="7" t="n">
        <f aca="false">IF(AND(LEFT(A4418,1)&lt;&gt;"C",D4418&gt;0,F4418&gt;0),1,0)</f>
        <v>1</v>
      </c>
      <c r="J4418" s="7" t="n">
        <f aca="false">IF(I4418=1,D4418*F4418,0)</f>
        <v>10.08</v>
      </c>
      <c r="K4418" s="7" t="n">
        <f aca="false">YEAR(E4418)*100+MONTH(E4418)</f>
        <v>201111</v>
      </c>
      <c r="L4418" s="7" t="n">
        <f aca="false">IF(AND(A4418&lt;&gt;A4417,LEFT(A4418,1)&lt;&gt;"C"),1,0)</f>
        <v>0</v>
      </c>
    </row>
    <row r="4419" customFormat="false" ht="15" hidden="false" customHeight="false" outlineLevel="0" collapsed="false">
      <c r="A4419" s="0" t="s">
        <v>2800</v>
      </c>
      <c r="B4419" s="0" t="s">
        <v>794</v>
      </c>
      <c r="C4419" s="0" t="s">
        <v>795</v>
      </c>
      <c r="D4419" s="0" t="n">
        <v>20</v>
      </c>
      <c r="E4419" s="6" t="n">
        <v>40853.5263888889</v>
      </c>
      <c r="F4419" s="0" t="n">
        <v>0.85</v>
      </c>
      <c r="G4419" s="0" t="n">
        <v>12645</v>
      </c>
      <c r="H4419" s="0" t="s">
        <v>33</v>
      </c>
      <c r="I4419" s="7" t="n">
        <f aca="false">IF(AND(LEFT(A4419,1)&lt;&gt;"C",D4419&gt;0,F4419&gt;0),1,0)</f>
        <v>1</v>
      </c>
      <c r="J4419" s="7" t="n">
        <f aca="false">IF(I4419=1,D4419*F4419,0)</f>
        <v>17</v>
      </c>
      <c r="K4419" s="7" t="n">
        <f aca="false">YEAR(E4419)*100+MONTH(E4419)</f>
        <v>201111</v>
      </c>
      <c r="L4419" s="7" t="n">
        <f aca="false">IF(AND(A4419&lt;&gt;A4418,LEFT(A4419,1)&lt;&gt;"C"),1,0)</f>
        <v>0</v>
      </c>
    </row>
    <row r="4420" customFormat="false" ht="15" hidden="false" customHeight="false" outlineLevel="0" collapsed="false">
      <c r="A4420" s="0" t="s">
        <v>2800</v>
      </c>
      <c r="B4420" s="0" t="s">
        <v>627</v>
      </c>
      <c r="C4420" s="0" t="s">
        <v>628</v>
      </c>
      <c r="D4420" s="0" t="n">
        <v>20</v>
      </c>
      <c r="E4420" s="6" t="n">
        <v>40853.5263888889</v>
      </c>
      <c r="F4420" s="0" t="n">
        <v>0.85</v>
      </c>
      <c r="G4420" s="0" t="n">
        <v>12645</v>
      </c>
      <c r="H4420" s="0" t="s">
        <v>33</v>
      </c>
      <c r="I4420" s="7" t="n">
        <f aca="false">IF(AND(LEFT(A4420,1)&lt;&gt;"C",D4420&gt;0,F4420&gt;0),1,0)</f>
        <v>1</v>
      </c>
      <c r="J4420" s="7" t="n">
        <f aca="false">IF(I4420=1,D4420*F4420,0)</f>
        <v>17</v>
      </c>
      <c r="K4420" s="7" t="n">
        <f aca="false">YEAR(E4420)*100+MONTH(E4420)</f>
        <v>201111</v>
      </c>
      <c r="L4420" s="7" t="n">
        <f aca="false">IF(AND(A4420&lt;&gt;A4419,LEFT(A4420,1)&lt;&gt;"C"),1,0)</f>
        <v>0</v>
      </c>
    </row>
    <row r="4421" customFormat="false" ht="15" hidden="false" customHeight="false" outlineLevel="0" collapsed="false">
      <c r="A4421" s="0" t="s">
        <v>2800</v>
      </c>
      <c r="B4421" s="0" t="s">
        <v>84</v>
      </c>
      <c r="C4421" s="0" t="s">
        <v>85</v>
      </c>
      <c r="D4421" s="0" t="n">
        <v>3</v>
      </c>
      <c r="E4421" s="6" t="n">
        <v>40853.5263888889</v>
      </c>
      <c r="F4421" s="0" t="n">
        <v>18</v>
      </c>
      <c r="G4421" s="0" t="n">
        <v>12645</v>
      </c>
      <c r="H4421" s="0" t="s">
        <v>33</v>
      </c>
      <c r="I4421" s="7" t="n">
        <f aca="false">IF(AND(LEFT(A4421,1)&lt;&gt;"C",D4421&gt;0,F4421&gt;0),1,0)</f>
        <v>1</v>
      </c>
      <c r="J4421" s="7" t="n">
        <f aca="false">IF(I4421=1,D4421*F4421,0)</f>
        <v>54</v>
      </c>
      <c r="K4421" s="7" t="n">
        <f aca="false">YEAR(E4421)*100+MONTH(E4421)</f>
        <v>201111</v>
      </c>
      <c r="L4421" s="7" t="n">
        <f aca="false">IF(AND(A4421&lt;&gt;A4420,LEFT(A4421,1)&lt;&gt;"C"),1,0)</f>
        <v>0</v>
      </c>
    </row>
    <row r="4422" customFormat="false" ht="15" hidden="false" customHeight="false" outlineLevel="0" collapsed="false">
      <c r="A4422" s="0" t="s">
        <v>2803</v>
      </c>
      <c r="B4422" s="0" t="s">
        <v>2782</v>
      </c>
      <c r="C4422" s="0" t="s">
        <v>2783</v>
      </c>
      <c r="D4422" s="0" t="n">
        <v>6</v>
      </c>
      <c r="E4422" s="6" t="n">
        <v>40853.6013888889</v>
      </c>
      <c r="F4422" s="0" t="n">
        <v>2.89</v>
      </c>
      <c r="G4422" s="0" t="n">
        <v>12628</v>
      </c>
      <c r="H4422" s="0" t="s">
        <v>33</v>
      </c>
      <c r="I4422" s="7" t="n">
        <f aca="false">IF(AND(LEFT(A4422,1)&lt;&gt;"C",D4422&gt;0,F4422&gt;0),1,0)</f>
        <v>1</v>
      </c>
      <c r="J4422" s="7" t="n">
        <f aca="false">IF(I4422=1,D4422*F4422,0)</f>
        <v>17.34</v>
      </c>
      <c r="K4422" s="7" t="n">
        <f aca="false">YEAR(E4422)*100+MONTH(E4422)</f>
        <v>201111</v>
      </c>
      <c r="L4422" s="7" t="n">
        <f aca="false">IF(AND(A4422&lt;&gt;A4421,LEFT(A4422,1)&lt;&gt;"C"),1,0)</f>
        <v>1</v>
      </c>
    </row>
    <row r="4423" customFormat="false" ht="15" hidden="false" customHeight="false" outlineLevel="0" collapsed="false">
      <c r="A4423" s="0" t="s">
        <v>2803</v>
      </c>
      <c r="B4423" s="0" t="s">
        <v>2804</v>
      </c>
      <c r="C4423" s="0" t="s">
        <v>2805</v>
      </c>
      <c r="D4423" s="0" t="n">
        <v>10</v>
      </c>
      <c r="E4423" s="6" t="n">
        <v>40853.6013888889</v>
      </c>
      <c r="F4423" s="0" t="n">
        <v>2.08</v>
      </c>
      <c r="G4423" s="0" t="n">
        <v>12628</v>
      </c>
      <c r="H4423" s="0" t="s">
        <v>33</v>
      </c>
      <c r="I4423" s="7" t="n">
        <f aca="false">IF(AND(LEFT(A4423,1)&lt;&gt;"C",D4423&gt;0,F4423&gt;0),1,0)</f>
        <v>1</v>
      </c>
      <c r="J4423" s="7" t="n">
        <f aca="false">IF(I4423=1,D4423*F4423,0)</f>
        <v>20.8</v>
      </c>
      <c r="K4423" s="7" t="n">
        <f aca="false">YEAR(E4423)*100+MONTH(E4423)</f>
        <v>201111</v>
      </c>
      <c r="L4423" s="7" t="n">
        <f aca="false">IF(AND(A4423&lt;&gt;A4422,LEFT(A4423,1)&lt;&gt;"C"),1,0)</f>
        <v>0</v>
      </c>
    </row>
    <row r="4424" customFormat="false" ht="15" hidden="false" customHeight="false" outlineLevel="0" collapsed="false">
      <c r="A4424" s="0" t="s">
        <v>2803</v>
      </c>
      <c r="B4424" s="0" t="s">
        <v>1738</v>
      </c>
      <c r="C4424" s="0" t="s">
        <v>1739</v>
      </c>
      <c r="D4424" s="0" t="n">
        <v>40</v>
      </c>
      <c r="E4424" s="6" t="n">
        <v>40853.6013888889</v>
      </c>
      <c r="F4424" s="0" t="n">
        <v>1.25</v>
      </c>
      <c r="G4424" s="0" t="n">
        <v>12628</v>
      </c>
      <c r="H4424" s="0" t="s">
        <v>33</v>
      </c>
      <c r="I4424" s="7" t="n">
        <f aca="false">IF(AND(LEFT(A4424,1)&lt;&gt;"C",D4424&gt;0,F4424&gt;0),1,0)</f>
        <v>1</v>
      </c>
      <c r="J4424" s="7" t="n">
        <f aca="false">IF(I4424=1,D4424*F4424,0)</f>
        <v>50</v>
      </c>
      <c r="K4424" s="7" t="n">
        <f aca="false">YEAR(E4424)*100+MONTH(E4424)</f>
        <v>201111</v>
      </c>
      <c r="L4424" s="7" t="n">
        <f aca="false">IF(AND(A4424&lt;&gt;A4423,LEFT(A4424,1)&lt;&gt;"C"),1,0)</f>
        <v>0</v>
      </c>
    </row>
    <row r="4425" customFormat="false" ht="15" hidden="false" customHeight="false" outlineLevel="0" collapsed="false">
      <c r="A4425" s="0" t="s">
        <v>2803</v>
      </c>
      <c r="B4425" s="0" t="s">
        <v>136</v>
      </c>
      <c r="C4425" s="0" t="s">
        <v>137</v>
      </c>
      <c r="D4425" s="0" t="n">
        <v>4</v>
      </c>
      <c r="E4425" s="6" t="n">
        <v>40853.6013888889</v>
      </c>
      <c r="F4425" s="0" t="n">
        <v>4.95</v>
      </c>
      <c r="G4425" s="0" t="n">
        <v>12628</v>
      </c>
      <c r="H4425" s="0" t="s">
        <v>33</v>
      </c>
      <c r="I4425" s="7" t="n">
        <f aca="false">IF(AND(LEFT(A4425,1)&lt;&gt;"C",D4425&gt;0,F4425&gt;0),1,0)</f>
        <v>1</v>
      </c>
      <c r="J4425" s="7" t="n">
        <f aca="false">IF(I4425=1,D4425*F4425,0)</f>
        <v>19.8</v>
      </c>
      <c r="K4425" s="7" t="n">
        <f aca="false">YEAR(E4425)*100+MONTH(E4425)</f>
        <v>201111</v>
      </c>
      <c r="L4425" s="7" t="n">
        <f aca="false">IF(AND(A4425&lt;&gt;A4424,LEFT(A4425,1)&lt;&gt;"C"),1,0)</f>
        <v>0</v>
      </c>
    </row>
    <row r="4426" customFormat="false" ht="15" hidden="false" customHeight="false" outlineLevel="0" collapsed="false">
      <c r="A4426" s="0" t="s">
        <v>2803</v>
      </c>
      <c r="B4426" s="0" t="s">
        <v>1527</v>
      </c>
      <c r="C4426" s="0" t="s">
        <v>1528</v>
      </c>
      <c r="D4426" s="0" t="n">
        <v>6</v>
      </c>
      <c r="E4426" s="6" t="n">
        <v>40853.6013888889</v>
      </c>
      <c r="F4426" s="0" t="n">
        <v>3.25</v>
      </c>
      <c r="G4426" s="0" t="n">
        <v>12628</v>
      </c>
      <c r="H4426" s="0" t="s">
        <v>33</v>
      </c>
      <c r="I4426" s="7" t="n">
        <f aca="false">IF(AND(LEFT(A4426,1)&lt;&gt;"C",D4426&gt;0,F4426&gt;0),1,0)</f>
        <v>1</v>
      </c>
      <c r="J4426" s="7" t="n">
        <f aca="false">IF(I4426=1,D4426*F4426,0)</f>
        <v>19.5</v>
      </c>
      <c r="K4426" s="7" t="n">
        <f aca="false">YEAR(E4426)*100+MONTH(E4426)</f>
        <v>201111</v>
      </c>
      <c r="L4426" s="7" t="n">
        <f aca="false">IF(AND(A4426&lt;&gt;A4425,LEFT(A4426,1)&lt;&gt;"C"),1,0)</f>
        <v>0</v>
      </c>
    </row>
    <row r="4427" customFormat="false" ht="15" hidden="false" customHeight="false" outlineLevel="0" collapsed="false">
      <c r="A4427" s="0" t="s">
        <v>2803</v>
      </c>
      <c r="B4427" s="0" t="s">
        <v>2152</v>
      </c>
      <c r="C4427" s="0" t="s">
        <v>2153</v>
      </c>
      <c r="D4427" s="0" t="n">
        <v>6</v>
      </c>
      <c r="E4427" s="6" t="n">
        <v>40853.6013888889</v>
      </c>
      <c r="F4427" s="0" t="n">
        <v>2.89</v>
      </c>
      <c r="G4427" s="0" t="n">
        <v>12628</v>
      </c>
      <c r="H4427" s="0" t="s">
        <v>33</v>
      </c>
      <c r="I4427" s="7" t="n">
        <f aca="false">IF(AND(LEFT(A4427,1)&lt;&gt;"C",D4427&gt;0,F4427&gt;0),1,0)</f>
        <v>1</v>
      </c>
      <c r="J4427" s="7" t="n">
        <f aca="false">IF(I4427=1,D4427*F4427,0)</f>
        <v>17.34</v>
      </c>
      <c r="K4427" s="7" t="n">
        <f aca="false">YEAR(E4427)*100+MONTH(E4427)</f>
        <v>201111</v>
      </c>
      <c r="L4427" s="7" t="n">
        <f aca="false">IF(AND(A4427&lt;&gt;A4426,LEFT(A4427,1)&lt;&gt;"C"),1,0)</f>
        <v>0</v>
      </c>
    </row>
    <row r="4428" customFormat="false" ht="15" hidden="false" customHeight="false" outlineLevel="0" collapsed="false">
      <c r="A4428" s="0" t="s">
        <v>2803</v>
      </c>
      <c r="B4428" s="0" t="s">
        <v>895</v>
      </c>
      <c r="C4428" s="0" t="s">
        <v>896</v>
      </c>
      <c r="D4428" s="0" t="n">
        <v>6</v>
      </c>
      <c r="E4428" s="6" t="n">
        <v>40853.6013888889</v>
      </c>
      <c r="F4428" s="0" t="n">
        <v>2.89</v>
      </c>
      <c r="G4428" s="0" t="n">
        <v>12628</v>
      </c>
      <c r="H4428" s="0" t="s">
        <v>33</v>
      </c>
      <c r="I4428" s="7" t="n">
        <f aca="false">IF(AND(LEFT(A4428,1)&lt;&gt;"C",D4428&gt;0,F4428&gt;0),1,0)</f>
        <v>1</v>
      </c>
      <c r="J4428" s="7" t="n">
        <f aca="false">IF(I4428=1,D4428*F4428,0)</f>
        <v>17.34</v>
      </c>
      <c r="K4428" s="7" t="n">
        <f aca="false">YEAR(E4428)*100+MONTH(E4428)</f>
        <v>201111</v>
      </c>
      <c r="L4428" s="7" t="n">
        <f aca="false">IF(AND(A4428&lt;&gt;A4427,LEFT(A4428,1)&lt;&gt;"C"),1,0)</f>
        <v>0</v>
      </c>
    </row>
    <row r="4429" customFormat="false" ht="15" hidden="false" customHeight="false" outlineLevel="0" collapsed="false">
      <c r="A4429" s="0" t="s">
        <v>2803</v>
      </c>
      <c r="B4429" s="0" t="s">
        <v>2806</v>
      </c>
      <c r="C4429" s="0" t="s">
        <v>2807</v>
      </c>
      <c r="D4429" s="0" t="n">
        <v>3</v>
      </c>
      <c r="E4429" s="6" t="n">
        <v>40853.6013888889</v>
      </c>
      <c r="F4429" s="0" t="n">
        <v>5.95</v>
      </c>
      <c r="G4429" s="0" t="n">
        <v>12628</v>
      </c>
      <c r="H4429" s="0" t="s">
        <v>33</v>
      </c>
      <c r="I4429" s="7" t="n">
        <f aca="false">IF(AND(LEFT(A4429,1)&lt;&gt;"C",D4429&gt;0,F4429&gt;0),1,0)</f>
        <v>1</v>
      </c>
      <c r="J4429" s="7" t="n">
        <f aca="false">IF(I4429=1,D4429*F4429,0)</f>
        <v>17.85</v>
      </c>
      <c r="K4429" s="7" t="n">
        <f aca="false">YEAR(E4429)*100+MONTH(E4429)</f>
        <v>201111</v>
      </c>
      <c r="L4429" s="7" t="n">
        <f aca="false">IF(AND(A4429&lt;&gt;A4428,LEFT(A4429,1)&lt;&gt;"C"),1,0)</f>
        <v>0</v>
      </c>
    </row>
    <row r="4430" customFormat="false" ht="15" hidden="false" customHeight="false" outlineLevel="0" collapsed="false">
      <c r="A4430" s="0" t="s">
        <v>2803</v>
      </c>
      <c r="B4430" s="0" t="s">
        <v>1933</v>
      </c>
      <c r="C4430" s="0" t="s">
        <v>1934</v>
      </c>
      <c r="D4430" s="0" t="n">
        <v>12</v>
      </c>
      <c r="E4430" s="6" t="n">
        <v>40853.6013888889</v>
      </c>
      <c r="F4430" s="0" t="n">
        <v>1.65</v>
      </c>
      <c r="G4430" s="0" t="n">
        <v>12628</v>
      </c>
      <c r="H4430" s="0" t="s">
        <v>33</v>
      </c>
      <c r="I4430" s="7" t="n">
        <f aca="false">IF(AND(LEFT(A4430,1)&lt;&gt;"C",D4430&gt;0,F4430&gt;0),1,0)</f>
        <v>1</v>
      </c>
      <c r="J4430" s="7" t="n">
        <f aca="false">IF(I4430=1,D4430*F4430,0)</f>
        <v>19.8</v>
      </c>
      <c r="K4430" s="7" t="n">
        <f aca="false">YEAR(E4430)*100+MONTH(E4430)</f>
        <v>201111</v>
      </c>
      <c r="L4430" s="7" t="n">
        <f aca="false">IF(AND(A4430&lt;&gt;A4429,LEFT(A4430,1)&lt;&gt;"C"),1,0)</f>
        <v>0</v>
      </c>
    </row>
    <row r="4431" customFormat="false" ht="15" hidden="false" customHeight="false" outlineLevel="0" collapsed="false">
      <c r="A4431" s="0" t="s">
        <v>2803</v>
      </c>
      <c r="B4431" s="0" t="s">
        <v>333</v>
      </c>
      <c r="C4431" s="0" t="s">
        <v>334</v>
      </c>
      <c r="D4431" s="0" t="n">
        <v>12</v>
      </c>
      <c r="E4431" s="6" t="n">
        <v>40853.6013888889</v>
      </c>
      <c r="F4431" s="0" t="n">
        <v>1.65</v>
      </c>
      <c r="G4431" s="0" t="n">
        <v>12628</v>
      </c>
      <c r="H4431" s="0" t="s">
        <v>33</v>
      </c>
      <c r="I4431" s="7" t="n">
        <f aca="false">IF(AND(LEFT(A4431,1)&lt;&gt;"C",D4431&gt;0,F4431&gt;0),1,0)</f>
        <v>1</v>
      </c>
      <c r="J4431" s="7" t="n">
        <f aca="false">IF(I4431=1,D4431*F4431,0)</f>
        <v>19.8</v>
      </c>
      <c r="K4431" s="7" t="n">
        <f aca="false">YEAR(E4431)*100+MONTH(E4431)</f>
        <v>201111</v>
      </c>
      <c r="L4431" s="7" t="n">
        <f aca="false">IF(AND(A4431&lt;&gt;A4430,LEFT(A4431,1)&lt;&gt;"C"),1,0)</f>
        <v>0</v>
      </c>
    </row>
    <row r="4432" customFormat="false" ht="15" hidden="false" customHeight="false" outlineLevel="0" collapsed="false">
      <c r="A4432" s="0" t="s">
        <v>2803</v>
      </c>
      <c r="B4432" s="0" t="s">
        <v>84</v>
      </c>
      <c r="C4432" s="0" t="s">
        <v>85</v>
      </c>
      <c r="D4432" s="0" t="n">
        <v>1</v>
      </c>
      <c r="E4432" s="6" t="n">
        <v>40853.6013888889</v>
      </c>
      <c r="F4432" s="0" t="n">
        <v>18</v>
      </c>
      <c r="G4432" s="0" t="n">
        <v>12628</v>
      </c>
      <c r="H4432" s="0" t="s">
        <v>33</v>
      </c>
      <c r="I4432" s="7" t="n">
        <f aca="false">IF(AND(LEFT(A4432,1)&lt;&gt;"C",D4432&gt;0,F4432&gt;0),1,0)</f>
        <v>1</v>
      </c>
      <c r="J4432" s="7" t="n">
        <f aca="false">IF(I4432=1,D4432*F4432,0)</f>
        <v>18</v>
      </c>
      <c r="K4432" s="7" t="n">
        <f aca="false">YEAR(E4432)*100+MONTH(E4432)</f>
        <v>201111</v>
      </c>
      <c r="L4432" s="7" t="n">
        <f aca="false">IF(AND(A4432&lt;&gt;A4431,LEFT(A4432,1)&lt;&gt;"C"),1,0)</f>
        <v>0</v>
      </c>
    </row>
    <row r="4433" customFormat="false" ht="15" hidden="false" customHeight="false" outlineLevel="0" collapsed="false">
      <c r="A4433" s="0" t="s">
        <v>2808</v>
      </c>
      <c r="B4433" s="0" t="s">
        <v>2587</v>
      </c>
      <c r="C4433" s="0" t="s">
        <v>2588</v>
      </c>
      <c r="D4433" s="0" t="n">
        <v>12</v>
      </c>
      <c r="E4433" s="6" t="n">
        <v>40854.5305555556</v>
      </c>
      <c r="F4433" s="0" t="n">
        <v>0.85</v>
      </c>
      <c r="G4433" s="0" t="n">
        <v>12708</v>
      </c>
      <c r="H4433" s="0" t="s">
        <v>33</v>
      </c>
      <c r="I4433" s="7" t="n">
        <f aca="false">IF(AND(LEFT(A4433,1)&lt;&gt;"C",D4433&gt;0,F4433&gt;0),1,0)</f>
        <v>1</v>
      </c>
      <c r="J4433" s="7" t="n">
        <f aca="false">IF(I4433=1,D4433*F4433,0)</f>
        <v>10.2</v>
      </c>
      <c r="K4433" s="7" t="n">
        <f aca="false">YEAR(E4433)*100+MONTH(E4433)</f>
        <v>201111</v>
      </c>
      <c r="L4433" s="7" t="n">
        <f aca="false">IF(AND(A4433&lt;&gt;A4432,LEFT(A4433,1)&lt;&gt;"C"),1,0)</f>
        <v>1</v>
      </c>
    </row>
    <row r="4434" customFormat="false" ht="15" hidden="false" customHeight="false" outlineLevel="0" collapsed="false">
      <c r="A4434" s="0" t="s">
        <v>2808</v>
      </c>
      <c r="B4434" s="0" t="s">
        <v>1517</v>
      </c>
      <c r="C4434" s="0" t="s">
        <v>1518</v>
      </c>
      <c r="D4434" s="0" t="n">
        <v>12</v>
      </c>
      <c r="E4434" s="6" t="n">
        <v>40854.5305555556</v>
      </c>
      <c r="F4434" s="0" t="n">
        <v>2.08</v>
      </c>
      <c r="G4434" s="0" t="n">
        <v>12708</v>
      </c>
      <c r="H4434" s="0" t="s">
        <v>33</v>
      </c>
      <c r="I4434" s="7" t="n">
        <f aca="false">IF(AND(LEFT(A4434,1)&lt;&gt;"C",D4434&gt;0,F4434&gt;0),1,0)</f>
        <v>1</v>
      </c>
      <c r="J4434" s="7" t="n">
        <f aca="false">IF(I4434=1,D4434*F4434,0)</f>
        <v>24.96</v>
      </c>
      <c r="K4434" s="7" t="n">
        <f aca="false">YEAR(E4434)*100+MONTH(E4434)</f>
        <v>201111</v>
      </c>
      <c r="L4434" s="7" t="n">
        <f aca="false">IF(AND(A4434&lt;&gt;A4433,LEFT(A4434,1)&lt;&gt;"C"),1,0)</f>
        <v>0</v>
      </c>
    </row>
    <row r="4435" customFormat="false" ht="15" hidden="false" customHeight="false" outlineLevel="0" collapsed="false">
      <c r="A4435" s="0" t="s">
        <v>2808</v>
      </c>
      <c r="B4435" s="0" t="s">
        <v>2567</v>
      </c>
      <c r="C4435" s="0" t="s">
        <v>2568</v>
      </c>
      <c r="D4435" s="0" t="n">
        <v>2</v>
      </c>
      <c r="E4435" s="6" t="n">
        <v>40854.5305555556</v>
      </c>
      <c r="F4435" s="0" t="n">
        <v>9.95</v>
      </c>
      <c r="G4435" s="0" t="n">
        <v>12708</v>
      </c>
      <c r="H4435" s="0" t="s">
        <v>33</v>
      </c>
      <c r="I4435" s="7" t="n">
        <f aca="false">IF(AND(LEFT(A4435,1)&lt;&gt;"C",D4435&gt;0,F4435&gt;0),1,0)</f>
        <v>1</v>
      </c>
      <c r="J4435" s="7" t="n">
        <f aca="false">IF(I4435=1,D4435*F4435,0)</f>
        <v>19.9</v>
      </c>
      <c r="K4435" s="7" t="n">
        <f aca="false">YEAR(E4435)*100+MONTH(E4435)</f>
        <v>201111</v>
      </c>
      <c r="L4435" s="7" t="n">
        <f aca="false">IF(AND(A4435&lt;&gt;A4434,LEFT(A4435,1)&lt;&gt;"C"),1,0)</f>
        <v>0</v>
      </c>
    </row>
    <row r="4436" customFormat="false" ht="15" hidden="false" customHeight="false" outlineLevel="0" collapsed="false">
      <c r="A4436" s="0" t="s">
        <v>2808</v>
      </c>
      <c r="B4436" s="0" t="s">
        <v>341</v>
      </c>
      <c r="C4436" s="0" t="s">
        <v>342</v>
      </c>
      <c r="D4436" s="0" t="n">
        <v>12</v>
      </c>
      <c r="E4436" s="6" t="n">
        <v>40854.5305555556</v>
      </c>
      <c r="F4436" s="0" t="n">
        <v>1.45</v>
      </c>
      <c r="G4436" s="0" t="n">
        <v>12708</v>
      </c>
      <c r="H4436" s="0" t="s">
        <v>33</v>
      </c>
      <c r="I4436" s="7" t="n">
        <f aca="false">IF(AND(LEFT(A4436,1)&lt;&gt;"C",D4436&gt;0,F4436&gt;0),1,0)</f>
        <v>1</v>
      </c>
      <c r="J4436" s="7" t="n">
        <f aca="false">IF(I4436=1,D4436*F4436,0)</f>
        <v>17.4</v>
      </c>
      <c r="K4436" s="7" t="n">
        <f aca="false">YEAR(E4436)*100+MONTH(E4436)</f>
        <v>201111</v>
      </c>
      <c r="L4436" s="7" t="n">
        <f aca="false">IF(AND(A4436&lt;&gt;A4435,LEFT(A4436,1)&lt;&gt;"C"),1,0)</f>
        <v>0</v>
      </c>
    </row>
    <row r="4437" customFormat="false" ht="15" hidden="false" customHeight="false" outlineLevel="0" collapsed="false">
      <c r="A4437" s="0" t="s">
        <v>2808</v>
      </c>
      <c r="B4437" s="0" t="s">
        <v>345</v>
      </c>
      <c r="C4437" s="0" t="s">
        <v>346</v>
      </c>
      <c r="D4437" s="0" t="n">
        <v>12</v>
      </c>
      <c r="E4437" s="6" t="n">
        <v>40854.5305555556</v>
      </c>
      <c r="F4437" s="0" t="n">
        <v>1.45</v>
      </c>
      <c r="G4437" s="0" t="n">
        <v>12708</v>
      </c>
      <c r="H4437" s="0" t="s">
        <v>33</v>
      </c>
      <c r="I4437" s="7" t="n">
        <f aca="false">IF(AND(LEFT(A4437,1)&lt;&gt;"C",D4437&gt;0,F4437&gt;0),1,0)</f>
        <v>1</v>
      </c>
      <c r="J4437" s="7" t="n">
        <f aca="false">IF(I4437=1,D4437*F4437,0)</f>
        <v>17.4</v>
      </c>
      <c r="K4437" s="7" t="n">
        <f aca="false">YEAR(E4437)*100+MONTH(E4437)</f>
        <v>201111</v>
      </c>
      <c r="L4437" s="7" t="n">
        <f aca="false">IF(AND(A4437&lt;&gt;A4436,LEFT(A4437,1)&lt;&gt;"C"),1,0)</f>
        <v>0</v>
      </c>
    </row>
    <row r="4438" customFormat="false" ht="15" hidden="false" customHeight="false" outlineLevel="0" collapsed="false">
      <c r="A4438" s="0" t="s">
        <v>2808</v>
      </c>
      <c r="B4438" s="0" t="s">
        <v>343</v>
      </c>
      <c r="C4438" s="0" t="s">
        <v>344</v>
      </c>
      <c r="D4438" s="0" t="n">
        <v>24</v>
      </c>
      <c r="E4438" s="6" t="n">
        <v>40854.5305555556</v>
      </c>
      <c r="F4438" s="0" t="n">
        <v>1.45</v>
      </c>
      <c r="G4438" s="0" t="n">
        <v>12708</v>
      </c>
      <c r="H4438" s="0" t="s">
        <v>33</v>
      </c>
      <c r="I4438" s="7" t="n">
        <f aca="false">IF(AND(LEFT(A4438,1)&lt;&gt;"C",D4438&gt;0,F4438&gt;0),1,0)</f>
        <v>1</v>
      </c>
      <c r="J4438" s="7" t="n">
        <f aca="false">IF(I4438=1,D4438*F4438,0)</f>
        <v>34.8</v>
      </c>
      <c r="K4438" s="7" t="n">
        <f aca="false">YEAR(E4438)*100+MONTH(E4438)</f>
        <v>201111</v>
      </c>
      <c r="L4438" s="7" t="n">
        <f aca="false">IF(AND(A4438&lt;&gt;A4437,LEFT(A4438,1)&lt;&gt;"C"),1,0)</f>
        <v>0</v>
      </c>
    </row>
    <row r="4439" customFormat="false" ht="15" hidden="false" customHeight="false" outlineLevel="0" collapsed="false">
      <c r="A4439" s="0" t="s">
        <v>2808</v>
      </c>
      <c r="B4439" s="0" t="s">
        <v>74</v>
      </c>
      <c r="C4439" s="0" t="s">
        <v>75</v>
      </c>
      <c r="D4439" s="0" t="n">
        <v>12</v>
      </c>
      <c r="E4439" s="6" t="n">
        <v>40854.5305555556</v>
      </c>
      <c r="F4439" s="0" t="n">
        <v>1.95</v>
      </c>
      <c r="G4439" s="0" t="n">
        <v>12708</v>
      </c>
      <c r="H4439" s="0" t="s">
        <v>33</v>
      </c>
      <c r="I4439" s="7" t="n">
        <f aca="false">IF(AND(LEFT(A4439,1)&lt;&gt;"C",D4439&gt;0,F4439&gt;0),1,0)</f>
        <v>1</v>
      </c>
      <c r="J4439" s="7" t="n">
        <f aca="false">IF(I4439=1,D4439*F4439,0)</f>
        <v>23.4</v>
      </c>
      <c r="K4439" s="7" t="n">
        <f aca="false">YEAR(E4439)*100+MONTH(E4439)</f>
        <v>201111</v>
      </c>
      <c r="L4439" s="7" t="n">
        <f aca="false">IF(AND(A4439&lt;&gt;A4438,LEFT(A4439,1)&lt;&gt;"C"),1,0)</f>
        <v>0</v>
      </c>
    </row>
    <row r="4440" customFormat="false" ht="15" hidden="false" customHeight="false" outlineLevel="0" collapsed="false">
      <c r="A4440" s="0" t="s">
        <v>2808</v>
      </c>
      <c r="B4440" s="0" t="s">
        <v>2676</v>
      </c>
      <c r="C4440" s="0" t="s">
        <v>2677</v>
      </c>
      <c r="D4440" s="0" t="n">
        <v>6</v>
      </c>
      <c r="E4440" s="6" t="n">
        <v>40854.5305555556</v>
      </c>
      <c r="F4440" s="0" t="n">
        <v>1.65</v>
      </c>
      <c r="G4440" s="0" t="n">
        <v>12708</v>
      </c>
      <c r="H4440" s="0" t="s">
        <v>33</v>
      </c>
      <c r="I4440" s="7" t="n">
        <f aca="false">IF(AND(LEFT(A4440,1)&lt;&gt;"C",D4440&gt;0,F4440&gt;0),1,0)</f>
        <v>1</v>
      </c>
      <c r="J4440" s="7" t="n">
        <f aca="false">IF(I4440=1,D4440*F4440,0)</f>
        <v>9.9</v>
      </c>
      <c r="K4440" s="7" t="n">
        <f aca="false">YEAR(E4440)*100+MONTH(E4440)</f>
        <v>201111</v>
      </c>
      <c r="L4440" s="7" t="n">
        <f aca="false">IF(AND(A4440&lt;&gt;A4439,LEFT(A4440,1)&lt;&gt;"C"),1,0)</f>
        <v>0</v>
      </c>
    </row>
    <row r="4441" customFormat="false" ht="15" hidden="false" customHeight="false" outlineLevel="0" collapsed="false">
      <c r="A4441" s="0" t="s">
        <v>2808</v>
      </c>
      <c r="B4441" s="0" t="s">
        <v>107</v>
      </c>
      <c r="C4441" s="0" t="s">
        <v>108</v>
      </c>
      <c r="D4441" s="0" t="n">
        <v>6</v>
      </c>
      <c r="E4441" s="6" t="n">
        <v>40854.5305555556</v>
      </c>
      <c r="F4441" s="0" t="n">
        <v>2.55</v>
      </c>
      <c r="G4441" s="0" t="n">
        <v>12708</v>
      </c>
      <c r="H4441" s="0" t="s">
        <v>33</v>
      </c>
      <c r="I4441" s="7" t="n">
        <f aca="false">IF(AND(LEFT(A4441,1)&lt;&gt;"C",D4441&gt;0,F4441&gt;0),1,0)</f>
        <v>1</v>
      </c>
      <c r="J4441" s="7" t="n">
        <f aca="false">IF(I4441=1,D4441*F4441,0)</f>
        <v>15.3</v>
      </c>
      <c r="K4441" s="7" t="n">
        <f aca="false">YEAR(E4441)*100+MONTH(E4441)</f>
        <v>201111</v>
      </c>
      <c r="L4441" s="7" t="n">
        <f aca="false">IF(AND(A4441&lt;&gt;A4440,LEFT(A4441,1)&lt;&gt;"C"),1,0)</f>
        <v>0</v>
      </c>
    </row>
    <row r="4442" customFormat="false" ht="15" hidden="false" customHeight="false" outlineLevel="0" collapsed="false">
      <c r="A4442" s="0" t="s">
        <v>2808</v>
      </c>
      <c r="B4442" s="0" t="s">
        <v>2224</v>
      </c>
      <c r="C4442" s="0" t="s">
        <v>2225</v>
      </c>
      <c r="D4442" s="0" t="n">
        <v>12</v>
      </c>
      <c r="E4442" s="6" t="n">
        <v>40854.5305555556</v>
      </c>
      <c r="F4442" s="0" t="n">
        <v>0.83</v>
      </c>
      <c r="G4442" s="0" t="n">
        <v>12708</v>
      </c>
      <c r="H4442" s="0" t="s">
        <v>33</v>
      </c>
      <c r="I4442" s="7" t="n">
        <f aca="false">IF(AND(LEFT(A4442,1)&lt;&gt;"C",D4442&gt;0,F4442&gt;0),1,0)</f>
        <v>1</v>
      </c>
      <c r="J4442" s="7" t="n">
        <f aca="false">IF(I4442=1,D4442*F4442,0)</f>
        <v>9.96</v>
      </c>
      <c r="K4442" s="7" t="n">
        <f aca="false">YEAR(E4442)*100+MONTH(E4442)</f>
        <v>201111</v>
      </c>
      <c r="L4442" s="7" t="n">
        <f aca="false">IF(AND(A4442&lt;&gt;A4441,LEFT(A4442,1)&lt;&gt;"C"),1,0)</f>
        <v>0</v>
      </c>
    </row>
    <row r="4443" customFormat="false" ht="15" hidden="false" customHeight="false" outlineLevel="0" collapsed="false">
      <c r="A4443" s="0" t="s">
        <v>2808</v>
      </c>
      <c r="B4443" s="0" t="s">
        <v>1919</v>
      </c>
      <c r="C4443" s="0" t="s">
        <v>1920</v>
      </c>
      <c r="D4443" s="0" t="n">
        <v>12</v>
      </c>
      <c r="E4443" s="6" t="n">
        <v>40854.5305555556</v>
      </c>
      <c r="F4443" s="0" t="n">
        <v>1.25</v>
      </c>
      <c r="G4443" s="0" t="n">
        <v>12708</v>
      </c>
      <c r="H4443" s="0" t="s">
        <v>33</v>
      </c>
      <c r="I4443" s="7" t="n">
        <f aca="false">IF(AND(LEFT(A4443,1)&lt;&gt;"C",D4443&gt;0,F4443&gt;0),1,0)</f>
        <v>1</v>
      </c>
      <c r="J4443" s="7" t="n">
        <f aca="false">IF(I4443=1,D4443*F4443,0)</f>
        <v>15</v>
      </c>
      <c r="K4443" s="7" t="n">
        <f aca="false">YEAR(E4443)*100+MONTH(E4443)</f>
        <v>201111</v>
      </c>
      <c r="L4443" s="7" t="n">
        <f aca="false">IF(AND(A4443&lt;&gt;A4442,LEFT(A4443,1)&lt;&gt;"C"),1,0)</f>
        <v>0</v>
      </c>
    </row>
    <row r="4444" customFormat="false" ht="15" hidden="false" customHeight="false" outlineLevel="0" collapsed="false">
      <c r="A4444" s="0" t="s">
        <v>2808</v>
      </c>
      <c r="B4444" s="0" t="s">
        <v>123</v>
      </c>
      <c r="C4444" s="0" t="s">
        <v>124</v>
      </c>
      <c r="D4444" s="0" t="n">
        <v>6</v>
      </c>
      <c r="E4444" s="6" t="n">
        <v>40854.5305555556</v>
      </c>
      <c r="F4444" s="0" t="n">
        <v>2.95</v>
      </c>
      <c r="G4444" s="0" t="n">
        <v>12708</v>
      </c>
      <c r="H4444" s="0" t="s">
        <v>33</v>
      </c>
      <c r="I4444" s="7" t="n">
        <f aca="false">IF(AND(LEFT(A4444,1)&lt;&gt;"C",D4444&gt;0,F4444&gt;0),1,0)</f>
        <v>1</v>
      </c>
      <c r="J4444" s="7" t="n">
        <f aca="false">IF(I4444=1,D4444*F4444,0)</f>
        <v>17.7</v>
      </c>
      <c r="K4444" s="7" t="n">
        <f aca="false">YEAR(E4444)*100+MONTH(E4444)</f>
        <v>201111</v>
      </c>
      <c r="L4444" s="7" t="n">
        <f aca="false">IF(AND(A4444&lt;&gt;A4443,LEFT(A4444,1)&lt;&gt;"C"),1,0)</f>
        <v>0</v>
      </c>
    </row>
    <row r="4445" customFormat="false" ht="15" hidden="false" customHeight="false" outlineLevel="0" collapsed="false">
      <c r="A4445" s="0" t="s">
        <v>2808</v>
      </c>
      <c r="B4445" s="0" t="s">
        <v>2244</v>
      </c>
      <c r="C4445" s="0" t="s">
        <v>2245</v>
      </c>
      <c r="D4445" s="0" t="n">
        <v>4</v>
      </c>
      <c r="E4445" s="6" t="n">
        <v>40854.5305555556</v>
      </c>
      <c r="F4445" s="0" t="n">
        <v>4.25</v>
      </c>
      <c r="G4445" s="0" t="n">
        <v>12708</v>
      </c>
      <c r="H4445" s="0" t="s">
        <v>33</v>
      </c>
      <c r="I4445" s="7" t="n">
        <f aca="false">IF(AND(LEFT(A4445,1)&lt;&gt;"C",D4445&gt;0,F4445&gt;0),1,0)</f>
        <v>1</v>
      </c>
      <c r="J4445" s="7" t="n">
        <f aca="false">IF(I4445=1,D4445*F4445,0)</f>
        <v>17</v>
      </c>
      <c r="K4445" s="7" t="n">
        <f aca="false">YEAR(E4445)*100+MONTH(E4445)</f>
        <v>201111</v>
      </c>
      <c r="L4445" s="7" t="n">
        <f aca="false">IF(AND(A4445&lt;&gt;A4444,LEFT(A4445,1)&lt;&gt;"C"),1,0)</f>
        <v>0</v>
      </c>
    </row>
    <row r="4446" customFormat="false" ht="15" hidden="false" customHeight="false" outlineLevel="0" collapsed="false">
      <c r="A4446" s="0" t="s">
        <v>2808</v>
      </c>
      <c r="B4446" s="0" t="s">
        <v>729</v>
      </c>
      <c r="C4446" s="0" t="s">
        <v>730</v>
      </c>
      <c r="D4446" s="0" t="n">
        <v>3</v>
      </c>
      <c r="E4446" s="6" t="n">
        <v>40854.5305555556</v>
      </c>
      <c r="F4446" s="0" t="n">
        <v>4.95</v>
      </c>
      <c r="G4446" s="0" t="n">
        <v>12708</v>
      </c>
      <c r="H4446" s="0" t="s">
        <v>33</v>
      </c>
      <c r="I4446" s="7" t="n">
        <f aca="false">IF(AND(LEFT(A4446,1)&lt;&gt;"C",D4446&gt;0,F4446&gt;0),1,0)</f>
        <v>1</v>
      </c>
      <c r="J4446" s="7" t="n">
        <f aca="false">IF(I4446=1,D4446*F4446,0)</f>
        <v>14.85</v>
      </c>
      <c r="K4446" s="7" t="n">
        <f aca="false">YEAR(E4446)*100+MONTH(E4446)</f>
        <v>201111</v>
      </c>
      <c r="L4446" s="7" t="n">
        <f aca="false">IF(AND(A4446&lt;&gt;A4445,LEFT(A4446,1)&lt;&gt;"C"),1,0)</f>
        <v>0</v>
      </c>
    </row>
    <row r="4447" customFormat="false" ht="15" hidden="false" customHeight="false" outlineLevel="0" collapsed="false">
      <c r="A4447" s="0" t="s">
        <v>2808</v>
      </c>
      <c r="B4447" s="0" t="s">
        <v>297</v>
      </c>
      <c r="C4447" s="0" t="s">
        <v>298</v>
      </c>
      <c r="D4447" s="0" t="n">
        <v>4</v>
      </c>
      <c r="E4447" s="6" t="n">
        <v>40854.5305555556</v>
      </c>
      <c r="F4447" s="0" t="n">
        <v>3.75</v>
      </c>
      <c r="G4447" s="0" t="n">
        <v>12708</v>
      </c>
      <c r="H4447" s="0" t="s">
        <v>33</v>
      </c>
      <c r="I4447" s="7" t="n">
        <f aca="false">IF(AND(LEFT(A4447,1)&lt;&gt;"C",D4447&gt;0,F4447&gt;0),1,0)</f>
        <v>1</v>
      </c>
      <c r="J4447" s="7" t="n">
        <f aca="false">IF(I4447=1,D4447*F4447,0)</f>
        <v>15</v>
      </c>
      <c r="K4447" s="7" t="n">
        <f aca="false">YEAR(E4447)*100+MONTH(E4447)</f>
        <v>201111</v>
      </c>
      <c r="L4447" s="7" t="n">
        <f aca="false">IF(AND(A4447&lt;&gt;A4446,LEFT(A4447,1)&lt;&gt;"C"),1,0)</f>
        <v>0</v>
      </c>
    </row>
    <row r="4448" customFormat="false" ht="15" hidden="false" customHeight="false" outlineLevel="0" collapsed="false">
      <c r="A4448" s="0" t="s">
        <v>2808</v>
      </c>
      <c r="B4448" s="0" t="s">
        <v>84</v>
      </c>
      <c r="C4448" s="0" t="s">
        <v>85</v>
      </c>
      <c r="D4448" s="0" t="n">
        <v>1</v>
      </c>
      <c r="E4448" s="6" t="n">
        <v>40854.5305555556</v>
      </c>
      <c r="F4448" s="0" t="n">
        <v>18</v>
      </c>
      <c r="G4448" s="0" t="n">
        <v>12708</v>
      </c>
      <c r="H4448" s="0" t="s">
        <v>33</v>
      </c>
      <c r="I4448" s="7" t="n">
        <f aca="false">IF(AND(LEFT(A4448,1)&lt;&gt;"C",D4448&gt;0,F4448&gt;0),1,0)</f>
        <v>1</v>
      </c>
      <c r="J4448" s="7" t="n">
        <f aca="false">IF(I4448=1,D4448*F4448,0)</f>
        <v>18</v>
      </c>
      <c r="K4448" s="7" t="n">
        <f aca="false">YEAR(E4448)*100+MONTH(E4448)</f>
        <v>201111</v>
      </c>
      <c r="L4448" s="7" t="n">
        <f aca="false">IF(AND(A4448&lt;&gt;A4447,LEFT(A4448,1)&lt;&gt;"C"),1,0)</f>
        <v>0</v>
      </c>
    </row>
    <row r="4449" customFormat="false" ht="15" hidden="false" customHeight="false" outlineLevel="0" collapsed="false">
      <c r="A4449" s="0" t="s">
        <v>2809</v>
      </c>
      <c r="B4449" s="0" t="s">
        <v>2705</v>
      </c>
      <c r="C4449" s="0" t="s">
        <v>2706</v>
      </c>
      <c r="D4449" s="0" t="n">
        <v>12</v>
      </c>
      <c r="E4449" s="6" t="n">
        <v>40854.5840277778</v>
      </c>
      <c r="F4449" s="0" t="n">
        <v>0.83</v>
      </c>
      <c r="G4449" s="0" t="n">
        <v>12472</v>
      </c>
      <c r="H4449" s="0" t="s">
        <v>33</v>
      </c>
      <c r="I4449" s="7" t="n">
        <f aca="false">IF(AND(LEFT(A4449,1)&lt;&gt;"C",D4449&gt;0,F4449&gt;0),1,0)</f>
        <v>1</v>
      </c>
      <c r="J4449" s="7" t="n">
        <f aca="false">IF(I4449=1,D4449*F4449,0)</f>
        <v>9.96</v>
      </c>
      <c r="K4449" s="7" t="n">
        <f aca="false">YEAR(E4449)*100+MONTH(E4449)</f>
        <v>201111</v>
      </c>
      <c r="L4449" s="7" t="n">
        <f aca="false">IF(AND(A4449&lt;&gt;A4448,LEFT(A4449,1)&lt;&gt;"C"),1,0)</f>
        <v>1</v>
      </c>
    </row>
    <row r="4450" customFormat="false" ht="15" hidden="false" customHeight="false" outlineLevel="0" collapsed="false">
      <c r="A4450" s="0" t="s">
        <v>2809</v>
      </c>
      <c r="B4450" s="0" t="s">
        <v>2589</v>
      </c>
      <c r="C4450" s="0" t="s">
        <v>2590</v>
      </c>
      <c r="D4450" s="0" t="n">
        <v>12</v>
      </c>
      <c r="E4450" s="6" t="n">
        <v>40854.5840277778</v>
      </c>
      <c r="F4450" s="0" t="n">
        <v>1.25</v>
      </c>
      <c r="G4450" s="0" t="n">
        <v>12472</v>
      </c>
      <c r="H4450" s="0" t="s">
        <v>33</v>
      </c>
      <c r="I4450" s="7" t="n">
        <f aca="false">IF(AND(LEFT(A4450,1)&lt;&gt;"C",D4450&gt;0,F4450&gt;0),1,0)</f>
        <v>1</v>
      </c>
      <c r="J4450" s="7" t="n">
        <f aca="false">IF(I4450=1,D4450*F4450,0)</f>
        <v>15</v>
      </c>
      <c r="K4450" s="7" t="n">
        <f aca="false">YEAR(E4450)*100+MONTH(E4450)</f>
        <v>201111</v>
      </c>
      <c r="L4450" s="7" t="n">
        <f aca="false">IF(AND(A4450&lt;&gt;A4449,LEFT(A4450,1)&lt;&gt;"C"),1,0)</f>
        <v>0</v>
      </c>
    </row>
    <row r="4451" customFormat="false" ht="15" hidden="false" customHeight="false" outlineLevel="0" collapsed="false">
      <c r="A4451" s="0" t="s">
        <v>2809</v>
      </c>
      <c r="B4451" s="0" t="s">
        <v>2573</v>
      </c>
      <c r="C4451" s="0" t="s">
        <v>2574</v>
      </c>
      <c r="D4451" s="0" t="n">
        <v>8</v>
      </c>
      <c r="E4451" s="6" t="n">
        <v>40854.5840277778</v>
      </c>
      <c r="F4451" s="0" t="n">
        <v>3.75</v>
      </c>
      <c r="G4451" s="0" t="n">
        <v>12472</v>
      </c>
      <c r="H4451" s="0" t="s">
        <v>33</v>
      </c>
      <c r="I4451" s="7" t="n">
        <f aca="false">IF(AND(LEFT(A4451,1)&lt;&gt;"C",D4451&gt;0,F4451&gt;0),1,0)</f>
        <v>1</v>
      </c>
      <c r="J4451" s="7" t="n">
        <f aca="false">IF(I4451=1,D4451*F4451,0)</f>
        <v>30</v>
      </c>
      <c r="K4451" s="7" t="n">
        <f aca="false">YEAR(E4451)*100+MONTH(E4451)</f>
        <v>201111</v>
      </c>
      <c r="L4451" s="7" t="n">
        <f aca="false">IF(AND(A4451&lt;&gt;A4450,LEFT(A4451,1)&lt;&gt;"C"),1,0)</f>
        <v>0</v>
      </c>
    </row>
    <row r="4452" customFormat="false" ht="15" hidden="false" customHeight="false" outlineLevel="0" collapsed="false">
      <c r="A4452" s="0" t="s">
        <v>2809</v>
      </c>
      <c r="B4452" s="0" t="s">
        <v>2655</v>
      </c>
      <c r="C4452" s="0" t="s">
        <v>2656</v>
      </c>
      <c r="D4452" s="0" t="n">
        <v>8</v>
      </c>
      <c r="E4452" s="6" t="n">
        <v>40854.5840277778</v>
      </c>
      <c r="F4452" s="0" t="n">
        <v>4.95</v>
      </c>
      <c r="G4452" s="0" t="n">
        <v>12472</v>
      </c>
      <c r="H4452" s="0" t="s">
        <v>33</v>
      </c>
      <c r="I4452" s="7" t="n">
        <f aca="false">IF(AND(LEFT(A4452,1)&lt;&gt;"C",D4452&gt;0,F4452&gt;0),1,0)</f>
        <v>1</v>
      </c>
      <c r="J4452" s="7" t="n">
        <f aca="false">IF(I4452=1,D4452*F4452,0)</f>
        <v>39.6</v>
      </c>
      <c r="K4452" s="7" t="n">
        <f aca="false">YEAR(E4452)*100+MONTH(E4452)</f>
        <v>201111</v>
      </c>
      <c r="L4452" s="7" t="n">
        <f aca="false">IF(AND(A4452&lt;&gt;A4451,LEFT(A4452,1)&lt;&gt;"C"),1,0)</f>
        <v>0</v>
      </c>
    </row>
    <row r="4453" customFormat="false" ht="15" hidden="false" customHeight="false" outlineLevel="0" collapsed="false">
      <c r="A4453" s="0" t="s">
        <v>2809</v>
      </c>
      <c r="B4453" s="0" t="s">
        <v>2544</v>
      </c>
      <c r="C4453" s="0" t="s">
        <v>2545</v>
      </c>
      <c r="D4453" s="0" t="n">
        <v>12</v>
      </c>
      <c r="E4453" s="6" t="n">
        <v>40854.5840277778</v>
      </c>
      <c r="F4453" s="0" t="n">
        <v>1.65</v>
      </c>
      <c r="G4453" s="0" t="n">
        <v>12472</v>
      </c>
      <c r="H4453" s="0" t="s">
        <v>33</v>
      </c>
      <c r="I4453" s="7" t="n">
        <f aca="false">IF(AND(LEFT(A4453,1)&lt;&gt;"C",D4453&gt;0,F4453&gt;0),1,0)</f>
        <v>1</v>
      </c>
      <c r="J4453" s="7" t="n">
        <f aca="false">IF(I4453=1,D4453*F4453,0)</f>
        <v>19.8</v>
      </c>
      <c r="K4453" s="7" t="n">
        <f aca="false">YEAR(E4453)*100+MONTH(E4453)</f>
        <v>201111</v>
      </c>
      <c r="L4453" s="7" t="n">
        <f aca="false">IF(AND(A4453&lt;&gt;A4452,LEFT(A4453,1)&lt;&gt;"C"),1,0)</f>
        <v>0</v>
      </c>
    </row>
    <row r="4454" customFormat="false" ht="15" hidden="false" customHeight="false" outlineLevel="0" collapsed="false">
      <c r="A4454" s="0" t="s">
        <v>2809</v>
      </c>
      <c r="B4454" s="0" t="s">
        <v>2593</v>
      </c>
      <c r="C4454" s="0" t="s">
        <v>2594</v>
      </c>
      <c r="D4454" s="0" t="n">
        <v>12</v>
      </c>
      <c r="E4454" s="6" t="n">
        <v>40854.5840277778</v>
      </c>
      <c r="F4454" s="0" t="n">
        <v>1.25</v>
      </c>
      <c r="G4454" s="0" t="n">
        <v>12472</v>
      </c>
      <c r="H4454" s="0" t="s">
        <v>33</v>
      </c>
      <c r="I4454" s="7" t="n">
        <f aca="false">IF(AND(LEFT(A4454,1)&lt;&gt;"C",D4454&gt;0,F4454&gt;0),1,0)</f>
        <v>1</v>
      </c>
      <c r="J4454" s="7" t="n">
        <f aca="false">IF(I4454=1,D4454*F4454,0)</f>
        <v>15</v>
      </c>
      <c r="K4454" s="7" t="n">
        <f aca="false">YEAR(E4454)*100+MONTH(E4454)</f>
        <v>201111</v>
      </c>
      <c r="L4454" s="7" t="n">
        <f aca="false">IF(AND(A4454&lt;&gt;A4453,LEFT(A4454,1)&lt;&gt;"C"),1,0)</f>
        <v>0</v>
      </c>
    </row>
    <row r="4455" customFormat="false" ht="15" hidden="false" customHeight="false" outlineLevel="0" collapsed="false">
      <c r="A4455" s="0" t="s">
        <v>2809</v>
      </c>
      <c r="B4455" s="0" t="s">
        <v>62</v>
      </c>
      <c r="C4455" s="0" t="s">
        <v>63</v>
      </c>
      <c r="D4455" s="0" t="n">
        <v>48</v>
      </c>
      <c r="E4455" s="6" t="n">
        <v>40854.5840277778</v>
      </c>
      <c r="F4455" s="0" t="n">
        <v>1.79</v>
      </c>
      <c r="G4455" s="0" t="n">
        <v>12472</v>
      </c>
      <c r="H4455" s="0" t="s">
        <v>33</v>
      </c>
      <c r="I4455" s="7" t="n">
        <f aca="false">IF(AND(LEFT(A4455,1)&lt;&gt;"C",D4455&gt;0,F4455&gt;0),1,0)</f>
        <v>1</v>
      </c>
      <c r="J4455" s="7" t="n">
        <f aca="false">IF(I4455=1,D4455*F4455,0)</f>
        <v>85.92</v>
      </c>
      <c r="K4455" s="7" t="n">
        <f aca="false">YEAR(E4455)*100+MONTH(E4455)</f>
        <v>201111</v>
      </c>
      <c r="L4455" s="7" t="n">
        <f aca="false">IF(AND(A4455&lt;&gt;A4454,LEFT(A4455,1)&lt;&gt;"C"),1,0)</f>
        <v>0</v>
      </c>
    </row>
    <row r="4456" customFormat="false" ht="15" hidden="false" customHeight="false" outlineLevel="0" collapsed="false">
      <c r="A4456" s="0" t="s">
        <v>2809</v>
      </c>
      <c r="B4456" s="0" t="s">
        <v>113</v>
      </c>
      <c r="C4456" s="0" t="s">
        <v>114</v>
      </c>
      <c r="D4456" s="0" t="n">
        <v>12</v>
      </c>
      <c r="E4456" s="6" t="n">
        <v>40854.5840277778</v>
      </c>
      <c r="F4456" s="0" t="n">
        <v>1.25</v>
      </c>
      <c r="G4456" s="0" t="n">
        <v>12472</v>
      </c>
      <c r="H4456" s="0" t="s">
        <v>33</v>
      </c>
      <c r="I4456" s="7" t="n">
        <f aca="false">IF(AND(LEFT(A4456,1)&lt;&gt;"C",D4456&gt;0,F4456&gt;0),1,0)</f>
        <v>1</v>
      </c>
      <c r="J4456" s="7" t="n">
        <f aca="false">IF(I4456=1,D4456*F4456,0)</f>
        <v>15</v>
      </c>
      <c r="K4456" s="7" t="n">
        <f aca="false">YEAR(E4456)*100+MONTH(E4456)</f>
        <v>201111</v>
      </c>
      <c r="L4456" s="7" t="n">
        <f aca="false">IF(AND(A4456&lt;&gt;A4455,LEFT(A4456,1)&lt;&gt;"C"),1,0)</f>
        <v>0</v>
      </c>
    </row>
    <row r="4457" customFormat="false" ht="15" hidden="false" customHeight="false" outlineLevel="0" collapsed="false">
      <c r="A4457" s="0" t="s">
        <v>2809</v>
      </c>
      <c r="B4457" s="0" t="s">
        <v>335</v>
      </c>
      <c r="C4457" s="0" t="s">
        <v>336</v>
      </c>
      <c r="D4457" s="0" t="n">
        <v>12</v>
      </c>
      <c r="E4457" s="6" t="n">
        <v>40854.5840277778</v>
      </c>
      <c r="F4457" s="0" t="n">
        <v>1.65</v>
      </c>
      <c r="G4457" s="0" t="n">
        <v>12472</v>
      </c>
      <c r="H4457" s="0" t="s">
        <v>33</v>
      </c>
      <c r="I4457" s="7" t="n">
        <f aca="false">IF(AND(LEFT(A4457,1)&lt;&gt;"C",D4457&gt;0,F4457&gt;0),1,0)</f>
        <v>1</v>
      </c>
      <c r="J4457" s="7" t="n">
        <f aca="false">IF(I4457=1,D4457*F4457,0)</f>
        <v>19.8</v>
      </c>
      <c r="K4457" s="7" t="n">
        <f aca="false">YEAR(E4457)*100+MONTH(E4457)</f>
        <v>201111</v>
      </c>
      <c r="L4457" s="7" t="n">
        <f aca="false">IF(AND(A4457&lt;&gt;A4456,LEFT(A4457,1)&lt;&gt;"C"),1,0)</f>
        <v>0</v>
      </c>
    </row>
    <row r="4458" customFormat="false" ht="15" hidden="false" customHeight="false" outlineLevel="0" collapsed="false">
      <c r="A4458" s="0" t="s">
        <v>2809</v>
      </c>
      <c r="B4458" s="0" t="s">
        <v>84</v>
      </c>
      <c r="C4458" s="0" t="s">
        <v>85</v>
      </c>
      <c r="D4458" s="0" t="n">
        <v>1</v>
      </c>
      <c r="E4458" s="6" t="n">
        <v>40854.5840277778</v>
      </c>
      <c r="F4458" s="0" t="n">
        <v>18</v>
      </c>
      <c r="G4458" s="0" t="n">
        <v>12472</v>
      </c>
      <c r="H4458" s="0" t="s">
        <v>33</v>
      </c>
      <c r="I4458" s="7" t="n">
        <f aca="false">IF(AND(LEFT(A4458,1)&lt;&gt;"C",D4458&gt;0,F4458&gt;0),1,0)</f>
        <v>1</v>
      </c>
      <c r="J4458" s="7" t="n">
        <f aca="false">IF(I4458=1,D4458*F4458,0)</f>
        <v>18</v>
      </c>
      <c r="K4458" s="7" t="n">
        <f aca="false">YEAR(E4458)*100+MONTH(E4458)</f>
        <v>201111</v>
      </c>
      <c r="L4458" s="7" t="n">
        <f aca="false">IF(AND(A4458&lt;&gt;A4457,LEFT(A4458,1)&lt;&gt;"C"),1,0)</f>
        <v>0</v>
      </c>
    </row>
    <row r="4459" customFormat="false" ht="15" hidden="false" customHeight="false" outlineLevel="0" collapsed="false">
      <c r="A4459" s="0" t="s">
        <v>2810</v>
      </c>
      <c r="B4459" s="0" t="s">
        <v>2811</v>
      </c>
      <c r="C4459" s="0" t="s">
        <v>2812</v>
      </c>
      <c r="D4459" s="0" t="n">
        <v>52</v>
      </c>
      <c r="E4459" s="6" t="n">
        <v>40854.6881944445</v>
      </c>
      <c r="F4459" s="0" t="n">
        <v>0.65</v>
      </c>
      <c r="H4459" s="0" t="s">
        <v>43</v>
      </c>
      <c r="I4459" s="7" t="n">
        <f aca="false">IF(AND(LEFT(A4459,1)&lt;&gt;"C",D4459&gt;0,F4459&gt;0),1,0)</f>
        <v>1</v>
      </c>
      <c r="J4459" s="7" t="n">
        <f aca="false">IF(I4459=1,D4459*F4459,0)</f>
        <v>33.8</v>
      </c>
      <c r="K4459" s="7" t="n">
        <f aca="false">YEAR(E4459)*100+MONTH(E4459)</f>
        <v>201111</v>
      </c>
      <c r="L4459" s="7" t="n">
        <f aca="false">IF(AND(A4459&lt;&gt;A4458,LEFT(A4459,1)&lt;&gt;"C"),1,0)</f>
        <v>1</v>
      </c>
    </row>
    <row r="4460" customFormat="false" ht="15" hidden="false" customHeight="false" outlineLevel="0" collapsed="false">
      <c r="A4460" s="0" t="s">
        <v>2810</v>
      </c>
      <c r="B4460" s="0" t="s">
        <v>2813</v>
      </c>
      <c r="C4460" s="0" t="s">
        <v>2814</v>
      </c>
      <c r="D4460" s="0" t="n">
        <v>20</v>
      </c>
      <c r="E4460" s="6" t="n">
        <v>40854.6881944445</v>
      </c>
      <c r="F4460" s="0" t="n">
        <v>0.85</v>
      </c>
      <c r="H4460" s="0" t="s">
        <v>43</v>
      </c>
      <c r="I4460" s="7" t="n">
        <f aca="false">IF(AND(LEFT(A4460,1)&lt;&gt;"C",D4460&gt;0,F4460&gt;0),1,0)</f>
        <v>1</v>
      </c>
      <c r="J4460" s="7" t="n">
        <f aca="false">IF(I4460=1,D4460*F4460,0)</f>
        <v>17</v>
      </c>
      <c r="K4460" s="7" t="n">
        <f aca="false">YEAR(E4460)*100+MONTH(E4460)</f>
        <v>201111</v>
      </c>
      <c r="L4460" s="7" t="n">
        <f aca="false">IF(AND(A4460&lt;&gt;A4459,LEFT(A4460,1)&lt;&gt;"C"),1,0)</f>
        <v>0</v>
      </c>
    </row>
    <row r="4461" customFormat="false" ht="15" hidden="false" customHeight="false" outlineLevel="0" collapsed="false">
      <c r="A4461" s="0" t="s">
        <v>2810</v>
      </c>
      <c r="B4461" s="0" t="s">
        <v>2815</v>
      </c>
      <c r="C4461" s="0" t="s">
        <v>2816</v>
      </c>
      <c r="D4461" s="0" t="n">
        <v>20</v>
      </c>
      <c r="E4461" s="6" t="n">
        <v>40854.6881944445</v>
      </c>
      <c r="F4461" s="0" t="n">
        <v>0.39</v>
      </c>
      <c r="H4461" s="0" t="s">
        <v>43</v>
      </c>
      <c r="I4461" s="7" t="n">
        <f aca="false">IF(AND(LEFT(A4461,1)&lt;&gt;"C",D4461&gt;0,F4461&gt;0),1,0)</f>
        <v>1</v>
      </c>
      <c r="J4461" s="7" t="n">
        <f aca="false">IF(I4461=1,D4461*F4461,0)</f>
        <v>7.8</v>
      </c>
      <c r="K4461" s="7" t="n">
        <f aca="false">YEAR(E4461)*100+MONTH(E4461)</f>
        <v>201111</v>
      </c>
      <c r="L4461" s="7" t="n">
        <f aca="false">IF(AND(A4461&lt;&gt;A4460,LEFT(A4461,1)&lt;&gt;"C"),1,0)</f>
        <v>0</v>
      </c>
    </row>
    <row r="4462" customFormat="false" ht="15" hidden="false" customHeight="false" outlineLevel="0" collapsed="false">
      <c r="A4462" s="0" t="s">
        <v>2810</v>
      </c>
      <c r="B4462" s="0" t="s">
        <v>2004</v>
      </c>
      <c r="C4462" s="0" t="s">
        <v>2005</v>
      </c>
      <c r="D4462" s="0" t="n">
        <v>10</v>
      </c>
      <c r="E4462" s="6" t="n">
        <v>40854.6881944445</v>
      </c>
      <c r="F4462" s="0" t="n">
        <v>0.19</v>
      </c>
      <c r="H4462" s="0" t="s">
        <v>43</v>
      </c>
      <c r="I4462" s="7" t="n">
        <f aca="false">IF(AND(LEFT(A4462,1)&lt;&gt;"C",D4462&gt;0,F4462&gt;0),1,0)</f>
        <v>1</v>
      </c>
      <c r="J4462" s="7" t="n">
        <f aca="false">IF(I4462=1,D4462*F4462,0)</f>
        <v>1.9</v>
      </c>
      <c r="K4462" s="7" t="n">
        <f aca="false">YEAR(E4462)*100+MONTH(E4462)</f>
        <v>201111</v>
      </c>
      <c r="L4462" s="7" t="n">
        <f aca="false">IF(AND(A4462&lt;&gt;A4461,LEFT(A4462,1)&lt;&gt;"C"),1,0)</f>
        <v>0</v>
      </c>
    </row>
    <row r="4463" customFormat="false" ht="15" hidden="false" customHeight="false" outlineLevel="0" collapsed="false">
      <c r="A4463" s="0" t="s">
        <v>2810</v>
      </c>
      <c r="B4463" s="0" t="s">
        <v>2817</v>
      </c>
      <c r="C4463" s="0" t="s">
        <v>2818</v>
      </c>
      <c r="D4463" s="0" t="n">
        <v>32</v>
      </c>
      <c r="E4463" s="6" t="n">
        <v>40854.6881944445</v>
      </c>
      <c r="F4463" s="0" t="n">
        <v>0.85</v>
      </c>
      <c r="H4463" s="0" t="s">
        <v>43</v>
      </c>
      <c r="I4463" s="7" t="n">
        <f aca="false">IF(AND(LEFT(A4463,1)&lt;&gt;"C",D4463&gt;0,F4463&gt;0),1,0)</f>
        <v>1</v>
      </c>
      <c r="J4463" s="7" t="n">
        <f aca="false">IF(I4463=1,D4463*F4463,0)</f>
        <v>27.2</v>
      </c>
      <c r="K4463" s="7" t="n">
        <f aca="false">YEAR(E4463)*100+MONTH(E4463)</f>
        <v>201111</v>
      </c>
      <c r="L4463" s="7" t="n">
        <f aca="false">IF(AND(A4463&lt;&gt;A4462,LEFT(A4463,1)&lt;&gt;"C"),1,0)</f>
        <v>0</v>
      </c>
    </row>
    <row r="4464" customFormat="false" ht="15" hidden="false" customHeight="false" outlineLevel="0" collapsed="false">
      <c r="A4464" s="0" t="s">
        <v>2810</v>
      </c>
      <c r="B4464" s="0" t="s">
        <v>2819</v>
      </c>
      <c r="C4464" s="0" t="s">
        <v>2820</v>
      </c>
      <c r="D4464" s="0" t="n">
        <v>22</v>
      </c>
      <c r="E4464" s="6" t="n">
        <v>40854.6881944445</v>
      </c>
      <c r="F4464" s="0" t="n">
        <v>0.65</v>
      </c>
      <c r="H4464" s="0" t="s">
        <v>43</v>
      </c>
      <c r="I4464" s="7" t="n">
        <f aca="false">IF(AND(LEFT(A4464,1)&lt;&gt;"C",D4464&gt;0,F4464&gt;0),1,0)</f>
        <v>1</v>
      </c>
      <c r="J4464" s="7" t="n">
        <f aca="false">IF(I4464=1,D4464*F4464,0)</f>
        <v>14.3</v>
      </c>
      <c r="K4464" s="7" t="n">
        <f aca="false">YEAR(E4464)*100+MONTH(E4464)</f>
        <v>201111</v>
      </c>
      <c r="L4464" s="7" t="n">
        <f aca="false">IF(AND(A4464&lt;&gt;A4463,LEFT(A4464,1)&lt;&gt;"C"),1,0)</f>
        <v>0</v>
      </c>
    </row>
    <row r="4465" customFormat="false" ht="15" hidden="false" customHeight="false" outlineLevel="0" collapsed="false">
      <c r="A4465" s="0" t="s">
        <v>2810</v>
      </c>
      <c r="B4465" s="0" t="s">
        <v>631</v>
      </c>
      <c r="C4465" s="0" t="s">
        <v>632</v>
      </c>
      <c r="D4465" s="0" t="n">
        <v>2</v>
      </c>
      <c r="E4465" s="6" t="n">
        <v>40854.6881944445</v>
      </c>
      <c r="F4465" s="0" t="n">
        <v>2.08</v>
      </c>
      <c r="H4465" s="0" t="s">
        <v>43</v>
      </c>
      <c r="I4465" s="7" t="n">
        <f aca="false">IF(AND(LEFT(A4465,1)&lt;&gt;"C",D4465&gt;0,F4465&gt;0),1,0)</f>
        <v>1</v>
      </c>
      <c r="J4465" s="7" t="n">
        <f aca="false">IF(I4465=1,D4465*F4465,0)</f>
        <v>4.16</v>
      </c>
      <c r="K4465" s="7" t="n">
        <f aca="false">YEAR(E4465)*100+MONTH(E4465)</f>
        <v>201111</v>
      </c>
      <c r="L4465" s="7" t="n">
        <f aca="false">IF(AND(A4465&lt;&gt;A4464,LEFT(A4465,1)&lt;&gt;"C"),1,0)</f>
        <v>0</v>
      </c>
    </row>
    <row r="4466" customFormat="false" ht="15" hidden="false" customHeight="false" outlineLevel="0" collapsed="false">
      <c r="A4466" s="0" t="s">
        <v>2810</v>
      </c>
      <c r="B4466" s="0" t="s">
        <v>2821</v>
      </c>
      <c r="C4466" s="0" t="s">
        <v>2822</v>
      </c>
      <c r="D4466" s="0" t="n">
        <v>1</v>
      </c>
      <c r="E4466" s="6" t="n">
        <v>40854.6881944445</v>
      </c>
      <c r="F4466" s="0" t="n">
        <v>7.95</v>
      </c>
      <c r="H4466" s="0" t="s">
        <v>43</v>
      </c>
      <c r="I4466" s="7" t="n">
        <f aca="false">IF(AND(LEFT(A4466,1)&lt;&gt;"C",D4466&gt;0,F4466&gt;0),1,0)</f>
        <v>1</v>
      </c>
      <c r="J4466" s="7" t="n">
        <f aca="false">IF(I4466=1,D4466*F4466,0)</f>
        <v>7.95</v>
      </c>
      <c r="K4466" s="7" t="n">
        <f aca="false">YEAR(E4466)*100+MONTH(E4466)</f>
        <v>201111</v>
      </c>
      <c r="L4466" s="7" t="n">
        <f aca="false">IF(AND(A4466&lt;&gt;A4465,LEFT(A4466,1)&lt;&gt;"C"),1,0)</f>
        <v>0</v>
      </c>
    </row>
    <row r="4467" customFormat="false" ht="15" hidden="false" customHeight="false" outlineLevel="0" collapsed="false">
      <c r="A4467" s="0" t="s">
        <v>2810</v>
      </c>
      <c r="B4467" s="0" t="s">
        <v>2823</v>
      </c>
      <c r="C4467" s="0" t="s">
        <v>2824</v>
      </c>
      <c r="D4467" s="0" t="n">
        <v>12</v>
      </c>
      <c r="E4467" s="6" t="n">
        <v>40854.6881944445</v>
      </c>
      <c r="F4467" s="0" t="n">
        <v>0.79</v>
      </c>
      <c r="H4467" s="0" t="s">
        <v>43</v>
      </c>
      <c r="I4467" s="7" t="n">
        <f aca="false">IF(AND(LEFT(A4467,1)&lt;&gt;"C",D4467&gt;0,F4467&gt;0),1,0)</f>
        <v>1</v>
      </c>
      <c r="J4467" s="7" t="n">
        <f aca="false">IF(I4467=1,D4467*F4467,0)</f>
        <v>9.48</v>
      </c>
      <c r="K4467" s="7" t="n">
        <f aca="false">YEAR(E4467)*100+MONTH(E4467)</f>
        <v>201111</v>
      </c>
      <c r="L4467" s="7" t="n">
        <f aca="false">IF(AND(A4467&lt;&gt;A4466,LEFT(A4467,1)&lt;&gt;"C"),1,0)</f>
        <v>0</v>
      </c>
    </row>
    <row r="4468" customFormat="false" ht="15" hidden="false" customHeight="false" outlineLevel="0" collapsed="false">
      <c r="A4468" s="0" t="s">
        <v>2810</v>
      </c>
      <c r="B4468" s="0" t="s">
        <v>386</v>
      </c>
      <c r="C4468" s="0" t="s">
        <v>387</v>
      </c>
      <c r="D4468" s="0" t="n">
        <v>24</v>
      </c>
      <c r="E4468" s="6" t="n">
        <v>40854.6881944445</v>
      </c>
      <c r="F4468" s="0" t="n">
        <v>0.85</v>
      </c>
      <c r="H4468" s="0" t="s">
        <v>43</v>
      </c>
      <c r="I4468" s="7" t="n">
        <f aca="false">IF(AND(LEFT(A4468,1)&lt;&gt;"C",D4468&gt;0,F4468&gt;0),1,0)</f>
        <v>1</v>
      </c>
      <c r="J4468" s="7" t="n">
        <f aca="false">IF(I4468=1,D4468*F4468,0)</f>
        <v>20.4</v>
      </c>
      <c r="K4468" s="7" t="n">
        <f aca="false">YEAR(E4468)*100+MONTH(E4468)</f>
        <v>201111</v>
      </c>
      <c r="L4468" s="7" t="n">
        <f aca="false">IF(AND(A4468&lt;&gt;A4467,LEFT(A4468,1)&lt;&gt;"C"),1,0)</f>
        <v>0</v>
      </c>
    </row>
    <row r="4469" customFormat="false" ht="15" hidden="false" customHeight="false" outlineLevel="0" collapsed="false">
      <c r="A4469" s="0" t="s">
        <v>2810</v>
      </c>
      <c r="B4469" s="0" t="s">
        <v>2825</v>
      </c>
      <c r="C4469" s="0" t="s">
        <v>2826</v>
      </c>
      <c r="D4469" s="0" t="n">
        <v>48</v>
      </c>
      <c r="E4469" s="6" t="n">
        <v>40854.6881944445</v>
      </c>
      <c r="F4469" s="0" t="n">
        <v>0.39</v>
      </c>
      <c r="H4469" s="0" t="s">
        <v>43</v>
      </c>
      <c r="I4469" s="7" t="n">
        <f aca="false">IF(AND(LEFT(A4469,1)&lt;&gt;"C",D4469&gt;0,F4469&gt;0),1,0)</f>
        <v>1</v>
      </c>
      <c r="J4469" s="7" t="n">
        <f aca="false">IF(I4469=1,D4469*F4469,0)</f>
        <v>18.72</v>
      </c>
      <c r="K4469" s="7" t="n">
        <f aca="false">YEAR(E4469)*100+MONTH(E4469)</f>
        <v>201111</v>
      </c>
      <c r="L4469" s="7" t="n">
        <f aca="false">IF(AND(A4469&lt;&gt;A4468,LEFT(A4469,1)&lt;&gt;"C"),1,0)</f>
        <v>0</v>
      </c>
    </row>
    <row r="4470" customFormat="false" ht="15" hidden="false" customHeight="false" outlineLevel="0" collapsed="false">
      <c r="A4470" s="0" t="s">
        <v>2810</v>
      </c>
      <c r="B4470" s="0" t="s">
        <v>2636</v>
      </c>
      <c r="C4470" s="0" t="s">
        <v>2637</v>
      </c>
      <c r="D4470" s="0" t="n">
        <v>24</v>
      </c>
      <c r="E4470" s="6" t="n">
        <v>40854.6881944445</v>
      </c>
      <c r="F4470" s="0" t="n">
        <v>1.25</v>
      </c>
      <c r="H4470" s="0" t="s">
        <v>43</v>
      </c>
      <c r="I4470" s="7" t="n">
        <f aca="false">IF(AND(LEFT(A4470,1)&lt;&gt;"C",D4470&gt;0,F4470&gt;0),1,0)</f>
        <v>1</v>
      </c>
      <c r="J4470" s="7" t="n">
        <f aca="false">IF(I4470=1,D4470*F4470,0)</f>
        <v>30</v>
      </c>
      <c r="K4470" s="7" t="n">
        <f aca="false">YEAR(E4470)*100+MONTH(E4470)</f>
        <v>201111</v>
      </c>
      <c r="L4470" s="7" t="n">
        <f aca="false">IF(AND(A4470&lt;&gt;A4469,LEFT(A4470,1)&lt;&gt;"C"),1,0)</f>
        <v>0</v>
      </c>
    </row>
    <row r="4471" customFormat="false" ht="15" hidden="false" customHeight="false" outlineLevel="0" collapsed="false">
      <c r="A4471" s="0" t="s">
        <v>2810</v>
      </c>
      <c r="B4471" s="0" t="s">
        <v>1527</v>
      </c>
      <c r="C4471" s="0" t="s">
        <v>1528</v>
      </c>
      <c r="D4471" s="0" t="n">
        <v>3</v>
      </c>
      <c r="E4471" s="6" t="n">
        <v>40854.6881944445</v>
      </c>
      <c r="F4471" s="0" t="n">
        <v>3.25</v>
      </c>
      <c r="H4471" s="0" t="s">
        <v>43</v>
      </c>
      <c r="I4471" s="7" t="n">
        <f aca="false">IF(AND(LEFT(A4471,1)&lt;&gt;"C",D4471&gt;0,F4471&gt;0),1,0)</f>
        <v>1</v>
      </c>
      <c r="J4471" s="7" t="n">
        <f aca="false">IF(I4471=1,D4471*F4471,0)</f>
        <v>9.75</v>
      </c>
      <c r="K4471" s="7" t="n">
        <f aca="false">YEAR(E4471)*100+MONTH(E4471)</f>
        <v>201111</v>
      </c>
      <c r="L4471" s="7" t="n">
        <f aca="false">IF(AND(A4471&lt;&gt;A4470,LEFT(A4471,1)&lt;&gt;"C"),1,0)</f>
        <v>0</v>
      </c>
    </row>
    <row r="4472" customFormat="false" ht="15" hidden="false" customHeight="false" outlineLevel="0" collapsed="false">
      <c r="A4472" s="0" t="s">
        <v>2810</v>
      </c>
      <c r="B4472" s="0" t="s">
        <v>1716</v>
      </c>
      <c r="C4472" s="0" t="s">
        <v>1717</v>
      </c>
      <c r="D4472" s="0" t="n">
        <v>1</v>
      </c>
      <c r="E4472" s="6" t="n">
        <v>40854.6881944445</v>
      </c>
      <c r="F4472" s="0" t="n">
        <v>4.95</v>
      </c>
      <c r="H4472" s="0" t="s">
        <v>43</v>
      </c>
      <c r="I4472" s="7" t="n">
        <f aca="false">IF(AND(LEFT(A4472,1)&lt;&gt;"C",D4472&gt;0,F4472&gt;0),1,0)</f>
        <v>1</v>
      </c>
      <c r="J4472" s="7" t="n">
        <f aca="false">IF(I4472=1,D4472*F4472,0)</f>
        <v>4.95</v>
      </c>
      <c r="K4472" s="7" t="n">
        <f aca="false">YEAR(E4472)*100+MONTH(E4472)</f>
        <v>201111</v>
      </c>
      <c r="L4472" s="7" t="n">
        <f aca="false">IF(AND(A4472&lt;&gt;A4471,LEFT(A4472,1)&lt;&gt;"C"),1,0)</f>
        <v>0</v>
      </c>
    </row>
    <row r="4473" customFormat="false" ht="15" hidden="false" customHeight="false" outlineLevel="0" collapsed="false">
      <c r="A4473" s="0" t="s">
        <v>2810</v>
      </c>
      <c r="B4473" s="0" t="s">
        <v>467</v>
      </c>
      <c r="C4473" s="0" t="s">
        <v>468</v>
      </c>
      <c r="D4473" s="0" t="n">
        <v>1</v>
      </c>
      <c r="E4473" s="6" t="n">
        <v>40854.6881944445</v>
      </c>
      <c r="F4473" s="0" t="n">
        <v>1.95</v>
      </c>
      <c r="H4473" s="0" t="s">
        <v>43</v>
      </c>
      <c r="I4473" s="7" t="n">
        <f aca="false">IF(AND(LEFT(A4473,1)&lt;&gt;"C",D4473&gt;0,F4473&gt;0),1,0)</f>
        <v>1</v>
      </c>
      <c r="J4473" s="7" t="n">
        <f aca="false">IF(I4473=1,D4473*F4473,0)</f>
        <v>1.95</v>
      </c>
      <c r="K4473" s="7" t="n">
        <f aca="false">YEAR(E4473)*100+MONTH(E4473)</f>
        <v>201111</v>
      </c>
      <c r="L4473" s="7" t="n">
        <f aca="false">IF(AND(A4473&lt;&gt;A4472,LEFT(A4473,1)&lt;&gt;"C"),1,0)</f>
        <v>0</v>
      </c>
    </row>
    <row r="4474" customFormat="false" ht="15" hidden="false" customHeight="false" outlineLevel="0" collapsed="false">
      <c r="A4474" s="0" t="s">
        <v>2810</v>
      </c>
      <c r="B4474" s="0" t="s">
        <v>1266</v>
      </c>
      <c r="C4474" s="0" t="s">
        <v>1267</v>
      </c>
      <c r="D4474" s="0" t="n">
        <v>1</v>
      </c>
      <c r="E4474" s="6" t="n">
        <v>40854.6881944445</v>
      </c>
      <c r="F4474" s="0" t="n">
        <v>1.95</v>
      </c>
      <c r="H4474" s="0" t="s">
        <v>43</v>
      </c>
      <c r="I4474" s="7" t="n">
        <f aca="false">IF(AND(LEFT(A4474,1)&lt;&gt;"C",D4474&gt;0,F4474&gt;0),1,0)</f>
        <v>1</v>
      </c>
      <c r="J4474" s="7" t="n">
        <f aca="false">IF(I4474=1,D4474*F4474,0)</f>
        <v>1.95</v>
      </c>
      <c r="K4474" s="7" t="n">
        <f aca="false">YEAR(E4474)*100+MONTH(E4474)</f>
        <v>201111</v>
      </c>
      <c r="L4474" s="7" t="n">
        <f aca="false">IF(AND(A4474&lt;&gt;A4473,LEFT(A4474,1)&lt;&gt;"C"),1,0)</f>
        <v>0</v>
      </c>
    </row>
    <row r="4475" customFormat="false" ht="15" hidden="false" customHeight="false" outlineLevel="0" collapsed="false">
      <c r="A4475" s="0" t="s">
        <v>2810</v>
      </c>
      <c r="B4475" s="0" t="s">
        <v>469</v>
      </c>
      <c r="C4475" s="0" t="s">
        <v>470</v>
      </c>
      <c r="D4475" s="0" t="n">
        <v>1</v>
      </c>
      <c r="E4475" s="6" t="n">
        <v>40854.6881944445</v>
      </c>
      <c r="F4475" s="0" t="n">
        <v>2.1</v>
      </c>
      <c r="H4475" s="0" t="s">
        <v>43</v>
      </c>
      <c r="I4475" s="7" t="n">
        <f aca="false">IF(AND(LEFT(A4475,1)&lt;&gt;"C",D4475&gt;0,F4475&gt;0),1,0)</f>
        <v>1</v>
      </c>
      <c r="J4475" s="7" t="n">
        <f aca="false">IF(I4475=1,D4475*F4475,0)</f>
        <v>2.1</v>
      </c>
      <c r="K4475" s="7" t="n">
        <f aca="false">YEAR(E4475)*100+MONTH(E4475)</f>
        <v>201111</v>
      </c>
      <c r="L4475" s="7" t="n">
        <f aca="false">IF(AND(A4475&lt;&gt;A4474,LEFT(A4475,1)&lt;&gt;"C"),1,0)</f>
        <v>0</v>
      </c>
    </row>
    <row r="4476" customFormat="false" ht="15" hidden="false" customHeight="false" outlineLevel="0" collapsed="false">
      <c r="A4476" s="0" t="s">
        <v>2810</v>
      </c>
      <c r="B4476" s="0" t="s">
        <v>1290</v>
      </c>
      <c r="C4476" s="0" t="s">
        <v>1291</v>
      </c>
      <c r="D4476" s="0" t="n">
        <v>1</v>
      </c>
      <c r="E4476" s="6" t="n">
        <v>40854.6881944445</v>
      </c>
      <c r="F4476" s="0" t="n">
        <v>3.25</v>
      </c>
      <c r="H4476" s="0" t="s">
        <v>43</v>
      </c>
      <c r="I4476" s="7" t="n">
        <f aca="false">IF(AND(LEFT(A4476,1)&lt;&gt;"C",D4476&gt;0,F4476&gt;0),1,0)</f>
        <v>1</v>
      </c>
      <c r="J4476" s="7" t="n">
        <f aca="false">IF(I4476=1,D4476*F4476,0)</f>
        <v>3.25</v>
      </c>
      <c r="K4476" s="7" t="n">
        <f aca="false">YEAR(E4476)*100+MONTH(E4476)</f>
        <v>201111</v>
      </c>
      <c r="L4476" s="7" t="n">
        <f aca="false">IF(AND(A4476&lt;&gt;A4475,LEFT(A4476,1)&lt;&gt;"C"),1,0)</f>
        <v>0</v>
      </c>
    </row>
    <row r="4477" customFormat="false" ht="15" hidden="false" customHeight="false" outlineLevel="0" collapsed="false">
      <c r="A4477" s="0" t="s">
        <v>2810</v>
      </c>
      <c r="B4477" s="0" t="s">
        <v>545</v>
      </c>
      <c r="C4477" s="0" t="s">
        <v>546</v>
      </c>
      <c r="D4477" s="0" t="n">
        <v>1</v>
      </c>
      <c r="E4477" s="6" t="n">
        <v>40854.6881944445</v>
      </c>
      <c r="F4477" s="0" t="n">
        <v>4.95</v>
      </c>
      <c r="H4477" s="0" t="s">
        <v>43</v>
      </c>
      <c r="I4477" s="7" t="n">
        <f aca="false">IF(AND(LEFT(A4477,1)&lt;&gt;"C",D4477&gt;0,F4477&gt;0),1,0)</f>
        <v>1</v>
      </c>
      <c r="J4477" s="7" t="n">
        <f aca="false">IF(I4477=1,D4477*F4477,0)</f>
        <v>4.95</v>
      </c>
      <c r="K4477" s="7" t="n">
        <f aca="false">YEAR(E4477)*100+MONTH(E4477)</f>
        <v>201111</v>
      </c>
      <c r="L4477" s="7" t="n">
        <f aca="false">IF(AND(A4477&lt;&gt;A4476,LEFT(A4477,1)&lt;&gt;"C"),1,0)</f>
        <v>0</v>
      </c>
    </row>
    <row r="4478" customFormat="false" ht="15" hidden="false" customHeight="false" outlineLevel="0" collapsed="false">
      <c r="A4478" s="0" t="s">
        <v>2810</v>
      </c>
      <c r="B4478" s="0" t="s">
        <v>519</v>
      </c>
      <c r="C4478" s="0" t="s">
        <v>520</v>
      </c>
      <c r="D4478" s="0" t="n">
        <v>1</v>
      </c>
      <c r="E4478" s="6" t="n">
        <v>40854.6881944445</v>
      </c>
      <c r="F4478" s="0" t="n">
        <v>2.08</v>
      </c>
      <c r="H4478" s="0" t="s">
        <v>43</v>
      </c>
      <c r="I4478" s="7" t="n">
        <f aca="false">IF(AND(LEFT(A4478,1)&lt;&gt;"C",D4478&gt;0,F4478&gt;0),1,0)</f>
        <v>1</v>
      </c>
      <c r="J4478" s="7" t="n">
        <f aca="false">IF(I4478=1,D4478*F4478,0)</f>
        <v>2.08</v>
      </c>
      <c r="K4478" s="7" t="n">
        <f aca="false">YEAR(E4478)*100+MONTH(E4478)</f>
        <v>201111</v>
      </c>
      <c r="L4478" s="7" t="n">
        <f aca="false">IF(AND(A4478&lt;&gt;A4477,LEFT(A4478,1)&lt;&gt;"C"),1,0)</f>
        <v>0</v>
      </c>
    </row>
    <row r="4479" customFormat="false" ht="15" hidden="false" customHeight="false" outlineLevel="0" collapsed="false">
      <c r="A4479" s="0" t="s">
        <v>2810</v>
      </c>
      <c r="B4479" s="0" t="s">
        <v>2804</v>
      </c>
      <c r="C4479" s="0" t="s">
        <v>2805</v>
      </c>
      <c r="D4479" s="0" t="n">
        <v>1</v>
      </c>
      <c r="E4479" s="6" t="n">
        <v>40854.6881944445</v>
      </c>
      <c r="F4479" s="0" t="n">
        <v>2.08</v>
      </c>
      <c r="H4479" s="0" t="s">
        <v>43</v>
      </c>
      <c r="I4479" s="7" t="n">
        <f aca="false">IF(AND(LEFT(A4479,1)&lt;&gt;"C",D4479&gt;0,F4479&gt;0),1,0)</f>
        <v>1</v>
      </c>
      <c r="J4479" s="7" t="n">
        <f aca="false">IF(I4479=1,D4479*F4479,0)</f>
        <v>2.08</v>
      </c>
      <c r="K4479" s="7" t="n">
        <f aca="false">YEAR(E4479)*100+MONTH(E4479)</f>
        <v>201111</v>
      </c>
      <c r="L4479" s="7" t="n">
        <f aca="false">IF(AND(A4479&lt;&gt;A4478,LEFT(A4479,1)&lt;&gt;"C"),1,0)</f>
        <v>0</v>
      </c>
    </row>
    <row r="4480" customFormat="false" ht="15" hidden="false" customHeight="false" outlineLevel="0" collapsed="false">
      <c r="A4480" s="0" t="s">
        <v>2810</v>
      </c>
      <c r="B4480" s="0" t="s">
        <v>812</v>
      </c>
      <c r="C4480" s="0" t="s">
        <v>813</v>
      </c>
      <c r="D4480" s="0" t="n">
        <v>2</v>
      </c>
      <c r="E4480" s="6" t="n">
        <v>40854.6881944445</v>
      </c>
      <c r="F4480" s="0" t="n">
        <v>3.75</v>
      </c>
      <c r="H4480" s="0" t="s">
        <v>43</v>
      </c>
      <c r="I4480" s="7" t="n">
        <f aca="false">IF(AND(LEFT(A4480,1)&lt;&gt;"C",D4480&gt;0,F4480&gt;0),1,0)</f>
        <v>1</v>
      </c>
      <c r="J4480" s="7" t="n">
        <f aca="false">IF(I4480=1,D4480*F4480,0)</f>
        <v>7.5</v>
      </c>
      <c r="K4480" s="7" t="n">
        <f aca="false">YEAR(E4480)*100+MONTH(E4480)</f>
        <v>201111</v>
      </c>
      <c r="L4480" s="7" t="n">
        <f aca="false">IF(AND(A4480&lt;&gt;A4479,LEFT(A4480,1)&lt;&gt;"C"),1,0)</f>
        <v>0</v>
      </c>
    </row>
    <row r="4481" customFormat="false" ht="15" hidden="false" customHeight="false" outlineLevel="0" collapsed="false">
      <c r="A4481" s="0" t="s">
        <v>2810</v>
      </c>
      <c r="B4481" s="0" t="s">
        <v>2827</v>
      </c>
      <c r="C4481" s="0" t="s">
        <v>2828</v>
      </c>
      <c r="D4481" s="0" t="n">
        <v>2</v>
      </c>
      <c r="E4481" s="6" t="n">
        <v>40854.6881944445</v>
      </c>
      <c r="F4481" s="0" t="n">
        <v>3.75</v>
      </c>
      <c r="H4481" s="0" t="s">
        <v>43</v>
      </c>
      <c r="I4481" s="7" t="n">
        <f aca="false">IF(AND(LEFT(A4481,1)&lt;&gt;"C",D4481&gt;0,F4481&gt;0),1,0)</f>
        <v>1</v>
      </c>
      <c r="J4481" s="7" t="n">
        <f aca="false">IF(I4481=1,D4481*F4481,0)</f>
        <v>7.5</v>
      </c>
      <c r="K4481" s="7" t="n">
        <f aca="false">YEAR(E4481)*100+MONTH(E4481)</f>
        <v>201111</v>
      </c>
      <c r="L4481" s="7" t="n">
        <f aca="false">IF(AND(A4481&lt;&gt;A4480,LEFT(A4481,1)&lt;&gt;"C"),1,0)</f>
        <v>0</v>
      </c>
    </row>
    <row r="4482" customFormat="false" ht="15" hidden="false" customHeight="false" outlineLevel="0" collapsed="false">
      <c r="A4482" s="0" t="s">
        <v>2810</v>
      </c>
      <c r="B4482" s="0" t="s">
        <v>1420</v>
      </c>
      <c r="C4482" s="0" t="s">
        <v>1421</v>
      </c>
      <c r="D4482" s="0" t="n">
        <v>1</v>
      </c>
      <c r="E4482" s="6" t="n">
        <v>40854.6881944445</v>
      </c>
      <c r="F4482" s="0" t="n">
        <v>4.95</v>
      </c>
      <c r="H4482" s="0" t="s">
        <v>43</v>
      </c>
      <c r="I4482" s="7" t="n">
        <f aca="false">IF(AND(LEFT(A4482,1)&lt;&gt;"C",D4482&gt;0,F4482&gt;0),1,0)</f>
        <v>1</v>
      </c>
      <c r="J4482" s="7" t="n">
        <f aca="false">IF(I4482=1,D4482*F4482,0)</f>
        <v>4.95</v>
      </c>
      <c r="K4482" s="7" t="n">
        <f aca="false">YEAR(E4482)*100+MONTH(E4482)</f>
        <v>201111</v>
      </c>
      <c r="L4482" s="7" t="n">
        <f aca="false">IF(AND(A4482&lt;&gt;A4481,LEFT(A4482,1)&lt;&gt;"C"),1,0)</f>
        <v>0</v>
      </c>
    </row>
    <row r="4483" customFormat="false" ht="15" hidden="false" customHeight="false" outlineLevel="0" collapsed="false">
      <c r="A4483" s="0" t="s">
        <v>2810</v>
      </c>
      <c r="B4483" s="0" t="s">
        <v>2829</v>
      </c>
      <c r="C4483" s="0" t="s">
        <v>2830</v>
      </c>
      <c r="D4483" s="0" t="n">
        <v>1</v>
      </c>
      <c r="E4483" s="6" t="n">
        <v>40854.6881944445</v>
      </c>
      <c r="F4483" s="0" t="n">
        <v>6.35</v>
      </c>
      <c r="H4483" s="0" t="s">
        <v>43</v>
      </c>
      <c r="I4483" s="7" t="n">
        <f aca="false">IF(AND(LEFT(A4483,1)&lt;&gt;"C",D4483&gt;0,F4483&gt;0),1,0)</f>
        <v>1</v>
      </c>
      <c r="J4483" s="7" t="n">
        <f aca="false">IF(I4483=1,D4483*F4483,0)</f>
        <v>6.35</v>
      </c>
      <c r="K4483" s="7" t="n">
        <f aca="false">YEAR(E4483)*100+MONTH(E4483)</f>
        <v>201111</v>
      </c>
      <c r="L4483" s="7" t="n">
        <f aca="false">IF(AND(A4483&lt;&gt;A4482,LEFT(A4483,1)&lt;&gt;"C"),1,0)</f>
        <v>0</v>
      </c>
    </row>
    <row r="4484" customFormat="false" ht="15" hidden="false" customHeight="false" outlineLevel="0" collapsed="false">
      <c r="A4484" s="0" t="s">
        <v>2810</v>
      </c>
      <c r="B4484" s="0" t="s">
        <v>2607</v>
      </c>
      <c r="C4484" s="0" t="s">
        <v>2608</v>
      </c>
      <c r="D4484" s="0" t="n">
        <v>1</v>
      </c>
      <c r="E4484" s="6" t="n">
        <v>40854.6881944445</v>
      </c>
      <c r="F4484" s="0" t="n">
        <v>3.75</v>
      </c>
      <c r="H4484" s="0" t="s">
        <v>43</v>
      </c>
      <c r="I4484" s="7" t="n">
        <f aca="false">IF(AND(LEFT(A4484,1)&lt;&gt;"C",D4484&gt;0,F4484&gt;0),1,0)</f>
        <v>1</v>
      </c>
      <c r="J4484" s="7" t="n">
        <f aca="false">IF(I4484=1,D4484*F4484,0)</f>
        <v>3.75</v>
      </c>
      <c r="K4484" s="7" t="n">
        <f aca="false">YEAR(E4484)*100+MONTH(E4484)</f>
        <v>201111</v>
      </c>
      <c r="L4484" s="7" t="n">
        <f aca="false">IF(AND(A4484&lt;&gt;A4483,LEFT(A4484,1)&lt;&gt;"C"),1,0)</f>
        <v>0</v>
      </c>
    </row>
    <row r="4485" customFormat="false" ht="15" hidden="false" customHeight="false" outlineLevel="0" collapsed="false">
      <c r="A4485" s="0" t="s">
        <v>2810</v>
      </c>
      <c r="B4485" s="0" t="s">
        <v>756</v>
      </c>
      <c r="C4485" s="0" t="s">
        <v>757</v>
      </c>
      <c r="D4485" s="0" t="n">
        <v>1</v>
      </c>
      <c r="E4485" s="6" t="n">
        <v>40854.6881944445</v>
      </c>
      <c r="F4485" s="0" t="n">
        <v>3.75</v>
      </c>
      <c r="H4485" s="0" t="s">
        <v>43</v>
      </c>
      <c r="I4485" s="7" t="n">
        <f aca="false">IF(AND(LEFT(A4485,1)&lt;&gt;"C",D4485&gt;0,F4485&gt;0),1,0)</f>
        <v>1</v>
      </c>
      <c r="J4485" s="7" t="n">
        <f aca="false">IF(I4485=1,D4485*F4485,0)</f>
        <v>3.75</v>
      </c>
      <c r="K4485" s="7" t="n">
        <f aca="false">YEAR(E4485)*100+MONTH(E4485)</f>
        <v>201111</v>
      </c>
      <c r="L4485" s="7" t="n">
        <f aca="false">IF(AND(A4485&lt;&gt;A4484,LEFT(A4485,1)&lt;&gt;"C"),1,0)</f>
        <v>0</v>
      </c>
    </row>
    <row r="4486" customFormat="false" ht="15" hidden="false" customHeight="false" outlineLevel="0" collapsed="false">
      <c r="A4486" s="0" t="s">
        <v>2810</v>
      </c>
      <c r="B4486" s="0" t="s">
        <v>2831</v>
      </c>
      <c r="C4486" s="0" t="s">
        <v>2832</v>
      </c>
      <c r="D4486" s="0" t="n">
        <v>1</v>
      </c>
      <c r="E4486" s="6" t="n">
        <v>40854.6881944445</v>
      </c>
      <c r="F4486" s="0" t="n">
        <v>2.95</v>
      </c>
      <c r="H4486" s="0" t="s">
        <v>43</v>
      </c>
      <c r="I4486" s="7" t="n">
        <f aca="false">IF(AND(LEFT(A4486,1)&lt;&gt;"C",D4486&gt;0,F4486&gt;0),1,0)</f>
        <v>1</v>
      </c>
      <c r="J4486" s="7" t="n">
        <f aca="false">IF(I4486=1,D4486*F4486,0)</f>
        <v>2.95</v>
      </c>
      <c r="K4486" s="7" t="n">
        <f aca="false">YEAR(E4486)*100+MONTH(E4486)</f>
        <v>201111</v>
      </c>
      <c r="L4486" s="7" t="n">
        <f aca="false">IF(AND(A4486&lt;&gt;A4485,LEFT(A4486,1)&lt;&gt;"C"),1,0)</f>
        <v>0</v>
      </c>
    </row>
    <row r="4487" customFormat="false" ht="15" hidden="false" customHeight="false" outlineLevel="0" collapsed="false">
      <c r="A4487" s="0" t="s">
        <v>2810</v>
      </c>
      <c r="B4487" s="0" t="s">
        <v>1676</v>
      </c>
      <c r="C4487" s="0" t="s">
        <v>1677</v>
      </c>
      <c r="D4487" s="0" t="n">
        <v>2</v>
      </c>
      <c r="E4487" s="6" t="n">
        <v>40854.6881944445</v>
      </c>
      <c r="F4487" s="0" t="n">
        <v>5.95</v>
      </c>
      <c r="H4487" s="0" t="s">
        <v>43</v>
      </c>
      <c r="I4487" s="7" t="n">
        <f aca="false">IF(AND(LEFT(A4487,1)&lt;&gt;"C",D4487&gt;0,F4487&gt;0),1,0)</f>
        <v>1</v>
      </c>
      <c r="J4487" s="7" t="n">
        <f aca="false">IF(I4487=1,D4487*F4487,0)</f>
        <v>11.9</v>
      </c>
      <c r="K4487" s="7" t="n">
        <f aca="false">YEAR(E4487)*100+MONTH(E4487)</f>
        <v>201111</v>
      </c>
      <c r="L4487" s="7" t="n">
        <f aca="false">IF(AND(A4487&lt;&gt;A4486,LEFT(A4487,1)&lt;&gt;"C"),1,0)</f>
        <v>0</v>
      </c>
    </row>
    <row r="4488" customFormat="false" ht="15" hidden="false" customHeight="false" outlineLevel="0" collapsed="false">
      <c r="A4488" s="0" t="s">
        <v>2810</v>
      </c>
      <c r="B4488" s="0" t="s">
        <v>537</v>
      </c>
      <c r="C4488" s="0" t="s">
        <v>538</v>
      </c>
      <c r="D4488" s="0" t="n">
        <v>2</v>
      </c>
      <c r="E4488" s="6" t="n">
        <v>40854.6881944445</v>
      </c>
      <c r="F4488" s="0" t="n">
        <v>4.15</v>
      </c>
      <c r="H4488" s="0" t="s">
        <v>43</v>
      </c>
      <c r="I4488" s="7" t="n">
        <f aca="false">IF(AND(LEFT(A4488,1)&lt;&gt;"C",D4488&gt;0,F4488&gt;0),1,0)</f>
        <v>1</v>
      </c>
      <c r="J4488" s="7" t="n">
        <f aca="false">IF(I4488=1,D4488*F4488,0)</f>
        <v>8.3</v>
      </c>
      <c r="K4488" s="7" t="n">
        <f aca="false">YEAR(E4488)*100+MONTH(E4488)</f>
        <v>201111</v>
      </c>
      <c r="L4488" s="7" t="n">
        <f aca="false">IF(AND(A4488&lt;&gt;A4487,LEFT(A4488,1)&lt;&gt;"C"),1,0)</f>
        <v>0</v>
      </c>
    </row>
    <row r="4489" customFormat="false" ht="15" hidden="false" customHeight="false" outlineLevel="0" collapsed="false">
      <c r="A4489" s="0" t="s">
        <v>2810</v>
      </c>
      <c r="B4489" s="0" t="s">
        <v>2833</v>
      </c>
      <c r="C4489" s="0" t="s">
        <v>2834</v>
      </c>
      <c r="D4489" s="0" t="n">
        <v>1</v>
      </c>
      <c r="E4489" s="6" t="n">
        <v>40854.6881944445</v>
      </c>
      <c r="F4489" s="0" t="n">
        <v>5.95</v>
      </c>
      <c r="H4489" s="0" t="s">
        <v>43</v>
      </c>
      <c r="I4489" s="7" t="n">
        <f aca="false">IF(AND(LEFT(A4489,1)&lt;&gt;"C",D4489&gt;0,F4489&gt;0),1,0)</f>
        <v>1</v>
      </c>
      <c r="J4489" s="7" t="n">
        <f aca="false">IF(I4489=1,D4489*F4489,0)</f>
        <v>5.95</v>
      </c>
      <c r="K4489" s="7" t="n">
        <f aca="false">YEAR(E4489)*100+MONTH(E4489)</f>
        <v>201111</v>
      </c>
      <c r="L4489" s="7" t="n">
        <f aca="false">IF(AND(A4489&lt;&gt;A4488,LEFT(A4489,1)&lt;&gt;"C"),1,0)</f>
        <v>0</v>
      </c>
    </row>
    <row r="4490" customFormat="false" ht="15" hidden="false" customHeight="false" outlineLevel="0" collapsed="false">
      <c r="A4490" s="0" t="s">
        <v>2835</v>
      </c>
      <c r="B4490" s="0" t="s">
        <v>760</v>
      </c>
      <c r="C4490" s="0" t="s">
        <v>761</v>
      </c>
      <c r="D4490" s="0" t="n">
        <v>-2</v>
      </c>
      <c r="E4490" s="6" t="n">
        <v>40855.3715277778</v>
      </c>
      <c r="F4490" s="0" t="n">
        <v>4.25</v>
      </c>
      <c r="G4490" s="0" t="n">
        <v>12656</v>
      </c>
      <c r="H4490" s="0" t="s">
        <v>43</v>
      </c>
      <c r="I4490" s="7" t="n">
        <f aca="false">IF(AND(LEFT(A4490,1)&lt;&gt;"C",D4490&gt;0,F4490&gt;0),1,0)</f>
        <v>0</v>
      </c>
      <c r="J4490" s="7" t="n">
        <f aca="false">IF(I4490=1,D4490*F4490,0)</f>
        <v>0</v>
      </c>
      <c r="K4490" s="7" t="n">
        <f aca="false">YEAR(E4490)*100+MONTH(E4490)</f>
        <v>201111</v>
      </c>
      <c r="L4490" s="7" t="n">
        <f aca="false">IF(AND(A4490&lt;&gt;A4489,LEFT(A4490,1)&lt;&gt;"C"),1,0)</f>
        <v>0</v>
      </c>
    </row>
    <row r="4491" customFormat="false" ht="15" hidden="false" customHeight="false" outlineLevel="0" collapsed="false">
      <c r="A4491" s="0" t="s">
        <v>2836</v>
      </c>
      <c r="B4491" s="0" t="s">
        <v>74</v>
      </c>
      <c r="C4491" s="0" t="s">
        <v>75</v>
      </c>
      <c r="D4491" s="0" t="n">
        <v>12</v>
      </c>
      <c r="E4491" s="6" t="n">
        <v>40855.5090277778</v>
      </c>
      <c r="F4491" s="0" t="n">
        <v>1.95</v>
      </c>
      <c r="G4491" s="0" t="n">
        <v>12721</v>
      </c>
      <c r="H4491" s="0" t="s">
        <v>43</v>
      </c>
      <c r="I4491" s="7" t="n">
        <f aca="false">IF(AND(LEFT(A4491,1)&lt;&gt;"C",D4491&gt;0,F4491&gt;0),1,0)</f>
        <v>1</v>
      </c>
      <c r="J4491" s="7" t="n">
        <f aca="false">IF(I4491=1,D4491*F4491,0)</f>
        <v>23.4</v>
      </c>
      <c r="K4491" s="7" t="n">
        <f aca="false">YEAR(E4491)*100+MONTH(E4491)</f>
        <v>201111</v>
      </c>
      <c r="L4491" s="7" t="n">
        <f aca="false">IF(AND(A4491&lt;&gt;A4490,LEFT(A4491,1)&lt;&gt;"C"),1,0)</f>
        <v>1</v>
      </c>
    </row>
    <row r="4492" customFormat="false" ht="15" hidden="false" customHeight="false" outlineLevel="0" collapsed="false">
      <c r="A4492" s="0" t="s">
        <v>2836</v>
      </c>
      <c r="B4492" s="0" t="s">
        <v>557</v>
      </c>
      <c r="C4492" s="0" t="s">
        <v>558</v>
      </c>
      <c r="D4492" s="0" t="n">
        <v>12</v>
      </c>
      <c r="E4492" s="6" t="n">
        <v>40855.5090277778</v>
      </c>
      <c r="F4492" s="0" t="n">
        <v>1.95</v>
      </c>
      <c r="G4492" s="0" t="n">
        <v>12721</v>
      </c>
      <c r="H4492" s="0" t="s">
        <v>43</v>
      </c>
      <c r="I4492" s="7" t="n">
        <f aca="false">IF(AND(LEFT(A4492,1)&lt;&gt;"C",D4492&gt;0,F4492&gt;0),1,0)</f>
        <v>1</v>
      </c>
      <c r="J4492" s="7" t="n">
        <f aca="false">IF(I4492=1,D4492*F4492,0)</f>
        <v>23.4</v>
      </c>
      <c r="K4492" s="7" t="n">
        <f aca="false">YEAR(E4492)*100+MONTH(E4492)</f>
        <v>201111</v>
      </c>
      <c r="L4492" s="7" t="n">
        <f aca="false">IF(AND(A4492&lt;&gt;A4491,LEFT(A4492,1)&lt;&gt;"C"),1,0)</f>
        <v>0</v>
      </c>
    </row>
    <row r="4493" customFormat="false" ht="15" hidden="false" customHeight="false" outlineLevel="0" collapsed="false">
      <c r="A4493" s="0" t="s">
        <v>2836</v>
      </c>
      <c r="B4493" s="0" t="s">
        <v>2314</v>
      </c>
      <c r="C4493" s="0" t="s">
        <v>2315</v>
      </c>
      <c r="D4493" s="0" t="n">
        <v>8</v>
      </c>
      <c r="E4493" s="6" t="n">
        <v>40855.5090277778</v>
      </c>
      <c r="F4493" s="0" t="n">
        <v>3.75</v>
      </c>
      <c r="G4493" s="0" t="n">
        <v>12721</v>
      </c>
      <c r="H4493" s="0" t="s">
        <v>43</v>
      </c>
      <c r="I4493" s="7" t="n">
        <f aca="false">IF(AND(LEFT(A4493,1)&lt;&gt;"C",D4493&gt;0,F4493&gt;0),1,0)</f>
        <v>1</v>
      </c>
      <c r="J4493" s="7" t="n">
        <f aca="false">IF(I4493=1,D4493*F4493,0)</f>
        <v>30</v>
      </c>
      <c r="K4493" s="7" t="n">
        <f aca="false">YEAR(E4493)*100+MONTH(E4493)</f>
        <v>201111</v>
      </c>
      <c r="L4493" s="7" t="n">
        <f aca="false">IF(AND(A4493&lt;&gt;A4492,LEFT(A4493,1)&lt;&gt;"C"),1,0)</f>
        <v>0</v>
      </c>
    </row>
    <row r="4494" customFormat="false" ht="15" hidden="false" customHeight="false" outlineLevel="0" collapsed="false">
      <c r="A4494" s="0" t="s">
        <v>2836</v>
      </c>
      <c r="B4494" s="0" t="s">
        <v>871</v>
      </c>
      <c r="C4494" s="0" t="s">
        <v>872</v>
      </c>
      <c r="D4494" s="0" t="n">
        <v>24</v>
      </c>
      <c r="E4494" s="6" t="n">
        <v>40855.5090277778</v>
      </c>
      <c r="F4494" s="0" t="n">
        <v>0.83</v>
      </c>
      <c r="G4494" s="0" t="n">
        <v>12721</v>
      </c>
      <c r="H4494" s="0" t="s">
        <v>43</v>
      </c>
      <c r="I4494" s="7" t="n">
        <f aca="false">IF(AND(LEFT(A4494,1)&lt;&gt;"C",D4494&gt;0,F4494&gt;0),1,0)</f>
        <v>1</v>
      </c>
      <c r="J4494" s="7" t="n">
        <f aca="false">IF(I4494=1,D4494*F4494,0)</f>
        <v>19.92</v>
      </c>
      <c r="K4494" s="7" t="n">
        <f aca="false">YEAR(E4494)*100+MONTH(E4494)</f>
        <v>201111</v>
      </c>
      <c r="L4494" s="7" t="n">
        <f aca="false">IF(AND(A4494&lt;&gt;A4493,LEFT(A4494,1)&lt;&gt;"C"),1,0)</f>
        <v>0</v>
      </c>
    </row>
    <row r="4495" customFormat="false" ht="15" hidden="false" customHeight="false" outlineLevel="0" collapsed="false">
      <c r="A4495" s="0" t="s">
        <v>2836</v>
      </c>
      <c r="B4495" s="0" t="s">
        <v>873</v>
      </c>
      <c r="C4495" s="0" t="s">
        <v>874</v>
      </c>
      <c r="D4495" s="0" t="n">
        <v>24</v>
      </c>
      <c r="E4495" s="6" t="n">
        <v>40855.5090277778</v>
      </c>
      <c r="F4495" s="0" t="n">
        <v>0.83</v>
      </c>
      <c r="G4495" s="0" t="n">
        <v>12721</v>
      </c>
      <c r="H4495" s="0" t="s">
        <v>43</v>
      </c>
      <c r="I4495" s="7" t="n">
        <f aca="false">IF(AND(LEFT(A4495,1)&lt;&gt;"C",D4495&gt;0,F4495&gt;0),1,0)</f>
        <v>1</v>
      </c>
      <c r="J4495" s="7" t="n">
        <f aca="false">IF(I4495=1,D4495*F4495,0)</f>
        <v>19.92</v>
      </c>
      <c r="K4495" s="7" t="n">
        <f aca="false">YEAR(E4495)*100+MONTH(E4495)</f>
        <v>201111</v>
      </c>
      <c r="L4495" s="7" t="n">
        <f aca="false">IF(AND(A4495&lt;&gt;A4494,LEFT(A4495,1)&lt;&gt;"C"),1,0)</f>
        <v>0</v>
      </c>
    </row>
    <row r="4496" customFormat="false" ht="15" hidden="false" customHeight="false" outlineLevel="0" collapsed="false">
      <c r="A4496" s="0" t="s">
        <v>2836</v>
      </c>
      <c r="B4496" s="0" t="s">
        <v>2138</v>
      </c>
      <c r="C4496" s="0" t="s">
        <v>2139</v>
      </c>
      <c r="D4496" s="0" t="n">
        <v>25</v>
      </c>
      <c r="E4496" s="6" t="n">
        <v>40855.5090277778</v>
      </c>
      <c r="F4496" s="0" t="n">
        <v>0.42</v>
      </c>
      <c r="G4496" s="0" t="n">
        <v>12721</v>
      </c>
      <c r="H4496" s="0" t="s">
        <v>43</v>
      </c>
      <c r="I4496" s="7" t="n">
        <f aca="false">IF(AND(LEFT(A4496,1)&lt;&gt;"C",D4496&gt;0,F4496&gt;0),1,0)</f>
        <v>1</v>
      </c>
      <c r="J4496" s="7" t="n">
        <f aca="false">IF(I4496=1,D4496*F4496,0)</f>
        <v>10.5</v>
      </c>
      <c r="K4496" s="7" t="n">
        <f aca="false">YEAR(E4496)*100+MONTH(E4496)</f>
        <v>201111</v>
      </c>
      <c r="L4496" s="7" t="n">
        <f aca="false">IF(AND(A4496&lt;&gt;A4495,LEFT(A4496,1)&lt;&gt;"C"),1,0)</f>
        <v>0</v>
      </c>
    </row>
    <row r="4497" customFormat="false" ht="15" hidden="false" customHeight="false" outlineLevel="0" collapsed="false">
      <c r="A4497" s="0" t="s">
        <v>2836</v>
      </c>
      <c r="B4497" s="0" t="s">
        <v>1229</v>
      </c>
      <c r="C4497" s="0" t="s">
        <v>1230</v>
      </c>
      <c r="D4497" s="0" t="n">
        <v>4</v>
      </c>
      <c r="E4497" s="6" t="n">
        <v>40855.5090277778</v>
      </c>
      <c r="F4497" s="0" t="n">
        <v>3.95</v>
      </c>
      <c r="G4497" s="0" t="n">
        <v>12721</v>
      </c>
      <c r="H4497" s="0" t="s">
        <v>43</v>
      </c>
      <c r="I4497" s="7" t="n">
        <f aca="false">IF(AND(LEFT(A4497,1)&lt;&gt;"C",D4497&gt;0,F4497&gt;0),1,0)</f>
        <v>1</v>
      </c>
      <c r="J4497" s="7" t="n">
        <f aca="false">IF(I4497=1,D4497*F4497,0)</f>
        <v>15.8</v>
      </c>
      <c r="K4497" s="7" t="n">
        <f aca="false">YEAR(E4497)*100+MONTH(E4497)</f>
        <v>201111</v>
      </c>
      <c r="L4497" s="7" t="n">
        <f aca="false">IF(AND(A4497&lt;&gt;A4496,LEFT(A4497,1)&lt;&gt;"C"),1,0)</f>
        <v>0</v>
      </c>
    </row>
    <row r="4498" customFormat="false" ht="15" hidden="false" customHeight="false" outlineLevel="0" collapsed="false">
      <c r="A4498" s="0" t="s">
        <v>2836</v>
      </c>
      <c r="B4498" s="0" t="s">
        <v>2517</v>
      </c>
      <c r="C4498" s="0" t="s">
        <v>2518</v>
      </c>
      <c r="D4498" s="0" t="n">
        <v>6</v>
      </c>
      <c r="E4498" s="6" t="n">
        <v>40855.5090277778</v>
      </c>
      <c r="F4498" s="0" t="n">
        <v>2.1</v>
      </c>
      <c r="G4498" s="0" t="n">
        <v>12721</v>
      </c>
      <c r="H4498" s="0" t="s">
        <v>43</v>
      </c>
      <c r="I4498" s="7" t="n">
        <f aca="false">IF(AND(LEFT(A4498,1)&lt;&gt;"C",D4498&gt;0,F4498&gt;0),1,0)</f>
        <v>1</v>
      </c>
      <c r="J4498" s="7" t="n">
        <f aca="false">IF(I4498=1,D4498*F4498,0)</f>
        <v>12.6</v>
      </c>
      <c r="K4498" s="7" t="n">
        <f aca="false">YEAR(E4498)*100+MONTH(E4498)</f>
        <v>201111</v>
      </c>
      <c r="L4498" s="7" t="n">
        <f aca="false">IF(AND(A4498&lt;&gt;A4497,LEFT(A4498,1)&lt;&gt;"C"),1,0)</f>
        <v>0</v>
      </c>
    </row>
    <row r="4499" customFormat="false" ht="15" hidden="false" customHeight="false" outlineLevel="0" collapsed="false">
      <c r="A4499" s="0" t="s">
        <v>2836</v>
      </c>
      <c r="B4499" s="0" t="s">
        <v>127</v>
      </c>
      <c r="C4499" s="0" t="s">
        <v>128</v>
      </c>
      <c r="D4499" s="0" t="n">
        <v>8</v>
      </c>
      <c r="E4499" s="6" t="n">
        <v>40855.5090277778</v>
      </c>
      <c r="F4499" s="0" t="n">
        <v>1.65</v>
      </c>
      <c r="G4499" s="0" t="n">
        <v>12721</v>
      </c>
      <c r="H4499" s="0" t="s">
        <v>43</v>
      </c>
      <c r="I4499" s="7" t="n">
        <f aca="false">IF(AND(LEFT(A4499,1)&lt;&gt;"C",D4499&gt;0,F4499&gt;0),1,0)</f>
        <v>1</v>
      </c>
      <c r="J4499" s="7" t="n">
        <f aca="false">IF(I4499=1,D4499*F4499,0)</f>
        <v>13.2</v>
      </c>
      <c r="K4499" s="7" t="n">
        <f aca="false">YEAR(E4499)*100+MONTH(E4499)</f>
        <v>201111</v>
      </c>
      <c r="L4499" s="7" t="n">
        <f aca="false">IF(AND(A4499&lt;&gt;A4498,LEFT(A4499,1)&lt;&gt;"C"),1,0)</f>
        <v>0</v>
      </c>
    </row>
    <row r="4500" customFormat="false" ht="15" hidden="false" customHeight="false" outlineLevel="0" collapsed="false">
      <c r="A4500" s="0" t="s">
        <v>2836</v>
      </c>
      <c r="B4500" s="0" t="s">
        <v>131</v>
      </c>
      <c r="C4500" s="0" t="s">
        <v>132</v>
      </c>
      <c r="D4500" s="0" t="n">
        <v>8</v>
      </c>
      <c r="E4500" s="6" t="n">
        <v>40855.5090277778</v>
      </c>
      <c r="F4500" s="0" t="n">
        <v>1.65</v>
      </c>
      <c r="G4500" s="0" t="n">
        <v>12721</v>
      </c>
      <c r="H4500" s="0" t="s">
        <v>43</v>
      </c>
      <c r="I4500" s="7" t="n">
        <f aca="false">IF(AND(LEFT(A4500,1)&lt;&gt;"C",D4500&gt;0,F4500&gt;0),1,0)</f>
        <v>1</v>
      </c>
      <c r="J4500" s="7" t="n">
        <f aca="false">IF(I4500=1,D4500*F4500,0)</f>
        <v>13.2</v>
      </c>
      <c r="K4500" s="7" t="n">
        <f aca="false">YEAR(E4500)*100+MONTH(E4500)</f>
        <v>201111</v>
      </c>
      <c r="L4500" s="7" t="n">
        <f aca="false">IF(AND(A4500&lt;&gt;A4499,LEFT(A4500,1)&lt;&gt;"C"),1,0)</f>
        <v>0</v>
      </c>
    </row>
    <row r="4501" customFormat="false" ht="15" hidden="false" customHeight="false" outlineLevel="0" collapsed="false">
      <c r="A4501" s="0" t="s">
        <v>2836</v>
      </c>
      <c r="B4501" s="0" t="s">
        <v>519</v>
      </c>
      <c r="C4501" s="0" t="s">
        <v>520</v>
      </c>
      <c r="D4501" s="0" t="n">
        <v>10</v>
      </c>
      <c r="E4501" s="6" t="n">
        <v>40855.5090277778</v>
      </c>
      <c r="F4501" s="0" t="n">
        <v>2.08</v>
      </c>
      <c r="G4501" s="0" t="n">
        <v>12721</v>
      </c>
      <c r="H4501" s="0" t="s">
        <v>43</v>
      </c>
      <c r="I4501" s="7" t="n">
        <f aca="false">IF(AND(LEFT(A4501,1)&lt;&gt;"C",D4501&gt;0,F4501&gt;0),1,0)</f>
        <v>1</v>
      </c>
      <c r="J4501" s="7" t="n">
        <f aca="false">IF(I4501=1,D4501*F4501,0)</f>
        <v>20.8</v>
      </c>
      <c r="K4501" s="7" t="n">
        <f aca="false">YEAR(E4501)*100+MONTH(E4501)</f>
        <v>201111</v>
      </c>
      <c r="L4501" s="7" t="n">
        <f aca="false">IF(AND(A4501&lt;&gt;A4500,LEFT(A4501,1)&lt;&gt;"C"),1,0)</f>
        <v>0</v>
      </c>
    </row>
    <row r="4502" customFormat="false" ht="15" hidden="false" customHeight="false" outlineLevel="0" collapsed="false">
      <c r="A4502" s="0" t="s">
        <v>2836</v>
      </c>
      <c r="B4502" s="0" t="s">
        <v>1386</v>
      </c>
      <c r="C4502" s="0" t="s">
        <v>1387</v>
      </c>
      <c r="D4502" s="0" t="n">
        <v>10</v>
      </c>
      <c r="E4502" s="6" t="n">
        <v>40855.5090277778</v>
      </c>
      <c r="F4502" s="0" t="n">
        <v>2.08</v>
      </c>
      <c r="G4502" s="0" t="n">
        <v>12721</v>
      </c>
      <c r="H4502" s="0" t="s">
        <v>43</v>
      </c>
      <c r="I4502" s="7" t="n">
        <f aca="false">IF(AND(LEFT(A4502,1)&lt;&gt;"C",D4502&gt;0,F4502&gt;0),1,0)</f>
        <v>1</v>
      </c>
      <c r="J4502" s="7" t="n">
        <f aca="false">IF(I4502=1,D4502*F4502,0)</f>
        <v>20.8</v>
      </c>
      <c r="K4502" s="7" t="n">
        <f aca="false">YEAR(E4502)*100+MONTH(E4502)</f>
        <v>201111</v>
      </c>
      <c r="L4502" s="7" t="n">
        <f aca="false">IF(AND(A4502&lt;&gt;A4501,LEFT(A4502,1)&lt;&gt;"C"),1,0)</f>
        <v>0</v>
      </c>
    </row>
    <row r="4503" customFormat="false" ht="15" hidden="false" customHeight="false" outlineLevel="0" collapsed="false">
      <c r="A4503" s="0" t="s">
        <v>2836</v>
      </c>
      <c r="B4503" s="0" t="s">
        <v>2655</v>
      </c>
      <c r="C4503" s="0" t="s">
        <v>2656</v>
      </c>
      <c r="D4503" s="0" t="n">
        <v>4</v>
      </c>
      <c r="E4503" s="6" t="n">
        <v>40855.5090277778</v>
      </c>
      <c r="F4503" s="0" t="n">
        <v>4.95</v>
      </c>
      <c r="G4503" s="0" t="n">
        <v>12721</v>
      </c>
      <c r="H4503" s="0" t="s">
        <v>43</v>
      </c>
      <c r="I4503" s="7" t="n">
        <f aca="false">IF(AND(LEFT(A4503,1)&lt;&gt;"C",D4503&gt;0,F4503&gt;0),1,0)</f>
        <v>1</v>
      </c>
      <c r="J4503" s="7" t="n">
        <f aca="false">IF(I4503=1,D4503*F4503,0)</f>
        <v>19.8</v>
      </c>
      <c r="K4503" s="7" t="n">
        <f aca="false">YEAR(E4503)*100+MONTH(E4503)</f>
        <v>201111</v>
      </c>
      <c r="L4503" s="7" t="n">
        <f aca="false">IF(AND(A4503&lt;&gt;A4502,LEFT(A4503,1)&lt;&gt;"C"),1,0)</f>
        <v>0</v>
      </c>
    </row>
    <row r="4504" customFormat="false" ht="15" hidden="false" customHeight="false" outlineLevel="0" collapsed="false">
      <c r="A4504" s="0" t="s">
        <v>2836</v>
      </c>
      <c r="B4504" s="0" t="s">
        <v>1168</v>
      </c>
      <c r="C4504" s="0" t="s">
        <v>1169</v>
      </c>
      <c r="D4504" s="0" t="n">
        <v>25</v>
      </c>
      <c r="E4504" s="6" t="n">
        <v>40855.5090277778</v>
      </c>
      <c r="F4504" s="0" t="n">
        <v>0.42</v>
      </c>
      <c r="G4504" s="0" t="n">
        <v>12721</v>
      </c>
      <c r="H4504" s="0" t="s">
        <v>43</v>
      </c>
      <c r="I4504" s="7" t="n">
        <f aca="false">IF(AND(LEFT(A4504,1)&lt;&gt;"C",D4504&gt;0,F4504&gt;0),1,0)</f>
        <v>1</v>
      </c>
      <c r="J4504" s="7" t="n">
        <f aca="false">IF(I4504=1,D4504*F4504,0)</f>
        <v>10.5</v>
      </c>
      <c r="K4504" s="7" t="n">
        <f aca="false">YEAR(E4504)*100+MONTH(E4504)</f>
        <v>201111</v>
      </c>
      <c r="L4504" s="7" t="n">
        <f aca="false">IF(AND(A4504&lt;&gt;A4503,LEFT(A4504,1)&lt;&gt;"C"),1,0)</f>
        <v>0</v>
      </c>
    </row>
    <row r="4505" customFormat="false" ht="15" hidden="false" customHeight="false" outlineLevel="0" collapsed="false">
      <c r="A4505" s="0" t="s">
        <v>2836</v>
      </c>
      <c r="B4505" s="0" t="s">
        <v>501</v>
      </c>
      <c r="C4505" s="0" t="s">
        <v>502</v>
      </c>
      <c r="D4505" s="0" t="n">
        <v>25</v>
      </c>
      <c r="E4505" s="6" t="n">
        <v>40855.5090277778</v>
      </c>
      <c r="F4505" s="0" t="n">
        <v>0.42</v>
      </c>
      <c r="G4505" s="0" t="n">
        <v>12721</v>
      </c>
      <c r="H4505" s="0" t="s">
        <v>43</v>
      </c>
      <c r="I4505" s="7" t="n">
        <f aca="false">IF(AND(LEFT(A4505,1)&lt;&gt;"C",D4505&gt;0,F4505&gt;0),1,0)</f>
        <v>1</v>
      </c>
      <c r="J4505" s="7" t="n">
        <f aca="false">IF(I4505=1,D4505*F4505,0)</f>
        <v>10.5</v>
      </c>
      <c r="K4505" s="7" t="n">
        <f aca="false">YEAR(E4505)*100+MONTH(E4505)</f>
        <v>201111</v>
      </c>
      <c r="L4505" s="7" t="n">
        <f aca="false">IF(AND(A4505&lt;&gt;A4504,LEFT(A4505,1)&lt;&gt;"C"),1,0)</f>
        <v>0</v>
      </c>
    </row>
    <row r="4506" customFormat="false" ht="15" hidden="false" customHeight="false" outlineLevel="0" collapsed="false">
      <c r="A4506" s="0" t="s">
        <v>2836</v>
      </c>
      <c r="B4506" s="0" t="s">
        <v>245</v>
      </c>
      <c r="C4506" s="0" t="s">
        <v>246</v>
      </c>
      <c r="D4506" s="0" t="n">
        <v>25</v>
      </c>
      <c r="E4506" s="6" t="n">
        <v>40855.5090277778</v>
      </c>
      <c r="F4506" s="0" t="n">
        <v>0.42</v>
      </c>
      <c r="G4506" s="0" t="n">
        <v>12721</v>
      </c>
      <c r="H4506" s="0" t="s">
        <v>43</v>
      </c>
      <c r="I4506" s="7" t="n">
        <f aca="false">IF(AND(LEFT(A4506,1)&lt;&gt;"C",D4506&gt;0,F4506&gt;0),1,0)</f>
        <v>1</v>
      </c>
      <c r="J4506" s="7" t="n">
        <f aca="false">IF(I4506=1,D4506*F4506,0)</f>
        <v>10.5</v>
      </c>
      <c r="K4506" s="7" t="n">
        <f aca="false">YEAR(E4506)*100+MONTH(E4506)</f>
        <v>201111</v>
      </c>
      <c r="L4506" s="7" t="n">
        <f aca="false">IF(AND(A4506&lt;&gt;A4505,LEFT(A4506,1)&lt;&gt;"C"),1,0)</f>
        <v>0</v>
      </c>
    </row>
    <row r="4507" customFormat="false" ht="15" hidden="false" customHeight="false" outlineLevel="0" collapsed="false">
      <c r="A4507" s="0" t="s">
        <v>2836</v>
      </c>
      <c r="B4507" s="0" t="s">
        <v>1533</v>
      </c>
      <c r="C4507" s="0" t="s">
        <v>1534</v>
      </c>
      <c r="D4507" s="0" t="n">
        <v>12</v>
      </c>
      <c r="E4507" s="6" t="n">
        <v>40855.5090277778</v>
      </c>
      <c r="F4507" s="0" t="n">
        <v>1.25</v>
      </c>
      <c r="G4507" s="0" t="n">
        <v>12721</v>
      </c>
      <c r="H4507" s="0" t="s">
        <v>43</v>
      </c>
      <c r="I4507" s="7" t="n">
        <f aca="false">IF(AND(LEFT(A4507,1)&lt;&gt;"C",D4507&gt;0,F4507&gt;0),1,0)</f>
        <v>1</v>
      </c>
      <c r="J4507" s="7" t="n">
        <f aca="false">IF(I4507=1,D4507*F4507,0)</f>
        <v>15</v>
      </c>
      <c r="K4507" s="7" t="n">
        <f aca="false">YEAR(E4507)*100+MONTH(E4507)</f>
        <v>201111</v>
      </c>
      <c r="L4507" s="7" t="n">
        <f aca="false">IF(AND(A4507&lt;&gt;A4506,LEFT(A4507,1)&lt;&gt;"C"),1,0)</f>
        <v>0</v>
      </c>
    </row>
    <row r="4508" customFormat="false" ht="15" hidden="false" customHeight="false" outlineLevel="0" collapsed="false">
      <c r="A4508" s="0" t="s">
        <v>2836</v>
      </c>
      <c r="B4508" s="0" t="s">
        <v>93</v>
      </c>
      <c r="C4508" s="0" t="s">
        <v>94</v>
      </c>
      <c r="D4508" s="0" t="n">
        <v>4</v>
      </c>
      <c r="E4508" s="6" t="n">
        <v>40855.5090277778</v>
      </c>
      <c r="F4508" s="0" t="n">
        <v>4.15</v>
      </c>
      <c r="G4508" s="0" t="n">
        <v>12721</v>
      </c>
      <c r="H4508" s="0" t="s">
        <v>43</v>
      </c>
      <c r="I4508" s="7" t="n">
        <f aca="false">IF(AND(LEFT(A4508,1)&lt;&gt;"C",D4508&gt;0,F4508&gt;0),1,0)</f>
        <v>1</v>
      </c>
      <c r="J4508" s="7" t="n">
        <f aca="false">IF(I4508=1,D4508*F4508,0)</f>
        <v>16.6</v>
      </c>
      <c r="K4508" s="7" t="n">
        <f aca="false">YEAR(E4508)*100+MONTH(E4508)</f>
        <v>201111</v>
      </c>
      <c r="L4508" s="7" t="n">
        <f aca="false">IF(AND(A4508&lt;&gt;A4507,LEFT(A4508,1)&lt;&gt;"C"),1,0)</f>
        <v>0</v>
      </c>
    </row>
    <row r="4509" customFormat="false" ht="15" hidden="false" customHeight="false" outlineLevel="0" collapsed="false">
      <c r="A4509" s="0" t="s">
        <v>2836</v>
      </c>
      <c r="B4509" s="0" t="s">
        <v>89</v>
      </c>
      <c r="C4509" s="0" t="s">
        <v>90</v>
      </c>
      <c r="D4509" s="0" t="n">
        <v>4</v>
      </c>
      <c r="E4509" s="6" t="n">
        <v>40855.5090277778</v>
      </c>
      <c r="F4509" s="0" t="n">
        <v>4.15</v>
      </c>
      <c r="G4509" s="0" t="n">
        <v>12721</v>
      </c>
      <c r="H4509" s="0" t="s">
        <v>43</v>
      </c>
      <c r="I4509" s="7" t="n">
        <f aca="false">IF(AND(LEFT(A4509,1)&lt;&gt;"C",D4509&gt;0,F4509&gt;0),1,0)</f>
        <v>1</v>
      </c>
      <c r="J4509" s="7" t="n">
        <f aca="false">IF(I4509=1,D4509*F4509,0)</f>
        <v>16.6</v>
      </c>
      <c r="K4509" s="7" t="n">
        <f aca="false">YEAR(E4509)*100+MONTH(E4509)</f>
        <v>201111</v>
      </c>
      <c r="L4509" s="7" t="n">
        <f aca="false">IF(AND(A4509&lt;&gt;A4508,LEFT(A4509,1)&lt;&gt;"C"),1,0)</f>
        <v>0</v>
      </c>
    </row>
    <row r="4510" customFormat="false" ht="15" hidden="false" customHeight="false" outlineLevel="0" collapsed="false">
      <c r="A4510" s="0" t="s">
        <v>2836</v>
      </c>
      <c r="B4510" s="0" t="s">
        <v>2708</v>
      </c>
      <c r="C4510" s="0" t="s">
        <v>2709</v>
      </c>
      <c r="D4510" s="0" t="n">
        <v>12</v>
      </c>
      <c r="E4510" s="6" t="n">
        <v>40855.5090277778</v>
      </c>
      <c r="F4510" s="0" t="n">
        <v>1.25</v>
      </c>
      <c r="G4510" s="0" t="n">
        <v>12721</v>
      </c>
      <c r="H4510" s="0" t="s">
        <v>43</v>
      </c>
      <c r="I4510" s="7" t="n">
        <f aca="false">IF(AND(LEFT(A4510,1)&lt;&gt;"C",D4510&gt;0,F4510&gt;0),1,0)</f>
        <v>1</v>
      </c>
      <c r="J4510" s="7" t="n">
        <f aca="false">IF(I4510=1,D4510*F4510,0)</f>
        <v>15</v>
      </c>
      <c r="K4510" s="7" t="n">
        <f aca="false">YEAR(E4510)*100+MONTH(E4510)</f>
        <v>201111</v>
      </c>
      <c r="L4510" s="7" t="n">
        <f aca="false">IF(AND(A4510&lt;&gt;A4509,LEFT(A4510,1)&lt;&gt;"C"),1,0)</f>
        <v>0</v>
      </c>
    </row>
    <row r="4511" customFormat="false" ht="15" hidden="false" customHeight="false" outlineLevel="0" collapsed="false">
      <c r="A4511" s="0" t="s">
        <v>2836</v>
      </c>
      <c r="B4511" s="0" t="s">
        <v>1189</v>
      </c>
      <c r="C4511" s="0" t="s">
        <v>1190</v>
      </c>
      <c r="D4511" s="0" t="n">
        <v>6</v>
      </c>
      <c r="E4511" s="6" t="n">
        <v>40855.5090277778</v>
      </c>
      <c r="F4511" s="0" t="n">
        <v>2.89</v>
      </c>
      <c r="G4511" s="0" t="n">
        <v>12721</v>
      </c>
      <c r="H4511" s="0" t="s">
        <v>43</v>
      </c>
      <c r="I4511" s="7" t="n">
        <f aca="false">IF(AND(LEFT(A4511,1)&lt;&gt;"C",D4511&gt;0,F4511&gt;0),1,0)</f>
        <v>1</v>
      </c>
      <c r="J4511" s="7" t="n">
        <f aca="false">IF(I4511=1,D4511*F4511,0)</f>
        <v>17.34</v>
      </c>
      <c r="K4511" s="7" t="n">
        <f aca="false">YEAR(E4511)*100+MONTH(E4511)</f>
        <v>201111</v>
      </c>
      <c r="L4511" s="7" t="n">
        <f aca="false">IF(AND(A4511&lt;&gt;A4510,LEFT(A4511,1)&lt;&gt;"C"),1,0)</f>
        <v>0</v>
      </c>
    </row>
    <row r="4512" customFormat="false" ht="15" hidden="false" customHeight="false" outlineLevel="0" collapsed="false">
      <c r="A4512" s="0" t="s">
        <v>2836</v>
      </c>
      <c r="B4512" s="0" t="s">
        <v>1380</v>
      </c>
      <c r="C4512" s="0" t="s">
        <v>1381</v>
      </c>
      <c r="D4512" s="0" t="n">
        <v>24</v>
      </c>
      <c r="E4512" s="6" t="n">
        <v>40855.5090277778</v>
      </c>
      <c r="F4512" s="0" t="n">
        <v>0.55</v>
      </c>
      <c r="G4512" s="0" t="n">
        <v>12721</v>
      </c>
      <c r="H4512" s="0" t="s">
        <v>43</v>
      </c>
      <c r="I4512" s="7" t="n">
        <f aca="false">IF(AND(LEFT(A4512,1)&lt;&gt;"C",D4512&gt;0,F4512&gt;0),1,0)</f>
        <v>1</v>
      </c>
      <c r="J4512" s="7" t="n">
        <f aca="false">IF(I4512=1,D4512*F4512,0)</f>
        <v>13.2</v>
      </c>
      <c r="K4512" s="7" t="n">
        <f aca="false">YEAR(E4512)*100+MONTH(E4512)</f>
        <v>201111</v>
      </c>
      <c r="L4512" s="7" t="n">
        <f aca="false">IF(AND(A4512&lt;&gt;A4511,LEFT(A4512,1)&lt;&gt;"C"),1,0)</f>
        <v>0</v>
      </c>
    </row>
    <row r="4513" customFormat="false" ht="15" hidden="false" customHeight="false" outlineLevel="0" collapsed="false">
      <c r="A4513" s="0" t="s">
        <v>2836</v>
      </c>
      <c r="B4513" s="0" t="s">
        <v>2365</v>
      </c>
      <c r="C4513" s="0" t="s">
        <v>2366</v>
      </c>
      <c r="D4513" s="0" t="n">
        <v>12</v>
      </c>
      <c r="E4513" s="6" t="n">
        <v>40855.5090277778</v>
      </c>
      <c r="F4513" s="0" t="n">
        <v>0.85</v>
      </c>
      <c r="G4513" s="0" t="n">
        <v>12721</v>
      </c>
      <c r="H4513" s="0" t="s">
        <v>43</v>
      </c>
      <c r="I4513" s="7" t="n">
        <f aca="false">IF(AND(LEFT(A4513,1)&lt;&gt;"C",D4513&gt;0,F4513&gt;0),1,0)</f>
        <v>1</v>
      </c>
      <c r="J4513" s="7" t="n">
        <f aca="false">IF(I4513=1,D4513*F4513,0)</f>
        <v>10.2</v>
      </c>
      <c r="K4513" s="7" t="n">
        <f aca="false">YEAR(E4513)*100+MONTH(E4513)</f>
        <v>201111</v>
      </c>
      <c r="L4513" s="7" t="n">
        <f aca="false">IF(AND(A4513&lt;&gt;A4512,LEFT(A4513,1)&lt;&gt;"C"),1,0)</f>
        <v>0</v>
      </c>
    </row>
    <row r="4514" customFormat="false" ht="15" hidden="false" customHeight="false" outlineLevel="0" collapsed="false">
      <c r="A4514" s="0" t="s">
        <v>2836</v>
      </c>
      <c r="B4514" s="0" t="s">
        <v>62</v>
      </c>
      <c r="C4514" s="0" t="s">
        <v>63</v>
      </c>
      <c r="D4514" s="0" t="n">
        <v>18</v>
      </c>
      <c r="E4514" s="6" t="n">
        <v>40855.5090277778</v>
      </c>
      <c r="F4514" s="0" t="n">
        <v>2.08</v>
      </c>
      <c r="G4514" s="0" t="n">
        <v>12721</v>
      </c>
      <c r="H4514" s="0" t="s">
        <v>43</v>
      </c>
      <c r="I4514" s="7" t="n">
        <f aca="false">IF(AND(LEFT(A4514,1)&lt;&gt;"C",D4514&gt;0,F4514&gt;0),1,0)</f>
        <v>1</v>
      </c>
      <c r="J4514" s="7" t="n">
        <f aca="false">IF(I4514=1,D4514*F4514,0)</f>
        <v>37.44</v>
      </c>
      <c r="K4514" s="7" t="n">
        <f aca="false">YEAR(E4514)*100+MONTH(E4514)</f>
        <v>201111</v>
      </c>
      <c r="L4514" s="7" t="n">
        <f aca="false">IF(AND(A4514&lt;&gt;A4513,LEFT(A4514,1)&lt;&gt;"C"),1,0)</f>
        <v>0</v>
      </c>
    </row>
    <row r="4515" customFormat="false" ht="15" hidden="false" customHeight="false" outlineLevel="0" collapsed="false">
      <c r="A4515" s="0" t="s">
        <v>2836</v>
      </c>
      <c r="B4515" s="0" t="s">
        <v>1682</v>
      </c>
      <c r="C4515" s="0" t="s">
        <v>1683</v>
      </c>
      <c r="D4515" s="0" t="n">
        <v>10</v>
      </c>
      <c r="E4515" s="6" t="n">
        <v>40855.5090277778</v>
      </c>
      <c r="F4515" s="0" t="n">
        <v>0.79</v>
      </c>
      <c r="G4515" s="0" t="n">
        <v>12721</v>
      </c>
      <c r="H4515" s="0" t="s">
        <v>43</v>
      </c>
      <c r="I4515" s="7" t="n">
        <f aca="false">IF(AND(LEFT(A4515,1)&lt;&gt;"C",D4515&gt;0,F4515&gt;0),1,0)</f>
        <v>1</v>
      </c>
      <c r="J4515" s="7" t="n">
        <f aca="false">IF(I4515=1,D4515*F4515,0)</f>
        <v>7.9</v>
      </c>
      <c r="K4515" s="7" t="n">
        <f aca="false">YEAR(E4515)*100+MONTH(E4515)</f>
        <v>201111</v>
      </c>
      <c r="L4515" s="7" t="n">
        <f aca="false">IF(AND(A4515&lt;&gt;A4514,LEFT(A4515,1)&lt;&gt;"C"),1,0)</f>
        <v>0</v>
      </c>
    </row>
    <row r="4516" customFormat="false" ht="15" hidden="false" customHeight="false" outlineLevel="0" collapsed="false">
      <c r="A4516" s="0" t="s">
        <v>2836</v>
      </c>
      <c r="B4516" s="0" t="s">
        <v>285</v>
      </c>
      <c r="C4516" s="0" t="s">
        <v>286</v>
      </c>
      <c r="D4516" s="0" t="n">
        <v>2</v>
      </c>
      <c r="E4516" s="6" t="n">
        <v>40855.5090277778</v>
      </c>
      <c r="F4516" s="0" t="n">
        <v>8.5</v>
      </c>
      <c r="G4516" s="0" t="n">
        <v>12721</v>
      </c>
      <c r="H4516" s="0" t="s">
        <v>43</v>
      </c>
      <c r="I4516" s="7" t="n">
        <f aca="false">IF(AND(LEFT(A4516,1)&lt;&gt;"C",D4516&gt;0,F4516&gt;0),1,0)</f>
        <v>1</v>
      </c>
      <c r="J4516" s="7" t="n">
        <f aca="false">IF(I4516=1,D4516*F4516,0)</f>
        <v>17</v>
      </c>
      <c r="K4516" s="7" t="n">
        <f aca="false">YEAR(E4516)*100+MONTH(E4516)</f>
        <v>201111</v>
      </c>
      <c r="L4516" s="7" t="n">
        <f aca="false">IF(AND(A4516&lt;&gt;A4515,LEFT(A4516,1)&lt;&gt;"C"),1,0)</f>
        <v>0</v>
      </c>
    </row>
    <row r="4517" customFormat="false" ht="15" hidden="false" customHeight="false" outlineLevel="0" collapsed="false">
      <c r="A4517" s="0" t="s">
        <v>2836</v>
      </c>
      <c r="B4517" s="0" t="s">
        <v>136</v>
      </c>
      <c r="C4517" s="0" t="s">
        <v>137</v>
      </c>
      <c r="D4517" s="0" t="n">
        <v>4</v>
      </c>
      <c r="E4517" s="6" t="n">
        <v>40855.5090277778</v>
      </c>
      <c r="F4517" s="0" t="n">
        <v>4.95</v>
      </c>
      <c r="G4517" s="0" t="n">
        <v>12721</v>
      </c>
      <c r="H4517" s="0" t="s">
        <v>43</v>
      </c>
      <c r="I4517" s="7" t="n">
        <f aca="false">IF(AND(LEFT(A4517,1)&lt;&gt;"C",D4517&gt;0,F4517&gt;0),1,0)</f>
        <v>1</v>
      </c>
      <c r="J4517" s="7" t="n">
        <f aca="false">IF(I4517=1,D4517*F4517,0)</f>
        <v>19.8</v>
      </c>
      <c r="K4517" s="7" t="n">
        <f aca="false">YEAR(E4517)*100+MONTH(E4517)</f>
        <v>201111</v>
      </c>
      <c r="L4517" s="7" t="n">
        <f aca="false">IF(AND(A4517&lt;&gt;A4516,LEFT(A4517,1)&lt;&gt;"C"),1,0)</f>
        <v>0</v>
      </c>
    </row>
    <row r="4518" customFormat="false" ht="15" hidden="false" customHeight="false" outlineLevel="0" collapsed="false">
      <c r="A4518" s="0" t="s">
        <v>2836</v>
      </c>
      <c r="B4518" s="0" t="s">
        <v>64</v>
      </c>
      <c r="C4518" s="0" t="s">
        <v>65</v>
      </c>
      <c r="D4518" s="0" t="n">
        <v>12</v>
      </c>
      <c r="E4518" s="6" t="n">
        <v>40855.5090277778</v>
      </c>
      <c r="F4518" s="0" t="n">
        <v>1.65</v>
      </c>
      <c r="G4518" s="0" t="n">
        <v>12721</v>
      </c>
      <c r="H4518" s="0" t="s">
        <v>43</v>
      </c>
      <c r="I4518" s="7" t="n">
        <f aca="false">IF(AND(LEFT(A4518,1)&lt;&gt;"C",D4518&gt;0,F4518&gt;0),1,0)</f>
        <v>1</v>
      </c>
      <c r="J4518" s="7" t="n">
        <f aca="false">IF(I4518=1,D4518*F4518,0)</f>
        <v>19.8</v>
      </c>
      <c r="K4518" s="7" t="n">
        <f aca="false">YEAR(E4518)*100+MONTH(E4518)</f>
        <v>201111</v>
      </c>
      <c r="L4518" s="7" t="n">
        <f aca="false">IF(AND(A4518&lt;&gt;A4517,LEFT(A4518,1)&lt;&gt;"C"),1,0)</f>
        <v>0</v>
      </c>
    </row>
    <row r="4519" customFormat="false" ht="15" hidden="false" customHeight="false" outlineLevel="0" collapsed="false">
      <c r="A4519" s="0" t="s">
        <v>2836</v>
      </c>
      <c r="B4519" s="0" t="s">
        <v>333</v>
      </c>
      <c r="C4519" s="0" t="s">
        <v>334</v>
      </c>
      <c r="D4519" s="0" t="n">
        <v>12</v>
      </c>
      <c r="E4519" s="6" t="n">
        <v>40855.5090277778</v>
      </c>
      <c r="F4519" s="0" t="n">
        <v>1.65</v>
      </c>
      <c r="G4519" s="0" t="n">
        <v>12721</v>
      </c>
      <c r="H4519" s="0" t="s">
        <v>43</v>
      </c>
      <c r="I4519" s="7" t="n">
        <f aca="false">IF(AND(LEFT(A4519,1)&lt;&gt;"C",D4519&gt;0,F4519&gt;0),1,0)</f>
        <v>1</v>
      </c>
      <c r="J4519" s="7" t="n">
        <f aca="false">IF(I4519=1,D4519*F4519,0)</f>
        <v>19.8</v>
      </c>
      <c r="K4519" s="7" t="n">
        <f aca="false">YEAR(E4519)*100+MONTH(E4519)</f>
        <v>201111</v>
      </c>
      <c r="L4519" s="7" t="n">
        <f aca="false">IF(AND(A4519&lt;&gt;A4518,LEFT(A4519,1)&lt;&gt;"C"),1,0)</f>
        <v>0</v>
      </c>
    </row>
    <row r="4520" customFormat="false" ht="15" hidden="false" customHeight="false" outlineLevel="0" collapsed="false">
      <c r="A4520" s="0" t="s">
        <v>2836</v>
      </c>
      <c r="B4520" s="0" t="s">
        <v>335</v>
      </c>
      <c r="C4520" s="0" t="s">
        <v>336</v>
      </c>
      <c r="D4520" s="0" t="n">
        <v>12</v>
      </c>
      <c r="E4520" s="6" t="n">
        <v>40855.5090277778</v>
      </c>
      <c r="F4520" s="0" t="n">
        <v>1.65</v>
      </c>
      <c r="G4520" s="0" t="n">
        <v>12721</v>
      </c>
      <c r="H4520" s="0" t="s">
        <v>43</v>
      </c>
      <c r="I4520" s="7" t="n">
        <f aca="false">IF(AND(LEFT(A4520,1)&lt;&gt;"C",D4520&gt;0,F4520&gt;0),1,0)</f>
        <v>1</v>
      </c>
      <c r="J4520" s="7" t="n">
        <f aca="false">IF(I4520=1,D4520*F4520,0)</f>
        <v>19.8</v>
      </c>
      <c r="K4520" s="7" t="n">
        <f aca="false">YEAR(E4520)*100+MONTH(E4520)</f>
        <v>201111</v>
      </c>
      <c r="L4520" s="7" t="n">
        <f aca="false">IF(AND(A4520&lt;&gt;A4519,LEFT(A4520,1)&lt;&gt;"C"),1,0)</f>
        <v>0</v>
      </c>
    </row>
    <row r="4521" customFormat="false" ht="15" hidden="false" customHeight="false" outlineLevel="0" collapsed="false">
      <c r="A4521" s="0" t="s">
        <v>2836</v>
      </c>
      <c r="B4521" s="0" t="s">
        <v>175</v>
      </c>
      <c r="C4521" s="0" t="s">
        <v>176</v>
      </c>
      <c r="D4521" s="0" t="n">
        <v>8</v>
      </c>
      <c r="E4521" s="6" t="n">
        <v>40855.5090277778</v>
      </c>
      <c r="F4521" s="0" t="n">
        <v>1.25</v>
      </c>
      <c r="G4521" s="0" t="n">
        <v>12721</v>
      </c>
      <c r="H4521" s="0" t="s">
        <v>43</v>
      </c>
      <c r="I4521" s="7" t="n">
        <f aca="false">IF(AND(LEFT(A4521,1)&lt;&gt;"C",D4521&gt;0,F4521&gt;0),1,0)</f>
        <v>1</v>
      </c>
      <c r="J4521" s="7" t="n">
        <f aca="false">IF(I4521=1,D4521*F4521,0)</f>
        <v>10</v>
      </c>
      <c r="K4521" s="7" t="n">
        <f aca="false">YEAR(E4521)*100+MONTH(E4521)</f>
        <v>201111</v>
      </c>
      <c r="L4521" s="7" t="n">
        <f aca="false">IF(AND(A4521&lt;&gt;A4520,LEFT(A4521,1)&lt;&gt;"C"),1,0)</f>
        <v>0</v>
      </c>
    </row>
    <row r="4522" customFormat="false" ht="15" hidden="false" customHeight="false" outlineLevel="0" collapsed="false">
      <c r="A4522" s="0" t="s">
        <v>2836</v>
      </c>
      <c r="B4522" s="0" t="s">
        <v>173</v>
      </c>
      <c r="C4522" s="0" t="s">
        <v>174</v>
      </c>
      <c r="D4522" s="0" t="n">
        <v>8</v>
      </c>
      <c r="E4522" s="6" t="n">
        <v>40855.5090277778</v>
      </c>
      <c r="F4522" s="0" t="n">
        <v>1.25</v>
      </c>
      <c r="G4522" s="0" t="n">
        <v>12721</v>
      </c>
      <c r="H4522" s="0" t="s">
        <v>43</v>
      </c>
      <c r="I4522" s="7" t="n">
        <f aca="false">IF(AND(LEFT(A4522,1)&lt;&gt;"C",D4522&gt;0,F4522&gt;0),1,0)</f>
        <v>1</v>
      </c>
      <c r="J4522" s="7" t="n">
        <f aca="false">IF(I4522=1,D4522*F4522,0)</f>
        <v>10</v>
      </c>
      <c r="K4522" s="7" t="n">
        <f aca="false">YEAR(E4522)*100+MONTH(E4522)</f>
        <v>201111</v>
      </c>
      <c r="L4522" s="7" t="n">
        <f aca="false">IF(AND(A4522&lt;&gt;A4521,LEFT(A4522,1)&lt;&gt;"C"),1,0)</f>
        <v>0</v>
      </c>
    </row>
    <row r="4523" customFormat="false" ht="15" hidden="false" customHeight="false" outlineLevel="0" collapsed="false">
      <c r="A4523" s="0" t="s">
        <v>2836</v>
      </c>
      <c r="B4523" s="0" t="s">
        <v>177</v>
      </c>
      <c r="C4523" s="0" t="s">
        <v>178</v>
      </c>
      <c r="D4523" s="0" t="n">
        <v>8</v>
      </c>
      <c r="E4523" s="6" t="n">
        <v>40855.5090277778</v>
      </c>
      <c r="F4523" s="0" t="n">
        <v>1.25</v>
      </c>
      <c r="G4523" s="0" t="n">
        <v>12721</v>
      </c>
      <c r="H4523" s="0" t="s">
        <v>43</v>
      </c>
      <c r="I4523" s="7" t="n">
        <f aca="false">IF(AND(LEFT(A4523,1)&lt;&gt;"C",D4523&gt;0,F4523&gt;0),1,0)</f>
        <v>1</v>
      </c>
      <c r="J4523" s="7" t="n">
        <f aca="false">IF(I4523=1,D4523*F4523,0)</f>
        <v>10</v>
      </c>
      <c r="K4523" s="7" t="n">
        <f aca="false">YEAR(E4523)*100+MONTH(E4523)</f>
        <v>201111</v>
      </c>
      <c r="L4523" s="7" t="n">
        <f aca="false">IF(AND(A4523&lt;&gt;A4522,LEFT(A4523,1)&lt;&gt;"C"),1,0)</f>
        <v>0</v>
      </c>
    </row>
    <row r="4524" customFormat="false" ht="15" hidden="false" customHeight="false" outlineLevel="0" collapsed="false">
      <c r="A4524" s="0" t="s">
        <v>2836</v>
      </c>
      <c r="B4524" s="0" t="s">
        <v>171</v>
      </c>
      <c r="C4524" s="0" t="s">
        <v>172</v>
      </c>
      <c r="D4524" s="0" t="n">
        <v>8</v>
      </c>
      <c r="E4524" s="6" t="n">
        <v>40855.5090277778</v>
      </c>
      <c r="F4524" s="0" t="n">
        <v>1.25</v>
      </c>
      <c r="G4524" s="0" t="n">
        <v>12721</v>
      </c>
      <c r="H4524" s="0" t="s">
        <v>43</v>
      </c>
      <c r="I4524" s="7" t="n">
        <f aca="false">IF(AND(LEFT(A4524,1)&lt;&gt;"C",D4524&gt;0,F4524&gt;0),1,0)</f>
        <v>1</v>
      </c>
      <c r="J4524" s="7" t="n">
        <f aca="false">IF(I4524=1,D4524*F4524,0)</f>
        <v>10</v>
      </c>
      <c r="K4524" s="7" t="n">
        <f aca="false">YEAR(E4524)*100+MONTH(E4524)</f>
        <v>201111</v>
      </c>
      <c r="L4524" s="7" t="n">
        <f aca="false">IF(AND(A4524&lt;&gt;A4523,LEFT(A4524,1)&lt;&gt;"C"),1,0)</f>
        <v>0</v>
      </c>
    </row>
    <row r="4525" customFormat="false" ht="15" hidden="false" customHeight="false" outlineLevel="0" collapsed="false">
      <c r="A4525" s="0" t="s">
        <v>2836</v>
      </c>
      <c r="B4525" s="0" t="s">
        <v>84</v>
      </c>
      <c r="C4525" s="0" t="s">
        <v>85</v>
      </c>
      <c r="D4525" s="0" t="n">
        <v>3</v>
      </c>
      <c r="E4525" s="6" t="n">
        <v>40855.5090277778</v>
      </c>
      <c r="F4525" s="0" t="n">
        <v>18</v>
      </c>
      <c r="G4525" s="0" t="n">
        <v>12721</v>
      </c>
      <c r="H4525" s="0" t="s">
        <v>43</v>
      </c>
      <c r="I4525" s="7" t="n">
        <f aca="false">IF(AND(LEFT(A4525,1)&lt;&gt;"C",D4525&gt;0,F4525&gt;0),1,0)</f>
        <v>1</v>
      </c>
      <c r="J4525" s="7" t="n">
        <f aca="false">IF(I4525=1,D4525*F4525,0)</f>
        <v>54</v>
      </c>
      <c r="K4525" s="7" t="n">
        <f aca="false">YEAR(E4525)*100+MONTH(E4525)</f>
        <v>201111</v>
      </c>
      <c r="L4525" s="7" t="n">
        <f aca="false">IF(AND(A4525&lt;&gt;A4524,LEFT(A4525,1)&lt;&gt;"C"),1,0)</f>
        <v>0</v>
      </c>
    </row>
    <row r="4526" customFormat="false" ht="15" hidden="false" customHeight="false" outlineLevel="0" collapsed="false">
      <c r="A4526" s="0" t="s">
        <v>2837</v>
      </c>
      <c r="B4526" s="0" t="s">
        <v>1676</v>
      </c>
      <c r="C4526" s="0" t="s">
        <v>1677</v>
      </c>
      <c r="D4526" s="0" t="n">
        <v>-1</v>
      </c>
      <c r="E4526" s="6" t="n">
        <v>40855.5270833333</v>
      </c>
      <c r="F4526" s="0" t="n">
        <v>5.95</v>
      </c>
      <c r="G4526" s="0" t="n">
        <v>12472</v>
      </c>
      <c r="H4526" s="0" t="s">
        <v>33</v>
      </c>
      <c r="I4526" s="7" t="n">
        <f aca="false">IF(AND(LEFT(A4526,1)&lt;&gt;"C",D4526&gt;0,F4526&gt;0),1,0)</f>
        <v>0</v>
      </c>
      <c r="J4526" s="7" t="n">
        <f aca="false">IF(I4526=1,D4526*F4526,0)</f>
        <v>0</v>
      </c>
      <c r="K4526" s="7" t="n">
        <f aca="false">YEAR(E4526)*100+MONTH(E4526)</f>
        <v>201111</v>
      </c>
      <c r="L4526" s="7" t="n">
        <f aca="false">IF(AND(A4526&lt;&gt;A4525,LEFT(A4526,1)&lt;&gt;"C"),1,0)</f>
        <v>0</v>
      </c>
    </row>
    <row r="4527" customFormat="false" ht="15" hidden="false" customHeight="false" outlineLevel="0" collapsed="false">
      <c r="A4527" s="0" t="s">
        <v>2837</v>
      </c>
      <c r="B4527" s="0" t="s">
        <v>107</v>
      </c>
      <c r="C4527" s="0" t="s">
        <v>108</v>
      </c>
      <c r="D4527" s="0" t="n">
        <v>-8</v>
      </c>
      <c r="E4527" s="6" t="n">
        <v>40855.5270833333</v>
      </c>
      <c r="F4527" s="0" t="n">
        <v>2.55</v>
      </c>
      <c r="G4527" s="0" t="n">
        <v>12472</v>
      </c>
      <c r="H4527" s="0" t="s">
        <v>33</v>
      </c>
      <c r="I4527" s="7" t="n">
        <f aca="false">IF(AND(LEFT(A4527,1)&lt;&gt;"C",D4527&gt;0,F4527&gt;0),1,0)</f>
        <v>0</v>
      </c>
      <c r="J4527" s="7" t="n">
        <f aca="false">IF(I4527=1,D4527*F4527,0)</f>
        <v>0</v>
      </c>
      <c r="K4527" s="7" t="n">
        <f aca="false">YEAR(E4527)*100+MONTH(E4527)</f>
        <v>201111</v>
      </c>
      <c r="L4527" s="7" t="n">
        <f aca="false">IF(AND(A4527&lt;&gt;A4526,LEFT(A4527,1)&lt;&gt;"C"),1,0)</f>
        <v>0</v>
      </c>
    </row>
    <row r="4528" customFormat="false" ht="15" hidden="false" customHeight="false" outlineLevel="0" collapsed="false">
      <c r="A4528" s="0" t="s">
        <v>2837</v>
      </c>
      <c r="B4528" s="0" t="s">
        <v>2303</v>
      </c>
      <c r="C4528" s="0" t="s">
        <v>2304</v>
      </c>
      <c r="D4528" s="0" t="n">
        <v>-1</v>
      </c>
      <c r="E4528" s="6" t="n">
        <v>40855.5270833333</v>
      </c>
      <c r="F4528" s="0" t="n">
        <v>2.1</v>
      </c>
      <c r="G4528" s="0" t="n">
        <v>12472</v>
      </c>
      <c r="H4528" s="0" t="s">
        <v>33</v>
      </c>
      <c r="I4528" s="7" t="n">
        <f aca="false">IF(AND(LEFT(A4528,1)&lt;&gt;"C",D4528&gt;0,F4528&gt;0),1,0)</f>
        <v>0</v>
      </c>
      <c r="J4528" s="7" t="n">
        <f aca="false">IF(I4528=1,D4528*F4528,0)</f>
        <v>0</v>
      </c>
      <c r="K4528" s="7" t="n">
        <f aca="false">YEAR(E4528)*100+MONTH(E4528)</f>
        <v>201111</v>
      </c>
      <c r="L4528" s="7" t="n">
        <f aca="false">IF(AND(A4528&lt;&gt;A4527,LEFT(A4528,1)&lt;&gt;"C"),1,0)</f>
        <v>0</v>
      </c>
    </row>
    <row r="4529" customFormat="false" ht="15" hidden="false" customHeight="false" outlineLevel="0" collapsed="false">
      <c r="A4529" s="0" t="s">
        <v>2837</v>
      </c>
      <c r="B4529" s="0" t="s">
        <v>1416</v>
      </c>
      <c r="C4529" s="0" t="s">
        <v>1417</v>
      </c>
      <c r="D4529" s="0" t="n">
        <v>-1</v>
      </c>
      <c r="E4529" s="6" t="n">
        <v>40855.5270833333</v>
      </c>
      <c r="F4529" s="0" t="n">
        <v>1.45</v>
      </c>
      <c r="G4529" s="0" t="n">
        <v>12472</v>
      </c>
      <c r="H4529" s="0" t="s">
        <v>33</v>
      </c>
      <c r="I4529" s="7" t="n">
        <f aca="false">IF(AND(LEFT(A4529,1)&lt;&gt;"C",D4529&gt;0,F4529&gt;0),1,0)</f>
        <v>0</v>
      </c>
      <c r="J4529" s="7" t="n">
        <f aca="false">IF(I4529=1,D4529*F4529,0)</f>
        <v>0</v>
      </c>
      <c r="K4529" s="7" t="n">
        <f aca="false">YEAR(E4529)*100+MONTH(E4529)</f>
        <v>201111</v>
      </c>
      <c r="L4529" s="7" t="n">
        <f aca="false">IF(AND(A4529&lt;&gt;A4528,LEFT(A4529,1)&lt;&gt;"C"),1,0)</f>
        <v>0</v>
      </c>
    </row>
    <row r="4530" customFormat="false" ht="15" hidden="false" customHeight="false" outlineLevel="0" collapsed="false">
      <c r="A4530" s="0" t="s">
        <v>2837</v>
      </c>
      <c r="B4530" s="0" t="s">
        <v>465</v>
      </c>
      <c r="C4530" s="0" t="s">
        <v>466</v>
      </c>
      <c r="D4530" s="0" t="n">
        <v>-1</v>
      </c>
      <c r="E4530" s="6" t="n">
        <v>40855.5270833333</v>
      </c>
      <c r="F4530" s="0" t="n">
        <v>7.95</v>
      </c>
      <c r="G4530" s="0" t="n">
        <v>12472</v>
      </c>
      <c r="H4530" s="0" t="s">
        <v>33</v>
      </c>
      <c r="I4530" s="7" t="n">
        <f aca="false">IF(AND(LEFT(A4530,1)&lt;&gt;"C",D4530&gt;0,F4530&gt;0),1,0)</f>
        <v>0</v>
      </c>
      <c r="J4530" s="7" t="n">
        <f aca="false">IF(I4530=1,D4530*F4530,0)</f>
        <v>0</v>
      </c>
      <c r="K4530" s="7" t="n">
        <f aca="false">YEAR(E4530)*100+MONTH(E4530)</f>
        <v>201111</v>
      </c>
      <c r="L4530" s="7" t="n">
        <f aca="false">IF(AND(A4530&lt;&gt;A4529,LEFT(A4530,1)&lt;&gt;"C"),1,0)</f>
        <v>0</v>
      </c>
    </row>
    <row r="4531" customFormat="false" ht="15" hidden="false" customHeight="false" outlineLevel="0" collapsed="false">
      <c r="A4531" s="0" t="s">
        <v>2837</v>
      </c>
      <c r="B4531" s="0" t="s">
        <v>569</v>
      </c>
      <c r="C4531" s="0" t="s">
        <v>570</v>
      </c>
      <c r="D4531" s="0" t="n">
        <v>-2</v>
      </c>
      <c r="E4531" s="6" t="n">
        <v>40855.5270833333</v>
      </c>
      <c r="F4531" s="0" t="n">
        <v>2.08</v>
      </c>
      <c r="G4531" s="0" t="n">
        <v>12472</v>
      </c>
      <c r="H4531" s="0" t="s">
        <v>33</v>
      </c>
      <c r="I4531" s="7" t="n">
        <f aca="false">IF(AND(LEFT(A4531,1)&lt;&gt;"C",D4531&gt;0,F4531&gt;0),1,0)</f>
        <v>0</v>
      </c>
      <c r="J4531" s="7" t="n">
        <f aca="false">IF(I4531=1,D4531*F4531,0)</f>
        <v>0</v>
      </c>
      <c r="K4531" s="7" t="n">
        <f aca="false">YEAR(E4531)*100+MONTH(E4531)</f>
        <v>201111</v>
      </c>
      <c r="L4531" s="7" t="n">
        <f aca="false">IF(AND(A4531&lt;&gt;A4530,LEFT(A4531,1)&lt;&gt;"C"),1,0)</f>
        <v>0</v>
      </c>
    </row>
    <row r="4532" customFormat="false" ht="15" hidden="false" customHeight="false" outlineLevel="0" collapsed="false">
      <c r="A4532" s="0" t="s">
        <v>2838</v>
      </c>
      <c r="B4532" s="0" t="s">
        <v>2573</v>
      </c>
      <c r="C4532" s="0" t="s">
        <v>2574</v>
      </c>
      <c r="D4532" s="0" t="n">
        <v>20</v>
      </c>
      <c r="E4532" s="6" t="n">
        <v>40855.53125</v>
      </c>
      <c r="F4532" s="0" t="n">
        <v>3.75</v>
      </c>
      <c r="G4532" s="0" t="n">
        <v>12583</v>
      </c>
      <c r="H4532" s="0" t="s">
        <v>43</v>
      </c>
      <c r="I4532" s="7" t="n">
        <f aca="false">IF(AND(LEFT(A4532,1)&lt;&gt;"C",D4532&gt;0,F4532&gt;0),1,0)</f>
        <v>1</v>
      </c>
      <c r="J4532" s="7" t="n">
        <f aca="false">IF(I4532=1,D4532*F4532,0)</f>
        <v>75</v>
      </c>
      <c r="K4532" s="7" t="n">
        <f aca="false">YEAR(E4532)*100+MONTH(E4532)</f>
        <v>201111</v>
      </c>
      <c r="L4532" s="7" t="n">
        <f aca="false">IF(AND(A4532&lt;&gt;A4531,LEFT(A4532,1)&lt;&gt;"C"),1,0)</f>
        <v>1</v>
      </c>
    </row>
    <row r="4533" customFormat="false" ht="15" hidden="false" customHeight="false" outlineLevel="0" collapsed="false">
      <c r="A4533" s="0" t="s">
        <v>2838</v>
      </c>
      <c r="B4533" s="0" t="s">
        <v>2593</v>
      </c>
      <c r="C4533" s="0" t="s">
        <v>2594</v>
      </c>
      <c r="D4533" s="0" t="n">
        <v>12</v>
      </c>
      <c r="E4533" s="6" t="n">
        <v>40855.53125</v>
      </c>
      <c r="F4533" s="0" t="n">
        <v>1.25</v>
      </c>
      <c r="G4533" s="0" t="n">
        <v>12583</v>
      </c>
      <c r="H4533" s="0" t="s">
        <v>43</v>
      </c>
      <c r="I4533" s="7" t="n">
        <f aca="false">IF(AND(LEFT(A4533,1)&lt;&gt;"C",D4533&gt;0,F4533&gt;0),1,0)</f>
        <v>1</v>
      </c>
      <c r="J4533" s="7" t="n">
        <f aca="false">IF(I4533=1,D4533*F4533,0)</f>
        <v>15</v>
      </c>
      <c r="K4533" s="7" t="n">
        <f aca="false">YEAR(E4533)*100+MONTH(E4533)</f>
        <v>201111</v>
      </c>
      <c r="L4533" s="7" t="n">
        <f aca="false">IF(AND(A4533&lt;&gt;A4532,LEFT(A4533,1)&lt;&gt;"C"),1,0)</f>
        <v>0</v>
      </c>
    </row>
    <row r="4534" customFormat="false" ht="15" hidden="false" customHeight="false" outlineLevel="0" collapsed="false">
      <c r="A4534" s="0" t="s">
        <v>2838</v>
      </c>
      <c r="B4534" s="0" t="s">
        <v>1501</v>
      </c>
      <c r="C4534" s="0" t="s">
        <v>1502</v>
      </c>
      <c r="D4534" s="0" t="n">
        <v>16</v>
      </c>
      <c r="E4534" s="6" t="n">
        <v>40855.53125</v>
      </c>
      <c r="F4534" s="0" t="n">
        <v>0.65</v>
      </c>
      <c r="G4534" s="0" t="n">
        <v>12583</v>
      </c>
      <c r="H4534" s="0" t="s">
        <v>43</v>
      </c>
      <c r="I4534" s="7" t="n">
        <f aca="false">IF(AND(LEFT(A4534,1)&lt;&gt;"C",D4534&gt;0,F4534&gt;0),1,0)</f>
        <v>1</v>
      </c>
      <c r="J4534" s="7" t="n">
        <f aca="false">IF(I4534=1,D4534*F4534,0)</f>
        <v>10.4</v>
      </c>
      <c r="K4534" s="7" t="n">
        <f aca="false">YEAR(E4534)*100+MONTH(E4534)</f>
        <v>201111</v>
      </c>
      <c r="L4534" s="7" t="n">
        <f aca="false">IF(AND(A4534&lt;&gt;A4533,LEFT(A4534,1)&lt;&gt;"C"),1,0)</f>
        <v>0</v>
      </c>
    </row>
    <row r="4535" customFormat="false" ht="15" hidden="false" customHeight="false" outlineLevel="0" collapsed="false">
      <c r="A4535" s="0" t="s">
        <v>2838</v>
      </c>
      <c r="B4535" s="0" t="s">
        <v>97</v>
      </c>
      <c r="C4535" s="0" t="s">
        <v>98</v>
      </c>
      <c r="D4535" s="0" t="n">
        <v>24</v>
      </c>
      <c r="E4535" s="6" t="n">
        <v>40855.53125</v>
      </c>
      <c r="F4535" s="0" t="n">
        <v>1.65</v>
      </c>
      <c r="G4535" s="0" t="n">
        <v>12583</v>
      </c>
      <c r="H4535" s="0" t="s">
        <v>43</v>
      </c>
      <c r="I4535" s="7" t="n">
        <f aca="false">IF(AND(LEFT(A4535,1)&lt;&gt;"C",D4535&gt;0,F4535&gt;0),1,0)</f>
        <v>1</v>
      </c>
      <c r="J4535" s="7" t="n">
        <f aca="false">IF(I4535=1,D4535*F4535,0)</f>
        <v>39.6</v>
      </c>
      <c r="K4535" s="7" t="n">
        <f aca="false">YEAR(E4535)*100+MONTH(E4535)</f>
        <v>201111</v>
      </c>
      <c r="L4535" s="7" t="n">
        <f aca="false">IF(AND(A4535&lt;&gt;A4534,LEFT(A4535,1)&lt;&gt;"C"),1,0)</f>
        <v>0</v>
      </c>
    </row>
    <row r="4536" customFormat="false" ht="15" hidden="false" customHeight="false" outlineLevel="0" collapsed="false">
      <c r="A4536" s="0" t="s">
        <v>2838</v>
      </c>
      <c r="B4536" s="0" t="s">
        <v>215</v>
      </c>
      <c r="C4536" s="0" t="s">
        <v>216</v>
      </c>
      <c r="D4536" s="0" t="n">
        <v>24</v>
      </c>
      <c r="E4536" s="6" t="n">
        <v>40855.53125</v>
      </c>
      <c r="F4536" s="0" t="n">
        <v>0.55</v>
      </c>
      <c r="G4536" s="0" t="n">
        <v>12583</v>
      </c>
      <c r="H4536" s="0" t="s">
        <v>43</v>
      </c>
      <c r="I4536" s="7" t="n">
        <f aca="false">IF(AND(LEFT(A4536,1)&lt;&gt;"C",D4536&gt;0,F4536&gt;0),1,0)</f>
        <v>1</v>
      </c>
      <c r="J4536" s="7" t="n">
        <f aca="false">IF(I4536=1,D4536*F4536,0)</f>
        <v>13.2</v>
      </c>
      <c r="K4536" s="7" t="n">
        <f aca="false">YEAR(E4536)*100+MONTH(E4536)</f>
        <v>201111</v>
      </c>
      <c r="L4536" s="7" t="n">
        <f aca="false">IF(AND(A4536&lt;&gt;A4535,LEFT(A4536,1)&lt;&gt;"C"),1,0)</f>
        <v>0</v>
      </c>
    </row>
    <row r="4537" customFormat="false" ht="15" hidden="false" customHeight="false" outlineLevel="0" collapsed="false">
      <c r="A4537" s="0" t="s">
        <v>2838</v>
      </c>
      <c r="B4537" s="0" t="s">
        <v>771</v>
      </c>
      <c r="C4537" s="0" t="s">
        <v>772</v>
      </c>
      <c r="D4537" s="0" t="n">
        <v>24</v>
      </c>
      <c r="E4537" s="6" t="n">
        <v>40855.53125</v>
      </c>
      <c r="F4537" s="0" t="n">
        <v>0.55</v>
      </c>
      <c r="G4537" s="0" t="n">
        <v>12583</v>
      </c>
      <c r="H4537" s="0" t="s">
        <v>43</v>
      </c>
      <c r="I4537" s="7" t="n">
        <f aca="false">IF(AND(LEFT(A4537,1)&lt;&gt;"C",D4537&gt;0,F4537&gt;0),1,0)</f>
        <v>1</v>
      </c>
      <c r="J4537" s="7" t="n">
        <f aca="false">IF(I4537=1,D4537*F4537,0)</f>
        <v>13.2</v>
      </c>
      <c r="K4537" s="7" t="n">
        <f aca="false">YEAR(E4537)*100+MONTH(E4537)</f>
        <v>201111</v>
      </c>
      <c r="L4537" s="7" t="n">
        <f aca="false">IF(AND(A4537&lt;&gt;A4536,LEFT(A4537,1)&lt;&gt;"C"),1,0)</f>
        <v>0</v>
      </c>
    </row>
    <row r="4538" customFormat="false" ht="15" hidden="false" customHeight="false" outlineLevel="0" collapsed="false">
      <c r="A4538" s="0" t="s">
        <v>2838</v>
      </c>
      <c r="B4538" s="0" t="s">
        <v>941</v>
      </c>
      <c r="C4538" s="0" t="s">
        <v>942</v>
      </c>
      <c r="D4538" s="0" t="n">
        <v>24</v>
      </c>
      <c r="E4538" s="6" t="n">
        <v>40855.53125</v>
      </c>
      <c r="F4538" s="0" t="n">
        <v>0.55</v>
      </c>
      <c r="G4538" s="0" t="n">
        <v>12583</v>
      </c>
      <c r="H4538" s="0" t="s">
        <v>43</v>
      </c>
      <c r="I4538" s="7" t="n">
        <f aca="false">IF(AND(LEFT(A4538,1)&lt;&gt;"C",D4538&gt;0,F4538&gt;0),1,0)</f>
        <v>1</v>
      </c>
      <c r="J4538" s="7" t="n">
        <f aca="false">IF(I4538=1,D4538*F4538,0)</f>
        <v>13.2</v>
      </c>
      <c r="K4538" s="7" t="n">
        <f aca="false">YEAR(E4538)*100+MONTH(E4538)</f>
        <v>201111</v>
      </c>
      <c r="L4538" s="7" t="n">
        <f aca="false">IF(AND(A4538&lt;&gt;A4537,LEFT(A4538,1)&lt;&gt;"C"),1,0)</f>
        <v>0</v>
      </c>
    </row>
    <row r="4539" customFormat="false" ht="15" hidden="false" customHeight="false" outlineLevel="0" collapsed="false">
      <c r="A4539" s="0" t="s">
        <v>2838</v>
      </c>
      <c r="B4539" s="0" t="s">
        <v>794</v>
      </c>
      <c r="C4539" s="0" t="s">
        <v>795</v>
      </c>
      <c r="D4539" s="0" t="n">
        <v>20</v>
      </c>
      <c r="E4539" s="6" t="n">
        <v>40855.53125</v>
      </c>
      <c r="F4539" s="0" t="n">
        <v>0.85</v>
      </c>
      <c r="G4539" s="0" t="n">
        <v>12583</v>
      </c>
      <c r="H4539" s="0" t="s">
        <v>43</v>
      </c>
      <c r="I4539" s="7" t="n">
        <f aca="false">IF(AND(LEFT(A4539,1)&lt;&gt;"C",D4539&gt;0,F4539&gt;0),1,0)</f>
        <v>1</v>
      </c>
      <c r="J4539" s="7" t="n">
        <f aca="false">IF(I4539=1,D4539*F4539,0)</f>
        <v>17</v>
      </c>
      <c r="K4539" s="7" t="n">
        <f aca="false">YEAR(E4539)*100+MONTH(E4539)</f>
        <v>201111</v>
      </c>
      <c r="L4539" s="7" t="n">
        <f aca="false">IF(AND(A4539&lt;&gt;A4538,LEFT(A4539,1)&lt;&gt;"C"),1,0)</f>
        <v>0</v>
      </c>
    </row>
    <row r="4540" customFormat="false" ht="15" hidden="false" customHeight="false" outlineLevel="0" collapsed="false">
      <c r="A4540" s="0" t="s">
        <v>2838</v>
      </c>
      <c r="B4540" s="0" t="s">
        <v>667</v>
      </c>
      <c r="C4540" s="0" t="s">
        <v>668</v>
      </c>
      <c r="D4540" s="0" t="n">
        <v>20</v>
      </c>
      <c r="E4540" s="6" t="n">
        <v>40855.53125</v>
      </c>
      <c r="F4540" s="0" t="n">
        <v>0.85</v>
      </c>
      <c r="G4540" s="0" t="n">
        <v>12583</v>
      </c>
      <c r="H4540" s="0" t="s">
        <v>43</v>
      </c>
      <c r="I4540" s="7" t="n">
        <f aca="false">IF(AND(LEFT(A4540,1)&lt;&gt;"C",D4540&gt;0,F4540&gt;0),1,0)</f>
        <v>1</v>
      </c>
      <c r="J4540" s="7" t="n">
        <f aca="false">IF(I4540=1,D4540*F4540,0)</f>
        <v>17</v>
      </c>
      <c r="K4540" s="7" t="n">
        <f aca="false">YEAR(E4540)*100+MONTH(E4540)</f>
        <v>201111</v>
      </c>
      <c r="L4540" s="7" t="n">
        <f aca="false">IF(AND(A4540&lt;&gt;A4539,LEFT(A4540,1)&lt;&gt;"C"),1,0)</f>
        <v>0</v>
      </c>
    </row>
    <row r="4541" customFormat="false" ht="15" hidden="false" customHeight="false" outlineLevel="0" collapsed="false">
      <c r="A4541" s="0" t="s">
        <v>2838</v>
      </c>
      <c r="B4541" s="0" t="s">
        <v>168</v>
      </c>
      <c r="C4541" s="0" t="s">
        <v>169</v>
      </c>
      <c r="D4541" s="0" t="n">
        <v>10</v>
      </c>
      <c r="E4541" s="6" t="n">
        <v>40855.53125</v>
      </c>
      <c r="F4541" s="0" t="n">
        <v>0.85</v>
      </c>
      <c r="G4541" s="0" t="n">
        <v>12583</v>
      </c>
      <c r="H4541" s="0" t="s">
        <v>43</v>
      </c>
      <c r="I4541" s="7" t="n">
        <f aca="false">IF(AND(LEFT(A4541,1)&lt;&gt;"C",D4541&gt;0,F4541&gt;0),1,0)</f>
        <v>1</v>
      </c>
      <c r="J4541" s="7" t="n">
        <f aca="false">IF(I4541=1,D4541*F4541,0)</f>
        <v>8.5</v>
      </c>
      <c r="K4541" s="7" t="n">
        <f aca="false">YEAR(E4541)*100+MONTH(E4541)</f>
        <v>201111</v>
      </c>
      <c r="L4541" s="7" t="n">
        <f aca="false">IF(AND(A4541&lt;&gt;A4540,LEFT(A4541,1)&lt;&gt;"C"),1,0)</f>
        <v>0</v>
      </c>
    </row>
    <row r="4542" customFormat="false" ht="15" hidden="false" customHeight="false" outlineLevel="0" collapsed="false">
      <c r="A4542" s="0" t="s">
        <v>2838</v>
      </c>
      <c r="B4542" s="0" t="s">
        <v>416</v>
      </c>
      <c r="C4542" s="0" t="s">
        <v>417</v>
      </c>
      <c r="D4542" s="0" t="n">
        <v>108</v>
      </c>
      <c r="E4542" s="6" t="n">
        <v>40855.53125</v>
      </c>
      <c r="F4542" s="0" t="n">
        <v>0.65</v>
      </c>
      <c r="G4542" s="0" t="n">
        <v>12583</v>
      </c>
      <c r="H4542" s="0" t="s">
        <v>43</v>
      </c>
      <c r="I4542" s="7" t="n">
        <f aca="false">IF(AND(LEFT(A4542,1)&lt;&gt;"C",D4542&gt;0,F4542&gt;0),1,0)</f>
        <v>1</v>
      </c>
      <c r="J4542" s="7" t="n">
        <f aca="false">IF(I4542=1,D4542*F4542,0)</f>
        <v>70.2</v>
      </c>
      <c r="K4542" s="7" t="n">
        <f aca="false">YEAR(E4542)*100+MONTH(E4542)</f>
        <v>201111</v>
      </c>
      <c r="L4542" s="7" t="n">
        <f aca="false">IF(AND(A4542&lt;&gt;A4541,LEFT(A4542,1)&lt;&gt;"C"),1,0)</f>
        <v>0</v>
      </c>
    </row>
    <row r="4543" customFormat="false" ht="15" hidden="false" customHeight="false" outlineLevel="0" collapsed="false">
      <c r="A4543" s="0" t="s">
        <v>2838</v>
      </c>
      <c r="B4543" s="0" t="s">
        <v>1425</v>
      </c>
      <c r="C4543" s="0" t="s">
        <v>1426</v>
      </c>
      <c r="D4543" s="0" t="n">
        <v>4</v>
      </c>
      <c r="E4543" s="6" t="n">
        <v>40855.53125</v>
      </c>
      <c r="F4543" s="0" t="n">
        <v>8.5</v>
      </c>
      <c r="G4543" s="0" t="n">
        <v>12583</v>
      </c>
      <c r="H4543" s="0" t="s">
        <v>43</v>
      </c>
      <c r="I4543" s="7" t="n">
        <f aca="false">IF(AND(LEFT(A4543,1)&lt;&gt;"C",D4543&gt;0,F4543&gt;0),1,0)</f>
        <v>1</v>
      </c>
      <c r="J4543" s="7" t="n">
        <f aca="false">IF(I4543=1,D4543*F4543,0)</f>
        <v>34</v>
      </c>
      <c r="K4543" s="7" t="n">
        <f aca="false">YEAR(E4543)*100+MONTH(E4543)</f>
        <v>201111</v>
      </c>
      <c r="L4543" s="7" t="n">
        <f aca="false">IF(AND(A4543&lt;&gt;A4542,LEFT(A4543,1)&lt;&gt;"C"),1,0)</f>
        <v>0</v>
      </c>
    </row>
    <row r="4544" customFormat="false" ht="15" hidden="false" customHeight="false" outlineLevel="0" collapsed="false">
      <c r="A4544" s="0" t="s">
        <v>2838</v>
      </c>
      <c r="B4544" s="0" t="s">
        <v>213</v>
      </c>
      <c r="C4544" s="0" t="s">
        <v>214</v>
      </c>
      <c r="D4544" s="0" t="n">
        <v>24</v>
      </c>
      <c r="E4544" s="6" t="n">
        <v>40855.53125</v>
      </c>
      <c r="F4544" s="0" t="n">
        <v>0.85</v>
      </c>
      <c r="G4544" s="0" t="n">
        <v>12583</v>
      </c>
      <c r="H4544" s="0" t="s">
        <v>43</v>
      </c>
      <c r="I4544" s="7" t="n">
        <f aca="false">IF(AND(LEFT(A4544,1)&lt;&gt;"C",D4544&gt;0,F4544&gt;0),1,0)</f>
        <v>1</v>
      </c>
      <c r="J4544" s="7" t="n">
        <f aca="false">IF(I4544=1,D4544*F4544,0)</f>
        <v>20.4</v>
      </c>
      <c r="K4544" s="7" t="n">
        <f aca="false">YEAR(E4544)*100+MONTH(E4544)</f>
        <v>201111</v>
      </c>
      <c r="L4544" s="7" t="n">
        <f aca="false">IF(AND(A4544&lt;&gt;A4543,LEFT(A4544,1)&lt;&gt;"C"),1,0)</f>
        <v>0</v>
      </c>
    </row>
    <row r="4545" customFormat="false" ht="15" hidden="false" customHeight="false" outlineLevel="0" collapsed="false">
      <c r="A4545" s="0" t="s">
        <v>2838</v>
      </c>
      <c r="B4545" s="0" t="s">
        <v>189</v>
      </c>
      <c r="C4545" s="0" t="s">
        <v>190</v>
      </c>
      <c r="D4545" s="0" t="n">
        <v>6</v>
      </c>
      <c r="E4545" s="6" t="n">
        <v>40855.53125</v>
      </c>
      <c r="F4545" s="0" t="n">
        <v>2.95</v>
      </c>
      <c r="G4545" s="0" t="n">
        <v>12583</v>
      </c>
      <c r="H4545" s="0" t="s">
        <v>43</v>
      </c>
      <c r="I4545" s="7" t="n">
        <f aca="false">IF(AND(LEFT(A4545,1)&lt;&gt;"C",D4545&gt;0,F4545&gt;0),1,0)</f>
        <v>1</v>
      </c>
      <c r="J4545" s="7" t="n">
        <f aca="false">IF(I4545=1,D4545*F4545,0)</f>
        <v>17.7</v>
      </c>
      <c r="K4545" s="7" t="n">
        <f aca="false">YEAR(E4545)*100+MONTH(E4545)</f>
        <v>201111</v>
      </c>
      <c r="L4545" s="7" t="n">
        <f aca="false">IF(AND(A4545&lt;&gt;A4544,LEFT(A4545,1)&lt;&gt;"C"),1,0)</f>
        <v>0</v>
      </c>
    </row>
    <row r="4546" customFormat="false" ht="15" hidden="false" customHeight="false" outlineLevel="0" collapsed="false">
      <c r="A4546" s="0" t="s">
        <v>2838</v>
      </c>
      <c r="B4546" s="0" t="s">
        <v>123</v>
      </c>
      <c r="C4546" s="0" t="s">
        <v>124</v>
      </c>
      <c r="D4546" s="0" t="n">
        <v>6</v>
      </c>
      <c r="E4546" s="6" t="n">
        <v>40855.53125</v>
      </c>
      <c r="F4546" s="0" t="n">
        <v>2.95</v>
      </c>
      <c r="G4546" s="0" t="n">
        <v>12583</v>
      </c>
      <c r="H4546" s="0" t="s">
        <v>43</v>
      </c>
      <c r="I4546" s="7" t="n">
        <f aca="false">IF(AND(LEFT(A4546,1)&lt;&gt;"C",D4546&gt;0,F4546&gt;0),1,0)</f>
        <v>1</v>
      </c>
      <c r="J4546" s="7" t="n">
        <f aca="false">IF(I4546=1,D4546*F4546,0)</f>
        <v>17.7</v>
      </c>
      <c r="K4546" s="7" t="n">
        <f aca="false">YEAR(E4546)*100+MONTH(E4546)</f>
        <v>201111</v>
      </c>
      <c r="L4546" s="7" t="n">
        <f aca="false">IF(AND(A4546&lt;&gt;A4545,LEFT(A4546,1)&lt;&gt;"C"),1,0)</f>
        <v>0</v>
      </c>
    </row>
    <row r="4547" customFormat="false" ht="15" hidden="false" customHeight="false" outlineLevel="0" collapsed="false">
      <c r="A4547" s="0" t="s">
        <v>2838</v>
      </c>
      <c r="B4547" s="0" t="s">
        <v>610</v>
      </c>
      <c r="C4547" s="0" t="s">
        <v>611</v>
      </c>
      <c r="D4547" s="0" t="n">
        <v>12</v>
      </c>
      <c r="E4547" s="6" t="n">
        <v>40855.53125</v>
      </c>
      <c r="F4547" s="0" t="n">
        <v>2.95</v>
      </c>
      <c r="G4547" s="0" t="n">
        <v>12583</v>
      </c>
      <c r="H4547" s="0" t="s">
        <v>43</v>
      </c>
      <c r="I4547" s="7" t="n">
        <f aca="false">IF(AND(LEFT(A4547,1)&lt;&gt;"C",D4547&gt;0,F4547&gt;0),1,0)</f>
        <v>1</v>
      </c>
      <c r="J4547" s="7" t="n">
        <f aca="false">IF(I4547=1,D4547*F4547,0)</f>
        <v>35.4</v>
      </c>
      <c r="K4547" s="7" t="n">
        <f aca="false">YEAR(E4547)*100+MONTH(E4547)</f>
        <v>201111</v>
      </c>
      <c r="L4547" s="7" t="n">
        <f aca="false">IF(AND(A4547&lt;&gt;A4546,LEFT(A4547,1)&lt;&gt;"C"),1,0)</f>
        <v>0</v>
      </c>
    </row>
    <row r="4548" customFormat="false" ht="15" hidden="false" customHeight="false" outlineLevel="0" collapsed="false">
      <c r="A4548" s="0" t="s">
        <v>2838</v>
      </c>
      <c r="B4548" s="0" t="s">
        <v>989</v>
      </c>
      <c r="C4548" s="0" t="s">
        <v>990</v>
      </c>
      <c r="D4548" s="0" t="n">
        <v>12</v>
      </c>
      <c r="E4548" s="6" t="n">
        <v>40855.53125</v>
      </c>
      <c r="F4548" s="0" t="n">
        <v>1.65</v>
      </c>
      <c r="G4548" s="0" t="n">
        <v>12583</v>
      </c>
      <c r="H4548" s="0" t="s">
        <v>43</v>
      </c>
      <c r="I4548" s="7" t="n">
        <f aca="false">IF(AND(LEFT(A4548,1)&lt;&gt;"C",D4548&gt;0,F4548&gt;0),1,0)</f>
        <v>1</v>
      </c>
      <c r="J4548" s="7" t="n">
        <f aca="false">IF(I4548=1,D4548*F4548,0)</f>
        <v>19.8</v>
      </c>
      <c r="K4548" s="7" t="n">
        <f aca="false">YEAR(E4548)*100+MONTH(E4548)</f>
        <v>201111</v>
      </c>
      <c r="L4548" s="7" t="n">
        <f aca="false">IF(AND(A4548&lt;&gt;A4547,LEFT(A4548,1)&lt;&gt;"C"),1,0)</f>
        <v>0</v>
      </c>
    </row>
    <row r="4549" customFormat="false" ht="15" hidden="false" customHeight="false" outlineLevel="0" collapsed="false">
      <c r="A4549" s="0" t="s">
        <v>2838</v>
      </c>
      <c r="B4549" s="0" t="s">
        <v>297</v>
      </c>
      <c r="C4549" s="0" t="s">
        <v>298</v>
      </c>
      <c r="D4549" s="0" t="n">
        <v>24</v>
      </c>
      <c r="E4549" s="6" t="n">
        <v>40855.53125</v>
      </c>
      <c r="F4549" s="0" t="n">
        <v>3.75</v>
      </c>
      <c r="G4549" s="0" t="n">
        <v>12583</v>
      </c>
      <c r="H4549" s="0" t="s">
        <v>43</v>
      </c>
      <c r="I4549" s="7" t="n">
        <f aca="false">IF(AND(LEFT(A4549,1)&lt;&gt;"C",D4549&gt;0,F4549&gt;0),1,0)</f>
        <v>1</v>
      </c>
      <c r="J4549" s="7" t="n">
        <f aca="false">IF(I4549=1,D4549*F4549,0)</f>
        <v>90</v>
      </c>
      <c r="K4549" s="7" t="n">
        <f aca="false">YEAR(E4549)*100+MONTH(E4549)</f>
        <v>201111</v>
      </c>
      <c r="L4549" s="7" t="n">
        <f aca="false">IF(AND(A4549&lt;&gt;A4548,LEFT(A4549,1)&lt;&gt;"C"),1,0)</f>
        <v>0</v>
      </c>
    </row>
    <row r="4550" customFormat="false" ht="15" hidden="false" customHeight="false" outlineLevel="0" collapsed="false">
      <c r="A4550" s="0" t="s">
        <v>2838</v>
      </c>
      <c r="B4550" s="0" t="s">
        <v>318</v>
      </c>
      <c r="C4550" s="0" t="s">
        <v>319</v>
      </c>
      <c r="D4550" s="0" t="n">
        <v>16</v>
      </c>
      <c r="E4550" s="6" t="n">
        <v>40855.53125</v>
      </c>
      <c r="F4550" s="0" t="n">
        <v>3.75</v>
      </c>
      <c r="G4550" s="0" t="n">
        <v>12583</v>
      </c>
      <c r="H4550" s="0" t="s">
        <v>43</v>
      </c>
      <c r="I4550" s="7" t="n">
        <f aca="false">IF(AND(LEFT(A4550,1)&lt;&gt;"C",D4550&gt;0,F4550&gt;0),1,0)</f>
        <v>1</v>
      </c>
      <c r="J4550" s="7" t="n">
        <f aca="false">IF(I4550=1,D4550*F4550,0)</f>
        <v>60</v>
      </c>
      <c r="K4550" s="7" t="n">
        <f aca="false">YEAR(E4550)*100+MONTH(E4550)</f>
        <v>201111</v>
      </c>
      <c r="L4550" s="7" t="n">
        <f aca="false">IF(AND(A4550&lt;&gt;A4549,LEFT(A4550,1)&lt;&gt;"C"),1,0)</f>
        <v>0</v>
      </c>
    </row>
    <row r="4551" customFormat="false" ht="15" hidden="false" customHeight="false" outlineLevel="0" collapsed="false">
      <c r="A4551" s="0" t="s">
        <v>2838</v>
      </c>
      <c r="B4551" s="0" t="s">
        <v>320</v>
      </c>
      <c r="C4551" s="0" t="s">
        <v>321</v>
      </c>
      <c r="D4551" s="0" t="n">
        <v>12</v>
      </c>
      <c r="E4551" s="6" t="n">
        <v>40855.53125</v>
      </c>
      <c r="F4551" s="0" t="n">
        <v>3.75</v>
      </c>
      <c r="G4551" s="0" t="n">
        <v>12583</v>
      </c>
      <c r="H4551" s="0" t="s">
        <v>43</v>
      </c>
      <c r="I4551" s="7" t="n">
        <f aca="false">IF(AND(LEFT(A4551,1)&lt;&gt;"C",D4551&gt;0,F4551&gt;0),1,0)</f>
        <v>1</v>
      </c>
      <c r="J4551" s="7" t="n">
        <f aca="false">IF(I4551=1,D4551*F4551,0)</f>
        <v>45</v>
      </c>
      <c r="K4551" s="7" t="n">
        <f aca="false">YEAR(E4551)*100+MONTH(E4551)</f>
        <v>201111</v>
      </c>
      <c r="L4551" s="7" t="n">
        <f aca="false">IF(AND(A4551&lt;&gt;A4550,LEFT(A4551,1)&lt;&gt;"C"),1,0)</f>
        <v>0</v>
      </c>
    </row>
    <row r="4552" customFormat="false" ht="15" hidden="false" customHeight="false" outlineLevel="0" collapsed="false">
      <c r="A4552" s="0" t="s">
        <v>2838</v>
      </c>
      <c r="B4552" s="0" t="s">
        <v>322</v>
      </c>
      <c r="C4552" s="0" t="s">
        <v>323</v>
      </c>
      <c r="D4552" s="0" t="n">
        <v>12</v>
      </c>
      <c r="E4552" s="6" t="n">
        <v>40855.53125</v>
      </c>
      <c r="F4552" s="0" t="n">
        <v>3.75</v>
      </c>
      <c r="G4552" s="0" t="n">
        <v>12583</v>
      </c>
      <c r="H4552" s="0" t="s">
        <v>43</v>
      </c>
      <c r="I4552" s="7" t="n">
        <f aca="false">IF(AND(LEFT(A4552,1)&lt;&gt;"C",D4552&gt;0,F4552&gt;0),1,0)</f>
        <v>1</v>
      </c>
      <c r="J4552" s="7" t="n">
        <f aca="false">IF(I4552=1,D4552*F4552,0)</f>
        <v>45</v>
      </c>
      <c r="K4552" s="7" t="n">
        <f aca="false">YEAR(E4552)*100+MONTH(E4552)</f>
        <v>201111</v>
      </c>
      <c r="L4552" s="7" t="n">
        <f aca="false">IF(AND(A4552&lt;&gt;A4551,LEFT(A4552,1)&lt;&gt;"C"),1,0)</f>
        <v>0</v>
      </c>
    </row>
    <row r="4553" customFormat="false" ht="15" hidden="false" customHeight="false" outlineLevel="0" collapsed="false">
      <c r="A4553" s="0" t="s">
        <v>2838</v>
      </c>
      <c r="B4553" s="0" t="s">
        <v>80</v>
      </c>
      <c r="C4553" s="0" t="s">
        <v>81</v>
      </c>
      <c r="D4553" s="0" t="n">
        <v>20</v>
      </c>
      <c r="E4553" s="6" t="n">
        <v>40855.53125</v>
      </c>
      <c r="F4553" s="0" t="n">
        <v>0.83</v>
      </c>
      <c r="G4553" s="0" t="n">
        <v>12583</v>
      </c>
      <c r="H4553" s="0" t="s">
        <v>43</v>
      </c>
      <c r="I4553" s="7" t="n">
        <f aca="false">IF(AND(LEFT(A4553,1)&lt;&gt;"C",D4553&gt;0,F4553&gt;0),1,0)</f>
        <v>1</v>
      </c>
      <c r="J4553" s="7" t="n">
        <f aca="false">IF(I4553=1,D4553*F4553,0)</f>
        <v>16.6</v>
      </c>
      <c r="K4553" s="7" t="n">
        <f aca="false">YEAR(E4553)*100+MONTH(E4553)</f>
        <v>201111</v>
      </c>
      <c r="L4553" s="7" t="n">
        <f aca="false">IF(AND(A4553&lt;&gt;A4552,LEFT(A4553,1)&lt;&gt;"C"),1,0)</f>
        <v>0</v>
      </c>
    </row>
    <row r="4554" customFormat="false" ht="15" hidden="false" customHeight="false" outlineLevel="0" collapsed="false">
      <c r="A4554" s="0" t="s">
        <v>2838</v>
      </c>
      <c r="B4554" s="0" t="s">
        <v>316</v>
      </c>
      <c r="C4554" s="0" t="s">
        <v>317</v>
      </c>
      <c r="D4554" s="0" t="n">
        <v>9</v>
      </c>
      <c r="E4554" s="6" t="n">
        <v>40855.53125</v>
      </c>
      <c r="F4554" s="0" t="n">
        <v>4.95</v>
      </c>
      <c r="G4554" s="0" t="n">
        <v>12583</v>
      </c>
      <c r="H4554" s="0" t="s">
        <v>43</v>
      </c>
      <c r="I4554" s="7" t="n">
        <f aca="false">IF(AND(LEFT(A4554,1)&lt;&gt;"C",D4554&gt;0,F4554&gt;0),1,0)</f>
        <v>1</v>
      </c>
      <c r="J4554" s="7" t="n">
        <f aca="false">IF(I4554=1,D4554*F4554,0)</f>
        <v>44.55</v>
      </c>
      <c r="K4554" s="7" t="n">
        <f aca="false">YEAR(E4554)*100+MONTH(E4554)</f>
        <v>201111</v>
      </c>
      <c r="L4554" s="7" t="n">
        <f aca="false">IF(AND(A4554&lt;&gt;A4553,LEFT(A4554,1)&lt;&gt;"C"),1,0)</f>
        <v>0</v>
      </c>
    </row>
    <row r="4555" customFormat="false" ht="15" hidden="false" customHeight="false" outlineLevel="0" collapsed="false">
      <c r="A4555" s="0" t="s">
        <v>2838</v>
      </c>
      <c r="B4555" s="0" t="s">
        <v>84</v>
      </c>
      <c r="C4555" s="0" t="s">
        <v>85</v>
      </c>
      <c r="D4555" s="0" t="n">
        <v>2</v>
      </c>
      <c r="E4555" s="6" t="n">
        <v>40855.53125</v>
      </c>
      <c r="F4555" s="0" t="n">
        <v>18</v>
      </c>
      <c r="G4555" s="0" t="n">
        <v>12583</v>
      </c>
      <c r="H4555" s="0" t="s">
        <v>43</v>
      </c>
      <c r="I4555" s="7" t="n">
        <f aca="false">IF(AND(LEFT(A4555,1)&lt;&gt;"C",D4555&gt;0,F4555&gt;0),1,0)</f>
        <v>1</v>
      </c>
      <c r="J4555" s="7" t="n">
        <f aca="false">IF(I4555=1,D4555*F4555,0)</f>
        <v>36</v>
      </c>
      <c r="K4555" s="7" t="n">
        <f aca="false">YEAR(E4555)*100+MONTH(E4555)</f>
        <v>201111</v>
      </c>
      <c r="L4555" s="7" t="n">
        <f aca="false">IF(AND(A4555&lt;&gt;A4554,LEFT(A4555,1)&lt;&gt;"C"),1,0)</f>
        <v>0</v>
      </c>
    </row>
    <row r="4556" customFormat="false" ht="15" hidden="false" customHeight="false" outlineLevel="0" collapsed="false">
      <c r="A4556" s="0" t="s">
        <v>2839</v>
      </c>
      <c r="B4556" s="0" t="s">
        <v>155</v>
      </c>
      <c r="C4556" s="0" t="s">
        <v>156</v>
      </c>
      <c r="D4556" s="0" t="n">
        <v>-4</v>
      </c>
      <c r="E4556" s="6" t="n">
        <v>40855.5625</v>
      </c>
      <c r="F4556" s="0" t="n">
        <v>10.95</v>
      </c>
      <c r="G4556" s="0" t="n">
        <v>12613</v>
      </c>
      <c r="H4556" s="0" t="s">
        <v>33</v>
      </c>
      <c r="I4556" s="7" t="n">
        <f aca="false">IF(AND(LEFT(A4556,1)&lt;&gt;"C",D4556&gt;0,F4556&gt;0),1,0)</f>
        <v>0</v>
      </c>
      <c r="J4556" s="7" t="n">
        <f aca="false">IF(I4556=1,D4556*F4556,0)</f>
        <v>0</v>
      </c>
      <c r="K4556" s="7" t="n">
        <f aca="false">YEAR(E4556)*100+MONTH(E4556)</f>
        <v>201111</v>
      </c>
      <c r="L4556" s="7" t="n">
        <f aca="false">IF(AND(A4556&lt;&gt;A4555,LEFT(A4556,1)&lt;&gt;"C"),1,0)</f>
        <v>0</v>
      </c>
    </row>
    <row r="4557" customFormat="false" ht="15" hidden="false" customHeight="false" outlineLevel="0" collapsed="false">
      <c r="A4557" s="0" t="s">
        <v>2839</v>
      </c>
      <c r="B4557" s="0" t="s">
        <v>897</v>
      </c>
      <c r="C4557" s="0" t="s">
        <v>898</v>
      </c>
      <c r="D4557" s="0" t="n">
        <v>-1</v>
      </c>
      <c r="E4557" s="6" t="n">
        <v>40855.5625</v>
      </c>
      <c r="F4557" s="0" t="n">
        <v>4.95</v>
      </c>
      <c r="G4557" s="0" t="n">
        <v>12613</v>
      </c>
      <c r="H4557" s="0" t="s">
        <v>33</v>
      </c>
      <c r="I4557" s="7" t="n">
        <f aca="false">IF(AND(LEFT(A4557,1)&lt;&gt;"C",D4557&gt;0,F4557&gt;0),1,0)</f>
        <v>0</v>
      </c>
      <c r="J4557" s="7" t="n">
        <f aca="false">IF(I4557=1,D4557*F4557,0)</f>
        <v>0</v>
      </c>
      <c r="K4557" s="7" t="n">
        <f aca="false">YEAR(E4557)*100+MONTH(E4557)</f>
        <v>201111</v>
      </c>
      <c r="L4557" s="7" t="n">
        <f aca="false">IF(AND(A4557&lt;&gt;A4556,LEFT(A4557,1)&lt;&gt;"C"),1,0)</f>
        <v>0</v>
      </c>
    </row>
    <row r="4558" customFormat="false" ht="15" hidden="false" customHeight="false" outlineLevel="0" collapsed="false">
      <c r="A4558" s="0" t="s">
        <v>2839</v>
      </c>
      <c r="B4558" s="0" t="s">
        <v>310</v>
      </c>
      <c r="C4558" s="0" t="s">
        <v>311</v>
      </c>
      <c r="D4558" s="0" t="n">
        <v>-1</v>
      </c>
      <c r="E4558" s="6" t="n">
        <v>40855.5625</v>
      </c>
      <c r="F4558" s="0" t="n">
        <v>4.95</v>
      </c>
      <c r="G4558" s="0" t="n">
        <v>12613</v>
      </c>
      <c r="H4558" s="0" t="s">
        <v>33</v>
      </c>
      <c r="I4558" s="7" t="n">
        <f aca="false">IF(AND(LEFT(A4558,1)&lt;&gt;"C",D4558&gt;0,F4558&gt;0),1,0)</f>
        <v>0</v>
      </c>
      <c r="J4558" s="7" t="n">
        <f aca="false">IF(I4558=1,D4558*F4558,0)</f>
        <v>0</v>
      </c>
      <c r="K4558" s="7" t="n">
        <f aca="false">YEAR(E4558)*100+MONTH(E4558)</f>
        <v>201111</v>
      </c>
      <c r="L4558" s="7" t="n">
        <f aca="false">IF(AND(A4558&lt;&gt;A4557,LEFT(A4558,1)&lt;&gt;"C"),1,0)</f>
        <v>0</v>
      </c>
    </row>
    <row r="4559" customFormat="false" ht="15" hidden="false" customHeight="false" outlineLevel="0" collapsed="false">
      <c r="A4559" s="0" t="s">
        <v>2839</v>
      </c>
      <c r="B4559" s="0" t="s">
        <v>136</v>
      </c>
      <c r="C4559" s="0" t="s">
        <v>137</v>
      </c>
      <c r="D4559" s="0" t="n">
        <v>-2</v>
      </c>
      <c r="E4559" s="6" t="n">
        <v>40855.5625</v>
      </c>
      <c r="F4559" s="0" t="n">
        <v>4.95</v>
      </c>
      <c r="G4559" s="0" t="n">
        <v>12613</v>
      </c>
      <c r="H4559" s="0" t="s">
        <v>33</v>
      </c>
      <c r="I4559" s="7" t="n">
        <f aca="false">IF(AND(LEFT(A4559,1)&lt;&gt;"C",D4559&gt;0,F4559&gt;0),1,0)</f>
        <v>0</v>
      </c>
      <c r="J4559" s="7" t="n">
        <f aca="false">IF(I4559=1,D4559*F4559,0)</f>
        <v>0</v>
      </c>
      <c r="K4559" s="7" t="n">
        <f aca="false">YEAR(E4559)*100+MONTH(E4559)</f>
        <v>201111</v>
      </c>
      <c r="L4559" s="7" t="n">
        <f aca="false">IF(AND(A4559&lt;&gt;A4558,LEFT(A4559,1)&lt;&gt;"C"),1,0)</f>
        <v>0</v>
      </c>
    </row>
    <row r="4560" customFormat="false" ht="15" hidden="false" customHeight="false" outlineLevel="0" collapsed="false">
      <c r="A4560" s="0" t="s">
        <v>2839</v>
      </c>
      <c r="B4560" s="0" t="s">
        <v>392</v>
      </c>
      <c r="C4560" s="0" t="s">
        <v>393</v>
      </c>
      <c r="D4560" s="0" t="n">
        <v>-12</v>
      </c>
      <c r="E4560" s="6" t="n">
        <v>40855.5625</v>
      </c>
      <c r="F4560" s="0" t="n">
        <v>0.85</v>
      </c>
      <c r="G4560" s="0" t="n">
        <v>12613</v>
      </c>
      <c r="H4560" s="0" t="s">
        <v>33</v>
      </c>
      <c r="I4560" s="7" t="n">
        <f aca="false">IF(AND(LEFT(A4560,1)&lt;&gt;"C",D4560&gt;0,F4560&gt;0),1,0)</f>
        <v>0</v>
      </c>
      <c r="J4560" s="7" t="n">
        <f aca="false">IF(I4560=1,D4560*F4560,0)</f>
        <v>0</v>
      </c>
      <c r="K4560" s="7" t="n">
        <f aca="false">YEAR(E4560)*100+MONTH(E4560)</f>
        <v>201111</v>
      </c>
      <c r="L4560" s="7" t="n">
        <f aca="false">IF(AND(A4560&lt;&gt;A4559,LEFT(A4560,1)&lt;&gt;"C"),1,0)</f>
        <v>0</v>
      </c>
    </row>
    <row r="4561" customFormat="false" ht="15" hidden="false" customHeight="false" outlineLevel="0" collapsed="false">
      <c r="A4561" s="0" t="s">
        <v>2839</v>
      </c>
      <c r="B4561" s="0" t="s">
        <v>58</v>
      </c>
      <c r="C4561" s="0" t="s">
        <v>59</v>
      </c>
      <c r="D4561" s="0" t="n">
        <v>-1</v>
      </c>
      <c r="E4561" s="6" t="n">
        <v>40855.5625</v>
      </c>
      <c r="F4561" s="0" t="n">
        <v>2.55</v>
      </c>
      <c r="G4561" s="0" t="n">
        <v>12613</v>
      </c>
      <c r="H4561" s="0" t="s">
        <v>33</v>
      </c>
      <c r="I4561" s="7" t="n">
        <f aca="false">IF(AND(LEFT(A4561,1)&lt;&gt;"C",D4561&gt;0,F4561&gt;0),1,0)</f>
        <v>0</v>
      </c>
      <c r="J4561" s="7" t="n">
        <f aca="false">IF(I4561=1,D4561*F4561,0)</f>
        <v>0</v>
      </c>
      <c r="K4561" s="7" t="n">
        <f aca="false">YEAR(E4561)*100+MONTH(E4561)</f>
        <v>201111</v>
      </c>
      <c r="L4561" s="7" t="n">
        <f aca="false">IF(AND(A4561&lt;&gt;A4560,LEFT(A4561,1)&lt;&gt;"C"),1,0)</f>
        <v>0</v>
      </c>
    </row>
    <row r="4562" customFormat="false" ht="15" hidden="false" customHeight="false" outlineLevel="0" collapsed="false">
      <c r="A4562" s="0" t="s">
        <v>2839</v>
      </c>
      <c r="B4562" s="0" t="s">
        <v>123</v>
      </c>
      <c r="C4562" s="0" t="s">
        <v>124</v>
      </c>
      <c r="D4562" s="0" t="n">
        <v>-3</v>
      </c>
      <c r="E4562" s="6" t="n">
        <v>40855.5625</v>
      </c>
      <c r="F4562" s="0" t="n">
        <v>2.95</v>
      </c>
      <c r="G4562" s="0" t="n">
        <v>12613</v>
      </c>
      <c r="H4562" s="0" t="s">
        <v>33</v>
      </c>
      <c r="I4562" s="7" t="n">
        <f aca="false">IF(AND(LEFT(A4562,1)&lt;&gt;"C",D4562&gt;0,F4562&gt;0),1,0)</f>
        <v>0</v>
      </c>
      <c r="J4562" s="7" t="n">
        <f aca="false">IF(I4562=1,D4562*F4562,0)</f>
        <v>0</v>
      </c>
      <c r="K4562" s="7" t="n">
        <f aca="false">YEAR(E4562)*100+MONTH(E4562)</f>
        <v>201111</v>
      </c>
      <c r="L4562" s="7" t="n">
        <f aca="false">IF(AND(A4562&lt;&gt;A4561,LEFT(A4562,1)&lt;&gt;"C"),1,0)</f>
        <v>0</v>
      </c>
    </row>
    <row r="4563" customFormat="false" ht="15" hidden="false" customHeight="false" outlineLevel="0" collapsed="false">
      <c r="A4563" s="0" t="s">
        <v>2839</v>
      </c>
      <c r="B4563" s="0" t="s">
        <v>2257</v>
      </c>
      <c r="C4563" s="0" t="s">
        <v>2258</v>
      </c>
      <c r="D4563" s="0" t="n">
        <v>-6</v>
      </c>
      <c r="E4563" s="6" t="n">
        <v>40855.5625</v>
      </c>
      <c r="F4563" s="0" t="n">
        <v>3.75</v>
      </c>
      <c r="G4563" s="0" t="n">
        <v>12613</v>
      </c>
      <c r="H4563" s="0" t="s">
        <v>33</v>
      </c>
      <c r="I4563" s="7" t="n">
        <f aca="false">IF(AND(LEFT(A4563,1)&lt;&gt;"C",D4563&gt;0,F4563&gt;0),1,0)</f>
        <v>0</v>
      </c>
      <c r="J4563" s="7" t="n">
        <f aca="false">IF(I4563=1,D4563*F4563,0)</f>
        <v>0</v>
      </c>
      <c r="K4563" s="7" t="n">
        <f aca="false">YEAR(E4563)*100+MONTH(E4563)</f>
        <v>201111</v>
      </c>
      <c r="L4563" s="7" t="n">
        <f aca="false">IF(AND(A4563&lt;&gt;A4562,LEFT(A4563,1)&lt;&gt;"C"),1,0)</f>
        <v>0</v>
      </c>
    </row>
    <row r="4564" customFormat="false" ht="15" hidden="false" customHeight="false" outlineLevel="0" collapsed="false">
      <c r="A4564" s="0" t="s">
        <v>2839</v>
      </c>
      <c r="B4564" s="0" t="s">
        <v>752</v>
      </c>
      <c r="C4564" s="0" t="s">
        <v>753</v>
      </c>
      <c r="D4564" s="0" t="n">
        <v>-6</v>
      </c>
      <c r="E4564" s="6" t="n">
        <v>40855.5625</v>
      </c>
      <c r="F4564" s="0" t="n">
        <v>1.65</v>
      </c>
      <c r="G4564" s="0" t="n">
        <v>12613</v>
      </c>
      <c r="H4564" s="0" t="s">
        <v>33</v>
      </c>
      <c r="I4564" s="7" t="n">
        <f aca="false">IF(AND(LEFT(A4564,1)&lt;&gt;"C",D4564&gt;0,F4564&gt;0),1,0)</f>
        <v>0</v>
      </c>
      <c r="J4564" s="7" t="n">
        <f aca="false">IF(I4564=1,D4564*F4564,0)</f>
        <v>0</v>
      </c>
      <c r="K4564" s="7" t="n">
        <f aca="false">YEAR(E4564)*100+MONTH(E4564)</f>
        <v>201111</v>
      </c>
      <c r="L4564" s="7" t="n">
        <f aca="false">IF(AND(A4564&lt;&gt;A4563,LEFT(A4564,1)&lt;&gt;"C"),1,0)</f>
        <v>0</v>
      </c>
    </row>
    <row r="4565" customFormat="false" ht="15" hidden="false" customHeight="false" outlineLevel="0" collapsed="false">
      <c r="A4565" s="0" t="s">
        <v>2839</v>
      </c>
      <c r="B4565" s="0" t="s">
        <v>416</v>
      </c>
      <c r="C4565" s="0" t="s">
        <v>417</v>
      </c>
      <c r="D4565" s="0" t="n">
        <v>-12</v>
      </c>
      <c r="E4565" s="6" t="n">
        <v>40855.5625</v>
      </c>
      <c r="F4565" s="0" t="n">
        <v>0.65</v>
      </c>
      <c r="G4565" s="0" t="n">
        <v>12613</v>
      </c>
      <c r="H4565" s="0" t="s">
        <v>33</v>
      </c>
      <c r="I4565" s="7" t="n">
        <f aca="false">IF(AND(LEFT(A4565,1)&lt;&gt;"C",D4565&gt;0,F4565&gt;0),1,0)</f>
        <v>0</v>
      </c>
      <c r="J4565" s="7" t="n">
        <f aca="false">IF(I4565=1,D4565*F4565,0)</f>
        <v>0</v>
      </c>
      <c r="K4565" s="7" t="n">
        <f aca="false">YEAR(E4565)*100+MONTH(E4565)</f>
        <v>201111</v>
      </c>
      <c r="L4565" s="7" t="n">
        <f aca="false">IF(AND(A4565&lt;&gt;A4564,LEFT(A4565,1)&lt;&gt;"C"),1,0)</f>
        <v>0</v>
      </c>
    </row>
    <row r="4566" customFormat="false" ht="15" hidden="false" customHeight="false" outlineLevel="0" collapsed="false">
      <c r="A4566" s="0" t="s">
        <v>2840</v>
      </c>
      <c r="B4566" s="0" t="s">
        <v>1620</v>
      </c>
      <c r="C4566" s="0" t="s">
        <v>1621</v>
      </c>
      <c r="D4566" s="0" t="n">
        <v>-3</v>
      </c>
      <c r="E4566" s="6" t="n">
        <v>40855.6701388889</v>
      </c>
      <c r="F4566" s="0" t="n">
        <v>0.65</v>
      </c>
      <c r="G4566" s="0" t="n">
        <v>12471</v>
      </c>
      <c r="H4566" s="0" t="s">
        <v>33</v>
      </c>
      <c r="I4566" s="7" t="n">
        <f aca="false">IF(AND(LEFT(A4566,1)&lt;&gt;"C",D4566&gt;0,F4566&gt;0),1,0)</f>
        <v>0</v>
      </c>
      <c r="J4566" s="7" t="n">
        <f aca="false">IF(I4566=1,D4566*F4566,0)</f>
        <v>0</v>
      </c>
      <c r="K4566" s="7" t="n">
        <f aca="false">YEAR(E4566)*100+MONTH(E4566)</f>
        <v>201111</v>
      </c>
      <c r="L4566" s="7" t="n">
        <f aca="false">IF(AND(A4566&lt;&gt;A4565,LEFT(A4566,1)&lt;&gt;"C"),1,0)</f>
        <v>0</v>
      </c>
    </row>
    <row r="4567" customFormat="false" ht="15" hidden="false" customHeight="false" outlineLevel="0" collapsed="false">
      <c r="A4567" s="0" t="s">
        <v>2840</v>
      </c>
      <c r="B4567" s="0" t="s">
        <v>657</v>
      </c>
      <c r="C4567" s="0" t="s">
        <v>658</v>
      </c>
      <c r="D4567" s="0" t="n">
        <v>-12</v>
      </c>
      <c r="E4567" s="6" t="n">
        <v>40855.6701388889</v>
      </c>
      <c r="F4567" s="0" t="n">
        <v>1.25</v>
      </c>
      <c r="G4567" s="0" t="n">
        <v>12471</v>
      </c>
      <c r="H4567" s="0" t="s">
        <v>33</v>
      </c>
      <c r="I4567" s="7" t="n">
        <f aca="false">IF(AND(LEFT(A4567,1)&lt;&gt;"C",D4567&gt;0,F4567&gt;0),1,0)</f>
        <v>0</v>
      </c>
      <c r="J4567" s="7" t="n">
        <f aca="false">IF(I4567=1,D4567*F4567,0)</f>
        <v>0</v>
      </c>
      <c r="K4567" s="7" t="n">
        <f aca="false">YEAR(E4567)*100+MONTH(E4567)</f>
        <v>201111</v>
      </c>
      <c r="L4567" s="7" t="n">
        <f aca="false">IF(AND(A4567&lt;&gt;A4566,LEFT(A4567,1)&lt;&gt;"C"),1,0)</f>
        <v>0</v>
      </c>
    </row>
    <row r="4568" customFormat="false" ht="15" hidden="false" customHeight="false" outlineLevel="0" collapsed="false">
      <c r="A4568" s="0" t="s">
        <v>2840</v>
      </c>
      <c r="B4568" s="0" t="s">
        <v>175</v>
      </c>
      <c r="C4568" s="0" t="s">
        <v>176</v>
      </c>
      <c r="D4568" s="0" t="n">
        <v>-1</v>
      </c>
      <c r="E4568" s="6" t="n">
        <v>40855.6701388889</v>
      </c>
      <c r="F4568" s="0" t="n">
        <v>1.25</v>
      </c>
      <c r="G4568" s="0" t="n">
        <v>12471</v>
      </c>
      <c r="H4568" s="0" t="s">
        <v>33</v>
      </c>
      <c r="I4568" s="7" t="n">
        <f aca="false">IF(AND(LEFT(A4568,1)&lt;&gt;"C",D4568&gt;0,F4568&gt;0),1,0)</f>
        <v>0</v>
      </c>
      <c r="J4568" s="7" t="n">
        <f aca="false">IF(I4568=1,D4568*F4568,0)</f>
        <v>0</v>
      </c>
      <c r="K4568" s="7" t="n">
        <f aca="false">YEAR(E4568)*100+MONTH(E4568)</f>
        <v>201111</v>
      </c>
      <c r="L4568" s="7" t="n">
        <f aca="false">IF(AND(A4568&lt;&gt;A4567,LEFT(A4568,1)&lt;&gt;"C"),1,0)</f>
        <v>0</v>
      </c>
    </row>
    <row r="4569" customFormat="false" ht="15" hidden="false" customHeight="false" outlineLevel="0" collapsed="false">
      <c r="A4569" s="0" t="s">
        <v>2840</v>
      </c>
      <c r="B4569" s="0" t="s">
        <v>177</v>
      </c>
      <c r="C4569" s="0" t="s">
        <v>178</v>
      </c>
      <c r="D4569" s="0" t="n">
        <v>-1</v>
      </c>
      <c r="E4569" s="6" t="n">
        <v>40855.6701388889</v>
      </c>
      <c r="F4569" s="0" t="n">
        <v>1.25</v>
      </c>
      <c r="G4569" s="0" t="n">
        <v>12471</v>
      </c>
      <c r="H4569" s="0" t="s">
        <v>33</v>
      </c>
      <c r="I4569" s="7" t="n">
        <f aca="false">IF(AND(LEFT(A4569,1)&lt;&gt;"C",D4569&gt;0,F4569&gt;0),1,0)</f>
        <v>0</v>
      </c>
      <c r="J4569" s="7" t="n">
        <f aca="false">IF(I4569=1,D4569*F4569,0)</f>
        <v>0</v>
      </c>
      <c r="K4569" s="7" t="n">
        <f aca="false">YEAR(E4569)*100+MONTH(E4569)</f>
        <v>201111</v>
      </c>
      <c r="L4569" s="7" t="n">
        <f aca="false">IF(AND(A4569&lt;&gt;A4568,LEFT(A4569,1)&lt;&gt;"C"),1,0)</f>
        <v>0</v>
      </c>
    </row>
    <row r="4570" customFormat="false" ht="15" hidden="false" customHeight="false" outlineLevel="0" collapsed="false">
      <c r="A4570" s="0" t="s">
        <v>2840</v>
      </c>
      <c r="B4570" s="0" t="s">
        <v>136</v>
      </c>
      <c r="C4570" s="0" t="s">
        <v>137</v>
      </c>
      <c r="D4570" s="0" t="n">
        <v>-6</v>
      </c>
      <c r="E4570" s="6" t="n">
        <v>40855.6701388889</v>
      </c>
      <c r="F4570" s="0" t="n">
        <v>4.15</v>
      </c>
      <c r="G4570" s="0" t="n">
        <v>12471</v>
      </c>
      <c r="H4570" s="0" t="s">
        <v>33</v>
      </c>
      <c r="I4570" s="7" t="n">
        <f aca="false">IF(AND(LEFT(A4570,1)&lt;&gt;"C",D4570&gt;0,F4570&gt;0),1,0)</f>
        <v>0</v>
      </c>
      <c r="J4570" s="7" t="n">
        <f aca="false">IF(I4570=1,D4570*F4570,0)</f>
        <v>0</v>
      </c>
      <c r="K4570" s="7" t="n">
        <f aca="false">YEAR(E4570)*100+MONTH(E4570)</f>
        <v>201111</v>
      </c>
      <c r="L4570" s="7" t="n">
        <f aca="false">IF(AND(A4570&lt;&gt;A4569,LEFT(A4570,1)&lt;&gt;"C"),1,0)</f>
        <v>0</v>
      </c>
    </row>
    <row r="4571" customFormat="false" ht="15" hidden="false" customHeight="false" outlineLevel="0" collapsed="false">
      <c r="A4571" s="0" t="s">
        <v>2840</v>
      </c>
      <c r="B4571" s="0" t="s">
        <v>537</v>
      </c>
      <c r="C4571" s="0" t="s">
        <v>538</v>
      </c>
      <c r="D4571" s="0" t="n">
        <v>-3</v>
      </c>
      <c r="E4571" s="6" t="n">
        <v>40855.6701388889</v>
      </c>
      <c r="F4571" s="0" t="n">
        <v>4.15</v>
      </c>
      <c r="G4571" s="0" t="n">
        <v>12471</v>
      </c>
      <c r="H4571" s="0" t="s">
        <v>33</v>
      </c>
      <c r="I4571" s="7" t="n">
        <f aca="false">IF(AND(LEFT(A4571,1)&lt;&gt;"C",D4571&gt;0,F4571&gt;0),1,0)</f>
        <v>0</v>
      </c>
      <c r="J4571" s="7" t="n">
        <f aca="false">IF(I4571=1,D4571*F4571,0)</f>
        <v>0</v>
      </c>
      <c r="K4571" s="7" t="n">
        <f aca="false">YEAR(E4571)*100+MONTH(E4571)</f>
        <v>201111</v>
      </c>
      <c r="L4571" s="7" t="n">
        <f aca="false">IF(AND(A4571&lt;&gt;A4570,LEFT(A4571,1)&lt;&gt;"C"),1,0)</f>
        <v>0</v>
      </c>
    </row>
    <row r="4572" customFormat="false" ht="15" hidden="false" customHeight="false" outlineLevel="0" collapsed="false">
      <c r="A4572" s="0" t="s">
        <v>2840</v>
      </c>
      <c r="B4572" s="0" t="s">
        <v>140</v>
      </c>
      <c r="C4572" s="0" t="s">
        <v>141</v>
      </c>
      <c r="D4572" s="0" t="n">
        <v>-9</v>
      </c>
      <c r="E4572" s="6" t="n">
        <v>40855.6701388889</v>
      </c>
      <c r="F4572" s="0" t="n">
        <v>1.45</v>
      </c>
      <c r="G4572" s="0" t="n">
        <v>12471</v>
      </c>
      <c r="H4572" s="0" t="s">
        <v>33</v>
      </c>
      <c r="I4572" s="7" t="n">
        <f aca="false">IF(AND(LEFT(A4572,1)&lt;&gt;"C",D4572&gt;0,F4572&gt;0),1,0)</f>
        <v>0</v>
      </c>
      <c r="J4572" s="7" t="n">
        <f aca="false">IF(I4572=1,D4572*F4572,0)</f>
        <v>0</v>
      </c>
      <c r="K4572" s="7" t="n">
        <f aca="false">YEAR(E4572)*100+MONTH(E4572)</f>
        <v>201111</v>
      </c>
      <c r="L4572" s="7" t="n">
        <f aca="false">IF(AND(A4572&lt;&gt;A4571,LEFT(A4572,1)&lt;&gt;"C"),1,0)</f>
        <v>0</v>
      </c>
    </row>
    <row r="4573" customFormat="false" ht="15" hidden="false" customHeight="false" outlineLevel="0" collapsed="false">
      <c r="A4573" s="0" t="s">
        <v>2841</v>
      </c>
      <c r="B4573" s="0" t="s">
        <v>136</v>
      </c>
      <c r="C4573" s="0" t="s">
        <v>137</v>
      </c>
      <c r="D4573" s="0" t="n">
        <v>4</v>
      </c>
      <c r="E4573" s="6" t="n">
        <v>40856.3986111111</v>
      </c>
      <c r="F4573" s="0" t="n">
        <v>4.95</v>
      </c>
      <c r="G4573" s="0" t="n">
        <v>12681</v>
      </c>
      <c r="H4573" s="0" t="s">
        <v>43</v>
      </c>
      <c r="I4573" s="7" t="n">
        <f aca="false">IF(AND(LEFT(A4573,1)&lt;&gt;"C",D4573&gt;0,F4573&gt;0),1,0)</f>
        <v>1</v>
      </c>
      <c r="J4573" s="7" t="n">
        <f aca="false">IF(I4573=1,D4573*F4573,0)</f>
        <v>19.8</v>
      </c>
      <c r="K4573" s="7" t="n">
        <f aca="false">YEAR(E4573)*100+MONTH(E4573)</f>
        <v>201111</v>
      </c>
      <c r="L4573" s="7" t="n">
        <f aca="false">IF(AND(A4573&lt;&gt;A4572,LEFT(A4573,1)&lt;&gt;"C"),1,0)</f>
        <v>1</v>
      </c>
    </row>
    <row r="4574" customFormat="false" ht="15" hidden="false" customHeight="false" outlineLevel="0" collapsed="false">
      <c r="A4574" s="0" t="s">
        <v>2841</v>
      </c>
      <c r="B4574" s="0" t="s">
        <v>2842</v>
      </c>
      <c r="C4574" s="0" t="s">
        <v>2843</v>
      </c>
      <c r="D4574" s="0" t="n">
        <v>12</v>
      </c>
      <c r="E4574" s="6" t="n">
        <v>40856.3986111111</v>
      </c>
      <c r="F4574" s="0" t="n">
        <v>2.08</v>
      </c>
      <c r="G4574" s="0" t="n">
        <v>12681</v>
      </c>
      <c r="H4574" s="0" t="s">
        <v>43</v>
      </c>
      <c r="I4574" s="7" t="n">
        <f aca="false">IF(AND(LEFT(A4574,1)&lt;&gt;"C",D4574&gt;0,F4574&gt;0),1,0)</f>
        <v>1</v>
      </c>
      <c r="J4574" s="7" t="n">
        <f aca="false">IF(I4574=1,D4574*F4574,0)</f>
        <v>24.96</v>
      </c>
      <c r="K4574" s="7" t="n">
        <f aca="false">YEAR(E4574)*100+MONTH(E4574)</f>
        <v>201111</v>
      </c>
      <c r="L4574" s="7" t="n">
        <f aca="false">IF(AND(A4574&lt;&gt;A4573,LEFT(A4574,1)&lt;&gt;"C"),1,0)</f>
        <v>0</v>
      </c>
    </row>
    <row r="4575" customFormat="false" ht="15" hidden="false" customHeight="false" outlineLevel="0" collapsed="false">
      <c r="A4575" s="0" t="s">
        <v>2841</v>
      </c>
      <c r="B4575" s="0" t="s">
        <v>80</v>
      </c>
      <c r="C4575" s="0" t="s">
        <v>81</v>
      </c>
      <c r="D4575" s="0" t="n">
        <v>20</v>
      </c>
      <c r="E4575" s="6" t="n">
        <v>40856.3986111111</v>
      </c>
      <c r="F4575" s="0" t="n">
        <v>0.83</v>
      </c>
      <c r="G4575" s="0" t="n">
        <v>12681</v>
      </c>
      <c r="H4575" s="0" t="s">
        <v>43</v>
      </c>
      <c r="I4575" s="7" t="n">
        <f aca="false">IF(AND(LEFT(A4575,1)&lt;&gt;"C",D4575&gt;0,F4575&gt;0),1,0)</f>
        <v>1</v>
      </c>
      <c r="J4575" s="7" t="n">
        <f aca="false">IF(I4575=1,D4575*F4575,0)</f>
        <v>16.6</v>
      </c>
      <c r="K4575" s="7" t="n">
        <f aca="false">YEAR(E4575)*100+MONTH(E4575)</f>
        <v>201111</v>
      </c>
      <c r="L4575" s="7" t="n">
        <f aca="false">IF(AND(A4575&lt;&gt;A4574,LEFT(A4575,1)&lt;&gt;"C"),1,0)</f>
        <v>0</v>
      </c>
    </row>
    <row r="4576" customFormat="false" ht="15" hidden="false" customHeight="false" outlineLevel="0" collapsed="false">
      <c r="A4576" s="0" t="s">
        <v>2841</v>
      </c>
      <c r="B4576" s="0" t="s">
        <v>64</v>
      </c>
      <c r="C4576" s="0" t="s">
        <v>65</v>
      </c>
      <c r="D4576" s="0" t="n">
        <v>12</v>
      </c>
      <c r="E4576" s="6" t="n">
        <v>40856.3986111111</v>
      </c>
      <c r="F4576" s="0" t="n">
        <v>1.65</v>
      </c>
      <c r="G4576" s="0" t="n">
        <v>12681</v>
      </c>
      <c r="H4576" s="0" t="s">
        <v>43</v>
      </c>
      <c r="I4576" s="7" t="n">
        <f aca="false">IF(AND(LEFT(A4576,1)&lt;&gt;"C",D4576&gt;0,F4576&gt;0),1,0)</f>
        <v>1</v>
      </c>
      <c r="J4576" s="7" t="n">
        <f aca="false">IF(I4576=1,D4576*F4576,0)</f>
        <v>19.8</v>
      </c>
      <c r="K4576" s="7" t="n">
        <f aca="false">YEAR(E4576)*100+MONTH(E4576)</f>
        <v>201111</v>
      </c>
      <c r="L4576" s="7" t="n">
        <f aca="false">IF(AND(A4576&lt;&gt;A4575,LEFT(A4576,1)&lt;&gt;"C"),1,0)</f>
        <v>0</v>
      </c>
    </row>
    <row r="4577" customFormat="false" ht="15" hidden="false" customHeight="false" outlineLevel="0" collapsed="false">
      <c r="A4577" s="0" t="s">
        <v>2841</v>
      </c>
      <c r="B4577" s="0" t="s">
        <v>58</v>
      </c>
      <c r="C4577" s="0" t="s">
        <v>59</v>
      </c>
      <c r="D4577" s="0" t="n">
        <v>6</v>
      </c>
      <c r="E4577" s="6" t="n">
        <v>40856.3986111111</v>
      </c>
      <c r="F4577" s="0" t="n">
        <v>2.55</v>
      </c>
      <c r="G4577" s="0" t="n">
        <v>12681</v>
      </c>
      <c r="H4577" s="0" t="s">
        <v>43</v>
      </c>
      <c r="I4577" s="7" t="n">
        <f aca="false">IF(AND(LEFT(A4577,1)&lt;&gt;"C",D4577&gt;0,F4577&gt;0),1,0)</f>
        <v>1</v>
      </c>
      <c r="J4577" s="7" t="n">
        <f aca="false">IF(I4577=1,D4577*F4577,0)</f>
        <v>15.3</v>
      </c>
      <c r="K4577" s="7" t="n">
        <f aca="false">YEAR(E4577)*100+MONTH(E4577)</f>
        <v>201111</v>
      </c>
      <c r="L4577" s="7" t="n">
        <f aca="false">IF(AND(A4577&lt;&gt;A4576,LEFT(A4577,1)&lt;&gt;"C"),1,0)</f>
        <v>0</v>
      </c>
    </row>
    <row r="4578" customFormat="false" ht="15" hidden="false" customHeight="false" outlineLevel="0" collapsed="false">
      <c r="A4578" s="0" t="s">
        <v>2841</v>
      </c>
      <c r="B4578" s="0" t="s">
        <v>517</v>
      </c>
      <c r="C4578" s="0" t="s">
        <v>518</v>
      </c>
      <c r="D4578" s="0" t="n">
        <v>10</v>
      </c>
      <c r="E4578" s="6" t="n">
        <v>40856.3986111111</v>
      </c>
      <c r="F4578" s="0" t="n">
        <v>2.08</v>
      </c>
      <c r="G4578" s="0" t="n">
        <v>12681</v>
      </c>
      <c r="H4578" s="0" t="s">
        <v>43</v>
      </c>
      <c r="I4578" s="7" t="n">
        <f aca="false">IF(AND(LEFT(A4578,1)&lt;&gt;"C",D4578&gt;0,F4578&gt;0),1,0)</f>
        <v>1</v>
      </c>
      <c r="J4578" s="7" t="n">
        <f aca="false">IF(I4578=1,D4578*F4578,0)</f>
        <v>20.8</v>
      </c>
      <c r="K4578" s="7" t="n">
        <f aca="false">YEAR(E4578)*100+MONTH(E4578)</f>
        <v>201111</v>
      </c>
      <c r="L4578" s="7" t="n">
        <f aca="false">IF(AND(A4578&lt;&gt;A4577,LEFT(A4578,1)&lt;&gt;"C"),1,0)</f>
        <v>0</v>
      </c>
    </row>
    <row r="4579" customFormat="false" ht="15" hidden="false" customHeight="false" outlineLevel="0" collapsed="false">
      <c r="A4579" s="0" t="s">
        <v>2841</v>
      </c>
      <c r="B4579" s="0" t="s">
        <v>1077</v>
      </c>
      <c r="C4579" s="0" t="s">
        <v>1078</v>
      </c>
      <c r="D4579" s="0" t="n">
        <v>10</v>
      </c>
      <c r="E4579" s="6" t="n">
        <v>40856.3986111111</v>
      </c>
      <c r="F4579" s="0" t="n">
        <v>2.08</v>
      </c>
      <c r="G4579" s="0" t="n">
        <v>12681</v>
      </c>
      <c r="H4579" s="0" t="s">
        <v>43</v>
      </c>
      <c r="I4579" s="7" t="n">
        <f aca="false">IF(AND(LEFT(A4579,1)&lt;&gt;"C",D4579&gt;0,F4579&gt;0),1,0)</f>
        <v>1</v>
      </c>
      <c r="J4579" s="7" t="n">
        <f aca="false">IF(I4579=1,D4579*F4579,0)</f>
        <v>20.8</v>
      </c>
      <c r="K4579" s="7" t="n">
        <f aca="false">YEAR(E4579)*100+MONTH(E4579)</f>
        <v>201111</v>
      </c>
      <c r="L4579" s="7" t="n">
        <f aca="false">IF(AND(A4579&lt;&gt;A4578,LEFT(A4579,1)&lt;&gt;"C"),1,0)</f>
        <v>0</v>
      </c>
    </row>
    <row r="4580" customFormat="false" ht="15" hidden="false" customHeight="false" outlineLevel="0" collapsed="false">
      <c r="A4580" s="0" t="s">
        <v>2841</v>
      </c>
      <c r="B4580" s="0" t="s">
        <v>594</v>
      </c>
      <c r="C4580" s="0" t="s">
        <v>595</v>
      </c>
      <c r="D4580" s="0" t="n">
        <v>12</v>
      </c>
      <c r="E4580" s="6" t="n">
        <v>40856.3986111111</v>
      </c>
      <c r="F4580" s="0" t="n">
        <v>2.08</v>
      </c>
      <c r="G4580" s="0" t="n">
        <v>12681</v>
      </c>
      <c r="H4580" s="0" t="s">
        <v>43</v>
      </c>
      <c r="I4580" s="7" t="n">
        <f aca="false">IF(AND(LEFT(A4580,1)&lt;&gt;"C",D4580&gt;0,F4580&gt;0),1,0)</f>
        <v>1</v>
      </c>
      <c r="J4580" s="7" t="n">
        <f aca="false">IF(I4580=1,D4580*F4580,0)</f>
        <v>24.96</v>
      </c>
      <c r="K4580" s="7" t="n">
        <f aca="false">YEAR(E4580)*100+MONTH(E4580)</f>
        <v>201111</v>
      </c>
      <c r="L4580" s="7" t="n">
        <f aca="false">IF(AND(A4580&lt;&gt;A4579,LEFT(A4580,1)&lt;&gt;"C"),1,0)</f>
        <v>0</v>
      </c>
    </row>
    <row r="4581" customFormat="false" ht="15" hidden="false" customHeight="false" outlineLevel="0" collapsed="false">
      <c r="A4581" s="0" t="s">
        <v>2841</v>
      </c>
      <c r="B4581" s="0" t="s">
        <v>2369</v>
      </c>
      <c r="C4581" s="0" t="s">
        <v>2370</v>
      </c>
      <c r="D4581" s="0" t="n">
        <v>12</v>
      </c>
      <c r="E4581" s="6" t="n">
        <v>40856.3986111111</v>
      </c>
      <c r="F4581" s="0" t="n">
        <v>0.39</v>
      </c>
      <c r="G4581" s="0" t="n">
        <v>12681</v>
      </c>
      <c r="H4581" s="0" t="s">
        <v>43</v>
      </c>
      <c r="I4581" s="7" t="n">
        <f aca="false">IF(AND(LEFT(A4581,1)&lt;&gt;"C",D4581&gt;0,F4581&gt;0),1,0)</f>
        <v>1</v>
      </c>
      <c r="J4581" s="7" t="n">
        <f aca="false">IF(I4581=1,D4581*F4581,0)</f>
        <v>4.68</v>
      </c>
      <c r="K4581" s="7" t="n">
        <f aca="false">YEAR(E4581)*100+MONTH(E4581)</f>
        <v>201111</v>
      </c>
      <c r="L4581" s="7" t="n">
        <f aca="false">IF(AND(A4581&lt;&gt;A4580,LEFT(A4581,1)&lt;&gt;"C"),1,0)</f>
        <v>0</v>
      </c>
    </row>
    <row r="4582" customFormat="false" ht="15" hidden="false" customHeight="false" outlineLevel="0" collapsed="false">
      <c r="A4582" s="0" t="s">
        <v>2841</v>
      </c>
      <c r="B4582" s="0" t="s">
        <v>2340</v>
      </c>
      <c r="C4582" s="0" t="s">
        <v>2341</v>
      </c>
      <c r="D4582" s="0" t="n">
        <v>12</v>
      </c>
      <c r="E4582" s="6" t="n">
        <v>40856.3986111111</v>
      </c>
      <c r="F4582" s="0" t="n">
        <v>0.42</v>
      </c>
      <c r="G4582" s="0" t="n">
        <v>12681</v>
      </c>
      <c r="H4582" s="0" t="s">
        <v>43</v>
      </c>
      <c r="I4582" s="7" t="n">
        <f aca="false">IF(AND(LEFT(A4582,1)&lt;&gt;"C",D4582&gt;0,F4582&gt;0),1,0)</f>
        <v>1</v>
      </c>
      <c r="J4582" s="7" t="n">
        <f aca="false">IF(I4582=1,D4582*F4582,0)</f>
        <v>5.04</v>
      </c>
      <c r="K4582" s="7" t="n">
        <f aca="false">YEAR(E4582)*100+MONTH(E4582)</f>
        <v>201111</v>
      </c>
      <c r="L4582" s="7" t="n">
        <f aca="false">IF(AND(A4582&lt;&gt;A4581,LEFT(A4582,1)&lt;&gt;"C"),1,0)</f>
        <v>0</v>
      </c>
    </row>
    <row r="4583" customFormat="false" ht="15" hidden="false" customHeight="false" outlineLevel="0" collapsed="false">
      <c r="A4583" s="0" t="s">
        <v>2841</v>
      </c>
      <c r="B4583" s="0" t="s">
        <v>741</v>
      </c>
      <c r="C4583" s="0" t="s">
        <v>742</v>
      </c>
      <c r="D4583" s="0" t="n">
        <v>12</v>
      </c>
      <c r="E4583" s="6" t="n">
        <v>40856.3986111111</v>
      </c>
      <c r="F4583" s="0" t="n">
        <v>0.42</v>
      </c>
      <c r="G4583" s="0" t="n">
        <v>12681</v>
      </c>
      <c r="H4583" s="0" t="s">
        <v>43</v>
      </c>
      <c r="I4583" s="7" t="n">
        <f aca="false">IF(AND(LEFT(A4583,1)&lt;&gt;"C",D4583&gt;0,F4583&gt;0),1,0)</f>
        <v>1</v>
      </c>
      <c r="J4583" s="7" t="n">
        <f aca="false">IF(I4583=1,D4583*F4583,0)</f>
        <v>5.04</v>
      </c>
      <c r="K4583" s="7" t="n">
        <f aca="false">YEAR(E4583)*100+MONTH(E4583)</f>
        <v>201111</v>
      </c>
      <c r="L4583" s="7" t="n">
        <f aca="false">IF(AND(A4583&lt;&gt;A4582,LEFT(A4583,1)&lt;&gt;"C"),1,0)</f>
        <v>0</v>
      </c>
    </row>
    <row r="4584" customFormat="false" ht="15" hidden="false" customHeight="false" outlineLevel="0" collapsed="false">
      <c r="A4584" s="0" t="s">
        <v>2841</v>
      </c>
      <c r="B4584" s="0" t="s">
        <v>62</v>
      </c>
      <c r="C4584" s="0" t="s">
        <v>63</v>
      </c>
      <c r="D4584" s="0" t="n">
        <v>24</v>
      </c>
      <c r="E4584" s="6" t="n">
        <v>40856.3986111111</v>
      </c>
      <c r="F4584" s="0" t="n">
        <v>1.79</v>
      </c>
      <c r="G4584" s="0" t="n">
        <v>12681</v>
      </c>
      <c r="H4584" s="0" t="s">
        <v>43</v>
      </c>
      <c r="I4584" s="7" t="n">
        <f aca="false">IF(AND(LEFT(A4584,1)&lt;&gt;"C",D4584&gt;0,F4584&gt;0),1,0)</f>
        <v>1</v>
      </c>
      <c r="J4584" s="7" t="n">
        <f aca="false">IF(I4584=1,D4584*F4584,0)</f>
        <v>42.96</v>
      </c>
      <c r="K4584" s="7" t="n">
        <f aca="false">YEAR(E4584)*100+MONTH(E4584)</f>
        <v>201111</v>
      </c>
      <c r="L4584" s="7" t="n">
        <f aca="false">IF(AND(A4584&lt;&gt;A4583,LEFT(A4584,1)&lt;&gt;"C"),1,0)</f>
        <v>0</v>
      </c>
    </row>
    <row r="4585" customFormat="false" ht="15" hidden="false" customHeight="false" outlineLevel="0" collapsed="false">
      <c r="A4585" s="0" t="s">
        <v>2841</v>
      </c>
      <c r="B4585" s="0" t="s">
        <v>1716</v>
      </c>
      <c r="C4585" s="0" t="s">
        <v>1717</v>
      </c>
      <c r="D4585" s="0" t="n">
        <v>2</v>
      </c>
      <c r="E4585" s="6" t="n">
        <v>40856.3986111111</v>
      </c>
      <c r="F4585" s="0" t="n">
        <v>4.95</v>
      </c>
      <c r="G4585" s="0" t="n">
        <v>12681</v>
      </c>
      <c r="H4585" s="0" t="s">
        <v>43</v>
      </c>
      <c r="I4585" s="7" t="n">
        <f aca="false">IF(AND(LEFT(A4585,1)&lt;&gt;"C",D4585&gt;0,F4585&gt;0),1,0)</f>
        <v>1</v>
      </c>
      <c r="J4585" s="7" t="n">
        <f aca="false">IF(I4585=1,D4585*F4585,0)</f>
        <v>9.9</v>
      </c>
      <c r="K4585" s="7" t="n">
        <f aca="false">YEAR(E4585)*100+MONTH(E4585)</f>
        <v>201111</v>
      </c>
      <c r="L4585" s="7" t="n">
        <f aca="false">IF(AND(A4585&lt;&gt;A4584,LEFT(A4585,1)&lt;&gt;"C"),1,0)</f>
        <v>0</v>
      </c>
    </row>
    <row r="4586" customFormat="false" ht="15" hidden="false" customHeight="false" outlineLevel="0" collapsed="false">
      <c r="A4586" s="0" t="s">
        <v>2841</v>
      </c>
      <c r="B4586" s="0" t="s">
        <v>1266</v>
      </c>
      <c r="C4586" s="0" t="s">
        <v>1267</v>
      </c>
      <c r="D4586" s="0" t="n">
        <v>8</v>
      </c>
      <c r="E4586" s="6" t="n">
        <v>40856.3986111111</v>
      </c>
      <c r="F4586" s="0" t="n">
        <v>1.95</v>
      </c>
      <c r="G4586" s="0" t="n">
        <v>12681</v>
      </c>
      <c r="H4586" s="0" t="s">
        <v>43</v>
      </c>
      <c r="I4586" s="7" t="n">
        <f aca="false">IF(AND(LEFT(A4586,1)&lt;&gt;"C",D4586&gt;0,F4586&gt;0),1,0)</f>
        <v>1</v>
      </c>
      <c r="J4586" s="7" t="n">
        <f aca="false">IF(I4586=1,D4586*F4586,0)</f>
        <v>15.6</v>
      </c>
      <c r="K4586" s="7" t="n">
        <f aca="false">YEAR(E4586)*100+MONTH(E4586)</f>
        <v>201111</v>
      </c>
      <c r="L4586" s="7" t="n">
        <f aca="false">IF(AND(A4586&lt;&gt;A4585,LEFT(A4586,1)&lt;&gt;"C"),1,0)</f>
        <v>0</v>
      </c>
    </row>
    <row r="4587" customFormat="false" ht="15" hidden="false" customHeight="false" outlineLevel="0" collapsed="false">
      <c r="A4587" s="0" t="s">
        <v>2841</v>
      </c>
      <c r="B4587" s="0" t="s">
        <v>297</v>
      </c>
      <c r="C4587" s="0" t="s">
        <v>298</v>
      </c>
      <c r="D4587" s="0" t="n">
        <v>4</v>
      </c>
      <c r="E4587" s="6" t="n">
        <v>40856.3986111111</v>
      </c>
      <c r="F4587" s="0" t="n">
        <v>3.75</v>
      </c>
      <c r="G4587" s="0" t="n">
        <v>12681</v>
      </c>
      <c r="H4587" s="0" t="s">
        <v>43</v>
      </c>
      <c r="I4587" s="7" t="n">
        <f aca="false">IF(AND(LEFT(A4587,1)&lt;&gt;"C",D4587&gt;0,F4587&gt;0),1,0)</f>
        <v>1</v>
      </c>
      <c r="J4587" s="7" t="n">
        <f aca="false">IF(I4587=1,D4587*F4587,0)</f>
        <v>15</v>
      </c>
      <c r="K4587" s="7" t="n">
        <f aca="false">YEAR(E4587)*100+MONTH(E4587)</f>
        <v>201111</v>
      </c>
      <c r="L4587" s="7" t="n">
        <f aca="false">IF(AND(A4587&lt;&gt;A4586,LEFT(A4587,1)&lt;&gt;"C"),1,0)</f>
        <v>0</v>
      </c>
    </row>
    <row r="4588" customFormat="false" ht="15" hidden="false" customHeight="false" outlineLevel="0" collapsed="false">
      <c r="A4588" s="0" t="s">
        <v>2841</v>
      </c>
      <c r="B4588" s="0" t="s">
        <v>320</v>
      </c>
      <c r="C4588" s="0" t="s">
        <v>321</v>
      </c>
      <c r="D4588" s="0" t="n">
        <v>4</v>
      </c>
      <c r="E4588" s="6" t="n">
        <v>40856.3986111111</v>
      </c>
      <c r="F4588" s="0" t="n">
        <v>3.75</v>
      </c>
      <c r="G4588" s="0" t="n">
        <v>12681</v>
      </c>
      <c r="H4588" s="0" t="s">
        <v>43</v>
      </c>
      <c r="I4588" s="7" t="n">
        <f aca="false">IF(AND(LEFT(A4588,1)&lt;&gt;"C",D4588&gt;0,F4588&gt;0),1,0)</f>
        <v>1</v>
      </c>
      <c r="J4588" s="7" t="n">
        <f aca="false">IF(I4588=1,D4588*F4588,0)</f>
        <v>15</v>
      </c>
      <c r="K4588" s="7" t="n">
        <f aca="false">YEAR(E4588)*100+MONTH(E4588)</f>
        <v>201111</v>
      </c>
      <c r="L4588" s="7" t="n">
        <f aca="false">IF(AND(A4588&lt;&gt;A4587,LEFT(A4588,1)&lt;&gt;"C"),1,0)</f>
        <v>0</v>
      </c>
    </row>
    <row r="4589" customFormat="false" ht="15" hidden="false" customHeight="false" outlineLevel="0" collapsed="false">
      <c r="A4589" s="0" t="s">
        <v>2841</v>
      </c>
      <c r="B4589" s="0" t="s">
        <v>1390</v>
      </c>
      <c r="C4589" s="0" t="s">
        <v>1391</v>
      </c>
      <c r="D4589" s="0" t="n">
        <v>10</v>
      </c>
      <c r="E4589" s="6" t="n">
        <v>40856.3986111111</v>
      </c>
      <c r="F4589" s="0" t="n">
        <v>2.08</v>
      </c>
      <c r="G4589" s="0" t="n">
        <v>12681</v>
      </c>
      <c r="H4589" s="0" t="s">
        <v>43</v>
      </c>
      <c r="I4589" s="7" t="n">
        <f aca="false">IF(AND(LEFT(A4589,1)&lt;&gt;"C",D4589&gt;0,F4589&gt;0),1,0)</f>
        <v>1</v>
      </c>
      <c r="J4589" s="7" t="n">
        <f aca="false">IF(I4589=1,D4589*F4589,0)</f>
        <v>20.8</v>
      </c>
      <c r="K4589" s="7" t="n">
        <f aca="false">YEAR(E4589)*100+MONTH(E4589)</f>
        <v>201111</v>
      </c>
      <c r="L4589" s="7" t="n">
        <f aca="false">IF(AND(A4589&lt;&gt;A4588,LEFT(A4589,1)&lt;&gt;"C"),1,0)</f>
        <v>0</v>
      </c>
    </row>
    <row r="4590" customFormat="false" ht="15" hidden="false" customHeight="false" outlineLevel="0" collapsed="false">
      <c r="A4590" s="0" t="s">
        <v>2841</v>
      </c>
      <c r="B4590" s="0" t="s">
        <v>2844</v>
      </c>
      <c r="C4590" s="0" t="s">
        <v>2845</v>
      </c>
      <c r="D4590" s="0" t="n">
        <v>20</v>
      </c>
      <c r="E4590" s="6" t="n">
        <v>40856.3986111111</v>
      </c>
      <c r="F4590" s="0" t="n">
        <v>0.75</v>
      </c>
      <c r="G4590" s="0" t="n">
        <v>12681</v>
      </c>
      <c r="H4590" s="0" t="s">
        <v>43</v>
      </c>
      <c r="I4590" s="7" t="n">
        <f aca="false">IF(AND(LEFT(A4590,1)&lt;&gt;"C",D4590&gt;0,F4590&gt;0),1,0)</f>
        <v>1</v>
      </c>
      <c r="J4590" s="7" t="n">
        <f aca="false">IF(I4590=1,D4590*F4590,0)</f>
        <v>15</v>
      </c>
      <c r="K4590" s="7" t="n">
        <f aca="false">YEAR(E4590)*100+MONTH(E4590)</f>
        <v>201111</v>
      </c>
      <c r="L4590" s="7" t="n">
        <f aca="false">IF(AND(A4590&lt;&gt;A4589,LEFT(A4590,1)&lt;&gt;"C"),1,0)</f>
        <v>0</v>
      </c>
    </row>
    <row r="4591" customFormat="false" ht="15" hidden="false" customHeight="false" outlineLevel="0" collapsed="false">
      <c r="A4591" s="0" t="s">
        <v>2841</v>
      </c>
      <c r="B4591" s="0" t="s">
        <v>471</v>
      </c>
      <c r="C4591" s="0" t="s">
        <v>472</v>
      </c>
      <c r="D4591" s="0" t="n">
        <v>12</v>
      </c>
      <c r="E4591" s="6" t="n">
        <v>40856.3986111111</v>
      </c>
      <c r="F4591" s="0" t="n">
        <v>1.65</v>
      </c>
      <c r="G4591" s="0" t="n">
        <v>12681</v>
      </c>
      <c r="H4591" s="0" t="s">
        <v>43</v>
      </c>
      <c r="I4591" s="7" t="n">
        <f aca="false">IF(AND(LEFT(A4591,1)&lt;&gt;"C",D4591&gt;0,F4591&gt;0),1,0)</f>
        <v>1</v>
      </c>
      <c r="J4591" s="7" t="n">
        <f aca="false">IF(I4591=1,D4591*F4591,0)</f>
        <v>19.8</v>
      </c>
      <c r="K4591" s="7" t="n">
        <f aca="false">YEAR(E4591)*100+MONTH(E4591)</f>
        <v>201111</v>
      </c>
      <c r="L4591" s="7" t="n">
        <f aca="false">IF(AND(A4591&lt;&gt;A4590,LEFT(A4591,1)&lt;&gt;"C"),1,0)</f>
        <v>0</v>
      </c>
    </row>
    <row r="4592" customFormat="false" ht="15" hidden="false" customHeight="false" outlineLevel="0" collapsed="false">
      <c r="A4592" s="0" t="s">
        <v>2841</v>
      </c>
      <c r="B4592" s="0" t="s">
        <v>35</v>
      </c>
      <c r="C4592" s="0" t="s">
        <v>36</v>
      </c>
      <c r="D4592" s="0" t="n">
        <v>12</v>
      </c>
      <c r="E4592" s="6" t="n">
        <v>40856.3986111111</v>
      </c>
      <c r="F4592" s="0" t="n">
        <v>1.65</v>
      </c>
      <c r="G4592" s="0" t="n">
        <v>12681</v>
      </c>
      <c r="H4592" s="0" t="s">
        <v>43</v>
      </c>
      <c r="I4592" s="7" t="n">
        <f aca="false">IF(AND(LEFT(A4592,1)&lt;&gt;"C",D4592&gt;0,F4592&gt;0),1,0)</f>
        <v>1</v>
      </c>
      <c r="J4592" s="7" t="n">
        <f aca="false">IF(I4592=1,D4592*F4592,0)</f>
        <v>19.8</v>
      </c>
      <c r="K4592" s="7" t="n">
        <f aca="false">YEAR(E4592)*100+MONTH(E4592)</f>
        <v>201111</v>
      </c>
      <c r="L4592" s="7" t="n">
        <f aca="false">IF(AND(A4592&lt;&gt;A4591,LEFT(A4592,1)&lt;&gt;"C"),1,0)</f>
        <v>0</v>
      </c>
    </row>
    <row r="4593" customFormat="false" ht="15" hidden="false" customHeight="false" outlineLevel="0" collapsed="false">
      <c r="A4593" s="0" t="s">
        <v>2841</v>
      </c>
      <c r="B4593" s="0" t="s">
        <v>1676</v>
      </c>
      <c r="C4593" s="0" t="s">
        <v>1677</v>
      </c>
      <c r="D4593" s="0" t="n">
        <v>3</v>
      </c>
      <c r="E4593" s="6" t="n">
        <v>40856.3986111111</v>
      </c>
      <c r="F4593" s="0" t="n">
        <v>5.95</v>
      </c>
      <c r="G4593" s="0" t="n">
        <v>12681</v>
      </c>
      <c r="H4593" s="0" t="s">
        <v>43</v>
      </c>
      <c r="I4593" s="7" t="n">
        <f aca="false">IF(AND(LEFT(A4593,1)&lt;&gt;"C",D4593&gt;0,F4593&gt;0),1,0)</f>
        <v>1</v>
      </c>
      <c r="J4593" s="7" t="n">
        <f aca="false">IF(I4593=1,D4593*F4593,0)</f>
        <v>17.85</v>
      </c>
      <c r="K4593" s="7" t="n">
        <f aca="false">YEAR(E4593)*100+MONTH(E4593)</f>
        <v>201111</v>
      </c>
      <c r="L4593" s="7" t="n">
        <f aca="false">IF(AND(A4593&lt;&gt;A4592,LEFT(A4593,1)&lt;&gt;"C"),1,0)</f>
        <v>0</v>
      </c>
    </row>
    <row r="4594" customFormat="false" ht="15" hidden="false" customHeight="false" outlineLevel="0" collapsed="false">
      <c r="A4594" s="0" t="s">
        <v>2841</v>
      </c>
      <c r="B4594" s="0" t="s">
        <v>2617</v>
      </c>
      <c r="C4594" s="0" t="s">
        <v>2618</v>
      </c>
      <c r="D4594" s="0" t="n">
        <v>12</v>
      </c>
      <c r="E4594" s="6" t="n">
        <v>40856.3986111111</v>
      </c>
      <c r="F4594" s="0" t="n">
        <v>1.25</v>
      </c>
      <c r="G4594" s="0" t="n">
        <v>12681</v>
      </c>
      <c r="H4594" s="0" t="s">
        <v>43</v>
      </c>
      <c r="I4594" s="7" t="n">
        <f aca="false">IF(AND(LEFT(A4594,1)&lt;&gt;"C",D4594&gt;0,F4594&gt;0),1,0)</f>
        <v>1</v>
      </c>
      <c r="J4594" s="7" t="n">
        <f aca="false">IF(I4594=1,D4594*F4594,0)</f>
        <v>15</v>
      </c>
      <c r="K4594" s="7" t="n">
        <f aca="false">YEAR(E4594)*100+MONTH(E4594)</f>
        <v>201111</v>
      </c>
      <c r="L4594" s="7" t="n">
        <f aca="false">IF(AND(A4594&lt;&gt;A4593,LEFT(A4594,1)&lt;&gt;"C"),1,0)</f>
        <v>0</v>
      </c>
    </row>
    <row r="4595" customFormat="false" ht="15" hidden="false" customHeight="false" outlineLevel="0" collapsed="false">
      <c r="A4595" s="0" t="s">
        <v>2841</v>
      </c>
      <c r="B4595" s="0" t="s">
        <v>2846</v>
      </c>
      <c r="C4595" s="0" t="s">
        <v>2847</v>
      </c>
      <c r="D4595" s="0" t="n">
        <v>12</v>
      </c>
      <c r="E4595" s="6" t="n">
        <v>40856.3986111111</v>
      </c>
      <c r="F4595" s="0" t="n">
        <v>1.25</v>
      </c>
      <c r="G4595" s="0" t="n">
        <v>12681</v>
      </c>
      <c r="H4595" s="0" t="s">
        <v>43</v>
      </c>
      <c r="I4595" s="7" t="n">
        <f aca="false">IF(AND(LEFT(A4595,1)&lt;&gt;"C",D4595&gt;0,F4595&gt;0),1,0)</f>
        <v>1</v>
      </c>
      <c r="J4595" s="7" t="n">
        <f aca="false">IF(I4595=1,D4595*F4595,0)</f>
        <v>15</v>
      </c>
      <c r="K4595" s="7" t="n">
        <f aca="false">YEAR(E4595)*100+MONTH(E4595)</f>
        <v>201111</v>
      </c>
      <c r="L4595" s="7" t="n">
        <f aca="false">IF(AND(A4595&lt;&gt;A4594,LEFT(A4595,1)&lt;&gt;"C"),1,0)</f>
        <v>0</v>
      </c>
    </row>
    <row r="4596" customFormat="false" ht="15" hidden="false" customHeight="false" outlineLevel="0" collapsed="false">
      <c r="A4596" s="0" t="s">
        <v>2841</v>
      </c>
      <c r="B4596" s="0" t="s">
        <v>148</v>
      </c>
      <c r="C4596" s="0" t="s">
        <v>149</v>
      </c>
      <c r="D4596" s="0" t="n">
        <v>1</v>
      </c>
      <c r="E4596" s="6" t="n">
        <v>40856.3986111111</v>
      </c>
      <c r="F4596" s="0" t="n">
        <v>12.75</v>
      </c>
      <c r="G4596" s="0" t="n">
        <v>12681</v>
      </c>
      <c r="H4596" s="0" t="s">
        <v>43</v>
      </c>
      <c r="I4596" s="7" t="n">
        <f aca="false">IF(AND(LEFT(A4596,1)&lt;&gt;"C",D4596&gt;0,F4596&gt;0),1,0)</f>
        <v>1</v>
      </c>
      <c r="J4596" s="7" t="n">
        <f aca="false">IF(I4596=1,D4596*F4596,0)</f>
        <v>12.75</v>
      </c>
      <c r="K4596" s="7" t="n">
        <f aca="false">YEAR(E4596)*100+MONTH(E4596)</f>
        <v>201111</v>
      </c>
      <c r="L4596" s="7" t="n">
        <f aca="false">IF(AND(A4596&lt;&gt;A4595,LEFT(A4596,1)&lt;&gt;"C"),1,0)</f>
        <v>0</v>
      </c>
    </row>
    <row r="4597" customFormat="false" ht="15" hidden="false" customHeight="false" outlineLevel="0" collapsed="false">
      <c r="A4597" s="0" t="s">
        <v>2841</v>
      </c>
      <c r="B4597" s="0" t="s">
        <v>428</v>
      </c>
      <c r="C4597" s="0" t="s">
        <v>429</v>
      </c>
      <c r="D4597" s="0" t="n">
        <v>2</v>
      </c>
      <c r="E4597" s="6" t="n">
        <v>40856.3986111111</v>
      </c>
      <c r="F4597" s="0" t="n">
        <v>8.25</v>
      </c>
      <c r="G4597" s="0" t="n">
        <v>12681</v>
      </c>
      <c r="H4597" s="0" t="s">
        <v>43</v>
      </c>
      <c r="I4597" s="7" t="n">
        <f aca="false">IF(AND(LEFT(A4597,1)&lt;&gt;"C",D4597&gt;0,F4597&gt;0),1,0)</f>
        <v>1</v>
      </c>
      <c r="J4597" s="7" t="n">
        <f aca="false">IF(I4597=1,D4597*F4597,0)</f>
        <v>16.5</v>
      </c>
      <c r="K4597" s="7" t="n">
        <f aca="false">YEAR(E4597)*100+MONTH(E4597)</f>
        <v>201111</v>
      </c>
      <c r="L4597" s="7" t="n">
        <f aca="false">IF(AND(A4597&lt;&gt;A4596,LEFT(A4597,1)&lt;&gt;"C"),1,0)</f>
        <v>0</v>
      </c>
    </row>
    <row r="4598" customFormat="false" ht="15" hidden="false" customHeight="false" outlineLevel="0" collapsed="false">
      <c r="A4598" s="0" t="s">
        <v>2841</v>
      </c>
      <c r="B4598" s="0" t="s">
        <v>123</v>
      </c>
      <c r="C4598" s="0" t="s">
        <v>124</v>
      </c>
      <c r="D4598" s="0" t="n">
        <v>6</v>
      </c>
      <c r="E4598" s="6" t="n">
        <v>40856.3986111111</v>
      </c>
      <c r="F4598" s="0" t="n">
        <v>2.95</v>
      </c>
      <c r="G4598" s="0" t="n">
        <v>12681</v>
      </c>
      <c r="H4598" s="0" t="s">
        <v>43</v>
      </c>
      <c r="I4598" s="7" t="n">
        <f aca="false">IF(AND(LEFT(A4598,1)&lt;&gt;"C",D4598&gt;0,F4598&gt;0),1,0)</f>
        <v>1</v>
      </c>
      <c r="J4598" s="7" t="n">
        <f aca="false">IF(I4598=1,D4598*F4598,0)</f>
        <v>17.7</v>
      </c>
      <c r="K4598" s="7" t="n">
        <f aca="false">YEAR(E4598)*100+MONTH(E4598)</f>
        <v>201111</v>
      </c>
      <c r="L4598" s="7" t="n">
        <f aca="false">IF(AND(A4598&lt;&gt;A4597,LEFT(A4598,1)&lt;&gt;"C"),1,0)</f>
        <v>0</v>
      </c>
    </row>
    <row r="4599" customFormat="false" ht="15" hidden="false" customHeight="false" outlineLevel="0" collapsed="false">
      <c r="A4599" s="0" t="s">
        <v>2841</v>
      </c>
      <c r="B4599" s="0" t="s">
        <v>610</v>
      </c>
      <c r="C4599" s="0" t="s">
        <v>611</v>
      </c>
      <c r="D4599" s="0" t="n">
        <v>6</v>
      </c>
      <c r="E4599" s="6" t="n">
        <v>40856.3986111111</v>
      </c>
      <c r="F4599" s="0" t="n">
        <v>2.95</v>
      </c>
      <c r="G4599" s="0" t="n">
        <v>12681</v>
      </c>
      <c r="H4599" s="0" t="s">
        <v>43</v>
      </c>
      <c r="I4599" s="7" t="n">
        <f aca="false">IF(AND(LEFT(A4599,1)&lt;&gt;"C",D4599&gt;0,F4599&gt;0),1,0)</f>
        <v>1</v>
      </c>
      <c r="J4599" s="7" t="n">
        <f aca="false">IF(I4599=1,D4599*F4599,0)</f>
        <v>17.7</v>
      </c>
      <c r="K4599" s="7" t="n">
        <f aca="false">YEAR(E4599)*100+MONTH(E4599)</f>
        <v>201111</v>
      </c>
      <c r="L4599" s="7" t="n">
        <f aca="false">IF(AND(A4599&lt;&gt;A4598,LEFT(A4599,1)&lt;&gt;"C"),1,0)</f>
        <v>0</v>
      </c>
    </row>
    <row r="4600" customFormat="false" ht="15" hidden="false" customHeight="false" outlineLevel="0" collapsed="false">
      <c r="A4600" s="0" t="s">
        <v>2841</v>
      </c>
      <c r="B4600" s="0" t="s">
        <v>56</v>
      </c>
      <c r="C4600" s="0" t="s">
        <v>57</v>
      </c>
      <c r="D4600" s="0" t="n">
        <v>10</v>
      </c>
      <c r="E4600" s="6" t="n">
        <v>40856.3986111111</v>
      </c>
      <c r="F4600" s="0" t="n">
        <v>1.65</v>
      </c>
      <c r="G4600" s="0" t="n">
        <v>12681</v>
      </c>
      <c r="H4600" s="0" t="s">
        <v>43</v>
      </c>
      <c r="I4600" s="7" t="n">
        <f aca="false">IF(AND(LEFT(A4600,1)&lt;&gt;"C",D4600&gt;0,F4600&gt;0),1,0)</f>
        <v>1</v>
      </c>
      <c r="J4600" s="7" t="n">
        <f aca="false">IF(I4600=1,D4600*F4600,0)</f>
        <v>16.5</v>
      </c>
      <c r="K4600" s="7" t="n">
        <f aca="false">YEAR(E4600)*100+MONTH(E4600)</f>
        <v>201111</v>
      </c>
      <c r="L4600" s="7" t="n">
        <f aca="false">IF(AND(A4600&lt;&gt;A4599,LEFT(A4600,1)&lt;&gt;"C"),1,0)</f>
        <v>0</v>
      </c>
    </row>
    <row r="4601" customFormat="false" ht="15" hidden="false" customHeight="false" outlineLevel="0" collapsed="false">
      <c r="A4601" s="0" t="s">
        <v>2841</v>
      </c>
      <c r="B4601" s="0" t="s">
        <v>2780</v>
      </c>
      <c r="C4601" s="0" t="s">
        <v>2781</v>
      </c>
      <c r="D4601" s="0" t="n">
        <v>10</v>
      </c>
      <c r="E4601" s="6" t="n">
        <v>40856.3986111111</v>
      </c>
      <c r="F4601" s="0" t="n">
        <v>1.65</v>
      </c>
      <c r="G4601" s="0" t="n">
        <v>12681</v>
      </c>
      <c r="H4601" s="0" t="s">
        <v>43</v>
      </c>
      <c r="I4601" s="7" t="n">
        <f aca="false">IF(AND(LEFT(A4601,1)&lt;&gt;"C",D4601&gt;0,F4601&gt;0),1,0)</f>
        <v>1</v>
      </c>
      <c r="J4601" s="7" t="n">
        <f aca="false">IF(I4601=1,D4601*F4601,0)</f>
        <v>16.5</v>
      </c>
      <c r="K4601" s="7" t="n">
        <f aca="false">YEAR(E4601)*100+MONTH(E4601)</f>
        <v>201111</v>
      </c>
      <c r="L4601" s="7" t="n">
        <f aca="false">IF(AND(A4601&lt;&gt;A4600,LEFT(A4601,1)&lt;&gt;"C"),1,0)</f>
        <v>0</v>
      </c>
    </row>
    <row r="4602" customFormat="false" ht="15" hidden="false" customHeight="false" outlineLevel="0" collapsed="false">
      <c r="A4602" s="0" t="s">
        <v>2841</v>
      </c>
      <c r="B4602" s="0" t="s">
        <v>1646</v>
      </c>
      <c r="C4602" s="0" t="s">
        <v>1647</v>
      </c>
      <c r="D4602" s="0" t="n">
        <v>10</v>
      </c>
      <c r="E4602" s="6" t="n">
        <v>40856.3986111111</v>
      </c>
      <c r="F4602" s="0" t="n">
        <v>1.65</v>
      </c>
      <c r="G4602" s="0" t="n">
        <v>12681</v>
      </c>
      <c r="H4602" s="0" t="s">
        <v>43</v>
      </c>
      <c r="I4602" s="7" t="n">
        <f aca="false">IF(AND(LEFT(A4602,1)&lt;&gt;"C",D4602&gt;0,F4602&gt;0),1,0)</f>
        <v>1</v>
      </c>
      <c r="J4602" s="7" t="n">
        <f aca="false">IF(I4602=1,D4602*F4602,0)</f>
        <v>16.5</v>
      </c>
      <c r="K4602" s="7" t="n">
        <f aca="false">YEAR(E4602)*100+MONTH(E4602)</f>
        <v>201111</v>
      </c>
      <c r="L4602" s="7" t="n">
        <f aca="false">IF(AND(A4602&lt;&gt;A4601,LEFT(A4602,1)&lt;&gt;"C"),1,0)</f>
        <v>0</v>
      </c>
    </row>
    <row r="4603" customFormat="false" ht="15" hidden="false" customHeight="false" outlineLevel="0" collapsed="false">
      <c r="A4603" s="0" t="s">
        <v>2841</v>
      </c>
      <c r="B4603" s="0" t="s">
        <v>465</v>
      </c>
      <c r="C4603" s="0" t="s">
        <v>466</v>
      </c>
      <c r="D4603" s="0" t="n">
        <v>2</v>
      </c>
      <c r="E4603" s="6" t="n">
        <v>40856.3986111111</v>
      </c>
      <c r="F4603" s="0" t="n">
        <v>7.95</v>
      </c>
      <c r="G4603" s="0" t="n">
        <v>12681</v>
      </c>
      <c r="H4603" s="0" t="s">
        <v>43</v>
      </c>
      <c r="I4603" s="7" t="n">
        <f aca="false">IF(AND(LEFT(A4603,1)&lt;&gt;"C",D4603&gt;0,F4603&gt;0),1,0)</f>
        <v>1</v>
      </c>
      <c r="J4603" s="7" t="n">
        <f aca="false">IF(I4603=1,D4603*F4603,0)</f>
        <v>15.9</v>
      </c>
      <c r="K4603" s="7" t="n">
        <f aca="false">YEAR(E4603)*100+MONTH(E4603)</f>
        <v>201111</v>
      </c>
      <c r="L4603" s="7" t="n">
        <f aca="false">IF(AND(A4603&lt;&gt;A4602,LEFT(A4603,1)&lt;&gt;"C"),1,0)</f>
        <v>0</v>
      </c>
    </row>
    <row r="4604" customFormat="false" ht="15" hidden="false" customHeight="false" outlineLevel="0" collapsed="false">
      <c r="A4604" s="0" t="s">
        <v>2841</v>
      </c>
      <c r="B4604" s="0" t="s">
        <v>783</v>
      </c>
      <c r="C4604" s="0" t="s">
        <v>784</v>
      </c>
      <c r="D4604" s="0" t="n">
        <v>6</v>
      </c>
      <c r="E4604" s="6" t="n">
        <v>40856.3986111111</v>
      </c>
      <c r="F4604" s="0" t="n">
        <v>2.1</v>
      </c>
      <c r="G4604" s="0" t="n">
        <v>12681</v>
      </c>
      <c r="H4604" s="0" t="s">
        <v>43</v>
      </c>
      <c r="I4604" s="7" t="n">
        <f aca="false">IF(AND(LEFT(A4604,1)&lt;&gt;"C",D4604&gt;0,F4604&gt;0),1,0)</f>
        <v>1</v>
      </c>
      <c r="J4604" s="7" t="n">
        <f aca="false">IF(I4604=1,D4604*F4604,0)</f>
        <v>12.6</v>
      </c>
      <c r="K4604" s="7" t="n">
        <f aca="false">YEAR(E4604)*100+MONTH(E4604)</f>
        <v>201111</v>
      </c>
      <c r="L4604" s="7" t="n">
        <f aca="false">IF(AND(A4604&lt;&gt;A4603,LEFT(A4604,1)&lt;&gt;"C"),1,0)</f>
        <v>0</v>
      </c>
    </row>
    <row r="4605" customFormat="false" ht="15" hidden="false" customHeight="false" outlineLevel="0" collapsed="false">
      <c r="A4605" s="0" t="s">
        <v>2841</v>
      </c>
      <c r="B4605" s="0" t="s">
        <v>785</v>
      </c>
      <c r="C4605" s="0" t="s">
        <v>786</v>
      </c>
      <c r="D4605" s="0" t="n">
        <v>12</v>
      </c>
      <c r="E4605" s="6" t="n">
        <v>40856.3986111111</v>
      </c>
      <c r="F4605" s="0" t="n">
        <v>1.45</v>
      </c>
      <c r="G4605" s="0" t="n">
        <v>12681</v>
      </c>
      <c r="H4605" s="0" t="s">
        <v>43</v>
      </c>
      <c r="I4605" s="7" t="n">
        <f aca="false">IF(AND(LEFT(A4605,1)&lt;&gt;"C",D4605&gt;0,F4605&gt;0),1,0)</f>
        <v>1</v>
      </c>
      <c r="J4605" s="7" t="n">
        <f aca="false">IF(I4605=1,D4605*F4605,0)</f>
        <v>17.4</v>
      </c>
      <c r="K4605" s="7" t="n">
        <f aca="false">YEAR(E4605)*100+MONTH(E4605)</f>
        <v>201111</v>
      </c>
      <c r="L4605" s="7" t="n">
        <f aca="false">IF(AND(A4605&lt;&gt;A4604,LEFT(A4605,1)&lt;&gt;"C"),1,0)</f>
        <v>0</v>
      </c>
    </row>
    <row r="4606" customFormat="false" ht="15" hidden="false" customHeight="false" outlineLevel="0" collapsed="false">
      <c r="A4606" s="0" t="s">
        <v>2841</v>
      </c>
      <c r="B4606" s="0" t="s">
        <v>310</v>
      </c>
      <c r="C4606" s="0" t="s">
        <v>311</v>
      </c>
      <c r="D4606" s="0" t="n">
        <v>4</v>
      </c>
      <c r="E4606" s="6" t="n">
        <v>40856.3986111111</v>
      </c>
      <c r="F4606" s="0" t="n">
        <v>4.95</v>
      </c>
      <c r="G4606" s="0" t="n">
        <v>12681</v>
      </c>
      <c r="H4606" s="0" t="s">
        <v>43</v>
      </c>
      <c r="I4606" s="7" t="n">
        <f aca="false">IF(AND(LEFT(A4606,1)&lt;&gt;"C",D4606&gt;0,F4606&gt;0),1,0)</f>
        <v>1</v>
      </c>
      <c r="J4606" s="7" t="n">
        <f aca="false">IF(I4606=1,D4606*F4606,0)</f>
        <v>19.8</v>
      </c>
      <c r="K4606" s="7" t="n">
        <f aca="false">YEAR(E4606)*100+MONTH(E4606)</f>
        <v>201111</v>
      </c>
      <c r="L4606" s="7" t="n">
        <f aca="false">IF(AND(A4606&lt;&gt;A4605,LEFT(A4606,1)&lt;&gt;"C"),1,0)</f>
        <v>0</v>
      </c>
    </row>
    <row r="4607" customFormat="false" ht="15" hidden="false" customHeight="false" outlineLevel="0" collapsed="false">
      <c r="A4607" s="0" t="s">
        <v>2841</v>
      </c>
      <c r="B4607" s="0" t="s">
        <v>2848</v>
      </c>
      <c r="C4607" s="0" t="s">
        <v>2849</v>
      </c>
      <c r="D4607" s="0" t="n">
        <v>3</v>
      </c>
      <c r="E4607" s="6" t="n">
        <v>40856.3986111111</v>
      </c>
      <c r="F4607" s="0" t="n">
        <v>4.95</v>
      </c>
      <c r="G4607" s="0" t="n">
        <v>12681</v>
      </c>
      <c r="H4607" s="0" t="s">
        <v>43</v>
      </c>
      <c r="I4607" s="7" t="n">
        <f aca="false">IF(AND(LEFT(A4607,1)&lt;&gt;"C",D4607&gt;0,F4607&gt;0),1,0)</f>
        <v>1</v>
      </c>
      <c r="J4607" s="7" t="n">
        <f aca="false">IF(I4607=1,D4607*F4607,0)</f>
        <v>14.85</v>
      </c>
      <c r="K4607" s="7" t="n">
        <f aca="false">YEAR(E4607)*100+MONTH(E4607)</f>
        <v>201111</v>
      </c>
      <c r="L4607" s="7" t="n">
        <f aca="false">IF(AND(A4607&lt;&gt;A4606,LEFT(A4607,1)&lt;&gt;"C"),1,0)</f>
        <v>0</v>
      </c>
    </row>
    <row r="4608" customFormat="false" ht="15" hidden="false" customHeight="false" outlineLevel="0" collapsed="false">
      <c r="A4608" s="0" t="s">
        <v>2841</v>
      </c>
      <c r="B4608" s="0" t="s">
        <v>140</v>
      </c>
      <c r="C4608" s="0" t="s">
        <v>141</v>
      </c>
      <c r="D4608" s="0" t="n">
        <v>12</v>
      </c>
      <c r="E4608" s="6" t="n">
        <v>40856.3986111111</v>
      </c>
      <c r="F4608" s="0" t="n">
        <v>1.45</v>
      </c>
      <c r="G4608" s="0" t="n">
        <v>12681</v>
      </c>
      <c r="H4608" s="0" t="s">
        <v>43</v>
      </c>
      <c r="I4608" s="7" t="n">
        <f aca="false">IF(AND(LEFT(A4608,1)&lt;&gt;"C",D4608&gt;0,F4608&gt;0),1,0)</f>
        <v>1</v>
      </c>
      <c r="J4608" s="7" t="n">
        <f aca="false">IF(I4608=1,D4608*F4608,0)</f>
        <v>17.4</v>
      </c>
      <c r="K4608" s="7" t="n">
        <f aca="false">YEAR(E4608)*100+MONTH(E4608)</f>
        <v>201111</v>
      </c>
      <c r="L4608" s="7" t="n">
        <f aca="false">IF(AND(A4608&lt;&gt;A4607,LEFT(A4608,1)&lt;&gt;"C"),1,0)</f>
        <v>0</v>
      </c>
    </row>
    <row r="4609" customFormat="false" ht="15" hidden="false" customHeight="false" outlineLevel="0" collapsed="false">
      <c r="A4609" s="0" t="s">
        <v>2841</v>
      </c>
      <c r="B4609" s="0" t="s">
        <v>847</v>
      </c>
      <c r="C4609" s="0" t="s">
        <v>848</v>
      </c>
      <c r="D4609" s="0" t="n">
        <v>12</v>
      </c>
      <c r="E4609" s="6" t="n">
        <v>40856.3986111111</v>
      </c>
      <c r="F4609" s="0" t="n">
        <v>1.45</v>
      </c>
      <c r="G4609" s="0" t="n">
        <v>12681</v>
      </c>
      <c r="H4609" s="0" t="s">
        <v>43</v>
      </c>
      <c r="I4609" s="7" t="n">
        <f aca="false">IF(AND(LEFT(A4609,1)&lt;&gt;"C",D4609&gt;0,F4609&gt;0),1,0)</f>
        <v>1</v>
      </c>
      <c r="J4609" s="7" t="n">
        <f aca="false">IF(I4609=1,D4609*F4609,0)</f>
        <v>17.4</v>
      </c>
      <c r="K4609" s="7" t="n">
        <f aca="false">YEAR(E4609)*100+MONTH(E4609)</f>
        <v>201111</v>
      </c>
      <c r="L4609" s="7" t="n">
        <f aca="false">IF(AND(A4609&lt;&gt;A4608,LEFT(A4609,1)&lt;&gt;"C"),1,0)</f>
        <v>0</v>
      </c>
    </row>
    <row r="4610" customFormat="false" ht="15" hidden="false" customHeight="false" outlineLevel="0" collapsed="false">
      <c r="A4610" s="0" t="s">
        <v>2841</v>
      </c>
      <c r="B4610" s="0" t="s">
        <v>84</v>
      </c>
      <c r="C4610" s="0" t="s">
        <v>85</v>
      </c>
      <c r="D4610" s="0" t="n">
        <v>5</v>
      </c>
      <c r="E4610" s="6" t="n">
        <v>40856.3986111111</v>
      </c>
      <c r="F4610" s="0" t="n">
        <v>18</v>
      </c>
      <c r="G4610" s="0" t="n">
        <v>12681</v>
      </c>
      <c r="H4610" s="0" t="s">
        <v>43</v>
      </c>
      <c r="I4610" s="7" t="n">
        <f aca="false">IF(AND(LEFT(A4610,1)&lt;&gt;"C",D4610&gt;0,F4610&gt;0),1,0)</f>
        <v>1</v>
      </c>
      <c r="J4610" s="7" t="n">
        <f aca="false">IF(I4610=1,D4610*F4610,0)</f>
        <v>90</v>
      </c>
      <c r="K4610" s="7" t="n">
        <f aca="false">YEAR(E4610)*100+MONTH(E4610)</f>
        <v>201111</v>
      </c>
      <c r="L4610" s="7" t="n">
        <f aca="false">IF(AND(A4610&lt;&gt;A4609,LEFT(A4610,1)&lt;&gt;"C"),1,0)</f>
        <v>0</v>
      </c>
    </row>
    <row r="4611" customFormat="false" ht="15" hidden="false" customHeight="false" outlineLevel="0" collapsed="false">
      <c r="A4611" s="0" t="s">
        <v>2850</v>
      </c>
      <c r="B4611" s="0" t="s">
        <v>1728</v>
      </c>
      <c r="C4611" s="0" t="s">
        <v>1729</v>
      </c>
      <c r="D4611" s="0" t="n">
        <v>-1</v>
      </c>
      <c r="E4611" s="6" t="n">
        <v>40856.48125</v>
      </c>
      <c r="F4611" s="0" t="n">
        <v>1.65</v>
      </c>
      <c r="G4611" s="0" t="n">
        <v>12472</v>
      </c>
      <c r="H4611" s="0" t="s">
        <v>33</v>
      </c>
      <c r="I4611" s="7" t="n">
        <f aca="false">IF(AND(LEFT(A4611,1)&lt;&gt;"C",D4611&gt;0,F4611&gt;0),1,0)</f>
        <v>0</v>
      </c>
      <c r="J4611" s="7" t="n">
        <f aca="false">IF(I4611=1,D4611*F4611,0)</f>
        <v>0</v>
      </c>
      <c r="K4611" s="7" t="n">
        <f aca="false">YEAR(E4611)*100+MONTH(E4611)</f>
        <v>201111</v>
      </c>
      <c r="L4611" s="7" t="n">
        <f aca="false">IF(AND(A4611&lt;&gt;A4610,LEFT(A4611,1)&lt;&gt;"C"),1,0)</f>
        <v>0</v>
      </c>
    </row>
    <row r="4612" customFormat="false" ht="15" hidden="false" customHeight="false" outlineLevel="0" collapsed="false">
      <c r="A4612" s="0" t="s">
        <v>2851</v>
      </c>
      <c r="B4612" s="0" t="s">
        <v>2852</v>
      </c>
      <c r="C4612" s="0" t="s">
        <v>2853</v>
      </c>
      <c r="D4612" s="0" t="n">
        <v>24</v>
      </c>
      <c r="E4612" s="6" t="n">
        <v>40856.5743055556</v>
      </c>
      <c r="F4612" s="0" t="n">
        <v>0.39</v>
      </c>
      <c r="G4612" s="0" t="n">
        <v>12532</v>
      </c>
      <c r="H4612" s="0" t="s">
        <v>43</v>
      </c>
      <c r="I4612" s="7" t="n">
        <f aca="false">IF(AND(LEFT(A4612,1)&lt;&gt;"C",D4612&gt;0,F4612&gt;0),1,0)</f>
        <v>1</v>
      </c>
      <c r="J4612" s="7" t="n">
        <f aca="false">IF(I4612=1,D4612*F4612,0)</f>
        <v>9.36</v>
      </c>
      <c r="K4612" s="7" t="n">
        <f aca="false">YEAR(E4612)*100+MONTH(E4612)</f>
        <v>201111</v>
      </c>
      <c r="L4612" s="7" t="n">
        <f aca="false">IF(AND(A4612&lt;&gt;A4611,LEFT(A4612,1)&lt;&gt;"C"),1,0)</f>
        <v>1</v>
      </c>
    </row>
    <row r="4613" customFormat="false" ht="15" hidden="false" customHeight="false" outlineLevel="0" collapsed="false">
      <c r="A4613" s="0" t="s">
        <v>2851</v>
      </c>
      <c r="B4613" s="0" t="s">
        <v>1282</v>
      </c>
      <c r="C4613" s="0" t="s">
        <v>1283</v>
      </c>
      <c r="D4613" s="0" t="n">
        <v>5</v>
      </c>
      <c r="E4613" s="6" t="n">
        <v>40856.5743055556</v>
      </c>
      <c r="F4613" s="0" t="n">
        <v>4.95</v>
      </c>
      <c r="G4613" s="0" t="n">
        <v>12532</v>
      </c>
      <c r="H4613" s="0" t="s">
        <v>43</v>
      </c>
      <c r="I4613" s="7" t="n">
        <f aca="false">IF(AND(LEFT(A4613,1)&lt;&gt;"C",D4613&gt;0,F4613&gt;0),1,0)</f>
        <v>1</v>
      </c>
      <c r="J4613" s="7" t="n">
        <f aca="false">IF(I4613=1,D4613*F4613,0)</f>
        <v>24.75</v>
      </c>
      <c r="K4613" s="7" t="n">
        <f aca="false">YEAR(E4613)*100+MONTH(E4613)</f>
        <v>201111</v>
      </c>
      <c r="L4613" s="7" t="n">
        <f aca="false">IF(AND(A4613&lt;&gt;A4612,LEFT(A4613,1)&lt;&gt;"C"),1,0)</f>
        <v>0</v>
      </c>
    </row>
    <row r="4614" customFormat="false" ht="15" hidden="false" customHeight="false" outlineLevel="0" collapsed="false">
      <c r="A4614" s="0" t="s">
        <v>2851</v>
      </c>
      <c r="B4614" s="0" t="s">
        <v>2792</v>
      </c>
      <c r="C4614" s="0" t="s">
        <v>2793</v>
      </c>
      <c r="D4614" s="0" t="n">
        <v>6</v>
      </c>
      <c r="E4614" s="6" t="n">
        <v>40856.5743055556</v>
      </c>
      <c r="F4614" s="0" t="n">
        <v>2.95</v>
      </c>
      <c r="G4614" s="0" t="n">
        <v>12532</v>
      </c>
      <c r="H4614" s="0" t="s">
        <v>43</v>
      </c>
      <c r="I4614" s="7" t="n">
        <f aca="false">IF(AND(LEFT(A4614,1)&lt;&gt;"C",D4614&gt;0,F4614&gt;0),1,0)</f>
        <v>1</v>
      </c>
      <c r="J4614" s="7" t="n">
        <f aca="false">IF(I4614=1,D4614*F4614,0)</f>
        <v>17.7</v>
      </c>
      <c r="K4614" s="7" t="n">
        <f aca="false">YEAR(E4614)*100+MONTH(E4614)</f>
        <v>201111</v>
      </c>
      <c r="L4614" s="7" t="n">
        <f aca="false">IF(AND(A4614&lt;&gt;A4613,LEFT(A4614,1)&lt;&gt;"C"),1,0)</f>
        <v>0</v>
      </c>
    </row>
    <row r="4615" customFormat="false" ht="15" hidden="false" customHeight="false" outlineLevel="0" collapsed="false">
      <c r="A4615" s="0" t="s">
        <v>2851</v>
      </c>
      <c r="B4615" s="0" t="s">
        <v>1378</v>
      </c>
      <c r="C4615" s="0" t="s">
        <v>1379</v>
      </c>
      <c r="D4615" s="0" t="n">
        <v>12</v>
      </c>
      <c r="E4615" s="6" t="n">
        <v>40856.5743055556</v>
      </c>
      <c r="F4615" s="0" t="n">
        <v>0.85</v>
      </c>
      <c r="G4615" s="0" t="n">
        <v>12532</v>
      </c>
      <c r="H4615" s="0" t="s">
        <v>43</v>
      </c>
      <c r="I4615" s="7" t="n">
        <f aca="false">IF(AND(LEFT(A4615,1)&lt;&gt;"C",D4615&gt;0,F4615&gt;0),1,0)</f>
        <v>1</v>
      </c>
      <c r="J4615" s="7" t="n">
        <f aca="false">IF(I4615=1,D4615*F4615,0)</f>
        <v>10.2</v>
      </c>
      <c r="K4615" s="7" t="n">
        <f aca="false">YEAR(E4615)*100+MONTH(E4615)</f>
        <v>201111</v>
      </c>
      <c r="L4615" s="7" t="n">
        <f aca="false">IF(AND(A4615&lt;&gt;A4614,LEFT(A4615,1)&lt;&gt;"C"),1,0)</f>
        <v>0</v>
      </c>
    </row>
    <row r="4616" customFormat="false" ht="15" hidden="false" customHeight="false" outlineLevel="0" collapsed="false">
      <c r="A4616" s="0" t="s">
        <v>2851</v>
      </c>
      <c r="B4616" s="0" t="s">
        <v>2439</v>
      </c>
      <c r="C4616" s="0" t="s">
        <v>2440</v>
      </c>
      <c r="D4616" s="0" t="n">
        <v>6</v>
      </c>
      <c r="E4616" s="6" t="n">
        <v>40856.5743055556</v>
      </c>
      <c r="F4616" s="0" t="n">
        <v>3.75</v>
      </c>
      <c r="G4616" s="0" t="n">
        <v>12532</v>
      </c>
      <c r="H4616" s="0" t="s">
        <v>43</v>
      </c>
      <c r="I4616" s="7" t="n">
        <f aca="false">IF(AND(LEFT(A4616,1)&lt;&gt;"C",D4616&gt;0,F4616&gt;0),1,0)</f>
        <v>1</v>
      </c>
      <c r="J4616" s="7" t="n">
        <f aca="false">IF(I4616=1,D4616*F4616,0)</f>
        <v>22.5</v>
      </c>
      <c r="K4616" s="7" t="n">
        <f aca="false">YEAR(E4616)*100+MONTH(E4616)</f>
        <v>201111</v>
      </c>
      <c r="L4616" s="7" t="n">
        <f aca="false">IF(AND(A4616&lt;&gt;A4615,LEFT(A4616,1)&lt;&gt;"C"),1,0)</f>
        <v>0</v>
      </c>
    </row>
    <row r="4617" customFormat="false" ht="15" hidden="false" customHeight="false" outlineLevel="0" collapsed="false">
      <c r="A4617" s="0" t="s">
        <v>2851</v>
      </c>
      <c r="B4617" s="0" t="s">
        <v>2854</v>
      </c>
      <c r="C4617" s="0" t="s">
        <v>2855</v>
      </c>
      <c r="D4617" s="0" t="n">
        <v>12</v>
      </c>
      <c r="E4617" s="6" t="n">
        <v>40856.5743055556</v>
      </c>
      <c r="F4617" s="0" t="n">
        <v>3.75</v>
      </c>
      <c r="G4617" s="0" t="n">
        <v>12532</v>
      </c>
      <c r="H4617" s="0" t="s">
        <v>43</v>
      </c>
      <c r="I4617" s="7" t="n">
        <f aca="false">IF(AND(LEFT(A4617,1)&lt;&gt;"C",D4617&gt;0,F4617&gt;0),1,0)</f>
        <v>1</v>
      </c>
      <c r="J4617" s="7" t="n">
        <f aca="false">IF(I4617=1,D4617*F4617,0)</f>
        <v>45</v>
      </c>
      <c r="K4617" s="7" t="n">
        <f aca="false">YEAR(E4617)*100+MONTH(E4617)</f>
        <v>201111</v>
      </c>
      <c r="L4617" s="7" t="n">
        <f aca="false">IF(AND(A4617&lt;&gt;A4616,LEFT(A4617,1)&lt;&gt;"C"),1,0)</f>
        <v>0</v>
      </c>
    </row>
    <row r="4618" customFormat="false" ht="15" hidden="false" customHeight="false" outlineLevel="0" collapsed="false">
      <c r="A4618" s="0" t="s">
        <v>2851</v>
      </c>
      <c r="B4618" s="0" t="s">
        <v>1794</v>
      </c>
      <c r="C4618" s="0" t="s">
        <v>1795</v>
      </c>
      <c r="D4618" s="0" t="n">
        <v>12</v>
      </c>
      <c r="E4618" s="6" t="n">
        <v>40856.5743055556</v>
      </c>
      <c r="F4618" s="0" t="n">
        <v>2.49</v>
      </c>
      <c r="G4618" s="0" t="n">
        <v>12532</v>
      </c>
      <c r="H4618" s="0" t="s">
        <v>43</v>
      </c>
      <c r="I4618" s="7" t="n">
        <f aca="false">IF(AND(LEFT(A4618,1)&lt;&gt;"C",D4618&gt;0,F4618&gt;0),1,0)</f>
        <v>1</v>
      </c>
      <c r="J4618" s="7" t="n">
        <f aca="false">IF(I4618=1,D4618*F4618,0)</f>
        <v>29.88</v>
      </c>
      <c r="K4618" s="7" t="n">
        <f aca="false">YEAR(E4618)*100+MONTH(E4618)</f>
        <v>201111</v>
      </c>
      <c r="L4618" s="7" t="n">
        <f aca="false">IF(AND(A4618&lt;&gt;A4617,LEFT(A4618,1)&lt;&gt;"C"),1,0)</f>
        <v>0</v>
      </c>
    </row>
    <row r="4619" customFormat="false" ht="15" hidden="false" customHeight="false" outlineLevel="0" collapsed="false">
      <c r="A4619" s="0" t="s">
        <v>2851</v>
      </c>
      <c r="B4619" s="0" t="s">
        <v>1099</v>
      </c>
      <c r="C4619" s="0" t="s">
        <v>1100</v>
      </c>
      <c r="D4619" s="0" t="n">
        <v>6</v>
      </c>
      <c r="E4619" s="6" t="n">
        <v>40856.5743055556</v>
      </c>
      <c r="F4619" s="0" t="n">
        <v>2.49</v>
      </c>
      <c r="G4619" s="0" t="n">
        <v>12532</v>
      </c>
      <c r="H4619" s="0" t="s">
        <v>43</v>
      </c>
      <c r="I4619" s="7" t="n">
        <f aca="false">IF(AND(LEFT(A4619,1)&lt;&gt;"C",D4619&gt;0,F4619&gt;0),1,0)</f>
        <v>1</v>
      </c>
      <c r="J4619" s="7" t="n">
        <f aca="false">IF(I4619=1,D4619*F4619,0)</f>
        <v>14.94</v>
      </c>
      <c r="K4619" s="7" t="n">
        <f aca="false">YEAR(E4619)*100+MONTH(E4619)</f>
        <v>201111</v>
      </c>
      <c r="L4619" s="7" t="n">
        <f aca="false">IF(AND(A4619&lt;&gt;A4618,LEFT(A4619,1)&lt;&gt;"C"),1,0)</f>
        <v>0</v>
      </c>
    </row>
    <row r="4620" customFormat="false" ht="15" hidden="false" customHeight="false" outlineLevel="0" collapsed="false">
      <c r="A4620" s="0" t="s">
        <v>2851</v>
      </c>
      <c r="B4620" s="0" t="s">
        <v>2613</v>
      </c>
      <c r="C4620" s="0" t="s">
        <v>2614</v>
      </c>
      <c r="D4620" s="0" t="n">
        <v>12</v>
      </c>
      <c r="E4620" s="6" t="n">
        <v>40856.5743055556</v>
      </c>
      <c r="F4620" s="0" t="n">
        <v>1.65</v>
      </c>
      <c r="G4620" s="0" t="n">
        <v>12532</v>
      </c>
      <c r="H4620" s="0" t="s">
        <v>43</v>
      </c>
      <c r="I4620" s="7" t="n">
        <f aca="false">IF(AND(LEFT(A4620,1)&lt;&gt;"C",D4620&gt;0,F4620&gt;0),1,0)</f>
        <v>1</v>
      </c>
      <c r="J4620" s="7" t="n">
        <f aca="false">IF(I4620=1,D4620*F4620,0)</f>
        <v>19.8</v>
      </c>
      <c r="K4620" s="7" t="n">
        <f aca="false">YEAR(E4620)*100+MONTH(E4620)</f>
        <v>201111</v>
      </c>
      <c r="L4620" s="7" t="n">
        <f aca="false">IF(AND(A4620&lt;&gt;A4619,LEFT(A4620,1)&lt;&gt;"C"),1,0)</f>
        <v>0</v>
      </c>
    </row>
    <row r="4621" customFormat="false" ht="15" hidden="false" customHeight="false" outlineLevel="0" collapsed="false">
      <c r="A4621" s="0" t="s">
        <v>2851</v>
      </c>
      <c r="B4621" s="0" t="s">
        <v>2747</v>
      </c>
      <c r="C4621" s="0" t="s">
        <v>2748</v>
      </c>
      <c r="D4621" s="0" t="n">
        <v>6</v>
      </c>
      <c r="E4621" s="6" t="n">
        <v>40856.5743055556</v>
      </c>
      <c r="F4621" s="0" t="n">
        <v>2.1</v>
      </c>
      <c r="G4621" s="0" t="n">
        <v>12532</v>
      </c>
      <c r="H4621" s="0" t="s">
        <v>43</v>
      </c>
      <c r="I4621" s="7" t="n">
        <f aca="false">IF(AND(LEFT(A4621,1)&lt;&gt;"C",D4621&gt;0,F4621&gt;0),1,0)</f>
        <v>1</v>
      </c>
      <c r="J4621" s="7" t="n">
        <f aca="false">IF(I4621=1,D4621*F4621,0)</f>
        <v>12.6</v>
      </c>
      <c r="K4621" s="7" t="n">
        <f aca="false">YEAR(E4621)*100+MONTH(E4621)</f>
        <v>201111</v>
      </c>
      <c r="L4621" s="7" t="n">
        <f aca="false">IF(AND(A4621&lt;&gt;A4620,LEFT(A4621,1)&lt;&gt;"C"),1,0)</f>
        <v>0</v>
      </c>
    </row>
    <row r="4622" customFormat="false" ht="15" hidden="false" customHeight="false" outlineLevel="0" collapsed="false">
      <c r="A4622" s="0" t="s">
        <v>2851</v>
      </c>
      <c r="B4622" s="0" t="s">
        <v>2255</v>
      </c>
      <c r="C4622" s="0" t="s">
        <v>2256</v>
      </c>
      <c r="D4622" s="0" t="n">
        <v>12</v>
      </c>
      <c r="E4622" s="6" t="n">
        <v>40856.5743055556</v>
      </c>
      <c r="F4622" s="0" t="n">
        <v>1.25</v>
      </c>
      <c r="G4622" s="0" t="n">
        <v>12532</v>
      </c>
      <c r="H4622" s="0" t="s">
        <v>43</v>
      </c>
      <c r="I4622" s="7" t="n">
        <f aca="false">IF(AND(LEFT(A4622,1)&lt;&gt;"C",D4622&gt;0,F4622&gt;0),1,0)</f>
        <v>1</v>
      </c>
      <c r="J4622" s="7" t="n">
        <f aca="false">IF(I4622=1,D4622*F4622,0)</f>
        <v>15</v>
      </c>
      <c r="K4622" s="7" t="n">
        <f aca="false">YEAR(E4622)*100+MONTH(E4622)</f>
        <v>201111</v>
      </c>
      <c r="L4622" s="7" t="n">
        <f aca="false">IF(AND(A4622&lt;&gt;A4621,LEFT(A4622,1)&lt;&gt;"C"),1,0)</f>
        <v>0</v>
      </c>
    </row>
    <row r="4623" customFormat="false" ht="15" hidden="false" customHeight="false" outlineLevel="0" collapsed="false">
      <c r="A4623" s="0" t="s">
        <v>2851</v>
      </c>
      <c r="B4623" s="0" t="s">
        <v>2856</v>
      </c>
      <c r="C4623" s="0" t="s">
        <v>2857</v>
      </c>
      <c r="D4623" s="0" t="n">
        <v>2</v>
      </c>
      <c r="E4623" s="6" t="n">
        <v>40856.5743055556</v>
      </c>
      <c r="F4623" s="0" t="n">
        <v>8.25</v>
      </c>
      <c r="G4623" s="0" t="n">
        <v>12532</v>
      </c>
      <c r="H4623" s="0" t="s">
        <v>43</v>
      </c>
      <c r="I4623" s="7" t="n">
        <f aca="false">IF(AND(LEFT(A4623,1)&lt;&gt;"C",D4623&gt;0,F4623&gt;0),1,0)</f>
        <v>1</v>
      </c>
      <c r="J4623" s="7" t="n">
        <f aca="false">IF(I4623=1,D4623*F4623,0)</f>
        <v>16.5</v>
      </c>
      <c r="K4623" s="7" t="n">
        <f aca="false">YEAR(E4623)*100+MONTH(E4623)</f>
        <v>201111</v>
      </c>
      <c r="L4623" s="7" t="n">
        <f aca="false">IF(AND(A4623&lt;&gt;A4622,LEFT(A4623,1)&lt;&gt;"C"),1,0)</f>
        <v>0</v>
      </c>
    </row>
    <row r="4624" customFormat="false" ht="15" hidden="false" customHeight="false" outlineLevel="0" collapsed="false">
      <c r="A4624" s="0" t="s">
        <v>2851</v>
      </c>
      <c r="B4624" s="0" t="s">
        <v>2674</v>
      </c>
      <c r="C4624" s="0" t="s">
        <v>2675</v>
      </c>
      <c r="D4624" s="0" t="n">
        <v>12</v>
      </c>
      <c r="E4624" s="6" t="n">
        <v>40856.5743055556</v>
      </c>
      <c r="F4624" s="0" t="n">
        <v>2.1</v>
      </c>
      <c r="G4624" s="0" t="n">
        <v>12532</v>
      </c>
      <c r="H4624" s="0" t="s">
        <v>43</v>
      </c>
      <c r="I4624" s="7" t="n">
        <f aca="false">IF(AND(LEFT(A4624,1)&lt;&gt;"C",D4624&gt;0,F4624&gt;0),1,0)</f>
        <v>1</v>
      </c>
      <c r="J4624" s="7" t="n">
        <f aca="false">IF(I4624=1,D4624*F4624,0)</f>
        <v>25.2</v>
      </c>
      <c r="K4624" s="7" t="n">
        <f aca="false">YEAR(E4624)*100+MONTH(E4624)</f>
        <v>201111</v>
      </c>
      <c r="L4624" s="7" t="n">
        <f aca="false">IF(AND(A4624&lt;&gt;A4623,LEFT(A4624,1)&lt;&gt;"C"),1,0)</f>
        <v>0</v>
      </c>
    </row>
    <row r="4625" customFormat="false" ht="15" hidden="false" customHeight="false" outlineLevel="0" collapsed="false">
      <c r="A4625" s="0" t="s">
        <v>2851</v>
      </c>
      <c r="B4625" s="0" t="s">
        <v>1269</v>
      </c>
      <c r="C4625" s="0" t="s">
        <v>1270</v>
      </c>
      <c r="D4625" s="0" t="n">
        <v>12</v>
      </c>
      <c r="E4625" s="6" t="n">
        <v>40856.5743055556</v>
      </c>
      <c r="F4625" s="0" t="n">
        <v>2.1</v>
      </c>
      <c r="G4625" s="0" t="n">
        <v>12532</v>
      </c>
      <c r="H4625" s="0" t="s">
        <v>43</v>
      </c>
      <c r="I4625" s="7" t="n">
        <f aca="false">IF(AND(LEFT(A4625,1)&lt;&gt;"C",D4625&gt;0,F4625&gt;0),1,0)</f>
        <v>1</v>
      </c>
      <c r="J4625" s="7" t="n">
        <f aca="false">IF(I4625=1,D4625*F4625,0)</f>
        <v>25.2</v>
      </c>
      <c r="K4625" s="7" t="n">
        <f aca="false">YEAR(E4625)*100+MONTH(E4625)</f>
        <v>201111</v>
      </c>
      <c r="L4625" s="7" t="n">
        <f aca="false">IF(AND(A4625&lt;&gt;A4624,LEFT(A4625,1)&lt;&gt;"C"),1,0)</f>
        <v>0</v>
      </c>
    </row>
    <row r="4626" customFormat="false" ht="15" hidden="false" customHeight="false" outlineLevel="0" collapsed="false">
      <c r="A4626" s="0" t="s">
        <v>2851</v>
      </c>
      <c r="B4626" s="0" t="s">
        <v>2443</v>
      </c>
      <c r="C4626" s="0" t="s">
        <v>2444</v>
      </c>
      <c r="D4626" s="0" t="n">
        <v>12</v>
      </c>
      <c r="E4626" s="6" t="n">
        <v>40856.5743055556</v>
      </c>
      <c r="F4626" s="0" t="n">
        <v>2.1</v>
      </c>
      <c r="G4626" s="0" t="n">
        <v>12532</v>
      </c>
      <c r="H4626" s="0" t="s">
        <v>43</v>
      </c>
      <c r="I4626" s="7" t="n">
        <f aca="false">IF(AND(LEFT(A4626,1)&lt;&gt;"C",D4626&gt;0,F4626&gt;0),1,0)</f>
        <v>1</v>
      </c>
      <c r="J4626" s="7" t="n">
        <f aca="false">IF(I4626=1,D4626*F4626,0)</f>
        <v>25.2</v>
      </c>
      <c r="K4626" s="7" t="n">
        <f aca="false">YEAR(E4626)*100+MONTH(E4626)</f>
        <v>201111</v>
      </c>
      <c r="L4626" s="7" t="n">
        <f aca="false">IF(AND(A4626&lt;&gt;A4625,LEFT(A4626,1)&lt;&gt;"C"),1,0)</f>
        <v>0</v>
      </c>
    </row>
    <row r="4627" customFormat="false" ht="15" hidden="false" customHeight="false" outlineLevel="0" collapsed="false">
      <c r="A4627" s="0" t="s">
        <v>2851</v>
      </c>
      <c r="B4627" s="0" t="s">
        <v>84</v>
      </c>
      <c r="C4627" s="0" t="s">
        <v>85</v>
      </c>
      <c r="D4627" s="0" t="n">
        <v>2</v>
      </c>
      <c r="E4627" s="6" t="n">
        <v>40856.5743055556</v>
      </c>
      <c r="F4627" s="0" t="n">
        <v>18</v>
      </c>
      <c r="G4627" s="0" t="n">
        <v>12532</v>
      </c>
      <c r="H4627" s="0" t="s">
        <v>43</v>
      </c>
      <c r="I4627" s="7" t="n">
        <f aca="false">IF(AND(LEFT(A4627,1)&lt;&gt;"C",D4627&gt;0,F4627&gt;0),1,0)</f>
        <v>1</v>
      </c>
      <c r="J4627" s="7" t="n">
        <f aca="false">IF(I4627=1,D4627*F4627,0)</f>
        <v>36</v>
      </c>
      <c r="K4627" s="7" t="n">
        <f aca="false">YEAR(E4627)*100+MONTH(E4627)</f>
        <v>201111</v>
      </c>
      <c r="L4627" s="7" t="n">
        <f aca="false">IF(AND(A4627&lt;&gt;A4626,LEFT(A4627,1)&lt;&gt;"C"),1,0)</f>
        <v>0</v>
      </c>
    </row>
    <row r="4628" customFormat="false" ht="15" hidden="false" customHeight="false" outlineLevel="0" collapsed="false">
      <c r="A4628" s="0" t="s">
        <v>2858</v>
      </c>
      <c r="B4628" s="0" t="s">
        <v>1629</v>
      </c>
      <c r="C4628" s="0" t="s">
        <v>1630</v>
      </c>
      <c r="D4628" s="0" t="n">
        <v>12</v>
      </c>
      <c r="E4628" s="6" t="n">
        <v>40856.6222222222</v>
      </c>
      <c r="F4628" s="0" t="n">
        <v>10.95</v>
      </c>
      <c r="G4628" s="0" t="n">
        <v>12504</v>
      </c>
      <c r="H4628" s="0" t="s">
        <v>33</v>
      </c>
      <c r="I4628" s="7" t="n">
        <f aca="false">IF(AND(LEFT(A4628,1)&lt;&gt;"C",D4628&gt;0,F4628&gt;0),1,0)</f>
        <v>1</v>
      </c>
      <c r="J4628" s="7" t="n">
        <f aca="false">IF(I4628=1,D4628*F4628,0)</f>
        <v>131.4</v>
      </c>
      <c r="K4628" s="7" t="n">
        <f aca="false">YEAR(E4628)*100+MONTH(E4628)</f>
        <v>201111</v>
      </c>
      <c r="L4628" s="7" t="n">
        <f aca="false">IF(AND(A4628&lt;&gt;A4627,LEFT(A4628,1)&lt;&gt;"C"),1,0)</f>
        <v>1</v>
      </c>
    </row>
    <row r="4629" customFormat="false" ht="15" hidden="false" customHeight="false" outlineLevel="0" collapsed="false">
      <c r="A4629" s="0" t="s">
        <v>2858</v>
      </c>
      <c r="B4629" s="0" t="s">
        <v>1271</v>
      </c>
      <c r="C4629" s="0" t="s">
        <v>1272</v>
      </c>
      <c r="D4629" s="0" t="n">
        <v>12</v>
      </c>
      <c r="E4629" s="6" t="n">
        <v>40856.6222222222</v>
      </c>
      <c r="F4629" s="0" t="n">
        <v>8.5</v>
      </c>
      <c r="G4629" s="0" t="n">
        <v>12504</v>
      </c>
      <c r="H4629" s="0" t="s">
        <v>33</v>
      </c>
      <c r="I4629" s="7" t="n">
        <f aca="false">IF(AND(LEFT(A4629,1)&lt;&gt;"C",D4629&gt;0,F4629&gt;0),1,0)</f>
        <v>1</v>
      </c>
      <c r="J4629" s="7" t="n">
        <f aca="false">IF(I4629=1,D4629*F4629,0)</f>
        <v>102</v>
      </c>
      <c r="K4629" s="7" t="n">
        <f aca="false">YEAR(E4629)*100+MONTH(E4629)</f>
        <v>201111</v>
      </c>
      <c r="L4629" s="7" t="n">
        <f aca="false">IF(AND(A4629&lt;&gt;A4628,LEFT(A4629,1)&lt;&gt;"C"),1,0)</f>
        <v>0</v>
      </c>
    </row>
    <row r="4630" customFormat="false" ht="15" hidden="false" customHeight="false" outlineLevel="0" collapsed="false">
      <c r="A4630" s="0" t="s">
        <v>2858</v>
      </c>
      <c r="B4630" s="0" t="s">
        <v>1423</v>
      </c>
      <c r="C4630" s="0" t="s">
        <v>1424</v>
      </c>
      <c r="D4630" s="0" t="n">
        <v>12</v>
      </c>
      <c r="E4630" s="6" t="n">
        <v>40856.6222222222</v>
      </c>
      <c r="F4630" s="0" t="n">
        <v>8.5</v>
      </c>
      <c r="G4630" s="0" t="n">
        <v>12504</v>
      </c>
      <c r="H4630" s="0" t="s">
        <v>33</v>
      </c>
      <c r="I4630" s="7" t="n">
        <f aca="false">IF(AND(LEFT(A4630,1)&lt;&gt;"C",D4630&gt;0,F4630&gt;0),1,0)</f>
        <v>1</v>
      </c>
      <c r="J4630" s="7" t="n">
        <f aca="false">IF(I4630=1,D4630*F4630,0)</f>
        <v>102</v>
      </c>
      <c r="K4630" s="7" t="n">
        <f aca="false">YEAR(E4630)*100+MONTH(E4630)</f>
        <v>201111</v>
      </c>
      <c r="L4630" s="7" t="n">
        <f aca="false">IF(AND(A4630&lt;&gt;A4629,LEFT(A4630,1)&lt;&gt;"C"),1,0)</f>
        <v>0</v>
      </c>
    </row>
    <row r="4631" customFormat="false" ht="15" hidden="false" customHeight="false" outlineLevel="0" collapsed="false">
      <c r="A4631" s="0" t="s">
        <v>2858</v>
      </c>
      <c r="B4631" s="0" t="s">
        <v>616</v>
      </c>
      <c r="C4631" s="0" t="s">
        <v>617</v>
      </c>
      <c r="D4631" s="0" t="n">
        <v>24</v>
      </c>
      <c r="E4631" s="6" t="n">
        <v>40856.6222222222</v>
      </c>
      <c r="F4631" s="0" t="n">
        <v>1.25</v>
      </c>
      <c r="G4631" s="0" t="n">
        <v>12504</v>
      </c>
      <c r="H4631" s="0" t="s">
        <v>33</v>
      </c>
      <c r="I4631" s="7" t="n">
        <f aca="false">IF(AND(LEFT(A4631,1)&lt;&gt;"C",D4631&gt;0,F4631&gt;0),1,0)</f>
        <v>1</v>
      </c>
      <c r="J4631" s="7" t="n">
        <f aca="false">IF(I4631=1,D4631*F4631,0)</f>
        <v>30</v>
      </c>
      <c r="K4631" s="7" t="n">
        <f aca="false">YEAR(E4631)*100+MONTH(E4631)</f>
        <v>201111</v>
      </c>
      <c r="L4631" s="7" t="n">
        <f aca="false">IF(AND(A4631&lt;&gt;A4630,LEFT(A4631,1)&lt;&gt;"C"),1,0)</f>
        <v>0</v>
      </c>
    </row>
    <row r="4632" customFormat="false" ht="15" hidden="false" customHeight="false" outlineLevel="0" collapsed="false">
      <c r="A4632" s="0" t="s">
        <v>2858</v>
      </c>
      <c r="B4632" s="0" t="s">
        <v>586</v>
      </c>
      <c r="C4632" s="0" t="s">
        <v>587</v>
      </c>
      <c r="D4632" s="0" t="n">
        <v>24</v>
      </c>
      <c r="E4632" s="6" t="n">
        <v>40856.6222222222</v>
      </c>
      <c r="F4632" s="0" t="n">
        <v>1.25</v>
      </c>
      <c r="G4632" s="0" t="n">
        <v>12504</v>
      </c>
      <c r="H4632" s="0" t="s">
        <v>33</v>
      </c>
      <c r="I4632" s="7" t="n">
        <f aca="false">IF(AND(LEFT(A4632,1)&lt;&gt;"C",D4632&gt;0,F4632&gt;0),1,0)</f>
        <v>1</v>
      </c>
      <c r="J4632" s="7" t="n">
        <f aca="false">IF(I4632=1,D4632*F4632,0)</f>
        <v>30</v>
      </c>
      <c r="K4632" s="7" t="n">
        <f aca="false">YEAR(E4632)*100+MONTH(E4632)</f>
        <v>201111</v>
      </c>
      <c r="L4632" s="7" t="n">
        <f aca="false">IF(AND(A4632&lt;&gt;A4631,LEFT(A4632,1)&lt;&gt;"C"),1,0)</f>
        <v>0</v>
      </c>
    </row>
    <row r="4633" customFormat="false" ht="15" hidden="false" customHeight="false" outlineLevel="0" collapsed="false">
      <c r="A4633" s="0" t="s">
        <v>2858</v>
      </c>
      <c r="B4633" s="0" t="s">
        <v>84</v>
      </c>
      <c r="C4633" s="0" t="s">
        <v>85</v>
      </c>
      <c r="D4633" s="0" t="n">
        <v>3</v>
      </c>
      <c r="E4633" s="6" t="n">
        <v>40856.6222222222</v>
      </c>
      <c r="F4633" s="0" t="n">
        <v>18</v>
      </c>
      <c r="G4633" s="0" t="n">
        <v>12504</v>
      </c>
      <c r="H4633" s="0" t="s">
        <v>33</v>
      </c>
      <c r="I4633" s="7" t="n">
        <f aca="false">IF(AND(LEFT(A4633,1)&lt;&gt;"C",D4633&gt;0,F4633&gt;0),1,0)</f>
        <v>1</v>
      </c>
      <c r="J4633" s="7" t="n">
        <f aca="false">IF(I4633=1,D4633*F4633,0)</f>
        <v>54</v>
      </c>
      <c r="K4633" s="7" t="n">
        <f aca="false">YEAR(E4633)*100+MONTH(E4633)</f>
        <v>201111</v>
      </c>
      <c r="L4633" s="7" t="n">
        <f aca="false">IF(AND(A4633&lt;&gt;A4632,LEFT(A4633,1)&lt;&gt;"C"),1,0)</f>
        <v>0</v>
      </c>
    </row>
    <row r="4634" customFormat="false" ht="15" hidden="false" customHeight="false" outlineLevel="0" collapsed="false">
      <c r="A4634" s="0" t="s">
        <v>2859</v>
      </c>
      <c r="B4634" s="0" t="s">
        <v>84</v>
      </c>
      <c r="C4634" s="0" t="s">
        <v>85</v>
      </c>
      <c r="D4634" s="0" t="n">
        <v>1</v>
      </c>
      <c r="E4634" s="6" t="n">
        <v>40857.4111111111</v>
      </c>
      <c r="F4634" s="0" t="n">
        <v>18</v>
      </c>
      <c r="G4634" s="0" t="n">
        <v>12708</v>
      </c>
      <c r="H4634" s="0" t="s">
        <v>33</v>
      </c>
      <c r="I4634" s="7" t="n">
        <f aca="false">IF(AND(LEFT(A4634,1)&lt;&gt;"C",D4634&gt;0,F4634&gt;0),1,0)</f>
        <v>1</v>
      </c>
      <c r="J4634" s="7" t="n">
        <f aca="false">IF(I4634=1,D4634*F4634,0)</f>
        <v>18</v>
      </c>
      <c r="K4634" s="7" t="n">
        <f aca="false">YEAR(E4634)*100+MONTH(E4634)</f>
        <v>201111</v>
      </c>
      <c r="L4634" s="7" t="n">
        <f aca="false">IF(AND(A4634&lt;&gt;A4633,LEFT(A4634,1)&lt;&gt;"C"),1,0)</f>
        <v>1</v>
      </c>
    </row>
    <row r="4635" customFormat="false" ht="15" hidden="false" customHeight="false" outlineLevel="0" collapsed="false">
      <c r="A4635" s="0" t="s">
        <v>2859</v>
      </c>
      <c r="B4635" s="0" t="s">
        <v>951</v>
      </c>
      <c r="C4635" s="0" t="s">
        <v>952</v>
      </c>
      <c r="D4635" s="0" t="n">
        <v>12</v>
      </c>
      <c r="E4635" s="6" t="n">
        <v>40857.4111111111</v>
      </c>
      <c r="F4635" s="0" t="n">
        <v>1.25</v>
      </c>
      <c r="G4635" s="0" t="n">
        <v>12708</v>
      </c>
      <c r="H4635" s="0" t="s">
        <v>33</v>
      </c>
      <c r="I4635" s="7" t="n">
        <f aca="false">IF(AND(LEFT(A4635,1)&lt;&gt;"C",D4635&gt;0,F4635&gt;0),1,0)</f>
        <v>1</v>
      </c>
      <c r="J4635" s="7" t="n">
        <f aca="false">IF(I4635=1,D4635*F4635,0)</f>
        <v>15</v>
      </c>
      <c r="K4635" s="7" t="n">
        <f aca="false">YEAR(E4635)*100+MONTH(E4635)</f>
        <v>201111</v>
      </c>
      <c r="L4635" s="7" t="n">
        <f aca="false">IF(AND(A4635&lt;&gt;A4634,LEFT(A4635,1)&lt;&gt;"C"),1,0)</f>
        <v>0</v>
      </c>
    </row>
    <row r="4636" customFormat="false" ht="15" hidden="false" customHeight="false" outlineLevel="0" collapsed="false">
      <c r="A4636" s="0" t="s">
        <v>2860</v>
      </c>
      <c r="B4636" s="0" t="s">
        <v>62</v>
      </c>
      <c r="C4636" s="0" t="s">
        <v>63</v>
      </c>
      <c r="D4636" s="0" t="n">
        <v>48</v>
      </c>
      <c r="E4636" s="6" t="n">
        <v>40857.4534722222</v>
      </c>
      <c r="F4636" s="0" t="n">
        <v>1.79</v>
      </c>
      <c r="G4636" s="0" t="n">
        <v>12682</v>
      </c>
      <c r="H4636" s="0" t="s">
        <v>43</v>
      </c>
      <c r="I4636" s="7" t="n">
        <f aca="false">IF(AND(LEFT(A4636,1)&lt;&gt;"C",D4636&gt;0,F4636&gt;0),1,0)</f>
        <v>1</v>
      </c>
      <c r="J4636" s="7" t="n">
        <f aca="false">IF(I4636=1,D4636*F4636,0)</f>
        <v>85.92</v>
      </c>
      <c r="K4636" s="7" t="n">
        <f aca="false">YEAR(E4636)*100+MONTH(E4636)</f>
        <v>201111</v>
      </c>
      <c r="L4636" s="7" t="n">
        <f aca="false">IF(AND(A4636&lt;&gt;A4635,LEFT(A4636,1)&lt;&gt;"C"),1,0)</f>
        <v>1</v>
      </c>
    </row>
    <row r="4637" customFormat="false" ht="15" hidden="false" customHeight="false" outlineLevel="0" collapsed="false">
      <c r="A4637" s="0" t="s">
        <v>2860</v>
      </c>
      <c r="B4637" s="0" t="s">
        <v>2573</v>
      </c>
      <c r="C4637" s="0" t="s">
        <v>2574</v>
      </c>
      <c r="D4637" s="0" t="n">
        <v>8</v>
      </c>
      <c r="E4637" s="6" t="n">
        <v>40857.4534722222</v>
      </c>
      <c r="F4637" s="0" t="n">
        <v>3.75</v>
      </c>
      <c r="G4637" s="0" t="n">
        <v>12682</v>
      </c>
      <c r="H4637" s="0" t="s">
        <v>43</v>
      </c>
      <c r="I4637" s="7" t="n">
        <f aca="false">IF(AND(LEFT(A4637,1)&lt;&gt;"C",D4637&gt;0,F4637&gt;0),1,0)</f>
        <v>1</v>
      </c>
      <c r="J4637" s="7" t="n">
        <f aca="false">IF(I4637=1,D4637*F4637,0)</f>
        <v>30</v>
      </c>
      <c r="K4637" s="7" t="n">
        <f aca="false">YEAR(E4637)*100+MONTH(E4637)</f>
        <v>201111</v>
      </c>
      <c r="L4637" s="7" t="n">
        <f aca="false">IF(AND(A4637&lt;&gt;A4636,LEFT(A4637,1)&lt;&gt;"C"),1,0)</f>
        <v>0</v>
      </c>
    </row>
    <row r="4638" customFormat="false" ht="15" hidden="false" customHeight="false" outlineLevel="0" collapsed="false">
      <c r="A4638" s="0" t="s">
        <v>2860</v>
      </c>
      <c r="B4638" s="0" t="s">
        <v>873</v>
      </c>
      <c r="C4638" s="0" t="s">
        <v>874</v>
      </c>
      <c r="D4638" s="0" t="n">
        <v>12</v>
      </c>
      <c r="E4638" s="6" t="n">
        <v>40857.4534722222</v>
      </c>
      <c r="F4638" s="0" t="n">
        <v>0.83</v>
      </c>
      <c r="G4638" s="0" t="n">
        <v>12682</v>
      </c>
      <c r="H4638" s="0" t="s">
        <v>43</v>
      </c>
      <c r="I4638" s="7" t="n">
        <f aca="false">IF(AND(LEFT(A4638,1)&lt;&gt;"C",D4638&gt;0,F4638&gt;0),1,0)</f>
        <v>1</v>
      </c>
      <c r="J4638" s="7" t="n">
        <f aca="false">IF(I4638=1,D4638*F4638,0)</f>
        <v>9.96</v>
      </c>
      <c r="K4638" s="7" t="n">
        <f aca="false">YEAR(E4638)*100+MONTH(E4638)</f>
        <v>201111</v>
      </c>
      <c r="L4638" s="7" t="n">
        <f aca="false">IF(AND(A4638&lt;&gt;A4637,LEFT(A4638,1)&lt;&gt;"C"),1,0)</f>
        <v>0</v>
      </c>
    </row>
    <row r="4639" customFormat="false" ht="15" hidden="false" customHeight="false" outlineLevel="0" collapsed="false">
      <c r="A4639" s="0" t="s">
        <v>2860</v>
      </c>
      <c r="B4639" s="0" t="s">
        <v>547</v>
      </c>
      <c r="C4639" s="0" t="s">
        <v>548</v>
      </c>
      <c r="D4639" s="0" t="n">
        <v>3</v>
      </c>
      <c r="E4639" s="6" t="n">
        <v>40857.4534722222</v>
      </c>
      <c r="F4639" s="0" t="n">
        <v>4.95</v>
      </c>
      <c r="G4639" s="0" t="n">
        <v>12682</v>
      </c>
      <c r="H4639" s="0" t="s">
        <v>43</v>
      </c>
      <c r="I4639" s="7" t="n">
        <f aca="false">IF(AND(LEFT(A4639,1)&lt;&gt;"C",D4639&gt;0,F4639&gt;0),1,0)</f>
        <v>1</v>
      </c>
      <c r="J4639" s="7" t="n">
        <f aca="false">IF(I4639=1,D4639*F4639,0)</f>
        <v>14.85</v>
      </c>
      <c r="K4639" s="7" t="n">
        <f aca="false">YEAR(E4639)*100+MONTH(E4639)</f>
        <v>201111</v>
      </c>
      <c r="L4639" s="7" t="n">
        <f aca="false">IF(AND(A4639&lt;&gt;A4638,LEFT(A4639,1)&lt;&gt;"C"),1,0)</f>
        <v>0</v>
      </c>
    </row>
    <row r="4640" customFormat="false" ht="15" hidden="false" customHeight="false" outlineLevel="0" collapsed="false">
      <c r="A4640" s="0" t="s">
        <v>2860</v>
      </c>
      <c r="B4640" s="0" t="s">
        <v>2544</v>
      </c>
      <c r="C4640" s="0" t="s">
        <v>2545</v>
      </c>
      <c r="D4640" s="0" t="n">
        <v>12</v>
      </c>
      <c r="E4640" s="6" t="n">
        <v>40857.4534722222</v>
      </c>
      <c r="F4640" s="0" t="n">
        <v>1.65</v>
      </c>
      <c r="G4640" s="0" t="n">
        <v>12682</v>
      </c>
      <c r="H4640" s="0" t="s">
        <v>43</v>
      </c>
      <c r="I4640" s="7" t="n">
        <f aca="false">IF(AND(LEFT(A4640,1)&lt;&gt;"C",D4640&gt;0,F4640&gt;0),1,0)</f>
        <v>1</v>
      </c>
      <c r="J4640" s="7" t="n">
        <f aca="false">IF(I4640=1,D4640*F4640,0)</f>
        <v>19.8</v>
      </c>
      <c r="K4640" s="7" t="n">
        <f aca="false">YEAR(E4640)*100+MONTH(E4640)</f>
        <v>201111</v>
      </c>
      <c r="L4640" s="7" t="n">
        <f aca="false">IF(AND(A4640&lt;&gt;A4639,LEFT(A4640,1)&lt;&gt;"C"),1,0)</f>
        <v>0</v>
      </c>
    </row>
    <row r="4641" customFormat="false" ht="15" hidden="false" customHeight="false" outlineLevel="0" collapsed="false">
      <c r="A4641" s="0" t="s">
        <v>2860</v>
      </c>
      <c r="B4641" s="0" t="s">
        <v>2593</v>
      </c>
      <c r="C4641" s="0" t="s">
        <v>2594</v>
      </c>
      <c r="D4641" s="0" t="n">
        <v>12</v>
      </c>
      <c r="E4641" s="6" t="n">
        <v>40857.4534722222</v>
      </c>
      <c r="F4641" s="0" t="n">
        <v>1.25</v>
      </c>
      <c r="G4641" s="0" t="n">
        <v>12682</v>
      </c>
      <c r="H4641" s="0" t="s">
        <v>43</v>
      </c>
      <c r="I4641" s="7" t="n">
        <f aca="false">IF(AND(LEFT(A4641,1)&lt;&gt;"C",D4641&gt;0,F4641&gt;0),1,0)</f>
        <v>1</v>
      </c>
      <c r="J4641" s="7" t="n">
        <f aca="false">IF(I4641=1,D4641*F4641,0)</f>
        <v>15</v>
      </c>
      <c r="K4641" s="7" t="n">
        <f aca="false">YEAR(E4641)*100+MONTH(E4641)</f>
        <v>201111</v>
      </c>
      <c r="L4641" s="7" t="n">
        <f aca="false">IF(AND(A4641&lt;&gt;A4640,LEFT(A4641,1)&lt;&gt;"C"),1,0)</f>
        <v>0</v>
      </c>
    </row>
    <row r="4642" customFormat="false" ht="15" hidden="false" customHeight="false" outlineLevel="0" collapsed="false">
      <c r="A4642" s="0" t="s">
        <v>2860</v>
      </c>
      <c r="B4642" s="0" t="s">
        <v>285</v>
      </c>
      <c r="C4642" s="0" t="s">
        <v>286</v>
      </c>
      <c r="D4642" s="0" t="n">
        <v>2</v>
      </c>
      <c r="E4642" s="6" t="n">
        <v>40857.4534722222</v>
      </c>
      <c r="F4642" s="0" t="n">
        <v>8.5</v>
      </c>
      <c r="G4642" s="0" t="n">
        <v>12682</v>
      </c>
      <c r="H4642" s="0" t="s">
        <v>43</v>
      </c>
      <c r="I4642" s="7" t="n">
        <f aca="false">IF(AND(LEFT(A4642,1)&lt;&gt;"C",D4642&gt;0,F4642&gt;0),1,0)</f>
        <v>1</v>
      </c>
      <c r="J4642" s="7" t="n">
        <f aca="false">IF(I4642=1,D4642*F4642,0)</f>
        <v>17</v>
      </c>
      <c r="K4642" s="7" t="n">
        <f aca="false">YEAR(E4642)*100+MONTH(E4642)</f>
        <v>201111</v>
      </c>
      <c r="L4642" s="7" t="n">
        <f aca="false">IF(AND(A4642&lt;&gt;A4641,LEFT(A4642,1)&lt;&gt;"C"),1,0)</f>
        <v>0</v>
      </c>
    </row>
    <row r="4643" customFormat="false" ht="15" hidden="false" customHeight="false" outlineLevel="0" collapsed="false">
      <c r="A4643" s="0" t="s">
        <v>2860</v>
      </c>
      <c r="B4643" s="0" t="s">
        <v>469</v>
      </c>
      <c r="C4643" s="0" t="s">
        <v>470</v>
      </c>
      <c r="D4643" s="0" t="n">
        <v>6</v>
      </c>
      <c r="E4643" s="6" t="n">
        <v>40857.4534722222</v>
      </c>
      <c r="F4643" s="0" t="n">
        <v>2.1</v>
      </c>
      <c r="G4643" s="0" t="n">
        <v>12682</v>
      </c>
      <c r="H4643" s="0" t="s">
        <v>43</v>
      </c>
      <c r="I4643" s="7" t="n">
        <f aca="false">IF(AND(LEFT(A4643,1)&lt;&gt;"C",D4643&gt;0,F4643&gt;0),1,0)</f>
        <v>1</v>
      </c>
      <c r="J4643" s="7" t="n">
        <f aca="false">IF(I4643=1,D4643*F4643,0)</f>
        <v>12.6</v>
      </c>
      <c r="K4643" s="7" t="n">
        <f aca="false">YEAR(E4643)*100+MONTH(E4643)</f>
        <v>201111</v>
      </c>
      <c r="L4643" s="7" t="n">
        <f aca="false">IF(AND(A4643&lt;&gt;A4642,LEFT(A4643,1)&lt;&gt;"C"),1,0)</f>
        <v>0</v>
      </c>
    </row>
    <row r="4644" customFormat="false" ht="15" hidden="false" customHeight="false" outlineLevel="0" collapsed="false">
      <c r="A4644" s="0" t="s">
        <v>2860</v>
      </c>
      <c r="B4644" s="0" t="s">
        <v>2273</v>
      </c>
      <c r="C4644" s="0" t="s">
        <v>2274</v>
      </c>
      <c r="D4644" s="0" t="n">
        <v>12</v>
      </c>
      <c r="E4644" s="6" t="n">
        <v>40857.4534722222</v>
      </c>
      <c r="F4644" s="0" t="n">
        <v>2.1</v>
      </c>
      <c r="G4644" s="0" t="n">
        <v>12682</v>
      </c>
      <c r="H4644" s="0" t="s">
        <v>43</v>
      </c>
      <c r="I4644" s="7" t="n">
        <f aca="false">IF(AND(LEFT(A4644,1)&lt;&gt;"C",D4644&gt;0,F4644&gt;0),1,0)</f>
        <v>1</v>
      </c>
      <c r="J4644" s="7" t="n">
        <f aca="false">IF(I4644=1,D4644*F4644,0)</f>
        <v>25.2</v>
      </c>
      <c r="K4644" s="7" t="n">
        <f aca="false">YEAR(E4644)*100+MONTH(E4644)</f>
        <v>201111</v>
      </c>
      <c r="L4644" s="7" t="n">
        <f aca="false">IF(AND(A4644&lt;&gt;A4643,LEFT(A4644,1)&lt;&gt;"C"),1,0)</f>
        <v>0</v>
      </c>
    </row>
    <row r="4645" customFormat="false" ht="15" hidden="false" customHeight="false" outlineLevel="0" collapsed="false">
      <c r="A4645" s="0" t="s">
        <v>2860</v>
      </c>
      <c r="B4645" s="0" t="s">
        <v>677</v>
      </c>
      <c r="C4645" s="0" t="s">
        <v>678</v>
      </c>
      <c r="D4645" s="0" t="n">
        <v>6</v>
      </c>
      <c r="E4645" s="6" t="n">
        <v>40857.4534722222</v>
      </c>
      <c r="F4645" s="0" t="n">
        <v>2.1</v>
      </c>
      <c r="G4645" s="0" t="n">
        <v>12682</v>
      </c>
      <c r="H4645" s="0" t="s">
        <v>43</v>
      </c>
      <c r="I4645" s="7" t="n">
        <f aca="false">IF(AND(LEFT(A4645,1)&lt;&gt;"C",D4645&gt;0,F4645&gt;0),1,0)</f>
        <v>1</v>
      </c>
      <c r="J4645" s="7" t="n">
        <f aca="false">IF(I4645=1,D4645*F4645,0)</f>
        <v>12.6</v>
      </c>
      <c r="K4645" s="7" t="n">
        <f aca="false">YEAR(E4645)*100+MONTH(E4645)</f>
        <v>201111</v>
      </c>
      <c r="L4645" s="7" t="n">
        <f aca="false">IF(AND(A4645&lt;&gt;A4644,LEFT(A4645,1)&lt;&gt;"C"),1,0)</f>
        <v>0</v>
      </c>
    </row>
    <row r="4646" customFormat="false" ht="15" hidden="false" customHeight="false" outlineLevel="0" collapsed="false">
      <c r="A4646" s="0" t="s">
        <v>2860</v>
      </c>
      <c r="B4646" s="0" t="s">
        <v>457</v>
      </c>
      <c r="C4646" s="0" t="s">
        <v>458</v>
      </c>
      <c r="D4646" s="0" t="n">
        <v>12</v>
      </c>
      <c r="E4646" s="6" t="n">
        <v>40857.4534722222</v>
      </c>
      <c r="F4646" s="0" t="n">
        <v>1.25</v>
      </c>
      <c r="G4646" s="0" t="n">
        <v>12682</v>
      </c>
      <c r="H4646" s="0" t="s">
        <v>43</v>
      </c>
      <c r="I4646" s="7" t="n">
        <f aca="false">IF(AND(LEFT(A4646,1)&lt;&gt;"C",D4646&gt;0,F4646&gt;0),1,0)</f>
        <v>1</v>
      </c>
      <c r="J4646" s="7" t="n">
        <f aca="false">IF(I4646=1,D4646*F4646,0)</f>
        <v>15</v>
      </c>
      <c r="K4646" s="7" t="n">
        <f aca="false">YEAR(E4646)*100+MONTH(E4646)</f>
        <v>201111</v>
      </c>
      <c r="L4646" s="7" t="n">
        <f aca="false">IF(AND(A4646&lt;&gt;A4645,LEFT(A4646,1)&lt;&gt;"C"),1,0)</f>
        <v>0</v>
      </c>
    </row>
    <row r="4647" customFormat="false" ht="15" hidden="false" customHeight="false" outlineLevel="0" collapsed="false">
      <c r="A4647" s="0" t="s">
        <v>2860</v>
      </c>
      <c r="B4647" s="0" t="s">
        <v>1607</v>
      </c>
      <c r="C4647" s="0" t="s">
        <v>1608</v>
      </c>
      <c r="D4647" s="0" t="n">
        <v>20</v>
      </c>
      <c r="E4647" s="6" t="n">
        <v>40857.4534722222</v>
      </c>
      <c r="F4647" s="0" t="n">
        <v>0.42</v>
      </c>
      <c r="G4647" s="0" t="n">
        <v>12682</v>
      </c>
      <c r="H4647" s="0" t="s">
        <v>43</v>
      </c>
      <c r="I4647" s="7" t="n">
        <f aca="false">IF(AND(LEFT(A4647,1)&lt;&gt;"C",D4647&gt;0,F4647&gt;0),1,0)</f>
        <v>1</v>
      </c>
      <c r="J4647" s="7" t="n">
        <f aca="false">IF(I4647=1,D4647*F4647,0)</f>
        <v>8.4</v>
      </c>
      <c r="K4647" s="7" t="n">
        <f aca="false">YEAR(E4647)*100+MONTH(E4647)</f>
        <v>201111</v>
      </c>
      <c r="L4647" s="7" t="n">
        <f aca="false">IF(AND(A4647&lt;&gt;A4646,LEFT(A4647,1)&lt;&gt;"C"),1,0)</f>
        <v>0</v>
      </c>
    </row>
    <row r="4648" customFormat="false" ht="15" hidden="false" customHeight="false" outlineLevel="0" collapsed="false">
      <c r="A4648" s="0" t="s">
        <v>2860</v>
      </c>
      <c r="B4648" s="0" t="s">
        <v>1607</v>
      </c>
      <c r="C4648" s="0" t="s">
        <v>1608</v>
      </c>
      <c r="D4648" s="0" t="n">
        <v>20</v>
      </c>
      <c r="E4648" s="6" t="n">
        <v>40857.4534722222</v>
      </c>
      <c r="F4648" s="0" t="n">
        <v>0.42</v>
      </c>
      <c r="G4648" s="0" t="n">
        <v>12682</v>
      </c>
      <c r="H4648" s="0" t="s">
        <v>43</v>
      </c>
      <c r="I4648" s="7" t="n">
        <f aca="false">IF(AND(LEFT(A4648,1)&lt;&gt;"C",D4648&gt;0,F4648&gt;0),1,0)</f>
        <v>1</v>
      </c>
      <c r="J4648" s="7" t="n">
        <f aca="false">IF(I4648=1,D4648*F4648,0)</f>
        <v>8.4</v>
      </c>
      <c r="K4648" s="7" t="n">
        <f aca="false">YEAR(E4648)*100+MONTH(E4648)</f>
        <v>201111</v>
      </c>
      <c r="L4648" s="7" t="n">
        <f aca="false">IF(AND(A4648&lt;&gt;A4647,LEFT(A4648,1)&lt;&gt;"C"),1,0)</f>
        <v>0</v>
      </c>
    </row>
    <row r="4649" customFormat="false" ht="15" hidden="false" customHeight="false" outlineLevel="0" collapsed="false">
      <c r="A4649" s="0" t="s">
        <v>2860</v>
      </c>
      <c r="B4649" s="0" t="s">
        <v>559</v>
      </c>
      <c r="C4649" s="0" t="s">
        <v>560</v>
      </c>
      <c r="D4649" s="0" t="n">
        <v>10</v>
      </c>
      <c r="E4649" s="6" t="n">
        <v>40857.4534722222</v>
      </c>
      <c r="F4649" s="0" t="n">
        <v>0.85</v>
      </c>
      <c r="G4649" s="0" t="n">
        <v>12682</v>
      </c>
      <c r="H4649" s="0" t="s">
        <v>43</v>
      </c>
      <c r="I4649" s="7" t="n">
        <f aca="false">IF(AND(LEFT(A4649,1)&lt;&gt;"C",D4649&gt;0,F4649&gt;0),1,0)</f>
        <v>1</v>
      </c>
      <c r="J4649" s="7" t="n">
        <f aca="false">IF(I4649=1,D4649*F4649,0)</f>
        <v>8.5</v>
      </c>
      <c r="K4649" s="7" t="n">
        <f aca="false">YEAR(E4649)*100+MONTH(E4649)</f>
        <v>201111</v>
      </c>
      <c r="L4649" s="7" t="n">
        <f aca="false">IF(AND(A4649&lt;&gt;A4648,LEFT(A4649,1)&lt;&gt;"C"),1,0)</f>
        <v>0</v>
      </c>
    </row>
    <row r="4650" customFormat="false" ht="15" hidden="false" customHeight="false" outlineLevel="0" collapsed="false">
      <c r="A4650" s="0" t="s">
        <v>2860</v>
      </c>
      <c r="B4650" s="0" t="s">
        <v>84</v>
      </c>
      <c r="C4650" s="0" t="s">
        <v>85</v>
      </c>
      <c r="D4650" s="0" t="n">
        <v>2</v>
      </c>
      <c r="E4650" s="6" t="n">
        <v>40857.4534722222</v>
      </c>
      <c r="F4650" s="0" t="n">
        <v>18</v>
      </c>
      <c r="G4650" s="0" t="n">
        <v>12682</v>
      </c>
      <c r="H4650" s="0" t="s">
        <v>43</v>
      </c>
      <c r="I4650" s="7" t="n">
        <f aca="false">IF(AND(LEFT(A4650,1)&lt;&gt;"C",D4650&gt;0,F4650&gt;0),1,0)</f>
        <v>1</v>
      </c>
      <c r="J4650" s="7" t="n">
        <f aca="false">IF(I4650=1,D4650*F4650,0)</f>
        <v>36</v>
      </c>
      <c r="K4650" s="7" t="n">
        <f aca="false">YEAR(E4650)*100+MONTH(E4650)</f>
        <v>201111</v>
      </c>
      <c r="L4650" s="7" t="n">
        <f aca="false">IF(AND(A4650&lt;&gt;A4649,LEFT(A4650,1)&lt;&gt;"C"),1,0)</f>
        <v>0</v>
      </c>
    </row>
    <row r="4651" customFormat="false" ht="15" hidden="false" customHeight="false" outlineLevel="0" collapsed="false">
      <c r="A4651" s="0" t="s">
        <v>2861</v>
      </c>
      <c r="B4651" s="0" t="s">
        <v>808</v>
      </c>
      <c r="C4651" s="0" t="s">
        <v>809</v>
      </c>
      <c r="D4651" s="0" t="n">
        <v>4</v>
      </c>
      <c r="E4651" s="6" t="n">
        <v>40857.4951388889</v>
      </c>
      <c r="F4651" s="0" t="n">
        <v>3.75</v>
      </c>
      <c r="G4651" s="0" t="n">
        <v>12659</v>
      </c>
      <c r="H4651" s="0" t="s">
        <v>43</v>
      </c>
      <c r="I4651" s="7" t="n">
        <f aca="false">IF(AND(LEFT(A4651,1)&lt;&gt;"C",D4651&gt;0,F4651&gt;0),1,0)</f>
        <v>1</v>
      </c>
      <c r="J4651" s="7" t="n">
        <f aca="false">IF(I4651=1,D4651*F4651,0)</f>
        <v>15</v>
      </c>
      <c r="K4651" s="7" t="n">
        <f aca="false">YEAR(E4651)*100+MONTH(E4651)</f>
        <v>201111</v>
      </c>
      <c r="L4651" s="7" t="n">
        <f aca="false">IF(AND(A4651&lt;&gt;A4650,LEFT(A4651,1)&lt;&gt;"C"),1,0)</f>
        <v>1</v>
      </c>
    </row>
    <row r="4652" customFormat="false" ht="15" hidden="false" customHeight="false" outlineLevel="0" collapsed="false">
      <c r="A4652" s="0" t="s">
        <v>2861</v>
      </c>
      <c r="B4652" s="0" t="s">
        <v>810</v>
      </c>
      <c r="C4652" s="0" t="s">
        <v>1891</v>
      </c>
      <c r="D4652" s="0" t="n">
        <v>4</v>
      </c>
      <c r="E4652" s="6" t="n">
        <v>40857.4951388889</v>
      </c>
      <c r="F4652" s="0" t="n">
        <v>3.75</v>
      </c>
      <c r="G4652" s="0" t="n">
        <v>12659</v>
      </c>
      <c r="H4652" s="0" t="s">
        <v>43</v>
      </c>
      <c r="I4652" s="7" t="n">
        <f aca="false">IF(AND(LEFT(A4652,1)&lt;&gt;"C",D4652&gt;0,F4652&gt;0),1,0)</f>
        <v>1</v>
      </c>
      <c r="J4652" s="7" t="n">
        <f aca="false">IF(I4652=1,D4652*F4652,0)</f>
        <v>15</v>
      </c>
      <c r="K4652" s="7" t="n">
        <f aca="false">YEAR(E4652)*100+MONTH(E4652)</f>
        <v>201111</v>
      </c>
      <c r="L4652" s="7" t="n">
        <f aca="false">IF(AND(A4652&lt;&gt;A4651,LEFT(A4652,1)&lt;&gt;"C"),1,0)</f>
        <v>0</v>
      </c>
    </row>
    <row r="4653" customFormat="false" ht="15" hidden="false" customHeight="false" outlineLevel="0" collapsed="false">
      <c r="A4653" s="0" t="s">
        <v>2861</v>
      </c>
      <c r="B4653" s="0" t="s">
        <v>2862</v>
      </c>
      <c r="C4653" s="0" t="s">
        <v>2863</v>
      </c>
      <c r="D4653" s="0" t="n">
        <v>72</v>
      </c>
      <c r="E4653" s="6" t="n">
        <v>40857.4951388889</v>
      </c>
      <c r="F4653" s="0" t="n">
        <v>0.39</v>
      </c>
      <c r="G4653" s="0" t="n">
        <v>12659</v>
      </c>
      <c r="H4653" s="0" t="s">
        <v>43</v>
      </c>
      <c r="I4653" s="7" t="n">
        <f aca="false">IF(AND(LEFT(A4653,1)&lt;&gt;"C",D4653&gt;0,F4653&gt;0),1,0)</f>
        <v>1</v>
      </c>
      <c r="J4653" s="7" t="n">
        <f aca="false">IF(I4653=1,D4653*F4653,0)</f>
        <v>28.08</v>
      </c>
      <c r="K4653" s="7" t="n">
        <f aca="false">YEAR(E4653)*100+MONTH(E4653)</f>
        <v>201111</v>
      </c>
      <c r="L4653" s="7" t="n">
        <f aca="false">IF(AND(A4653&lt;&gt;A4652,LEFT(A4653,1)&lt;&gt;"C"),1,0)</f>
        <v>0</v>
      </c>
    </row>
    <row r="4654" customFormat="false" ht="15" hidden="false" customHeight="false" outlineLevel="0" collapsed="false">
      <c r="A4654" s="0" t="s">
        <v>2861</v>
      </c>
      <c r="B4654" s="0" t="s">
        <v>1455</v>
      </c>
      <c r="C4654" s="0" t="s">
        <v>1456</v>
      </c>
      <c r="D4654" s="0" t="n">
        <v>24</v>
      </c>
      <c r="E4654" s="6" t="n">
        <v>40857.4951388889</v>
      </c>
      <c r="F4654" s="0" t="n">
        <v>0.65</v>
      </c>
      <c r="G4654" s="0" t="n">
        <v>12659</v>
      </c>
      <c r="H4654" s="0" t="s">
        <v>43</v>
      </c>
      <c r="I4654" s="7" t="n">
        <f aca="false">IF(AND(LEFT(A4654,1)&lt;&gt;"C",D4654&gt;0,F4654&gt;0),1,0)</f>
        <v>1</v>
      </c>
      <c r="J4654" s="7" t="n">
        <f aca="false">IF(I4654=1,D4654*F4654,0)</f>
        <v>15.6</v>
      </c>
      <c r="K4654" s="7" t="n">
        <f aca="false">YEAR(E4654)*100+MONTH(E4654)</f>
        <v>201111</v>
      </c>
      <c r="L4654" s="7" t="n">
        <f aca="false">IF(AND(A4654&lt;&gt;A4653,LEFT(A4654,1)&lt;&gt;"C"),1,0)</f>
        <v>0</v>
      </c>
    </row>
    <row r="4655" customFormat="false" ht="15" hidden="false" customHeight="false" outlineLevel="0" collapsed="false">
      <c r="A4655" s="0" t="s">
        <v>2861</v>
      </c>
      <c r="B4655" s="0" t="s">
        <v>84</v>
      </c>
      <c r="C4655" s="0" t="s">
        <v>85</v>
      </c>
      <c r="D4655" s="0" t="n">
        <v>1</v>
      </c>
      <c r="E4655" s="6" t="n">
        <v>40857.4951388889</v>
      </c>
      <c r="F4655" s="0" t="n">
        <v>18</v>
      </c>
      <c r="G4655" s="0" t="n">
        <v>12659</v>
      </c>
      <c r="H4655" s="0" t="s">
        <v>43</v>
      </c>
      <c r="I4655" s="7" t="n">
        <f aca="false">IF(AND(LEFT(A4655,1)&lt;&gt;"C",D4655&gt;0,F4655&gt;0),1,0)</f>
        <v>1</v>
      </c>
      <c r="J4655" s="7" t="n">
        <f aca="false">IF(I4655=1,D4655*F4655,0)</f>
        <v>18</v>
      </c>
      <c r="K4655" s="7" t="n">
        <f aca="false">YEAR(E4655)*100+MONTH(E4655)</f>
        <v>201111</v>
      </c>
      <c r="L4655" s="7" t="n">
        <f aca="false">IF(AND(A4655&lt;&gt;A4654,LEFT(A4655,1)&lt;&gt;"C"),1,0)</f>
        <v>0</v>
      </c>
    </row>
    <row r="4656" customFormat="false" ht="15" hidden="false" customHeight="false" outlineLevel="0" collapsed="false">
      <c r="A4656" s="0" t="s">
        <v>2864</v>
      </c>
      <c r="B4656" s="0" t="s">
        <v>517</v>
      </c>
      <c r="C4656" s="0" t="s">
        <v>518</v>
      </c>
      <c r="D4656" s="0" t="n">
        <v>10</v>
      </c>
      <c r="E4656" s="6" t="n">
        <v>40857.4965277778</v>
      </c>
      <c r="F4656" s="0" t="n">
        <v>2.08</v>
      </c>
      <c r="G4656" s="0" t="n">
        <v>12682</v>
      </c>
      <c r="H4656" s="0" t="s">
        <v>43</v>
      </c>
      <c r="I4656" s="7" t="n">
        <f aca="false">IF(AND(LEFT(A4656,1)&lt;&gt;"C",D4656&gt;0,F4656&gt;0),1,0)</f>
        <v>1</v>
      </c>
      <c r="J4656" s="7" t="n">
        <f aca="false">IF(I4656=1,D4656*F4656,0)</f>
        <v>20.8</v>
      </c>
      <c r="K4656" s="7" t="n">
        <f aca="false">YEAR(E4656)*100+MONTH(E4656)</f>
        <v>201111</v>
      </c>
      <c r="L4656" s="7" t="n">
        <f aca="false">IF(AND(A4656&lt;&gt;A4655,LEFT(A4656,1)&lt;&gt;"C"),1,0)</f>
        <v>1</v>
      </c>
    </row>
    <row r="4657" customFormat="false" ht="15" hidden="false" customHeight="false" outlineLevel="0" collapsed="false">
      <c r="A4657" s="0" t="s">
        <v>2864</v>
      </c>
      <c r="B4657" s="0" t="s">
        <v>625</v>
      </c>
      <c r="C4657" s="0" t="s">
        <v>626</v>
      </c>
      <c r="D4657" s="0" t="n">
        <v>10</v>
      </c>
      <c r="E4657" s="6" t="n">
        <v>40857.4965277778</v>
      </c>
      <c r="F4657" s="0" t="n">
        <v>2.08</v>
      </c>
      <c r="G4657" s="0" t="n">
        <v>12682</v>
      </c>
      <c r="H4657" s="0" t="s">
        <v>43</v>
      </c>
      <c r="I4657" s="7" t="n">
        <f aca="false">IF(AND(LEFT(A4657,1)&lt;&gt;"C",D4657&gt;0,F4657&gt;0),1,0)</f>
        <v>1</v>
      </c>
      <c r="J4657" s="7" t="n">
        <f aca="false">IF(I4657=1,D4657*F4657,0)</f>
        <v>20.8</v>
      </c>
      <c r="K4657" s="7" t="n">
        <f aca="false">YEAR(E4657)*100+MONTH(E4657)</f>
        <v>201111</v>
      </c>
      <c r="L4657" s="7" t="n">
        <f aca="false">IF(AND(A4657&lt;&gt;A4656,LEFT(A4657,1)&lt;&gt;"C"),1,0)</f>
        <v>0</v>
      </c>
    </row>
    <row r="4658" customFormat="false" ht="15" hidden="false" customHeight="false" outlineLevel="0" collapsed="false">
      <c r="A4658" s="0" t="s">
        <v>2864</v>
      </c>
      <c r="B4658" s="0" t="s">
        <v>2804</v>
      </c>
      <c r="C4658" s="0" t="s">
        <v>2805</v>
      </c>
      <c r="D4658" s="0" t="n">
        <v>10</v>
      </c>
      <c r="E4658" s="6" t="n">
        <v>40857.4965277778</v>
      </c>
      <c r="F4658" s="0" t="n">
        <v>2.08</v>
      </c>
      <c r="G4658" s="0" t="n">
        <v>12682</v>
      </c>
      <c r="H4658" s="0" t="s">
        <v>43</v>
      </c>
      <c r="I4658" s="7" t="n">
        <f aca="false">IF(AND(LEFT(A4658,1)&lt;&gt;"C",D4658&gt;0,F4658&gt;0),1,0)</f>
        <v>1</v>
      </c>
      <c r="J4658" s="7" t="n">
        <f aca="false">IF(I4658=1,D4658*F4658,0)</f>
        <v>20.8</v>
      </c>
      <c r="K4658" s="7" t="n">
        <f aca="false">YEAR(E4658)*100+MONTH(E4658)</f>
        <v>201111</v>
      </c>
      <c r="L4658" s="7" t="n">
        <f aca="false">IF(AND(A4658&lt;&gt;A4657,LEFT(A4658,1)&lt;&gt;"C"),1,0)</f>
        <v>0</v>
      </c>
    </row>
    <row r="4659" customFormat="false" ht="15" hidden="false" customHeight="false" outlineLevel="0" collapsed="false">
      <c r="A4659" s="0" t="s">
        <v>2864</v>
      </c>
      <c r="B4659" s="0" t="s">
        <v>569</v>
      </c>
      <c r="C4659" s="0" t="s">
        <v>570</v>
      </c>
      <c r="D4659" s="0" t="n">
        <v>10</v>
      </c>
      <c r="E4659" s="6" t="n">
        <v>40857.4965277778</v>
      </c>
      <c r="F4659" s="0" t="n">
        <v>2.08</v>
      </c>
      <c r="G4659" s="0" t="n">
        <v>12682</v>
      </c>
      <c r="H4659" s="0" t="s">
        <v>43</v>
      </c>
      <c r="I4659" s="7" t="n">
        <f aca="false">IF(AND(LEFT(A4659,1)&lt;&gt;"C",D4659&gt;0,F4659&gt;0),1,0)</f>
        <v>1</v>
      </c>
      <c r="J4659" s="7" t="n">
        <f aca="false">IF(I4659=1,D4659*F4659,0)</f>
        <v>20.8</v>
      </c>
      <c r="K4659" s="7" t="n">
        <f aca="false">YEAR(E4659)*100+MONTH(E4659)</f>
        <v>201111</v>
      </c>
      <c r="L4659" s="7" t="n">
        <f aca="false">IF(AND(A4659&lt;&gt;A4658,LEFT(A4659,1)&lt;&gt;"C"),1,0)</f>
        <v>0</v>
      </c>
    </row>
    <row r="4660" customFormat="false" ht="15" hidden="false" customHeight="false" outlineLevel="0" collapsed="false">
      <c r="A4660" s="0" t="s">
        <v>2864</v>
      </c>
      <c r="B4660" s="0" t="s">
        <v>567</v>
      </c>
      <c r="C4660" s="0" t="s">
        <v>568</v>
      </c>
      <c r="D4660" s="0" t="n">
        <v>10</v>
      </c>
      <c r="E4660" s="6" t="n">
        <v>40857.4965277778</v>
      </c>
      <c r="F4660" s="0" t="n">
        <v>1.65</v>
      </c>
      <c r="G4660" s="0" t="n">
        <v>12682</v>
      </c>
      <c r="H4660" s="0" t="s">
        <v>43</v>
      </c>
      <c r="I4660" s="7" t="n">
        <f aca="false">IF(AND(LEFT(A4660,1)&lt;&gt;"C",D4660&gt;0,F4660&gt;0),1,0)</f>
        <v>1</v>
      </c>
      <c r="J4660" s="7" t="n">
        <f aca="false">IF(I4660=1,D4660*F4660,0)</f>
        <v>16.5</v>
      </c>
      <c r="K4660" s="7" t="n">
        <f aca="false">YEAR(E4660)*100+MONTH(E4660)</f>
        <v>201111</v>
      </c>
      <c r="L4660" s="7" t="n">
        <f aca="false">IF(AND(A4660&lt;&gt;A4659,LEFT(A4660,1)&lt;&gt;"C"),1,0)</f>
        <v>0</v>
      </c>
    </row>
    <row r="4661" customFormat="false" ht="15" hidden="false" customHeight="false" outlineLevel="0" collapsed="false">
      <c r="A4661" s="0" t="s">
        <v>2864</v>
      </c>
      <c r="B4661" s="0" t="s">
        <v>2655</v>
      </c>
      <c r="C4661" s="0" t="s">
        <v>2656</v>
      </c>
      <c r="D4661" s="0" t="n">
        <v>4</v>
      </c>
      <c r="E4661" s="6" t="n">
        <v>40857.4965277778</v>
      </c>
      <c r="F4661" s="0" t="n">
        <v>4.95</v>
      </c>
      <c r="G4661" s="0" t="n">
        <v>12682</v>
      </c>
      <c r="H4661" s="0" t="s">
        <v>43</v>
      </c>
      <c r="I4661" s="7" t="n">
        <f aca="false">IF(AND(LEFT(A4661,1)&lt;&gt;"C",D4661&gt;0,F4661&gt;0),1,0)</f>
        <v>1</v>
      </c>
      <c r="J4661" s="7" t="n">
        <f aca="false">IF(I4661=1,D4661*F4661,0)</f>
        <v>19.8</v>
      </c>
      <c r="K4661" s="7" t="n">
        <f aca="false">YEAR(E4661)*100+MONTH(E4661)</f>
        <v>201111</v>
      </c>
      <c r="L4661" s="7" t="n">
        <f aca="false">IF(AND(A4661&lt;&gt;A4660,LEFT(A4661,1)&lt;&gt;"C"),1,0)</f>
        <v>0</v>
      </c>
    </row>
    <row r="4662" customFormat="false" ht="15" hidden="false" customHeight="false" outlineLevel="0" collapsed="false">
      <c r="A4662" s="0" t="s">
        <v>2864</v>
      </c>
      <c r="B4662" s="0" t="s">
        <v>2546</v>
      </c>
      <c r="C4662" s="0" t="s">
        <v>2547</v>
      </c>
      <c r="D4662" s="0" t="n">
        <v>6</v>
      </c>
      <c r="E4662" s="6" t="n">
        <v>40857.4965277778</v>
      </c>
      <c r="F4662" s="0" t="n">
        <v>2.95</v>
      </c>
      <c r="G4662" s="0" t="n">
        <v>12682</v>
      </c>
      <c r="H4662" s="0" t="s">
        <v>43</v>
      </c>
      <c r="I4662" s="7" t="n">
        <f aca="false">IF(AND(LEFT(A4662,1)&lt;&gt;"C",D4662&gt;0,F4662&gt;0),1,0)</f>
        <v>1</v>
      </c>
      <c r="J4662" s="7" t="n">
        <f aca="false">IF(I4662=1,D4662*F4662,0)</f>
        <v>17.7</v>
      </c>
      <c r="K4662" s="7" t="n">
        <f aca="false">YEAR(E4662)*100+MONTH(E4662)</f>
        <v>201111</v>
      </c>
      <c r="L4662" s="7" t="n">
        <f aca="false">IF(AND(A4662&lt;&gt;A4661,LEFT(A4662,1)&lt;&gt;"C"),1,0)</f>
        <v>0</v>
      </c>
    </row>
    <row r="4663" customFormat="false" ht="15" hidden="false" customHeight="false" outlineLevel="0" collapsed="false">
      <c r="A4663" s="0" t="s">
        <v>2864</v>
      </c>
      <c r="B4663" s="0" t="s">
        <v>2792</v>
      </c>
      <c r="C4663" s="0" t="s">
        <v>2793</v>
      </c>
      <c r="D4663" s="0" t="n">
        <v>6</v>
      </c>
      <c r="E4663" s="6" t="n">
        <v>40857.4965277778</v>
      </c>
      <c r="F4663" s="0" t="n">
        <v>2.95</v>
      </c>
      <c r="G4663" s="0" t="n">
        <v>12682</v>
      </c>
      <c r="H4663" s="0" t="s">
        <v>43</v>
      </c>
      <c r="I4663" s="7" t="n">
        <f aca="false">IF(AND(LEFT(A4663,1)&lt;&gt;"C",D4663&gt;0,F4663&gt;0),1,0)</f>
        <v>1</v>
      </c>
      <c r="J4663" s="7" t="n">
        <f aca="false">IF(I4663=1,D4663*F4663,0)</f>
        <v>17.7</v>
      </c>
      <c r="K4663" s="7" t="n">
        <f aca="false">YEAR(E4663)*100+MONTH(E4663)</f>
        <v>201111</v>
      </c>
      <c r="L4663" s="7" t="n">
        <f aca="false">IF(AND(A4663&lt;&gt;A4662,LEFT(A4663,1)&lt;&gt;"C"),1,0)</f>
        <v>0</v>
      </c>
    </row>
    <row r="4664" customFormat="false" ht="15" hidden="false" customHeight="false" outlineLevel="0" collapsed="false">
      <c r="A4664" s="0" t="s">
        <v>2864</v>
      </c>
      <c r="B4664" s="0" t="s">
        <v>1865</v>
      </c>
      <c r="C4664" s="0" t="s">
        <v>1866</v>
      </c>
      <c r="D4664" s="0" t="n">
        <v>12</v>
      </c>
      <c r="E4664" s="6" t="n">
        <v>40857.4965277778</v>
      </c>
      <c r="F4664" s="0" t="n">
        <v>1.25</v>
      </c>
      <c r="G4664" s="0" t="n">
        <v>12682</v>
      </c>
      <c r="H4664" s="0" t="s">
        <v>43</v>
      </c>
      <c r="I4664" s="7" t="n">
        <f aca="false">IF(AND(LEFT(A4664,1)&lt;&gt;"C",D4664&gt;0,F4664&gt;0),1,0)</f>
        <v>1</v>
      </c>
      <c r="J4664" s="7" t="n">
        <f aca="false">IF(I4664=1,D4664*F4664,0)</f>
        <v>15</v>
      </c>
      <c r="K4664" s="7" t="n">
        <f aca="false">YEAR(E4664)*100+MONTH(E4664)</f>
        <v>201111</v>
      </c>
      <c r="L4664" s="7" t="n">
        <f aca="false">IF(AND(A4664&lt;&gt;A4663,LEFT(A4664,1)&lt;&gt;"C"),1,0)</f>
        <v>0</v>
      </c>
    </row>
    <row r="4665" customFormat="false" ht="15" hidden="false" customHeight="false" outlineLevel="0" collapsed="false">
      <c r="A4665" s="0" t="s">
        <v>2864</v>
      </c>
      <c r="B4665" s="0" t="s">
        <v>1386</v>
      </c>
      <c r="C4665" s="0" t="s">
        <v>1387</v>
      </c>
      <c r="D4665" s="0" t="n">
        <v>10</v>
      </c>
      <c r="E4665" s="6" t="n">
        <v>40857.4965277778</v>
      </c>
      <c r="F4665" s="0" t="n">
        <v>2.08</v>
      </c>
      <c r="G4665" s="0" t="n">
        <v>12682</v>
      </c>
      <c r="H4665" s="0" t="s">
        <v>43</v>
      </c>
      <c r="I4665" s="7" t="n">
        <f aca="false">IF(AND(LEFT(A4665,1)&lt;&gt;"C",D4665&gt;0,F4665&gt;0),1,0)</f>
        <v>1</v>
      </c>
      <c r="J4665" s="7" t="n">
        <f aca="false">IF(I4665=1,D4665*F4665,0)</f>
        <v>20.8</v>
      </c>
      <c r="K4665" s="7" t="n">
        <f aca="false">YEAR(E4665)*100+MONTH(E4665)</f>
        <v>201111</v>
      </c>
      <c r="L4665" s="7" t="n">
        <f aca="false">IF(AND(A4665&lt;&gt;A4664,LEFT(A4665,1)&lt;&gt;"C"),1,0)</f>
        <v>0</v>
      </c>
    </row>
    <row r="4666" customFormat="false" ht="15" hidden="false" customHeight="false" outlineLevel="0" collapsed="false">
      <c r="A4666" s="0" t="s">
        <v>2864</v>
      </c>
      <c r="B4666" s="0" t="s">
        <v>623</v>
      </c>
      <c r="C4666" s="0" t="s">
        <v>624</v>
      </c>
      <c r="D4666" s="0" t="n">
        <v>10</v>
      </c>
      <c r="E4666" s="6" t="n">
        <v>40857.4965277778</v>
      </c>
      <c r="F4666" s="0" t="n">
        <v>2.08</v>
      </c>
      <c r="G4666" s="0" t="n">
        <v>12682</v>
      </c>
      <c r="H4666" s="0" t="s">
        <v>43</v>
      </c>
      <c r="I4666" s="7" t="n">
        <f aca="false">IF(AND(LEFT(A4666,1)&lt;&gt;"C",D4666&gt;0,F4666&gt;0),1,0)</f>
        <v>1</v>
      </c>
      <c r="J4666" s="7" t="n">
        <f aca="false">IF(I4666=1,D4666*F4666,0)</f>
        <v>20.8</v>
      </c>
      <c r="K4666" s="7" t="n">
        <f aca="false">YEAR(E4666)*100+MONTH(E4666)</f>
        <v>201111</v>
      </c>
      <c r="L4666" s="7" t="n">
        <f aca="false">IF(AND(A4666&lt;&gt;A4665,LEFT(A4666,1)&lt;&gt;"C"),1,0)</f>
        <v>0</v>
      </c>
    </row>
    <row r="4667" customFormat="false" ht="15" hidden="false" customHeight="false" outlineLevel="0" collapsed="false">
      <c r="A4667" s="0" t="s">
        <v>2864</v>
      </c>
      <c r="B4667" s="0" t="s">
        <v>463</v>
      </c>
      <c r="C4667" s="0" t="s">
        <v>464</v>
      </c>
      <c r="D4667" s="0" t="n">
        <v>2</v>
      </c>
      <c r="E4667" s="6" t="n">
        <v>40857.4965277778</v>
      </c>
      <c r="F4667" s="0" t="n">
        <v>7.95</v>
      </c>
      <c r="G4667" s="0" t="n">
        <v>12682</v>
      </c>
      <c r="H4667" s="0" t="s">
        <v>43</v>
      </c>
      <c r="I4667" s="7" t="n">
        <f aca="false">IF(AND(LEFT(A4667,1)&lt;&gt;"C",D4667&gt;0,F4667&gt;0),1,0)</f>
        <v>1</v>
      </c>
      <c r="J4667" s="7" t="n">
        <f aca="false">IF(I4667=1,D4667*F4667,0)</f>
        <v>15.9</v>
      </c>
      <c r="K4667" s="7" t="n">
        <f aca="false">YEAR(E4667)*100+MONTH(E4667)</f>
        <v>201111</v>
      </c>
      <c r="L4667" s="7" t="n">
        <f aca="false">IF(AND(A4667&lt;&gt;A4666,LEFT(A4667,1)&lt;&gt;"C"),1,0)</f>
        <v>0</v>
      </c>
    </row>
    <row r="4668" customFormat="false" ht="15" hidden="false" customHeight="false" outlineLevel="0" collapsed="false">
      <c r="A4668" s="0" t="s">
        <v>2864</v>
      </c>
      <c r="B4668" s="0" t="s">
        <v>84</v>
      </c>
      <c r="C4668" s="0" t="s">
        <v>85</v>
      </c>
      <c r="D4668" s="0" t="n">
        <v>1</v>
      </c>
      <c r="E4668" s="6" t="n">
        <v>40857.4965277778</v>
      </c>
      <c r="F4668" s="0" t="n">
        <v>18</v>
      </c>
      <c r="G4668" s="0" t="n">
        <v>12682</v>
      </c>
      <c r="H4668" s="0" t="s">
        <v>43</v>
      </c>
      <c r="I4668" s="7" t="n">
        <f aca="false">IF(AND(LEFT(A4668,1)&lt;&gt;"C",D4668&gt;0,F4668&gt;0),1,0)</f>
        <v>1</v>
      </c>
      <c r="J4668" s="7" t="n">
        <f aca="false">IF(I4668=1,D4668*F4668,0)</f>
        <v>18</v>
      </c>
      <c r="K4668" s="7" t="n">
        <f aca="false">YEAR(E4668)*100+MONTH(E4668)</f>
        <v>201111</v>
      </c>
      <c r="L4668" s="7" t="n">
        <f aca="false">IF(AND(A4668&lt;&gt;A4667,LEFT(A4668,1)&lt;&gt;"C"),1,0)</f>
        <v>0</v>
      </c>
    </row>
    <row r="4669" customFormat="false" ht="15" hidden="false" customHeight="false" outlineLevel="0" collapsed="false">
      <c r="A4669" s="0" t="s">
        <v>2865</v>
      </c>
      <c r="B4669" s="0" t="s">
        <v>977</v>
      </c>
      <c r="C4669" s="0" t="s">
        <v>978</v>
      </c>
      <c r="D4669" s="0" t="n">
        <v>-10</v>
      </c>
      <c r="E4669" s="6" t="n">
        <v>40857.5069444445</v>
      </c>
      <c r="F4669" s="0" t="n">
        <v>1.65</v>
      </c>
      <c r="G4669" s="0" t="n">
        <v>12619</v>
      </c>
      <c r="H4669" s="0" t="s">
        <v>33</v>
      </c>
      <c r="I4669" s="7" t="n">
        <f aca="false">IF(AND(LEFT(A4669,1)&lt;&gt;"C",D4669&gt;0,F4669&gt;0),1,0)</f>
        <v>0</v>
      </c>
      <c r="J4669" s="7" t="n">
        <f aca="false">IF(I4669=1,D4669*F4669,0)</f>
        <v>0</v>
      </c>
      <c r="K4669" s="7" t="n">
        <f aca="false">YEAR(E4669)*100+MONTH(E4669)</f>
        <v>201111</v>
      </c>
      <c r="L4669" s="7" t="n">
        <f aca="false">IF(AND(A4669&lt;&gt;A4668,LEFT(A4669,1)&lt;&gt;"C"),1,0)</f>
        <v>0</v>
      </c>
    </row>
    <row r="4670" customFormat="false" ht="15" hidden="false" customHeight="false" outlineLevel="0" collapsed="false">
      <c r="A4670" s="0" t="s">
        <v>2865</v>
      </c>
      <c r="B4670" s="0" t="s">
        <v>2798</v>
      </c>
      <c r="C4670" s="0" t="s">
        <v>2799</v>
      </c>
      <c r="D4670" s="0" t="n">
        <v>-10</v>
      </c>
      <c r="E4670" s="6" t="n">
        <v>40857.5069444445</v>
      </c>
      <c r="F4670" s="0" t="n">
        <v>1.65</v>
      </c>
      <c r="G4670" s="0" t="n">
        <v>12619</v>
      </c>
      <c r="H4670" s="0" t="s">
        <v>33</v>
      </c>
      <c r="I4670" s="7" t="n">
        <f aca="false">IF(AND(LEFT(A4670,1)&lt;&gt;"C",D4670&gt;0,F4670&gt;0),1,0)</f>
        <v>0</v>
      </c>
      <c r="J4670" s="7" t="n">
        <f aca="false">IF(I4670=1,D4670*F4670,0)</f>
        <v>0</v>
      </c>
      <c r="K4670" s="7" t="n">
        <f aca="false">YEAR(E4670)*100+MONTH(E4670)</f>
        <v>201111</v>
      </c>
      <c r="L4670" s="7" t="n">
        <f aca="false">IF(AND(A4670&lt;&gt;A4669,LEFT(A4670,1)&lt;&gt;"C"),1,0)</f>
        <v>0</v>
      </c>
    </row>
    <row r="4671" customFormat="false" ht="15" hidden="false" customHeight="false" outlineLevel="0" collapsed="false">
      <c r="A4671" s="0" t="s">
        <v>2866</v>
      </c>
      <c r="B4671" s="0" t="s">
        <v>697</v>
      </c>
      <c r="C4671" s="0" t="s">
        <v>698</v>
      </c>
      <c r="D4671" s="0" t="n">
        <v>12</v>
      </c>
      <c r="E4671" s="6" t="n">
        <v>40857.5652777778</v>
      </c>
      <c r="F4671" s="0" t="n">
        <v>1.69</v>
      </c>
      <c r="G4671" s="0" t="n">
        <v>12599</v>
      </c>
      <c r="H4671" s="0" t="s">
        <v>43</v>
      </c>
      <c r="I4671" s="7" t="n">
        <f aca="false">IF(AND(LEFT(A4671,1)&lt;&gt;"C",D4671&gt;0,F4671&gt;0),1,0)</f>
        <v>1</v>
      </c>
      <c r="J4671" s="7" t="n">
        <f aca="false">IF(I4671=1,D4671*F4671,0)</f>
        <v>20.28</v>
      </c>
      <c r="K4671" s="7" t="n">
        <f aca="false">YEAR(E4671)*100+MONTH(E4671)</f>
        <v>201111</v>
      </c>
      <c r="L4671" s="7" t="n">
        <f aca="false">IF(AND(A4671&lt;&gt;A4670,LEFT(A4671,1)&lt;&gt;"C"),1,0)</f>
        <v>1</v>
      </c>
    </row>
    <row r="4672" customFormat="false" ht="15" hidden="false" customHeight="false" outlineLevel="0" collapsed="false">
      <c r="A4672" s="0" t="s">
        <v>2866</v>
      </c>
      <c r="B4672" s="0" t="s">
        <v>2546</v>
      </c>
      <c r="C4672" s="0" t="s">
        <v>2547</v>
      </c>
      <c r="D4672" s="0" t="n">
        <v>6</v>
      </c>
      <c r="E4672" s="6" t="n">
        <v>40857.5652777778</v>
      </c>
      <c r="F4672" s="0" t="n">
        <v>2.95</v>
      </c>
      <c r="G4672" s="0" t="n">
        <v>12599</v>
      </c>
      <c r="H4672" s="0" t="s">
        <v>43</v>
      </c>
      <c r="I4672" s="7" t="n">
        <f aca="false">IF(AND(LEFT(A4672,1)&lt;&gt;"C",D4672&gt;0,F4672&gt;0),1,0)</f>
        <v>1</v>
      </c>
      <c r="J4672" s="7" t="n">
        <f aca="false">IF(I4672=1,D4672*F4672,0)</f>
        <v>17.7</v>
      </c>
      <c r="K4672" s="7" t="n">
        <f aca="false">YEAR(E4672)*100+MONTH(E4672)</f>
        <v>201111</v>
      </c>
      <c r="L4672" s="7" t="n">
        <f aca="false">IF(AND(A4672&lt;&gt;A4671,LEFT(A4672,1)&lt;&gt;"C"),1,0)</f>
        <v>0</v>
      </c>
    </row>
    <row r="4673" customFormat="false" ht="15" hidden="false" customHeight="false" outlineLevel="0" collapsed="false">
      <c r="A4673" s="0" t="s">
        <v>2866</v>
      </c>
      <c r="B4673" s="0" t="s">
        <v>2365</v>
      </c>
      <c r="C4673" s="0" t="s">
        <v>2366</v>
      </c>
      <c r="D4673" s="0" t="n">
        <v>12</v>
      </c>
      <c r="E4673" s="6" t="n">
        <v>40857.5652777778</v>
      </c>
      <c r="F4673" s="0" t="n">
        <v>0.85</v>
      </c>
      <c r="G4673" s="0" t="n">
        <v>12599</v>
      </c>
      <c r="H4673" s="0" t="s">
        <v>43</v>
      </c>
      <c r="I4673" s="7" t="n">
        <f aca="false">IF(AND(LEFT(A4673,1)&lt;&gt;"C",D4673&gt;0,F4673&gt;0),1,0)</f>
        <v>1</v>
      </c>
      <c r="J4673" s="7" t="n">
        <f aca="false">IF(I4673=1,D4673*F4673,0)</f>
        <v>10.2</v>
      </c>
      <c r="K4673" s="7" t="n">
        <f aca="false">YEAR(E4673)*100+MONTH(E4673)</f>
        <v>201111</v>
      </c>
      <c r="L4673" s="7" t="n">
        <f aca="false">IF(AND(A4673&lt;&gt;A4672,LEFT(A4673,1)&lt;&gt;"C"),1,0)</f>
        <v>0</v>
      </c>
    </row>
    <row r="4674" customFormat="false" ht="15" hidden="false" customHeight="false" outlineLevel="0" collapsed="false">
      <c r="A4674" s="0" t="s">
        <v>2866</v>
      </c>
      <c r="B4674" s="0" t="s">
        <v>871</v>
      </c>
      <c r="C4674" s="0" t="s">
        <v>872</v>
      </c>
      <c r="D4674" s="0" t="n">
        <v>12</v>
      </c>
      <c r="E4674" s="6" t="n">
        <v>40857.5652777778</v>
      </c>
      <c r="F4674" s="0" t="n">
        <v>0.83</v>
      </c>
      <c r="G4674" s="0" t="n">
        <v>12599</v>
      </c>
      <c r="H4674" s="0" t="s">
        <v>43</v>
      </c>
      <c r="I4674" s="7" t="n">
        <f aca="false">IF(AND(LEFT(A4674,1)&lt;&gt;"C",D4674&gt;0,F4674&gt;0),1,0)</f>
        <v>1</v>
      </c>
      <c r="J4674" s="7" t="n">
        <f aca="false">IF(I4674=1,D4674*F4674,0)</f>
        <v>9.96</v>
      </c>
      <c r="K4674" s="7" t="n">
        <f aca="false">YEAR(E4674)*100+MONTH(E4674)</f>
        <v>201111</v>
      </c>
      <c r="L4674" s="7" t="n">
        <f aca="false">IF(AND(A4674&lt;&gt;A4673,LEFT(A4674,1)&lt;&gt;"C"),1,0)</f>
        <v>0</v>
      </c>
    </row>
    <row r="4675" customFormat="false" ht="15" hidden="false" customHeight="false" outlineLevel="0" collapsed="false">
      <c r="A4675" s="0" t="s">
        <v>2866</v>
      </c>
      <c r="B4675" s="0" t="s">
        <v>873</v>
      </c>
      <c r="C4675" s="0" t="s">
        <v>874</v>
      </c>
      <c r="D4675" s="0" t="n">
        <v>12</v>
      </c>
      <c r="E4675" s="6" t="n">
        <v>40857.5652777778</v>
      </c>
      <c r="F4675" s="0" t="n">
        <v>0.83</v>
      </c>
      <c r="G4675" s="0" t="n">
        <v>12599</v>
      </c>
      <c r="H4675" s="0" t="s">
        <v>43</v>
      </c>
      <c r="I4675" s="7" t="n">
        <f aca="false">IF(AND(LEFT(A4675,1)&lt;&gt;"C",D4675&gt;0,F4675&gt;0),1,0)</f>
        <v>1</v>
      </c>
      <c r="J4675" s="7" t="n">
        <f aca="false">IF(I4675=1,D4675*F4675,0)</f>
        <v>9.96</v>
      </c>
      <c r="K4675" s="7" t="n">
        <f aca="false">YEAR(E4675)*100+MONTH(E4675)</f>
        <v>201111</v>
      </c>
      <c r="L4675" s="7" t="n">
        <f aca="false">IF(AND(A4675&lt;&gt;A4674,LEFT(A4675,1)&lt;&gt;"C"),1,0)</f>
        <v>0</v>
      </c>
    </row>
    <row r="4676" customFormat="false" ht="15" hidden="false" customHeight="false" outlineLevel="0" collapsed="false">
      <c r="A4676" s="0" t="s">
        <v>2866</v>
      </c>
      <c r="B4676" s="0" t="s">
        <v>157</v>
      </c>
      <c r="C4676" s="0" t="s">
        <v>158</v>
      </c>
      <c r="D4676" s="0" t="n">
        <v>12</v>
      </c>
      <c r="E4676" s="6" t="n">
        <v>40857.5652777778</v>
      </c>
      <c r="F4676" s="0" t="n">
        <v>0.65</v>
      </c>
      <c r="G4676" s="0" t="n">
        <v>12599</v>
      </c>
      <c r="H4676" s="0" t="s">
        <v>43</v>
      </c>
      <c r="I4676" s="7" t="n">
        <f aca="false">IF(AND(LEFT(A4676,1)&lt;&gt;"C",D4676&gt;0,F4676&gt;0),1,0)</f>
        <v>1</v>
      </c>
      <c r="J4676" s="7" t="n">
        <f aca="false">IF(I4676=1,D4676*F4676,0)</f>
        <v>7.8</v>
      </c>
      <c r="K4676" s="7" t="n">
        <f aca="false">YEAR(E4676)*100+MONTH(E4676)</f>
        <v>201111</v>
      </c>
      <c r="L4676" s="7" t="n">
        <f aca="false">IF(AND(A4676&lt;&gt;A4675,LEFT(A4676,1)&lt;&gt;"C"),1,0)</f>
        <v>0</v>
      </c>
    </row>
    <row r="4677" customFormat="false" ht="15" hidden="false" customHeight="false" outlineLevel="0" collapsed="false">
      <c r="A4677" s="0" t="s">
        <v>2866</v>
      </c>
      <c r="B4677" s="0" t="s">
        <v>195</v>
      </c>
      <c r="C4677" s="0" t="s">
        <v>196</v>
      </c>
      <c r="D4677" s="0" t="n">
        <v>12</v>
      </c>
      <c r="E4677" s="6" t="n">
        <v>40857.5652777778</v>
      </c>
      <c r="F4677" s="0" t="n">
        <v>0.85</v>
      </c>
      <c r="G4677" s="0" t="n">
        <v>12599</v>
      </c>
      <c r="H4677" s="0" t="s">
        <v>43</v>
      </c>
      <c r="I4677" s="7" t="n">
        <f aca="false">IF(AND(LEFT(A4677,1)&lt;&gt;"C",D4677&gt;0,F4677&gt;0),1,0)</f>
        <v>1</v>
      </c>
      <c r="J4677" s="7" t="n">
        <f aca="false">IF(I4677=1,D4677*F4677,0)</f>
        <v>10.2</v>
      </c>
      <c r="K4677" s="7" t="n">
        <f aca="false">YEAR(E4677)*100+MONTH(E4677)</f>
        <v>201111</v>
      </c>
      <c r="L4677" s="7" t="n">
        <f aca="false">IF(AND(A4677&lt;&gt;A4676,LEFT(A4677,1)&lt;&gt;"C"),1,0)</f>
        <v>0</v>
      </c>
    </row>
    <row r="4678" customFormat="false" ht="15" hidden="false" customHeight="false" outlineLevel="0" collapsed="false">
      <c r="A4678" s="0" t="s">
        <v>2866</v>
      </c>
      <c r="B4678" s="0" t="s">
        <v>1928</v>
      </c>
      <c r="C4678" s="0" t="s">
        <v>1929</v>
      </c>
      <c r="D4678" s="0" t="n">
        <v>24</v>
      </c>
      <c r="E4678" s="6" t="n">
        <v>40857.5652777778</v>
      </c>
      <c r="F4678" s="0" t="n">
        <v>0.65</v>
      </c>
      <c r="G4678" s="0" t="n">
        <v>12599</v>
      </c>
      <c r="H4678" s="0" t="s">
        <v>43</v>
      </c>
      <c r="I4678" s="7" t="n">
        <f aca="false">IF(AND(LEFT(A4678,1)&lt;&gt;"C",D4678&gt;0,F4678&gt;0),1,0)</f>
        <v>1</v>
      </c>
      <c r="J4678" s="7" t="n">
        <f aca="false">IF(I4678=1,D4678*F4678,0)</f>
        <v>15.6</v>
      </c>
      <c r="K4678" s="7" t="n">
        <f aca="false">YEAR(E4678)*100+MONTH(E4678)</f>
        <v>201111</v>
      </c>
      <c r="L4678" s="7" t="n">
        <f aca="false">IF(AND(A4678&lt;&gt;A4677,LEFT(A4678,1)&lt;&gt;"C"),1,0)</f>
        <v>0</v>
      </c>
    </row>
    <row r="4679" customFormat="false" ht="15" hidden="false" customHeight="false" outlineLevel="0" collapsed="false">
      <c r="A4679" s="0" t="s">
        <v>2866</v>
      </c>
      <c r="B4679" s="0" t="s">
        <v>1981</v>
      </c>
      <c r="C4679" s="0" t="s">
        <v>1982</v>
      </c>
      <c r="D4679" s="0" t="n">
        <v>24</v>
      </c>
      <c r="E4679" s="6" t="n">
        <v>40857.5652777778</v>
      </c>
      <c r="F4679" s="0" t="n">
        <v>0.65</v>
      </c>
      <c r="G4679" s="0" t="n">
        <v>12599</v>
      </c>
      <c r="H4679" s="0" t="s">
        <v>43</v>
      </c>
      <c r="I4679" s="7" t="n">
        <f aca="false">IF(AND(LEFT(A4679,1)&lt;&gt;"C",D4679&gt;0,F4679&gt;0),1,0)</f>
        <v>1</v>
      </c>
      <c r="J4679" s="7" t="n">
        <f aca="false">IF(I4679=1,D4679*F4679,0)</f>
        <v>15.6</v>
      </c>
      <c r="K4679" s="7" t="n">
        <f aca="false">YEAR(E4679)*100+MONTH(E4679)</f>
        <v>201111</v>
      </c>
      <c r="L4679" s="7" t="n">
        <f aca="false">IF(AND(A4679&lt;&gt;A4678,LEFT(A4679,1)&lt;&gt;"C"),1,0)</f>
        <v>0</v>
      </c>
    </row>
    <row r="4680" customFormat="false" ht="15" hidden="false" customHeight="false" outlineLevel="0" collapsed="false">
      <c r="A4680" s="0" t="s">
        <v>2866</v>
      </c>
      <c r="B4680" s="0" t="s">
        <v>2867</v>
      </c>
      <c r="C4680" s="0" t="s">
        <v>2868</v>
      </c>
      <c r="D4680" s="0" t="n">
        <v>24</v>
      </c>
      <c r="E4680" s="6" t="n">
        <v>40857.5652777778</v>
      </c>
      <c r="F4680" s="0" t="n">
        <v>0.42</v>
      </c>
      <c r="G4680" s="0" t="n">
        <v>12599</v>
      </c>
      <c r="H4680" s="0" t="s">
        <v>43</v>
      </c>
      <c r="I4680" s="7" t="n">
        <f aca="false">IF(AND(LEFT(A4680,1)&lt;&gt;"C",D4680&gt;0,F4680&gt;0),1,0)</f>
        <v>1</v>
      </c>
      <c r="J4680" s="7" t="n">
        <f aca="false">IF(I4680=1,D4680*F4680,0)</f>
        <v>10.08</v>
      </c>
      <c r="K4680" s="7" t="n">
        <f aca="false">YEAR(E4680)*100+MONTH(E4680)</f>
        <v>201111</v>
      </c>
      <c r="L4680" s="7" t="n">
        <f aca="false">IF(AND(A4680&lt;&gt;A4679,LEFT(A4680,1)&lt;&gt;"C"),1,0)</f>
        <v>0</v>
      </c>
    </row>
    <row r="4681" customFormat="false" ht="15" hidden="false" customHeight="false" outlineLevel="0" collapsed="false">
      <c r="A4681" s="0" t="s">
        <v>2866</v>
      </c>
      <c r="B4681" s="0" t="s">
        <v>991</v>
      </c>
      <c r="C4681" s="0" t="s">
        <v>992</v>
      </c>
      <c r="D4681" s="0" t="n">
        <v>24</v>
      </c>
      <c r="E4681" s="6" t="n">
        <v>40857.5652777778</v>
      </c>
      <c r="F4681" s="0" t="n">
        <v>0.42</v>
      </c>
      <c r="G4681" s="0" t="n">
        <v>12599</v>
      </c>
      <c r="H4681" s="0" t="s">
        <v>43</v>
      </c>
      <c r="I4681" s="7" t="n">
        <f aca="false">IF(AND(LEFT(A4681,1)&lt;&gt;"C",D4681&gt;0,F4681&gt;0),1,0)</f>
        <v>1</v>
      </c>
      <c r="J4681" s="7" t="n">
        <f aca="false">IF(I4681=1,D4681*F4681,0)</f>
        <v>10.08</v>
      </c>
      <c r="K4681" s="7" t="n">
        <f aca="false">YEAR(E4681)*100+MONTH(E4681)</f>
        <v>201111</v>
      </c>
      <c r="L4681" s="7" t="n">
        <f aca="false">IF(AND(A4681&lt;&gt;A4680,LEFT(A4681,1)&lt;&gt;"C"),1,0)</f>
        <v>0</v>
      </c>
    </row>
    <row r="4682" customFormat="false" ht="15" hidden="false" customHeight="false" outlineLevel="0" collapsed="false">
      <c r="A4682" s="0" t="s">
        <v>2866</v>
      </c>
      <c r="B4682" s="0" t="s">
        <v>1622</v>
      </c>
      <c r="C4682" s="0" t="s">
        <v>1623</v>
      </c>
      <c r="D4682" s="0" t="n">
        <v>24</v>
      </c>
      <c r="E4682" s="6" t="n">
        <v>40857.5652777778</v>
      </c>
      <c r="F4682" s="0" t="n">
        <v>0.42</v>
      </c>
      <c r="G4682" s="0" t="n">
        <v>12599</v>
      </c>
      <c r="H4682" s="0" t="s">
        <v>43</v>
      </c>
      <c r="I4682" s="7" t="n">
        <f aca="false">IF(AND(LEFT(A4682,1)&lt;&gt;"C",D4682&gt;0,F4682&gt;0),1,0)</f>
        <v>1</v>
      </c>
      <c r="J4682" s="7" t="n">
        <f aca="false">IF(I4682=1,D4682*F4682,0)</f>
        <v>10.08</v>
      </c>
      <c r="K4682" s="7" t="n">
        <f aca="false">YEAR(E4682)*100+MONTH(E4682)</f>
        <v>201111</v>
      </c>
      <c r="L4682" s="7" t="n">
        <f aca="false">IF(AND(A4682&lt;&gt;A4681,LEFT(A4682,1)&lt;&gt;"C"),1,0)</f>
        <v>0</v>
      </c>
    </row>
    <row r="4683" customFormat="false" ht="15" hidden="false" customHeight="false" outlineLevel="0" collapsed="false">
      <c r="A4683" s="0" t="s">
        <v>2866</v>
      </c>
      <c r="B4683" s="0" t="s">
        <v>164</v>
      </c>
      <c r="C4683" s="0" t="s">
        <v>165</v>
      </c>
      <c r="D4683" s="0" t="n">
        <v>8</v>
      </c>
      <c r="E4683" s="6" t="n">
        <v>40857.5652777778</v>
      </c>
      <c r="F4683" s="0" t="n">
        <v>1.25</v>
      </c>
      <c r="G4683" s="0" t="n">
        <v>12599</v>
      </c>
      <c r="H4683" s="0" t="s">
        <v>43</v>
      </c>
      <c r="I4683" s="7" t="n">
        <f aca="false">IF(AND(LEFT(A4683,1)&lt;&gt;"C",D4683&gt;0,F4683&gt;0),1,0)</f>
        <v>1</v>
      </c>
      <c r="J4683" s="7" t="n">
        <f aca="false">IF(I4683=1,D4683*F4683,0)</f>
        <v>10</v>
      </c>
      <c r="K4683" s="7" t="n">
        <f aca="false">YEAR(E4683)*100+MONTH(E4683)</f>
        <v>201111</v>
      </c>
      <c r="L4683" s="7" t="n">
        <f aca="false">IF(AND(A4683&lt;&gt;A4682,LEFT(A4683,1)&lt;&gt;"C"),1,0)</f>
        <v>0</v>
      </c>
    </row>
    <row r="4684" customFormat="false" ht="15" hidden="false" customHeight="false" outlineLevel="0" collapsed="false">
      <c r="A4684" s="0" t="s">
        <v>2866</v>
      </c>
      <c r="B4684" s="0" t="s">
        <v>84</v>
      </c>
      <c r="C4684" s="0" t="s">
        <v>85</v>
      </c>
      <c r="D4684" s="0" t="n">
        <v>1</v>
      </c>
      <c r="E4684" s="6" t="n">
        <v>40857.5652777778</v>
      </c>
      <c r="F4684" s="0" t="n">
        <v>18</v>
      </c>
      <c r="G4684" s="0" t="n">
        <v>12599</v>
      </c>
      <c r="H4684" s="0" t="s">
        <v>43</v>
      </c>
      <c r="I4684" s="7" t="n">
        <f aca="false">IF(AND(LEFT(A4684,1)&lt;&gt;"C",D4684&gt;0,F4684&gt;0),1,0)</f>
        <v>1</v>
      </c>
      <c r="J4684" s="7" t="n">
        <f aca="false">IF(I4684=1,D4684*F4684,0)</f>
        <v>18</v>
      </c>
      <c r="K4684" s="7" t="n">
        <f aca="false">YEAR(E4684)*100+MONTH(E4684)</f>
        <v>201111</v>
      </c>
      <c r="L4684" s="7" t="n">
        <f aca="false">IF(AND(A4684&lt;&gt;A4683,LEFT(A4684,1)&lt;&gt;"C"),1,0)</f>
        <v>0</v>
      </c>
    </row>
    <row r="4685" customFormat="false" ht="15" hidden="false" customHeight="false" outlineLevel="0" collapsed="false">
      <c r="A4685" s="0" t="s">
        <v>2869</v>
      </c>
      <c r="B4685" s="0" t="s">
        <v>2285</v>
      </c>
      <c r="C4685" s="0" t="s">
        <v>2286</v>
      </c>
      <c r="D4685" s="0" t="n">
        <v>1</v>
      </c>
      <c r="E4685" s="6" t="n">
        <v>40857.5722222222</v>
      </c>
      <c r="F4685" s="0" t="n">
        <v>40.46</v>
      </c>
      <c r="G4685" s="0" t="n">
        <v>12473</v>
      </c>
      <c r="H4685" s="0" t="s">
        <v>33</v>
      </c>
      <c r="I4685" s="7" t="n">
        <f aca="false">IF(AND(LEFT(A4685,1)&lt;&gt;"C",D4685&gt;0,F4685&gt;0),1,0)</f>
        <v>1</v>
      </c>
      <c r="J4685" s="7" t="n">
        <f aca="false">IF(I4685=1,D4685*F4685,0)</f>
        <v>40.46</v>
      </c>
      <c r="K4685" s="7" t="n">
        <f aca="false">YEAR(E4685)*100+MONTH(E4685)</f>
        <v>201111</v>
      </c>
      <c r="L4685" s="7" t="n">
        <f aca="false">IF(AND(A4685&lt;&gt;A4684,LEFT(A4685,1)&lt;&gt;"C"),1,0)</f>
        <v>1</v>
      </c>
    </row>
    <row r="4686" customFormat="false" ht="15" hidden="false" customHeight="false" outlineLevel="0" collapsed="false">
      <c r="A4686" s="0" t="s">
        <v>2869</v>
      </c>
      <c r="B4686" s="0" t="s">
        <v>2285</v>
      </c>
      <c r="C4686" s="0" t="s">
        <v>2286</v>
      </c>
      <c r="D4686" s="0" t="n">
        <v>1</v>
      </c>
      <c r="E4686" s="6" t="n">
        <v>40857.5722222222</v>
      </c>
      <c r="F4686" s="0" t="n">
        <v>424.06</v>
      </c>
      <c r="G4686" s="0" t="n">
        <v>12473</v>
      </c>
      <c r="H4686" s="0" t="s">
        <v>33</v>
      </c>
      <c r="I4686" s="7" t="n">
        <f aca="false">IF(AND(LEFT(A4686,1)&lt;&gt;"C",D4686&gt;0,F4686&gt;0),1,0)</f>
        <v>1</v>
      </c>
      <c r="J4686" s="7" t="n">
        <f aca="false">IF(I4686=1,D4686*F4686,0)</f>
        <v>424.06</v>
      </c>
      <c r="K4686" s="7" t="n">
        <f aca="false">YEAR(E4686)*100+MONTH(E4686)</f>
        <v>201111</v>
      </c>
      <c r="L4686" s="7" t="n">
        <f aca="false">IF(AND(A4686&lt;&gt;A4685,LEFT(A4686,1)&lt;&gt;"C"),1,0)</f>
        <v>0</v>
      </c>
    </row>
    <row r="4687" customFormat="false" ht="15" hidden="false" customHeight="false" outlineLevel="0" collapsed="false">
      <c r="A4687" s="0" t="s">
        <v>2869</v>
      </c>
      <c r="B4687" s="0" t="s">
        <v>2285</v>
      </c>
      <c r="C4687" s="0" t="s">
        <v>2286</v>
      </c>
      <c r="D4687" s="0" t="n">
        <v>1</v>
      </c>
      <c r="E4687" s="6" t="n">
        <v>40857.5722222222</v>
      </c>
      <c r="F4687" s="0" t="n">
        <v>549.34</v>
      </c>
      <c r="G4687" s="0" t="n">
        <v>12473</v>
      </c>
      <c r="H4687" s="0" t="s">
        <v>33</v>
      </c>
      <c r="I4687" s="7" t="n">
        <f aca="false">IF(AND(LEFT(A4687,1)&lt;&gt;"C",D4687&gt;0,F4687&gt;0),1,0)</f>
        <v>1</v>
      </c>
      <c r="J4687" s="7" t="n">
        <f aca="false">IF(I4687=1,D4687*F4687,0)</f>
        <v>549.34</v>
      </c>
      <c r="K4687" s="7" t="n">
        <f aca="false">YEAR(E4687)*100+MONTH(E4687)</f>
        <v>201111</v>
      </c>
      <c r="L4687" s="7" t="n">
        <f aca="false">IF(AND(A4687&lt;&gt;A4686,LEFT(A4687,1)&lt;&gt;"C"),1,0)</f>
        <v>0</v>
      </c>
    </row>
    <row r="4688" customFormat="false" ht="15" hidden="false" customHeight="false" outlineLevel="0" collapsed="false">
      <c r="A4688" s="0" t="s">
        <v>2870</v>
      </c>
      <c r="B4688" s="0" t="s">
        <v>2285</v>
      </c>
      <c r="C4688" s="0" t="s">
        <v>2286</v>
      </c>
      <c r="D4688" s="0" t="n">
        <v>-1</v>
      </c>
      <c r="E4688" s="6" t="n">
        <v>40857.5729166667</v>
      </c>
      <c r="F4688" s="0" t="n">
        <v>424.06</v>
      </c>
      <c r="G4688" s="0" t="n">
        <v>12473</v>
      </c>
      <c r="H4688" s="0" t="s">
        <v>33</v>
      </c>
      <c r="I4688" s="7" t="n">
        <f aca="false">IF(AND(LEFT(A4688,1)&lt;&gt;"C",D4688&gt;0,F4688&gt;0),1,0)</f>
        <v>0</v>
      </c>
      <c r="J4688" s="7" t="n">
        <f aca="false">IF(I4688=1,D4688*F4688,0)</f>
        <v>0</v>
      </c>
      <c r="K4688" s="7" t="n">
        <f aca="false">YEAR(E4688)*100+MONTH(E4688)</f>
        <v>201111</v>
      </c>
      <c r="L4688" s="7" t="n">
        <f aca="false">IF(AND(A4688&lt;&gt;A4687,LEFT(A4688,1)&lt;&gt;"C"),1,0)</f>
        <v>0</v>
      </c>
    </row>
    <row r="4689" customFormat="false" ht="15" hidden="false" customHeight="false" outlineLevel="0" collapsed="false">
      <c r="A4689" s="0" t="s">
        <v>2870</v>
      </c>
      <c r="B4689" s="0" t="s">
        <v>2285</v>
      </c>
      <c r="C4689" s="0" t="s">
        <v>2286</v>
      </c>
      <c r="D4689" s="0" t="n">
        <v>-1</v>
      </c>
      <c r="E4689" s="6" t="n">
        <v>40857.5729166667</v>
      </c>
      <c r="F4689" s="0" t="n">
        <v>549.34</v>
      </c>
      <c r="G4689" s="0" t="n">
        <v>12473</v>
      </c>
      <c r="H4689" s="0" t="s">
        <v>33</v>
      </c>
      <c r="I4689" s="7" t="n">
        <f aca="false">IF(AND(LEFT(A4689,1)&lt;&gt;"C",D4689&gt;0,F4689&gt;0),1,0)</f>
        <v>0</v>
      </c>
      <c r="J4689" s="7" t="n">
        <f aca="false">IF(I4689=1,D4689*F4689,0)</f>
        <v>0</v>
      </c>
      <c r="K4689" s="7" t="n">
        <f aca="false">YEAR(E4689)*100+MONTH(E4689)</f>
        <v>201111</v>
      </c>
      <c r="L4689" s="7" t="n">
        <f aca="false">IF(AND(A4689&lt;&gt;A4688,LEFT(A4689,1)&lt;&gt;"C"),1,0)</f>
        <v>0</v>
      </c>
    </row>
    <row r="4690" customFormat="false" ht="15" hidden="false" customHeight="false" outlineLevel="0" collapsed="false">
      <c r="A4690" s="0" t="s">
        <v>2871</v>
      </c>
      <c r="B4690" s="0" t="s">
        <v>2285</v>
      </c>
      <c r="C4690" s="0" t="s">
        <v>2286</v>
      </c>
      <c r="D4690" s="0" t="n">
        <v>1</v>
      </c>
      <c r="E4690" s="6" t="n">
        <v>40857.5736111111</v>
      </c>
      <c r="F4690" s="0" t="n">
        <v>40.46</v>
      </c>
      <c r="G4690" s="0" t="n">
        <v>12473</v>
      </c>
      <c r="H4690" s="0" t="s">
        <v>33</v>
      </c>
      <c r="I4690" s="7" t="n">
        <f aca="false">IF(AND(LEFT(A4690,1)&lt;&gt;"C",D4690&gt;0,F4690&gt;0),1,0)</f>
        <v>1</v>
      </c>
      <c r="J4690" s="7" t="n">
        <f aca="false">IF(I4690=1,D4690*F4690,0)</f>
        <v>40.46</v>
      </c>
      <c r="K4690" s="7" t="n">
        <f aca="false">YEAR(E4690)*100+MONTH(E4690)</f>
        <v>201111</v>
      </c>
      <c r="L4690" s="7" t="n">
        <f aca="false">IF(AND(A4690&lt;&gt;A4689,LEFT(A4690,1)&lt;&gt;"C"),1,0)</f>
        <v>1</v>
      </c>
    </row>
    <row r="4691" customFormat="false" ht="15" hidden="false" customHeight="false" outlineLevel="0" collapsed="false">
      <c r="A4691" s="0" t="s">
        <v>2872</v>
      </c>
      <c r="B4691" s="0" t="s">
        <v>2285</v>
      </c>
      <c r="C4691" s="0" t="s">
        <v>2286</v>
      </c>
      <c r="D4691" s="0" t="n">
        <v>-1</v>
      </c>
      <c r="E4691" s="6" t="n">
        <v>40857.575</v>
      </c>
      <c r="F4691" s="0" t="n">
        <v>40.46</v>
      </c>
      <c r="G4691" s="0" t="n">
        <v>12473</v>
      </c>
      <c r="H4691" s="0" t="s">
        <v>33</v>
      </c>
      <c r="I4691" s="7" t="n">
        <f aca="false">IF(AND(LEFT(A4691,1)&lt;&gt;"C",D4691&gt;0,F4691&gt;0),1,0)</f>
        <v>0</v>
      </c>
      <c r="J4691" s="7" t="n">
        <f aca="false">IF(I4691=1,D4691*F4691,0)</f>
        <v>0</v>
      </c>
      <c r="K4691" s="7" t="n">
        <f aca="false">YEAR(E4691)*100+MONTH(E4691)</f>
        <v>201111</v>
      </c>
      <c r="L4691" s="7" t="n">
        <f aca="false">IF(AND(A4691&lt;&gt;A4690,LEFT(A4691,1)&lt;&gt;"C"),1,0)</f>
        <v>0</v>
      </c>
    </row>
    <row r="4692" customFormat="false" ht="15" hidden="false" customHeight="false" outlineLevel="0" collapsed="false">
      <c r="A4692" s="0" t="s">
        <v>2873</v>
      </c>
      <c r="B4692" s="0" t="s">
        <v>1081</v>
      </c>
      <c r="C4692" s="0" t="s">
        <v>1082</v>
      </c>
      <c r="D4692" s="0" t="n">
        <v>20</v>
      </c>
      <c r="E4692" s="6" t="n">
        <v>40857.6104166667</v>
      </c>
      <c r="F4692" s="0" t="n">
        <v>1.25</v>
      </c>
      <c r="G4692" s="0" t="n">
        <v>12617</v>
      </c>
      <c r="H4692" s="0" t="s">
        <v>43</v>
      </c>
      <c r="I4692" s="7" t="n">
        <f aca="false">IF(AND(LEFT(A4692,1)&lt;&gt;"C",D4692&gt;0,F4692&gt;0),1,0)</f>
        <v>1</v>
      </c>
      <c r="J4692" s="7" t="n">
        <f aca="false">IF(I4692=1,D4692*F4692,0)</f>
        <v>25</v>
      </c>
      <c r="K4692" s="7" t="n">
        <f aca="false">YEAR(E4692)*100+MONTH(E4692)</f>
        <v>201111</v>
      </c>
      <c r="L4692" s="7" t="n">
        <f aca="false">IF(AND(A4692&lt;&gt;A4691,LEFT(A4692,1)&lt;&gt;"C"),1,0)</f>
        <v>1</v>
      </c>
    </row>
    <row r="4693" customFormat="false" ht="15" hidden="false" customHeight="false" outlineLevel="0" collapsed="false">
      <c r="A4693" s="0" t="s">
        <v>2873</v>
      </c>
      <c r="B4693" s="0" t="s">
        <v>567</v>
      </c>
      <c r="C4693" s="0" t="s">
        <v>568</v>
      </c>
      <c r="D4693" s="0" t="n">
        <v>1</v>
      </c>
      <c r="E4693" s="6" t="n">
        <v>40857.6104166667</v>
      </c>
      <c r="F4693" s="0" t="n">
        <v>1.65</v>
      </c>
      <c r="G4693" s="0" t="n">
        <v>12617</v>
      </c>
      <c r="H4693" s="0" t="s">
        <v>43</v>
      </c>
      <c r="I4693" s="7" t="n">
        <f aca="false">IF(AND(LEFT(A4693,1)&lt;&gt;"C",D4693&gt;0,F4693&gt;0),1,0)</f>
        <v>1</v>
      </c>
      <c r="J4693" s="7" t="n">
        <f aca="false">IF(I4693=1,D4693*F4693,0)</f>
        <v>1.65</v>
      </c>
      <c r="K4693" s="7" t="n">
        <f aca="false">YEAR(E4693)*100+MONTH(E4693)</f>
        <v>201111</v>
      </c>
      <c r="L4693" s="7" t="n">
        <f aca="false">IF(AND(A4693&lt;&gt;A4692,LEFT(A4693,1)&lt;&gt;"C"),1,0)</f>
        <v>0</v>
      </c>
    </row>
    <row r="4694" customFormat="false" ht="15" hidden="false" customHeight="false" outlineLevel="0" collapsed="false">
      <c r="A4694" s="0" t="s">
        <v>2873</v>
      </c>
      <c r="B4694" s="0" t="s">
        <v>2874</v>
      </c>
      <c r="C4694" s="0" t="s">
        <v>2875</v>
      </c>
      <c r="D4694" s="0" t="n">
        <v>1</v>
      </c>
      <c r="E4694" s="6" t="n">
        <v>40857.6104166667</v>
      </c>
      <c r="F4694" s="0" t="n">
        <v>9.95</v>
      </c>
      <c r="G4694" s="0" t="n">
        <v>12617</v>
      </c>
      <c r="H4694" s="0" t="s">
        <v>43</v>
      </c>
      <c r="I4694" s="7" t="n">
        <f aca="false">IF(AND(LEFT(A4694,1)&lt;&gt;"C",D4694&gt;0,F4694&gt;0),1,0)</f>
        <v>1</v>
      </c>
      <c r="J4694" s="7" t="n">
        <f aca="false">IF(I4694=1,D4694*F4694,0)</f>
        <v>9.95</v>
      </c>
      <c r="K4694" s="7" t="n">
        <f aca="false">YEAR(E4694)*100+MONTH(E4694)</f>
        <v>201111</v>
      </c>
      <c r="L4694" s="7" t="n">
        <f aca="false">IF(AND(A4694&lt;&gt;A4693,LEFT(A4694,1)&lt;&gt;"C"),1,0)</f>
        <v>0</v>
      </c>
    </row>
    <row r="4695" customFormat="false" ht="15" hidden="false" customHeight="false" outlineLevel="0" collapsed="false">
      <c r="A4695" s="0" t="s">
        <v>2873</v>
      </c>
      <c r="B4695" s="0" t="s">
        <v>2876</v>
      </c>
      <c r="C4695" s="0" t="s">
        <v>2877</v>
      </c>
      <c r="D4695" s="0" t="n">
        <v>6</v>
      </c>
      <c r="E4695" s="6" t="n">
        <v>40857.6104166667</v>
      </c>
      <c r="F4695" s="0" t="n">
        <v>3.75</v>
      </c>
      <c r="G4695" s="0" t="n">
        <v>12617</v>
      </c>
      <c r="H4695" s="0" t="s">
        <v>43</v>
      </c>
      <c r="I4695" s="7" t="n">
        <f aca="false">IF(AND(LEFT(A4695,1)&lt;&gt;"C",D4695&gt;0,F4695&gt;0),1,0)</f>
        <v>1</v>
      </c>
      <c r="J4695" s="7" t="n">
        <f aca="false">IF(I4695=1,D4695*F4695,0)</f>
        <v>22.5</v>
      </c>
      <c r="K4695" s="7" t="n">
        <f aca="false">YEAR(E4695)*100+MONTH(E4695)</f>
        <v>201111</v>
      </c>
      <c r="L4695" s="7" t="n">
        <f aca="false">IF(AND(A4695&lt;&gt;A4694,LEFT(A4695,1)&lt;&gt;"C"),1,0)</f>
        <v>0</v>
      </c>
    </row>
    <row r="4696" customFormat="false" ht="15" hidden="false" customHeight="false" outlineLevel="0" collapsed="false">
      <c r="A4696" s="0" t="s">
        <v>2873</v>
      </c>
      <c r="B4696" s="0" t="s">
        <v>1027</v>
      </c>
      <c r="C4696" s="0" t="s">
        <v>1028</v>
      </c>
      <c r="D4696" s="0" t="n">
        <v>5</v>
      </c>
      <c r="E4696" s="6" t="n">
        <v>40857.6104166667</v>
      </c>
      <c r="F4696" s="0" t="n">
        <v>1.25</v>
      </c>
      <c r="G4696" s="0" t="n">
        <v>12617</v>
      </c>
      <c r="H4696" s="0" t="s">
        <v>43</v>
      </c>
      <c r="I4696" s="7" t="n">
        <f aca="false">IF(AND(LEFT(A4696,1)&lt;&gt;"C",D4696&gt;0,F4696&gt;0),1,0)</f>
        <v>1</v>
      </c>
      <c r="J4696" s="7" t="n">
        <f aca="false">IF(I4696=1,D4696*F4696,0)</f>
        <v>6.25</v>
      </c>
      <c r="K4696" s="7" t="n">
        <f aca="false">YEAR(E4696)*100+MONTH(E4696)</f>
        <v>201111</v>
      </c>
      <c r="L4696" s="7" t="n">
        <f aca="false">IF(AND(A4696&lt;&gt;A4695,LEFT(A4696,1)&lt;&gt;"C"),1,0)</f>
        <v>0</v>
      </c>
    </row>
    <row r="4697" customFormat="false" ht="15" hidden="false" customHeight="false" outlineLevel="0" collapsed="false">
      <c r="A4697" s="0" t="s">
        <v>2873</v>
      </c>
      <c r="B4697" s="0" t="s">
        <v>1533</v>
      </c>
      <c r="C4697" s="0" t="s">
        <v>1534</v>
      </c>
      <c r="D4697" s="0" t="n">
        <v>5</v>
      </c>
      <c r="E4697" s="6" t="n">
        <v>40857.6104166667</v>
      </c>
      <c r="F4697" s="0" t="n">
        <v>1.25</v>
      </c>
      <c r="G4697" s="0" t="n">
        <v>12617</v>
      </c>
      <c r="H4697" s="0" t="s">
        <v>43</v>
      </c>
      <c r="I4697" s="7" t="n">
        <f aca="false">IF(AND(LEFT(A4697,1)&lt;&gt;"C",D4697&gt;0,F4697&gt;0),1,0)</f>
        <v>1</v>
      </c>
      <c r="J4697" s="7" t="n">
        <f aca="false">IF(I4697=1,D4697*F4697,0)</f>
        <v>6.25</v>
      </c>
      <c r="K4697" s="7" t="n">
        <f aca="false">YEAR(E4697)*100+MONTH(E4697)</f>
        <v>201111</v>
      </c>
      <c r="L4697" s="7" t="n">
        <f aca="false">IF(AND(A4697&lt;&gt;A4696,LEFT(A4697,1)&lt;&gt;"C"),1,0)</f>
        <v>0</v>
      </c>
    </row>
    <row r="4698" customFormat="false" ht="15" hidden="false" customHeight="false" outlineLevel="0" collapsed="false">
      <c r="A4698" s="0" t="s">
        <v>2873</v>
      </c>
      <c r="B4698" s="0" t="s">
        <v>1784</v>
      </c>
      <c r="C4698" s="0" t="s">
        <v>1785</v>
      </c>
      <c r="D4698" s="0" t="n">
        <v>1</v>
      </c>
      <c r="E4698" s="6" t="n">
        <v>40857.6104166667</v>
      </c>
      <c r="F4698" s="0" t="n">
        <v>1.25</v>
      </c>
      <c r="G4698" s="0" t="n">
        <v>12617</v>
      </c>
      <c r="H4698" s="0" t="s">
        <v>43</v>
      </c>
      <c r="I4698" s="7" t="n">
        <f aca="false">IF(AND(LEFT(A4698,1)&lt;&gt;"C",D4698&gt;0,F4698&gt;0),1,0)</f>
        <v>1</v>
      </c>
      <c r="J4698" s="7" t="n">
        <f aca="false">IF(I4698=1,D4698*F4698,0)</f>
        <v>1.25</v>
      </c>
      <c r="K4698" s="7" t="n">
        <f aca="false">YEAR(E4698)*100+MONTH(E4698)</f>
        <v>201111</v>
      </c>
      <c r="L4698" s="7" t="n">
        <f aca="false">IF(AND(A4698&lt;&gt;A4697,LEFT(A4698,1)&lt;&gt;"C"),1,0)</f>
        <v>0</v>
      </c>
    </row>
    <row r="4699" customFormat="false" ht="15" hidden="false" customHeight="false" outlineLevel="0" collapsed="false">
      <c r="A4699" s="0" t="s">
        <v>2873</v>
      </c>
      <c r="B4699" s="0" t="s">
        <v>1116</v>
      </c>
      <c r="C4699" s="0" t="s">
        <v>1117</v>
      </c>
      <c r="D4699" s="0" t="n">
        <v>3</v>
      </c>
      <c r="E4699" s="6" t="n">
        <v>40857.6104166667</v>
      </c>
      <c r="F4699" s="0" t="n">
        <v>0.42</v>
      </c>
      <c r="G4699" s="0" t="n">
        <v>12617</v>
      </c>
      <c r="H4699" s="0" t="s">
        <v>43</v>
      </c>
      <c r="I4699" s="7" t="n">
        <f aca="false">IF(AND(LEFT(A4699,1)&lt;&gt;"C",D4699&gt;0,F4699&gt;0),1,0)</f>
        <v>1</v>
      </c>
      <c r="J4699" s="7" t="n">
        <f aca="false">IF(I4699=1,D4699*F4699,0)</f>
        <v>1.26</v>
      </c>
      <c r="K4699" s="7" t="n">
        <f aca="false">YEAR(E4699)*100+MONTH(E4699)</f>
        <v>201111</v>
      </c>
      <c r="L4699" s="7" t="n">
        <f aca="false">IF(AND(A4699&lt;&gt;A4698,LEFT(A4699,1)&lt;&gt;"C"),1,0)</f>
        <v>0</v>
      </c>
    </row>
    <row r="4700" customFormat="false" ht="15" hidden="false" customHeight="false" outlineLevel="0" collapsed="false">
      <c r="A4700" s="0" t="s">
        <v>2873</v>
      </c>
      <c r="B4700" s="0" t="s">
        <v>2798</v>
      </c>
      <c r="C4700" s="0" t="s">
        <v>2799</v>
      </c>
      <c r="D4700" s="0" t="n">
        <v>10</v>
      </c>
      <c r="E4700" s="6" t="n">
        <v>40857.6104166667</v>
      </c>
      <c r="F4700" s="0" t="n">
        <v>1.65</v>
      </c>
      <c r="G4700" s="0" t="n">
        <v>12617</v>
      </c>
      <c r="H4700" s="0" t="s">
        <v>43</v>
      </c>
      <c r="I4700" s="7" t="n">
        <f aca="false">IF(AND(LEFT(A4700,1)&lt;&gt;"C",D4700&gt;0,F4700&gt;0),1,0)</f>
        <v>1</v>
      </c>
      <c r="J4700" s="7" t="n">
        <f aca="false">IF(I4700=1,D4700*F4700,0)</f>
        <v>16.5</v>
      </c>
      <c r="K4700" s="7" t="n">
        <f aca="false">YEAR(E4700)*100+MONTH(E4700)</f>
        <v>201111</v>
      </c>
      <c r="L4700" s="7" t="n">
        <f aca="false">IF(AND(A4700&lt;&gt;A4699,LEFT(A4700,1)&lt;&gt;"C"),1,0)</f>
        <v>0</v>
      </c>
    </row>
    <row r="4701" customFormat="false" ht="15" hidden="false" customHeight="false" outlineLevel="0" collapsed="false">
      <c r="A4701" s="0" t="s">
        <v>2873</v>
      </c>
      <c r="B4701" s="0" t="s">
        <v>977</v>
      </c>
      <c r="C4701" s="0" t="s">
        <v>978</v>
      </c>
      <c r="D4701" s="0" t="n">
        <v>10</v>
      </c>
      <c r="E4701" s="6" t="n">
        <v>40857.6104166667</v>
      </c>
      <c r="F4701" s="0" t="n">
        <v>1.65</v>
      </c>
      <c r="G4701" s="0" t="n">
        <v>12617</v>
      </c>
      <c r="H4701" s="0" t="s">
        <v>43</v>
      </c>
      <c r="I4701" s="7" t="n">
        <f aca="false">IF(AND(LEFT(A4701,1)&lt;&gt;"C",D4701&gt;0,F4701&gt;0),1,0)</f>
        <v>1</v>
      </c>
      <c r="J4701" s="7" t="n">
        <f aca="false">IF(I4701=1,D4701*F4701,0)</f>
        <v>16.5</v>
      </c>
      <c r="K4701" s="7" t="n">
        <f aca="false">YEAR(E4701)*100+MONTH(E4701)</f>
        <v>201111</v>
      </c>
      <c r="L4701" s="7" t="n">
        <f aca="false">IF(AND(A4701&lt;&gt;A4700,LEFT(A4701,1)&lt;&gt;"C"),1,0)</f>
        <v>0</v>
      </c>
    </row>
    <row r="4702" customFormat="false" ht="15" hidden="false" customHeight="false" outlineLevel="0" collapsed="false">
      <c r="A4702" s="0" t="s">
        <v>2873</v>
      </c>
      <c r="B4702" s="0" t="s">
        <v>2878</v>
      </c>
      <c r="C4702" s="0" t="s">
        <v>2879</v>
      </c>
      <c r="D4702" s="0" t="n">
        <v>5</v>
      </c>
      <c r="E4702" s="6" t="n">
        <v>40857.6104166667</v>
      </c>
      <c r="F4702" s="0" t="n">
        <v>1.65</v>
      </c>
      <c r="G4702" s="0" t="n">
        <v>12617</v>
      </c>
      <c r="H4702" s="0" t="s">
        <v>43</v>
      </c>
      <c r="I4702" s="7" t="n">
        <f aca="false">IF(AND(LEFT(A4702,1)&lt;&gt;"C",D4702&gt;0,F4702&gt;0),1,0)</f>
        <v>1</v>
      </c>
      <c r="J4702" s="7" t="n">
        <f aca="false">IF(I4702=1,D4702*F4702,0)</f>
        <v>8.25</v>
      </c>
      <c r="K4702" s="7" t="n">
        <f aca="false">YEAR(E4702)*100+MONTH(E4702)</f>
        <v>201111</v>
      </c>
      <c r="L4702" s="7" t="n">
        <f aca="false">IF(AND(A4702&lt;&gt;A4701,LEFT(A4702,1)&lt;&gt;"C"),1,0)</f>
        <v>0</v>
      </c>
    </row>
    <row r="4703" customFormat="false" ht="15" hidden="false" customHeight="false" outlineLevel="0" collapsed="false">
      <c r="A4703" s="0" t="s">
        <v>2873</v>
      </c>
      <c r="B4703" s="0" t="s">
        <v>2477</v>
      </c>
      <c r="C4703" s="0" t="s">
        <v>2478</v>
      </c>
      <c r="D4703" s="0" t="n">
        <v>5</v>
      </c>
      <c r="E4703" s="6" t="n">
        <v>40857.6104166667</v>
      </c>
      <c r="F4703" s="0" t="n">
        <v>2.1</v>
      </c>
      <c r="G4703" s="0" t="n">
        <v>12617</v>
      </c>
      <c r="H4703" s="0" t="s">
        <v>43</v>
      </c>
      <c r="I4703" s="7" t="n">
        <f aca="false">IF(AND(LEFT(A4703,1)&lt;&gt;"C",D4703&gt;0,F4703&gt;0),1,0)</f>
        <v>1</v>
      </c>
      <c r="J4703" s="7" t="n">
        <f aca="false">IF(I4703=1,D4703*F4703,0)</f>
        <v>10.5</v>
      </c>
      <c r="K4703" s="7" t="n">
        <f aca="false">YEAR(E4703)*100+MONTH(E4703)</f>
        <v>201111</v>
      </c>
      <c r="L4703" s="7" t="n">
        <f aca="false">IF(AND(A4703&lt;&gt;A4702,LEFT(A4703,1)&lt;&gt;"C"),1,0)</f>
        <v>0</v>
      </c>
    </row>
    <row r="4704" customFormat="false" ht="15" hidden="false" customHeight="false" outlineLevel="0" collapsed="false">
      <c r="A4704" s="0" t="s">
        <v>2873</v>
      </c>
      <c r="B4704" s="0" t="s">
        <v>1271</v>
      </c>
      <c r="C4704" s="0" t="s">
        <v>1272</v>
      </c>
      <c r="D4704" s="0" t="n">
        <v>1</v>
      </c>
      <c r="E4704" s="6" t="n">
        <v>40857.6104166667</v>
      </c>
      <c r="F4704" s="0" t="n">
        <v>9.95</v>
      </c>
      <c r="G4704" s="0" t="n">
        <v>12617</v>
      </c>
      <c r="H4704" s="0" t="s">
        <v>43</v>
      </c>
      <c r="I4704" s="7" t="n">
        <f aca="false">IF(AND(LEFT(A4704,1)&lt;&gt;"C",D4704&gt;0,F4704&gt;0),1,0)</f>
        <v>1</v>
      </c>
      <c r="J4704" s="7" t="n">
        <f aca="false">IF(I4704=1,D4704*F4704,0)</f>
        <v>9.95</v>
      </c>
      <c r="K4704" s="7" t="n">
        <f aca="false">YEAR(E4704)*100+MONTH(E4704)</f>
        <v>201111</v>
      </c>
      <c r="L4704" s="7" t="n">
        <f aca="false">IF(AND(A4704&lt;&gt;A4703,LEFT(A4704,1)&lt;&gt;"C"),1,0)</f>
        <v>0</v>
      </c>
    </row>
    <row r="4705" customFormat="false" ht="15" hidden="false" customHeight="false" outlineLevel="0" collapsed="false">
      <c r="A4705" s="0" t="s">
        <v>2873</v>
      </c>
      <c r="B4705" s="0" t="s">
        <v>713</v>
      </c>
      <c r="C4705" s="0" t="s">
        <v>714</v>
      </c>
      <c r="D4705" s="0" t="n">
        <v>3</v>
      </c>
      <c r="E4705" s="6" t="n">
        <v>40857.6104166667</v>
      </c>
      <c r="F4705" s="0" t="n">
        <v>1.25</v>
      </c>
      <c r="G4705" s="0" t="n">
        <v>12617</v>
      </c>
      <c r="H4705" s="0" t="s">
        <v>43</v>
      </c>
      <c r="I4705" s="7" t="n">
        <f aca="false">IF(AND(LEFT(A4705,1)&lt;&gt;"C",D4705&gt;0,F4705&gt;0),1,0)</f>
        <v>1</v>
      </c>
      <c r="J4705" s="7" t="n">
        <f aca="false">IF(I4705=1,D4705*F4705,0)</f>
        <v>3.75</v>
      </c>
      <c r="K4705" s="7" t="n">
        <f aca="false">YEAR(E4705)*100+MONTH(E4705)</f>
        <v>201111</v>
      </c>
      <c r="L4705" s="7" t="n">
        <f aca="false">IF(AND(A4705&lt;&gt;A4704,LEFT(A4705,1)&lt;&gt;"C"),1,0)</f>
        <v>0</v>
      </c>
    </row>
    <row r="4706" customFormat="false" ht="15" hidden="false" customHeight="false" outlineLevel="0" collapsed="false">
      <c r="A4706" s="0" t="s">
        <v>2873</v>
      </c>
      <c r="B4706" s="0" t="s">
        <v>1189</v>
      </c>
      <c r="C4706" s="0" t="s">
        <v>1190</v>
      </c>
      <c r="D4706" s="0" t="n">
        <v>10</v>
      </c>
      <c r="E4706" s="6" t="n">
        <v>40857.6104166667</v>
      </c>
      <c r="F4706" s="0" t="n">
        <v>2.89</v>
      </c>
      <c r="G4706" s="0" t="n">
        <v>12617</v>
      </c>
      <c r="H4706" s="0" t="s">
        <v>43</v>
      </c>
      <c r="I4706" s="7" t="n">
        <f aca="false">IF(AND(LEFT(A4706,1)&lt;&gt;"C",D4706&gt;0,F4706&gt;0),1,0)</f>
        <v>1</v>
      </c>
      <c r="J4706" s="7" t="n">
        <f aca="false">IF(I4706=1,D4706*F4706,0)</f>
        <v>28.9</v>
      </c>
      <c r="K4706" s="7" t="n">
        <f aca="false">YEAR(E4706)*100+MONTH(E4706)</f>
        <v>201111</v>
      </c>
      <c r="L4706" s="7" t="n">
        <f aca="false">IF(AND(A4706&lt;&gt;A4705,LEFT(A4706,1)&lt;&gt;"C"),1,0)</f>
        <v>0</v>
      </c>
    </row>
    <row r="4707" customFormat="false" ht="15" hidden="false" customHeight="false" outlineLevel="0" collapsed="false">
      <c r="A4707" s="0" t="s">
        <v>2873</v>
      </c>
      <c r="B4707" s="0" t="s">
        <v>943</v>
      </c>
      <c r="C4707" s="0" t="s">
        <v>944</v>
      </c>
      <c r="D4707" s="0" t="n">
        <v>10</v>
      </c>
      <c r="E4707" s="6" t="n">
        <v>40857.6104166667</v>
      </c>
      <c r="F4707" s="0" t="n">
        <v>1.95</v>
      </c>
      <c r="G4707" s="0" t="n">
        <v>12617</v>
      </c>
      <c r="H4707" s="0" t="s">
        <v>43</v>
      </c>
      <c r="I4707" s="7" t="n">
        <f aca="false">IF(AND(LEFT(A4707,1)&lt;&gt;"C",D4707&gt;0,F4707&gt;0),1,0)</f>
        <v>1</v>
      </c>
      <c r="J4707" s="7" t="n">
        <f aca="false">IF(I4707=1,D4707*F4707,0)</f>
        <v>19.5</v>
      </c>
      <c r="K4707" s="7" t="n">
        <f aca="false">YEAR(E4707)*100+MONTH(E4707)</f>
        <v>201111</v>
      </c>
      <c r="L4707" s="7" t="n">
        <f aca="false">IF(AND(A4707&lt;&gt;A4706,LEFT(A4707,1)&lt;&gt;"C"),1,0)</f>
        <v>0</v>
      </c>
    </row>
    <row r="4708" customFormat="false" ht="15" hidden="false" customHeight="false" outlineLevel="0" collapsed="false">
      <c r="A4708" s="0" t="s">
        <v>2873</v>
      </c>
      <c r="B4708" s="0" t="s">
        <v>2880</v>
      </c>
      <c r="C4708" s="0" t="s">
        <v>2881</v>
      </c>
      <c r="D4708" s="0" t="n">
        <v>1</v>
      </c>
      <c r="E4708" s="6" t="n">
        <v>40857.6104166667</v>
      </c>
      <c r="F4708" s="0" t="n">
        <v>2.55</v>
      </c>
      <c r="G4708" s="0" t="n">
        <v>12617</v>
      </c>
      <c r="H4708" s="0" t="s">
        <v>43</v>
      </c>
      <c r="I4708" s="7" t="n">
        <f aca="false">IF(AND(LEFT(A4708,1)&lt;&gt;"C",D4708&gt;0,F4708&gt;0),1,0)</f>
        <v>1</v>
      </c>
      <c r="J4708" s="7" t="n">
        <f aca="false">IF(I4708=1,D4708*F4708,0)</f>
        <v>2.55</v>
      </c>
      <c r="K4708" s="7" t="n">
        <f aca="false">YEAR(E4708)*100+MONTH(E4708)</f>
        <v>201111</v>
      </c>
      <c r="L4708" s="7" t="n">
        <f aca="false">IF(AND(A4708&lt;&gt;A4707,LEFT(A4708,1)&lt;&gt;"C"),1,0)</f>
        <v>0</v>
      </c>
    </row>
    <row r="4709" customFormat="false" ht="15" hidden="false" customHeight="false" outlineLevel="0" collapsed="false">
      <c r="A4709" s="0" t="s">
        <v>2873</v>
      </c>
      <c r="B4709" s="0" t="s">
        <v>1568</v>
      </c>
      <c r="C4709" s="0" t="s">
        <v>1569</v>
      </c>
      <c r="D4709" s="0" t="n">
        <v>1</v>
      </c>
      <c r="E4709" s="6" t="n">
        <v>40857.6104166667</v>
      </c>
      <c r="F4709" s="0" t="n">
        <v>1.25</v>
      </c>
      <c r="G4709" s="0" t="n">
        <v>12617</v>
      </c>
      <c r="H4709" s="0" t="s">
        <v>43</v>
      </c>
      <c r="I4709" s="7" t="n">
        <f aca="false">IF(AND(LEFT(A4709,1)&lt;&gt;"C",D4709&gt;0,F4709&gt;0),1,0)</f>
        <v>1</v>
      </c>
      <c r="J4709" s="7" t="n">
        <f aca="false">IF(I4709=1,D4709*F4709,0)</f>
        <v>1.25</v>
      </c>
      <c r="K4709" s="7" t="n">
        <f aca="false">YEAR(E4709)*100+MONTH(E4709)</f>
        <v>201111</v>
      </c>
      <c r="L4709" s="7" t="n">
        <f aca="false">IF(AND(A4709&lt;&gt;A4708,LEFT(A4709,1)&lt;&gt;"C"),1,0)</f>
        <v>0</v>
      </c>
    </row>
    <row r="4710" customFormat="false" ht="15" hidden="false" customHeight="false" outlineLevel="0" collapsed="false">
      <c r="A4710" s="0" t="s">
        <v>2873</v>
      </c>
      <c r="B4710" s="0" t="s">
        <v>867</v>
      </c>
      <c r="C4710" s="0" t="s">
        <v>868</v>
      </c>
      <c r="D4710" s="0" t="n">
        <v>4</v>
      </c>
      <c r="E4710" s="6" t="n">
        <v>40857.6104166667</v>
      </c>
      <c r="F4710" s="0" t="n">
        <v>2.95</v>
      </c>
      <c r="G4710" s="0" t="n">
        <v>12617</v>
      </c>
      <c r="H4710" s="0" t="s">
        <v>43</v>
      </c>
      <c r="I4710" s="7" t="n">
        <f aca="false">IF(AND(LEFT(A4710,1)&lt;&gt;"C",D4710&gt;0,F4710&gt;0),1,0)</f>
        <v>1</v>
      </c>
      <c r="J4710" s="7" t="n">
        <f aca="false">IF(I4710=1,D4710*F4710,0)</f>
        <v>11.8</v>
      </c>
      <c r="K4710" s="7" t="n">
        <f aca="false">YEAR(E4710)*100+MONTH(E4710)</f>
        <v>201111</v>
      </c>
      <c r="L4710" s="7" t="n">
        <f aca="false">IF(AND(A4710&lt;&gt;A4709,LEFT(A4710,1)&lt;&gt;"C"),1,0)</f>
        <v>0</v>
      </c>
    </row>
    <row r="4711" customFormat="false" ht="15" hidden="false" customHeight="false" outlineLevel="0" collapsed="false">
      <c r="A4711" s="0" t="s">
        <v>2873</v>
      </c>
      <c r="B4711" s="0" t="s">
        <v>968</v>
      </c>
      <c r="C4711" s="0" t="s">
        <v>969</v>
      </c>
      <c r="D4711" s="0" t="n">
        <v>4</v>
      </c>
      <c r="E4711" s="6" t="n">
        <v>40857.6104166667</v>
      </c>
      <c r="F4711" s="0" t="n">
        <v>1.65</v>
      </c>
      <c r="G4711" s="0" t="n">
        <v>12617</v>
      </c>
      <c r="H4711" s="0" t="s">
        <v>43</v>
      </c>
      <c r="I4711" s="7" t="n">
        <f aca="false">IF(AND(LEFT(A4711,1)&lt;&gt;"C",D4711&gt;0,F4711&gt;0),1,0)</f>
        <v>1</v>
      </c>
      <c r="J4711" s="7" t="n">
        <f aca="false">IF(I4711=1,D4711*F4711,0)</f>
        <v>6.6</v>
      </c>
      <c r="K4711" s="7" t="n">
        <f aca="false">YEAR(E4711)*100+MONTH(E4711)</f>
        <v>201111</v>
      </c>
      <c r="L4711" s="7" t="n">
        <f aca="false">IF(AND(A4711&lt;&gt;A4710,LEFT(A4711,1)&lt;&gt;"C"),1,0)</f>
        <v>0</v>
      </c>
    </row>
    <row r="4712" customFormat="false" ht="15" hidden="false" customHeight="false" outlineLevel="0" collapsed="false">
      <c r="A4712" s="0" t="s">
        <v>2873</v>
      </c>
      <c r="B4712" s="0" t="s">
        <v>2216</v>
      </c>
      <c r="C4712" s="0" t="s">
        <v>2217</v>
      </c>
      <c r="D4712" s="0" t="n">
        <v>5</v>
      </c>
      <c r="E4712" s="6" t="n">
        <v>40857.6104166667</v>
      </c>
      <c r="F4712" s="0" t="n">
        <v>2.08</v>
      </c>
      <c r="G4712" s="0" t="n">
        <v>12617</v>
      </c>
      <c r="H4712" s="0" t="s">
        <v>43</v>
      </c>
      <c r="I4712" s="7" t="n">
        <f aca="false">IF(AND(LEFT(A4712,1)&lt;&gt;"C",D4712&gt;0,F4712&gt;0),1,0)</f>
        <v>1</v>
      </c>
      <c r="J4712" s="7" t="n">
        <f aca="false">IF(I4712=1,D4712*F4712,0)</f>
        <v>10.4</v>
      </c>
      <c r="K4712" s="7" t="n">
        <f aca="false">YEAR(E4712)*100+MONTH(E4712)</f>
        <v>201111</v>
      </c>
      <c r="L4712" s="7" t="n">
        <f aca="false">IF(AND(A4712&lt;&gt;A4711,LEFT(A4712,1)&lt;&gt;"C"),1,0)</f>
        <v>0</v>
      </c>
    </row>
    <row r="4713" customFormat="false" ht="15" hidden="false" customHeight="false" outlineLevel="0" collapsed="false">
      <c r="A4713" s="0" t="s">
        <v>2873</v>
      </c>
      <c r="B4713" s="0" t="s">
        <v>1586</v>
      </c>
      <c r="C4713" s="0" t="s">
        <v>1587</v>
      </c>
      <c r="D4713" s="0" t="n">
        <v>5</v>
      </c>
      <c r="E4713" s="6" t="n">
        <v>40857.6104166667</v>
      </c>
      <c r="F4713" s="0" t="n">
        <v>2.08</v>
      </c>
      <c r="G4713" s="0" t="n">
        <v>12617</v>
      </c>
      <c r="H4713" s="0" t="s">
        <v>43</v>
      </c>
      <c r="I4713" s="7" t="n">
        <f aca="false">IF(AND(LEFT(A4713,1)&lt;&gt;"C",D4713&gt;0,F4713&gt;0),1,0)</f>
        <v>1</v>
      </c>
      <c r="J4713" s="7" t="n">
        <f aca="false">IF(I4713=1,D4713*F4713,0)</f>
        <v>10.4</v>
      </c>
      <c r="K4713" s="7" t="n">
        <f aca="false">YEAR(E4713)*100+MONTH(E4713)</f>
        <v>201111</v>
      </c>
      <c r="L4713" s="7" t="n">
        <f aca="false">IF(AND(A4713&lt;&gt;A4712,LEFT(A4713,1)&lt;&gt;"C"),1,0)</f>
        <v>0</v>
      </c>
    </row>
    <row r="4714" customFormat="false" ht="15" hidden="false" customHeight="false" outlineLevel="0" collapsed="false">
      <c r="A4714" s="0" t="s">
        <v>2873</v>
      </c>
      <c r="B4714" s="0" t="s">
        <v>2473</v>
      </c>
      <c r="C4714" s="0" t="s">
        <v>2474</v>
      </c>
      <c r="D4714" s="0" t="n">
        <v>10</v>
      </c>
      <c r="E4714" s="6" t="n">
        <v>40857.6104166667</v>
      </c>
      <c r="F4714" s="0" t="n">
        <v>2.08</v>
      </c>
      <c r="G4714" s="0" t="n">
        <v>12617</v>
      </c>
      <c r="H4714" s="0" t="s">
        <v>43</v>
      </c>
      <c r="I4714" s="7" t="n">
        <f aca="false">IF(AND(LEFT(A4714,1)&lt;&gt;"C",D4714&gt;0,F4714&gt;0),1,0)</f>
        <v>1</v>
      </c>
      <c r="J4714" s="7" t="n">
        <f aca="false">IF(I4714=1,D4714*F4714,0)</f>
        <v>20.8</v>
      </c>
      <c r="K4714" s="7" t="n">
        <f aca="false">YEAR(E4714)*100+MONTH(E4714)</f>
        <v>201111</v>
      </c>
      <c r="L4714" s="7" t="n">
        <f aca="false">IF(AND(A4714&lt;&gt;A4713,LEFT(A4714,1)&lt;&gt;"C"),1,0)</f>
        <v>0</v>
      </c>
    </row>
    <row r="4715" customFormat="false" ht="15" hidden="false" customHeight="false" outlineLevel="0" collapsed="false">
      <c r="A4715" s="0" t="s">
        <v>2873</v>
      </c>
      <c r="B4715" s="0" t="s">
        <v>2226</v>
      </c>
      <c r="C4715" s="0" t="s">
        <v>2227</v>
      </c>
      <c r="D4715" s="0" t="n">
        <v>10</v>
      </c>
      <c r="E4715" s="6" t="n">
        <v>40857.6104166667</v>
      </c>
      <c r="F4715" s="0" t="n">
        <v>2.08</v>
      </c>
      <c r="G4715" s="0" t="n">
        <v>12617</v>
      </c>
      <c r="H4715" s="0" t="s">
        <v>43</v>
      </c>
      <c r="I4715" s="7" t="n">
        <f aca="false">IF(AND(LEFT(A4715,1)&lt;&gt;"C",D4715&gt;0,F4715&gt;0),1,0)</f>
        <v>1</v>
      </c>
      <c r="J4715" s="7" t="n">
        <f aca="false">IF(I4715=1,D4715*F4715,0)</f>
        <v>20.8</v>
      </c>
      <c r="K4715" s="7" t="n">
        <f aca="false">YEAR(E4715)*100+MONTH(E4715)</f>
        <v>201111</v>
      </c>
      <c r="L4715" s="7" t="n">
        <f aca="false">IF(AND(A4715&lt;&gt;A4714,LEFT(A4715,1)&lt;&gt;"C"),1,0)</f>
        <v>0</v>
      </c>
    </row>
    <row r="4716" customFormat="false" ht="15" hidden="false" customHeight="false" outlineLevel="0" collapsed="false">
      <c r="A4716" s="0" t="s">
        <v>2873</v>
      </c>
      <c r="B4716" s="0" t="s">
        <v>1590</v>
      </c>
      <c r="C4716" s="0" t="s">
        <v>1591</v>
      </c>
      <c r="D4716" s="0" t="n">
        <v>10</v>
      </c>
      <c r="E4716" s="6" t="n">
        <v>40857.6104166667</v>
      </c>
      <c r="F4716" s="0" t="n">
        <v>2.08</v>
      </c>
      <c r="G4716" s="0" t="n">
        <v>12617</v>
      </c>
      <c r="H4716" s="0" t="s">
        <v>43</v>
      </c>
      <c r="I4716" s="7" t="n">
        <f aca="false">IF(AND(LEFT(A4716,1)&lt;&gt;"C",D4716&gt;0,F4716&gt;0),1,0)</f>
        <v>1</v>
      </c>
      <c r="J4716" s="7" t="n">
        <f aca="false">IF(I4716=1,D4716*F4716,0)</f>
        <v>20.8</v>
      </c>
      <c r="K4716" s="7" t="n">
        <f aca="false">YEAR(E4716)*100+MONTH(E4716)</f>
        <v>201111</v>
      </c>
      <c r="L4716" s="7" t="n">
        <f aca="false">IF(AND(A4716&lt;&gt;A4715,LEFT(A4716,1)&lt;&gt;"C"),1,0)</f>
        <v>0</v>
      </c>
    </row>
    <row r="4717" customFormat="false" ht="15" hidden="false" customHeight="false" outlineLevel="0" collapsed="false">
      <c r="A4717" s="0" t="s">
        <v>2873</v>
      </c>
      <c r="B4717" s="0" t="s">
        <v>608</v>
      </c>
      <c r="C4717" s="0" t="s">
        <v>609</v>
      </c>
      <c r="D4717" s="0" t="n">
        <v>2</v>
      </c>
      <c r="E4717" s="6" t="n">
        <v>40857.6104166667</v>
      </c>
      <c r="F4717" s="0" t="n">
        <v>1.25</v>
      </c>
      <c r="G4717" s="0" t="n">
        <v>12617</v>
      </c>
      <c r="H4717" s="0" t="s">
        <v>43</v>
      </c>
      <c r="I4717" s="7" t="n">
        <f aca="false">IF(AND(LEFT(A4717,1)&lt;&gt;"C",D4717&gt;0,F4717&gt;0),1,0)</f>
        <v>1</v>
      </c>
      <c r="J4717" s="7" t="n">
        <f aca="false">IF(I4717=1,D4717*F4717,0)</f>
        <v>2.5</v>
      </c>
      <c r="K4717" s="7" t="n">
        <f aca="false">YEAR(E4717)*100+MONTH(E4717)</f>
        <v>201111</v>
      </c>
      <c r="L4717" s="7" t="n">
        <f aca="false">IF(AND(A4717&lt;&gt;A4716,LEFT(A4717,1)&lt;&gt;"C"),1,0)</f>
        <v>0</v>
      </c>
    </row>
    <row r="4718" customFormat="false" ht="15" hidden="false" customHeight="false" outlineLevel="0" collapsed="false">
      <c r="A4718" s="0" t="s">
        <v>2873</v>
      </c>
      <c r="B4718" s="0" t="s">
        <v>869</v>
      </c>
      <c r="C4718" s="0" t="s">
        <v>870</v>
      </c>
      <c r="D4718" s="0" t="n">
        <v>3</v>
      </c>
      <c r="E4718" s="6" t="n">
        <v>40857.6104166667</v>
      </c>
      <c r="F4718" s="0" t="n">
        <v>1.65</v>
      </c>
      <c r="G4718" s="0" t="n">
        <v>12617</v>
      </c>
      <c r="H4718" s="0" t="s">
        <v>43</v>
      </c>
      <c r="I4718" s="7" t="n">
        <f aca="false">IF(AND(LEFT(A4718,1)&lt;&gt;"C",D4718&gt;0,F4718&gt;0),1,0)</f>
        <v>1</v>
      </c>
      <c r="J4718" s="7" t="n">
        <f aca="false">IF(I4718=1,D4718*F4718,0)</f>
        <v>4.95</v>
      </c>
      <c r="K4718" s="7" t="n">
        <f aca="false">YEAR(E4718)*100+MONTH(E4718)</f>
        <v>201111</v>
      </c>
      <c r="L4718" s="7" t="n">
        <f aca="false">IF(AND(A4718&lt;&gt;A4717,LEFT(A4718,1)&lt;&gt;"C"),1,0)</f>
        <v>0</v>
      </c>
    </row>
    <row r="4719" customFormat="false" ht="15" hidden="false" customHeight="false" outlineLevel="0" collapsed="false">
      <c r="A4719" s="0" t="s">
        <v>2873</v>
      </c>
      <c r="B4719" s="0" t="s">
        <v>2882</v>
      </c>
      <c r="C4719" s="0" t="s">
        <v>2883</v>
      </c>
      <c r="D4719" s="0" t="n">
        <v>2</v>
      </c>
      <c r="E4719" s="6" t="n">
        <v>40857.6104166667</v>
      </c>
      <c r="F4719" s="0" t="n">
        <v>1.65</v>
      </c>
      <c r="G4719" s="0" t="n">
        <v>12617</v>
      </c>
      <c r="H4719" s="0" t="s">
        <v>43</v>
      </c>
      <c r="I4719" s="7" t="n">
        <f aca="false">IF(AND(LEFT(A4719,1)&lt;&gt;"C",D4719&gt;0,F4719&gt;0),1,0)</f>
        <v>1</v>
      </c>
      <c r="J4719" s="7" t="n">
        <f aca="false">IF(I4719=1,D4719*F4719,0)</f>
        <v>3.3</v>
      </c>
      <c r="K4719" s="7" t="n">
        <f aca="false">YEAR(E4719)*100+MONTH(E4719)</f>
        <v>201111</v>
      </c>
      <c r="L4719" s="7" t="n">
        <f aca="false">IF(AND(A4719&lt;&gt;A4718,LEFT(A4719,1)&lt;&gt;"C"),1,0)</f>
        <v>0</v>
      </c>
    </row>
    <row r="4720" customFormat="false" ht="15" hidden="false" customHeight="false" outlineLevel="0" collapsed="false">
      <c r="A4720" s="0" t="s">
        <v>2873</v>
      </c>
      <c r="B4720" s="0" t="s">
        <v>2884</v>
      </c>
      <c r="C4720" s="0" t="s">
        <v>2885</v>
      </c>
      <c r="D4720" s="0" t="n">
        <v>4</v>
      </c>
      <c r="E4720" s="6" t="n">
        <v>40857.6104166667</v>
      </c>
      <c r="F4720" s="0" t="n">
        <v>1.65</v>
      </c>
      <c r="G4720" s="0" t="n">
        <v>12617</v>
      </c>
      <c r="H4720" s="0" t="s">
        <v>43</v>
      </c>
      <c r="I4720" s="7" t="n">
        <f aca="false">IF(AND(LEFT(A4720,1)&lt;&gt;"C",D4720&gt;0,F4720&gt;0),1,0)</f>
        <v>1</v>
      </c>
      <c r="J4720" s="7" t="n">
        <f aca="false">IF(I4720=1,D4720*F4720,0)</f>
        <v>6.6</v>
      </c>
      <c r="K4720" s="7" t="n">
        <f aca="false">YEAR(E4720)*100+MONTH(E4720)</f>
        <v>201111</v>
      </c>
      <c r="L4720" s="7" t="n">
        <f aca="false">IF(AND(A4720&lt;&gt;A4719,LEFT(A4720,1)&lt;&gt;"C"),1,0)</f>
        <v>0</v>
      </c>
    </row>
    <row r="4721" customFormat="false" ht="15" hidden="false" customHeight="false" outlineLevel="0" collapsed="false">
      <c r="A4721" s="0" t="s">
        <v>2873</v>
      </c>
      <c r="B4721" s="0" t="s">
        <v>2735</v>
      </c>
      <c r="C4721" s="0" t="s">
        <v>2736</v>
      </c>
      <c r="D4721" s="0" t="n">
        <v>6</v>
      </c>
      <c r="E4721" s="6" t="n">
        <v>40857.6104166667</v>
      </c>
      <c r="F4721" s="0" t="n">
        <v>1.65</v>
      </c>
      <c r="G4721" s="0" t="n">
        <v>12617</v>
      </c>
      <c r="H4721" s="0" t="s">
        <v>43</v>
      </c>
      <c r="I4721" s="7" t="n">
        <f aca="false">IF(AND(LEFT(A4721,1)&lt;&gt;"C",D4721&gt;0,F4721&gt;0),1,0)</f>
        <v>1</v>
      </c>
      <c r="J4721" s="7" t="n">
        <f aca="false">IF(I4721=1,D4721*F4721,0)</f>
        <v>9.9</v>
      </c>
      <c r="K4721" s="7" t="n">
        <f aca="false">YEAR(E4721)*100+MONTH(E4721)</f>
        <v>201111</v>
      </c>
      <c r="L4721" s="7" t="n">
        <f aca="false">IF(AND(A4721&lt;&gt;A4720,LEFT(A4721,1)&lt;&gt;"C"),1,0)</f>
        <v>0</v>
      </c>
    </row>
    <row r="4722" customFormat="false" ht="15" hidden="false" customHeight="false" outlineLevel="0" collapsed="false">
      <c r="A4722" s="0" t="s">
        <v>2873</v>
      </c>
      <c r="B4722" s="0" t="s">
        <v>2002</v>
      </c>
      <c r="C4722" s="0" t="s">
        <v>2003</v>
      </c>
      <c r="D4722" s="0" t="n">
        <v>6</v>
      </c>
      <c r="E4722" s="6" t="n">
        <v>40857.6104166667</v>
      </c>
      <c r="F4722" s="0" t="n">
        <v>0.29</v>
      </c>
      <c r="G4722" s="0" t="n">
        <v>12617</v>
      </c>
      <c r="H4722" s="0" t="s">
        <v>43</v>
      </c>
      <c r="I4722" s="7" t="n">
        <f aca="false">IF(AND(LEFT(A4722,1)&lt;&gt;"C",D4722&gt;0,F4722&gt;0),1,0)</f>
        <v>1</v>
      </c>
      <c r="J4722" s="7" t="n">
        <f aca="false">IF(I4722=1,D4722*F4722,0)</f>
        <v>1.74</v>
      </c>
      <c r="K4722" s="7" t="n">
        <f aca="false">YEAR(E4722)*100+MONTH(E4722)</f>
        <v>201111</v>
      </c>
      <c r="L4722" s="7" t="n">
        <f aca="false">IF(AND(A4722&lt;&gt;A4721,LEFT(A4722,1)&lt;&gt;"C"),1,0)</f>
        <v>0</v>
      </c>
    </row>
    <row r="4723" customFormat="false" ht="15" hidden="false" customHeight="false" outlineLevel="0" collapsed="false">
      <c r="A4723" s="0" t="s">
        <v>2873</v>
      </c>
      <c r="B4723" s="0" t="s">
        <v>2886</v>
      </c>
      <c r="C4723" s="0" t="s">
        <v>2887</v>
      </c>
      <c r="D4723" s="0" t="n">
        <v>6</v>
      </c>
      <c r="E4723" s="6" t="n">
        <v>40857.6104166667</v>
      </c>
      <c r="F4723" s="0" t="n">
        <v>0.29</v>
      </c>
      <c r="G4723" s="0" t="n">
        <v>12617</v>
      </c>
      <c r="H4723" s="0" t="s">
        <v>43</v>
      </c>
      <c r="I4723" s="7" t="n">
        <f aca="false">IF(AND(LEFT(A4723,1)&lt;&gt;"C",D4723&gt;0,F4723&gt;0),1,0)</f>
        <v>1</v>
      </c>
      <c r="J4723" s="7" t="n">
        <f aca="false">IF(I4723=1,D4723*F4723,0)</f>
        <v>1.74</v>
      </c>
      <c r="K4723" s="7" t="n">
        <f aca="false">YEAR(E4723)*100+MONTH(E4723)</f>
        <v>201111</v>
      </c>
      <c r="L4723" s="7" t="n">
        <f aca="false">IF(AND(A4723&lt;&gt;A4722,LEFT(A4723,1)&lt;&gt;"C"),1,0)</f>
        <v>0</v>
      </c>
    </row>
    <row r="4724" customFormat="false" ht="15" hidden="false" customHeight="false" outlineLevel="0" collapsed="false">
      <c r="A4724" s="0" t="s">
        <v>2873</v>
      </c>
      <c r="B4724" s="0" t="s">
        <v>2888</v>
      </c>
      <c r="C4724" s="0" t="s">
        <v>2889</v>
      </c>
      <c r="D4724" s="0" t="n">
        <v>1</v>
      </c>
      <c r="E4724" s="6" t="n">
        <v>40857.6104166667</v>
      </c>
      <c r="F4724" s="0" t="n">
        <v>1.25</v>
      </c>
      <c r="G4724" s="0" t="n">
        <v>12617</v>
      </c>
      <c r="H4724" s="0" t="s">
        <v>43</v>
      </c>
      <c r="I4724" s="7" t="n">
        <f aca="false">IF(AND(LEFT(A4724,1)&lt;&gt;"C",D4724&gt;0,F4724&gt;0),1,0)</f>
        <v>1</v>
      </c>
      <c r="J4724" s="7" t="n">
        <f aca="false">IF(I4724=1,D4724*F4724,0)</f>
        <v>1.25</v>
      </c>
      <c r="K4724" s="7" t="n">
        <f aca="false">YEAR(E4724)*100+MONTH(E4724)</f>
        <v>201111</v>
      </c>
      <c r="L4724" s="7" t="n">
        <f aca="false">IF(AND(A4724&lt;&gt;A4723,LEFT(A4724,1)&lt;&gt;"C"),1,0)</f>
        <v>0</v>
      </c>
    </row>
    <row r="4725" customFormat="false" ht="15" hidden="false" customHeight="false" outlineLevel="0" collapsed="false">
      <c r="A4725" s="0" t="s">
        <v>2873</v>
      </c>
      <c r="B4725" s="0" t="s">
        <v>2357</v>
      </c>
      <c r="C4725" s="0" t="s">
        <v>2358</v>
      </c>
      <c r="D4725" s="0" t="n">
        <v>1</v>
      </c>
      <c r="E4725" s="6" t="n">
        <v>40857.6104166667</v>
      </c>
      <c r="F4725" s="0" t="n">
        <v>0.85</v>
      </c>
      <c r="G4725" s="0" t="n">
        <v>12617</v>
      </c>
      <c r="H4725" s="0" t="s">
        <v>43</v>
      </c>
      <c r="I4725" s="7" t="n">
        <f aca="false">IF(AND(LEFT(A4725,1)&lt;&gt;"C",D4725&gt;0,F4725&gt;0),1,0)</f>
        <v>1</v>
      </c>
      <c r="J4725" s="7" t="n">
        <f aca="false">IF(I4725=1,D4725*F4725,0)</f>
        <v>0.85</v>
      </c>
      <c r="K4725" s="7" t="n">
        <f aca="false">YEAR(E4725)*100+MONTH(E4725)</f>
        <v>201111</v>
      </c>
      <c r="L4725" s="7" t="n">
        <f aca="false">IF(AND(A4725&lt;&gt;A4724,LEFT(A4725,1)&lt;&gt;"C"),1,0)</f>
        <v>0</v>
      </c>
    </row>
    <row r="4726" customFormat="false" ht="15" hidden="false" customHeight="false" outlineLevel="0" collapsed="false">
      <c r="A4726" s="0" t="s">
        <v>2873</v>
      </c>
      <c r="B4726" s="0" t="s">
        <v>705</v>
      </c>
      <c r="C4726" s="0" t="s">
        <v>706</v>
      </c>
      <c r="D4726" s="0" t="n">
        <v>3</v>
      </c>
      <c r="E4726" s="6" t="n">
        <v>40857.6104166667</v>
      </c>
      <c r="F4726" s="0" t="n">
        <v>0.85</v>
      </c>
      <c r="G4726" s="0" t="n">
        <v>12617</v>
      </c>
      <c r="H4726" s="0" t="s">
        <v>43</v>
      </c>
      <c r="I4726" s="7" t="n">
        <f aca="false">IF(AND(LEFT(A4726,1)&lt;&gt;"C",D4726&gt;0,F4726&gt;0),1,0)</f>
        <v>1</v>
      </c>
      <c r="J4726" s="7" t="n">
        <f aca="false">IF(I4726=1,D4726*F4726,0)</f>
        <v>2.55</v>
      </c>
      <c r="K4726" s="7" t="n">
        <f aca="false">YEAR(E4726)*100+MONTH(E4726)</f>
        <v>201111</v>
      </c>
      <c r="L4726" s="7" t="n">
        <f aca="false">IF(AND(A4726&lt;&gt;A4725,LEFT(A4726,1)&lt;&gt;"C"),1,0)</f>
        <v>0</v>
      </c>
    </row>
    <row r="4727" customFormat="false" ht="15" hidden="false" customHeight="false" outlineLevel="0" collapsed="false">
      <c r="A4727" s="0" t="s">
        <v>2873</v>
      </c>
      <c r="B4727" s="0" t="s">
        <v>2357</v>
      </c>
      <c r="C4727" s="0" t="s">
        <v>2358</v>
      </c>
      <c r="D4727" s="0" t="n">
        <v>6</v>
      </c>
      <c r="E4727" s="6" t="n">
        <v>40857.6104166667</v>
      </c>
      <c r="F4727" s="0" t="n">
        <v>0.85</v>
      </c>
      <c r="G4727" s="0" t="n">
        <v>12617</v>
      </c>
      <c r="H4727" s="0" t="s">
        <v>43</v>
      </c>
      <c r="I4727" s="7" t="n">
        <f aca="false">IF(AND(LEFT(A4727,1)&lt;&gt;"C",D4727&gt;0,F4727&gt;0),1,0)</f>
        <v>1</v>
      </c>
      <c r="J4727" s="7" t="n">
        <f aca="false">IF(I4727=1,D4727*F4727,0)</f>
        <v>5.1</v>
      </c>
      <c r="K4727" s="7" t="n">
        <f aca="false">YEAR(E4727)*100+MONTH(E4727)</f>
        <v>201111</v>
      </c>
      <c r="L4727" s="7" t="n">
        <f aca="false">IF(AND(A4727&lt;&gt;A4726,LEFT(A4727,1)&lt;&gt;"C"),1,0)</f>
        <v>0</v>
      </c>
    </row>
    <row r="4728" customFormat="false" ht="15" hidden="false" customHeight="false" outlineLevel="0" collapsed="false">
      <c r="A4728" s="0" t="s">
        <v>2873</v>
      </c>
      <c r="B4728" s="0" t="s">
        <v>2888</v>
      </c>
      <c r="C4728" s="0" t="s">
        <v>2889</v>
      </c>
      <c r="D4728" s="0" t="n">
        <v>5</v>
      </c>
      <c r="E4728" s="6" t="n">
        <v>40857.6104166667</v>
      </c>
      <c r="F4728" s="0" t="n">
        <v>1.25</v>
      </c>
      <c r="G4728" s="0" t="n">
        <v>12617</v>
      </c>
      <c r="H4728" s="0" t="s">
        <v>43</v>
      </c>
      <c r="I4728" s="7" t="n">
        <f aca="false">IF(AND(LEFT(A4728,1)&lt;&gt;"C",D4728&gt;0,F4728&gt;0),1,0)</f>
        <v>1</v>
      </c>
      <c r="J4728" s="7" t="n">
        <f aca="false">IF(I4728=1,D4728*F4728,0)</f>
        <v>6.25</v>
      </c>
      <c r="K4728" s="7" t="n">
        <f aca="false">YEAR(E4728)*100+MONTH(E4728)</f>
        <v>201111</v>
      </c>
      <c r="L4728" s="7" t="n">
        <f aca="false">IF(AND(A4728&lt;&gt;A4727,LEFT(A4728,1)&lt;&gt;"C"),1,0)</f>
        <v>0</v>
      </c>
    </row>
    <row r="4729" customFormat="false" ht="15" hidden="false" customHeight="false" outlineLevel="0" collapsed="false">
      <c r="A4729" s="0" t="s">
        <v>2873</v>
      </c>
      <c r="B4729" s="0" t="s">
        <v>2714</v>
      </c>
      <c r="C4729" s="0" t="s">
        <v>2715</v>
      </c>
      <c r="D4729" s="0" t="n">
        <v>6</v>
      </c>
      <c r="E4729" s="6" t="n">
        <v>40857.6104166667</v>
      </c>
      <c r="F4729" s="0" t="n">
        <v>0.85</v>
      </c>
      <c r="G4729" s="0" t="n">
        <v>12617</v>
      </c>
      <c r="H4729" s="0" t="s">
        <v>43</v>
      </c>
      <c r="I4729" s="7" t="n">
        <f aca="false">IF(AND(LEFT(A4729,1)&lt;&gt;"C",D4729&gt;0,F4729&gt;0),1,0)</f>
        <v>1</v>
      </c>
      <c r="J4729" s="7" t="n">
        <f aca="false">IF(I4729=1,D4729*F4729,0)</f>
        <v>5.1</v>
      </c>
      <c r="K4729" s="7" t="n">
        <f aca="false">YEAR(E4729)*100+MONTH(E4729)</f>
        <v>201111</v>
      </c>
      <c r="L4729" s="7" t="n">
        <f aca="false">IF(AND(A4729&lt;&gt;A4728,LEFT(A4729,1)&lt;&gt;"C"),1,0)</f>
        <v>0</v>
      </c>
    </row>
    <row r="4730" customFormat="false" ht="15" hidden="false" customHeight="false" outlineLevel="0" collapsed="false">
      <c r="A4730" s="0" t="s">
        <v>2873</v>
      </c>
      <c r="B4730" s="0" t="s">
        <v>1951</v>
      </c>
      <c r="C4730" s="0" t="s">
        <v>1952</v>
      </c>
      <c r="D4730" s="0" t="n">
        <v>6</v>
      </c>
      <c r="E4730" s="6" t="n">
        <v>40857.6104166667</v>
      </c>
      <c r="F4730" s="0" t="n">
        <v>0.29</v>
      </c>
      <c r="G4730" s="0" t="n">
        <v>12617</v>
      </c>
      <c r="H4730" s="0" t="s">
        <v>43</v>
      </c>
      <c r="I4730" s="7" t="n">
        <f aca="false">IF(AND(LEFT(A4730,1)&lt;&gt;"C",D4730&gt;0,F4730&gt;0),1,0)</f>
        <v>1</v>
      </c>
      <c r="J4730" s="7" t="n">
        <f aca="false">IF(I4730=1,D4730*F4730,0)</f>
        <v>1.74</v>
      </c>
      <c r="K4730" s="7" t="n">
        <f aca="false">YEAR(E4730)*100+MONTH(E4730)</f>
        <v>201111</v>
      </c>
      <c r="L4730" s="7" t="n">
        <f aca="false">IF(AND(A4730&lt;&gt;A4729,LEFT(A4730,1)&lt;&gt;"C"),1,0)</f>
        <v>0</v>
      </c>
    </row>
    <row r="4731" customFormat="false" ht="15" hidden="false" customHeight="false" outlineLevel="0" collapsed="false">
      <c r="A4731" s="0" t="s">
        <v>2873</v>
      </c>
      <c r="B4731" s="0" t="s">
        <v>705</v>
      </c>
      <c r="C4731" s="0" t="s">
        <v>706</v>
      </c>
      <c r="D4731" s="0" t="n">
        <v>3</v>
      </c>
      <c r="E4731" s="6" t="n">
        <v>40857.6104166667</v>
      </c>
      <c r="F4731" s="0" t="n">
        <v>0.85</v>
      </c>
      <c r="G4731" s="0" t="n">
        <v>12617</v>
      </c>
      <c r="H4731" s="0" t="s">
        <v>43</v>
      </c>
      <c r="I4731" s="7" t="n">
        <f aca="false">IF(AND(LEFT(A4731,1)&lt;&gt;"C",D4731&gt;0,F4731&gt;0),1,0)</f>
        <v>1</v>
      </c>
      <c r="J4731" s="7" t="n">
        <f aca="false">IF(I4731=1,D4731*F4731,0)</f>
        <v>2.55</v>
      </c>
      <c r="K4731" s="7" t="n">
        <f aca="false">YEAR(E4731)*100+MONTH(E4731)</f>
        <v>201111</v>
      </c>
      <c r="L4731" s="7" t="n">
        <f aca="false">IF(AND(A4731&lt;&gt;A4730,LEFT(A4731,1)&lt;&gt;"C"),1,0)</f>
        <v>0</v>
      </c>
    </row>
    <row r="4732" customFormat="false" ht="15" hidden="false" customHeight="false" outlineLevel="0" collapsed="false">
      <c r="A4732" s="0" t="s">
        <v>2873</v>
      </c>
      <c r="B4732" s="0" t="s">
        <v>707</v>
      </c>
      <c r="C4732" s="0" t="s">
        <v>708</v>
      </c>
      <c r="D4732" s="0" t="n">
        <v>6</v>
      </c>
      <c r="E4732" s="6" t="n">
        <v>40857.6104166667</v>
      </c>
      <c r="F4732" s="0" t="n">
        <v>0.85</v>
      </c>
      <c r="G4732" s="0" t="n">
        <v>12617</v>
      </c>
      <c r="H4732" s="0" t="s">
        <v>43</v>
      </c>
      <c r="I4732" s="7" t="n">
        <f aca="false">IF(AND(LEFT(A4732,1)&lt;&gt;"C",D4732&gt;0,F4732&gt;0),1,0)</f>
        <v>1</v>
      </c>
      <c r="J4732" s="7" t="n">
        <f aca="false">IF(I4732=1,D4732*F4732,0)</f>
        <v>5.1</v>
      </c>
      <c r="K4732" s="7" t="n">
        <f aca="false">YEAR(E4732)*100+MONTH(E4732)</f>
        <v>201111</v>
      </c>
      <c r="L4732" s="7" t="n">
        <f aca="false">IF(AND(A4732&lt;&gt;A4731,LEFT(A4732,1)&lt;&gt;"C"),1,0)</f>
        <v>0</v>
      </c>
    </row>
    <row r="4733" customFormat="false" ht="15" hidden="false" customHeight="false" outlineLevel="0" collapsed="false">
      <c r="A4733" s="0" t="s">
        <v>2873</v>
      </c>
      <c r="B4733" s="0" t="s">
        <v>2777</v>
      </c>
      <c r="C4733" s="0" t="s">
        <v>2778</v>
      </c>
      <c r="D4733" s="0" t="n">
        <v>1</v>
      </c>
      <c r="E4733" s="6" t="n">
        <v>40857.6104166667</v>
      </c>
      <c r="F4733" s="0" t="n">
        <v>0.95</v>
      </c>
      <c r="G4733" s="0" t="n">
        <v>12617</v>
      </c>
      <c r="H4733" s="0" t="s">
        <v>43</v>
      </c>
      <c r="I4733" s="7" t="n">
        <f aca="false">IF(AND(LEFT(A4733,1)&lt;&gt;"C",D4733&gt;0,F4733&gt;0),1,0)</f>
        <v>1</v>
      </c>
      <c r="J4733" s="7" t="n">
        <f aca="false">IF(I4733=1,D4733*F4733,0)</f>
        <v>0.95</v>
      </c>
      <c r="K4733" s="7" t="n">
        <f aca="false">YEAR(E4733)*100+MONTH(E4733)</f>
        <v>201111</v>
      </c>
      <c r="L4733" s="7" t="n">
        <f aca="false">IF(AND(A4733&lt;&gt;A4732,LEFT(A4733,1)&lt;&gt;"C"),1,0)</f>
        <v>0</v>
      </c>
    </row>
    <row r="4734" customFormat="false" ht="15" hidden="false" customHeight="false" outlineLevel="0" collapsed="false">
      <c r="A4734" s="0" t="s">
        <v>2890</v>
      </c>
      <c r="B4734" s="0" t="s">
        <v>62</v>
      </c>
      <c r="C4734" s="0" t="s">
        <v>63</v>
      </c>
      <c r="D4734" s="0" t="n">
        <v>48</v>
      </c>
      <c r="E4734" s="6" t="n">
        <v>40857.6270833333</v>
      </c>
      <c r="F4734" s="0" t="n">
        <v>1.79</v>
      </c>
      <c r="G4734" s="0" t="n">
        <v>12670</v>
      </c>
      <c r="H4734" s="0" t="s">
        <v>43</v>
      </c>
      <c r="I4734" s="7" t="n">
        <f aca="false">IF(AND(LEFT(A4734,1)&lt;&gt;"C",D4734&gt;0,F4734&gt;0),1,0)</f>
        <v>1</v>
      </c>
      <c r="J4734" s="7" t="n">
        <f aca="false">IF(I4734=1,D4734*F4734,0)</f>
        <v>85.92</v>
      </c>
      <c r="K4734" s="7" t="n">
        <f aca="false">YEAR(E4734)*100+MONTH(E4734)</f>
        <v>201111</v>
      </c>
      <c r="L4734" s="7" t="n">
        <f aca="false">IF(AND(A4734&lt;&gt;A4733,LEFT(A4734,1)&lt;&gt;"C"),1,0)</f>
        <v>1</v>
      </c>
    </row>
    <row r="4735" customFormat="false" ht="15" hidden="false" customHeight="false" outlineLevel="0" collapsed="false">
      <c r="A4735" s="0" t="s">
        <v>2890</v>
      </c>
      <c r="B4735" s="0" t="s">
        <v>2573</v>
      </c>
      <c r="C4735" s="0" t="s">
        <v>2574</v>
      </c>
      <c r="D4735" s="0" t="n">
        <v>12</v>
      </c>
      <c r="E4735" s="6" t="n">
        <v>40857.6270833333</v>
      </c>
      <c r="F4735" s="0" t="n">
        <v>3.75</v>
      </c>
      <c r="G4735" s="0" t="n">
        <v>12670</v>
      </c>
      <c r="H4735" s="0" t="s">
        <v>43</v>
      </c>
      <c r="I4735" s="7" t="n">
        <f aca="false">IF(AND(LEFT(A4735,1)&lt;&gt;"C",D4735&gt;0,F4735&gt;0),1,0)</f>
        <v>1</v>
      </c>
      <c r="J4735" s="7" t="n">
        <f aca="false">IF(I4735=1,D4735*F4735,0)</f>
        <v>45</v>
      </c>
      <c r="K4735" s="7" t="n">
        <f aca="false">YEAR(E4735)*100+MONTH(E4735)</f>
        <v>201111</v>
      </c>
      <c r="L4735" s="7" t="n">
        <f aca="false">IF(AND(A4735&lt;&gt;A4734,LEFT(A4735,1)&lt;&gt;"C"),1,0)</f>
        <v>0</v>
      </c>
    </row>
    <row r="4736" customFormat="false" ht="15" hidden="false" customHeight="false" outlineLevel="0" collapsed="false">
      <c r="A4736" s="0" t="s">
        <v>2890</v>
      </c>
      <c r="B4736" s="0" t="s">
        <v>1533</v>
      </c>
      <c r="C4736" s="0" t="s">
        <v>1534</v>
      </c>
      <c r="D4736" s="0" t="n">
        <v>12</v>
      </c>
      <c r="E4736" s="6" t="n">
        <v>40857.6270833333</v>
      </c>
      <c r="F4736" s="0" t="n">
        <v>1.25</v>
      </c>
      <c r="G4736" s="0" t="n">
        <v>12670</v>
      </c>
      <c r="H4736" s="0" t="s">
        <v>43</v>
      </c>
      <c r="I4736" s="7" t="n">
        <f aca="false">IF(AND(LEFT(A4736,1)&lt;&gt;"C",D4736&gt;0,F4736&gt;0),1,0)</f>
        <v>1</v>
      </c>
      <c r="J4736" s="7" t="n">
        <f aca="false">IF(I4736=1,D4736*F4736,0)</f>
        <v>15</v>
      </c>
      <c r="K4736" s="7" t="n">
        <f aca="false">YEAR(E4736)*100+MONTH(E4736)</f>
        <v>201111</v>
      </c>
      <c r="L4736" s="7" t="n">
        <f aca="false">IF(AND(A4736&lt;&gt;A4735,LEFT(A4736,1)&lt;&gt;"C"),1,0)</f>
        <v>0</v>
      </c>
    </row>
    <row r="4737" customFormat="false" ht="15" hidden="false" customHeight="false" outlineLevel="0" collapsed="false">
      <c r="A4737" s="0" t="s">
        <v>2890</v>
      </c>
      <c r="B4737" s="0" t="s">
        <v>2211</v>
      </c>
      <c r="C4737" s="0" t="s">
        <v>2212</v>
      </c>
      <c r="D4737" s="0" t="n">
        <v>12</v>
      </c>
      <c r="E4737" s="6" t="n">
        <v>40857.6270833333</v>
      </c>
      <c r="F4737" s="0" t="n">
        <v>1.25</v>
      </c>
      <c r="G4737" s="0" t="n">
        <v>12670</v>
      </c>
      <c r="H4737" s="0" t="s">
        <v>43</v>
      </c>
      <c r="I4737" s="7" t="n">
        <f aca="false">IF(AND(LEFT(A4737,1)&lt;&gt;"C",D4737&gt;0,F4737&gt;0),1,0)</f>
        <v>1</v>
      </c>
      <c r="J4737" s="7" t="n">
        <f aca="false">IF(I4737=1,D4737*F4737,0)</f>
        <v>15</v>
      </c>
      <c r="K4737" s="7" t="n">
        <f aca="false">YEAR(E4737)*100+MONTH(E4737)</f>
        <v>201111</v>
      </c>
      <c r="L4737" s="7" t="n">
        <f aca="false">IF(AND(A4737&lt;&gt;A4736,LEFT(A4737,1)&lt;&gt;"C"),1,0)</f>
        <v>0</v>
      </c>
    </row>
    <row r="4738" customFormat="false" ht="15" hidden="false" customHeight="false" outlineLevel="0" collapsed="false">
      <c r="A4738" s="0" t="s">
        <v>2890</v>
      </c>
      <c r="B4738" s="0" t="s">
        <v>1027</v>
      </c>
      <c r="C4738" s="0" t="s">
        <v>1028</v>
      </c>
      <c r="D4738" s="0" t="n">
        <v>12</v>
      </c>
      <c r="E4738" s="6" t="n">
        <v>40857.6270833333</v>
      </c>
      <c r="F4738" s="0" t="n">
        <v>1.25</v>
      </c>
      <c r="G4738" s="0" t="n">
        <v>12670</v>
      </c>
      <c r="H4738" s="0" t="s">
        <v>43</v>
      </c>
      <c r="I4738" s="7" t="n">
        <f aca="false">IF(AND(LEFT(A4738,1)&lt;&gt;"C",D4738&gt;0,F4738&gt;0),1,0)</f>
        <v>1</v>
      </c>
      <c r="J4738" s="7" t="n">
        <f aca="false">IF(I4738=1,D4738*F4738,0)</f>
        <v>15</v>
      </c>
      <c r="K4738" s="7" t="n">
        <f aca="false">YEAR(E4738)*100+MONTH(E4738)</f>
        <v>201111</v>
      </c>
      <c r="L4738" s="7" t="n">
        <f aca="false">IF(AND(A4738&lt;&gt;A4737,LEFT(A4738,1)&lt;&gt;"C"),1,0)</f>
        <v>0</v>
      </c>
    </row>
    <row r="4739" customFormat="false" ht="15" hidden="false" customHeight="false" outlineLevel="0" collapsed="false">
      <c r="A4739" s="0" t="s">
        <v>2890</v>
      </c>
      <c r="B4739" s="0" t="s">
        <v>873</v>
      </c>
      <c r="C4739" s="0" t="s">
        <v>874</v>
      </c>
      <c r="D4739" s="0" t="n">
        <v>48</v>
      </c>
      <c r="E4739" s="6" t="n">
        <v>40857.6270833333</v>
      </c>
      <c r="F4739" s="0" t="n">
        <v>0.83</v>
      </c>
      <c r="G4739" s="0" t="n">
        <v>12670</v>
      </c>
      <c r="H4739" s="0" t="s">
        <v>43</v>
      </c>
      <c r="I4739" s="7" t="n">
        <f aca="false">IF(AND(LEFT(A4739,1)&lt;&gt;"C",D4739&gt;0,F4739&gt;0),1,0)</f>
        <v>1</v>
      </c>
      <c r="J4739" s="7" t="n">
        <f aca="false">IF(I4739=1,D4739*F4739,0)</f>
        <v>39.84</v>
      </c>
      <c r="K4739" s="7" t="n">
        <f aca="false">YEAR(E4739)*100+MONTH(E4739)</f>
        <v>201111</v>
      </c>
      <c r="L4739" s="7" t="n">
        <f aca="false">IF(AND(A4739&lt;&gt;A4738,LEFT(A4739,1)&lt;&gt;"C"),1,0)</f>
        <v>0</v>
      </c>
    </row>
    <row r="4740" customFormat="false" ht="15" hidden="false" customHeight="false" outlineLevel="0" collapsed="false">
      <c r="A4740" s="0" t="s">
        <v>2890</v>
      </c>
      <c r="B4740" s="0" t="s">
        <v>1380</v>
      </c>
      <c r="C4740" s="0" t="s">
        <v>1381</v>
      </c>
      <c r="D4740" s="0" t="n">
        <v>24</v>
      </c>
      <c r="E4740" s="6" t="n">
        <v>40857.6270833333</v>
      </c>
      <c r="F4740" s="0" t="n">
        <v>0.55</v>
      </c>
      <c r="G4740" s="0" t="n">
        <v>12670</v>
      </c>
      <c r="H4740" s="0" t="s">
        <v>43</v>
      </c>
      <c r="I4740" s="7" t="n">
        <f aca="false">IF(AND(LEFT(A4740,1)&lt;&gt;"C",D4740&gt;0,F4740&gt;0),1,0)</f>
        <v>1</v>
      </c>
      <c r="J4740" s="7" t="n">
        <f aca="false">IF(I4740=1,D4740*F4740,0)</f>
        <v>13.2</v>
      </c>
      <c r="K4740" s="7" t="n">
        <f aca="false">YEAR(E4740)*100+MONTH(E4740)</f>
        <v>201111</v>
      </c>
      <c r="L4740" s="7" t="n">
        <f aca="false">IF(AND(A4740&lt;&gt;A4739,LEFT(A4740,1)&lt;&gt;"C"),1,0)</f>
        <v>0</v>
      </c>
    </row>
    <row r="4741" customFormat="false" ht="15" hidden="false" customHeight="false" outlineLevel="0" collapsed="false">
      <c r="A4741" s="0" t="s">
        <v>2890</v>
      </c>
      <c r="B4741" s="0" t="s">
        <v>941</v>
      </c>
      <c r="C4741" s="0" t="s">
        <v>942</v>
      </c>
      <c r="D4741" s="0" t="n">
        <v>24</v>
      </c>
      <c r="E4741" s="6" t="n">
        <v>40857.6270833333</v>
      </c>
      <c r="F4741" s="0" t="n">
        <v>0.55</v>
      </c>
      <c r="G4741" s="0" t="n">
        <v>12670</v>
      </c>
      <c r="H4741" s="0" t="s">
        <v>43</v>
      </c>
      <c r="I4741" s="7" t="n">
        <f aca="false">IF(AND(LEFT(A4741,1)&lt;&gt;"C",D4741&gt;0,F4741&gt;0),1,0)</f>
        <v>1</v>
      </c>
      <c r="J4741" s="7" t="n">
        <f aca="false">IF(I4741=1,D4741*F4741,0)</f>
        <v>13.2</v>
      </c>
      <c r="K4741" s="7" t="n">
        <f aca="false">YEAR(E4741)*100+MONTH(E4741)</f>
        <v>201111</v>
      </c>
      <c r="L4741" s="7" t="n">
        <f aca="false">IF(AND(A4741&lt;&gt;A4740,LEFT(A4741,1)&lt;&gt;"C"),1,0)</f>
        <v>0</v>
      </c>
    </row>
    <row r="4742" customFormat="false" ht="15" hidden="false" customHeight="false" outlineLevel="0" collapsed="false">
      <c r="A4742" s="0" t="s">
        <v>2890</v>
      </c>
      <c r="B4742" s="0" t="s">
        <v>465</v>
      </c>
      <c r="C4742" s="0" t="s">
        <v>466</v>
      </c>
      <c r="D4742" s="0" t="n">
        <v>8</v>
      </c>
      <c r="E4742" s="6" t="n">
        <v>40857.6270833333</v>
      </c>
      <c r="F4742" s="0" t="n">
        <v>7.95</v>
      </c>
      <c r="G4742" s="0" t="n">
        <v>12670</v>
      </c>
      <c r="H4742" s="0" t="s">
        <v>43</v>
      </c>
      <c r="I4742" s="7" t="n">
        <f aca="false">IF(AND(LEFT(A4742,1)&lt;&gt;"C",D4742&gt;0,F4742&gt;0),1,0)</f>
        <v>1</v>
      </c>
      <c r="J4742" s="7" t="n">
        <f aca="false">IF(I4742=1,D4742*F4742,0)</f>
        <v>63.6</v>
      </c>
      <c r="K4742" s="7" t="n">
        <f aca="false">YEAR(E4742)*100+MONTH(E4742)</f>
        <v>201111</v>
      </c>
      <c r="L4742" s="7" t="n">
        <f aca="false">IF(AND(A4742&lt;&gt;A4741,LEFT(A4742,1)&lt;&gt;"C"),1,0)</f>
        <v>0</v>
      </c>
    </row>
    <row r="4743" customFormat="false" ht="15" hidden="false" customHeight="false" outlineLevel="0" collapsed="false">
      <c r="A4743" s="0" t="s">
        <v>2890</v>
      </c>
      <c r="B4743" s="0" t="s">
        <v>463</v>
      </c>
      <c r="C4743" s="0" t="s">
        <v>464</v>
      </c>
      <c r="D4743" s="0" t="n">
        <v>8</v>
      </c>
      <c r="E4743" s="6" t="n">
        <v>40857.6270833333</v>
      </c>
      <c r="F4743" s="0" t="n">
        <v>7.95</v>
      </c>
      <c r="G4743" s="0" t="n">
        <v>12670</v>
      </c>
      <c r="H4743" s="0" t="s">
        <v>43</v>
      </c>
      <c r="I4743" s="7" t="n">
        <f aca="false">IF(AND(LEFT(A4743,1)&lt;&gt;"C",D4743&gt;0,F4743&gt;0),1,0)</f>
        <v>1</v>
      </c>
      <c r="J4743" s="7" t="n">
        <f aca="false">IF(I4743=1,D4743*F4743,0)</f>
        <v>63.6</v>
      </c>
      <c r="K4743" s="7" t="n">
        <f aca="false">YEAR(E4743)*100+MONTH(E4743)</f>
        <v>201111</v>
      </c>
      <c r="L4743" s="7" t="n">
        <f aca="false">IF(AND(A4743&lt;&gt;A4742,LEFT(A4743,1)&lt;&gt;"C"),1,0)</f>
        <v>0</v>
      </c>
    </row>
    <row r="4744" customFormat="false" ht="15" hidden="false" customHeight="false" outlineLevel="0" collapsed="false">
      <c r="A4744" s="0" t="s">
        <v>2890</v>
      </c>
      <c r="B4744" s="0" t="s">
        <v>123</v>
      </c>
      <c r="C4744" s="0" t="s">
        <v>124</v>
      </c>
      <c r="D4744" s="0" t="n">
        <v>24</v>
      </c>
      <c r="E4744" s="6" t="n">
        <v>40857.6270833333</v>
      </c>
      <c r="F4744" s="0" t="n">
        <v>2.95</v>
      </c>
      <c r="G4744" s="0" t="n">
        <v>12670</v>
      </c>
      <c r="H4744" s="0" t="s">
        <v>43</v>
      </c>
      <c r="I4744" s="7" t="n">
        <f aca="false">IF(AND(LEFT(A4744,1)&lt;&gt;"C",D4744&gt;0,F4744&gt;0),1,0)</f>
        <v>1</v>
      </c>
      <c r="J4744" s="7" t="n">
        <f aca="false">IF(I4744=1,D4744*F4744,0)</f>
        <v>70.8</v>
      </c>
      <c r="K4744" s="7" t="n">
        <f aca="false">YEAR(E4744)*100+MONTH(E4744)</f>
        <v>201111</v>
      </c>
      <c r="L4744" s="7" t="n">
        <f aca="false">IF(AND(A4744&lt;&gt;A4743,LEFT(A4744,1)&lt;&gt;"C"),1,0)</f>
        <v>0</v>
      </c>
    </row>
    <row r="4745" customFormat="false" ht="15" hidden="false" customHeight="false" outlineLevel="0" collapsed="false">
      <c r="A4745" s="0" t="s">
        <v>2890</v>
      </c>
      <c r="B4745" s="0" t="s">
        <v>335</v>
      </c>
      <c r="C4745" s="0" t="s">
        <v>336</v>
      </c>
      <c r="D4745" s="0" t="n">
        <v>12</v>
      </c>
      <c r="E4745" s="6" t="n">
        <v>40857.6270833333</v>
      </c>
      <c r="F4745" s="0" t="n">
        <v>1.65</v>
      </c>
      <c r="G4745" s="0" t="n">
        <v>12670</v>
      </c>
      <c r="H4745" s="0" t="s">
        <v>43</v>
      </c>
      <c r="I4745" s="7" t="n">
        <f aca="false">IF(AND(LEFT(A4745,1)&lt;&gt;"C",D4745&gt;0,F4745&gt;0),1,0)</f>
        <v>1</v>
      </c>
      <c r="J4745" s="7" t="n">
        <f aca="false">IF(I4745=1,D4745*F4745,0)</f>
        <v>19.8</v>
      </c>
      <c r="K4745" s="7" t="n">
        <f aca="false">YEAR(E4745)*100+MONTH(E4745)</f>
        <v>201111</v>
      </c>
      <c r="L4745" s="7" t="n">
        <f aca="false">IF(AND(A4745&lt;&gt;A4744,LEFT(A4745,1)&lt;&gt;"C"),1,0)</f>
        <v>0</v>
      </c>
    </row>
    <row r="4746" customFormat="false" ht="15" hidden="false" customHeight="false" outlineLevel="0" collapsed="false">
      <c r="A4746" s="0" t="s">
        <v>2890</v>
      </c>
      <c r="B4746" s="0" t="s">
        <v>333</v>
      </c>
      <c r="C4746" s="0" t="s">
        <v>334</v>
      </c>
      <c r="D4746" s="0" t="n">
        <v>12</v>
      </c>
      <c r="E4746" s="6" t="n">
        <v>40857.6270833333</v>
      </c>
      <c r="F4746" s="0" t="n">
        <v>1.65</v>
      </c>
      <c r="G4746" s="0" t="n">
        <v>12670</v>
      </c>
      <c r="H4746" s="0" t="s">
        <v>43</v>
      </c>
      <c r="I4746" s="7" t="n">
        <f aca="false">IF(AND(LEFT(A4746,1)&lt;&gt;"C",D4746&gt;0,F4746&gt;0),1,0)</f>
        <v>1</v>
      </c>
      <c r="J4746" s="7" t="n">
        <f aca="false">IF(I4746=1,D4746*F4746,0)</f>
        <v>19.8</v>
      </c>
      <c r="K4746" s="7" t="n">
        <f aca="false">YEAR(E4746)*100+MONTH(E4746)</f>
        <v>201111</v>
      </c>
      <c r="L4746" s="7" t="n">
        <f aca="false">IF(AND(A4746&lt;&gt;A4745,LEFT(A4746,1)&lt;&gt;"C"),1,0)</f>
        <v>0</v>
      </c>
    </row>
    <row r="4747" customFormat="false" ht="15" hidden="false" customHeight="false" outlineLevel="0" collapsed="false">
      <c r="A4747" s="0" t="s">
        <v>2890</v>
      </c>
      <c r="B4747" s="0" t="s">
        <v>471</v>
      </c>
      <c r="C4747" s="0" t="s">
        <v>472</v>
      </c>
      <c r="D4747" s="0" t="n">
        <v>12</v>
      </c>
      <c r="E4747" s="6" t="n">
        <v>40857.6270833333</v>
      </c>
      <c r="F4747" s="0" t="n">
        <v>1.65</v>
      </c>
      <c r="G4747" s="0" t="n">
        <v>12670</v>
      </c>
      <c r="H4747" s="0" t="s">
        <v>43</v>
      </c>
      <c r="I4747" s="7" t="n">
        <f aca="false">IF(AND(LEFT(A4747,1)&lt;&gt;"C",D4747&gt;0,F4747&gt;0),1,0)</f>
        <v>1</v>
      </c>
      <c r="J4747" s="7" t="n">
        <f aca="false">IF(I4747=1,D4747*F4747,0)</f>
        <v>19.8</v>
      </c>
      <c r="K4747" s="7" t="n">
        <f aca="false">YEAR(E4747)*100+MONTH(E4747)</f>
        <v>201111</v>
      </c>
      <c r="L4747" s="7" t="n">
        <f aca="false">IF(AND(A4747&lt;&gt;A4746,LEFT(A4747,1)&lt;&gt;"C"),1,0)</f>
        <v>0</v>
      </c>
    </row>
    <row r="4748" customFormat="false" ht="15" hidden="false" customHeight="false" outlineLevel="0" collapsed="false">
      <c r="A4748" s="0" t="s">
        <v>2890</v>
      </c>
      <c r="B4748" s="0" t="s">
        <v>2044</v>
      </c>
      <c r="C4748" s="0" t="s">
        <v>2045</v>
      </c>
      <c r="D4748" s="0" t="n">
        <v>2</v>
      </c>
      <c r="E4748" s="6" t="n">
        <v>40857.6270833333</v>
      </c>
      <c r="F4748" s="0" t="n">
        <v>4.95</v>
      </c>
      <c r="G4748" s="0" t="n">
        <v>12670</v>
      </c>
      <c r="H4748" s="0" t="s">
        <v>43</v>
      </c>
      <c r="I4748" s="7" t="n">
        <f aca="false">IF(AND(LEFT(A4748,1)&lt;&gt;"C",D4748&gt;0,F4748&gt;0),1,0)</f>
        <v>1</v>
      </c>
      <c r="J4748" s="7" t="n">
        <f aca="false">IF(I4748=1,D4748*F4748,0)</f>
        <v>9.9</v>
      </c>
      <c r="K4748" s="7" t="n">
        <f aca="false">YEAR(E4748)*100+MONTH(E4748)</f>
        <v>201111</v>
      </c>
      <c r="L4748" s="7" t="n">
        <f aca="false">IF(AND(A4748&lt;&gt;A4747,LEFT(A4748,1)&lt;&gt;"C"),1,0)</f>
        <v>0</v>
      </c>
    </row>
    <row r="4749" customFormat="false" ht="15" hidden="false" customHeight="false" outlineLevel="0" collapsed="false">
      <c r="A4749" s="0" t="s">
        <v>2890</v>
      </c>
      <c r="B4749" s="0" t="s">
        <v>482</v>
      </c>
      <c r="C4749" s="0" t="s">
        <v>483</v>
      </c>
      <c r="D4749" s="0" t="n">
        <v>12</v>
      </c>
      <c r="E4749" s="6" t="n">
        <v>40857.6270833333</v>
      </c>
      <c r="F4749" s="0" t="n">
        <v>1.25</v>
      </c>
      <c r="G4749" s="0" t="n">
        <v>12670</v>
      </c>
      <c r="H4749" s="0" t="s">
        <v>43</v>
      </c>
      <c r="I4749" s="7" t="n">
        <f aca="false">IF(AND(LEFT(A4749,1)&lt;&gt;"C",D4749&gt;0,F4749&gt;0),1,0)</f>
        <v>1</v>
      </c>
      <c r="J4749" s="7" t="n">
        <f aca="false">IF(I4749=1,D4749*F4749,0)</f>
        <v>15</v>
      </c>
      <c r="K4749" s="7" t="n">
        <f aca="false">YEAR(E4749)*100+MONTH(E4749)</f>
        <v>201111</v>
      </c>
      <c r="L4749" s="7" t="n">
        <f aca="false">IF(AND(A4749&lt;&gt;A4748,LEFT(A4749,1)&lt;&gt;"C"),1,0)</f>
        <v>0</v>
      </c>
    </row>
    <row r="4750" customFormat="false" ht="15" hidden="false" customHeight="false" outlineLevel="0" collapsed="false">
      <c r="A4750" s="0" t="s">
        <v>2890</v>
      </c>
      <c r="B4750" s="0" t="s">
        <v>783</v>
      </c>
      <c r="C4750" s="0" t="s">
        <v>784</v>
      </c>
      <c r="D4750" s="0" t="n">
        <v>12</v>
      </c>
      <c r="E4750" s="6" t="n">
        <v>40857.6270833333</v>
      </c>
      <c r="F4750" s="0" t="n">
        <v>2.1</v>
      </c>
      <c r="G4750" s="0" t="n">
        <v>12670</v>
      </c>
      <c r="H4750" s="0" t="s">
        <v>43</v>
      </c>
      <c r="I4750" s="7" t="n">
        <f aca="false">IF(AND(LEFT(A4750,1)&lt;&gt;"C",D4750&gt;0,F4750&gt;0),1,0)</f>
        <v>1</v>
      </c>
      <c r="J4750" s="7" t="n">
        <f aca="false">IF(I4750=1,D4750*F4750,0)</f>
        <v>25.2</v>
      </c>
      <c r="K4750" s="7" t="n">
        <f aca="false">YEAR(E4750)*100+MONTH(E4750)</f>
        <v>201111</v>
      </c>
      <c r="L4750" s="7" t="n">
        <f aca="false">IF(AND(A4750&lt;&gt;A4749,LEFT(A4750,1)&lt;&gt;"C"),1,0)</f>
        <v>0</v>
      </c>
    </row>
    <row r="4751" customFormat="false" ht="15" hidden="false" customHeight="false" outlineLevel="0" collapsed="false">
      <c r="A4751" s="0" t="s">
        <v>2890</v>
      </c>
      <c r="B4751" s="0" t="s">
        <v>308</v>
      </c>
      <c r="C4751" s="0" t="s">
        <v>309</v>
      </c>
      <c r="D4751" s="0" t="n">
        <v>12</v>
      </c>
      <c r="E4751" s="6" t="n">
        <v>40857.6270833333</v>
      </c>
      <c r="F4751" s="0" t="n">
        <v>1.25</v>
      </c>
      <c r="G4751" s="0" t="n">
        <v>12670</v>
      </c>
      <c r="H4751" s="0" t="s">
        <v>43</v>
      </c>
      <c r="I4751" s="7" t="n">
        <f aca="false">IF(AND(LEFT(A4751,1)&lt;&gt;"C",D4751&gt;0,F4751&gt;0),1,0)</f>
        <v>1</v>
      </c>
      <c r="J4751" s="7" t="n">
        <f aca="false">IF(I4751=1,D4751*F4751,0)</f>
        <v>15</v>
      </c>
      <c r="K4751" s="7" t="n">
        <f aca="false">YEAR(E4751)*100+MONTH(E4751)</f>
        <v>201111</v>
      </c>
      <c r="L4751" s="7" t="n">
        <f aca="false">IF(AND(A4751&lt;&gt;A4750,LEFT(A4751,1)&lt;&gt;"C"),1,0)</f>
        <v>0</v>
      </c>
    </row>
    <row r="4752" customFormat="false" ht="15" hidden="false" customHeight="false" outlineLevel="0" collapsed="false">
      <c r="A4752" s="0" t="s">
        <v>2890</v>
      </c>
      <c r="B4752" s="0" t="s">
        <v>52</v>
      </c>
      <c r="C4752" s="0" t="s">
        <v>53</v>
      </c>
      <c r="D4752" s="0" t="n">
        <v>24</v>
      </c>
      <c r="E4752" s="6" t="n">
        <v>40857.6270833333</v>
      </c>
      <c r="F4752" s="0" t="n">
        <v>1.95</v>
      </c>
      <c r="G4752" s="0" t="n">
        <v>12670</v>
      </c>
      <c r="H4752" s="0" t="s">
        <v>43</v>
      </c>
      <c r="I4752" s="7" t="n">
        <f aca="false">IF(AND(LEFT(A4752,1)&lt;&gt;"C",D4752&gt;0,F4752&gt;0),1,0)</f>
        <v>1</v>
      </c>
      <c r="J4752" s="7" t="n">
        <f aca="false">IF(I4752=1,D4752*F4752,0)</f>
        <v>46.8</v>
      </c>
      <c r="K4752" s="7" t="n">
        <f aca="false">YEAR(E4752)*100+MONTH(E4752)</f>
        <v>201111</v>
      </c>
      <c r="L4752" s="7" t="n">
        <f aca="false">IF(AND(A4752&lt;&gt;A4751,LEFT(A4752,1)&lt;&gt;"C"),1,0)</f>
        <v>0</v>
      </c>
    </row>
    <row r="4753" customFormat="false" ht="15" hidden="false" customHeight="false" outlineLevel="0" collapsed="false">
      <c r="A4753" s="0" t="s">
        <v>2890</v>
      </c>
      <c r="B4753" s="0" t="s">
        <v>84</v>
      </c>
      <c r="C4753" s="0" t="s">
        <v>85</v>
      </c>
      <c r="D4753" s="0" t="n">
        <v>3</v>
      </c>
      <c r="E4753" s="6" t="n">
        <v>40857.6270833333</v>
      </c>
      <c r="F4753" s="0" t="n">
        <v>18</v>
      </c>
      <c r="G4753" s="0" t="n">
        <v>12670</v>
      </c>
      <c r="H4753" s="0" t="s">
        <v>43</v>
      </c>
      <c r="I4753" s="7" t="n">
        <f aca="false">IF(AND(LEFT(A4753,1)&lt;&gt;"C",D4753&gt;0,F4753&gt;0),1,0)</f>
        <v>1</v>
      </c>
      <c r="J4753" s="7" t="n">
        <f aca="false">IF(I4753=1,D4753*F4753,0)</f>
        <v>54</v>
      </c>
      <c r="K4753" s="7" t="n">
        <f aca="false">YEAR(E4753)*100+MONTH(E4753)</f>
        <v>201111</v>
      </c>
      <c r="L4753" s="7" t="n">
        <f aca="false">IF(AND(A4753&lt;&gt;A4752,LEFT(A4753,1)&lt;&gt;"C"),1,0)</f>
        <v>0</v>
      </c>
    </row>
    <row r="4754" customFormat="false" ht="15" hidden="false" customHeight="false" outlineLevel="0" collapsed="false">
      <c r="A4754" s="0" t="s">
        <v>2891</v>
      </c>
      <c r="B4754" s="0" t="s">
        <v>66</v>
      </c>
      <c r="C4754" s="0" t="s">
        <v>67</v>
      </c>
      <c r="D4754" s="0" t="n">
        <v>3</v>
      </c>
      <c r="E4754" s="6" t="n">
        <v>40857.6854166667</v>
      </c>
      <c r="F4754" s="0" t="n">
        <v>2.95</v>
      </c>
      <c r="G4754" s="0" t="n">
        <v>12508</v>
      </c>
      <c r="H4754" s="0" t="s">
        <v>43</v>
      </c>
      <c r="I4754" s="7" t="n">
        <f aca="false">IF(AND(LEFT(A4754,1)&lt;&gt;"C",D4754&gt;0,F4754&gt;0),1,0)</f>
        <v>1</v>
      </c>
      <c r="J4754" s="7" t="n">
        <f aca="false">IF(I4754=1,D4754*F4754,0)</f>
        <v>8.85</v>
      </c>
      <c r="K4754" s="7" t="n">
        <f aca="false">YEAR(E4754)*100+MONTH(E4754)</f>
        <v>201111</v>
      </c>
      <c r="L4754" s="7" t="n">
        <f aca="false">IF(AND(A4754&lt;&gt;A4753,LEFT(A4754,1)&lt;&gt;"C"),1,0)</f>
        <v>1</v>
      </c>
    </row>
    <row r="4755" customFormat="false" ht="15" hidden="false" customHeight="false" outlineLevel="0" collapsed="false">
      <c r="A4755" s="0" t="s">
        <v>2891</v>
      </c>
      <c r="B4755" s="0" t="s">
        <v>2244</v>
      </c>
      <c r="C4755" s="0" t="s">
        <v>2245</v>
      </c>
      <c r="D4755" s="0" t="n">
        <v>3</v>
      </c>
      <c r="E4755" s="6" t="n">
        <v>40857.6854166667</v>
      </c>
      <c r="F4755" s="0" t="n">
        <v>4.25</v>
      </c>
      <c r="G4755" s="0" t="n">
        <v>12508</v>
      </c>
      <c r="H4755" s="0" t="s">
        <v>43</v>
      </c>
      <c r="I4755" s="7" t="n">
        <f aca="false">IF(AND(LEFT(A4755,1)&lt;&gt;"C",D4755&gt;0,F4755&gt;0),1,0)</f>
        <v>1</v>
      </c>
      <c r="J4755" s="7" t="n">
        <f aca="false">IF(I4755=1,D4755*F4755,0)</f>
        <v>12.75</v>
      </c>
      <c r="K4755" s="7" t="n">
        <f aca="false">YEAR(E4755)*100+MONTH(E4755)</f>
        <v>201111</v>
      </c>
      <c r="L4755" s="7" t="n">
        <f aca="false">IF(AND(A4755&lt;&gt;A4754,LEFT(A4755,1)&lt;&gt;"C"),1,0)</f>
        <v>0</v>
      </c>
    </row>
    <row r="4756" customFormat="false" ht="15" hidden="false" customHeight="false" outlineLevel="0" collapsed="false">
      <c r="A4756" s="0" t="s">
        <v>2891</v>
      </c>
      <c r="B4756" s="0" t="s">
        <v>729</v>
      </c>
      <c r="C4756" s="0" t="s">
        <v>730</v>
      </c>
      <c r="D4756" s="0" t="n">
        <v>2</v>
      </c>
      <c r="E4756" s="6" t="n">
        <v>40857.6854166667</v>
      </c>
      <c r="F4756" s="0" t="n">
        <v>4.95</v>
      </c>
      <c r="G4756" s="0" t="n">
        <v>12508</v>
      </c>
      <c r="H4756" s="0" t="s">
        <v>43</v>
      </c>
      <c r="I4756" s="7" t="n">
        <f aca="false">IF(AND(LEFT(A4756,1)&lt;&gt;"C",D4756&gt;0,F4756&gt;0),1,0)</f>
        <v>1</v>
      </c>
      <c r="J4756" s="7" t="n">
        <f aca="false">IF(I4756=1,D4756*F4756,0)</f>
        <v>9.9</v>
      </c>
      <c r="K4756" s="7" t="n">
        <f aca="false">YEAR(E4756)*100+MONTH(E4756)</f>
        <v>201111</v>
      </c>
      <c r="L4756" s="7" t="n">
        <f aca="false">IF(AND(A4756&lt;&gt;A4755,LEFT(A4756,1)&lt;&gt;"C"),1,0)</f>
        <v>0</v>
      </c>
    </row>
    <row r="4757" customFormat="false" ht="15" hidden="false" customHeight="false" outlineLevel="0" collapsed="false">
      <c r="A4757" s="0" t="s">
        <v>2891</v>
      </c>
      <c r="B4757" s="0" t="s">
        <v>2892</v>
      </c>
      <c r="C4757" s="0" t="s">
        <v>2893</v>
      </c>
      <c r="D4757" s="0" t="n">
        <v>1</v>
      </c>
      <c r="E4757" s="6" t="n">
        <v>40857.6854166667</v>
      </c>
      <c r="F4757" s="0" t="n">
        <v>2.95</v>
      </c>
      <c r="G4757" s="0" t="n">
        <v>12508</v>
      </c>
      <c r="H4757" s="0" t="s">
        <v>43</v>
      </c>
      <c r="I4757" s="7" t="n">
        <f aca="false">IF(AND(LEFT(A4757,1)&lt;&gt;"C",D4757&gt;0,F4757&gt;0),1,0)</f>
        <v>1</v>
      </c>
      <c r="J4757" s="7" t="n">
        <f aca="false">IF(I4757=1,D4757*F4757,0)</f>
        <v>2.95</v>
      </c>
      <c r="K4757" s="7" t="n">
        <f aca="false">YEAR(E4757)*100+MONTH(E4757)</f>
        <v>201111</v>
      </c>
      <c r="L4757" s="7" t="n">
        <f aca="false">IF(AND(A4757&lt;&gt;A4756,LEFT(A4757,1)&lt;&gt;"C"),1,0)</f>
        <v>0</v>
      </c>
    </row>
    <row r="4758" customFormat="false" ht="15" hidden="false" customHeight="false" outlineLevel="0" collapsed="false">
      <c r="A4758" s="0" t="s">
        <v>2891</v>
      </c>
      <c r="B4758" s="0" t="s">
        <v>1843</v>
      </c>
      <c r="C4758" s="0" t="s">
        <v>1844</v>
      </c>
      <c r="D4758" s="0" t="n">
        <v>5</v>
      </c>
      <c r="E4758" s="6" t="n">
        <v>40857.6854166667</v>
      </c>
      <c r="F4758" s="0" t="n">
        <v>0.65</v>
      </c>
      <c r="G4758" s="0" t="n">
        <v>12508</v>
      </c>
      <c r="H4758" s="0" t="s">
        <v>43</v>
      </c>
      <c r="I4758" s="7" t="n">
        <f aca="false">IF(AND(LEFT(A4758,1)&lt;&gt;"C",D4758&gt;0,F4758&gt;0),1,0)</f>
        <v>1</v>
      </c>
      <c r="J4758" s="7" t="n">
        <f aca="false">IF(I4758=1,D4758*F4758,0)</f>
        <v>3.25</v>
      </c>
      <c r="K4758" s="7" t="n">
        <f aca="false">YEAR(E4758)*100+MONTH(E4758)</f>
        <v>201111</v>
      </c>
      <c r="L4758" s="7" t="n">
        <f aca="false">IF(AND(A4758&lt;&gt;A4757,LEFT(A4758,1)&lt;&gt;"C"),1,0)</f>
        <v>0</v>
      </c>
    </row>
    <row r="4759" customFormat="false" ht="15" hidden="false" customHeight="false" outlineLevel="0" collapsed="false">
      <c r="A4759" s="0" t="s">
        <v>2891</v>
      </c>
      <c r="B4759" s="0" t="s">
        <v>1981</v>
      </c>
      <c r="C4759" s="0" t="s">
        <v>1982</v>
      </c>
      <c r="D4759" s="0" t="n">
        <v>5</v>
      </c>
      <c r="E4759" s="6" t="n">
        <v>40857.6854166667</v>
      </c>
      <c r="F4759" s="0" t="n">
        <v>0.65</v>
      </c>
      <c r="G4759" s="0" t="n">
        <v>12508</v>
      </c>
      <c r="H4759" s="0" t="s">
        <v>43</v>
      </c>
      <c r="I4759" s="7" t="n">
        <f aca="false">IF(AND(LEFT(A4759,1)&lt;&gt;"C",D4759&gt;0,F4759&gt;0),1,0)</f>
        <v>1</v>
      </c>
      <c r="J4759" s="7" t="n">
        <f aca="false">IF(I4759=1,D4759*F4759,0)</f>
        <v>3.25</v>
      </c>
      <c r="K4759" s="7" t="n">
        <f aca="false">YEAR(E4759)*100+MONTH(E4759)</f>
        <v>201111</v>
      </c>
      <c r="L4759" s="7" t="n">
        <f aca="false">IF(AND(A4759&lt;&gt;A4758,LEFT(A4759,1)&lt;&gt;"C"),1,0)</f>
        <v>0</v>
      </c>
    </row>
    <row r="4760" customFormat="false" ht="15" hidden="false" customHeight="false" outlineLevel="0" collapsed="false">
      <c r="A4760" s="0" t="s">
        <v>2891</v>
      </c>
      <c r="B4760" s="0" t="s">
        <v>1786</v>
      </c>
      <c r="C4760" s="0" t="s">
        <v>1787</v>
      </c>
      <c r="D4760" s="0" t="n">
        <v>5</v>
      </c>
      <c r="E4760" s="6" t="n">
        <v>40857.6854166667</v>
      </c>
      <c r="F4760" s="0" t="n">
        <v>1.25</v>
      </c>
      <c r="G4760" s="0" t="n">
        <v>12508</v>
      </c>
      <c r="H4760" s="0" t="s">
        <v>43</v>
      </c>
      <c r="I4760" s="7" t="n">
        <f aca="false">IF(AND(LEFT(A4760,1)&lt;&gt;"C",D4760&gt;0,F4760&gt;0),1,0)</f>
        <v>1</v>
      </c>
      <c r="J4760" s="7" t="n">
        <f aca="false">IF(I4760=1,D4760*F4760,0)</f>
        <v>6.25</v>
      </c>
      <c r="K4760" s="7" t="n">
        <f aca="false">YEAR(E4760)*100+MONTH(E4760)</f>
        <v>201111</v>
      </c>
      <c r="L4760" s="7" t="n">
        <f aca="false">IF(AND(A4760&lt;&gt;A4759,LEFT(A4760,1)&lt;&gt;"C"),1,0)</f>
        <v>0</v>
      </c>
    </row>
    <row r="4761" customFormat="false" ht="15" hidden="false" customHeight="false" outlineLevel="0" collapsed="false">
      <c r="A4761" s="0" t="s">
        <v>2891</v>
      </c>
      <c r="B4761" s="0" t="s">
        <v>1928</v>
      </c>
      <c r="C4761" s="0" t="s">
        <v>1929</v>
      </c>
      <c r="D4761" s="0" t="n">
        <v>5</v>
      </c>
      <c r="E4761" s="6" t="n">
        <v>40857.6854166667</v>
      </c>
      <c r="F4761" s="0" t="n">
        <v>0.65</v>
      </c>
      <c r="G4761" s="0" t="n">
        <v>12508</v>
      </c>
      <c r="H4761" s="0" t="s">
        <v>43</v>
      </c>
      <c r="I4761" s="7" t="n">
        <f aca="false">IF(AND(LEFT(A4761,1)&lt;&gt;"C",D4761&gt;0,F4761&gt;0),1,0)</f>
        <v>1</v>
      </c>
      <c r="J4761" s="7" t="n">
        <f aca="false">IF(I4761=1,D4761*F4761,0)</f>
        <v>3.25</v>
      </c>
      <c r="K4761" s="7" t="n">
        <f aca="false">YEAR(E4761)*100+MONTH(E4761)</f>
        <v>201111</v>
      </c>
      <c r="L4761" s="7" t="n">
        <f aca="false">IF(AND(A4761&lt;&gt;A4760,LEFT(A4761,1)&lt;&gt;"C"),1,0)</f>
        <v>0</v>
      </c>
    </row>
    <row r="4762" customFormat="false" ht="15" hidden="false" customHeight="false" outlineLevel="0" collapsed="false">
      <c r="A4762" s="0" t="s">
        <v>2891</v>
      </c>
      <c r="B4762" s="0" t="s">
        <v>2429</v>
      </c>
      <c r="C4762" s="0" t="s">
        <v>2430</v>
      </c>
      <c r="D4762" s="0" t="n">
        <v>10</v>
      </c>
      <c r="E4762" s="6" t="n">
        <v>40857.6854166667</v>
      </c>
      <c r="F4762" s="0" t="n">
        <v>0.19</v>
      </c>
      <c r="G4762" s="0" t="n">
        <v>12508</v>
      </c>
      <c r="H4762" s="0" t="s">
        <v>43</v>
      </c>
      <c r="I4762" s="7" t="n">
        <f aca="false">IF(AND(LEFT(A4762,1)&lt;&gt;"C",D4762&gt;0,F4762&gt;0),1,0)</f>
        <v>1</v>
      </c>
      <c r="J4762" s="7" t="n">
        <f aca="false">IF(I4762=1,D4762*F4762,0)</f>
        <v>1.9</v>
      </c>
      <c r="K4762" s="7" t="n">
        <f aca="false">YEAR(E4762)*100+MONTH(E4762)</f>
        <v>201111</v>
      </c>
      <c r="L4762" s="7" t="n">
        <f aca="false">IF(AND(A4762&lt;&gt;A4761,LEFT(A4762,1)&lt;&gt;"C"),1,0)</f>
        <v>0</v>
      </c>
    </row>
    <row r="4763" customFormat="false" ht="15" hidden="false" customHeight="false" outlineLevel="0" collapsed="false">
      <c r="A4763" s="0" t="s">
        <v>2891</v>
      </c>
      <c r="B4763" s="0" t="s">
        <v>2894</v>
      </c>
      <c r="C4763" s="0" t="s">
        <v>2895</v>
      </c>
      <c r="D4763" s="0" t="n">
        <v>2</v>
      </c>
      <c r="E4763" s="6" t="n">
        <v>40857.6854166667</v>
      </c>
      <c r="F4763" s="0" t="n">
        <v>0.39</v>
      </c>
      <c r="G4763" s="0" t="n">
        <v>12508</v>
      </c>
      <c r="H4763" s="0" t="s">
        <v>43</v>
      </c>
      <c r="I4763" s="7" t="n">
        <f aca="false">IF(AND(LEFT(A4763,1)&lt;&gt;"C",D4763&gt;0,F4763&gt;0),1,0)</f>
        <v>1</v>
      </c>
      <c r="J4763" s="7" t="n">
        <f aca="false">IF(I4763=1,D4763*F4763,0)</f>
        <v>0.78</v>
      </c>
      <c r="K4763" s="7" t="n">
        <f aca="false">YEAR(E4763)*100+MONTH(E4763)</f>
        <v>201111</v>
      </c>
      <c r="L4763" s="7" t="n">
        <f aca="false">IF(AND(A4763&lt;&gt;A4762,LEFT(A4763,1)&lt;&gt;"C"),1,0)</f>
        <v>0</v>
      </c>
    </row>
    <row r="4764" customFormat="false" ht="15" hidden="false" customHeight="false" outlineLevel="0" collapsed="false">
      <c r="A4764" s="0" t="s">
        <v>2891</v>
      </c>
      <c r="B4764" s="0" t="s">
        <v>2896</v>
      </c>
      <c r="C4764" s="0" t="s">
        <v>2897</v>
      </c>
      <c r="D4764" s="0" t="n">
        <v>10</v>
      </c>
      <c r="E4764" s="6" t="n">
        <v>40857.6854166667</v>
      </c>
      <c r="F4764" s="0" t="n">
        <v>0.42</v>
      </c>
      <c r="G4764" s="0" t="n">
        <v>12508</v>
      </c>
      <c r="H4764" s="0" t="s">
        <v>43</v>
      </c>
      <c r="I4764" s="7" t="n">
        <f aca="false">IF(AND(LEFT(A4764,1)&lt;&gt;"C",D4764&gt;0,F4764&gt;0),1,0)</f>
        <v>1</v>
      </c>
      <c r="J4764" s="7" t="n">
        <f aca="false">IF(I4764=1,D4764*F4764,0)</f>
        <v>4.2</v>
      </c>
      <c r="K4764" s="7" t="n">
        <f aca="false">YEAR(E4764)*100+MONTH(E4764)</f>
        <v>201111</v>
      </c>
      <c r="L4764" s="7" t="n">
        <f aca="false">IF(AND(A4764&lt;&gt;A4763,LEFT(A4764,1)&lt;&gt;"C"),1,0)</f>
        <v>0</v>
      </c>
    </row>
    <row r="4765" customFormat="false" ht="15" hidden="false" customHeight="false" outlineLevel="0" collapsed="false">
      <c r="A4765" s="0" t="s">
        <v>2891</v>
      </c>
      <c r="B4765" s="0" t="s">
        <v>2743</v>
      </c>
      <c r="C4765" s="0" t="s">
        <v>2744</v>
      </c>
      <c r="D4765" s="0" t="n">
        <v>5</v>
      </c>
      <c r="E4765" s="6" t="n">
        <v>40857.6854166667</v>
      </c>
      <c r="F4765" s="0" t="n">
        <v>1.65</v>
      </c>
      <c r="G4765" s="0" t="n">
        <v>12508</v>
      </c>
      <c r="H4765" s="0" t="s">
        <v>43</v>
      </c>
      <c r="I4765" s="7" t="n">
        <f aca="false">IF(AND(LEFT(A4765,1)&lt;&gt;"C",D4765&gt;0,F4765&gt;0),1,0)</f>
        <v>1</v>
      </c>
      <c r="J4765" s="7" t="n">
        <f aca="false">IF(I4765=1,D4765*F4765,0)</f>
        <v>8.25</v>
      </c>
      <c r="K4765" s="7" t="n">
        <f aca="false">YEAR(E4765)*100+MONTH(E4765)</f>
        <v>201111</v>
      </c>
      <c r="L4765" s="7" t="n">
        <f aca="false">IF(AND(A4765&lt;&gt;A4764,LEFT(A4765,1)&lt;&gt;"C"),1,0)</f>
        <v>0</v>
      </c>
    </row>
    <row r="4766" customFormat="false" ht="15" hidden="false" customHeight="false" outlineLevel="0" collapsed="false">
      <c r="A4766" s="0" t="s">
        <v>2891</v>
      </c>
      <c r="B4766" s="0" t="s">
        <v>549</v>
      </c>
      <c r="C4766" s="0" t="s">
        <v>550</v>
      </c>
      <c r="D4766" s="0" t="n">
        <v>3</v>
      </c>
      <c r="E4766" s="6" t="n">
        <v>40857.6854166667</v>
      </c>
      <c r="F4766" s="0" t="n">
        <v>1.45</v>
      </c>
      <c r="G4766" s="0" t="n">
        <v>12508</v>
      </c>
      <c r="H4766" s="0" t="s">
        <v>43</v>
      </c>
      <c r="I4766" s="7" t="n">
        <f aca="false">IF(AND(LEFT(A4766,1)&lt;&gt;"C",D4766&gt;0,F4766&gt;0),1,0)</f>
        <v>1</v>
      </c>
      <c r="J4766" s="7" t="n">
        <f aca="false">IF(I4766=1,D4766*F4766,0)</f>
        <v>4.35</v>
      </c>
      <c r="K4766" s="7" t="n">
        <f aca="false">YEAR(E4766)*100+MONTH(E4766)</f>
        <v>201111</v>
      </c>
      <c r="L4766" s="7" t="n">
        <f aca="false">IF(AND(A4766&lt;&gt;A4765,LEFT(A4766,1)&lt;&gt;"C"),1,0)</f>
        <v>0</v>
      </c>
    </row>
    <row r="4767" customFormat="false" ht="15" hidden="false" customHeight="false" outlineLevel="0" collapsed="false">
      <c r="A4767" s="0" t="s">
        <v>2891</v>
      </c>
      <c r="B4767" s="0" t="s">
        <v>241</v>
      </c>
      <c r="C4767" s="0" t="s">
        <v>242</v>
      </c>
      <c r="D4767" s="0" t="n">
        <v>3</v>
      </c>
      <c r="E4767" s="6" t="n">
        <v>40857.6854166667</v>
      </c>
      <c r="F4767" s="0" t="n">
        <v>1.45</v>
      </c>
      <c r="G4767" s="0" t="n">
        <v>12508</v>
      </c>
      <c r="H4767" s="0" t="s">
        <v>43</v>
      </c>
      <c r="I4767" s="7" t="n">
        <f aca="false">IF(AND(LEFT(A4767,1)&lt;&gt;"C",D4767&gt;0,F4767&gt;0),1,0)</f>
        <v>1</v>
      </c>
      <c r="J4767" s="7" t="n">
        <f aca="false">IF(I4767=1,D4767*F4767,0)</f>
        <v>4.35</v>
      </c>
      <c r="K4767" s="7" t="n">
        <f aca="false">YEAR(E4767)*100+MONTH(E4767)</f>
        <v>201111</v>
      </c>
      <c r="L4767" s="7" t="n">
        <f aca="false">IF(AND(A4767&lt;&gt;A4766,LEFT(A4767,1)&lt;&gt;"C"),1,0)</f>
        <v>0</v>
      </c>
    </row>
    <row r="4768" customFormat="false" ht="15" hidden="false" customHeight="false" outlineLevel="0" collapsed="false">
      <c r="A4768" s="0" t="s">
        <v>2891</v>
      </c>
      <c r="B4768" s="0" t="s">
        <v>2815</v>
      </c>
      <c r="C4768" s="0" t="s">
        <v>2816</v>
      </c>
      <c r="D4768" s="0" t="n">
        <v>1</v>
      </c>
      <c r="E4768" s="6" t="n">
        <v>40857.6854166667</v>
      </c>
      <c r="F4768" s="0" t="n">
        <v>0.39</v>
      </c>
      <c r="G4768" s="0" t="n">
        <v>12508</v>
      </c>
      <c r="H4768" s="0" t="s">
        <v>43</v>
      </c>
      <c r="I4768" s="7" t="n">
        <f aca="false">IF(AND(LEFT(A4768,1)&lt;&gt;"C",D4768&gt;0,F4768&gt;0),1,0)</f>
        <v>1</v>
      </c>
      <c r="J4768" s="7" t="n">
        <f aca="false">IF(I4768=1,D4768*F4768,0)</f>
        <v>0.39</v>
      </c>
      <c r="K4768" s="7" t="n">
        <f aca="false">YEAR(E4768)*100+MONTH(E4768)</f>
        <v>201111</v>
      </c>
      <c r="L4768" s="7" t="n">
        <f aca="false">IF(AND(A4768&lt;&gt;A4767,LEFT(A4768,1)&lt;&gt;"C"),1,0)</f>
        <v>0</v>
      </c>
    </row>
    <row r="4769" customFormat="false" ht="15" hidden="false" customHeight="false" outlineLevel="0" collapsed="false">
      <c r="A4769" s="0" t="s">
        <v>2891</v>
      </c>
      <c r="B4769" s="0" t="s">
        <v>2361</v>
      </c>
      <c r="C4769" s="0" t="s">
        <v>2362</v>
      </c>
      <c r="D4769" s="0" t="n">
        <v>5</v>
      </c>
      <c r="E4769" s="6" t="n">
        <v>40857.6854166667</v>
      </c>
      <c r="F4769" s="0" t="n">
        <v>1.25</v>
      </c>
      <c r="G4769" s="0" t="n">
        <v>12508</v>
      </c>
      <c r="H4769" s="0" t="s">
        <v>43</v>
      </c>
      <c r="I4769" s="7" t="n">
        <f aca="false">IF(AND(LEFT(A4769,1)&lt;&gt;"C",D4769&gt;0,F4769&gt;0),1,0)</f>
        <v>1</v>
      </c>
      <c r="J4769" s="7" t="n">
        <f aca="false">IF(I4769=1,D4769*F4769,0)</f>
        <v>6.25</v>
      </c>
      <c r="K4769" s="7" t="n">
        <f aca="false">YEAR(E4769)*100+MONTH(E4769)</f>
        <v>201111</v>
      </c>
      <c r="L4769" s="7" t="n">
        <f aca="false">IF(AND(A4769&lt;&gt;A4768,LEFT(A4769,1)&lt;&gt;"C"),1,0)</f>
        <v>0</v>
      </c>
    </row>
    <row r="4770" customFormat="false" ht="15" hidden="false" customHeight="false" outlineLevel="0" collapsed="false">
      <c r="A4770" s="0" t="s">
        <v>2891</v>
      </c>
      <c r="B4770" s="0" t="s">
        <v>2439</v>
      </c>
      <c r="C4770" s="0" t="s">
        <v>2440</v>
      </c>
      <c r="D4770" s="0" t="n">
        <v>3</v>
      </c>
      <c r="E4770" s="6" t="n">
        <v>40857.6854166667</v>
      </c>
      <c r="F4770" s="0" t="n">
        <v>3.75</v>
      </c>
      <c r="G4770" s="0" t="n">
        <v>12508</v>
      </c>
      <c r="H4770" s="0" t="s">
        <v>43</v>
      </c>
      <c r="I4770" s="7" t="n">
        <f aca="false">IF(AND(LEFT(A4770,1)&lt;&gt;"C",D4770&gt;0,F4770&gt;0),1,0)</f>
        <v>1</v>
      </c>
      <c r="J4770" s="7" t="n">
        <f aca="false">IF(I4770=1,D4770*F4770,0)</f>
        <v>11.25</v>
      </c>
      <c r="K4770" s="7" t="n">
        <f aca="false">YEAR(E4770)*100+MONTH(E4770)</f>
        <v>201111</v>
      </c>
      <c r="L4770" s="7" t="n">
        <f aca="false">IF(AND(A4770&lt;&gt;A4769,LEFT(A4770,1)&lt;&gt;"C"),1,0)</f>
        <v>0</v>
      </c>
    </row>
    <row r="4771" customFormat="false" ht="15" hidden="false" customHeight="false" outlineLevel="0" collapsed="false">
      <c r="A4771" s="0" t="s">
        <v>2891</v>
      </c>
      <c r="B4771" s="0" t="s">
        <v>2546</v>
      </c>
      <c r="C4771" s="0" t="s">
        <v>2547</v>
      </c>
      <c r="D4771" s="0" t="n">
        <v>1</v>
      </c>
      <c r="E4771" s="6" t="n">
        <v>40857.6854166667</v>
      </c>
      <c r="F4771" s="0" t="n">
        <v>2.95</v>
      </c>
      <c r="G4771" s="0" t="n">
        <v>12508</v>
      </c>
      <c r="H4771" s="0" t="s">
        <v>43</v>
      </c>
      <c r="I4771" s="7" t="n">
        <f aca="false">IF(AND(LEFT(A4771,1)&lt;&gt;"C",D4771&gt;0,F4771&gt;0),1,0)</f>
        <v>1</v>
      </c>
      <c r="J4771" s="7" t="n">
        <f aca="false">IF(I4771=1,D4771*F4771,0)</f>
        <v>2.95</v>
      </c>
      <c r="K4771" s="7" t="n">
        <f aca="false">YEAR(E4771)*100+MONTH(E4771)</f>
        <v>201111</v>
      </c>
      <c r="L4771" s="7" t="n">
        <f aca="false">IF(AND(A4771&lt;&gt;A4770,LEFT(A4771,1)&lt;&gt;"C"),1,0)</f>
        <v>0</v>
      </c>
    </row>
    <row r="4772" customFormat="false" ht="15" hidden="false" customHeight="false" outlineLevel="0" collapsed="false">
      <c r="A4772" s="0" t="s">
        <v>2891</v>
      </c>
      <c r="B4772" s="0" t="s">
        <v>2898</v>
      </c>
      <c r="C4772" s="0" t="s">
        <v>2899</v>
      </c>
      <c r="D4772" s="0" t="n">
        <v>6</v>
      </c>
      <c r="E4772" s="6" t="n">
        <v>40857.6854166667</v>
      </c>
      <c r="F4772" s="0" t="n">
        <v>1.95</v>
      </c>
      <c r="G4772" s="0" t="n">
        <v>12508</v>
      </c>
      <c r="H4772" s="0" t="s">
        <v>43</v>
      </c>
      <c r="I4772" s="7" t="n">
        <f aca="false">IF(AND(LEFT(A4772,1)&lt;&gt;"C",D4772&gt;0,F4772&gt;0),1,0)</f>
        <v>1</v>
      </c>
      <c r="J4772" s="7" t="n">
        <f aca="false">IF(I4772=1,D4772*F4772,0)</f>
        <v>11.7</v>
      </c>
      <c r="K4772" s="7" t="n">
        <f aca="false">YEAR(E4772)*100+MONTH(E4772)</f>
        <v>201111</v>
      </c>
      <c r="L4772" s="7" t="n">
        <f aca="false">IF(AND(A4772&lt;&gt;A4771,LEFT(A4772,1)&lt;&gt;"C"),1,0)</f>
        <v>0</v>
      </c>
    </row>
    <row r="4773" customFormat="false" ht="15" hidden="false" customHeight="false" outlineLevel="0" collapsed="false">
      <c r="A4773" s="0" t="s">
        <v>2891</v>
      </c>
      <c r="B4773" s="0" t="s">
        <v>1636</v>
      </c>
      <c r="C4773" s="0" t="s">
        <v>1637</v>
      </c>
      <c r="D4773" s="0" t="n">
        <v>1</v>
      </c>
      <c r="E4773" s="6" t="n">
        <v>40857.6854166667</v>
      </c>
      <c r="F4773" s="0" t="n">
        <v>1.25</v>
      </c>
      <c r="G4773" s="0" t="n">
        <v>12508</v>
      </c>
      <c r="H4773" s="0" t="s">
        <v>43</v>
      </c>
      <c r="I4773" s="7" t="n">
        <f aca="false">IF(AND(LEFT(A4773,1)&lt;&gt;"C",D4773&gt;0,F4773&gt;0),1,0)</f>
        <v>1</v>
      </c>
      <c r="J4773" s="7" t="n">
        <f aca="false">IF(I4773=1,D4773*F4773,0)</f>
        <v>1.25</v>
      </c>
      <c r="K4773" s="7" t="n">
        <f aca="false">YEAR(E4773)*100+MONTH(E4773)</f>
        <v>201111</v>
      </c>
      <c r="L4773" s="7" t="n">
        <f aca="false">IF(AND(A4773&lt;&gt;A4772,LEFT(A4773,1)&lt;&gt;"C"),1,0)</f>
        <v>0</v>
      </c>
    </row>
    <row r="4774" customFormat="false" ht="15" hidden="false" customHeight="false" outlineLevel="0" collapsed="false">
      <c r="A4774" s="0" t="s">
        <v>2891</v>
      </c>
      <c r="B4774" s="0" t="s">
        <v>2900</v>
      </c>
      <c r="C4774" s="0" t="s">
        <v>2901</v>
      </c>
      <c r="D4774" s="0" t="n">
        <v>3</v>
      </c>
      <c r="E4774" s="6" t="n">
        <v>40857.6854166667</v>
      </c>
      <c r="F4774" s="0" t="n">
        <v>0.79</v>
      </c>
      <c r="G4774" s="0" t="n">
        <v>12508</v>
      </c>
      <c r="H4774" s="0" t="s">
        <v>43</v>
      </c>
      <c r="I4774" s="7" t="n">
        <f aca="false">IF(AND(LEFT(A4774,1)&lt;&gt;"C",D4774&gt;0,F4774&gt;0),1,0)</f>
        <v>1</v>
      </c>
      <c r="J4774" s="7" t="n">
        <f aca="false">IF(I4774=1,D4774*F4774,0)</f>
        <v>2.37</v>
      </c>
      <c r="K4774" s="7" t="n">
        <f aca="false">YEAR(E4774)*100+MONTH(E4774)</f>
        <v>201111</v>
      </c>
      <c r="L4774" s="7" t="n">
        <f aca="false">IF(AND(A4774&lt;&gt;A4773,LEFT(A4774,1)&lt;&gt;"C"),1,0)</f>
        <v>0</v>
      </c>
    </row>
    <row r="4775" customFormat="false" ht="15" hidden="false" customHeight="false" outlineLevel="0" collapsed="false">
      <c r="A4775" s="0" t="s">
        <v>2891</v>
      </c>
      <c r="B4775" s="0" t="s">
        <v>2886</v>
      </c>
      <c r="C4775" s="0" t="s">
        <v>2887</v>
      </c>
      <c r="D4775" s="0" t="n">
        <v>3</v>
      </c>
      <c r="E4775" s="6" t="n">
        <v>40857.6854166667</v>
      </c>
      <c r="F4775" s="0" t="n">
        <v>0.29</v>
      </c>
      <c r="G4775" s="0" t="n">
        <v>12508</v>
      </c>
      <c r="H4775" s="0" t="s">
        <v>43</v>
      </c>
      <c r="I4775" s="7" t="n">
        <f aca="false">IF(AND(LEFT(A4775,1)&lt;&gt;"C",D4775&gt;0,F4775&gt;0),1,0)</f>
        <v>1</v>
      </c>
      <c r="J4775" s="7" t="n">
        <f aca="false">IF(I4775=1,D4775*F4775,0)</f>
        <v>0.87</v>
      </c>
      <c r="K4775" s="7" t="n">
        <f aca="false">YEAR(E4775)*100+MONTH(E4775)</f>
        <v>201111</v>
      </c>
      <c r="L4775" s="7" t="n">
        <f aca="false">IF(AND(A4775&lt;&gt;A4774,LEFT(A4775,1)&lt;&gt;"C"),1,0)</f>
        <v>0</v>
      </c>
    </row>
    <row r="4776" customFormat="false" ht="15" hidden="false" customHeight="false" outlineLevel="0" collapsed="false">
      <c r="A4776" s="0" t="s">
        <v>2891</v>
      </c>
      <c r="B4776" s="0" t="s">
        <v>709</v>
      </c>
      <c r="C4776" s="0" t="s">
        <v>710</v>
      </c>
      <c r="D4776" s="0" t="n">
        <v>10</v>
      </c>
      <c r="E4776" s="6" t="n">
        <v>40857.6854166667</v>
      </c>
      <c r="F4776" s="0" t="n">
        <v>0.85</v>
      </c>
      <c r="G4776" s="0" t="n">
        <v>12508</v>
      </c>
      <c r="H4776" s="0" t="s">
        <v>43</v>
      </c>
      <c r="I4776" s="7" t="n">
        <f aca="false">IF(AND(LEFT(A4776,1)&lt;&gt;"C",D4776&gt;0,F4776&gt;0),1,0)</f>
        <v>1</v>
      </c>
      <c r="J4776" s="7" t="n">
        <f aca="false">IF(I4776=1,D4776*F4776,0)</f>
        <v>8.5</v>
      </c>
      <c r="K4776" s="7" t="n">
        <f aca="false">YEAR(E4776)*100+MONTH(E4776)</f>
        <v>201111</v>
      </c>
      <c r="L4776" s="7" t="n">
        <f aca="false">IF(AND(A4776&lt;&gt;A4775,LEFT(A4776,1)&lt;&gt;"C"),1,0)</f>
        <v>0</v>
      </c>
    </row>
    <row r="4777" customFormat="false" ht="15" hidden="false" customHeight="false" outlineLevel="0" collapsed="false">
      <c r="A4777" s="0" t="s">
        <v>2891</v>
      </c>
      <c r="B4777" s="0" t="s">
        <v>2116</v>
      </c>
      <c r="C4777" s="0" t="s">
        <v>2117</v>
      </c>
      <c r="D4777" s="0" t="n">
        <v>10</v>
      </c>
      <c r="E4777" s="6" t="n">
        <v>40857.6854166667</v>
      </c>
      <c r="F4777" s="0" t="n">
        <v>0.85</v>
      </c>
      <c r="G4777" s="0" t="n">
        <v>12508</v>
      </c>
      <c r="H4777" s="0" t="s">
        <v>43</v>
      </c>
      <c r="I4777" s="7" t="n">
        <f aca="false">IF(AND(LEFT(A4777,1)&lt;&gt;"C",D4777&gt;0,F4777&gt;0),1,0)</f>
        <v>1</v>
      </c>
      <c r="J4777" s="7" t="n">
        <f aca="false">IF(I4777=1,D4777*F4777,0)</f>
        <v>8.5</v>
      </c>
      <c r="K4777" s="7" t="n">
        <f aca="false">YEAR(E4777)*100+MONTH(E4777)</f>
        <v>201111</v>
      </c>
      <c r="L4777" s="7" t="n">
        <f aca="false">IF(AND(A4777&lt;&gt;A4776,LEFT(A4777,1)&lt;&gt;"C"),1,0)</f>
        <v>0</v>
      </c>
    </row>
    <row r="4778" customFormat="false" ht="15" hidden="false" customHeight="false" outlineLevel="0" collapsed="false">
      <c r="A4778" s="0" t="s">
        <v>2891</v>
      </c>
      <c r="B4778" s="0" t="s">
        <v>2817</v>
      </c>
      <c r="C4778" s="0" t="s">
        <v>2818</v>
      </c>
      <c r="D4778" s="0" t="n">
        <v>10</v>
      </c>
      <c r="E4778" s="6" t="n">
        <v>40857.6854166667</v>
      </c>
      <c r="F4778" s="0" t="n">
        <v>0.85</v>
      </c>
      <c r="G4778" s="0" t="n">
        <v>12508</v>
      </c>
      <c r="H4778" s="0" t="s">
        <v>43</v>
      </c>
      <c r="I4778" s="7" t="n">
        <f aca="false">IF(AND(LEFT(A4778,1)&lt;&gt;"C",D4778&gt;0,F4778&gt;0),1,0)</f>
        <v>1</v>
      </c>
      <c r="J4778" s="7" t="n">
        <f aca="false">IF(I4778=1,D4778*F4778,0)</f>
        <v>8.5</v>
      </c>
      <c r="K4778" s="7" t="n">
        <f aca="false">YEAR(E4778)*100+MONTH(E4778)</f>
        <v>201111</v>
      </c>
      <c r="L4778" s="7" t="n">
        <f aca="false">IF(AND(A4778&lt;&gt;A4777,LEFT(A4778,1)&lt;&gt;"C"),1,0)</f>
        <v>0</v>
      </c>
    </row>
    <row r="4779" customFormat="false" ht="15" hidden="false" customHeight="false" outlineLevel="0" collapsed="false">
      <c r="A4779" s="0" t="s">
        <v>2891</v>
      </c>
      <c r="B4779" s="0" t="s">
        <v>2465</v>
      </c>
      <c r="C4779" s="0" t="s">
        <v>2466</v>
      </c>
      <c r="D4779" s="0" t="n">
        <v>1</v>
      </c>
      <c r="E4779" s="6" t="n">
        <v>40857.6854166667</v>
      </c>
      <c r="F4779" s="0" t="n">
        <v>1.25</v>
      </c>
      <c r="G4779" s="0" t="n">
        <v>12508</v>
      </c>
      <c r="H4779" s="0" t="s">
        <v>43</v>
      </c>
      <c r="I4779" s="7" t="n">
        <f aca="false">IF(AND(LEFT(A4779,1)&lt;&gt;"C",D4779&gt;0,F4779&gt;0),1,0)</f>
        <v>1</v>
      </c>
      <c r="J4779" s="7" t="n">
        <f aca="false">IF(I4779=1,D4779*F4779,0)</f>
        <v>1.25</v>
      </c>
      <c r="K4779" s="7" t="n">
        <f aca="false">YEAR(E4779)*100+MONTH(E4779)</f>
        <v>201111</v>
      </c>
      <c r="L4779" s="7" t="n">
        <f aca="false">IF(AND(A4779&lt;&gt;A4778,LEFT(A4779,1)&lt;&gt;"C"),1,0)</f>
        <v>0</v>
      </c>
    </row>
    <row r="4780" customFormat="false" ht="15" hidden="false" customHeight="false" outlineLevel="0" collapsed="false">
      <c r="A4780" s="0" t="s">
        <v>2891</v>
      </c>
      <c r="B4780" s="0" t="s">
        <v>2463</v>
      </c>
      <c r="C4780" s="0" t="s">
        <v>2464</v>
      </c>
      <c r="D4780" s="0" t="n">
        <v>2</v>
      </c>
      <c r="E4780" s="6" t="n">
        <v>40857.6854166667</v>
      </c>
      <c r="F4780" s="0" t="n">
        <v>1.25</v>
      </c>
      <c r="G4780" s="0" t="n">
        <v>12508</v>
      </c>
      <c r="H4780" s="0" t="s">
        <v>43</v>
      </c>
      <c r="I4780" s="7" t="n">
        <f aca="false">IF(AND(LEFT(A4780,1)&lt;&gt;"C",D4780&gt;0,F4780&gt;0),1,0)</f>
        <v>1</v>
      </c>
      <c r="J4780" s="7" t="n">
        <f aca="false">IF(I4780=1,D4780*F4780,0)</f>
        <v>2.5</v>
      </c>
      <c r="K4780" s="7" t="n">
        <f aca="false">YEAR(E4780)*100+MONTH(E4780)</f>
        <v>201111</v>
      </c>
      <c r="L4780" s="7" t="n">
        <f aca="false">IF(AND(A4780&lt;&gt;A4779,LEFT(A4780,1)&lt;&gt;"C"),1,0)</f>
        <v>0</v>
      </c>
    </row>
    <row r="4781" customFormat="false" ht="15" hidden="false" customHeight="false" outlineLevel="0" collapsed="false">
      <c r="A4781" s="0" t="s">
        <v>2891</v>
      </c>
      <c r="B4781" s="0" t="s">
        <v>2002</v>
      </c>
      <c r="C4781" s="0" t="s">
        <v>2003</v>
      </c>
      <c r="D4781" s="0" t="n">
        <v>2</v>
      </c>
      <c r="E4781" s="6" t="n">
        <v>40857.6854166667</v>
      </c>
      <c r="F4781" s="0" t="n">
        <v>0.29</v>
      </c>
      <c r="G4781" s="0" t="n">
        <v>12508</v>
      </c>
      <c r="H4781" s="0" t="s">
        <v>43</v>
      </c>
      <c r="I4781" s="7" t="n">
        <f aca="false">IF(AND(LEFT(A4781,1)&lt;&gt;"C",D4781&gt;0,F4781&gt;0),1,0)</f>
        <v>1</v>
      </c>
      <c r="J4781" s="7" t="n">
        <f aca="false">IF(I4781=1,D4781*F4781,0)</f>
        <v>0.58</v>
      </c>
      <c r="K4781" s="7" t="n">
        <f aca="false">YEAR(E4781)*100+MONTH(E4781)</f>
        <v>201111</v>
      </c>
      <c r="L4781" s="7" t="n">
        <f aca="false">IF(AND(A4781&lt;&gt;A4780,LEFT(A4781,1)&lt;&gt;"C"),1,0)</f>
        <v>0</v>
      </c>
    </row>
    <row r="4782" customFormat="false" ht="15" hidden="false" customHeight="false" outlineLevel="0" collapsed="false">
      <c r="A4782" s="0" t="s">
        <v>2891</v>
      </c>
      <c r="B4782" s="0" t="s">
        <v>2886</v>
      </c>
      <c r="C4782" s="0" t="s">
        <v>2887</v>
      </c>
      <c r="D4782" s="0" t="n">
        <v>5</v>
      </c>
      <c r="E4782" s="6" t="n">
        <v>40857.6854166667</v>
      </c>
      <c r="F4782" s="0" t="n">
        <v>0.29</v>
      </c>
      <c r="G4782" s="0" t="n">
        <v>12508</v>
      </c>
      <c r="H4782" s="0" t="s">
        <v>43</v>
      </c>
      <c r="I4782" s="7" t="n">
        <f aca="false">IF(AND(LEFT(A4782,1)&lt;&gt;"C",D4782&gt;0,F4782&gt;0),1,0)</f>
        <v>1</v>
      </c>
      <c r="J4782" s="7" t="n">
        <f aca="false">IF(I4782=1,D4782*F4782,0)</f>
        <v>1.45</v>
      </c>
      <c r="K4782" s="7" t="n">
        <f aca="false">YEAR(E4782)*100+MONTH(E4782)</f>
        <v>201111</v>
      </c>
      <c r="L4782" s="7" t="n">
        <f aca="false">IF(AND(A4782&lt;&gt;A4781,LEFT(A4782,1)&lt;&gt;"C"),1,0)</f>
        <v>0</v>
      </c>
    </row>
    <row r="4783" customFormat="false" ht="15" hidden="false" customHeight="false" outlineLevel="0" collapsed="false">
      <c r="A4783" s="0" t="s">
        <v>2891</v>
      </c>
      <c r="B4783" s="0" t="s">
        <v>2465</v>
      </c>
      <c r="C4783" s="0" t="s">
        <v>2466</v>
      </c>
      <c r="D4783" s="0" t="n">
        <v>2</v>
      </c>
      <c r="E4783" s="6" t="n">
        <v>40857.6854166667</v>
      </c>
      <c r="F4783" s="0" t="n">
        <v>1.25</v>
      </c>
      <c r="G4783" s="0" t="n">
        <v>12508</v>
      </c>
      <c r="H4783" s="0" t="s">
        <v>43</v>
      </c>
      <c r="I4783" s="7" t="n">
        <f aca="false">IF(AND(LEFT(A4783,1)&lt;&gt;"C",D4783&gt;0,F4783&gt;0),1,0)</f>
        <v>1</v>
      </c>
      <c r="J4783" s="7" t="n">
        <f aca="false">IF(I4783=1,D4783*F4783,0)</f>
        <v>2.5</v>
      </c>
      <c r="K4783" s="7" t="n">
        <f aca="false">YEAR(E4783)*100+MONTH(E4783)</f>
        <v>201111</v>
      </c>
      <c r="L4783" s="7" t="n">
        <f aca="false">IF(AND(A4783&lt;&gt;A4782,LEFT(A4783,1)&lt;&gt;"C"),1,0)</f>
        <v>0</v>
      </c>
    </row>
    <row r="4784" customFormat="false" ht="15" hidden="false" customHeight="false" outlineLevel="0" collapsed="false">
      <c r="A4784" s="0" t="s">
        <v>2891</v>
      </c>
      <c r="B4784" s="0" t="s">
        <v>2463</v>
      </c>
      <c r="C4784" s="0" t="s">
        <v>2464</v>
      </c>
      <c r="D4784" s="0" t="n">
        <v>1</v>
      </c>
      <c r="E4784" s="6" t="n">
        <v>40857.6854166667</v>
      </c>
      <c r="F4784" s="0" t="n">
        <v>1.25</v>
      </c>
      <c r="G4784" s="0" t="n">
        <v>12508</v>
      </c>
      <c r="H4784" s="0" t="s">
        <v>43</v>
      </c>
      <c r="I4784" s="7" t="n">
        <f aca="false">IF(AND(LEFT(A4784,1)&lt;&gt;"C",D4784&gt;0,F4784&gt;0),1,0)</f>
        <v>1</v>
      </c>
      <c r="J4784" s="7" t="n">
        <f aca="false">IF(I4784=1,D4784*F4784,0)</f>
        <v>1.25</v>
      </c>
      <c r="K4784" s="7" t="n">
        <f aca="false">YEAR(E4784)*100+MONTH(E4784)</f>
        <v>201111</v>
      </c>
      <c r="L4784" s="7" t="n">
        <f aca="false">IF(AND(A4784&lt;&gt;A4783,LEFT(A4784,1)&lt;&gt;"C"),1,0)</f>
        <v>0</v>
      </c>
    </row>
    <row r="4785" customFormat="false" ht="15" hidden="false" customHeight="false" outlineLevel="0" collapsed="false">
      <c r="A4785" s="0" t="s">
        <v>2891</v>
      </c>
      <c r="B4785" s="0" t="s">
        <v>2902</v>
      </c>
      <c r="C4785" s="0" t="s">
        <v>2903</v>
      </c>
      <c r="D4785" s="0" t="n">
        <v>4</v>
      </c>
      <c r="E4785" s="6" t="n">
        <v>40857.6854166667</v>
      </c>
      <c r="F4785" s="0" t="n">
        <v>0.85</v>
      </c>
      <c r="G4785" s="0" t="n">
        <v>12508</v>
      </c>
      <c r="H4785" s="0" t="s">
        <v>43</v>
      </c>
      <c r="I4785" s="7" t="n">
        <f aca="false">IF(AND(LEFT(A4785,1)&lt;&gt;"C",D4785&gt;0,F4785&gt;0),1,0)</f>
        <v>1</v>
      </c>
      <c r="J4785" s="7" t="n">
        <f aca="false">IF(I4785=1,D4785*F4785,0)</f>
        <v>3.4</v>
      </c>
      <c r="K4785" s="7" t="n">
        <f aca="false">YEAR(E4785)*100+MONTH(E4785)</f>
        <v>201111</v>
      </c>
      <c r="L4785" s="7" t="n">
        <f aca="false">IF(AND(A4785&lt;&gt;A4784,LEFT(A4785,1)&lt;&gt;"C"),1,0)</f>
        <v>0</v>
      </c>
    </row>
    <row r="4786" customFormat="false" ht="15" hidden="false" customHeight="false" outlineLevel="0" collapsed="false">
      <c r="A4786" s="0" t="s">
        <v>2891</v>
      </c>
      <c r="B4786" s="0" t="s">
        <v>2034</v>
      </c>
      <c r="C4786" s="0" t="s">
        <v>2035</v>
      </c>
      <c r="D4786" s="0" t="n">
        <v>5</v>
      </c>
      <c r="E4786" s="6" t="n">
        <v>40857.6854166667</v>
      </c>
      <c r="F4786" s="0" t="n">
        <v>1.25</v>
      </c>
      <c r="G4786" s="0" t="n">
        <v>12508</v>
      </c>
      <c r="H4786" s="0" t="s">
        <v>43</v>
      </c>
      <c r="I4786" s="7" t="n">
        <f aca="false">IF(AND(LEFT(A4786,1)&lt;&gt;"C",D4786&gt;0,F4786&gt;0),1,0)</f>
        <v>1</v>
      </c>
      <c r="J4786" s="7" t="n">
        <f aca="false">IF(I4786=1,D4786*F4786,0)</f>
        <v>6.25</v>
      </c>
      <c r="K4786" s="7" t="n">
        <f aca="false">YEAR(E4786)*100+MONTH(E4786)</f>
        <v>201111</v>
      </c>
      <c r="L4786" s="7" t="n">
        <f aca="false">IF(AND(A4786&lt;&gt;A4785,LEFT(A4786,1)&lt;&gt;"C"),1,0)</f>
        <v>0</v>
      </c>
    </row>
    <row r="4787" customFormat="false" ht="15" hidden="false" customHeight="false" outlineLevel="0" collapsed="false">
      <c r="A4787" s="0" t="s">
        <v>2891</v>
      </c>
      <c r="B4787" s="0" t="s">
        <v>1120</v>
      </c>
      <c r="C4787" s="0" t="s">
        <v>1121</v>
      </c>
      <c r="D4787" s="0" t="n">
        <v>3</v>
      </c>
      <c r="E4787" s="6" t="n">
        <v>40857.6854166667</v>
      </c>
      <c r="F4787" s="0" t="n">
        <v>3.75</v>
      </c>
      <c r="G4787" s="0" t="n">
        <v>12508</v>
      </c>
      <c r="H4787" s="0" t="s">
        <v>43</v>
      </c>
      <c r="I4787" s="7" t="n">
        <f aca="false">IF(AND(LEFT(A4787,1)&lt;&gt;"C",D4787&gt;0,F4787&gt;0),1,0)</f>
        <v>1</v>
      </c>
      <c r="J4787" s="7" t="n">
        <f aca="false">IF(I4787=1,D4787*F4787,0)</f>
        <v>11.25</v>
      </c>
      <c r="K4787" s="7" t="n">
        <f aca="false">YEAR(E4787)*100+MONTH(E4787)</f>
        <v>201111</v>
      </c>
      <c r="L4787" s="7" t="n">
        <f aca="false">IF(AND(A4787&lt;&gt;A4786,LEFT(A4787,1)&lt;&gt;"C"),1,0)</f>
        <v>0</v>
      </c>
    </row>
    <row r="4788" customFormat="false" ht="15" hidden="false" customHeight="false" outlineLevel="0" collapsed="false">
      <c r="A4788" s="0" t="s">
        <v>2891</v>
      </c>
      <c r="B4788" s="0" t="s">
        <v>1776</v>
      </c>
      <c r="C4788" s="0" t="s">
        <v>1777</v>
      </c>
      <c r="D4788" s="0" t="n">
        <v>3</v>
      </c>
      <c r="E4788" s="6" t="n">
        <v>40857.6854166667</v>
      </c>
      <c r="F4788" s="0" t="n">
        <v>0.79</v>
      </c>
      <c r="G4788" s="0" t="n">
        <v>12508</v>
      </c>
      <c r="H4788" s="0" t="s">
        <v>43</v>
      </c>
      <c r="I4788" s="7" t="n">
        <f aca="false">IF(AND(LEFT(A4788,1)&lt;&gt;"C",D4788&gt;0,F4788&gt;0),1,0)</f>
        <v>1</v>
      </c>
      <c r="J4788" s="7" t="n">
        <f aca="false">IF(I4788=1,D4788*F4788,0)</f>
        <v>2.37</v>
      </c>
      <c r="K4788" s="7" t="n">
        <f aca="false">YEAR(E4788)*100+MONTH(E4788)</f>
        <v>201111</v>
      </c>
      <c r="L4788" s="7" t="n">
        <f aca="false">IF(AND(A4788&lt;&gt;A4787,LEFT(A4788,1)&lt;&gt;"C"),1,0)</f>
        <v>0</v>
      </c>
    </row>
    <row r="4789" customFormat="false" ht="15" hidden="false" customHeight="false" outlineLevel="0" collapsed="false">
      <c r="A4789" s="0" t="s">
        <v>2891</v>
      </c>
      <c r="B4789" s="0" t="s">
        <v>1755</v>
      </c>
      <c r="C4789" s="0" t="s">
        <v>1756</v>
      </c>
      <c r="D4789" s="0" t="n">
        <v>3</v>
      </c>
      <c r="E4789" s="6" t="n">
        <v>40857.6854166667</v>
      </c>
      <c r="F4789" s="0" t="n">
        <v>2.55</v>
      </c>
      <c r="G4789" s="0" t="n">
        <v>12508</v>
      </c>
      <c r="H4789" s="0" t="s">
        <v>43</v>
      </c>
      <c r="I4789" s="7" t="n">
        <f aca="false">IF(AND(LEFT(A4789,1)&lt;&gt;"C",D4789&gt;0,F4789&gt;0),1,0)</f>
        <v>1</v>
      </c>
      <c r="J4789" s="7" t="n">
        <f aca="false">IF(I4789=1,D4789*F4789,0)</f>
        <v>7.65</v>
      </c>
      <c r="K4789" s="7" t="n">
        <f aca="false">YEAR(E4789)*100+MONTH(E4789)</f>
        <v>201111</v>
      </c>
      <c r="L4789" s="7" t="n">
        <f aca="false">IF(AND(A4789&lt;&gt;A4788,LEFT(A4789,1)&lt;&gt;"C"),1,0)</f>
        <v>0</v>
      </c>
    </row>
    <row r="4790" customFormat="false" ht="15" hidden="false" customHeight="false" outlineLevel="0" collapsed="false">
      <c r="A4790" s="0" t="s">
        <v>2891</v>
      </c>
      <c r="B4790" s="0" t="s">
        <v>1017</v>
      </c>
      <c r="C4790" s="0" t="s">
        <v>1018</v>
      </c>
      <c r="D4790" s="0" t="n">
        <v>3</v>
      </c>
      <c r="E4790" s="6" t="n">
        <v>40857.6854166667</v>
      </c>
      <c r="F4790" s="0" t="n">
        <v>2.55</v>
      </c>
      <c r="G4790" s="0" t="n">
        <v>12508</v>
      </c>
      <c r="H4790" s="0" t="s">
        <v>43</v>
      </c>
      <c r="I4790" s="7" t="n">
        <f aca="false">IF(AND(LEFT(A4790,1)&lt;&gt;"C",D4790&gt;0,F4790&gt;0),1,0)</f>
        <v>1</v>
      </c>
      <c r="J4790" s="7" t="n">
        <f aca="false">IF(I4790=1,D4790*F4790,0)</f>
        <v>7.65</v>
      </c>
      <c r="K4790" s="7" t="n">
        <f aca="false">YEAR(E4790)*100+MONTH(E4790)</f>
        <v>201111</v>
      </c>
      <c r="L4790" s="7" t="n">
        <f aca="false">IF(AND(A4790&lt;&gt;A4789,LEFT(A4790,1)&lt;&gt;"C"),1,0)</f>
        <v>0</v>
      </c>
    </row>
    <row r="4791" customFormat="false" ht="15" hidden="false" customHeight="false" outlineLevel="0" collapsed="false">
      <c r="A4791" s="0" t="s">
        <v>2891</v>
      </c>
      <c r="B4791" s="0" t="s">
        <v>1559</v>
      </c>
      <c r="C4791" s="0" t="s">
        <v>1560</v>
      </c>
      <c r="D4791" s="0" t="n">
        <v>3</v>
      </c>
      <c r="E4791" s="6" t="n">
        <v>40857.6854166667</v>
      </c>
      <c r="F4791" s="0" t="n">
        <v>2.1</v>
      </c>
      <c r="G4791" s="0" t="n">
        <v>12508</v>
      </c>
      <c r="H4791" s="0" t="s">
        <v>43</v>
      </c>
      <c r="I4791" s="7" t="n">
        <f aca="false">IF(AND(LEFT(A4791,1)&lt;&gt;"C",D4791&gt;0,F4791&gt;0),1,0)</f>
        <v>1</v>
      </c>
      <c r="J4791" s="7" t="n">
        <f aca="false">IF(I4791=1,D4791*F4791,0)</f>
        <v>6.3</v>
      </c>
      <c r="K4791" s="7" t="n">
        <f aca="false">YEAR(E4791)*100+MONTH(E4791)</f>
        <v>201111</v>
      </c>
      <c r="L4791" s="7" t="n">
        <f aca="false">IF(AND(A4791&lt;&gt;A4790,LEFT(A4791,1)&lt;&gt;"C"),1,0)</f>
        <v>0</v>
      </c>
    </row>
    <row r="4792" customFormat="false" ht="15" hidden="false" customHeight="false" outlineLevel="0" collapsed="false">
      <c r="A4792" s="0" t="s">
        <v>2891</v>
      </c>
      <c r="B4792" s="0" t="s">
        <v>1232</v>
      </c>
      <c r="C4792" s="0" t="s">
        <v>1233</v>
      </c>
      <c r="D4792" s="0" t="n">
        <v>3</v>
      </c>
      <c r="E4792" s="6" t="n">
        <v>40857.6854166667</v>
      </c>
      <c r="F4792" s="0" t="n">
        <v>2.1</v>
      </c>
      <c r="G4792" s="0" t="n">
        <v>12508</v>
      </c>
      <c r="H4792" s="0" t="s">
        <v>43</v>
      </c>
      <c r="I4792" s="7" t="n">
        <f aca="false">IF(AND(LEFT(A4792,1)&lt;&gt;"C",D4792&gt;0,F4792&gt;0),1,0)</f>
        <v>1</v>
      </c>
      <c r="J4792" s="7" t="n">
        <f aca="false">IF(I4792=1,D4792*F4792,0)</f>
        <v>6.3</v>
      </c>
      <c r="K4792" s="7" t="n">
        <f aca="false">YEAR(E4792)*100+MONTH(E4792)</f>
        <v>201111</v>
      </c>
      <c r="L4792" s="7" t="n">
        <f aca="false">IF(AND(A4792&lt;&gt;A4791,LEFT(A4792,1)&lt;&gt;"C"),1,0)</f>
        <v>0</v>
      </c>
    </row>
    <row r="4793" customFormat="false" ht="15" hidden="false" customHeight="false" outlineLevel="0" collapsed="false">
      <c r="A4793" s="0" t="s">
        <v>2891</v>
      </c>
      <c r="B4793" s="0" t="s">
        <v>2681</v>
      </c>
      <c r="C4793" s="0" t="s">
        <v>2682</v>
      </c>
      <c r="D4793" s="0" t="n">
        <v>1</v>
      </c>
      <c r="E4793" s="6" t="n">
        <v>40857.6854166667</v>
      </c>
      <c r="F4793" s="0" t="n">
        <v>2.95</v>
      </c>
      <c r="G4793" s="0" t="n">
        <v>12508</v>
      </c>
      <c r="H4793" s="0" t="s">
        <v>43</v>
      </c>
      <c r="I4793" s="7" t="n">
        <f aca="false">IF(AND(LEFT(A4793,1)&lt;&gt;"C",D4793&gt;0,F4793&gt;0),1,0)</f>
        <v>1</v>
      </c>
      <c r="J4793" s="7" t="n">
        <f aca="false">IF(I4793=1,D4793*F4793,0)</f>
        <v>2.95</v>
      </c>
      <c r="K4793" s="7" t="n">
        <f aca="false">YEAR(E4793)*100+MONTH(E4793)</f>
        <v>201111</v>
      </c>
      <c r="L4793" s="7" t="n">
        <f aca="false">IF(AND(A4793&lt;&gt;A4792,LEFT(A4793,1)&lt;&gt;"C"),1,0)</f>
        <v>0</v>
      </c>
    </row>
    <row r="4794" customFormat="false" ht="15" hidden="false" customHeight="false" outlineLevel="0" collapsed="false">
      <c r="A4794" s="0" t="s">
        <v>2891</v>
      </c>
      <c r="B4794" s="0" t="s">
        <v>2504</v>
      </c>
      <c r="C4794" s="0" t="s">
        <v>2505</v>
      </c>
      <c r="D4794" s="0" t="n">
        <v>3</v>
      </c>
      <c r="E4794" s="6" t="n">
        <v>40857.6854166667</v>
      </c>
      <c r="F4794" s="0" t="n">
        <v>1.95</v>
      </c>
      <c r="G4794" s="0" t="n">
        <v>12508</v>
      </c>
      <c r="H4794" s="0" t="s">
        <v>43</v>
      </c>
      <c r="I4794" s="7" t="n">
        <f aca="false">IF(AND(LEFT(A4794,1)&lt;&gt;"C",D4794&gt;0,F4794&gt;0),1,0)</f>
        <v>1</v>
      </c>
      <c r="J4794" s="7" t="n">
        <f aca="false">IF(I4794=1,D4794*F4794,0)</f>
        <v>5.85</v>
      </c>
      <c r="K4794" s="7" t="n">
        <f aca="false">YEAR(E4794)*100+MONTH(E4794)</f>
        <v>201111</v>
      </c>
      <c r="L4794" s="7" t="n">
        <f aca="false">IF(AND(A4794&lt;&gt;A4793,LEFT(A4794,1)&lt;&gt;"C"),1,0)</f>
        <v>0</v>
      </c>
    </row>
    <row r="4795" customFormat="false" ht="15" hidden="false" customHeight="false" outlineLevel="0" collapsed="false">
      <c r="A4795" s="0" t="s">
        <v>2891</v>
      </c>
      <c r="B4795" s="0" t="s">
        <v>2904</v>
      </c>
      <c r="C4795" s="0" t="s">
        <v>2905</v>
      </c>
      <c r="D4795" s="0" t="n">
        <v>9</v>
      </c>
      <c r="E4795" s="6" t="n">
        <v>40857.6854166667</v>
      </c>
      <c r="F4795" s="0" t="n">
        <v>0.63</v>
      </c>
      <c r="G4795" s="0" t="n">
        <v>12508</v>
      </c>
      <c r="H4795" s="0" t="s">
        <v>43</v>
      </c>
      <c r="I4795" s="7" t="n">
        <f aca="false">IF(AND(LEFT(A4795,1)&lt;&gt;"C",D4795&gt;0,F4795&gt;0),1,0)</f>
        <v>1</v>
      </c>
      <c r="J4795" s="7" t="n">
        <f aca="false">IF(I4795=1,D4795*F4795,0)</f>
        <v>5.67</v>
      </c>
      <c r="K4795" s="7" t="n">
        <f aca="false">YEAR(E4795)*100+MONTH(E4795)</f>
        <v>201111</v>
      </c>
      <c r="L4795" s="7" t="n">
        <f aca="false">IF(AND(A4795&lt;&gt;A4794,LEFT(A4795,1)&lt;&gt;"C"),1,0)</f>
        <v>0</v>
      </c>
    </row>
    <row r="4796" customFormat="false" ht="15" hidden="false" customHeight="false" outlineLevel="0" collapsed="false">
      <c r="A4796" s="0" t="s">
        <v>2891</v>
      </c>
      <c r="B4796" s="0" t="s">
        <v>2158</v>
      </c>
      <c r="C4796" s="0" t="s">
        <v>2159</v>
      </c>
      <c r="D4796" s="0" t="n">
        <v>1</v>
      </c>
      <c r="E4796" s="6" t="n">
        <v>40857.6854166667</v>
      </c>
      <c r="F4796" s="0" t="n">
        <v>1.25</v>
      </c>
      <c r="G4796" s="0" t="n">
        <v>12508</v>
      </c>
      <c r="H4796" s="0" t="s">
        <v>43</v>
      </c>
      <c r="I4796" s="7" t="n">
        <f aca="false">IF(AND(LEFT(A4796,1)&lt;&gt;"C",D4796&gt;0,F4796&gt;0),1,0)</f>
        <v>1</v>
      </c>
      <c r="J4796" s="7" t="n">
        <f aca="false">IF(I4796=1,D4796*F4796,0)</f>
        <v>1.25</v>
      </c>
      <c r="K4796" s="7" t="n">
        <f aca="false">YEAR(E4796)*100+MONTH(E4796)</f>
        <v>201111</v>
      </c>
      <c r="L4796" s="7" t="n">
        <f aca="false">IF(AND(A4796&lt;&gt;A4795,LEFT(A4796,1)&lt;&gt;"C"),1,0)</f>
        <v>0</v>
      </c>
    </row>
    <row r="4797" customFormat="false" ht="15" hidden="false" customHeight="false" outlineLevel="0" collapsed="false">
      <c r="A4797" s="0" t="s">
        <v>2891</v>
      </c>
      <c r="B4797" s="0" t="s">
        <v>2815</v>
      </c>
      <c r="C4797" s="0" t="s">
        <v>2816</v>
      </c>
      <c r="D4797" s="0" t="n">
        <v>1</v>
      </c>
      <c r="E4797" s="6" t="n">
        <v>40857.6854166667</v>
      </c>
      <c r="F4797" s="0" t="n">
        <v>0.39</v>
      </c>
      <c r="G4797" s="0" t="n">
        <v>12508</v>
      </c>
      <c r="H4797" s="0" t="s">
        <v>43</v>
      </c>
      <c r="I4797" s="7" t="n">
        <f aca="false">IF(AND(LEFT(A4797,1)&lt;&gt;"C",D4797&gt;0,F4797&gt;0),1,0)</f>
        <v>1</v>
      </c>
      <c r="J4797" s="7" t="n">
        <f aca="false">IF(I4797=1,D4797*F4797,0)</f>
        <v>0.39</v>
      </c>
      <c r="K4797" s="7" t="n">
        <f aca="false">YEAR(E4797)*100+MONTH(E4797)</f>
        <v>201111</v>
      </c>
      <c r="L4797" s="7" t="n">
        <f aca="false">IF(AND(A4797&lt;&gt;A4796,LEFT(A4797,1)&lt;&gt;"C"),1,0)</f>
        <v>0</v>
      </c>
    </row>
    <row r="4798" customFormat="false" ht="15" hidden="false" customHeight="false" outlineLevel="0" collapsed="false">
      <c r="A4798" s="0" t="s">
        <v>2891</v>
      </c>
      <c r="B4798" s="0" t="s">
        <v>2002</v>
      </c>
      <c r="C4798" s="0" t="s">
        <v>2003</v>
      </c>
      <c r="D4798" s="0" t="n">
        <v>8</v>
      </c>
      <c r="E4798" s="6" t="n">
        <v>40857.6854166667</v>
      </c>
      <c r="F4798" s="0" t="n">
        <v>0.29</v>
      </c>
      <c r="G4798" s="0" t="n">
        <v>12508</v>
      </c>
      <c r="H4798" s="0" t="s">
        <v>43</v>
      </c>
      <c r="I4798" s="7" t="n">
        <f aca="false">IF(AND(LEFT(A4798,1)&lt;&gt;"C",D4798&gt;0,F4798&gt;0),1,0)</f>
        <v>1</v>
      </c>
      <c r="J4798" s="7" t="n">
        <f aca="false">IF(I4798=1,D4798*F4798,0)</f>
        <v>2.32</v>
      </c>
      <c r="K4798" s="7" t="n">
        <f aca="false">YEAR(E4798)*100+MONTH(E4798)</f>
        <v>201111</v>
      </c>
      <c r="L4798" s="7" t="n">
        <f aca="false">IF(AND(A4798&lt;&gt;A4797,LEFT(A4798,1)&lt;&gt;"C"),1,0)</f>
        <v>0</v>
      </c>
    </row>
    <row r="4799" customFormat="false" ht="15" hidden="false" customHeight="false" outlineLevel="0" collapsed="false">
      <c r="A4799" s="0" t="s">
        <v>2891</v>
      </c>
      <c r="B4799" s="0" t="s">
        <v>1436</v>
      </c>
      <c r="C4799" s="0" t="s">
        <v>1437</v>
      </c>
      <c r="D4799" s="0" t="n">
        <v>4</v>
      </c>
      <c r="E4799" s="6" t="n">
        <v>40857.6854166667</v>
      </c>
      <c r="F4799" s="0" t="n">
        <v>4.95</v>
      </c>
      <c r="G4799" s="0" t="n">
        <v>12508</v>
      </c>
      <c r="H4799" s="0" t="s">
        <v>43</v>
      </c>
      <c r="I4799" s="7" t="n">
        <f aca="false">IF(AND(LEFT(A4799,1)&lt;&gt;"C",D4799&gt;0,F4799&gt;0),1,0)</f>
        <v>1</v>
      </c>
      <c r="J4799" s="7" t="n">
        <f aca="false">IF(I4799=1,D4799*F4799,0)</f>
        <v>19.8</v>
      </c>
      <c r="K4799" s="7" t="n">
        <f aca="false">YEAR(E4799)*100+MONTH(E4799)</f>
        <v>201111</v>
      </c>
      <c r="L4799" s="7" t="n">
        <f aca="false">IF(AND(A4799&lt;&gt;A4798,LEFT(A4799,1)&lt;&gt;"C"),1,0)</f>
        <v>0</v>
      </c>
    </row>
    <row r="4800" customFormat="false" ht="15" hidden="false" customHeight="false" outlineLevel="0" collapsed="false">
      <c r="A4800" s="0" t="s">
        <v>2891</v>
      </c>
      <c r="B4800" s="0" t="s">
        <v>869</v>
      </c>
      <c r="C4800" s="0" t="s">
        <v>870</v>
      </c>
      <c r="D4800" s="0" t="n">
        <v>5</v>
      </c>
      <c r="E4800" s="6" t="n">
        <v>40857.6854166667</v>
      </c>
      <c r="F4800" s="0" t="n">
        <v>1.65</v>
      </c>
      <c r="G4800" s="0" t="n">
        <v>12508</v>
      </c>
      <c r="H4800" s="0" t="s">
        <v>43</v>
      </c>
      <c r="I4800" s="7" t="n">
        <f aca="false">IF(AND(LEFT(A4800,1)&lt;&gt;"C",D4800&gt;0,F4800&gt;0),1,0)</f>
        <v>1</v>
      </c>
      <c r="J4800" s="7" t="n">
        <f aca="false">IF(I4800=1,D4800*F4800,0)</f>
        <v>8.25</v>
      </c>
      <c r="K4800" s="7" t="n">
        <f aca="false">YEAR(E4800)*100+MONTH(E4800)</f>
        <v>201111</v>
      </c>
      <c r="L4800" s="7" t="n">
        <f aca="false">IF(AND(A4800&lt;&gt;A4799,LEFT(A4800,1)&lt;&gt;"C"),1,0)</f>
        <v>0</v>
      </c>
    </row>
    <row r="4801" customFormat="false" ht="15" hidden="false" customHeight="false" outlineLevel="0" collapsed="false">
      <c r="A4801" s="0" t="s">
        <v>2891</v>
      </c>
      <c r="B4801" s="0" t="s">
        <v>2906</v>
      </c>
      <c r="C4801" s="0" t="s">
        <v>2907</v>
      </c>
      <c r="D4801" s="0" t="n">
        <v>3</v>
      </c>
      <c r="E4801" s="6" t="n">
        <v>40857.6854166667</v>
      </c>
      <c r="F4801" s="0" t="n">
        <v>1.95</v>
      </c>
      <c r="G4801" s="0" t="n">
        <v>12508</v>
      </c>
      <c r="H4801" s="0" t="s">
        <v>43</v>
      </c>
      <c r="I4801" s="7" t="n">
        <f aca="false">IF(AND(LEFT(A4801,1)&lt;&gt;"C",D4801&gt;0,F4801&gt;0),1,0)</f>
        <v>1</v>
      </c>
      <c r="J4801" s="7" t="n">
        <f aca="false">IF(I4801=1,D4801*F4801,0)</f>
        <v>5.85</v>
      </c>
      <c r="K4801" s="7" t="n">
        <f aca="false">YEAR(E4801)*100+MONTH(E4801)</f>
        <v>201111</v>
      </c>
      <c r="L4801" s="7" t="n">
        <f aca="false">IF(AND(A4801&lt;&gt;A4800,LEFT(A4801,1)&lt;&gt;"C"),1,0)</f>
        <v>0</v>
      </c>
    </row>
    <row r="4802" customFormat="false" ht="15" hidden="false" customHeight="false" outlineLevel="0" collapsed="false">
      <c r="A4802" s="0" t="s">
        <v>2891</v>
      </c>
      <c r="B4802" s="0" t="s">
        <v>2908</v>
      </c>
      <c r="C4802" s="0" t="s">
        <v>2909</v>
      </c>
      <c r="D4802" s="0" t="n">
        <v>3</v>
      </c>
      <c r="E4802" s="6" t="n">
        <v>40857.6854166667</v>
      </c>
      <c r="F4802" s="0" t="n">
        <v>1.45</v>
      </c>
      <c r="G4802" s="0" t="n">
        <v>12508</v>
      </c>
      <c r="H4802" s="0" t="s">
        <v>43</v>
      </c>
      <c r="I4802" s="7" t="n">
        <f aca="false">IF(AND(LEFT(A4802,1)&lt;&gt;"C",D4802&gt;0,F4802&gt;0),1,0)</f>
        <v>1</v>
      </c>
      <c r="J4802" s="7" t="n">
        <f aca="false">IF(I4802=1,D4802*F4802,0)</f>
        <v>4.35</v>
      </c>
      <c r="K4802" s="7" t="n">
        <f aca="false">YEAR(E4802)*100+MONTH(E4802)</f>
        <v>201111</v>
      </c>
      <c r="L4802" s="7" t="n">
        <f aca="false">IF(AND(A4802&lt;&gt;A4801,LEFT(A4802,1)&lt;&gt;"C"),1,0)</f>
        <v>0</v>
      </c>
    </row>
    <row r="4803" customFormat="false" ht="15" hidden="false" customHeight="false" outlineLevel="0" collapsed="false">
      <c r="A4803" s="0" t="s">
        <v>2891</v>
      </c>
      <c r="B4803" s="0" t="s">
        <v>814</v>
      </c>
      <c r="C4803" s="0" t="s">
        <v>815</v>
      </c>
      <c r="D4803" s="0" t="n">
        <v>5</v>
      </c>
      <c r="E4803" s="6" t="n">
        <v>40857.6854166667</v>
      </c>
      <c r="F4803" s="0" t="n">
        <v>1.45</v>
      </c>
      <c r="G4803" s="0" t="n">
        <v>12508</v>
      </c>
      <c r="H4803" s="0" t="s">
        <v>43</v>
      </c>
      <c r="I4803" s="7" t="n">
        <f aca="false">IF(AND(LEFT(A4803,1)&lt;&gt;"C",D4803&gt;0,F4803&gt;0),1,0)</f>
        <v>1</v>
      </c>
      <c r="J4803" s="7" t="n">
        <f aca="false">IF(I4803=1,D4803*F4803,0)</f>
        <v>7.25</v>
      </c>
      <c r="K4803" s="7" t="n">
        <f aca="false">YEAR(E4803)*100+MONTH(E4803)</f>
        <v>201111</v>
      </c>
      <c r="L4803" s="7" t="n">
        <f aca="false">IF(AND(A4803&lt;&gt;A4802,LEFT(A4803,1)&lt;&gt;"C"),1,0)</f>
        <v>0</v>
      </c>
    </row>
    <row r="4804" customFormat="false" ht="15" hidden="false" customHeight="false" outlineLevel="0" collapsed="false">
      <c r="A4804" s="0" t="s">
        <v>2891</v>
      </c>
      <c r="B4804" s="0" t="s">
        <v>810</v>
      </c>
      <c r="C4804" s="0" t="s">
        <v>1891</v>
      </c>
      <c r="D4804" s="0" t="n">
        <v>3</v>
      </c>
      <c r="E4804" s="6" t="n">
        <v>40857.6854166667</v>
      </c>
      <c r="F4804" s="0" t="n">
        <v>3.75</v>
      </c>
      <c r="G4804" s="0" t="n">
        <v>12508</v>
      </c>
      <c r="H4804" s="0" t="s">
        <v>43</v>
      </c>
      <c r="I4804" s="7" t="n">
        <f aca="false">IF(AND(LEFT(A4804,1)&lt;&gt;"C",D4804&gt;0,F4804&gt;0),1,0)</f>
        <v>1</v>
      </c>
      <c r="J4804" s="7" t="n">
        <f aca="false">IF(I4804=1,D4804*F4804,0)</f>
        <v>11.25</v>
      </c>
      <c r="K4804" s="7" t="n">
        <f aca="false">YEAR(E4804)*100+MONTH(E4804)</f>
        <v>201111</v>
      </c>
      <c r="L4804" s="7" t="n">
        <f aca="false">IF(AND(A4804&lt;&gt;A4803,LEFT(A4804,1)&lt;&gt;"C"),1,0)</f>
        <v>0</v>
      </c>
    </row>
    <row r="4805" customFormat="false" ht="15" hidden="false" customHeight="false" outlineLevel="0" collapsed="false">
      <c r="A4805" s="0" t="s">
        <v>2891</v>
      </c>
      <c r="B4805" s="0" t="s">
        <v>2910</v>
      </c>
      <c r="C4805" s="0" t="s">
        <v>2911</v>
      </c>
      <c r="D4805" s="0" t="n">
        <v>2</v>
      </c>
      <c r="E4805" s="6" t="n">
        <v>40857.6854166667</v>
      </c>
      <c r="F4805" s="0" t="n">
        <v>1.25</v>
      </c>
      <c r="G4805" s="0" t="n">
        <v>12508</v>
      </c>
      <c r="H4805" s="0" t="s">
        <v>43</v>
      </c>
      <c r="I4805" s="7" t="n">
        <f aca="false">IF(AND(LEFT(A4805,1)&lt;&gt;"C",D4805&gt;0,F4805&gt;0),1,0)</f>
        <v>1</v>
      </c>
      <c r="J4805" s="7" t="n">
        <f aca="false">IF(I4805=1,D4805*F4805,0)</f>
        <v>2.5</v>
      </c>
      <c r="K4805" s="7" t="n">
        <f aca="false">YEAR(E4805)*100+MONTH(E4805)</f>
        <v>201111</v>
      </c>
      <c r="L4805" s="7" t="n">
        <f aca="false">IF(AND(A4805&lt;&gt;A4804,LEFT(A4805,1)&lt;&gt;"C"),1,0)</f>
        <v>0</v>
      </c>
    </row>
    <row r="4806" customFormat="false" ht="15" hidden="false" customHeight="false" outlineLevel="0" collapsed="false">
      <c r="A4806" s="0" t="s">
        <v>2912</v>
      </c>
      <c r="B4806" s="0" t="s">
        <v>569</v>
      </c>
      <c r="C4806" s="0" t="s">
        <v>570</v>
      </c>
      <c r="D4806" s="0" t="n">
        <v>10</v>
      </c>
      <c r="E4806" s="6" t="n">
        <v>40857.7423611111</v>
      </c>
      <c r="F4806" s="0" t="n">
        <v>2.08</v>
      </c>
      <c r="G4806" s="0" t="n">
        <v>13817</v>
      </c>
      <c r="H4806" s="0" t="s">
        <v>33</v>
      </c>
      <c r="I4806" s="7" t="n">
        <f aca="false">IF(AND(LEFT(A4806,1)&lt;&gt;"C",D4806&gt;0,F4806&gt;0),1,0)</f>
        <v>1</v>
      </c>
      <c r="J4806" s="7" t="n">
        <f aca="false">IF(I4806=1,D4806*F4806,0)</f>
        <v>20.8</v>
      </c>
      <c r="K4806" s="7" t="n">
        <f aca="false">YEAR(E4806)*100+MONTH(E4806)</f>
        <v>201111</v>
      </c>
      <c r="L4806" s="7" t="n">
        <f aca="false">IF(AND(A4806&lt;&gt;A4805,LEFT(A4806,1)&lt;&gt;"C"),1,0)</f>
        <v>1</v>
      </c>
    </row>
    <row r="4807" customFormat="false" ht="15" hidden="false" customHeight="false" outlineLevel="0" collapsed="false">
      <c r="A4807" s="0" t="s">
        <v>2912</v>
      </c>
      <c r="B4807" s="0" t="s">
        <v>127</v>
      </c>
      <c r="C4807" s="0" t="s">
        <v>128</v>
      </c>
      <c r="D4807" s="0" t="n">
        <v>8</v>
      </c>
      <c r="E4807" s="6" t="n">
        <v>40857.7423611111</v>
      </c>
      <c r="F4807" s="0" t="n">
        <v>1.65</v>
      </c>
      <c r="G4807" s="0" t="n">
        <v>13817</v>
      </c>
      <c r="H4807" s="0" t="s">
        <v>33</v>
      </c>
      <c r="I4807" s="7" t="n">
        <f aca="false">IF(AND(LEFT(A4807,1)&lt;&gt;"C",D4807&gt;0,F4807&gt;0),1,0)</f>
        <v>1</v>
      </c>
      <c r="J4807" s="7" t="n">
        <f aca="false">IF(I4807=1,D4807*F4807,0)</f>
        <v>13.2</v>
      </c>
      <c r="K4807" s="7" t="n">
        <f aca="false">YEAR(E4807)*100+MONTH(E4807)</f>
        <v>201111</v>
      </c>
      <c r="L4807" s="7" t="n">
        <f aca="false">IF(AND(A4807&lt;&gt;A4806,LEFT(A4807,1)&lt;&gt;"C"),1,0)</f>
        <v>0</v>
      </c>
    </row>
    <row r="4808" customFormat="false" ht="15" hidden="false" customHeight="false" outlineLevel="0" collapsed="false">
      <c r="A4808" s="0" t="s">
        <v>2912</v>
      </c>
      <c r="B4808" s="0" t="s">
        <v>131</v>
      </c>
      <c r="C4808" s="0" t="s">
        <v>132</v>
      </c>
      <c r="D4808" s="0" t="n">
        <v>8</v>
      </c>
      <c r="E4808" s="6" t="n">
        <v>40857.7423611111</v>
      </c>
      <c r="F4808" s="0" t="n">
        <v>1.65</v>
      </c>
      <c r="G4808" s="0" t="n">
        <v>13817</v>
      </c>
      <c r="H4808" s="0" t="s">
        <v>33</v>
      </c>
      <c r="I4808" s="7" t="n">
        <f aca="false">IF(AND(LEFT(A4808,1)&lt;&gt;"C",D4808&gt;0,F4808&gt;0),1,0)</f>
        <v>1</v>
      </c>
      <c r="J4808" s="7" t="n">
        <f aca="false">IF(I4808=1,D4808*F4808,0)</f>
        <v>13.2</v>
      </c>
      <c r="K4808" s="7" t="n">
        <f aca="false">YEAR(E4808)*100+MONTH(E4808)</f>
        <v>201111</v>
      </c>
      <c r="L4808" s="7" t="n">
        <f aca="false">IF(AND(A4808&lt;&gt;A4807,LEFT(A4808,1)&lt;&gt;"C"),1,0)</f>
        <v>0</v>
      </c>
    </row>
    <row r="4809" customFormat="false" ht="15" hidden="false" customHeight="false" outlineLevel="0" collapsed="false">
      <c r="A4809" s="0" t="s">
        <v>2912</v>
      </c>
      <c r="B4809" s="0" t="s">
        <v>2032</v>
      </c>
      <c r="C4809" s="0" t="s">
        <v>2033</v>
      </c>
      <c r="D4809" s="0" t="n">
        <v>4</v>
      </c>
      <c r="E4809" s="6" t="n">
        <v>40857.7423611111</v>
      </c>
      <c r="F4809" s="0" t="n">
        <v>4.25</v>
      </c>
      <c r="G4809" s="0" t="n">
        <v>13817</v>
      </c>
      <c r="H4809" s="0" t="s">
        <v>33</v>
      </c>
      <c r="I4809" s="7" t="n">
        <f aca="false">IF(AND(LEFT(A4809,1)&lt;&gt;"C",D4809&gt;0,F4809&gt;0),1,0)</f>
        <v>1</v>
      </c>
      <c r="J4809" s="7" t="n">
        <f aca="false">IF(I4809=1,D4809*F4809,0)</f>
        <v>17</v>
      </c>
      <c r="K4809" s="7" t="n">
        <f aca="false">YEAR(E4809)*100+MONTH(E4809)</f>
        <v>201111</v>
      </c>
      <c r="L4809" s="7" t="n">
        <f aca="false">IF(AND(A4809&lt;&gt;A4808,LEFT(A4809,1)&lt;&gt;"C"),1,0)</f>
        <v>0</v>
      </c>
    </row>
    <row r="4810" customFormat="false" ht="15" hidden="false" customHeight="false" outlineLevel="0" collapsed="false">
      <c r="A4810" s="0" t="s">
        <v>2912</v>
      </c>
      <c r="B4810" s="0" t="s">
        <v>1827</v>
      </c>
      <c r="C4810" s="0" t="s">
        <v>1828</v>
      </c>
      <c r="D4810" s="0" t="n">
        <v>4</v>
      </c>
      <c r="E4810" s="6" t="n">
        <v>40857.7423611111</v>
      </c>
      <c r="F4810" s="0" t="n">
        <v>3.75</v>
      </c>
      <c r="G4810" s="0" t="n">
        <v>13817</v>
      </c>
      <c r="H4810" s="0" t="s">
        <v>33</v>
      </c>
      <c r="I4810" s="7" t="n">
        <f aca="false">IF(AND(LEFT(A4810,1)&lt;&gt;"C",D4810&gt;0,F4810&gt;0),1,0)</f>
        <v>1</v>
      </c>
      <c r="J4810" s="7" t="n">
        <f aca="false">IF(I4810=1,D4810*F4810,0)</f>
        <v>15</v>
      </c>
      <c r="K4810" s="7" t="n">
        <f aca="false">YEAR(E4810)*100+MONTH(E4810)</f>
        <v>201111</v>
      </c>
      <c r="L4810" s="7" t="n">
        <f aca="false">IF(AND(A4810&lt;&gt;A4809,LEFT(A4810,1)&lt;&gt;"C"),1,0)</f>
        <v>0</v>
      </c>
    </row>
    <row r="4811" customFormat="false" ht="15" hidden="false" customHeight="false" outlineLevel="0" collapsed="false">
      <c r="A4811" s="0" t="s">
        <v>2912</v>
      </c>
      <c r="B4811" s="0" t="s">
        <v>2581</v>
      </c>
      <c r="C4811" s="0" t="s">
        <v>2582</v>
      </c>
      <c r="D4811" s="0" t="n">
        <v>10</v>
      </c>
      <c r="E4811" s="6" t="n">
        <v>40857.7423611111</v>
      </c>
      <c r="F4811" s="0" t="n">
        <v>1.65</v>
      </c>
      <c r="G4811" s="0" t="n">
        <v>13817</v>
      </c>
      <c r="H4811" s="0" t="s">
        <v>33</v>
      </c>
      <c r="I4811" s="7" t="n">
        <f aca="false">IF(AND(LEFT(A4811,1)&lt;&gt;"C",D4811&gt;0,F4811&gt;0),1,0)</f>
        <v>1</v>
      </c>
      <c r="J4811" s="7" t="n">
        <f aca="false">IF(I4811=1,D4811*F4811,0)</f>
        <v>16.5</v>
      </c>
      <c r="K4811" s="7" t="n">
        <f aca="false">YEAR(E4811)*100+MONTH(E4811)</f>
        <v>201111</v>
      </c>
      <c r="L4811" s="7" t="n">
        <f aca="false">IF(AND(A4811&lt;&gt;A4810,LEFT(A4811,1)&lt;&gt;"C"),1,0)</f>
        <v>0</v>
      </c>
    </row>
    <row r="4812" customFormat="false" ht="15" hidden="false" customHeight="false" outlineLevel="0" collapsed="false">
      <c r="A4812" s="0" t="s">
        <v>2912</v>
      </c>
      <c r="B4812" s="0" t="s">
        <v>48</v>
      </c>
      <c r="C4812" s="0" t="s">
        <v>49</v>
      </c>
      <c r="D4812" s="0" t="n">
        <v>24</v>
      </c>
      <c r="E4812" s="6" t="n">
        <v>40857.7423611111</v>
      </c>
      <c r="F4812" s="0" t="n">
        <v>0.65</v>
      </c>
      <c r="G4812" s="0" t="n">
        <v>13817</v>
      </c>
      <c r="H4812" s="0" t="s">
        <v>33</v>
      </c>
      <c r="I4812" s="7" t="n">
        <f aca="false">IF(AND(LEFT(A4812,1)&lt;&gt;"C",D4812&gt;0,F4812&gt;0),1,0)</f>
        <v>1</v>
      </c>
      <c r="J4812" s="7" t="n">
        <f aca="false">IF(I4812=1,D4812*F4812,0)</f>
        <v>15.6</v>
      </c>
      <c r="K4812" s="7" t="n">
        <f aca="false">YEAR(E4812)*100+MONTH(E4812)</f>
        <v>201111</v>
      </c>
      <c r="L4812" s="7" t="n">
        <f aca="false">IF(AND(A4812&lt;&gt;A4811,LEFT(A4812,1)&lt;&gt;"C"),1,0)</f>
        <v>0</v>
      </c>
    </row>
    <row r="4813" customFormat="false" ht="15" hidden="false" customHeight="false" outlineLevel="0" collapsed="false">
      <c r="A4813" s="0" t="s">
        <v>2912</v>
      </c>
      <c r="B4813" s="0" t="s">
        <v>471</v>
      </c>
      <c r="C4813" s="0" t="s">
        <v>472</v>
      </c>
      <c r="D4813" s="0" t="n">
        <v>12</v>
      </c>
      <c r="E4813" s="6" t="n">
        <v>40857.7423611111</v>
      </c>
      <c r="F4813" s="0" t="n">
        <v>1.65</v>
      </c>
      <c r="G4813" s="0" t="n">
        <v>13817</v>
      </c>
      <c r="H4813" s="0" t="s">
        <v>33</v>
      </c>
      <c r="I4813" s="7" t="n">
        <f aca="false">IF(AND(LEFT(A4813,1)&lt;&gt;"C",D4813&gt;0,F4813&gt;0),1,0)</f>
        <v>1</v>
      </c>
      <c r="J4813" s="7" t="n">
        <f aca="false">IF(I4813=1,D4813*F4813,0)</f>
        <v>19.8</v>
      </c>
      <c r="K4813" s="7" t="n">
        <f aca="false">YEAR(E4813)*100+MONTH(E4813)</f>
        <v>201111</v>
      </c>
      <c r="L4813" s="7" t="n">
        <f aca="false">IF(AND(A4813&lt;&gt;A4812,LEFT(A4813,1)&lt;&gt;"C"),1,0)</f>
        <v>0</v>
      </c>
    </row>
    <row r="4814" customFormat="false" ht="15" hidden="false" customHeight="false" outlineLevel="0" collapsed="false">
      <c r="A4814" s="0" t="s">
        <v>2912</v>
      </c>
      <c r="B4814" s="0" t="s">
        <v>97</v>
      </c>
      <c r="C4814" s="0" t="s">
        <v>98</v>
      </c>
      <c r="D4814" s="0" t="n">
        <v>12</v>
      </c>
      <c r="E4814" s="6" t="n">
        <v>40857.7423611111</v>
      </c>
      <c r="F4814" s="0" t="n">
        <v>1.65</v>
      </c>
      <c r="G4814" s="0" t="n">
        <v>13817</v>
      </c>
      <c r="H4814" s="0" t="s">
        <v>33</v>
      </c>
      <c r="I4814" s="7" t="n">
        <f aca="false">IF(AND(LEFT(A4814,1)&lt;&gt;"C",D4814&gt;0,F4814&gt;0),1,0)</f>
        <v>1</v>
      </c>
      <c r="J4814" s="7" t="n">
        <f aca="false">IF(I4814=1,D4814*F4814,0)</f>
        <v>19.8</v>
      </c>
      <c r="K4814" s="7" t="n">
        <f aca="false">YEAR(E4814)*100+MONTH(E4814)</f>
        <v>201111</v>
      </c>
      <c r="L4814" s="7" t="n">
        <f aca="false">IF(AND(A4814&lt;&gt;A4813,LEFT(A4814,1)&lt;&gt;"C"),1,0)</f>
        <v>0</v>
      </c>
    </row>
    <row r="4815" customFormat="false" ht="15" hidden="false" customHeight="false" outlineLevel="0" collapsed="false">
      <c r="A4815" s="0" t="s">
        <v>2912</v>
      </c>
      <c r="B4815" s="0" t="s">
        <v>333</v>
      </c>
      <c r="C4815" s="0" t="s">
        <v>334</v>
      </c>
      <c r="D4815" s="0" t="n">
        <v>12</v>
      </c>
      <c r="E4815" s="6" t="n">
        <v>40857.7423611111</v>
      </c>
      <c r="F4815" s="0" t="n">
        <v>1.65</v>
      </c>
      <c r="G4815" s="0" t="n">
        <v>13817</v>
      </c>
      <c r="H4815" s="0" t="s">
        <v>33</v>
      </c>
      <c r="I4815" s="7" t="n">
        <f aca="false">IF(AND(LEFT(A4815,1)&lt;&gt;"C",D4815&gt;0,F4815&gt;0),1,0)</f>
        <v>1</v>
      </c>
      <c r="J4815" s="7" t="n">
        <f aca="false">IF(I4815=1,D4815*F4815,0)</f>
        <v>19.8</v>
      </c>
      <c r="K4815" s="7" t="n">
        <f aca="false">YEAR(E4815)*100+MONTH(E4815)</f>
        <v>201111</v>
      </c>
      <c r="L4815" s="7" t="n">
        <f aca="false">IF(AND(A4815&lt;&gt;A4814,LEFT(A4815,1)&lt;&gt;"C"),1,0)</f>
        <v>0</v>
      </c>
    </row>
    <row r="4816" customFormat="false" ht="15" hidden="false" customHeight="false" outlineLevel="0" collapsed="false">
      <c r="A4816" s="0" t="s">
        <v>2912</v>
      </c>
      <c r="B4816" s="0" t="s">
        <v>610</v>
      </c>
      <c r="C4816" s="0" t="s">
        <v>611</v>
      </c>
      <c r="D4816" s="0" t="n">
        <v>6</v>
      </c>
      <c r="E4816" s="6" t="n">
        <v>40857.7423611111</v>
      </c>
      <c r="F4816" s="0" t="n">
        <v>2.95</v>
      </c>
      <c r="G4816" s="0" t="n">
        <v>13817</v>
      </c>
      <c r="H4816" s="0" t="s">
        <v>33</v>
      </c>
      <c r="I4816" s="7" t="n">
        <f aca="false">IF(AND(LEFT(A4816,1)&lt;&gt;"C",D4816&gt;0,F4816&gt;0),1,0)</f>
        <v>1</v>
      </c>
      <c r="J4816" s="7" t="n">
        <f aca="false">IF(I4816=1,D4816*F4816,0)</f>
        <v>17.7</v>
      </c>
      <c r="K4816" s="7" t="n">
        <f aca="false">YEAR(E4816)*100+MONTH(E4816)</f>
        <v>201111</v>
      </c>
      <c r="L4816" s="7" t="n">
        <f aca="false">IF(AND(A4816&lt;&gt;A4815,LEFT(A4816,1)&lt;&gt;"C"),1,0)</f>
        <v>0</v>
      </c>
    </row>
    <row r="4817" customFormat="false" ht="15" hidden="false" customHeight="false" outlineLevel="0" collapsed="false">
      <c r="A4817" s="0" t="s">
        <v>2912</v>
      </c>
      <c r="B4817" s="0" t="s">
        <v>877</v>
      </c>
      <c r="C4817" s="0" t="s">
        <v>878</v>
      </c>
      <c r="D4817" s="0" t="n">
        <v>12</v>
      </c>
      <c r="E4817" s="6" t="n">
        <v>40857.7423611111</v>
      </c>
      <c r="F4817" s="0" t="n">
        <v>0.83</v>
      </c>
      <c r="G4817" s="0" t="n">
        <v>13817</v>
      </c>
      <c r="H4817" s="0" t="s">
        <v>33</v>
      </c>
      <c r="I4817" s="7" t="n">
        <f aca="false">IF(AND(LEFT(A4817,1)&lt;&gt;"C",D4817&gt;0,F4817&gt;0),1,0)</f>
        <v>1</v>
      </c>
      <c r="J4817" s="7" t="n">
        <f aca="false">IF(I4817=1,D4817*F4817,0)</f>
        <v>9.96</v>
      </c>
      <c r="K4817" s="7" t="n">
        <f aca="false">YEAR(E4817)*100+MONTH(E4817)</f>
        <v>201111</v>
      </c>
      <c r="L4817" s="7" t="n">
        <f aca="false">IF(AND(A4817&lt;&gt;A4816,LEFT(A4817,1)&lt;&gt;"C"),1,0)</f>
        <v>0</v>
      </c>
    </row>
    <row r="4818" customFormat="false" ht="15" hidden="false" customHeight="false" outlineLevel="0" collapsed="false">
      <c r="A4818" s="0" t="s">
        <v>2912</v>
      </c>
      <c r="B4818" s="0" t="s">
        <v>2591</v>
      </c>
      <c r="C4818" s="0" t="s">
        <v>2592</v>
      </c>
      <c r="D4818" s="0" t="n">
        <v>12</v>
      </c>
      <c r="E4818" s="6" t="n">
        <v>40857.7423611111</v>
      </c>
      <c r="F4818" s="0" t="n">
        <v>0.83</v>
      </c>
      <c r="G4818" s="0" t="n">
        <v>13817</v>
      </c>
      <c r="H4818" s="0" t="s">
        <v>33</v>
      </c>
      <c r="I4818" s="7" t="n">
        <f aca="false">IF(AND(LEFT(A4818,1)&lt;&gt;"C",D4818&gt;0,F4818&gt;0),1,0)</f>
        <v>1</v>
      </c>
      <c r="J4818" s="7" t="n">
        <f aca="false">IF(I4818=1,D4818*F4818,0)</f>
        <v>9.96</v>
      </c>
      <c r="K4818" s="7" t="n">
        <f aca="false">YEAR(E4818)*100+MONTH(E4818)</f>
        <v>201111</v>
      </c>
      <c r="L4818" s="7" t="n">
        <f aca="false">IF(AND(A4818&lt;&gt;A4817,LEFT(A4818,1)&lt;&gt;"C"),1,0)</f>
        <v>0</v>
      </c>
    </row>
    <row r="4819" customFormat="false" ht="15" hidden="false" customHeight="false" outlineLevel="0" collapsed="false">
      <c r="A4819" s="0" t="s">
        <v>2912</v>
      </c>
      <c r="B4819" s="0" t="s">
        <v>2650</v>
      </c>
      <c r="C4819" s="0" t="s">
        <v>2651</v>
      </c>
      <c r="D4819" s="0" t="n">
        <v>12</v>
      </c>
      <c r="E4819" s="6" t="n">
        <v>40857.7423611111</v>
      </c>
      <c r="F4819" s="0" t="n">
        <v>0.83</v>
      </c>
      <c r="G4819" s="0" t="n">
        <v>13817</v>
      </c>
      <c r="H4819" s="0" t="s">
        <v>33</v>
      </c>
      <c r="I4819" s="7" t="n">
        <f aca="false">IF(AND(LEFT(A4819,1)&lt;&gt;"C",D4819&gt;0,F4819&gt;0),1,0)</f>
        <v>1</v>
      </c>
      <c r="J4819" s="7" t="n">
        <f aca="false">IF(I4819=1,D4819*F4819,0)</f>
        <v>9.96</v>
      </c>
      <c r="K4819" s="7" t="n">
        <f aca="false">YEAR(E4819)*100+MONTH(E4819)</f>
        <v>201111</v>
      </c>
      <c r="L4819" s="7" t="n">
        <f aca="false">IF(AND(A4819&lt;&gt;A4818,LEFT(A4819,1)&lt;&gt;"C"),1,0)</f>
        <v>0</v>
      </c>
    </row>
    <row r="4820" customFormat="false" ht="15" hidden="false" customHeight="false" outlineLevel="0" collapsed="false">
      <c r="A4820" s="0" t="s">
        <v>2912</v>
      </c>
      <c r="B4820" s="0" t="s">
        <v>84</v>
      </c>
      <c r="C4820" s="0" t="s">
        <v>85</v>
      </c>
      <c r="D4820" s="0" t="n">
        <v>2</v>
      </c>
      <c r="E4820" s="6" t="n">
        <v>40857.7423611111</v>
      </c>
      <c r="F4820" s="0" t="n">
        <v>18</v>
      </c>
      <c r="G4820" s="0" t="n">
        <v>13817</v>
      </c>
      <c r="H4820" s="0" t="s">
        <v>33</v>
      </c>
      <c r="I4820" s="7" t="n">
        <f aca="false">IF(AND(LEFT(A4820,1)&lt;&gt;"C",D4820&gt;0,F4820&gt;0),1,0)</f>
        <v>1</v>
      </c>
      <c r="J4820" s="7" t="n">
        <f aca="false">IF(I4820=1,D4820*F4820,0)</f>
        <v>36</v>
      </c>
      <c r="K4820" s="7" t="n">
        <f aca="false">YEAR(E4820)*100+MONTH(E4820)</f>
        <v>201111</v>
      </c>
      <c r="L4820" s="7" t="n">
        <f aca="false">IF(AND(A4820&lt;&gt;A4819,LEFT(A4820,1)&lt;&gt;"C"),1,0)</f>
        <v>0</v>
      </c>
    </row>
    <row r="4821" customFormat="false" ht="15" hidden="false" customHeight="false" outlineLevel="0" collapsed="false">
      <c r="A4821" s="0" t="s">
        <v>2913</v>
      </c>
      <c r="B4821" s="0" t="s">
        <v>1149</v>
      </c>
      <c r="C4821" s="0" t="s">
        <v>1150</v>
      </c>
      <c r="D4821" s="0" t="n">
        <v>6</v>
      </c>
      <c r="E4821" s="6" t="n">
        <v>40858.3465277778</v>
      </c>
      <c r="F4821" s="0" t="n">
        <v>5.95</v>
      </c>
      <c r="G4821" s="0" t="n">
        <v>12712</v>
      </c>
      <c r="H4821" s="0" t="s">
        <v>33</v>
      </c>
      <c r="I4821" s="7" t="n">
        <f aca="false">IF(AND(LEFT(A4821,1)&lt;&gt;"C",D4821&gt;0,F4821&gt;0),1,0)</f>
        <v>1</v>
      </c>
      <c r="J4821" s="7" t="n">
        <f aca="false">IF(I4821=1,D4821*F4821,0)</f>
        <v>35.7</v>
      </c>
      <c r="K4821" s="7" t="n">
        <f aca="false">YEAR(E4821)*100+MONTH(E4821)</f>
        <v>201111</v>
      </c>
      <c r="L4821" s="7" t="n">
        <f aca="false">IF(AND(A4821&lt;&gt;A4820,LEFT(A4821,1)&lt;&gt;"C"),1,0)</f>
        <v>1</v>
      </c>
    </row>
    <row r="4822" customFormat="false" ht="15" hidden="false" customHeight="false" outlineLevel="0" collapsed="false">
      <c r="A4822" s="0" t="s">
        <v>2913</v>
      </c>
      <c r="B4822" s="0" t="s">
        <v>439</v>
      </c>
      <c r="C4822" s="0" t="s">
        <v>440</v>
      </c>
      <c r="D4822" s="0" t="n">
        <v>6</v>
      </c>
      <c r="E4822" s="6" t="n">
        <v>40858.3465277778</v>
      </c>
      <c r="F4822" s="0" t="n">
        <v>5.95</v>
      </c>
      <c r="G4822" s="0" t="n">
        <v>12712</v>
      </c>
      <c r="H4822" s="0" t="s">
        <v>33</v>
      </c>
      <c r="I4822" s="7" t="n">
        <f aca="false">IF(AND(LEFT(A4822,1)&lt;&gt;"C",D4822&gt;0,F4822&gt;0),1,0)</f>
        <v>1</v>
      </c>
      <c r="J4822" s="7" t="n">
        <f aca="false">IF(I4822=1,D4822*F4822,0)</f>
        <v>35.7</v>
      </c>
      <c r="K4822" s="7" t="n">
        <f aca="false">YEAR(E4822)*100+MONTH(E4822)</f>
        <v>201111</v>
      </c>
      <c r="L4822" s="7" t="n">
        <f aca="false">IF(AND(A4822&lt;&gt;A4821,LEFT(A4822,1)&lt;&gt;"C"),1,0)</f>
        <v>0</v>
      </c>
    </row>
    <row r="4823" customFormat="false" ht="15" hidden="false" customHeight="false" outlineLevel="0" collapsed="false">
      <c r="A4823" s="0" t="s">
        <v>2913</v>
      </c>
      <c r="B4823" s="0" t="s">
        <v>956</v>
      </c>
      <c r="C4823" s="0" t="s">
        <v>957</v>
      </c>
      <c r="D4823" s="0" t="n">
        <v>3</v>
      </c>
      <c r="E4823" s="6" t="n">
        <v>40858.3465277778</v>
      </c>
      <c r="F4823" s="0" t="n">
        <v>5.95</v>
      </c>
      <c r="G4823" s="0" t="n">
        <v>12712</v>
      </c>
      <c r="H4823" s="0" t="s">
        <v>33</v>
      </c>
      <c r="I4823" s="7" t="n">
        <f aca="false">IF(AND(LEFT(A4823,1)&lt;&gt;"C",D4823&gt;0,F4823&gt;0),1,0)</f>
        <v>1</v>
      </c>
      <c r="J4823" s="7" t="n">
        <f aca="false">IF(I4823=1,D4823*F4823,0)</f>
        <v>17.85</v>
      </c>
      <c r="K4823" s="7" t="n">
        <f aca="false">YEAR(E4823)*100+MONTH(E4823)</f>
        <v>201111</v>
      </c>
      <c r="L4823" s="7" t="n">
        <f aca="false">IF(AND(A4823&lt;&gt;A4822,LEFT(A4823,1)&lt;&gt;"C"),1,0)</f>
        <v>0</v>
      </c>
    </row>
    <row r="4824" customFormat="false" ht="15" hidden="false" customHeight="false" outlineLevel="0" collapsed="false">
      <c r="A4824" s="0" t="s">
        <v>2913</v>
      </c>
      <c r="B4824" s="0" t="s">
        <v>2443</v>
      </c>
      <c r="C4824" s="0" t="s">
        <v>2444</v>
      </c>
      <c r="D4824" s="0" t="n">
        <v>12</v>
      </c>
      <c r="E4824" s="6" t="n">
        <v>40858.3465277778</v>
      </c>
      <c r="F4824" s="0" t="n">
        <v>2.1</v>
      </c>
      <c r="G4824" s="0" t="n">
        <v>12712</v>
      </c>
      <c r="H4824" s="0" t="s">
        <v>33</v>
      </c>
      <c r="I4824" s="7" t="n">
        <f aca="false">IF(AND(LEFT(A4824,1)&lt;&gt;"C",D4824&gt;0,F4824&gt;0),1,0)</f>
        <v>1</v>
      </c>
      <c r="J4824" s="7" t="n">
        <f aca="false">IF(I4824=1,D4824*F4824,0)</f>
        <v>25.2</v>
      </c>
      <c r="K4824" s="7" t="n">
        <f aca="false">YEAR(E4824)*100+MONTH(E4824)</f>
        <v>201111</v>
      </c>
      <c r="L4824" s="7" t="n">
        <f aca="false">IF(AND(A4824&lt;&gt;A4823,LEFT(A4824,1)&lt;&gt;"C"),1,0)</f>
        <v>0</v>
      </c>
    </row>
    <row r="4825" customFormat="false" ht="15" hidden="false" customHeight="false" outlineLevel="0" collapsed="false">
      <c r="A4825" s="0" t="s">
        <v>2913</v>
      </c>
      <c r="B4825" s="0" t="s">
        <v>1583</v>
      </c>
      <c r="C4825" s="0" t="s">
        <v>1584</v>
      </c>
      <c r="D4825" s="0" t="n">
        <v>12</v>
      </c>
      <c r="E4825" s="6" t="n">
        <v>40858.3465277778</v>
      </c>
      <c r="F4825" s="0" t="n">
        <v>2.1</v>
      </c>
      <c r="G4825" s="0" t="n">
        <v>12712</v>
      </c>
      <c r="H4825" s="0" t="s">
        <v>33</v>
      </c>
      <c r="I4825" s="7" t="n">
        <f aca="false">IF(AND(LEFT(A4825,1)&lt;&gt;"C",D4825&gt;0,F4825&gt;0),1,0)</f>
        <v>1</v>
      </c>
      <c r="J4825" s="7" t="n">
        <f aca="false">IF(I4825=1,D4825*F4825,0)</f>
        <v>25.2</v>
      </c>
      <c r="K4825" s="7" t="n">
        <f aca="false">YEAR(E4825)*100+MONTH(E4825)</f>
        <v>201111</v>
      </c>
      <c r="L4825" s="7" t="n">
        <f aca="false">IF(AND(A4825&lt;&gt;A4824,LEFT(A4825,1)&lt;&gt;"C"),1,0)</f>
        <v>0</v>
      </c>
    </row>
    <row r="4826" customFormat="false" ht="15" hidden="false" customHeight="false" outlineLevel="0" collapsed="false">
      <c r="A4826" s="0" t="s">
        <v>2913</v>
      </c>
      <c r="B4826" s="0" t="s">
        <v>756</v>
      </c>
      <c r="C4826" s="0" t="s">
        <v>757</v>
      </c>
      <c r="D4826" s="0" t="n">
        <v>4</v>
      </c>
      <c r="E4826" s="6" t="n">
        <v>40858.3465277778</v>
      </c>
      <c r="F4826" s="0" t="n">
        <v>3.75</v>
      </c>
      <c r="G4826" s="0" t="n">
        <v>12712</v>
      </c>
      <c r="H4826" s="0" t="s">
        <v>33</v>
      </c>
      <c r="I4826" s="7" t="n">
        <f aca="false">IF(AND(LEFT(A4826,1)&lt;&gt;"C",D4826&gt;0,F4826&gt;0),1,0)</f>
        <v>1</v>
      </c>
      <c r="J4826" s="7" t="n">
        <f aca="false">IF(I4826=1,D4826*F4826,0)</f>
        <v>15</v>
      </c>
      <c r="K4826" s="7" t="n">
        <f aca="false">YEAR(E4826)*100+MONTH(E4826)</f>
        <v>201111</v>
      </c>
      <c r="L4826" s="7" t="n">
        <f aca="false">IF(AND(A4826&lt;&gt;A4825,LEFT(A4826,1)&lt;&gt;"C"),1,0)</f>
        <v>0</v>
      </c>
    </row>
    <row r="4827" customFormat="false" ht="15" hidden="false" customHeight="false" outlineLevel="0" collapsed="false">
      <c r="A4827" s="0" t="s">
        <v>2913</v>
      </c>
      <c r="B4827" s="0" t="s">
        <v>2531</v>
      </c>
      <c r="C4827" s="0" t="s">
        <v>2532</v>
      </c>
      <c r="D4827" s="0" t="n">
        <v>4</v>
      </c>
      <c r="E4827" s="6" t="n">
        <v>40858.3465277778</v>
      </c>
      <c r="F4827" s="0" t="n">
        <v>4.25</v>
      </c>
      <c r="G4827" s="0" t="n">
        <v>12712</v>
      </c>
      <c r="H4827" s="0" t="s">
        <v>33</v>
      </c>
      <c r="I4827" s="7" t="n">
        <f aca="false">IF(AND(LEFT(A4827,1)&lt;&gt;"C",D4827&gt;0,F4827&gt;0),1,0)</f>
        <v>1</v>
      </c>
      <c r="J4827" s="7" t="n">
        <f aca="false">IF(I4827=1,D4827*F4827,0)</f>
        <v>17</v>
      </c>
      <c r="K4827" s="7" t="n">
        <f aca="false">YEAR(E4827)*100+MONTH(E4827)</f>
        <v>201111</v>
      </c>
      <c r="L4827" s="7" t="n">
        <f aca="false">IF(AND(A4827&lt;&gt;A4826,LEFT(A4827,1)&lt;&gt;"C"),1,0)</f>
        <v>0</v>
      </c>
    </row>
    <row r="4828" customFormat="false" ht="15" hidden="false" customHeight="false" outlineLevel="0" collapsed="false">
      <c r="A4828" s="0" t="s">
        <v>2913</v>
      </c>
      <c r="B4828" s="0" t="s">
        <v>2556</v>
      </c>
      <c r="C4828" s="0" t="s">
        <v>2557</v>
      </c>
      <c r="D4828" s="0" t="n">
        <v>1</v>
      </c>
      <c r="E4828" s="6" t="n">
        <v>40858.3465277778</v>
      </c>
      <c r="F4828" s="0" t="n">
        <v>25</v>
      </c>
      <c r="G4828" s="0" t="n">
        <v>12712</v>
      </c>
      <c r="H4828" s="0" t="s">
        <v>33</v>
      </c>
      <c r="I4828" s="7" t="n">
        <f aca="false">IF(AND(LEFT(A4828,1)&lt;&gt;"C",D4828&gt;0,F4828&gt;0),1,0)</f>
        <v>1</v>
      </c>
      <c r="J4828" s="7" t="n">
        <f aca="false">IF(I4828=1,D4828*F4828,0)</f>
        <v>25</v>
      </c>
      <c r="K4828" s="7" t="n">
        <f aca="false">YEAR(E4828)*100+MONTH(E4828)</f>
        <v>201111</v>
      </c>
      <c r="L4828" s="7" t="n">
        <f aca="false">IF(AND(A4828&lt;&gt;A4827,LEFT(A4828,1)&lt;&gt;"C"),1,0)</f>
        <v>0</v>
      </c>
    </row>
    <row r="4829" customFormat="false" ht="15" hidden="false" customHeight="false" outlineLevel="0" collapsed="false">
      <c r="A4829" s="0" t="s">
        <v>2913</v>
      </c>
      <c r="B4829" s="0" t="s">
        <v>84</v>
      </c>
      <c r="C4829" s="0" t="s">
        <v>85</v>
      </c>
      <c r="D4829" s="0" t="n">
        <v>2</v>
      </c>
      <c r="E4829" s="6" t="n">
        <v>40858.3465277778</v>
      </c>
      <c r="F4829" s="0" t="n">
        <v>18</v>
      </c>
      <c r="G4829" s="0" t="n">
        <v>12712</v>
      </c>
      <c r="H4829" s="0" t="s">
        <v>33</v>
      </c>
      <c r="I4829" s="7" t="n">
        <f aca="false">IF(AND(LEFT(A4829,1)&lt;&gt;"C",D4829&gt;0,F4829&gt;0),1,0)</f>
        <v>1</v>
      </c>
      <c r="J4829" s="7" t="n">
        <f aca="false">IF(I4829=1,D4829*F4829,0)</f>
        <v>36</v>
      </c>
      <c r="K4829" s="7" t="n">
        <f aca="false">YEAR(E4829)*100+MONTH(E4829)</f>
        <v>201111</v>
      </c>
      <c r="L4829" s="7" t="n">
        <f aca="false">IF(AND(A4829&lt;&gt;A4828,LEFT(A4829,1)&lt;&gt;"C"),1,0)</f>
        <v>0</v>
      </c>
    </row>
    <row r="4830" customFormat="false" ht="15" hidden="false" customHeight="false" outlineLevel="0" collapsed="false">
      <c r="A4830" s="0" t="s">
        <v>2914</v>
      </c>
      <c r="B4830" s="0" t="s">
        <v>465</v>
      </c>
      <c r="C4830" s="0" t="s">
        <v>466</v>
      </c>
      <c r="D4830" s="0" t="n">
        <v>2</v>
      </c>
      <c r="E4830" s="6" t="n">
        <v>40858.35625</v>
      </c>
      <c r="F4830" s="0" t="n">
        <v>7.95</v>
      </c>
      <c r="G4830" s="0" t="n">
        <v>13810</v>
      </c>
      <c r="H4830" s="0" t="s">
        <v>33</v>
      </c>
      <c r="I4830" s="7" t="n">
        <f aca="false">IF(AND(LEFT(A4830,1)&lt;&gt;"C",D4830&gt;0,F4830&gt;0),1,0)</f>
        <v>1</v>
      </c>
      <c r="J4830" s="7" t="n">
        <f aca="false">IF(I4830=1,D4830*F4830,0)</f>
        <v>15.9</v>
      </c>
      <c r="K4830" s="7" t="n">
        <f aca="false">YEAR(E4830)*100+MONTH(E4830)</f>
        <v>201111</v>
      </c>
      <c r="L4830" s="7" t="n">
        <f aca="false">IF(AND(A4830&lt;&gt;A4829,LEFT(A4830,1)&lt;&gt;"C"),1,0)</f>
        <v>1</v>
      </c>
    </row>
    <row r="4831" customFormat="false" ht="15" hidden="false" customHeight="false" outlineLevel="0" collapsed="false">
      <c r="A4831" s="0" t="s">
        <v>2914</v>
      </c>
      <c r="B4831" s="0" t="s">
        <v>741</v>
      </c>
      <c r="C4831" s="0" t="s">
        <v>742</v>
      </c>
      <c r="D4831" s="0" t="n">
        <v>12</v>
      </c>
      <c r="E4831" s="6" t="n">
        <v>40858.35625</v>
      </c>
      <c r="F4831" s="0" t="n">
        <v>0.42</v>
      </c>
      <c r="G4831" s="0" t="n">
        <v>13810</v>
      </c>
      <c r="H4831" s="0" t="s">
        <v>33</v>
      </c>
      <c r="I4831" s="7" t="n">
        <f aca="false">IF(AND(LEFT(A4831,1)&lt;&gt;"C",D4831&gt;0,F4831&gt;0),1,0)</f>
        <v>1</v>
      </c>
      <c r="J4831" s="7" t="n">
        <f aca="false">IF(I4831=1,D4831*F4831,0)</f>
        <v>5.04</v>
      </c>
      <c r="K4831" s="7" t="n">
        <f aca="false">YEAR(E4831)*100+MONTH(E4831)</f>
        <v>201111</v>
      </c>
      <c r="L4831" s="7" t="n">
        <f aca="false">IF(AND(A4831&lt;&gt;A4830,LEFT(A4831,1)&lt;&gt;"C"),1,0)</f>
        <v>0</v>
      </c>
    </row>
    <row r="4832" customFormat="false" ht="15" hidden="false" customHeight="false" outlineLevel="0" collapsed="false">
      <c r="A4832" s="0" t="s">
        <v>2914</v>
      </c>
      <c r="B4832" s="0" t="s">
        <v>2481</v>
      </c>
      <c r="C4832" s="0" t="s">
        <v>2482</v>
      </c>
      <c r="D4832" s="0" t="n">
        <v>12</v>
      </c>
      <c r="E4832" s="6" t="n">
        <v>40858.35625</v>
      </c>
      <c r="F4832" s="0" t="n">
        <v>0.42</v>
      </c>
      <c r="G4832" s="0" t="n">
        <v>13810</v>
      </c>
      <c r="H4832" s="0" t="s">
        <v>33</v>
      </c>
      <c r="I4832" s="7" t="n">
        <f aca="false">IF(AND(LEFT(A4832,1)&lt;&gt;"C",D4832&gt;0,F4832&gt;0),1,0)</f>
        <v>1</v>
      </c>
      <c r="J4832" s="7" t="n">
        <f aca="false">IF(I4832=1,D4832*F4832,0)</f>
        <v>5.04</v>
      </c>
      <c r="K4832" s="7" t="n">
        <f aca="false">YEAR(E4832)*100+MONTH(E4832)</f>
        <v>201111</v>
      </c>
      <c r="L4832" s="7" t="n">
        <f aca="false">IF(AND(A4832&lt;&gt;A4831,LEFT(A4832,1)&lt;&gt;"C"),1,0)</f>
        <v>0</v>
      </c>
    </row>
    <row r="4833" customFormat="false" ht="15" hidden="false" customHeight="false" outlineLevel="0" collapsed="false">
      <c r="A4833" s="0" t="s">
        <v>2914</v>
      </c>
      <c r="B4833" s="0" t="s">
        <v>2915</v>
      </c>
      <c r="C4833" s="0" t="s">
        <v>2916</v>
      </c>
      <c r="D4833" s="0" t="n">
        <v>12</v>
      </c>
      <c r="E4833" s="6" t="n">
        <v>40858.35625</v>
      </c>
      <c r="F4833" s="0" t="n">
        <v>0.42</v>
      </c>
      <c r="G4833" s="0" t="n">
        <v>13810</v>
      </c>
      <c r="H4833" s="0" t="s">
        <v>33</v>
      </c>
      <c r="I4833" s="7" t="n">
        <f aca="false">IF(AND(LEFT(A4833,1)&lt;&gt;"C",D4833&gt;0,F4833&gt;0),1,0)</f>
        <v>1</v>
      </c>
      <c r="J4833" s="7" t="n">
        <f aca="false">IF(I4833=1,D4833*F4833,0)</f>
        <v>5.04</v>
      </c>
      <c r="K4833" s="7" t="n">
        <f aca="false">YEAR(E4833)*100+MONTH(E4833)</f>
        <v>201111</v>
      </c>
      <c r="L4833" s="7" t="n">
        <f aca="false">IF(AND(A4833&lt;&gt;A4832,LEFT(A4833,1)&lt;&gt;"C"),1,0)</f>
        <v>0</v>
      </c>
    </row>
    <row r="4834" customFormat="false" ht="15" hidden="false" customHeight="false" outlineLevel="0" collapsed="false">
      <c r="A4834" s="0" t="s">
        <v>2914</v>
      </c>
      <c r="B4834" s="0" t="s">
        <v>2917</v>
      </c>
      <c r="C4834" s="0" t="s">
        <v>2918</v>
      </c>
      <c r="D4834" s="0" t="n">
        <v>12</v>
      </c>
      <c r="E4834" s="6" t="n">
        <v>40858.35625</v>
      </c>
      <c r="F4834" s="0" t="n">
        <v>0.42</v>
      </c>
      <c r="G4834" s="0" t="n">
        <v>13810</v>
      </c>
      <c r="H4834" s="0" t="s">
        <v>33</v>
      </c>
      <c r="I4834" s="7" t="n">
        <f aca="false">IF(AND(LEFT(A4834,1)&lt;&gt;"C",D4834&gt;0,F4834&gt;0),1,0)</f>
        <v>1</v>
      </c>
      <c r="J4834" s="7" t="n">
        <f aca="false">IF(I4834=1,D4834*F4834,0)</f>
        <v>5.04</v>
      </c>
      <c r="K4834" s="7" t="n">
        <f aca="false">YEAR(E4834)*100+MONTH(E4834)</f>
        <v>201111</v>
      </c>
      <c r="L4834" s="7" t="n">
        <f aca="false">IF(AND(A4834&lt;&gt;A4833,LEFT(A4834,1)&lt;&gt;"C"),1,0)</f>
        <v>0</v>
      </c>
    </row>
    <row r="4835" customFormat="false" ht="15" hidden="false" customHeight="false" outlineLevel="0" collapsed="false">
      <c r="A4835" s="0" t="s">
        <v>2914</v>
      </c>
      <c r="B4835" s="0" t="s">
        <v>785</v>
      </c>
      <c r="C4835" s="0" t="s">
        <v>786</v>
      </c>
      <c r="D4835" s="0" t="n">
        <v>12</v>
      </c>
      <c r="E4835" s="6" t="n">
        <v>40858.35625</v>
      </c>
      <c r="F4835" s="0" t="n">
        <v>1.45</v>
      </c>
      <c r="G4835" s="0" t="n">
        <v>13810</v>
      </c>
      <c r="H4835" s="0" t="s">
        <v>33</v>
      </c>
      <c r="I4835" s="7" t="n">
        <f aca="false">IF(AND(LEFT(A4835,1)&lt;&gt;"C",D4835&gt;0,F4835&gt;0),1,0)</f>
        <v>1</v>
      </c>
      <c r="J4835" s="7" t="n">
        <f aca="false">IF(I4835=1,D4835*F4835,0)</f>
        <v>17.4</v>
      </c>
      <c r="K4835" s="7" t="n">
        <f aca="false">YEAR(E4835)*100+MONTH(E4835)</f>
        <v>201111</v>
      </c>
      <c r="L4835" s="7" t="n">
        <f aca="false">IF(AND(A4835&lt;&gt;A4834,LEFT(A4835,1)&lt;&gt;"C"),1,0)</f>
        <v>0</v>
      </c>
    </row>
    <row r="4836" customFormat="false" ht="15" hidden="false" customHeight="false" outlineLevel="0" collapsed="false">
      <c r="A4836" s="0" t="s">
        <v>2914</v>
      </c>
      <c r="B4836" s="0" t="s">
        <v>614</v>
      </c>
      <c r="C4836" s="0" t="s">
        <v>615</v>
      </c>
      <c r="D4836" s="0" t="n">
        <v>12</v>
      </c>
      <c r="E4836" s="6" t="n">
        <v>40858.35625</v>
      </c>
      <c r="F4836" s="0" t="n">
        <v>1.25</v>
      </c>
      <c r="G4836" s="0" t="n">
        <v>13810</v>
      </c>
      <c r="H4836" s="0" t="s">
        <v>33</v>
      </c>
      <c r="I4836" s="7" t="n">
        <f aca="false">IF(AND(LEFT(A4836,1)&lt;&gt;"C",D4836&gt;0,F4836&gt;0),1,0)</f>
        <v>1</v>
      </c>
      <c r="J4836" s="7" t="n">
        <f aca="false">IF(I4836=1,D4836*F4836,0)</f>
        <v>15</v>
      </c>
      <c r="K4836" s="7" t="n">
        <f aca="false">YEAR(E4836)*100+MONTH(E4836)</f>
        <v>201111</v>
      </c>
      <c r="L4836" s="7" t="n">
        <f aca="false">IF(AND(A4836&lt;&gt;A4835,LEFT(A4836,1)&lt;&gt;"C"),1,0)</f>
        <v>0</v>
      </c>
    </row>
    <row r="4837" customFormat="false" ht="15" hidden="false" customHeight="false" outlineLevel="0" collapsed="false">
      <c r="A4837" s="0" t="s">
        <v>2914</v>
      </c>
      <c r="B4837" s="0" t="s">
        <v>1204</v>
      </c>
      <c r="C4837" s="0" t="s">
        <v>1205</v>
      </c>
      <c r="D4837" s="0" t="n">
        <v>5</v>
      </c>
      <c r="E4837" s="6" t="n">
        <v>40858.35625</v>
      </c>
      <c r="F4837" s="0" t="n">
        <v>9.95</v>
      </c>
      <c r="G4837" s="0" t="n">
        <v>13810</v>
      </c>
      <c r="H4837" s="0" t="s">
        <v>33</v>
      </c>
      <c r="I4837" s="7" t="n">
        <f aca="false">IF(AND(LEFT(A4837,1)&lt;&gt;"C",D4837&gt;0,F4837&gt;0),1,0)</f>
        <v>1</v>
      </c>
      <c r="J4837" s="7" t="n">
        <f aca="false">IF(I4837=1,D4837*F4837,0)</f>
        <v>49.75</v>
      </c>
      <c r="K4837" s="7" t="n">
        <f aca="false">YEAR(E4837)*100+MONTH(E4837)</f>
        <v>201111</v>
      </c>
      <c r="L4837" s="7" t="n">
        <f aca="false">IF(AND(A4837&lt;&gt;A4836,LEFT(A4837,1)&lt;&gt;"C"),1,0)</f>
        <v>0</v>
      </c>
    </row>
    <row r="4838" customFormat="false" ht="15" hidden="false" customHeight="false" outlineLevel="0" collapsed="false">
      <c r="A4838" s="0" t="s">
        <v>2914</v>
      </c>
      <c r="B4838" s="0" t="s">
        <v>333</v>
      </c>
      <c r="C4838" s="0" t="s">
        <v>334</v>
      </c>
      <c r="D4838" s="0" t="n">
        <v>12</v>
      </c>
      <c r="E4838" s="6" t="n">
        <v>40858.35625</v>
      </c>
      <c r="F4838" s="0" t="n">
        <v>1.65</v>
      </c>
      <c r="G4838" s="0" t="n">
        <v>13810</v>
      </c>
      <c r="H4838" s="0" t="s">
        <v>33</v>
      </c>
      <c r="I4838" s="7" t="n">
        <f aca="false">IF(AND(LEFT(A4838,1)&lt;&gt;"C",D4838&gt;0,F4838&gt;0),1,0)</f>
        <v>1</v>
      </c>
      <c r="J4838" s="7" t="n">
        <f aca="false">IF(I4838=1,D4838*F4838,0)</f>
        <v>19.8</v>
      </c>
      <c r="K4838" s="7" t="n">
        <f aca="false">YEAR(E4838)*100+MONTH(E4838)</f>
        <v>201111</v>
      </c>
      <c r="L4838" s="7" t="n">
        <f aca="false">IF(AND(A4838&lt;&gt;A4837,LEFT(A4838,1)&lt;&gt;"C"),1,0)</f>
        <v>0</v>
      </c>
    </row>
    <row r="4839" customFormat="false" ht="15" hidden="false" customHeight="false" outlineLevel="0" collapsed="false">
      <c r="A4839" s="0" t="s">
        <v>2914</v>
      </c>
      <c r="B4839" s="0" t="s">
        <v>335</v>
      </c>
      <c r="C4839" s="0" t="s">
        <v>336</v>
      </c>
      <c r="D4839" s="0" t="n">
        <v>12</v>
      </c>
      <c r="E4839" s="6" t="n">
        <v>40858.35625</v>
      </c>
      <c r="F4839" s="0" t="n">
        <v>1.65</v>
      </c>
      <c r="G4839" s="0" t="n">
        <v>13810</v>
      </c>
      <c r="H4839" s="0" t="s">
        <v>33</v>
      </c>
      <c r="I4839" s="7" t="n">
        <f aca="false">IF(AND(LEFT(A4839,1)&lt;&gt;"C",D4839&gt;0,F4839&gt;0),1,0)</f>
        <v>1</v>
      </c>
      <c r="J4839" s="7" t="n">
        <f aca="false">IF(I4839=1,D4839*F4839,0)</f>
        <v>19.8</v>
      </c>
      <c r="K4839" s="7" t="n">
        <f aca="false">YEAR(E4839)*100+MONTH(E4839)</f>
        <v>201111</v>
      </c>
      <c r="L4839" s="7" t="n">
        <f aca="false">IF(AND(A4839&lt;&gt;A4838,LEFT(A4839,1)&lt;&gt;"C"),1,0)</f>
        <v>0</v>
      </c>
    </row>
    <row r="4840" customFormat="false" ht="15" hidden="false" customHeight="false" outlineLevel="0" collapsed="false">
      <c r="A4840" s="0" t="s">
        <v>2914</v>
      </c>
      <c r="B4840" s="0" t="s">
        <v>1323</v>
      </c>
      <c r="C4840" s="0" t="s">
        <v>1324</v>
      </c>
      <c r="D4840" s="0" t="n">
        <v>4</v>
      </c>
      <c r="E4840" s="6" t="n">
        <v>40858.35625</v>
      </c>
      <c r="F4840" s="0" t="n">
        <v>4.95</v>
      </c>
      <c r="G4840" s="0" t="n">
        <v>13810</v>
      </c>
      <c r="H4840" s="0" t="s">
        <v>33</v>
      </c>
      <c r="I4840" s="7" t="n">
        <f aca="false">IF(AND(LEFT(A4840,1)&lt;&gt;"C",D4840&gt;0,F4840&gt;0),1,0)</f>
        <v>1</v>
      </c>
      <c r="J4840" s="7" t="n">
        <f aca="false">IF(I4840=1,D4840*F4840,0)</f>
        <v>19.8</v>
      </c>
      <c r="K4840" s="7" t="n">
        <f aca="false">YEAR(E4840)*100+MONTH(E4840)</f>
        <v>201111</v>
      </c>
      <c r="L4840" s="7" t="n">
        <f aca="false">IF(AND(A4840&lt;&gt;A4839,LEFT(A4840,1)&lt;&gt;"C"),1,0)</f>
        <v>0</v>
      </c>
    </row>
    <row r="4841" customFormat="false" ht="15" hidden="false" customHeight="false" outlineLevel="0" collapsed="false">
      <c r="A4841" s="0" t="s">
        <v>2914</v>
      </c>
      <c r="B4841" s="0" t="s">
        <v>783</v>
      </c>
      <c r="C4841" s="0" t="s">
        <v>784</v>
      </c>
      <c r="D4841" s="0" t="n">
        <v>12</v>
      </c>
      <c r="E4841" s="6" t="n">
        <v>40858.35625</v>
      </c>
      <c r="F4841" s="0" t="n">
        <v>2.1</v>
      </c>
      <c r="G4841" s="0" t="n">
        <v>13810</v>
      </c>
      <c r="H4841" s="0" t="s">
        <v>33</v>
      </c>
      <c r="I4841" s="7" t="n">
        <f aca="false">IF(AND(LEFT(A4841,1)&lt;&gt;"C",D4841&gt;0,F4841&gt;0),1,0)</f>
        <v>1</v>
      </c>
      <c r="J4841" s="7" t="n">
        <f aca="false">IF(I4841=1,D4841*F4841,0)</f>
        <v>25.2</v>
      </c>
      <c r="K4841" s="7" t="n">
        <f aca="false">YEAR(E4841)*100+MONTH(E4841)</f>
        <v>201111</v>
      </c>
      <c r="L4841" s="7" t="n">
        <f aca="false">IF(AND(A4841&lt;&gt;A4840,LEFT(A4841,1)&lt;&gt;"C"),1,0)</f>
        <v>0</v>
      </c>
    </row>
    <row r="4842" customFormat="false" ht="15" hidden="false" customHeight="false" outlineLevel="0" collapsed="false">
      <c r="A4842" s="0" t="s">
        <v>2914</v>
      </c>
      <c r="B4842" s="0" t="s">
        <v>2273</v>
      </c>
      <c r="C4842" s="0" t="s">
        <v>2274</v>
      </c>
      <c r="D4842" s="0" t="n">
        <v>12</v>
      </c>
      <c r="E4842" s="6" t="n">
        <v>40858.35625</v>
      </c>
      <c r="F4842" s="0" t="n">
        <v>2.1</v>
      </c>
      <c r="G4842" s="0" t="n">
        <v>13810</v>
      </c>
      <c r="H4842" s="0" t="s">
        <v>33</v>
      </c>
      <c r="I4842" s="7" t="n">
        <f aca="false">IF(AND(LEFT(A4842,1)&lt;&gt;"C",D4842&gt;0,F4842&gt;0),1,0)</f>
        <v>1</v>
      </c>
      <c r="J4842" s="7" t="n">
        <f aca="false">IF(I4842=1,D4842*F4842,0)</f>
        <v>25.2</v>
      </c>
      <c r="K4842" s="7" t="n">
        <f aca="false">YEAR(E4842)*100+MONTH(E4842)</f>
        <v>201111</v>
      </c>
      <c r="L4842" s="7" t="n">
        <f aca="false">IF(AND(A4842&lt;&gt;A4841,LEFT(A4842,1)&lt;&gt;"C"),1,0)</f>
        <v>0</v>
      </c>
    </row>
    <row r="4843" customFormat="false" ht="15" hidden="false" customHeight="false" outlineLevel="0" collapsed="false">
      <c r="A4843" s="0" t="s">
        <v>2914</v>
      </c>
      <c r="B4843" s="0" t="s">
        <v>84</v>
      </c>
      <c r="C4843" s="0" t="s">
        <v>85</v>
      </c>
      <c r="D4843" s="0" t="n">
        <v>1</v>
      </c>
      <c r="E4843" s="6" t="n">
        <v>40858.35625</v>
      </c>
      <c r="F4843" s="0" t="n">
        <v>18</v>
      </c>
      <c r="G4843" s="0" t="n">
        <v>13810</v>
      </c>
      <c r="H4843" s="0" t="s">
        <v>33</v>
      </c>
      <c r="I4843" s="7" t="n">
        <f aca="false">IF(AND(LEFT(A4843,1)&lt;&gt;"C",D4843&gt;0,F4843&gt;0),1,0)</f>
        <v>1</v>
      </c>
      <c r="J4843" s="7" t="n">
        <f aca="false">IF(I4843=1,D4843*F4843,0)</f>
        <v>18</v>
      </c>
      <c r="K4843" s="7" t="n">
        <f aca="false">YEAR(E4843)*100+MONTH(E4843)</f>
        <v>201111</v>
      </c>
      <c r="L4843" s="7" t="n">
        <f aca="false">IF(AND(A4843&lt;&gt;A4842,LEFT(A4843,1)&lt;&gt;"C"),1,0)</f>
        <v>0</v>
      </c>
    </row>
    <row r="4844" customFormat="false" ht="15" hidden="false" customHeight="false" outlineLevel="0" collapsed="false">
      <c r="A4844" s="0" t="s">
        <v>2919</v>
      </c>
      <c r="B4844" s="0" t="s">
        <v>1926</v>
      </c>
      <c r="C4844" s="0" t="s">
        <v>1927</v>
      </c>
      <c r="D4844" s="0" t="n">
        <v>12</v>
      </c>
      <c r="E4844" s="6" t="n">
        <v>40858.4298611111</v>
      </c>
      <c r="F4844" s="0" t="n">
        <v>1.45</v>
      </c>
      <c r="G4844" s="0" t="n">
        <v>12589</v>
      </c>
      <c r="H4844" s="0" t="s">
        <v>43</v>
      </c>
      <c r="I4844" s="7" t="n">
        <f aca="false">IF(AND(LEFT(A4844,1)&lt;&gt;"C",D4844&gt;0,F4844&gt;0),1,0)</f>
        <v>1</v>
      </c>
      <c r="J4844" s="7" t="n">
        <f aca="false">IF(I4844=1,D4844*F4844,0)</f>
        <v>17.4</v>
      </c>
      <c r="K4844" s="7" t="n">
        <f aca="false">YEAR(E4844)*100+MONTH(E4844)</f>
        <v>201111</v>
      </c>
      <c r="L4844" s="7" t="n">
        <f aca="false">IF(AND(A4844&lt;&gt;A4843,LEFT(A4844,1)&lt;&gt;"C"),1,0)</f>
        <v>1</v>
      </c>
    </row>
    <row r="4845" customFormat="false" ht="15" hidden="false" customHeight="false" outlineLevel="0" collapsed="false">
      <c r="A4845" s="0" t="s">
        <v>2919</v>
      </c>
      <c r="B4845" s="0" t="s">
        <v>1114</v>
      </c>
      <c r="C4845" s="0" t="s">
        <v>1115</v>
      </c>
      <c r="D4845" s="0" t="n">
        <v>12</v>
      </c>
      <c r="E4845" s="6" t="n">
        <v>40858.4298611111</v>
      </c>
      <c r="F4845" s="0" t="n">
        <v>1.45</v>
      </c>
      <c r="G4845" s="0" t="n">
        <v>12589</v>
      </c>
      <c r="H4845" s="0" t="s">
        <v>43</v>
      </c>
      <c r="I4845" s="7" t="n">
        <f aca="false">IF(AND(LEFT(A4845,1)&lt;&gt;"C",D4845&gt;0,F4845&gt;0),1,0)</f>
        <v>1</v>
      </c>
      <c r="J4845" s="7" t="n">
        <f aca="false">IF(I4845=1,D4845*F4845,0)</f>
        <v>17.4</v>
      </c>
      <c r="K4845" s="7" t="n">
        <f aca="false">YEAR(E4845)*100+MONTH(E4845)</f>
        <v>201111</v>
      </c>
      <c r="L4845" s="7" t="n">
        <f aca="false">IF(AND(A4845&lt;&gt;A4844,LEFT(A4845,1)&lt;&gt;"C"),1,0)</f>
        <v>0</v>
      </c>
    </row>
    <row r="4846" customFormat="false" ht="15" hidden="false" customHeight="false" outlineLevel="0" collapsed="false">
      <c r="A4846" s="0" t="s">
        <v>2919</v>
      </c>
      <c r="B4846" s="0" t="s">
        <v>616</v>
      </c>
      <c r="C4846" s="0" t="s">
        <v>617</v>
      </c>
      <c r="D4846" s="0" t="n">
        <v>24</v>
      </c>
      <c r="E4846" s="6" t="n">
        <v>40858.4298611111</v>
      </c>
      <c r="F4846" s="0" t="n">
        <v>1.25</v>
      </c>
      <c r="G4846" s="0" t="n">
        <v>12589</v>
      </c>
      <c r="H4846" s="0" t="s">
        <v>43</v>
      </c>
      <c r="I4846" s="7" t="n">
        <f aca="false">IF(AND(LEFT(A4846,1)&lt;&gt;"C",D4846&gt;0,F4846&gt;0),1,0)</f>
        <v>1</v>
      </c>
      <c r="J4846" s="7" t="n">
        <f aca="false">IF(I4846=1,D4846*F4846,0)</f>
        <v>30</v>
      </c>
      <c r="K4846" s="7" t="n">
        <f aca="false">YEAR(E4846)*100+MONTH(E4846)</f>
        <v>201111</v>
      </c>
      <c r="L4846" s="7" t="n">
        <f aca="false">IF(AND(A4846&lt;&gt;A4845,LEFT(A4846,1)&lt;&gt;"C"),1,0)</f>
        <v>0</v>
      </c>
    </row>
    <row r="4847" customFormat="false" ht="15" hidden="false" customHeight="false" outlineLevel="0" collapsed="false">
      <c r="A4847" s="0" t="s">
        <v>2919</v>
      </c>
      <c r="B4847" s="0" t="s">
        <v>586</v>
      </c>
      <c r="C4847" s="0" t="s">
        <v>587</v>
      </c>
      <c r="D4847" s="0" t="n">
        <v>24</v>
      </c>
      <c r="E4847" s="6" t="n">
        <v>40858.4298611111</v>
      </c>
      <c r="F4847" s="0" t="n">
        <v>1.25</v>
      </c>
      <c r="G4847" s="0" t="n">
        <v>12589</v>
      </c>
      <c r="H4847" s="0" t="s">
        <v>43</v>
      </c>
      <c r="I4847" s="7" t="n">
        <f aca="false">IF(AND(LEFT(A4847,1)&lt;&gt;"C",D4847&gt;0,F4847&gt;0),1,0)</f>
        <v>1</v>
      </c>
      <c r="J4847" s="7" t="n">
        <f aca="false">IF(I4847=1,D4847*F4847,0)</f>
        <v>30</v>
      </c>
      <c r="K4847" s="7" t="n">
        <f aca="false">YEAR(E4847)*100+MONTH(E4847)</f>
        <v>201111</v>
      </c>
      <c r="L4847" s="7" t="n">
        <f aca="false">IF(AND(A4847&lt;&gt;A4846,LEFT(A4847,1)&lt;&gt;"C"),1,0)</f>
        <v>0</v>
      </c>
    </row>
    <row r="4848" customFormat="false" ht="15" hidden="false" customHeight="false" outlineLevel="0" collapsed="false">
      <c r="A4848" s="0" t="s">
        <v>2919</v>
      </c>
      <c r="B4848" s="0" t="s">
        <v>125</v>
      </c>
      <c r="C4848" s="0" t="s">
        <v>126</v>
      </c>
      <c r="D4848" s="0" t="n">
        <v>24</v>
      </c>
      <c r="E4848" s="6" t="n">
        <v>40858.4298611111</v>
      </c>
      <c r="F4848" s="0" t="n">
        <v>1.25</v>
      </c>
      <c r="G4848" s="0" t="n">
        <v>12589</v>
      </c>
      <c r="H4848" s="0" t="s">
        <v>43</v>
      </c>
      <c r="I4848" s="7" t="n">
        <f aca="false">IF(AND(LEFT(A4848,1)&lt;&gt;"C",D4848&gt;0,F4848&gt;0),1,0)</f>
        <v>1</v>
      </c>
      <c r="J4848" s="7" t="n">
        <f aca="false">IF(I4848=1,D4848*F4848,0)</f>
        <v>30</v>
      </c>
      <c r="K4848" s="7" t="n">
        <f aca="false">YEAR(E4848)*100+MONTH(E4848)</f>
        <v>201111</v>
      </c>
      <c r="L4848" s="7" t="n">
        <f aca="false">IF(AND(A4848&lt;&gt;A4847,LEFT(A4848,1)&lt;&gt;"C"),1,0)</f>
        <v>0</v>
      </c>
    </row>
    <row r="4849" customFormat="false" ht="15" hidden="false" customHeight="false" outlineLevel="0" collapsed="false">
      <c r="A4849" s="0" t="s">
        <v>2919</v>
      </c>
      <c r="B4849" s="0" t="s">
        <v>467</v>
      </c>
      <c r="C4849" s="0" t="s">
        <v>468</v>
      </c>
      <c r="D4849" s="0" t="n">
        <v>8</v>
      </c>
      <c r="E4849" s="6" t="n">
        <v>40858.4298611111</v>
      </c>
      <c r="F4849" s="0" t="n">
        <v>1.95</v>
      </c>
      <c r="G4849" s="0" t="n">
        <v>12589</v>
      </c>
      <c r="H4849" s="0" t="s">
        <v>43</v>
      </c>
      <c r="I4849" s="7" t="n">
        <f aca="false">IF(AND(LEFT(A4849,1)&lt;&gt;"C",D4849&gt;0,F4849&gt;0),1,0)</f>
        <v>1</v>
      </c>
      <c r="J4849" s="7" t="n">
        <f aca="false">IF(I4849=1,D4849*F4849,0)</f>
        <v>15.6</v>
      </c>
      <c r="K4849" s="7" t="n">
        <f aca="false">YEAR(E4849)*100+MONTH(E4849)</f>
        <v>201111</v>
      </c>
      <c r="L4849" s="7" t="n">
        <f aca="false">IF(AND(A4849&lt;&gt;A4848,LEFT(A4849,1)&lt;&gt;"C"),1,0)</f>
        <v>0</v>
      </c>
    </row>
    <row r="4850" customFormat="false" ht="15" hidden="false" customHeight="false" outlineLevel="0" collapsed="false">
      <c r="A4850" s="0" t="s">
        <v>2919</v>
      </c>
      <c r="B4850" s="0" t="s">
        <v>1266</v>
      </c>
      <c r="C4850" s="0" t="s">
        <v>1267</v>
      </c>
      <c r="D4850" s="0" t="n">
        <v>8</v>
      </c>
      <c r="E4850" s="6" t="n">
        <v>40858.4298611111</v>
      </c>
      <c r="F4850" s="0" t="n">
        <v>1.95</v>
      </c>
      <c r="G4850" s="0" t="n">
        <v>12589</v>
      </c>
      <c r="H4850" s="0" t="s">
        <v>43</v>
      </c>
      <c r="I4850" s="7" t="n">
        <f aca="false">IF(AND(LEFT(A4850,1)&lt;&gt;"C",D4850&gt;0,F4850&gt;0),1,0)</f>
        <v>1</v>
      </c>
      <c r="J4850" s="7" t="n">
        <f aca="false">IF(I4850=1,D4850*F4850,0)</f>
        <v>15.6</v>
      </c>
      <c r="K4850" s="7" t="n">
        <f aca="false">YEAR(E4850)*100+MONTH(E4850)</f>
        <v>201111</v>
      </c>
      <c r="L4850" s="7" t="n">
        <f aca="false">IF(AND(A4850&lt;&gt;A4849,LEFT(A4850,1)&lt;&gt;"C"),1,0)</f>
        <v>0</v>
      </c>
    </row>
    <row r="4851" customFormat="false" ht="15" hidden="false" customHeight="false" outlineLevel="0" collapsed="false">
      <c r="A4851" s="0" t="s">
        <v>2919</v>
      </c>
      <c r="B4851" s="0" t="s">
        <v>977</v>
      </c>
      <c r="C4851" s="0" t="s">
        <v>978</v>
      </c>
      <c r="D4851" s="0" t="n">
        <v>10</v>
      </c>
      <c r="E4851" s="6" t="n">
        <v>40858.4298611111</v>
      </c>
      <c r="F4851" s="0" t="n">
        <v>1.65</v>
      </c>
      <c r="G4851" s="0" t="n">
        <v>12589</v>
      </c>
      <c r="H4851" s="0" t="s">
        <v>43</v>
      </c>
      <c r="I4851" s="7" t="n">
        <f aca="false">IF(AND(LEFT(A4851,1)&lt;&gt;"C",D4851&gt;0,F4851&gt;0),1,0)</f>
        <v>1</v>
      </c>
      <c r="J4851" s="7" t="n">
        <f aca="false">IF(I4851=1,D4851*F4851,0)</f>
        <v>16.5</v>
      </c>
      <c r="K4851" s="7" t="n">
        <f aca="false">YEAR(E4851)*100+MONTH(E4851)</f>
        <v>201111</v>
      </c>
      <c r="L4851" s="7" t="n">
        <f aca="false">IF(AND(A4851&lt;&gt;A4850,LEFT(A4851,1)&lt;&gt;"C"),1,0)</f>
        <v>0</v>
      </c>
    </row>
    <row r="4852" customFormat="false" ht="15" hidden="false" customHeight="false" outlineLevel="0" collapsed="false">
      <c r="A4852" s="0" t="s">
        <v>2919</v>
      </c>
      <c r="B4852" s="0" t="s">
        <v>783</v>
      </c>
      <c r="C4852" s="0" t="s">
        <v>784</v>
      </c>
      <c r="D4852" s="0" t="n">
        <v>6</v>
      </c>
      <c r="E4852" s="6" t="n">
        <v>40858.4298611111</v>
      </c>
      <c r="F4852" s="0" t="n">
        <v>2.1</v>
      </c>
      <c r="G4852" s="0" t="n">
        <v>12589</v>
      </c>
      <c r="H4852" s="0" t="s">
        <v>43</v>
      </c>
      <c r="I4852" s="7" t="n">
        <f aca="false">IF(AND(LEFT(A4852,1)&lt;&gt;"C",D4852&gt;0,F4852&gt;0),1,0)</f>
        <v>1</v>
      </c>
      <c r="J4852" s="7" t="n">
        <f aca="false">IF(I4852=1,D4852*F4852,0)</f>
        <v>12.6</v>
      </c>
      <c r="K4852" s="7" t="n">
        <f aca="false">YEAR(E4852)*100+MONTH(E4852)</f>
        <v>201111</v>
      </c>
      <c r="L4852" s="7" t="n">
        <f aca="false">IF(AND(A4852&lt;&gt;A4851,LEFT(A4852,1)&lt;&gt;"C"),1,0)</f>
        <v>0</v>
      </c>
    </row>
    <row r="4853" customFormat="false" ht="15" hidden="false" customHeight="false" outlineLevel="0" collapsed="false">
      <c r="A4853" s="0" t="s">
        <v>2919</v>
      </c>
      <c r="B4853" s="0" t="s">
        <v>785</v>
      </c>
      <c r="C4853" s="0" t="s">
        <v>786</v>
      </c>
      <c r="D4853" s="0" t="n">
        <v>12</v>
      </c>
      <c r="E4853" s="6" t="n">
        <v>40858.4298611111</v>
      </c>
      <c r="F4853" s="0" t="n">
        <v>1.45</v>
      </c>
      <c r="G4853" s="0" t="n">
        <v>12589</v>
      </c>
      <c r="H4853" s="0" t="s">
        <v>43</v>
      </c>
      <c r="I4853" s="7" t="n">
        <f aca="false">IF(AND(LEFT(A4853,1)&lt;&gt;"C",D4853&gt;0,F4853&gt;0),1,0)</f>
        <v>1</v>
      </c>
      <c r="J4853" s="7" t="n">
        <f aca="false">IF(I4853=1,D4853*F4853,0)</f>
        <v>17.4</v>
      </c>
      <c r="K4853" s="7" t="n">
        <f aca="false">YEAR(E4853)*100+MONTH(E4853)</f>
        <v>201111</v>
      </c>
      <c r="L4853" s="7" t="n">
        <f aca="false">IF(AND(A4853&lt;&gt;A4852,LEFT(A4853,1)&lt;&gt;"C"),1,0)</f>
        <v>0</v>
      </c>
    </row>
    <row r="4854" customFormat="false" ht="15" hidden="false" customHeight="false" outlineLevel="0" collapsed="false">
      <c r="A4854" s="0" t="s">
        <v>2919</v>
      </c>
      <c r="B4854" s="0" t="s">
        <v>2259</v>
      </c>
      <c r="C4854" s="0" t="s">
        <v>2260</v>
      </c>
      <c r="D4854" s="0" t="n">
        <v>6</v>
      </c>
      <c r="E4854" s="6" t="n">
        <v>40858.4298611111</v>
      </c>
      <c r="F4854" s="0" t="n">
        <v>2.1</v>
      </c>
      <c r="G4854" s="0" t="n">
        <v>12589</v>
      </c>
      <c r="H4854" s="0" t="s">
        <v>43</v>
      </c>
      <c r="I4854" s="7" t="n">
        <f aca="false">IF(AND(LEFT(A4854,1)&lt;&gt;"C",D4854&gt;0,F4854&gt;0),1,0)</f>
        <v>1</v>
      </c>
      <c r="J4854" s="7" t="n">
        <f aca="false">IF(I4854=1,D4854*F4854,0)</f>
        <v>12.6</v>
      </c>
      <c r="K4854" s="7" t="n">
        <f aca="false">YEAR(E4854)*100+MONTH(E4854)</f>
        <v>201111</v>
      </c>
      <c r="L4854" s="7" t="n">
        <f aca="false">IF(AND(A4854&lt;&gt;A4853,LEFT(A4854,1)&lt;&gt;"C"),1,0)</f>
        <v>0</v>
      </c>
    </row>
    <row r="4855" customFormat="false" ht="15" hidden="false" customHeight="false" outlineLevel="0" collapsed="false">
      <c r="A4855" s="0" t="s">
        <v>2919</v>
      </c>
      <c r="B4855" s="0" t="s">
        <v>787</v>
      </c>
      <c r="C4855" s="0" t="s">
        <v>788</v>
      </c>
      <c r="D4855" s="0" t="n">
        <v>12</v>
      </c>
      <c r="E4855" s="6" t="n">
        <v>40858.4298611111</v>
      </c>
      <c r="F4855" s="0" t="n">
        <v>1.45</v>
      </c>
      <c r="G4855" s="0" t="n">
        <v>12589</v>
      </c>
      <c r="H4855" s="0" t="s">
        <v>43</v>
      </c>
      <c r="I4855" s="7" t="n">
        <f aca="false">IF(AND(LEFT(A4855,1)&lt;&gt;"C",D4855&gt;0,F4855&gt;0),1,0)</f>
        <v>1</v>
      </c>
      <c r="J4855" s="7" t="n">
        <f aca="false">IF(I4855=1,D4855*F4855,0)</f>
        <v>17.4</v>
      </c>
      <c r="K4855" s="7" t="n">
        <f aca="false">YEAR(E4855)*100+MONTH(E4855)</f>
        <v>201111</v>
      </c>
      <c r="L4855" s="7" t="n">
        <f aca="false">IF(AND(A4855&lt;&gt;A4854,LEFT(A4855,1)&lt;&gt;"C"),1,0)</f>
        <v>0</v>
      </c>
    </row>
    <row r="4856" customFormat="false" ht="15" hidden="false" customHeight="false" outlineLevel="0" collapsed="false">
      <c r="A4856" s="0" t="s">
        <v>2919</v>
      </c>
      <c r="B4856" s="0" t="s">
        <v>148</v>
      </c>
      <c r="C4856" s="0" t="s">
        <v>149</v>
      </c>
      <c r="D4856" s="0" t="n">
        <v>4</v>
      </c>
      <c r="E4856" s="6" t="n">
        <v>40858.4298611111</v>
      </c>
      <c r="F4856" s="0" t="n">
        <v>12.75</v>
      </c>
      <c r="G4856" s="0" t="n">
        <v>12589</v>
      </c>
      <c r="H4856" s="0" t="s">
        <v>43</v>
      </c>
      <c r="I4856" s="7" t="n">
        <f aca="false">IF(AND(LEFT(A4856,1)&lt;&gt;"C",D4856&gt;0,F4856&gt;0),1,0)</f>
        <v>1</v>
      </c>
      <c r="J4856" s="7" t="n">
        <f aca="false">IF(I4856=1,D4856*F4856,0)</f>
        <v>51</v>
      </c>
      <c r="K4856" s="7" t="n">
        <f aca="false">YEAR(E4856)*100+MONTH(E4856)</f>
        <v>201111</v>
      </c>
      <c r="L4856" s="7" t="n">
        <f aca="false">IF(AND(A4856&lt;&gt;A4855,LEFT(A4856,1)&lt;&gt;"C"),1,0)</f>
        <v>0</v>
      </c>
    </row>
    <row r="4857" customFormat="false" ht="15" hidden="false" customHeight="false" outlineLevel="0" collapsed="false">
      <c r="A4857" s="0" t="s">
        <v>2919</v>
      </c>
      <c r="B4857" s="0" t="s">
        <v>136</v>
      </c>
      <c r="C4857" s="0" t="s">
        <v>137</v>
      </c>
      <c r="D4857" s="0" t="n">
        <v>4</v>
      </c>
      <c r="E4857" s="6" t="n">
        <v>40858.4298611111</v>
      </c>
      <c r="F4857" s="0" t="n">
        <v>4.95</v>
      </c>
      <c r="G4857" s="0" t="n">
        <v>12589</v>
      </c>
      <c r="H4857" s="0" t="s">
        <v>43</v>
      </c>
      <c r="I4857" s="7" t="n">
        <f aca="false">IF(AND(LEFT(A4857,1)&lt;&gt;"C",D4857&gt;0,F4857&gt;0),1,0)</f>
        <v>1</v>
      </c>
      <c r="J4857" s="7" t="n">
        <f aca="false">IF(I4857=1,D4857*F4857,0)</f>
        <v>19.8</v>
      </c>
      <c r="K4857" s="7" t="n">
        <f aca="false">YEAR(E4857)*100+MONTH(E4857)</f>
        <v>201111</v>
      </c>
      <c r="L4857" s="7" t="n">
        <f aca="false">IF(AND(A4857&lt;&gt;A4856,LEFT(A4857,1)&lt;&gt;"C"),1,0)</f>
        <v>0</v>
      </c>
    </row>
    <row r="4858" customFormat="false" ht="15" hidden="false" customHeight="false" outlineLevel="0" collapsed="false">
      <c r="A4858" s="0" t="s">
        <v>2919</v>
      </c>
      <c r="B4858" s="0" t="s">
        <v>857</v>
      </c>
      <c r="C4858" s="0" t="s">
        <v>858</v>
      </c>
      <c r="D4858" s="0" t="n">
        <v>8</v>
      </c>
      <c r="E4858" s="6" t="n">
        <v>40858.4298611111</v>
      </c>
      <c r="F4858" s="0" t="n">
        <v>0.83</v>
      </c>
      <c r="G4858" s="0" t="n">
        <v>12589</v>
      </c>
      <c r="H4858" s="0" t="s">
        <v>43</v>
      </c>
      <c r="I4858" s="7" t="n">
        <f aca="false">IF(AND(LEFT(A4858,1)&lt;&gt;"C",D4858&gt;0,F4858&gt;0),1,0)</f>
        <v>1</v>
      </c>
      <c r="J4858" s="7" t="n">
        <f aca="false">IF(I4858=1,D4858*F4858,0)</f>
        <v>6.64</v>
      </c>
      <c r="K4858" s="7" t="n">
        <f aca="false">YEAR(E4858)*100+MONTH(E4858)</f>
        <v>201111</v>
      </c>
      <c r="L4858" s="7" t="n">
        <f aca="false">IF(AND(A4858&lt;&gt;A4857,LEFT(A4858,1)&lt;&gt;"C"),1,0)</f>
        <v>0</v>
      </c>
    </row>
    <row r="4859" customFormat="false" ht="15" hidden="false" customHeight="false" outlineLevel="0" collapsed="false">
      <c r="A4859" s="0" t="s">
        <v>2919</v>
      </c>
      <c r="B4859" s="0" t="s">
        <v>689</v>
      </c>
      <c r="C4859" s="0" t="s">
        <v>690</v>
      </c>
      <c r="D4859" s="0" t="n">
        <v>8</v>
      </c>
      <c r="E4859" s="6" t="n">
        <v>40858.4298611111</v>
      </c>
      <c r="F4859" s="0" t="n">
        <v>1.25</v>
      </c>
      <c r="G4859" s="0" t="n">
        <v>12589</v>
      </c>
      <c r="H4859" s="0" t="s">
        <v>43</v>
      </c>
      <c r="I4859" s="7" t="n">
        <f aca="false">IF(AND(LEFT(A4859,1)&lt;&gt;"C",D4859&gt;0,F4859&gt;0),1,0)</f>
        <v>1</v>
      </c>
      <c r="J4859" s="7" t="n">
        <f aca="false">IF(I4859=1,D4859*F4859,0)</f>
        <v>10</v>
      </c>
      <c r="K4859" s="7" t="n">
        <f aca="false">YEAR(E4859)*100+MONTH(E4859)</f>
        <v>201111</v>
      </c>
      <c r="L4859" s="7" t="n">
        <f aca="false">IF(AND(A4859&lt;&gt;A4858,LEFT(A4859,1)&lt;&gt;"C"),1,0)</f>
        <v>0</v>
      </c>
    </row>
    <row r="4860" customFormat="false" ht="15" hidden="false" customHeight="false" outlineLevel="0" collapsed="false">
      <c r="A4860" s="0" t="s">
        <v>2919</v>
      </c>
      <c r="B4860" s="0" t="s">
        <v>717</v>
      </c>
      <c r="C4860" s="0" t="s">
        <v>718</v>
      </c>
      <c r="D4860" s="0" t="n">
        <v>8</v>
      </c>
      <c r="E4860" s="6" t="n">
        <v>40858.4298611111</v>
      </c>
      <c r="F4860" s="0" t="n">
        <v>0.83</v>
      </c>
      <c r="G4860" s="0" t="n">
        <v>12589</v>
      </c>
      <c r="H4860" s="0" t="s">
        <v>43</v>
      </c>
      <c r="I4860" s="7" t="n">
        <f aca="false">IF(AND(LEFT(A4860,1)&lt;&gt;"C",D4860&gt;0,F4860&gt;0),1,0)</f>
        <v>1</v>
      </c>
      <c r="J4860" s="7" t="n">
        <f aca="false">IF(I4860=1,D4860*F4860,0)</f>
        <v>6.64</v>
      </c>
      <c r="K4860" s="7" t="n">
        <f aca="false">YEAR(E4860)*100+MONTH(E4860)</f>
        <v>201111</v>
      </c>
      <c r="L4860" s="7" t="n">
        <f aca="false">IF(AND(A4860&lt;&gt;A4859,LEFT(A4860,1)&lt;&gt;"C"),1,0)</f>
        <v>0</v>
      </c>
    </row>
    <row r="4861" customFormat="false" ht="15" hidden="false" customHeight="false" outlineLevel="0" collapsed="false">
      <c r="A4861" s="0" t="s">
        <v>2919</v>
      </c>
      <c r="B4861" s="0" t="s">
        <v>2920</v>
      </c>
      <c r="C4861" s="0" t="s">
        <v>2921</v>
      </c>
      <c r="D4861" s="0" t="n">
        <v>2</v>
      </c>
      <c r="E4861" s="6" t="n">
        <v>40858.4298611111</v>
      </c>
      <c r="F4861" s="0" t="n">
        <v>14.95</v>
      </c>
      <c r="G4861" s="0" t="n">
        <v>12589</v>
      </c>
      <c r="H4861" s="0" t="s">
        <v>43</v>
      </c>
      <c r="I4861" s="7" t="n">
        <f aca="false">IF(AND(LEFT(A4861,1)&lt;&gt;"C",D4861&gt;0,F4861&gt;0),1,0)</f>
        <v>1</v>
      </c>
      <c r="J4861" s="7" t="n">
        <f aca="false">IF(I4861=1,D4861*F4861,0)</f>
        <v>29.9</v>
      </c>
      <c r="K4861" s="7" t="n">
        <f aca="false">YEAR(E4861)*100+MONTH(E4861)</f>
        <v>201111</v>
      </c>
      <c r="L4861" s="7" t="n">
        <f aca="false">IF(AND(A4861&lt;&gt;A4860,LEFT(A4861,1)&lt;&gt;"C"),1,0)</f>
        <v>0</v>
      </c>
    </row>
    <row r="4862" customFormat="false" ht="15" hidden="false" customHeight="false" outlineLevel="0" collapsed="false">
      <c r="A4862" s="0" t="s">
        <v>2919</v>
      </c>
      <c r="B4862" s="0" t="s">
        <v>326</v>
      </c>
      <c r="C4862" s="0" t="s">
        <v>327</v>
      </c>
      <c r="D4862" s="0" t="n">
        <v>2</v>
      </c>
      <c r="E4862" s="6" t="n">
        <v>40858.4298611111</v>
      </c>
      <c r="F4862" s="0" t="n">
        <v>8.5</v>
      </c>
      <c r="G4862" s="0" t="n">
        <v>12589</v>
      </c>
      <c r="H4862" s="0" t="s">
        <v>43</v>
      </c>
      <c r="I4862" s="7" t="n">
        <f aca="false">IF(AND(LEFT(A4862,1)&lt;&gt;"C",D4862&gt;0,F4862&gt;0),1,0)</f>
        <v>1</v>
      </c>
      <c r="J4862" s="7" t="n">
        <f aca="false">IF(I4862=1,D4862*F4862,0)</f>
        <v>17</v>
      </c>
      <c r="K4862" s="7" t="n">
        <f aca="false">YEAR(E4862)*100+MONTH(E4862)</f>
        <v>201111</v>
      </c>
      <c r="L4862" s="7" t="n">
        <f aca="false">IF(AND(A4862&lt;&gt;A4861,LEFT(A4862,1)&lt;&gt;"C"),1,0)</f>
        <v>0</v>
      </c>
    </row>
    <row r="4863" customFormat="false" ht="15" hidden="false" customHeight="false" outlineLevel="0" collapsed="false">
      <c r="A4863" s="0" t="s">
        <v>2919</v>
      </c>
      <c r="B4863" s="0" t="s">
        <v>452</v>
      </c>
      <c r="C4863" s="0" t="s">
        <v>453</v>
      </c>
      <c r="D4863" s="0" t="n">
        <v>2</v>
      </c>
      <c r="E4863" s="6" t="n">
        <v>40858.4298611111</v>
      </c>
      <c r="F4863" s="0" t="n">
        <v>8.5</v>
      </c>
      <c r="G4863" s="0" t="n">
        <v>12589</v>
      </c>
      <c r="H4863" s="0" t="s">
        <v>43</v>
      </c>
      <c r="I4863" s="7" t="n">
        <f aca="false">IF(AND(LEFT(A4863,1)&lt;&gt;"C",D4863&gt;0,F4863&gt;0),1,0)</f>
        <v>1</v>
      </c>
      <c r="J4863" s="7" t="n">
        <f aca="false">IF(I4863=1,D4863*F4863,0)</f>
        <v>17</v>
      </c>
      <c r="K4863" s="7" t="n">
        <f aca="false">YEAR(E4863)*100+MONTH(E4863)</f>
        <v>201111</v>
      </c>
      <c r="L4863" s="7" t="n">
        <f aca="false">IF(AND(A4863&lt;&gt;A4862,LEFT(A4863,1)&lt;&gt;"C"),1,0)</f>
        <v>0</v>
      </c>
    </row>
    <row r="4864" customFormat="false" ht="15" hidden="false" customHeight="false" outlineLevel="0" collapsed="false">
      <c r="A4864" s="0" t="s">
        <v>2919</v>
      </c>
      <c r="B4864" s="0" t="s">
        <v>293</v>
      </c>
      <c r="C4864" s="0" t="s">
        <v>294</v>
      </c>
      <c r="D4864" s="0" t="n">
        <v>2</v>
      </c>
      <c r="E4864" s="6" t="n">
        <v>40858.4298611111</v>
      </c>
      <c r="F4864" s="0" t="n">
        <v>8.5</v>
      </c>
      <c r="G4864" s="0" t="n">
        <v>12589</v>
      </c>
      <c r="H4864" s="0" t="s">
        <v>43</v>
      </c>
      <c r="I4864" s="7" t="n">
        <f aca="false">IF(AND(LEFT(A4864,1)&lt;&gt;"C",D4864&gt;0,F4864&gt;0),1,0)</f>
        <v>1</v>
      </c>
      <c r="J4864" s="7" t="n">
        <f aca="false">IF(I4864=1,D4864*F4864,0)</f>
        <v>17</v>
      </c>
      <c r="K4864" s="7" t="n">
        <f aca="false">YEAR(E4864)*100+MONTH(E4864)</f>
        <v>201111</v>
      </c>
      <c r="L4864" s="7" t="n">
        <f aca="false">IF(AND(A4864&lt;&gt;A4863,LEFT(A4864,1)&lt;&gt;"C"),1,0)</f>
        <v>0</v>
      </c>
    </row>
    <row r="4865" customFormat="false" ht="15" hidden="false" customHeight="false" outlineLevel="0" collapsed="false">
      <c r="A4865" s="0" t="s">
        <v>2919</v>
      </c>
      <c r="B4865" s="0" t="s">
        <v>2322</v>
      </c>
      <c r="C4865" s="0" t="s">
        <v>2323</v>
      </c>
      <c r="D4865" s="0" t="n">
        <v>6</v>
      </c>
      <c r="E4865" s="6" t="n">
        <v>40858.4298611111</v>
      </c>
      <c r="F4865" s="0" t="n">
        <v>3.25</v>
      </c>
      <c r="G4865" s="0" t="n">
        <v>12589</v>
      </c>
      <c r="H4865" s="0" t="s">
        <v>43</v>
      </c>
      <c r="I4865" s="7" t="n">
        <f aca="false">IF(AND(LEFT(A4865,1)&lt;&gt;"C",D4865&gt;0,F4865&gt;0),1,0)</f>
        <v>1</v>
      </c>
      <c r="J4865" s="7" t="n">
        <f aca="false">IF(I4865=1,D4865*F4865,0)</f>
        <v>19.5</v>
      </c>
      <c r="K4865" s="7" t="n">
        <f aca="false">YEAR(E4865)*100+MONTH(E4865)</f>
        <v>201111</v>
      </c>
      <c r="L4865" s="7" t="n">
        <f aca="false">IF(AND(A4865&lt;&gt;A4864,LEFT(A4865,1)&lt;&gt;"C"),1,0)</f>
        <v>0</v>
      </c>
    </row>
    <row r="4866" customFormat="false" ht="15" hidden="false" customHeight="false" outlineLevel="0" collapsed="false">
      <c r="A4866" s="0" t="s">
        <v>2919</v>
      </c>
      <c r="B4866" s="0" t="s">
        <v>970</v>
      </c>
      <c r="C4866" s="0" t="s">
        <v>971</v>
      </c>
      <c r="D4866" s="0" t="n">
        <v>10</v>
      </c>
      <c r="E4866" s="6" t="n">
        <v>40858.4298611111</v>
      </c>
      <c r="F4866" s="0" t="n">
        <v>1.65</v>
      </c>
      <c r="G4866" s="0" t="n">
        <v>12589</v>
      </c>
      <c r="H4866" s="0" t="s">
        <v>43</v>
      </c>
      <c r="I4866" s="7" t="n">
        <f aca="false">IF(AND(LEFT(A4866,1)&lt;&gt;"C",D4866&gt;0,F4866&gt;0),1,0)</f>
        <v>1</v>
      </c>
      <c r="J4866" s="7" t="n">
        <f aca="false">IF(I4866=1,D4866*F4866,0)</f>
        <v>16.5</v>
      </c>
      <c r="K4866" s="7" t="n">
        <f aca="false">YEAR(E4866)*100+MONTH(E4866)</f>
        <v>201111</v>
      </c>
      <c r="L4866" s="7" t="n">
        <f aca="false">IF(AND(A4866&lt;&gt;A4865,LEFT(A4866,1)&lt;&gt;"C"),1,0)</f>
        <v>0</v>
      </c>
    </row>
    <row r="4867" customFormat="false" ht="15" hidden="false" customHeight="false" outlineLevel="0" collapsed="false">
      <c r="A4867" s="0" t="s">
        <v>2919</v>
      </c>
      <c r="B4867" s="0" t="s">
        <v>2546</v>
      </c>
      <c r="C4867" s="0" t="s">
        <v>2547</v>
      </c>
      <c r="D4867" s="0" t="n">
        <v>6</v>
      </c>
      <c r="E4867" s="6" t="n">
        <v>40858.4298611111</v>
      </c>
      <c r="F4867" s="0" t="n">
        <v>2.95</v>
      </c>
      <c r="G4867" s="0" t="n">
        <v>12589</v>
      </c>
      <c r="H4867" s="0" t="s">
        <v>43</v>
      </c>
      <c r="I4867" s="7" t="n">
        <f aca="false">IF(AND(LEFT(A4867,1)&lt;&gt;"C",D4867&gt;0,F4867&gt;0),1,0)</f>
        <v>1</v>
      </c>
      <c r="J4867" s="7" t="n">
        <f aca="false">IF(I4867=1,D4867*F4867,0)</f>
        <v>17.7</v>
      </c>
      <c r="K4867" s="7" t="n">
        <f aca="false">YEAR(E4867)*100+MONTH(E4867)</f>
        <v>201111</v>
      </c>
      <c r="L4867" s="7" t="n">
        <f aca="false">IF(AND(A4867&lt;&gt;A4866,LEFT(A4867,1)&lt;&gt;"C"),1,0)</f>
        <v>0</v>
      </c>
    </row>
    <row r="4868" customFormat="false" ht="15" hidden="false" customHeight="false" outlineLevel="0" collapsed="false">
      <c r="A4868" s="0" t="s">
        <v>2919</v>
      </c>
      <c r="B4868" s="0" t="s">
        <v>84</v>
      </c>
      <c r="C4868" s="0" t="s">
        <v>85</v>
      </c>
      <c r="D4868" s="0" t="n">
        <v>3</v>
      </c>
      <c r="E4868" s="6" t="n">
        <v>40858.4298611111</v>
      </c>
      <c r="F4868" s="0" t="n">
        <v>18</v>
      </c>
      <c r="G4868" s="0" t="n">
        <v>12589</v>
      </c>
      <c r="H4868" s="0" t="s">
        <v>43</v>
      </c>
      <c r="I4868" s="7" t="n">
        <f aca="false">IF(AND(LEFT(A4868,1)&lt;&gt;"C",D4868&gt;0,F4868&gt;0),1,0)</f>
        <v>1</v>
      </c>
      <c r="J4868" s="7" t="n">
        <f aca="false">IF(I4868=1,D4868*F4868,0)</f>
        <v>54</v>
      </c>
      <c r="K4868" s="7" t="n">
        <f aca="false">YEAR(E4868)*100+MONTH(E4868)</f>
        <v>201111</v>
      </c>
      <c r="L4868" s="7" t="n">
        <f aca="false">IF(AND(A4868&lt;&gt;A4867,LEFT(A4868,1)&lt;&gt;"C"),1,0)</f>
        <v>0</v>
      </c>
    </row>
    <row r="4869" customFormat="false" ht="15" hidden="false" customHeight="false" outlineLevel="0" collapsed="false">
      <c r="A4869" s="0" t="s">
        <v>2922</v>
      </c>
      <c r="B4869" s="0" t="s">
        <v>2923</v>
      </c>
      <c r="C4869" s="0" t="s">
        <v>2924</v>
      </c>
      <c r="D4869" s="0" t="n">
        <v>24</v>
      </c>
      <c r="E4869" s="6" t="n">
        <v>40858.4368055556</v>
      </c>
      <c r="F4869" s="0" t="n">
        <v>0.85</v>
      </c>
      <c r="G4869" s="0" t="n">
        <v>12600</v>
      </c>
      <c r="H4869" s="0" t="s">
        <v>33</v>
      </c>
      <c r="I4869" s="7" t="n">
        <f aca="false">IF(AND(LEFT(A4869,1)&lt;&gt;"C",D4869&gt;0,F4869&gt;0),1,0)</f>
        <v>1</v>
      </c>
      <c r="J4869" s="7" t="n">
        <f aca="false">IF(I4869=1,D4869*F4869,0)</f>
        <v>20.4</v>
      </c>
      <c r="K4869" s="7" t="n">
        <f aca="false">YEAR(E4869)*100+MONTH(E4869)</f>
        <v>201111</v>
      </c>
      <c r="L4869" s="7" t="n">
        <f aca="false">IF(AND(A4869&lt;&gt;A4868,LEFT(A4869,1)&lt;&gt;"C"),1,0)</f>
        <v>1</v>
      </c>
    </row>
    <row r="4870" customFormat="false" ht="15" hidden="false" customHeight="false" outlineLevel="0" collapsed="false">
      <c r="A4870" s="0" t="s">
        <v>2922</v>
      </c>
      <c r="B4870" s="0" t="s">
        <v>2925</v>
      </c>
      <c r="C4870" s="0" t="s">
        <v>2926</v>
      </c>
      <c r="D4870" s="0" t="n">
        <v>24</v>
      </c>
      <c r="E4870" s="6" t="n">
        <v>40858.4368055556</v>
      </c>
      <c r="F4870" s="0" t="n">
        <v>0.79</v>
      </c>
      <c r="G4870" s="0" t="n">
        <v>12600</v>
      </c>
      <c r="H4870" s="0" t="s">
        <v>33</v>
      </c>
      <c r="I4870" s="7" t="n">
        <f aca="false">IF(AND(LEFT(A4870,1)&lt;&gt;"C",D4870&gt;0,F4870&gt;0),1,0)</f>
        <v>1</v>
      </c>
      <c r="J4870" s="7" t="n">
        <f aca="false">IF(I4870=1,D4870*F4870,0)</f>
        <v>18.96</v>
      </c>
      <c r="K4870" s="7" t="n">
        <f aca="false">YEAR(E4870)*100+MONTH(E4870)</f>
        <v>201111</v>
      </c>
      <c r="L4870" s="7" t="n">
        <f aca="false">IF(AND(A4870&lt;&gt;A4869,LEFT(A4870,1)&lt;&gt;"C"),1,0)</f>
        <v>0</v>
      </c>
    </row>
    <row r="4871" customFormat="false" ht="15" hidden="false" customHeight="false" outlineLevel="0" collapsed="false">
      <c r="A4871" s="0" t="s">
        <v>2922</v>
      </c>
      <c r="B4871" s="0" t="s">
        <v>1284</v>
      </c>
      <c r="C4871" s="0" t="s">
        <v>1285</v>
      </c>
      <c r="D4871" s="0" t="n">
        <v>6</v>
      </c>
      <c r="E4871" s="6" t="n">
        <v>40858.4368055556</v>
      </c>
      <c r="F4871" s="0" t="n">
        <v>1.95</v>
      </c>
      <c r="G4871" s="0" t="n">
        <v>12600</v>
      </c>
      <c r="H4871" s="0" t="s">
        <v>33</v>
      </c>
      <c r="I4871" s="7" t="n">
        <f aca="false">IF(AND(LEFT(A4871,1)&lt;&gt;"C",D4871&gt;0,F4871&gt;0),1,0)</f>
        <v>1</v>
      </c>
      <c r="J4871" s="7" t="n">
        <f aca="false">IF(I4871=1,D4871*F4871,0)</f>
        <v>11.7</v>
      </c>
      <c r="K4871" s="7" t="n">
        <f aca="false">YEAR(E4871)*100+MONTH(E4871)</f>
        <v>201111</v>
      </c>
      <c r="L4871" s="7" t="n">
        <f aca="false">IF(AND(A4871&lt;&gt;A4870,LEFT(A4871,1)&lt;&gt;"C"),1,0)</f>
        <v>0</v>
      </c>
    </row>
    <row r="4872" customFormat="false" ht="15" hidden="false" customHeight="false" outlineLevel="0" collapsed="false">
      <c r="A4872" s="0" t="s">
        <v>2922</v>
      </c>
      <c r="B4872" s="0" t="s">
        <v>1386</v>
      </c>
      <c r="C4872" s="0" t="s">
        <v>1387</v>
      </c>
      <c r="D4872" s="0" t="n">
        <v>10</v>
      </c>
      <c r="E4872" s="6" t="n">
        <v>40858.4368055556</v>
      </c>
      <c r="F4872" s="0" t="n">
        <v>2.08</v>
      </c>
      <c r="G4872" s="0" t="n">
        <v>12600</v>
      </c>
      <c r="H4872" s="0" t="s">
        <v>33</v>
      </c>
      <c r="I4872" s="7" t="n">
        <f aca="false">IF(AND(LEFT(A4872,1)&lt;&gt;"C",D4872&gt;0,F4872&gt;0),1,0)</f>
        <v>1</v>
      </c>
      <c r="J4872" s="7" t="n">
        <f aca="false">IF(I4872=1,D4872*F4872,0)</f>
        <v>20.8</v>
      </c>
      <c r="K4872" s="7" t="n">
        <f aca="false">YEAR(E4872)*100+MONTH(E4872)</f>
        <v>201111</v>
      </c>
      <c r="L4872" s="7" t="n">
        <f aca="false">IF(AND(A4872&lt;&gt;A4871,LEFT(A4872,1)&lt;&gt;"C"),1,0)</f>
        <v>0</v>
      </c>
    </row>
    <row r="4873" customFormat="false" ht="15" hidden="false" customHeight="false" outlineLevel="0" collapsed="false">
      <c r="A4873" s="0" t="s">
        <v>2922</v>
      </c>
      <c r="B4873" s="0" t="s">
        <v>2825</v>
      </c>
      <c r="C4873" s="0" t="s">
        <v>2826</v>
      </c>
      <c r="D4873" s="0" t="n">
        <v>48</v>
      </c>
      <c r="E4873" s="6" t="n">
        <v>40858.4368055556</v>
      </c>
      <c r="F4873" s="0" t="n">
        <v>0.39</v>
      </c>
      <c r="G4873" s="0" t="n">
        <v>12600</v>
      </c>
      <c r="H4873" s="0" t="s">
        <v>33</v>
      </c>
      <c r="I4873" s="7" t="n">
        <f aca="false">IF(AND(LEFT(A4873,1)&lt;&gt;"C",D4873&gt;0,F4873&gt;0),1,0)</f>
        <v>1</v>
      </c>
      <c r="J4873" s="7" t="n">
        <f aca="false">IF(I4873=1,D4873*F4873,0)</f>
        <v>18.72</v>
      </c>
      <c r="K4873" s="7" t="n">
        <f aca="false">YEAR(E4873)*100+MONTH(E4873)</f>
        <v>201111</v>
      </c>
      <c r="L4873" s="7" t="n">
        <f aca="false">IF(AND(A4873&lt;&gt;A4872,LEFT(A4873,1)&lt;&gt;"C"),1,0)</f>
        <v>0</v>
      </c>
    </row>
    <row r="4874" customFormat="false" ht="15" hidden="false" customHeight="false" outlineLevel="0" collapsed="false">
      <c r="A4874" s="0" t="s">
        <v>2922</v>
      </c>
      <c r="B4874" s="0" t="s">
        <v>958</v>
      </c>
      <c r="C4874" s="0" t="s">
        <v>959</v>
      </c>
      <c r="D4874" s="0" t="n">
        <v>18</v>
      </c>
      <c r="E4874" s="6" t="n">
        <v>40858.4368055556</v>
      </c>
      <c r="F4874" s="0" t="n">
        <v>5.95</v>
      </c>
      <c r="G4874" s="0" t="n">
        <v>12600</v>
      </c>
      <c r="H4874" s="0" t="s">
        <v>33</v>
      </c>
      <c r="I4874" s="7" t="n">
        <f aca="false">IF(AND(LEFT(A4874,1)&lt;&gt;"C",D4874&gt;0,F4874&gt;0),1,0)</f>
        <v>1</v>
      </c>
      <c r="J4874" s="7" t="n">
        <f aca="false">IF(I4874=1,D4874*F4874,0)</f>
        <v>107.1</v>
      </c>
      <c r="K4874" s="7" t="n">
        <f aca="false">YEAR(E4874)*100+MONTH(E4874)</f>
        <v>201111</v>
      </c>
      <c r="L4874" s="7" t="n">
        <f aca="false">IF(AND(A4874&lt;&gt;A4873,LEFT(A4874,1)&lt;&gt;"C"),1,0)</f>
        <v>0</v>
      </c>
    </row>
    <row r="4875" customFormat="false" ht="15" hidden="false" customHeight="false" outlineLevel="0" collapsed="false">
      <c r="A4875" s="0" t="s">
        <v>2922</v>
      </c>
      <c r="B4875" s="0" t="s">
        <v>569</v>
      </c>
      <c r="C4875" s="0" t="s">
        <v>570</v>
      </c>
      <c r="D4875" s="0" t="n">
        <v>10</v>
      </c>
      <c r="E4875" s="6" t="n">
        <v>40858.4368055556</v>
      </c>
      <c r="F4875" s="0" t="n">
        <v>2.08</v>
      </c>
      <c r="G4875" s="0" t="n">
        <v>12600</v>
      </c>
      <c r="H4875" s="0" t="s">
        <v>33</v>
      </c>
      <c r="I4875" s="7" t="n">
        <f aca="false">IF(AND(LEFT(A4875,1)&lt;&gt;"C",D4875&gt;0,F4875&gt;0),1,0)</f>
        <v>1</v>
      </c>
      <c r="J4875" s="7" t="n">
        <f aca="false">IF(I4875=1,D4875*F4875,0)</f>
        <v>20.8</v>
      </c>
      <c r="K4875" s="7" t="n">
        <f aca="false">YEAR(E4875)*100+MONTH(E4875)</f>
        <v>201111</v>
      </c>
      <c r="L4875" s="7" t="n">
        <f aca="false">IF(AND(A4875&lt;&gt;A4874,LEFT(A4875,1)&lt;&gt;"C"),1,0)</f>
        <v>0</v>
      </c>
    </row>
    <row r="4876" customFormat="false" ht="15" hidden="false" customHeight="false" outlineLevel="0" collapsed="false">
      <c r="A4876" s="0" t="s">
        <v>2922</v>
      </c>
      <c r="B4876" s="0" t="s">
        <v>82</v>
      </c>
      <c r="C4876" s="0" t="s">
        <v>83</v>
      </c>
      <c r="D4876" s="0" t="n">
        <v>18</v>
      </c>
      <c r="E4876" s="6" t="n">
        <v>40858.4368055556</v>
      </c>
      <c r="F4876" s="0" t="n">
        <v>5.95</v>
      </c>
      <c r="G4876" s="0" t="n">
        <v>12600</v>
      </c>
      <c r="H4876" s="0" t="s">
        <v>33</v>
      </c>
      <c r="I4876" s="7" t="n">
        <f aca="false">IF(AND(LEFT(A4876,1)&lt;&gt;"C",D4876&gt;0,F4876&gt;0),1,0)</f>
        <v>1</v>
      </c>
      <c r="J4876" s="7" t="n">
        <f aca="false">IF(I4876=1,D4876*F4876,0)</f>
        <v>107.1</v>
      </c>
      <c r="K4876" s="7" t="n">
        <f aca="false">YEAR(E4876)*100+MONTH(E4876)</f>
        <v>201111</v>
      </c>
      <c r="L4876" s="7" t="n">
        <f aca="false">IF(AND(A4876&lt;&gt;A4875,LEFT(A4876,1)&lt;&gt;"C"),1,0)</f>
        <v>0</v>
      </c>
    </row>
    <row r="4877" customFormat="false" ht="15" hidden="false" customHeight="false" outlineLevel="0" collapsed="false">
      <c r="A4877" s="0" t="s">
        <v>2922</v>
      </c>
      <c r="B4877" s="0" t="s">
        <v>84</v>
      </c>
      <c r="C4877" s="0" t="s">
        <v>85</v>
      </c>
      <c r="D4877" s="0" t="n">
        <v>3</v>
      </c>
      <c r="E4877" s="6" t="n">
        <v>40858.4368055556</v>
      </c>
      <c r="F4877" s="0" t="n">
        <v>18</v>
      </c>
      <c r="G4877" s="0" t="n">
        <v>12600</v>
      </c>
      <c r="H4877" s="0" t="s">
        <v>33</v>
      </c>
      <c r="I4877" s="7" t="n">
        <f aca="false">IF(AND(LEFT(A4877,1)&lt;&gt;"C",D4877&gt;0,F4877&gt;0),1,0)</f>
        <v>1</v>
      </c>
      <c r="J4877" s="7" t="n">
        <f aca="false">IF(I4877=1,D4877*F4877,0)</f>
        <v>54</v>
      </c>
      <c r="K4877" s="7" t="n">
        <f aca="false">YEAR(E4877)*100+MONTH(E4877)</f>
        <v>201111</v>
      </c>
      <c r="L4877" s="7" t="n">
        <f aca="false">IF(AND(A4877&lt;&gt;A4876,LEFT(A4877,1)&lt;&gt;"C"),1,0)</f>
        <v>0</v>
      </c>
    </row>
    <row r="4878" customFormat="false" ht="15" hidden="false" customHeight="false" outlineLevel="0" collapsed="false">
      <c r="A4878" s="0" t="s">
        <v>2927</v>
      </c>
      <c r="B4878" s="0" t="s">
        <v>2886</v>
      </c>
      <c r="C4878" s="0" t="s">
        <v>2887</v>
      </c>
      <c r="D4878" s="0" t="n">
        <v>94</v>
      </c>
      <c r="E4878" s="6" t="n">
        <v>40858.4513888889</v>
      </c>
      <c r="F4878" s="0" t="n">
        <v>0.29</v>
      </c>
      <c r="H4878" s="0" t="s">
        <v>43</v>
      </c>
      <c r="I4878" s="7" t="n">
        <f aca="false">IF(AND(LEFT(A4878,1)&lt;&gt;"C",D4878&gt;0,F4878&gt;0),1,0)</f>
        <v>1</v>
      </c>
      <c r="J4878" s="7" t="n">
        <f aca="false">IF(I4878=1,D4878*F4878,0)</f>
        <v>27.26</v>
      </c>
      <c r="K4878" s="7" t="n">
        <f aca="false">YEAR(E4878)*100+MONTH(E4878)</f>
        <v>201111</v>
      </c>
      <c r="L4878" s="7" t="n">
        <f aca="false">IF(AND(A4878&lt;&gt;A4877,LEFT(A4878,1)&lt;&gt;"C"),1,0)</f>
        <v>1</v>
      </c>
    </row>
    <row r="4879" customFormat="false" ht="15" hidden="false" customHeight="false" outlineLevel="0" collapsed="false">
      <c r="A4879" s="0" t="s">
        <v>2927</v>
      </c>
      <c r="B4879" s="0" t="s">
        <v>2002</v>
      </c>
      <c r="C4879" s="0" t="s">
        <v>2003</v>
      </c>
      <c r="D4879" s="0" t="n">
        <v>10</v>
      </c>
      <c r="E4879" s="6" t="n">
        <v>40858.4513888889</v>
      </c>
      <c r="F4879" s="0" t="n">
        <v>0.29</v>
      </c>
      <c r="H4879" s="0" t="s">
        <v>43</v>
      </c>
      <c r="I4879" s="7" t="n">
        <f aca="false">IF(AND(LEFT(A4879,1)&lt;&gt;"C",D4879&gt;0,F4879&gt;0),1,0)</f>
        <v>1</v>
      </c>
      <c r="J4879" s="7" t="n">
        <f aca="false">IF(I4879=1,D4879*F4879,0)</f>
        <v>2.9</v>
      </c>
      <c r="K4879" s="7" t="n">
        <f aca="false">YEAR(E4879)*100+MONTH(E4879)</f>
        <v>201111</v>
      </c>
      <c r="L4879" s="7" t="n">
        <f aca="false">IF(AND(A4879&lt;&gt;A4878,LEFT(A4879,1)&lt;&gt;"C"),1,0)</f>
        <v>0</v>
      </c>
    </row>
    <row r="4880" customFormat="false" ht="15" hidden="false" customHeight="false" outlineLevel="0" collapsed="false">
      <c r="A4880" s="0" t="s">
        <v>2927</v>
      </c>
      <c r="B4880" s="0" t="s">
        <v>2928</v>
      </c>
      <c r="C4880" s="0" t="s">
        <v>2929</v>
      </c>
      <c r="D4880" s="0" t="n">
        <v>10</v>
      </c>
      <c r="E4880" s="6" t="n">
        <v>40858.4513888889</v>
      </c>
      <c r="F4880" s="0" t="n">
        <v>1.25</v>
      </c>
      <c r="H4880" s="0" t="s">
        <v>43</v>
      </c>
      <c r="I4880" s="7" t="n">
        <f aca="false">IF(AND(LEFT(A4880,1)&lt;&gt;"C",D4880&gt;0,F4880&gt;0),1,0)</f>
        <v>1</v>
      </c>
      <c r="J4880" s="7" t="n">
        <f aca="false">IF(I4880=1,D4880*F4880,0)</f>
        <v>12.5</v>
      </c>
      <c r="K4880" s="7" t="n">
        <f aca="false">YEAR(E4880)*100+MONTH(E4880)</f>
        <v>201111</v>
      </c>
      <c r="L4880" s="7" t="n">
        <f aca="false">IF(AND(A4880&lt;&gt;A4879,LEFT(A4880,1)&lt;&gt;"C"),1,0)</f>
        <v>0</v>
      </c>
    </row>
    <row r="4881" customFormat="false" ht="15" hidden="false" customHeight="false" outlineLevel="0" collapsed="false">
      <c r="A4881" s="0" t="s">
        <v>2927</v>
      </c>
      <c r="B4881" s="0" t="s">
        <v>396</v>
      </c>
      <c r="C4881" s="0" t="s">
        <v>397</v>
      </c>
      <c r="D4881" s="0" t="n">
        <v>1</v>
      </c>
      <c r="E4881" s="6" t="n">
        <v>40858.4513888889</v>
      </c>
      <c r="F4881" s="0" t="n">
        <v>1.69</v>
      </c>
      <c r="H4881" s="0" t="s">
        <v>43</v>
      </c>
      <c r="I4881" s="7" t="n">
        <f aca="false">IF(AND(LEFT(A4881,1)&lt;&gt;"C",D4881&gt;0,F4881&gt;0),1,0)</f>
        <v>1</v>
      </c>
      <c r="J4881" s="7" t="n">
        <f aca="false">IF(I4881=1,D4881*F4881,0)</f>
        <v>1.69</v>
      </c>
      <c r="K4881" s="7" t="n">
        <f aca="false">YEAR(E4881)*100+MONTH(E4881)</f>
        <v>201111</v>
      </c>
      <c r="L4881" s="7" t="n">
        <f aca="false">IF(AND(A4881&lt;&gt;A4880,LEFT(A4881,1)&lt;&gt;"C"),1,0)</f>
        <v>0</v>
      </c>
    </row>
    <row r="4882" customFormat="false" ht="15" hidden="false" customHeight="false" outlineLevel="0" collapsed="false">
      <c r="A4882" s="0" t="s">
        <v>2927</v>
      </c>
      <c r="B4882" s="0" t="s">
        <v>2204</v>
      </c>
      <c r="C4882" s="0" t="s">
        <v>2205</v>
      </c>
      <c r="D4882" s="0" t="n">
        <v>1</v>
      </c>
      <c r="E4882" s="6" t="n">
        <v>40858.4513888889</v>
      </c>
      <c r="F4882" s="0" t="n">
        <v>0.85</v>
      </c>
      <c r="H4882" s="0" t="s">
        <v>43</v>
      </c>
      <c r="I4882" s="7" t="n">
        <f aca="false">IF(AND(LEFT(A4882,1)&lt;&gt;"C",D4882&gt;0,F4882&gt;0),1,0)</f>
        <v>1</v>
      </c>
      <c r="J4882" s="7" t="n">
        <f aca="false">IF(I4882=1,D4882*F4882,0)</f>
        <v>0.85</v>
      </c>
      <c r="K4882" s="7" t="n">
        <f aca="false">YEAR(E4882)*100+MONTH(E4882)</f>
        <v>201111</v>
      </c>
      <c r="L4882" s="7" t="n">
        <f aca="false">IF(AND(A4882&lt;&gt;A4881,LEFT(A4882,1)&lt;&gt;"C"),1,0)</f>
        <v>0</v>
      </c>
    </row>
    <row r="4883" customFormat="false" ht="15" hidden="false" customHeight="false" outlineLevel="0" collapsed="false">
      <c r="A4883" s="0" t="s">
        <v>2927</v>
      </c>
      <c r="B4883" s="0" t="s">
        <v>2930</v>
      </c>
      <c r="C4883" s="0" t="s">
        <v>2931</v>
      </c>
      <c r="D4883" s="0" t="n">
        <v>2</v>
      </c>
      <c r="E4883" s="6" t="n">
        <v>40858.4513888889</v>
      </c>
      <c r="F4883" s="0" t="n">
        <v>0.85</v>
      </c>
      <c r="H4883" s="0" t="s">
        <v>43</v>
      </c>
      <c r="I4883" s="7" t="n">
        <f aca="false">IF(AND(LEFT(A4883,1)&lt;&gt;"C",D4883&gt;0,F4883&gt;0),1,0)</f>
        <v>1</v>
      </c>
      <c r="J4883" s="7" t="n">
        <f aca="false">IF(I4883=1,D4883*F4883,0)</f>
        <v>1.7</v>
      </c>
      <c r="K4883" s="7" t="n">
        <f aca="false">YEAR(E4883)*100+MONTH(E4883)</f>
        <v>201111</v>
      </c>
      <c r="L4883" s="7" t="n">
        <f aca="false">IF(AND(A4883&lt;&gt;A4882,LEFT(A4883,1)&lt;&gt;"C"),1,0)</f>
        <v>0</v>
      </c>
    </row>
    <row r="4884" customFormat="false" ht="15" hidden="false" customHeight="false" outlineLevel="0" collapsed="false">
      <c r="A4884" s="0" t="s">
        <v>2927</v>
      </c>
      <c r="B4884" s="0" t="s">
        <v>46</v>
      </c>
      <c r="C4884" s="0" t="s">
        <v>47</v>
      </c>
      <c r="D4884" s="0" t="n">
        <v>1</v>
      </c>
      <c r="E4884" s="6" t="n">
        <v>40858.4513888889</v>
      </c>
      <c r="F4884" s="0" t="n">
        <v>0.65</v>
      </c>
      <c r="H4884" s="0" t="s">
        <v>43</v>
      </c>
      <c r="I4884" s="7" t="n">
        <f aca="false">IF(AND(LEFT(A4884,1)&lt;&gt;"C",D4884&gt;0,F4884&gt;0),1,0)</f>
        <v>1</v>
      </c>
      <c r="J4884" s="7" t="n">
        <f aca="false">IF(I4884=1,D4884*F4884,0)</f>
        <v>0.65</v>
      </c>
      <c r="K4884" s="7" t="n">
        <f aca="false">YEAR(E4884)*100+MONTH(E4884)</f>
        <v>201111</v>
      </c>
      <c r="L4884" s="7" t="n">
        <f aca="false">IF(AND(A4884&lt;&gt;A4883,LEFT(A4884,1)&lt;&gt;"C"),1,0)</f>
        <v>0</v>
      </c>
    </row>
    <row r="4885" customFormat="false" ht="15" hidden="false" customHeight="false" outlineLevel="0" collapsed="false">
      <c r="A4885" s="0" t="s">
        <v>2927</v>
      </c>
      <c r="B4885" s="0" t="s">
        <v>2932</v>
      </c>
      <c r="C4885" s="0" t="s">
        <v>2933</v>
      </c>
      <c r="D4885" s="0" t="n">
        <v>1</v>
      </c>
      <c r="E4885" s="6" t="n">
        <v>40858.4513888889</v>
      </c>
      <c r="F4885" s="0" t="n">
        <v>1.25</v>
      </c>
      <c r="H4885" s="0" t="s">
        <v>43</v>
      </c>
      <c r="I4885" s="7" t="n">
        <f aca="false">IF(AND(LEFT(A4885,1)&lt;&gt;"C",D4885&gt;0,F4885&gt;0),1,0)</f>
        <v>1</v>
      </c>
      <c r="J4885" s="7" t="n">
        <f aca="false">IF(I4885=1,D4885*F4885,0)</f>
        <v>1.25</v>
      </c>
      <c r="K4885" s="7" t="n">
        <f aca="false">YEAR(E4885)*100+MONTH(E4885)</f>
        <v>201111</v>
      </c>
      <c r="L4885" s="7" t="n">
        <f aca="false">IF(AND(A4885&lt;&gt;A4884,LEFT(A4885,1)&lt;&gt;"C"),1,0)</f>
        <v>0</v>
      </c>
    </row>
    <row r="4886" customFormat="false" ht="15" hidden="false" customHeight="false" outlineLevel="0" collapsed="false">
      <c r="A4886" s="0" t="s">
        <v>2927</v>
      </c>
      <c r="B4886" s="0" t="s">
        <v>333</v>
      </c>
      <c r="C4886" s="0" t="s">
        <v>334</v>
      </c>
      <c r="D4886" s="0" t="n">
        <v>1</v>
      </c>
      <c r="E4886" s="6" t="n">
        <v>40858.4513888889</v>
      </c>
      <c r="F4886" s="0" t="n">
        <v>1.65</v>
      </c>
      <c r="H4886" s="0" t="s">
        <v>43</v>
      </c>
      <c r="I4886" s="7" t="n">
        <f aca="false">IF(AND(LEFT(A4886,1)&lt;&gt;"C",D4886&gt;0,F4886&gt;0),1,0)</f>
        <v>1</v>
      </c>
      <c r="J4886" s="7" t="n">
        <f aca="false">IF(I4886=1,D4886*F4886,0)</f>
        <v>1.65</v>
      </c>
      <c r="K4886" s="7" t="n">
        <f aca="false">YEAR(E4886)*100+MONTH(E4886)</f>
        <v>201111</v>
      </c>
      <c r="L4886" s="7" t="n">
        <f aca="false">IF(AND(A4886&lt;&gt;A4885,LEFT(A4886,1)&lt;&gt;"C"),1,0)</f>
        <v>0</v>
      </c>
    </row>
    <row r="4887" customFormat="false" ht="15" hidden="false" customHeight="false" outlineLevel="0" collapsed="false">
      <c r="A4887" s="0" t="s">
        <v>2927</v>
      </c>
      <c r="B4887" s="0" t="s">
        <v>2934</v>
      </c>
      <c r="C4887" s="0" t="s">
        <v>2935</v>
      </c>
      <c r="D4887" s="0" t="n">
        <v>2</v>
      </c>
      <c r="E4887" s="6" t="n">
        <v>40858.4513888889</v>
      </c>
      <c r="F4887" s="0" t="n">
        <v>2.95</v>
      </c>
      <c r="H4887" s="0" t="s">
        <v>43</v>
      </c>
      <c r="I4887" s="7" t="n">
        <f aca="false">IF(AND(LEFT(A4887,1)&lt;&gt;"C",D4887&gt;0,F4887&gt;0),1,0)</f>
        <v>1</v>
      </c>
      <c r="J4887" s="7" t="n">
        <f aca="false">IF(I4887=1,D4887*F4887,0)</f>
        <v>5.9</v>
      </c>
      <c r="K4887" s="7" t="n">
        <f aca="false">YEAR(E4887)*100+MONTH(E4887)</f>
        <v>201111</v>
      </c>
      <c r="L4887" s="7" t="n">
        <f aca="false">IF(AND(A4887&lt;&gt;A4886,LEFT(A4887,1)&lt;&gt;"C"),1,0)</f>
        <v>0</v>
      </c>
    </row>
    <row r="4888" customFormat="false" ht="15" hidden="false" customHeight="false" outlineLevel="0" collapsed="false">
      <c r="A4888" s="0" t="s">
        <v>2927</v>
      </c>
      <c r="B4888" s="0" t="s">
        <v>484</v>
      </c>
      <c r="C4888" s="0" t="s">
        <v>485</v>
      </c>
      <c r="D4888" s="0" t="n">
        <v>1</v>
      </c>
      <c r="E4888" s="6" t="n">
        <v>40858.4513888889</v>
      </c>
      <c r="F4888" s="0" t="n">
        <v>1.65</v>
      </c>
      <c r="H4888" s="0" t="s">
        <v>43</v>
      </c>
      <c r="I4888" s="7" t="n">
        <f aca="false">IF(AND(LEFT(A4888,1)&lt;&gt;"C",D4888&gt;0,F4888&gt;0),1,0)</f>
        <v>1</v>
      </c>
      <c r="J4888" s="7" t="n">
        <f aca="false">IF(I4888=1,D4888*F4888,0)</f>
        <v>1.65</v>
      </c>
      <c r="K4888" s="7" t="n">
        <f aca="false">YEAR(E4888)*100+MONTH(E4888)</f>
        <v>201111</v>
      </c>
      <c r="L4888" s="7" t="n">
        <f aca="false">IF(AND(A4888&lt;&gt;A4887,LEFT(A4888,1)&lt;&gt;"C"),1,0)</f>
        <v>0</v>
      </c>
    </row>
    <row r="4889" customFormat="false" ht="15" hidden="false" customHeight="false" outlineLevel="0" collapsed="false">
      <c r="A4889" s="0" t="s">
        <v>2927</v>
      </c>
      <c r="B4889" s="0" t="s">
        <v>2936</v>
      </c>
      <c r="C4889" s="0" t="s">
        <v>2937</v>
      </c>
      <c r="D4889" s="0" t="n">
        <v>2</v>
      </c>
      <c r="E4889" s="6" t="n">
        <v>40858.4513888889</v>
      </c>
      <c r="F4889" s="0" t="n">
        <v>2.95</v>
      </c>
      <c r="H4889" s="0" t="s">
        <v>43</v>
      </c>
      <c r="I4889" s="7" t="n">
        <f aca="false">IF(AND(LEFT(A4889,1)&lt;&gt;"C",D4889&gt;0,F4889&gt;0),1,0)</f>
        <v>1</v>
      </c>
      <c r="J4889" s="7" t="n">
        <f aca="false">IF(I4889=1,D4889*F4889,0)</f>
        <v>5.9</v>
      </c>
      <c r="K4889" s="7" t="n">
        <f aca="false">YEAR(E4889)*100+MONTH(E4889)</f>
        <v>201111</v>
      </c>
      <c r="L4889" s="7" t="n">
        <f aca="false">IF(AND(A4889&lt;&gt;A4888,LEFT(A4889,1)&lt;&gt;"C"),1,0)</f>
        <v>0</v>
      </c>
    </row>
    <row r="4890" customFormat="false" ht="15" hidden="false" customHeight="false" outlineLevel="0" collapsed="false">
      <c r="A4890" s="0" t="s">
        <v>2927</v>
      </c>
      <c r="B4890" s="0" t="s">
        <v>545</v>
      </c>
      <c r="C4890" s="0" t="s">
        <v>546</v>
      </c>
      <c r="D4890" s="0" t="n">
        <v>1</v>
      </c>
      <c r="E4890" s="6" t="n">
        <v>40858.4513888889</v>
      </c>
      <c r="F4890" s="0" t="n">
        <v>4.95</v>
      </c>
      <c r="H4890" s="0" t="s">
        <v>43</v>
      </c>
      <c r="I4890" s="7" t="n">
        <f aca="false">IF(AND(LEFT(A4890,1)&lt;&gt;"C",D4890&gt;0,F4890&gt;0),1,0)</f>
        <v>1</v>
      </c>
      <c r="J4890" s="7" t="n">
        <f aca="false">IF(I4890=1,D4890*F4890,0)</f>
        <v>4.95</v>
      </c>
      <c r="K4890" s="7" t="n">
        <f aca="false">YEAR(E4890)*100+MONTH(E4890)</f>
        <v>201111</v>
      </c>
      <c r="L4890" s="7" t="n">
        <f aca="false">IF(AND(A4890&lt;&gt;A4889,LEFT(A4890,1)&lt;&gt;"C"),1,0)</f>
        <v>0</v>
      </c>
    </row>
    <row r="4891" customFormat="false" ht="15" hidden="false" customHeight="false" outlineLevel="0" collapsed="false">
      <c r="A4891" s="0" t="s">
        <v>2927</v>
      </c>
      <c r="B4891" s="0" t="s">
        <v>547</v>
      </c>
      <c r="C4891" s="0" t="s">
        <v>548</v>
      </c>
      <c r="D4891" s="0" t="n">
        <v>1</v>
      </c>
      <c r="E4891" s="6" t="n">
        <v>40858.4513888889</v>
      </c>
      <c r="F4891" s="0" t="n">
        <v>4.95</v>
      </c>
      <c r="H4891" s="0" t="s">
        <v>43</v>
      </c>
      <c r="I4891" s="7" t="n">
        <f aca="false">IF(AND(LEFT(A4891,1)&lt;&gt;"C",D4891&gt;0,F4891&gt;0),1,0)</f>
        <v>1</v>
      </c>
      <c r="J4891" s="7" t="n">
        <f aca="false">IF(I4891=1,D4891*F4891,0)</f>
        <v>4.95</v>
      </c>
      <c r="K4891" s="7" t="n">
        <f aca="false">YEAR(E4891)*100+MONTH(E4891)</f>
        <v>201111</v>
      </c>
      <c r="L4891" s="7" t="n">
        <f aca="false">IF(AND(A4891&lt;&gt;A4890,LEFT(A4891,1)&lt;&gt;"C"),1,0)</f>
        <v>0</v>
      </c>
    </row>
    <row r="4892" customFormat="false" ht="15" hidden="false" customHeight="false" outlineLevel="0" collapsed="false">
      <c r="A4892" s="0" t="s">
        <v>2927</v>
      </c>
      <c r="B4892" s="0" t="s">
        <v>2636</v>
      </c>
      <c r="C4892" s="0" t="s">
        <v>2637</v>
      </c>
      <c r="D4892" s="0" t="n">
        <v>24</v>
      </c>
      <c r="E4892" s="6" t="n">
        <v>40858.4513888889</v>
      </c>
      <c r="F4892" s="0" t="n">
        <v>1.25</v>
      </c>
      <c r="H4892" s="0" t="s">
        <v>43</v>
      </c>
      <c r="I4892" s="7" t="n">
        <f aca="false">IF(AND(LEFT(A4892,1)&lt;&gt;"C",D4892&gt;0,F4892&gt;0),1,0)</f>
        <v>1</v>
      </c>
      <c r="J4892" s="7" t="n">
        <f aca="false">IF(I4892=1,D4892*F4892,0)</f>
        <v>30</v>
      </c>
      <c r="K4892" s="7" t="n">
        <f aca="false">YEAR(E4892)*100+MONTH(E4892)</f>
        <v>201111</v>
      </c>
      <c r="L4892" s="7" t="n">
        <f aca="false">IF(AND(A4892&lt;&gt;A4891,LEFT(A4892,1)&lt;&gt;"C"),1,0)</f>
        <v>0</v>
      </c>
    </row>
    <row r="4893" customFormat="false" ht="15" hidden="false" customHeight="false" outlineLevel="0" collapsed="false">
      <c r="A4893" s="0" t="s">
        <v>2927</v>
      </c>
      <c r="B4893" s="0" t="s">
        <v>2825</v>
      </c>
      <c r="C4893" s="0" t="s">
        <v>2826</v>
      </c>
      <c r="D4893" s="0" t="n">
        <v>48</v>
      </c>
      <c r="E4893" s="6" t="n">
        <v>40858.4513888889</v>
      </c>
      <c r="F4893" s="0" t="n">
        <v>0.39</v>
      </c>
      <c r="H4893" s="0" t="s">
        <v>43</v>
      </c>
      <c r="I4893" s="7" t="n">
        <f aca="false">IF(AND(LEFT(A4893,1)&lt;&gt;"C",D4893&gt;0,F4893&gt;0),1,0)</f>
        <v>1</v>
      </c>
      <c r="J4893" s="7" t="n">
        <f aca="false">IF(I4893=1,D4893*F4893,0)</f>
        <v>18.72</v>
      </c>
      <c r="K4893" s="7" t="n">
        <f aca="false">YEAR(E4893)*100+MONTH(E4893)</f>
        <v>201111</v>
      </c>
      <c r="L4893" s="7" t="n">
        <f aca="false">IF(AND(A4893&lt;&gt;A4892,LEFT(A4893,1)&lt;&gt;"C"),1,0)</f>
        <v>0</v>
      </c>
    </row>
    <row r="4894" customFormat="false" ht="15" hidden="false" customHeight="false" outlineLevel="0" collapsed="false">
      <c r="A4894" s="0" t="s">
        <v>2927</v>
      </c>
      <c r="B4894" s="0" t="s">
        <v>2823</v>
      </c>
      <c r="C4894" s="0" t="s">
        <v>2824</v>
      </c>
      <c r="D4894" s="0" t="n">
        <v>12</v>
      </c>
      <c r="E4894" s="6" t="n">
        <v>40858.4513888889</v>
      </c>
      <c r="F4894" s="0" t="n">
        <v>0.79</v>
      </c>
      <c r="H4894" s="0" t="s">
        <v>43</v>
      </c>
      <c r="I4894" s="7" t="n">
        <f aca="false">IF(AND(LEFT(A4894,1)&lt;&gt;"C",D4894&gt;0,F4894&gt;0),1,0)</f>
        <v>1</v>
      </c>
      <c r="J4894" s="7" t="n">
        <f aca="false">IF(I4894=1,D4894*F4894,0)</f>
        <v>9.48</v>
      </c>
      <c r="K4894" s="7" t="n">
        <f aca="false">YEAR(E4894)*100+MONTH(E4894)</f>
        <v>201111</v>
      </c>
      <c r="L4894" s="7" t="n">
        <f aca="false">IF(AND(A4894&lt;&gt;A4893,LEFT(A4894,1)&lt;&gt;"C"),1,0)</f>
        <v>0</v>
      </c>
    </row>
    <row r="4895" customFormat="false" ht="15" hidden="false" customHeight="false" outlineLevel="0" collapsed="false">
      <c r="A4895" s="0" t="s">
        <v>2927</v>
      </c>
      <c r="B4895" s="0" t="s">
        <v>2777</v>
      </c>
      <c r="C4895" s="0" t="s">
        <v>2778</v>
      </c>
      <c r="D4895" s="0" t="n">
        <v>1</v>
      </c>
      <c r="E4895" s="6" t="n">
        <v>40858.4513888889</v>
      </c>
      <c r="F4895" s="0" t="n">
        <v>0.95</v>
      </c>
      <c r="H4895" s="0" t="s">
        <v>43</v>
      </c>
      <c r="I4895" s="7" t="n">
        <f aca="false">IF(AND(LEFT(A4895,1)&lt;&gt;"C",D4895&gt;0,F4895&gt;0),1,0)</f>
        <v>1</v>
      </c>
      <c r="J4895" s="7" t="n">
        <f aca="false">IF(I4895=1,D4895*F4895,0)</f>
        <v>0.95</v>
      </c>
      <c r="K4895" s="7" t="n">
        <f aca="false">YEAR(E4895)*100+MONTH(E4895)</f>
        <v>201111</v>
      </c>
      <c r="L4895" s="7" t="n">
        <f aca="false">IF(AND(A4895&lt;&gt;A4894,LEFT(A4895,1)&lt;&gt;"C"),1,0)</f>
        <v>0</v>
      </c>
    </row>
    <row r="4896" customFormat="false" ht="15" hidden="false" customHeight="false" outlineLevel="0" collapsed="false">
      <c r="A4896" s="0" t="s">
        <v>2938</v>
      </c>
      <c r="B4896" s="0" t="s">
        <v>74</v>
      </c>
      <c r="C4896" s="0" t="s">
        <v>75</v>
      </c>
      <c r="D4896" s="0" t="n">
        <v>12</v>
      </c>
      <c r="E4896" s="6" t="n">
        <v>40858.4708333333</v>
      </c>
      <c r="F4896" s="0" t="n">
        <v>1.95</v>
      </c>
      <c r="G4896" s="0" t="n">
        <v>12518</v>
      </c>
      <c r="H4896" s="0" t="s">
        <v>33</v>
      </c>
      <c r="I4896" s="7" t="n">
        <f aca="false">IF(AND(LEFT(A4896,1)&lt;&gt;"C",D4896&gt;0,F4896&gt;0),1,0)</f>
        <v>1</v>
      </c>
      <c r="J4896" s="7" t="n">
        <f aca="false">IF(I4896=1,D4896*F4896,0)</f>
        <v>23.4</v>
      </c>
      <c r="K4896" s="7" t="n">
        <f aca="false">YEAR(E4896)*100+MONTH(E4896)</f>
        <v>201111</v>
      </c>
      <c r="L4896" s="7" t="n">
        <f aca="false">IF(AND(A4896&lt;&gt;A4895,LEFT(A4896,1)&lt;&gt;"C"),1,0)</f>
        <v>1</v>
      </c>
    </row>
    <row r="4897" customFormat="false" ht="15" hidden="false" customHeight="false" outlineLevel="0" collapsed="false">
      <c r="A4897" s="0" t="s">
        <v>2938</v>
      </c>
      <c r="B4897" s="0" t="s">
        <v>1620</v>
      </c>
      <c r="C4897" s="0" t="s">
        <v>1621</v>
      </c>
      <c r="D4897" s="0" t="n">
        <v>16</v>
      </c>
      <c r="E4897" s="6" t="n">
        <v>40858.4708333333</v>
      </c>
      <c r="F4897" s="0" t="n">
        <v>0.65</v>
      </c>
      <c r="G4897" s="0" t="n">
        <v>12518</v>
      </c>
      <c r="H4897" s="0" t="s">
        <v>33</v>
      </c>
      <c r="I4897" s="7" t="n">
        <f aca="false">IF(AND(LEFT(A4897,1)&lt;&gt;"C",D4897&gt;0,F4897&gt;0),1,0)</f>
        <v>1</v>
      </c>
      <c r="J4897" s="7" t="n">
        <f aca="false">IF(I4897=1,D4897*F4897,0)</f>
        <v>10.4</v>
      </c>
      <c r="K4897" s="7" t="n">
        <f aca="false">YEAR(E4897)*100+MONTH(E4897)</f>
        <v>201111</v>
      </c>
      <c r="L4897" s="7" t="n">
        <f aca="false">IF(AND(A4897&lt;&gt;A4896,LEFT(A4897,1)&lt;&gt;"C"),1,0)</f>
        <v>0</v>
      </c>
    </row>
    <row r="4898" customFormat="false" ht="15" hidden="false" customHeight="false" outlineLevel="0" collapsed="false">
      <c r="A4898" s="0" t="s">
        <v>2938</v>
      </c>
      <c r="B4898" s="0" t="s">
        <v>1425</v>
      </c>
      <c r="C4898" s="0" t="s">
        <v>1426</v>
      </c>
      <c r="D4898" s="0" t="n">
        <v>2</v>
      </c>
      <c r="E4898" s="6" t="n">
        <v>40858.4708333333</v>
      </c>
      <c r="F4898" s="0" t="n">
        <v>8.5</v>
      </c>
      <c r="G4898" s="0" t="n">
        <v>12518</v>
      </c>
      <c r="H4898" s="0" t="s">
        <v>33</v>
      </c>
      <c r="I4898" s="7" t="n">
        <f aca="false">IF(AND(LEFT(A4898,1)&lt;&gt;"C",D4898&gt;0,F4898&gt;0),1,0)</f>
        <v>1</v>
      </c>
      <c r="J4898" s="7" t="n">
        <f aca="false">IF(I4898=1,D4898*F4898,0)</f>
        <v>17</v>
      </c>
      <c r="K4898" s="7" t="n">
        <f aca="false">YEAR(E4898)*100+MONTH(E4898)</f>
        <v>201111</v>
      </c>
      <c r="L4898" s="7" t="n">
        <f aca="false">IF(AND(A4898&lt;&gt;A4897,LEFT(A4898,1)&lt;&gt;"C"),1,0)</f>
        <v>0</v>
      </c>
    </row>
    <row r="4899" customFormat="false" ht="15" hidden="false" customHeight="false" outlineLevel="0" collapsed="false">
      <c r="A4899" s="0" t="s">
        <v>2938</v>
      </c>
      <c r="B4899" s="0" t="s">
        <v>89</v>
      </c>
      <c r="C4899" s="0" t="s">
        <v>90</v>
      </c>
      <c r="D4899" s="0" t="n">
        <v>4</v>
      </c>
      <c r="E4899" s="6" t="n">
        <v>40858.4708333333</v>
      </c>
      <c r="F4899" s="0" t="n">
        <v>4.15</v>
      </c>
      <c r="G4899" s="0" t="n">
        <v>12518</v>
      </c>
      <c r="H4899" s="0" t="s">
        <v>33</v>
      </c>
      <c r="I4899" s="7" t="n">
        <f aca="false">IF(AND(LEFT(A4899,1)&lt;&gt;"C",D4899&gt;0,F4899&gt;0),1,0)</f>
        <v>1</v>
      </c>
      <c r="J4899" s="7" t="n">
        <f aca="false">IF(I4899=1,D4899*F4899,0)</f>
        <v>16.6</v>
      </c>
      <c r="K4899" s="7" t="n">
        <f aca="false">YEAR(E4899)*100+MONTH(E4899)</f>
        <v>201111</v>
      </c>
      <c r="L4899" s="7" t="n">
        <f aca="false">IF(AND(A4899&lt;&gt;A4898,LEFT(A4899,1)&lt;&gt;"C"),1,0)</f>
        <v>0</v>
      </c>
    </row>
    <row r="4900" customFormat="false" ht="15" hidden="false" customHeight="false" outlineLevel="0" collapsed="false">
      <c r="A4900" s="0" t="s">
        <v>2938</v>
      </c>
      <c r="B4900" s="0" t="s">
        <v>620</v>
      </c>
      <c r="C4900" s="0" t="s">
        <v>621</v>
      </c>
      <c r="D4900" s="0" t="n">
        <v>4</v>
      </c>
      <c r="E4900" s="6" t="n">
        <v>40858.4708333333</v>
      </c>
      <c r="F4900" s="0" t="n">
        <v>4.15</v>
      </c>
      <c r="G4900" s="0" t="n">
        <v>12518</v>
      </c>
      <c r="H4900" s="0" t="s">
        <v>33</v>
      </c>
      <c r="I4900" s="7" t="n">
        <f aca="false">IF(AND(LEFT(A4900,1)&lt;&gt;"C",D4900&gt;0,F4900&gt;0),1,0)</f>
        <v>1</v>
      </c>
      <c r="J4900" s="7" t="n">
        <f aca="false">IF(I4900=1,D4900*F4900,0)</f>
        <v>16.6</v>
      </c>
      <c r="K4900" s="7" t="n">
        <f aca="false">YEAR(E4900)*100+MONTH(E4900)</f>
        <v>201111</v>
      </c>
      <c r="L4900" s="7" t="n">
        <f aca="false">IF(AND(A4900&lt;&gt;A4899,LEFT(A4900,1)&lt;&gt;"C"),1,0)</f>
        <v>0</v>
      </c>
    </row>
    <row r="4901" customFormat="false" ht="15" hidden="false" customHeight="false" outlineLevel="0" collapsed="false">
      <c r="A4901" s="0" t="s">
        <v>2938</v>
      </c>
      <c r="B4901" s="0" t="s">
        <v>525</v>
      </c>
      <c r="C4901" s="0" t="s">
        <v>526</v>
      </c>
      <c r="D4901" s="0" t="n">
        <v>6</v>
      </c>
      <c r="E4901" s="6" t="n">
        <v>40858.4708333333</v>
      </c>
      <c r="F4901" s="0" t="n">
        <v>2.95</v>
      </c>
      <c r="G4901" s="0" t="n">
        <v>12518</v>
      </c>
      <c r="H4901" s="0" t="s">
        <v>33</v>
      </c>
      <c r="I4901" s="7" t="n">
        <f aca="false">IF(AND(LEFT(A4901,1)&lt;&gt;"C",D4901&gt;0,F4901&gt;0),1,0)</f>
        <v>1</v>
      </c>
      <c r="J4901" s="7" t="n">
        <f aca="false">IF(I4901=1,D4901*F4901,0)</f>
        <v>17.7</v>
      </c>
      <c r="K4901" s="7" t="n">
        <f aca="false">YEAR(E4901)*100+MONTH(E4901)</f>
        <v>201111</v>
      </c>
      <c r="L4901" s="7" t="n">
        <f aca="false">IF(AND(A4901&lt;&gt;A4900,LEFT(A4901,1)&lt;&gt;"C"),1,0)</f>
        <v>0</v>
      </c>
    </row>
    <row r="4902" customFormat="false" ht="15" hidden="false" customHeight="false" outlineLevel="0" collapsed="false">
      <c r="A4902" s="0" t="s">
        <v>2938</v>
      </c>
      <c r="B4902" s="0" t="s">
        <v>2674</v>
      </c>
      <c r="C4902" s="0" t="s">
        <v>2675</v>
      </c>
      <c r="D4902" s="0" t="n">
        <v>12</v>
      </c>
      <c r="E4902" s="6" t="n">
        <v>40858.4708333333</v>
      </c>
      <c r="F4902" s="0" t="n">
        <v>2.1</v>
      </c>
      <c r="G4902" s="0" t="n">
        <v>12518</v>
      </c>
      <c r="H4902" s="0" t="s">
        <v>33</v>
      </c>
      <c r="I4902" s="7" t="n">
        <f aca="false">IF(AND(LEFT(A4902,1)&lt;&gt;"C",D4902&gt;0,F4902&gt;0),1,0)</f>
        <v>1</v>
      </c>
      <c r="J4902" s="7" t="n">
        <f aca="false">IF(I4902=1,D4902*F4902,0)</f>
        <v>25.2</v>
      </c>
      <c r="K4902" s="7" t="n">
        <f aca="false">YEAR(E4902)*100+MONTH(E4902)</f>
        <v>201111</v>
      </c>
      <c r="L4902" s="7" t="n">
        <f aca="false">IF(AND(A4902&lt;&gt;A4901,LEFT(A4902,1)&lt;&gt;"C"),1,0)</f>
        <v>0</v>
      </c>
    </row>
    <row r="4903" customFormat="false" ht="15" hidden="false" customHeight="false" outlineLevel="0" collapsed="false">
      <c r="A4903" s="0" t="s">
        <v>2938</v>
      </c>
      <c r="B4903" s="0" t="s">
        <v>843</v>
      </c>
      <c r="C4903" s="0" t="s">
        <v>844</v>
      </c>
      <c r="D4903" s="0" t="n">
        <v>24</v>
      </c>
      <c r="E4903" s="6" t="n">
        <v>40858.4708333333</v>
      </c>
      <c r="F4903" s="0" t="n">
        <v>0.85</v>
      </c>
      <c r="G4903" s="0" t="n">
        <v>12518</v>
      </c>
      <c r="H4903" s="0" t="s">
        <v>33</v>
      </c>
      <c r="I4903" s="7" t="n">
        <f aca="false">IF(AND(LEFT(A4903,1)&lt;&gt;"C",D4903&gt;0,F4903&gt;0),1,0)</f>
        <v>1</v>
      </c>
      <c r="J4903" s="7" t="n">
        <f aca="false">IF(I4903=1,D4903*F4903,0)</f>
        <v>20.4</v>
      </c>
      <c r="K4903" s="7" t="n">
        <f aca="false">YEAR(E4903)*100+MONTH(E4903)</f>
        <v>201111</v>
      </c>
      <c r="L4903" s="7" t="n">
        <f aca="false">IF(AND(A4903&lt;&gt;A4902,LEFT(A4903,1)&lt;&gt;"C"),1,0)</f>
        <v>0</v>
      </c>
    </row>
    <row r="4904" customFormat="false" ht="15" hidden="false" customHeight="false" outlineLevel="0" collapsed="false">
      <c r="A4904" s="0" t="s">
        <v>2938</v>
      </c>
      <c r="B4904" s="0" t="s">
        <v>616</v>
      </c>
      <c r="C4904" s="0" t="s">
        <v>617</v>
      </c>
      <c r="D4904" s="0" t="n">
        <v>24</v>
      </c>
      <c r="E4904" s="6" t="n">
        <v>40858.4708333333</v>
      </c>
      <c r="F4904" s="0" t="n">
        <v>1.25</v>
      </c>
      <c r="G4904" s="0" t="n">
        <v>12518</v>
      </c>
      <c r="H4904" s="0" t="s">
        <v>33</v>
      </c>
      <c r="I4904" s="7" t="n">
        <f aca="false">IF(AND(LEFT(A4904,1)&lt;&gt;"C",D4904&gt;0,F4904&gt;0),1,0)</f>
        <v>1</v>
      </c>
      <c r="J4904" s="7" t="n">
        <f aca="false">IF(I4904=1,D4904*F4904,0)</f>
        <v>30</v>
      </c>
      <c r="K4904" s="7" t="n">
        <f aca="false">YEAR(E4904)*100+MONTH(E4904)</f>
        <v>201111</v>
      </c>
      <c r="L4904" s="7" t="n">
        <f aca="false">IF(AND(A4904&lt;&gt;A4903,LEFT(A4904,1)&lt;&gt;"C"),1,0)</f>
        <v>0</v>
      </c>
    </row>
    <row r="4905" customFormat="false" ht="15" hidden="false" customHeight="false" outlineLevel="0" collapsed="false">
      <c r="A4905" s="0" t="s">
        <v>2938</v>
      </c>
      <c r="B4905" s="0" t="s">
        <v>2209</v>
      </c>
      <c r="C4905" s="0" t="s">
        <v>2210</v>
      </c>
      <c r="D4905" s="0" t="n">
        <v>25</v>
      </c>
      <c r="E4905" s="6" t="n">
        <v>40858.4708333333</v>
      </c>
      <c r="F4905" s="0" t="n">
        <v>0.42</v>
      </c>
      <c r="G4905" s="0" t="n">
        <v>12518</v>
      </c>
      <c r="H4905" s="0" t="s">
        <v>33</v>
      </c>
      <c r="I4905" s="7" t="n">
        <f aca="false">IF(AND(LEFT(A4905,1)&lt;&gt;"C",D4905&gt;0,F4905&gt;0),1,0)</f>
        <v>1</v>
      </c>
      <c r="J4905" s="7" t="n">
        <f aca="false">IF(I4905=1,D4905*F4905,0)</f>
        <v>10.5</v>
      </c>
      <c r="K4905" s="7" t="n">
        <f aca="false">YEAR(E4905)*100+MONTH(E4905)</f>
        <v>201111</v>
      </c>
      <c r="L4905" s="7" t="n">
        <f aca="false">IF(AND(A4905&lt;&gt;A4904,LEFT(A4905,1)&lt;&gt;"C"),1,0)</f>
        <v>0</v>
      </c>
    </row>
    <row r="4906" customFormat="false" ht="15" hidden="false" customHeight="false" outlineLevel="0" collapsed="false">
      <c r="A4906" s="0" t="s">
        <v>2938</v>
      </c>
      <c r="B4906" s="0" t="s">
        <v>1253</v>
      </c>
      <c r="C4906" s="0" t="s">
        <v>1254</v>
      </c>
      <c r="D4906" s="0" t="n">
        <v>25</v>
      </c>
      <c r="E4906" s="6" t="n">
        <v>40858.4708333333</v>
      </c>
      <c r="F4906" s="0" t="n">
        <v>0.42</v>
      </c>
      <c r="G4906" s="0" t="n">
        <v>12518</v>
      </c>
      <c r="H4906" s="0" t="s">
        <v>33</v>
      </c>
      <c r="I4906" s="7" t="n">
        <f aca="false">IF(AND(LEFT(A4906,1)&lt;&gt;"C",D4906&gt;0,F4906&gt;0),1,0)</f>
        <v>1</v>
      </c>
      <c r="J4906" s="7" t="n">
        <f aca="false">IF(I4906=1,D4906*F4906,0)</f>
        <v>10.5</v>
      </c>
      <c r="K4906" s="7" t="n">
        <f aca="false">YEAR(E4906)*100+MONTH(E4906)</f>
        <v>201111</v>
      </c>
      <c r="L4906" s="7" t="n">
        <f aca="false">IF(AND(A4906&lt;&gt;A4905,LEFT(A4906,1)&lt;&gt;"C"),1,0)</f>
        <v>0</v>
      </c>
    </row>
    <row r="4907" customFormat="false" ht="15" hidden="false" customHeight="false" outlineLevel="0" collapsed="false">
      <c r="A4907" s="0" t="s">
        <v>2938</v>
      </c>
      <c r="B4907" s="0" t="s">
        <v>301</v>
      </c>
      <c r="C4907" s="0" t="s">
        <v>302</v>
      </c>
      <c r="D4907" s="0" t="n">
        <v>6</v>
      </c>
      <c r="E4907" s="6" t="n">
        <v>40858.4708333333</v>
      </c>
      <c r="F4907" s="0" t="n">
        <v>2.55</v>
      </c>
      <c r="G4907" s="0" t="n">
        <v>12518</v>
      </c>
      <c r="H4907" s="0" t="s">
        <v>33</v>
      </c>
      <c r="I4907" s="7" t="n">
        <f aca="false">IF(AND(LEFT(A4907,1)&lt;&gt;"C",D4907&gt;0,F4907&gt;0),1,0)</f>
        <v>1</v>
      </c>
      <c r="J4907" s="7" t="n">
        <f aca="false">IF(I4907=1,D4907*F4907,0)</f>
        <v>15.3</v>
      </c>
      <c r="K4907" s="7" t="n">
        <f aca="false">YEAR(E4907)*100+MONTH(E4907)</f>
        <v>201111</v>
      </c>
      <c r="L4907" s="7" t="n">
        <f aca="false">IF(AND(A4907&lt;&gt;A4906,LEFT(A4907,1)&lt;&gt;"C"),1,0)</f>
        <v>0</v>
      </c>
    </row>
    <row r="4908" customFormat="false" ht="15" hidden="false" customHeight="false" outlineLevel="0" collapsed="false">
      <c r="A4908" s="0" t="s">
        <v>2938</v>
      </c>
      <c r="B4908" s="0" t="s">
        <v>111</v>
      </c>
      <c r="C4908" s="0" t="s">
        <v>112</v>
      </c>
      <c r="D4908" s="0" t="n">
        <v>6</v>
      </c>
      <c r="E4908" s="6" t="n">
        <v>40858.4708333333</v>
      </c>
      <c r="F4908" s="0" t="n">
        <v>2.55</v>
      </c>
      <c r="G4908" s="0" t="n">
        <v>12518</v>
      </c>
      <c r="H4908" s="0" t="s">
        <v>33</v>
      </c>
      <c r="I4908" s="7" t="n">
        <f aca="false">IF(AND(LEFT(A4908,1)&lt;&gt;"C",D4908&gt;0,F4908&gt;0),1,0)</f>
        <v>1</v>
      </c>
      <c r="J4908" s="7" t="n">
        <f aca="false">IF(I4908=1,D4908*F4908,0)</f>
        <v>15.3</v>
      </c>
      <c r="K4908" s="7" t="n">
        <f aca="false">YEAR(E4908)*100+MONTH(E4908)</f>
        <v>201111</v>
      </c>
      <c r="L4908" s="7" t="n">
        <f aca="false">IF(AND(A4908&lt;&gt;A4907,LEFT(A4908,1)&lt;&gt;"C"),1,0)</f>
        <v>0</v>
      </c>
    </row>
    <row r="4909" customFormat="false" ht="15" hidden="false" customHeight="false" outlineLevel="0" collapsed="false">
      <c r="A4909" s="0" t="s">
        <v>2938</v>
      </c>
      <c r="B4909" s="0" t="s">
        <v>173</v>
      </c>
      <c r="C4909" s="0" t="s">
        <v>174</v>
      </c>
      <c r="D4909" s="0" t="n">
        <v>8</v>
      </c>
      <c r="E4909" s="6" t="n">
        <v>40858.4708333333</v>
      </c>
      <c r="F4909" s="0" t="n">
        <v>1.25</v>
      </c>
      <c r="G4909" s="0" t="n">
        <v>12518</v>
      </c>
      <c r="H4909" s="0" t="s">
        <v>33</v>
      </c>
      <c r="I4909" s="7" t="n">
        <f aca="false">IF(AND(LEFT(A4909,1)&lt;&gt;"C",D4909&gt;0,F4909&gt;0),1,0)</f>
        <v>1</v>
      </c>
      <c r="J4909" s="7" t="n">
        <f aca="false">IF(I4909=1,D4909*F4909,0)</f>
        <v>10</v>
      </c>
      <c r="K4909" s="7" t="n">
        <f aca="false">YEAR(E4909)*100+MONTH(E4909)</f>
        <v>201111</v>
      </c>
      <c r="L4909" s="7" t="n">
        <f aca="false">IF(AND(A4909&lt;&gt;A4908,LEFT(A4909,1)&lt;&gt;"C"),1,0)</f>
        <v>0</v>
      </c>
    </row>
    <row r="4910" customFormat="false" ht="15" hidden="false" customHeight="false" outlineLevel="0" collapsed="false">
      <c r="A4910" s="0" t="s">
        <v>2938</v>
      </c>
      <c r="B4910" s="0" t="s">
        <v>175</v>
      </c>
      <c r="C4910" s="0" t="s">
        <v>176</v>
      </c>
      <c r="D4910" s="0" t="n">
        <v>8</v>
      </c>
      <c r="E4910" s="6" t="n">
        <v>40858.4708333333</v>
      </c>
      <c r="F4910" s="0" t="n">
        <v>1.25</v>
      </c>
      <c r="G4910" s="0" t="n">
        <v>12518</v>
      </c>
      <c r="H4910" s="0" t="s">
        <v>33</v>
      </c>
      <c r="I4910" s="7" t="n">
        <f aca="false">IF(AND(LEFT(A4910,1)&lt;&gt;"C",D4910&gt;0,F4910&gt;0),1,0)</f>
        <v>1</v>
      </c>
      <c r="J4910" s="7" t="n">
        <f aca="false">IF(I4910=1,D4910*F4910,0)</f>
        <v>10</v>
      </c>
      <c r="K4910" s="7" t="n">
        <f aca="false">YEAR(E4910)*100+MONTH(E4910)</f>
        <v>201111</v>
      </c>
      <c r="L4910" s="7" t="n">
        <f aca="false">IF(AND(A4910&lt;&gt;A4909,LEFT(A4910,1)&lt;&gt;"C"),1,0)</f>
        <v>0</v>
      </c>
    </row>
    <row r="4911" customFormat="false" ht="15" hidden="false" customHeight="false" outlineLevel="0" collapsed="false">
      <c r="A4911" s="0" t="s">
        <v>2938</v>
      </c>
      <c r="B4911" s="0" t="s">
        <v>177</v>
      </c>
      <c r="C4911" s="0" t="s">
        <v>178</v>
      </c>
      <c r="D4911" s="0" t="n">
        <v>8</v>
      </c>
      <c r="E4911" s="6" t="n">
        <v>40858.4708333333</v>
      </c>
      <c r="F4911" s="0" t="n">
        <v>1.25</v>
      </c>
      <c r="G4911" s="0" t="n">
        <v>12518</v>
      </c>
      <c r="H4911" s="0" t="s">
        <v>33</v>
      </c>
      <c r="I4911" s="7" t="n">
        <f aca="false">IF(AND(LEFT(A4911,1)&lt;&gt;"C",D4911&gt;0,F4911&gt;0),1,0)</f>
        <v>1</v>
      </c>
      <c r="J4911" s="7" t="n">
        <f aca="false">IF(I4911=1,D4911*F4911,0)</f>
        <v>10</v>
      </c>
      <c r="K4911" s="7" t="n">
        <f aca="false">YEAR(E4911)*100+MONTH(E4911)</f>
        <v>201111</v>
      </c>
      <c r="L4911" s="7" t="n">
        <f aca="false">IF(AND(A4911&lt;&gt;A4910,LEFT(A4911,1)&lt;&gt;"C"),1,0)</f>
        <v>0</v>
      </c>
    </row>
    <row r="4912" customFormat="false" ht="15" hidden="false" customHeight="false" outlineLevel="0" collapsed="false">
      <c r="A4912" s="0" t="s">
        <v>2938</v>
      </c>
      <c r="B4912" s="0" t="s">
        <v>2939</v>
      </c>
      <c r="C4912" s="0" t="s">
        <v>2940</v>
      </c>
      <c r="D4912" s="0" t="n">
        <v>12</v>
      </c>
      <c r="E4912" s="6" t="n">
        <v>40858.4708333333</v>
      </c>
      <c r="F4912" s="0" t="n">
        <v>0.65</v>
      </c>
      <c r="G4912" s="0" t="n">
        <v>12518</v>
      </c>
      <c r="H4912" s="0" t="s">
        <v>33</v>
      </c>
      <c r="I4912" s="7" t="n">
        <f aca="false">IF(AND(LEFT(A4912,1)&lt;&gt;"C",D4912&gt;0,F4912&gt;0),1,0)</f>
        <v>1</v>
      </c>
      <c r="J4912" s="7" t="n">
        <f aca="false">IF(I4912=1,D4912*F4912,0)</f>
        <v>7.8</v>
      </c>
      <c r="K4912" s="7" t="n">
        <f aca="false">YEAR(E4912)*100+MONTH(E4912)</f>
        <v>201111</v>
      </c>
      <c r="L4912" s="7" t="n">
        <f aca="false">IF(AND(A4912&lt;&gt;A4911,LEFT(A4912,1)&lt;&gt;"C"),1,0)</f>
        <v>0</v>
      </c>
    </row>
    <row r="4913" customFormat="false" ht="15" hidden="false" customHeight="false" outlineLevel="0" collapsed="false">
      <c r="A4913" s="0" t="s">
        <v>2938</v>
      </c>
      <c r="B4913" s="0" t="s">
        <v>46</v>
      </c>
      <c r="C4913" s="0" t="s">
        <v>47</v>
      </c>
      <c r="D4913" s="0" t="n">
        <v>12</v>
      </c>
      <c r="E4913" s="6" t="n">
        <v>40858.4708333333</v>
      </c>
      <c r="F4913" s="0" t="n">
        <v>0.65</v>
      </c>
      <c r="G4913" s="0" t="n">
        <v>12518</v>
      </c>
      <c r="H4913" s="0" t="s">
        <v>33</v>
      </c>
      <c r="I4913" s="7" t="n">
        <f aca="false">IF(AND(LEFT(A4913,1)&lt;&gt;"C",D4913&gt;0,F4913&gt;0),1,0)</f>
        <v>1</v>
      </c>
      <c r="J4913" s="7" t="n">
        <f aca="false">IF(I4913=1,D4913*F4913,0)</f>
        <v>7.8</v>
      </c>
      <c r="K4913" s="7" t="n">
        <f aca="false">YEAR(E4913)*100+MONTH(E4913)</f>
        <v>201111</v>
      </c>
      <c r="L4913" s="7" t="n">
        <f aca="false">IF(AND(A4913&lt;&gt;A4912,LEFT(A4913,1)&lt;&gt;"C"),1,0)</f>
        <v>0</v>
      </c>
    </row>
    <row r="4914" customFormat="false" ht="15" hidden="false" customHeight="false" outlineLevel="0" collapsed="false">
      <c r="A4914" s="0" t="s">
        <v>2938</v>
      </c>
      <c r="B4914" s="0" t="s">
        <v>44</v>
      </c>
      <c r="C4914" s="0" t="s">
        <v>45</v>
      </c>
      <c r="D4914" s="0" t="n">
        <v>12</v>
      </c>
      <c r="E4914" s="6" t="n">
        <v>40858.4708333333</v>
      </c>
      <c r="F4914" s="0" t="n">
        <v>0.65</v>
      </c>
      <c r="G4914" s="0" t="n">
        <v>12518</v>
      </c>
      <c r="H4914" s="0" t="s">
        <v>33</v>
      </c>
      <c r="I4914" s="7" t="n">
        <f aca="false">IF(AND(LEFT(A4914,1)&lt;&gt;"C",D4914&gt;0,F4914&gt;0),1,0)</f>
        <v>1</v>
      </c>
      <c r="J4914" s="7" t="n">
        <f aca="false">IF(I4914=1,D4914*F4914,0)</f>
        <v>7.8</v>
      </c>
      <c r="K4914" s="7" t="n">
        <f aca="false">YEAR(E4914)*100+MONTH(E4914)</f>
        <v>201111</v>
      </c>
      <c r="L4914" s="7" t="n">
        <f aca="false">IF(AND(A4914&lt;&gt;A4913,LEFT(A4914,1)&lt;&gt;"C"),1,0)</f>
        <v>0</v>
      </c>
    </row>
    <row r="4915" customFormat="false" ht="15" hidden="false" customHeight="false" outlineLevel="0" collapsed="false">
      <c r="A4915" s="0" t="s">
        <v>2938</v>
      </c>
      <c r="B4915" s="0" t="s">
        <v>2941</v>
      </c>
      <c r="C4915" s="0" t="s">
        <v>2942</v>
      </c>
      <c r="D4915" s="0" t="n">
        <v>12</v>
      </c>
      <c r="E4915" s="6" t="n">
        <v>40858.4708333333</v>
      </c>
      <c r="F4915" s="0" t="n">
        <v>0.65</v>
      </c>
      <c r="G4915" s="0" t="n">
        <v>12518</v>
      </c>
      <c r="H4915" s="0" t="s">
        <v>33</v>
      </c>
      <c r="I4915" s="7" t="n">
        <f aca="false">IF(AND(LEFT(A4915,1)&lt;&gt;"C",D4915&gt;0,F4915&gt;0),1,0)</f>
        <v>1</v>
      </c>
      <c r="J4915" s="7" t="n">
        <f aca="false">IF(I4915=1,D4915*F4915,0)</f>
        <v>7.8</v>
      </c>
      <c r="K4915" s="7" t="n">
        <f aca="false">YEAR(E4915)*100+MONTH(E4915)</f>
        <v>201111</v>
      </c>
      <c r="L4915" s="7" t="n">
        <f aca="false">IF(AND(A4915&lt;&gt;A4914,LEFT(A4915,1)&lt;&gt;"C"),1,0)</f>
        <v>0</v>
      </c>
    </row>
    <row r="4916" customFormat="false" ht="15" hidden="false" customHeight="false" outlineLevel="0" collapsed="false">
      <c r="A4916" s="0" t="s">
        <v>2938</v>
      </c>
      <c r="B4916" s="0" t="s">
        <v>1175</v>
      </c>
      <c r="C4916" s="0" t="s">
        <v>1176</v>
      </c>
      <c r="D4916" s="0" t="n">
        <v>6</v>
      </c>
      <c r="E4916" s="6" t="n">
        <v>40858.4708333333</v>
      </c>
      <c r="F4916" s="0" t="n">
        <v>2.08</v>
      </c>
      <c r="G4916" s="0" t="n">
        <v>12518</v>
      </c>
      <c r="H4916" s="0" t="s">
        <v>33</v>
      </c>
      <c r="I4916" s="7" t="n">
        <f aca="false">IF(AND(LEFT(A4916,1)&lt;&gt;"C",D4916&gt;0,F4916&gt;0),1,0)</f>
        <v>1</v>
      </c>
      <c r="J4916" s="7" t="n">
        <f aca="false">IF(I4916=1,D4916*F4916,0)</f>
        <v>12.48</v>
      </c>
      <c r="K4916" s="7" t="n">
        <f aca="false">YEAR(E4916)*100+MONTH(E4916)</f>
        <v>201111</v>
      </c>
      <c r="L4916" s="7" t="n">
        <f aca="false">IF(AND(A4916&lt;&gt;A4915,LEFT(A4916,1)&lt;&gt;"C"),1,0)</f>
        <v>0</v>
      </c>
    </row>
    <row r="4917" customFormat="false" ht="15" hidden="false" customHeight="false" outlineLevel="0" collapsed="false">
      <c r="A4917" s="0" t="s">
        <v>2938</v>
      </c>
      <c r="B4917" s="0" t="s">
        <v>2655</v>
      </c>
      <c r="C4917" s="0" t="s">
        <v>2656</v>
      </c>
      <c r="D4917" s="0" t="n">
        <v>4</v>
      </c>
      <c r="E4917" s="6" t="n">
        <v>40858.4708333333</v>
      </c>
      <c r="F4917" s="0" t="n">
        <v>4.95</v>
      </c>
      <c r="G4917" s="0" t="n">
        <v>12518</v>
      </c>
      <c r="H4917" s="0" t="s">
        <v>33</v>
      </c>
      <c r="I4917" s="7" t="n">
        <f aca="false">IF(AND(LEFT(A4917,1)&lt;&gt;"C",D4917&gt;0,F4917&gt;0),1,0)</f>
        <v>1</v>
      </c>
      <c r="J4917" s="7" t="n">
        <f aca="false">IF(I4917=1,D4917*F4917,0)</f>
        <v>19.8</v>
      </c>
      <c r="K4917" s="7" t="n">
        <f aca="false">YEAR(E4917)*100+MONTH(E4917)</f>
        <v>201111</v>
      </c>
      <c r="L4917" s="7" t="n">
        <f aca="false">IF(AND(A4917&lt;&gt;A4916,LEFT(A4917,1)&lt;&gt;"C"),1,0)</f>
        <v>0</v>
      </c>
    </row>
    <row r="4918" customFormat="false" ht="15" hidden="false" customHeight="false" outlineLevel="0" collapsed="false">
      <c r="A4918" s="0" t="s">
        <v>2938</v>
      </c>
      <c r="B4918" s="0" t="s">
        <v>245</v>
      </c>
      <c r="C4918" s="0" t="s">
        <v>246</v>
      </c>
      <c r="D4918" s="0" t="n">
        <v>25</v>
      </c>
      <c r="E4918" s="6" t="n">
        <v>40858.4708333333</v>
      </c>
      <c r="F4918" s="0" t="n">
        <v>0.42</v>
      </c>
      <c r="G4918" s="0" t="n">
        <v>12518</v>
      </c>
      <c r="H4918" s="0" t="s">
        <v>33</v>
      </c>
      <c r="I4918" s="7" t="n">
        <f aca="false">IF(AND(LEFT(A4918,1)&lt;&gt;"C",D4918&gt;0,F4918&gt;0),1,0)</f>
        <v>1</v>
      </c>
      <c r="J4918" s="7" t="n">
        <f aca="false">IF(I4918=1,D4918*F4918,0)</f>
        <v>10.5</v>
      </c>
      <c r="K4918" s="7" t="n">
        <f aca="false">YEAR(E4918)*100+MONTH(E4918)</f>
        <v>201111</v>
      </c>
      <c r="L4918" s="7" t="n">
        <f aca="false">IF(AND(A4918&lt;&gt;A4917,LEFT(A4918,1)&lt;&gt;"C"),1,0)</f>
        <v>0</v>
      </c>
    </row>
    <row r="4919" customFormat="false" ht="15" hidden="false" customHeight="false" outlineLevel="0" collapsed="false">
      <c r="A4919" s="0" t="s">
        <v>2938</v>
      </c>
      <c r="B4919" s="0" t="s">
        <v>527</v>
      </c>
      <c r="C4919" s="0" t="s">
        <v>528</v>
      </c>
      <c r="D4919" s="0" t="n">
        <v>6</v>
      </c>
      <c r="E4919" s="6" t="n">
        <v>40858.4708333333</v>
      </c>
      <c r="F4919" s="0" t="n">
        <v>2.95</v>
      </c>
      <c r="G4919" s="0" t="n">
        <v>12518</v>
      </c>
      <c r="H4919" s="0" t="s">
        <v>33</v>
      </c>
      <c r="I4919" s="7" t="n">
        <f aca="false">IF(AND(LEFT(A4919,1)&lt;&gt;"C",D4919&gt;0,F4919&gt;0),1,0)</f>
        <v>1</v>
      </c>
      <c r="J4919" s="7" t="n">
        <f aca="false">IF(I4919=1,D4919*F4919,0)</f>
        <v>17.7</v>
      </c>
      <c r="K4919" s="7" t="n">
        <f aca="false">YEAR(E4919)*100+MONTH(E4919)</f>
        <v>201111</v>
      </c>
      <c r="L4919" s="7" t="n">
        <f aca="false">IF(AND(A4919&lt;&gt;A4918,LEFT(A4919,1)&lt;&gt;"C"),1,0)</f>
        <v>0</v>
      </c>
    </row>
    <row r="4920" customFormat="false" ht="15" hidden="false" customHeight="false" outlineLevel="0" collapsed="false">
      <c r="A4920" s="0" t="s">
        <v>2938</v>
      </c>
      <c r="B4920" s="0" t="s">
        <v>469</v>
      </c>
      <c r="C4920" s="0" t="s">
        <v>470</v>
      </c>
      <c r="D4920" s="0" t="n">
        <v>6</v>
      </c>
      <c r="E4920" s="6" t="n">
        <v>40858.4708333333</v>
      </c>
      <c r="F4920" s="0" t="n">
        <v>2.1</v>
      </c>
      <c r="G4920" s="0" t="n">
        <v>12518</v>
      </c>
      <c r="H4920" s="0" t="s">
        <v>33</v>
      </c>
      <c r="I4920" s="7" t="n">
        <f aca="false">IF(AND(LEFT(A4920,1)&lt;&gt;"C",D4920&gt;0,F4920&gt;0),1,0)</f>
        <v>1</v>
      </c>
      <c r="J4920" s="7" t="n">
        <f aca="false">IF(I4920=1,D4920*F4920,0)</f>
        <v>12.6</v>
      </c>
      <c r="K4920" s="7" t="n">
        <f aca="false">YEAR(E4920)*100+MONTH(E4920)</f>
        <v>201111</v>
      </c>
      <c r="L4920" s="7" t="n">
        <f aca="false">IF(AND(A4920&lt;&gt;A4919,LEFT(A4920,1)&lt;&gt;"C"),1,0)</f>
        <v>0</v>
      </c>
    </row>
    <row r="4921" customFormat="false" ht="15" hidden="false" customHeight="false" outlineLevel="0" collapsed="false">
      <c r="A4921" s="0" t="s">
        <v>2938</v>
      </c>
      <c r="B4921" s="0" t="s">
        <v>471</v>
      </c>
      <c r="C4921" s="0" t="s">
        <v>472</v>
      </c>
      <c r="D4921" s="0" t="n">
        <v>12</v>
      </c>
      <c r="E4921" s="6" t="n">
        <v>40858.4708333333</v>
      </c>
      <c r="F4921" s="0" t="n">
        <v>1.65</v>
      </c>
      <c r="G4921" s="0" t="n">
        <v>12518</v>
      </c>
      <c r="H4921" s="0" t="s">
        <v>33</v>
      </c>
      <c r="I4921" s="7" t="n">
        <f aca="false">IF(AND(LEFT(A4921,1)&lt;&gt;"C",D4921&gt;0,F4921&gt;0),1,0)</f>
        <v>1</v>
      </c>
      <c r="J4921" s="7" t="n">
        <f aca="false">IF(I4921=1,D4921*F4921,0)</f>
        <v>19.8</v>
      </c>
      <c r="K4921" s="7" t="n">
        <f aca="false">YEAR(E4921)*100+MONTH(E4921)</f>
        <v>201111</v>
      </c>
      <c r="L4921" s="7" t="n">
        <f aca="false">IF(AND(A4921&lt;&gt;A4920,LEFT(A4921,1)&lt;&gt;"C"),1,0)</f>
        <v>0</v>
      </c>
    </row>
    <row r="4922" customFormat="false" ht="15" hidden="false" customHeight="false" outlineLevel="0" collapsed="false">
      <c r="A4922" s="0" t="s">
        <v>2938</v>
      </c>
      <c r="B4922" s="0" t="s">
        <v>62</v>
      </c>
      <c r="C4922" s="0" t="s">
        <v>63</v>
      </c>
      <c r="D4922" s="0" t="n">
        <v>6</v>
      </c>
      <c r="E4922" s="6" t="n">
        <v>40858.4708333333</v>
      </c>
      <c r="F4922" s="0" t="n">
        <v>2.08</v>
      </c>
      <c r="G4922" s="0" t="n">
        <v>12518</v>
      </c>
      <c r="H4922" s="0" t="s">
        <v>33</v>
      </c>
      <c r="I4922" s="7" t="n">
        <f aca="false">IF(AND(LEFT(A4922,1)&lt;&gt;"C",D4922&gt;0,F4922&gt;0),1,0)</f>
        <v>1</v>
      </c>
      <c r="J4922" s="7" t="n">
        <f aca="false">IF(I4922=1,D4922*F4922,0)</f>
        <v>12.48</v>
      </c>
      <c r="K4922" s="7" t="n">
        <f aca="false">YEAR(E4922)*100+MONTH(E4922)</f>
        <v>201111</v>
      </c>
      <c r="L4922" s="7" t="n">
        <f aca="false">IF(AND(A4922&lt;&gt;A4921,LEFT(A4922,1)&lt;&gt;"C"),1,0)</f>
        <v>0</v>
      </c>
    </row>
    <row r="4923" customFormat="false" ht="15" hidden="false" customHeight="false" outlineLevel="0" collapsed="false">
      <c r="A4923" s="0" t="s">
        <v>2938</v>
      </c>
      <c r="B4923" s="0" t="s">
        <v>2207</v>
      </c>
      <c r="C4923" s="0" t="s">
        <v>2208</v>
      </c>
      <c r="D4923" s="0" t="n">
        <v>6</v>
      </c>
      <c r="E4923" s="6" t="n">
        <v>40858.4708333333</v>
      </c>
      <c r="F4923" s="0" t="n">
        <v>2.95</v>
      </c>
      <c r="G4923" s="0" t="n">
        <v>12518</v>
      </c>
      <c r="H4923" s="0" t="s">
        <v>33</v>
      </c>
      <c r="I4923" s="7" t="n">
        <f aca="false">IF(AND(LEFT(A4923,1)&lt;&gt;"C",D4923&gt;0,F4923&gt;0),1,0)</f>
        <v>1</v>
      </c>
      <c r="J4923" s="7" t="n">
        <f aca="false">IF(I4923=1,D4923*F4923,0)</f>
        <v>17.7</v>
      </c>
      <c r="K4923" s="7" t="n">
        <f aca="false">YEAR(E4923)*100+MONTH(E4923)</f>
        <v>201111</v>
      </c>
      <c r="L4923" s="7" t="n">
        <f aca="false">IF(AND(A4923&lt;&gt;A4922,LEFT(A4923,1)&lt;&gt;"C"),1,0)</f>
        <v>0</v>
      </c>
    </row>
    <row r="4924" customFormat="false" ht="15" hidden="false" customHeight="false" outlineLevel="0" collapsed="false">
      <c r="A4924" s="0" t="s">
        <v>2938</v>
      </c>
      <c r="B4924" s="0" t="s">
        <v>333</v>
      </c>
      <c r="C4924" s="0" t="s">
        <v>334</v>
      </c>
      <c r="D4924" s="0" t="n">
        <v>12</v>
      </c>
      <c r="E4924" s="6" t="n">
        <v>40858.4708333333</v>
      </c>
      <c r="F4924" s="0" t="n">
        <v>1.65</v>
      </c>
      <c r="G4924" s="0" t="n">
        <v>12518</v>
      </c>
      <c r="H4924" s="0" t="s">
        <v>33</v>
      </c>
      <c r="I4924" s="7" t="n">
        <f aca="false">IF(AND(LEFT(A4924,1)&lt;&gt;"C",D4924&gt;0,F4924&gt;0),1,0)</f>
        <v>1</v>
      </c>
      <c r="J4924" s="7" t="n">
        <f aca="false">IF(I4924=1,D4924*F4924,0)</f>
        <v>19.8</v>
      </c>
      <c r="K4924" s="7" t="n">
        <f aca="false">YEAR(E4924)*100+MONTH(E4924)</f>
        <v>201111</v>
      </c>
      <c r="L4924" s="7" t="n">
        <f aca="false">IF(AND(A4924&lt;&gt;A4923,LEFT(A4924,1)&lt;&gt;"C"),1,0)</f>
        <v>0</v>
      </c>
    </row>
    <row r="4925" customFormat="false" ht="15" hidden="false" customHeight="false" outlineLevel="0" collapsed="false">
      <c r="A4925" s="0" t="s">
        <v>2938</v>
      </c>
      <c r="B4925" s="0" t="s">
        <v>84</v>
      </c>
      <c r="C4925" s="0" t="s">
        <v>85</v>
      </c>
      <c r="D4925" s="0" t="n">
        <v>3</v>
      </c>
      <c r="E4925" s="6" t="n">
        <v>40858.4708333333</v>
      </c>
      <c r="F4925" s="0" t="n">
        <v>18</v>
      </c>
      <c r="G4925" s="0" t="n">
        <v>12518</v>
      </c>
      <c r="H4925" s="0" t="s">
        <v>33</v>
      </c>
      <c r="I4925" s="7" t="n">
        <f aca="false">IF(AND(LEFT(A4925,1)&lt;&gt;"C",D4925&gt;0,F4925&gt;0),1,0)</f>
        <v>1</v>
      </c>
      <c r="J4925" s="7" t="n">
        <f aca="false">IF(I4925=1,D4925*F4925,0)</f>
        <v>54</v>
      </c>
      <c r="K4925" s="7" t="n">
        <f aca="false">YEAR(E4925)*100+MONTH(E4925)</f>
        <v>201111</v>
      </c>
      <c r="L4925" s="7" t="n">
        <f aca="false">IF(AND(A4925&lt;&gt;A4924,LEFT(A4925,1)&lt;&gt;"C"),1,0)</f>
        <v>0</v>
      </c>
    </row>
    <row r="4926" customFormat="false" ht="15" hidden="false" customHeight="false" outlineLevel="0" collapsed="false">
      <c r="A4926" s="0" t="s">
        <v>2943</v>
      </c>
      <c r="B4926" s="0" t="s">
        <v>335</v>
      </c>
      <c r="C4926" s="0" t="s">
        <v>336</v>
      </c>
      <c r="D4926" s="0" t="n">
        <v>-12</v>
      </c>
      <c r="E4926" s="6" t="n">
        <v>40858.4861111111</v>
      </c>
      <c r="F4926" s="0" t="n">
        <v>1.65</v>
      </c>
      <c r="G4926" s="0" t="n">
        <v>12517</v>
      </c>
      <c r="H4926" s="0" t="s">
        <v>33</v>
      </c>
      <c r="I4926" s="7" t="n">
        <f aca="false">IF(AND(LEFT(A4926,1)&lt;&gt;"C",D4926&gt;0,F4926&gt;0),1,0)</f>
        <v>0</v>
      </c>
      <c r="J4926" s="7" t="n">
        <f aca="false">IF(I4926=1,D4926*F4926,0)</f>
        <v>0</v>
      </c>
      <c r="K4926" s="7" t="n">
        <f aca="false">YEAR(E4926)*100+MONTH(E4926)</f>
        <v>201111</v>
      </c>
      <c r="L4926" s="7" t="n">
        <f aca="false">IF(AND(A4926&lt;&gt;A4925,LEFT(A4926,1)&lt;&gt;"C"),1,0)</f>
        <v>0</v>
      </c>
    </row>
    <row r="4927" customFormat="false" ht="15" hidden="false" customHeight="false" outlineLevel="0" collapsed="false">
      <c r="A4927" s="0" t="s">
        <v>2943</v>
      </c>
      <c r="B4927" s="0" t="s">
        <v>333</v>
      </c>
      <c r="C4927" s="0" t="s">
        <v>334</v>
      </c>
      <c r="D4927" s="0" t="n">
        <v>-11</v>
      </c>
      <c r="E4927" s="6" t="n">
        <v>40858.4861111111</v>
      </c>
      <c r="F4927" s="0" t="n">
        <v>1.65</v>
      </c>
      <c r="G4927" s="0" t="n">
        <v>12517</v>
      </c>
      <c r="H4927" s="0" t="s">
        <v>33</v>
      </c>
      <c r="I4927" s="7" t="n">
        <f aca="false">IF(AND(LEFT(A4927,1)&lt;&gt;"C",D4927&gt;0,F4927&gt;0),1,0)</f>
        <v>0</v>
      </c>
      <c r="J4927" s="7" t="n">
        <f aca="false">IF(I4927=1,D4927*F4927,0)</f>
        <v>0</v>
      </c>
      <c r="K4927" s="7" t="n">
        <f aca="false">YEAR(E4927)*100+MONTH(E4927)</f>
        <v>201111</v>
      </c>
      <c r="L4927" s="7" t="n">
        <f aca="false">IF(AND(A4927&lt;&gt;A4926,LEFT(A4927,1)&lt;&gt;"C"),1,0)</f>
        <v>0</v>
      </c>
    </row>
    <row r="4928" customFormat="false" ht="15" hidden="false" customHeight="false" outlineLevel="0" collapsed="false">
      <c r="A4928" s="0" t="s">
        <v>2944</v>
      </c>
      <c r="B4928" s="0" t="s">
        <v>1059</v>
      </c>
      <c r="C4928" s="0" t="s">
        <v>1060</v>
      </c>
      <c r="D4928" s="0" t="n">
        <v>12</v>
      </c>
      <c r="E4928" s="6" t="n">
        <v>40858.5048611111</v>
      </c>
      <c r="F4928" s="0" t="n">
        <v>2.08</v>
      </c>
      <c r="G4928" s="0" t="n">
        <v>12598</v>
      </c>
      <c r="H4928" s="0" t="s">
        <v>43</v>
      </c>
      <c r="I4928" s="7" t="n">
        <f aca="false">IF(AND(LEFT(A4928,1)&lt;&gt;"C",D4928&gt;0,F4928&gt;0),1,0)</f>
        <v>1</v>
      </c>
      <c r="J4928" s="7" t="n">
        <f aca="false">IF(I4928=1,D4928*F4928,0)</f>
        <v>24.96</v>
      </c>
      <c r="K4928" s="7" t="n">
        <f aca="false">YEAR(E4928)*100+MONTH(E4928)</f>
        <v>201111</v>
      </c>
      <c r="L4928" s="7" t="n">
        <f aca="false">IF(AND(A4928&lt;&gt;A4927,LEFT(A4928,1)&lt;&gt;"C"),1,0)</f>
        <v>1</v>
      </c>
    </row>
    <row r="4929" customFormat="false" ht="15" hidden="false" customHeight="false" outlineLevel="0" collapsed="false">
      <c r="A4929" s="0" t="s">
        <v>2944</v>
      </c>
      <c r="B4929" s="0" t="s">
        <v>627</v>
      </c>
      <c r="C4929" s="0" t="s">
        <v>628</v>
      </c>
      <c r="D4929" s="0" t="n">
        <v>50</v>
      </c>
      <c r="E4929" s="6" t="n">
        <v>40858.5048611111</v>
      </c>
      <c r="F4929" s="0" t="n">
        <v>0.85</v>
      </c>
      <c r="G4929" s="0" t="n">
        <v>12598</v>
      </c>
      <c r="H4929" s="0" t="s">
        <v>43</v>
      </c>
      <c r="I4929" s="7" t="n">
        <f aca="false">IF(AND(LEFT(A4929,1)&lt;&gt;"C",D4929&gt;0,F4929&gt;0),1,0)</f>
        <v>1</v>
      </c>
      <c r="J4929" s="7" t="n">
        <f aca="false">IF(I4929=1,D4929*F4929,0)</f>
        <v>42.5</v>
      </c>
      <c r="K4929" s="7" t="n">
        <f aca="false">YEAR(E4929)*100+MONTH(E4929)</f>
        <v>201111</v>
      </c>
      <c r="L4929" s="7" t="n">
        <f aca="false">IF(AND(A4929&lt;&gt;A4928,LEFT(A4929,1)&lt;&gt;"C"),1,0)</f>
        <v>0</v>
      </c>
    </row>
    <row r="4930" customFormat="false" ht="15" hidden="false" customHeight="false" outlineLevel="0" collapsed="false">
      <c r="A4930" s="0" t="s">
        <v>2944</v>
      </c>
      <c r="B4930" s="0" t="s">
        <v>667</v>
      </c>
      <c r="C4930" s="0" t="s">
        <v>668</v>
      </c>
      <c r="D4930" s="0" t="n">
        <v>30</v>
      </c>
      <c r="E4930" s="6" t="n">
        <v>40858.5048611111</v>
      </c>
      <c r="F4930" s="0" t="n">
        <v>0.85</v>
      </c>
      <c r="G4930" s="0" t="n">
        <v>12598</v>
      </c>
      <c r="H4930" s="0" t="s">
        <v>43</v>
      </c>
      <c r="I4930" s="7" t="n">
        <f aca="false">IF(AND(LEFT(A4930,1)&lt;&gt;"C",D4930&gt;0,F4930&gt;0),1,0)</f>
        <v>1</v>
      </c>
      <c r="J4930" s="7" t="n">
        <f aca="false">IF(I4930=1,D4930*F4930,0)</f>
        <v>25.5</v>
      </c>
      <c r="K4930" s="7" t="n">
        <f aca="false">YEAR(E4930)*100+MONTH(E4930)</f>
        <v>201111</v>
      </c>
      <c r="L4930" s="7" t="n">
        <f aca="false">IF(AND(A4930&lt;&gt;A4929,LEFT(A4930,1)&lt;&gt;"C"),1,0)</f>
        <v>0</v>
      </c>
    </row>
    <row r="4931" customFormat="false" ht="15" hidden="false" customHeight="false" outlineLevel="0" collapsed="false">
      <c r="A4931" s="0" t="s">
        <v>2944</v>
      </c>
      <c r="B4931" s="0" t="s">
        <v>559</v>
      </c>
      <c r="C4931" s="0" t="s">
        <v>560</v>
      </c>
      <c r="D4931" s="0" t="n">
        <v>20</v>
      </c>
      <c r="E4931" s="6" t="n">
        <v>40858.5048611111</v>
      </c>
      <c r="F4931" s="0" t="n">
        <v>0.85</v>
      </c>
      <c r="G4931" s="0" t="n">
        <v>12598</v>
      </c>
      <c r="H4931" s="0" t="s">
        <v>43</v>
      </c>
      <c r="I4931" s="7" t="n">
        <f aca="false">IF(AND(LEFT(A4931,1)&lt;&gt;"C",D4931&gt;0,F4931&gt;0),1,0)</f>
        <v>1</v>
      </c>
      <c r="J4931" s="7" t="n">
        <f aca="false">IF(I4931=1,D4931*F4931,0)</f>
        <v>17</v>
      </c>
      <c r="K4931" s="7" t="n">
        <f aca="false">YEAR(E4931)*100+MONTH(E4931)</f>
        <v>201111</v>
      </c>
      <c r="L4931" s="7" t="n">
        <f aca="false">IF(AND(A4931&lt;&gt;A4930,LEFT(A4931,1)&lt;&gt;"C"),1,0)</f>
        <v>0</v>
      </c>
    </row>
    <row r="4932" customFormat="false" ht="15" hidden="false" customHeight="false" outlineLevel="0" collapsed="false">
      <c r="A4932" s="0" t="s">
        <v>2944</v>
      </c>
      <c r="B4932" s="0" t="s">
        <v>333</v>
      </c>
      <c r="C4932" s="0" t="s">
        <v>334</v>
      </c>
      <c r="D4932" s="0" t="n">
        <v>24</v>
      </c>
      <c r="E4932" s="6" t="n">
        <v>40858.5048611111</v>
      </c>
      <c r="F4932" s="0" t="n">
        <v>1.65</v>
      </c>
      <c r="G4932" s="0" t="n">
        <v>12598</v>
      </c>
      <c r="H4932" s="0" t="s">
        <v>43</v>
      </c>
      <c r="I4932" s="7" t="n">
        <f aca="false">IF(AND(LEFT(A4932,1)&lt;&gt;"C",D4932&gt;0,F4932&gt;0),1,0)</f>
        <v>1</v>
      </c>
      <c r="J4932" s="7" t="n">
        <f aca="false">IF(I4932=1,D4932*F4932,0)</f>
        <v>39.6</v>
      </c>
      <c r="K4932" s="7" t="n">
        <f aca="false">YEAR(E4932)*100+MONTH(E4932)</f>
        <v>201111</v>
      </c>
      <c r="L4932" s="7" t="n">
        <f aca="false">IF(AND(A4932&lt;&gt;A4931,LEFT(A4932,1)&lt;&gt;"C"),1,0)</f>
        <v>0</v>
      </c>
    </row>
    <row r="4933" customFormat="false" ht="15" hidden="false" customHeight="false" outlineLevel="0" collapsed="false">
      <c r="A4933" s="0" t="s">
        <v>2944</v>
      </c>
      <c r="B4933" s="0" t="s">
        <v>335</v>
      </c>
      <c r="C4933" s="0" t="s">
        <v>336</v>
      </c>
      <c r="D4933" s="0" t="n">
        <v>12</v>
      </c>
      <c r="E4933" s="6" t="n">
        <v>40858.5048611111</v>
      </c>
      <c r="F4933" s="0" t="n">
        <v>1.65</v>
      </c>
      <c r="G4933" s="0" t="n">
        <v>12598</v>
      </c>
      <c r="H4933" s="0" t="s">
        <v>43</v>
      </c>
      <c r="I4933" s="7" t="n">
        <f aca="false">IF(AND(LEFT(A4933,1)&lt;&gt;"C",D4933&gt;0,F4933&gt;0),1,0)</f>
        <v>1</v>
      </c>
      <c r="J4933" s="7" t="n">
        <f aca="false">IF(I4933=1,D4933*F4933,0)</f>
        <v>19.8</v>
      </c>
      <c r="K4933" s="7" t="n">
        <f aca="false">YEAR(E4933)*100+MONTH(E4933)</f>
        <v>201111</v>
      </c>
      <c r="L4933" s="7" t="n">
        <f aca="false">IF(AND(A4933&lt;&gt;A4932,LEFT(A4933,1)&lt;&gt;"C"),1,0)</f>
        <v>0</v>
      </c>
    </row>
    <row r="4934" customFormat="false" ht="15" hidden="false" customHeight="false" outlineLevel="0" collapsed="false">
      <c r="A4934" s="0" t="s">
        <v>2944</v>
      </c>
      <c r="B4934" s="0" t="s">
        <v>471</v>
      </c>
      <c r="C4934" s="0" t="s">
        <v>472</v>
      </c>
      <c r="D4934" s="0" t="n">
        <v>12</v>
      </c>
      <c r="E4934" s="6" t="n">
        <v>40858.5048611111</v>
      </c>
      <c r="F4934" s="0" t="n">
        <v>1.65</v>
      </c>
      <c r="G4934" s="0" t="n">
        <v>12598</v>
      </c>
      <c r="H4934" s="0" t="s">
        <v>43</v>
      </c>
      <c r="I4934" s="7" t="n">
        <f aca="false">IF(AND(LEFT(A4934,1)&lt;&gt;"C",D4934&gt;0,F4934&gt;0),1,0)</f>
        <v>1</v>
      </c>
      <c r="J4934" s="7" t="n">
        <f aca="false">IF(I4934=1,D4934*F4934,0)</f>
        <v>19.8</v>
      </c>
      <c r="K4934" s="7" t="n">
        <f aca="false">YEAR(E4934)*100+MONTH(E4934)</f>
        <v>201111</v>
      </c>
      <c r="L4934" s="7" t="n">
        <f aca="false">IF(AND(A4934&lt;&gt;A4933,LEFT(A4934,1)&lt;&gt;"C"),1,0)</f>
        <v>0</v>
      </c>
    </row>
    <row r="4935" customFormat="false" ht="15" hidden="false" customHeight="false" outlineLevel="0" collapsed="false">
      <c r="A4935" s="0" t="s">
        <v>2944</v>
      </c>
      <c r="B4935" s="0" t="s">
        <v>62</v>
      </c>
      <c r="C4935" s="0" t="s">
        <v>63</v>
      </c>
      <c r="D4935" s="0" t="n">
        <v>12</v>
      </c>
      <c r="E4935" s="6" t="n">
        <v>40858.5048611111</v>
      </c>
      <c r="F4935" s="0" t="n">
        <v>2.08</v>
      </c>
      <c r="G4935" s="0" t="n">
        <v>12598</v>
      </c>
      <c r="H4935" s="0" t="s">
        <v>43</v>
      </c>
      <c r="I4935" s="7" t="n">
        <f aca="false">IF(AND(LEFT(A4935,1)&lt;&gt;"C",D4935&gt;0,F4935&gt;0),1,0)</f>
        <v>1</v>
      </c>
      <c r="J4935" s="7" t="n">
        <f aca="false">IF(I4935=1,D4935*F4935,0)</f>
        <v>24.96</v>
      </c>
      <c r="K4935" s="7" t="n">
        <f aca="false">YEAR(E4935)*100+MONTH(E4935)</f>
        <v>201111</v>
      </c>
      <c r="L4935" s="7" t="n">
        <f aca="false">IF(AND(A4935&lt;&gt;A4934,LEFT(A4935,1)&lt;&gt;"C"),1,0)</f>
        <v>0</v>
      </c>
    </row>
    <row r="4936" customFormat="false" ht="15" hidden="false" customHeight="false" outlineLevel="0" collapsed="false">
      <c r="A4936" s="0" t="s">
        <v>2944</v>
      </c>
      <c r="B4936" s="0" t="s">
        <v>1568</v>
      </c>
      <c r="C4936" s="0" t="s">
        <v>1569</v>
      </c>
      <c r="D4936" s="0" t="n">
        <v>16</v>
      </c>
      <c r="E4936" s="6" t="n">
        <v>40858.5048611111</v>
      </c>
      <c r="F4936" s="0" t="n">
        <v>1.25</v>
      </c>
      <c r="G4936" s="0" t="n">
        <v>12598</v>
      </c>
      <c r="H4936" s="0" t="s">
        <v>43</v>
      </c>
      <c r="I4936" s="7" t="n">
        <f aca="false">IF(AND(LEFT(A4936,1)&lt;&gt;"C",D4936&gt;0,F4936&gt;0),1,0)</f>
        <v>1</v>
      </c>
      <c r="J4936" s="7" t="n">
        <f aca="false">IF(I4936=1,D4936*F4936,0)</f>
        <v>20</v>
      </c>
      <c r="K4936" s="7" t="n">
        <f aca="false">YEAR(E4936)*100+MONTH(E4936)</f>
        <v>201111</v>
      </c>
      <c r="L4936" s="7" t="n">
        <f aca="false">IF(AND(A4936&lt;&gt;A4935,LEFT(A4936,1)&lt;&gt;"C"),1,0)</f>
        <v>0</v>
      </c>
    </row>
    <row r="4937" customFormat="false" ht="15" hidden="false" customHeight="false" outlineLevel="0" collapsed="false">
      <c r="A4937" s="0" t="s">
        <v>2944</v>
      </c>
      <c r="B4937" s="0" t="s">
        <v>1453</v>
      </c>
      <c r="C4937" s="0" t="s">
        <v>1454</v>
      </c>
      <c r="D4937" s="0" t="n">
        <v>16</v>
      </c>
      <c r="E4937" s="6" t="n">
        <v>40858.5048611111</v>
      </c>
      <c r="F4937" s="0" t="n">
        <v>1.25</v>
      </c>
      <c r="G4937" s="0" t="n">
        <v>12598</v>
      </c>
      <c r="H4937" s="0" t="s">
        <v>43</v>
      </c>
      <c r="I4937" s="7" t="n">
        <f aca="false">IF(AND(LEFT(A4937,1)&lt;&gt;"C",D4937&gt;0,F4937&gt;0),1,0)</f>
        <v>1</v>
      </c>
      <c r="J4937" s="7" t="n">
        <f aca="false">IF(I4937=1,D4937*F4937,0)</f>
        <v>20</v>
      </c>
      <c r="K4937" s="7" t="n">
        <f aca="false">YEAR(E4937)*100+MONTH(E4937)</f>
        <v>201111</v>
      </c>
      <c r="L4937" s="7" t="n">
        <f aca="false">IF(AND(A4937&lt;&gt;A4936,LEFT(A4937,1)&lt;&gt;"C"),1,0)</f>
        <v>0</v>
      </c>
    </row>
    <row r="4938" customFormat="false" ht="15" hidden="false" customHeight="false" outlineLevel="0" collapsed="false">
      <c r="A4938" s="0" t="s">
        <v>2944</v>
      </c>
      <c r="B4938" s="0" t="s">
        <v>1570</v>
      </c>
      <c r="C4938" s="0" t="s">
        <v>1571</v>
      </c>
      <c r="D4938" s="0" t="n">
        <v>36</v>
      </c>
      <c r="E4938" s="6" t="n">
        <v>40858.5048611111</v>
      </c>
      <c r="F4938" s="0" t="n">
        <v>0.19</v>
      </c>
      <c r="G4938" s="0" t="n">
        <v>12598</v>
      </c>
      <c r="H4938" s="0" t="s">
        <v>43</v>
      </c>
      <c r="I4938" s="7" t="n">
        <f aca="false">IF(AND(LEFT(A4938,1)&lt;&gt;"C",D4938&gt;0,F4938&gt;0),1,0)</f>
        <v>1</v>
      </c>
      <c r="J4938" s="7" t="n">
        <f aca="false">IF(I4938=1,D4938*F4938,0)</f>
        <v>6.84</v>
      </c>
      <c r="K4938" s="7" t="n">
        <f aca="false">YEAR(E4938)*100+MONTH(E4938)</f>
        <v>201111</v>
      </c>
      <c r="L4938" s="7" t="n">
        <f aca="false">IF(AND(A4938&lt;&gt;A4937,LEFT(A4938,1)&lt;&gt;"C"),1,0)</f>
        <v>0</v>
      </c>
    </row>
    <row r="4939" customFormat="false" ht="15" hidden="false" customHeight="false" outlineLevel="0" collapsed="false">
      <c r="A4939" s="0" t="s">
        <v>2944</v>
      </c>
      <c r="B4939" s="0" t="s">
        <v>1572</v>
      </c>
      <c r="C4939" s="0" t="s">
        <v>1573</v>
      </c>
      <c r="D4939" s="0" t="n">
        <v>36</v>
      </c>
      <c r="E4939" s="6" t="n">
        <v>40858.5048611111</v>
      </c>
      <c r="F4939" s="0" t="n">
        <v>0.19</v>
      </c>
      <c r="G4939" s="0" t="n">
        <v>12598</v>
      </c>
      <c r="H4939" s="0" t="s">
        <v>43</v>
      </c>
      <c r="I4939" s="7" t="n">
        <f aca="false">IF(AND(LEFT(A4939,1)&lt;&gt;"C",D4939&gt;0,F4939&gt;0),1,0)</f>
        <v>1</v>
      </c>
      <c r="J4939" s="7" t="n">
        <f aca="false">IF(I4939=1,D4939*F4939,0)</f>
        <v>6.84</v>
      </c>
      <c r="K4939" s="7" t="n">
        <f aca="false">YEAR(E4939)*100+MONTH(E4939)</f>
        <v>201111</v>
      </c>
      <c r="L4939" s="7" t="n">
        <f aca="false">IF(AND(A4939&lt;&gt;A4938,LEFT(A4939,1)&lt;&gt;"C"),1,0)</f>
        <v>0</v>
      </c>
    </row>
    <row r="4940" customFormat="false" ht="15" hidden="false" customHeight="false" outlineLevel="0" collapsed="false">
      <c r="A4940" s="0" t="s">
        <v>2944</v>
      </c>
      <c r="B4940" s="0" t="s">
        <v>380</v>
      </c>
      <c r="C4940" s="0" t="s">
        <v>381</v>
      </c>
      <c r="D4940" s="0" t="n">
        <v>60</v>
      </c>
      <c r="E4940" s="6" t="n">
        <v>40858.5048611111</v>
      </c>
      <c r="F4940" s="0" t="n">
        <v>0.85</v>
      </c>
      <c r="G4940" s="0" t="n">
        <v>12598</v>
      </c>
      <c r="H4940" s="0" t="s">
        <v>43</v>
      </c>
      <c r="I4940" s="7" t="n">
        <f aca="false">IF(AND(LEFT(A4940,1)&lt;&gt;"C",D4940&gt;0,F4940&gt;0),1,0)</f>
        <v>1</v>
      </c>
      <c r="J4940" s="7" t="n">
        <f aca="false">IF(I4940=1,D4940*F4940,0)</f>
        <v>51</v>
      </c>
      <c r="K4940" s="7" t="n">
        <f aca="false">YEAR(E4940)*100+MONTH(E4940)</f>
        <v>201111</v>
      </c>
      <c r="L4940" s="7" t="n">
        <f aca="false">IF(AND(A4940&lt;&gt;A4939,LEFT(A4940,1)&lt;&gt;"C"),1,0)</f>
        <v>0</v>
      </c>
    </row>
    <row r="4941" customFormat="false" ht="15" hidden="false" customHeight="false" outlineLevel="0" collapsed="false">
      <c r="A4941" s="0" t="s">
        <v>2944</v>
      </c>
      <c r="B4941" s="0" t="s">
        <v>84</v>
      </c>
      <c r="C4941" s="0" t="s">
        <v>85</v>
      </c>
      <c r="D4941" s="0" t="n">
        <v>1</v>
      </c>
      <c r="E4941" s="6" t="n">
        <v>40858.5048611111</v>
      </c>
      <c r="F4941" s="0" t="n">
        <v>18</v>
      </c>
      <c r="G4941" s="0" t="n">
        <v>12598</v>
      </c>
      <c r="H4941" s="0" t="s">
        <v>43</v>
      </c>
      <c r="I4941" s="7" t="n">
        <f aca="false">IF(AND(LEFT(A4941,1)&lt;&gt;"C",D4941&gt;0,F4941&gt;0),1,0)</f>
        <v>1</v>
      </c>
      <c r="J4941" s="7" t="n">
        <f aca="false">IF(I4941=1,D4941*F4941,0)</f>
        <v>18</v>
      </c>
      <c r="K4941" s="7" t="n">
        <f aca="false">YEAR(E4941)*100+MONTH(E4941)</f>
        <v>201111</v>
      </c>
      <c r="L4941" s="7" t="n">
        <f aca="false">IF(AND(A4941&lt;&gt;A4940,LEFT(A4941,1)&lt;&gt;"C"),1,0)</f>
        <v>0</v>
      </c>
    </row>
    <row r="4942" customFormat="false" ht="15" hidden="false" customHeight="false" outlineLevel="0" collapsed="false">
      <c r="A4942" s="0" t="s">
        <v>2945</v>
      </c>
      <c r="B4942" s="0" t="s">
        <v>2314</v>
      </c>
      <c r="C4942" s="0" t="s">
        <v>2315</v>
      </c>
      <c r="D4942" s="0" t="n">
        <v>4</v>
      </c>
      <c r="E4942" s="6" t="n">
        <v>40858.5659722222</v>
      </c>
      <c r="F4942" s="0" t="n">
        <v>3.75</v>
      </c>
      <c r="G4942" s="0" t="n">
        <v>12726</v>
      </c>
      <c r="H4942" s="0" t="s">
        <v>43</v>
      </c>
      <c r="I4942" s="7" t="n">
        <f aca="false">IF(AND(LEFT(A4942,1)&lt;&gt;"C",D4942&gt;0,F4942&gt;0),1,0)</f>
        <v>1</v>
      </c>
      <c r="J4942" s="7" t="n">
        <f aca="false">IF(I4942=1,D4942*F4942,0)</f>
        <v>15</v>
      </c>
      <c r="K4942" s="7" t="n">
        <f aca="false">YEAR(E4942)*100+MONTH(E4942)</f>
        <v>201111</v>
      </c>
      <c r="L4942" s="7" t="n">
        <f aca="false">IF(AND(A4942&lt;&gt;A4941,LEFT(A4942,1)&lt;&gt;"C"),1,0)</f>
        <v>1</v>
      </c>
    </row>
    <row r="4943" customFormat="false" ht="15" hidden="false" customHeight="false" outlineLevel="0" collapsed="false">
      <c r="A4943" s="0" t="s">
        <v>2945</v>
      </c>
      <c r="B4943" s="0" t="s">
        <v>783</v>
      </c>
      <c r="C4943" s="0" t="s">
        <v>784</v>
      </c>
      <c r="D4943" s="0" t="n">
        <v>6</v>
      </c>
      <c r="E4943" s="6" t="n">
        <v>40858.5659722222</v>
      </c>
      <c r="F4943" s="0" t="n">
        <v>2.1</v>
      </c>
      <c r="G4943" s="0" t="n">
        <v>12726</v>
      </c>
      <c r="H4943" s="0" t="s">
        <v>43</v>
      </c>
      <c r="I4943" s="7" t="n">
        <f aca="false">IF(AND(LEFT(A4943,1)&lt;&gt;"C",D4943&gt;0,F4943&gt;0),1,0)</f>
        <v>1</v>
      </c>
      <c r="J4943" s="7" t="n">
        <f aca="false">IF(I4943=1,D4943*F4943,0)</f>
        <v>12.6</v>
      </c>
      <c r="K4943" s="7" t="n">
        <f aca="false">YEAR(E4943)*100+MONTH(E4943)</f>
        <v>201111</v>
      </c>
      <c r="L4943" s="7" t="n">
        <f aca="false">IF(AND(A4943&lt;&gt;A4942,LEFT(A4943,1)&lt;&gt;"C"),1,0)</f>
        <v>0</v>
      </c>
    </row>
    <row r="4944" customFormat="false" ht="15" hidden="false" customHeight="false" outlineLevel="0" collapsed="false">
      <c r="A4944" s="0" t="s">
        <v>2945</v>
      </c>
      <c r="B4944" s="0" t="s">
        <v>975</v>
      </c>
      <c r="C4944" s="0" t="s">
        <v>976</v>
      </c>
      <c r="D4944" s="0" t="n">
        <v>10</v>
      </c>
      <c r="E4944" s="6" t="n">
        <v>40858.5659722222</v>
      </c>
      <c r="F4944" s="0" t="n">
        <v>1.65</v>
      </c>
      <c r="G4944" s="0" t="n">
        <v>12726</v>
      </c>
      <c r="H4944" s="0" t="s">
        <v>43</v>
      </c>
      <c r="I4944" s="7" t="n">
        <f aca="false">IF(AND(LEFT(A4944,1)&lt;&gt;"C",D4944&gt;0,F4944&gt;0),1,0)</f>
        <v>1</v>
      </c>
      <c r="J4944" s="7" t="n">
        <f aca="false">IF(I4944=1,D4944*F4944,0)</f>
        <v>16.5</v>
      </c>
      <c r="K4944" s="7" t="n">
        <f aca="false">YEAR(E4944)*100+MONTH(E4944)</f>
        <v>201111</v>
      </c>
      <c r="L4944" s="7" t="n">
        <f aca="false">IF(AND(A4944&lt;&gt;A4943,LEFT(A4944,1)&lt;&gt;"C"),1,0)</f>
        <v>0</v>
      </c>
    </row>
    <row r="4945" customFormat="false" ht="15" hidden="false" customHeight="false" outlineLevel="0" collapsed="false">
      <c r="A4945" s="0" t="s">
        <v>2945</v>
      </c>
      <c r="B4945" s="0" t="s">
        <v>543</v>
      </c>
      <c r="C4945" s="0" t="s">
        <v>544</v>
      </c>
      <c r="D4945" s="0" t="n">
        <v>72</v>
      </c>
      <c r="E4945" s="6" t="n">
        <v>40858.5659722222</v>
      </c>
      <c r="F4945" s="0" t="n">
        <v>0.42</v>
      </c>
      <c r="G4945" s="0" t="n">
        <v>12726</v>
      </c>
      <c r="H4945" s="0" t="s">
        <v>43</v>
      </c>
      <c r="I4945" s="7" t="n">
        <f aca="false">IF(AND(LEFT(A4945,1)&lt;&gt;"C",D4945&gt;0,F4945&gt;0),1,0)</f>
        <v>1</v>
      </c>
      <c r="J4945" s="7" t="n">
        <f aca="false">IF(I4945=1,D4945*F4945,0)</f>
        <v>30.24</v>
      </c>
      <c r="K4945" s="7" t="n">
        <f aca="false">YEAR(E4945)*100+MONTH(E4945)</f>
        <v>201111</v>
      </c>
      <c r="L4945" s="7" t="n">
        <f aca="false">IF(AND(A4945&lt;&gt;A4944,LEFT(A4945,1)&lt;&gt;"C"),1,0)</f>
        <v>0</v>
      </c>
    </row>
    <row r="4946" customFormat="false" ht="15" hidden="false" customHeight="false" outlineLevel="0" collapsed="false">
      <c r="A4946" s="0" t="s">
        <v>2945</v>
      </c>
      <c r="B4946" s="0" t="s">
        <v>115</v>
      </c>
      <c r="C4946" s="0" t="s">
        <v>116</v>
      </c>
      <c r="D4946" s="0" t="n">
        <v>24</v>
      </c>
      <c r="E4946" s="6" t="n">
        <v>40858.5659722222</v>
      </c>
      <c r="F4946" s="0" t="n">
        <v>0.85</v>
      </c>
      <c r="G4946" s="0" t="n">
        <v>12726</v>
      </c>
      <c r="H4946" s="0" t="s">
        <v>43</v>
      </c>
      <c r="I4946" s="7" t="n">
        <f aca="false">IF(AND(LEFT(A4946,1)&lt;&gt;"C",D4946&gt;0,F4946&gt;0),1,0)</f>
        <v>1</v>
      </c>
      <c r="J4946" s="7" t="n">
        <f aca="false">IF(I4946=1,D4946*F4946,0)</f>
        <v>20.4</v>
      </c>
      <c r="K4946" s="7" t="n">
        <f aca="false">YEAR(E4946)*100+MONTH(E4946)</f>
        <v>201111</v>
      </c>
      <c r="L4946" s="7" t="n">
        <f aca="false">IF(AND(A4946&lt;&gt;A4945,LEFT(A4946,1)&lt;&gt;"C"),1,0)</f>
        <v>0</v>
      </c>
    </row>
    <row r="4947" customFormat="false" ht="15" hidden="false" customHeight="false" outlineLevel="0" collapsed="false">
      <c r="A4947" s="0" t="s">
        <v>2945</v>
      </c>
      <c r="B4947" s="0" t="s">
        <v>989</v>
      </c>
      <c r="C4947" s="0" t="s">
        <v>990</v>
      </c>
      <c r="D4947" s="0" t="n">
        <v>12</v>
      </c>
      <c r="E4947" s="6" t="n">
        <v>40858.5659722222</v>
      </c>
      <c r="F4947" s="0" t="n">
        <v>1.65</v>
      </c>
      <c r="G4947" s="0" t="n">
        <v>12726</v>
      </c>
      <c r="H4947" s="0" t="s">
        <v>43</v>
      </c>
      <c r="I4947" s="7" t="n">
        <f aca="false">IF(AND(LEFT(A4947,1)&lt;&gt;"C",D4947&gt;0,F4947&gt;0),1,0)</f>
        <v>1</v>
      </c>
      <c r="J4947" s="7" t="n">
        <f aca="false">IF(I4947=1,D4947*F4947,0)</f>
        <v>19.8</v>
      </c>
      <c r="K4947" s="7" t="n">
        <f aca="false">YEAR(E4947)*100+MONTH(E4947)</f>
        <v>201111</v>
      </c>
      <c r="L4947" s="7" t="n">
        <f aca="false">IF(AND(A4947&lt;&gt;A4946,LEFT(A4947,1)&lt;&gt;"C"),1,0)</f>
        <v>0</v>
      </c>
    </row>
    <row r="4948" customFormat="false" ht="15" hidden="false" customHeight="false" outlineLevel="0" collapsed="false">
      <c r="A4948" s="0" t="s">
        <v>2945</v>
      </c>
      <c r="B4948" s="0" t="s">
        <v>193</v>
      </c>
      <c r="C4948" s="0" t="s">
        <v>194</v>
      </c>
      <c r="D4948" s="0" t="n">
        <v>48</v>
      </c>
      <c r="E4948" s="6" t="n">
        <v>40858.5659722222</v>
      </c>
      <c r="F4948" s="0" t="n">
        <v>0.65</v>
      </c>
      <c r="G4948" s="0" t="n">
        <v>12726</v>
      </c>
      <c r="H4948" s="0" t="s">
        <v>43</v>
      </c>
      <c r="I4948" s="7" t="n">
        <f aca="false">IF(AND(LEFT(A4948,1)&lt;&gt;"C",D4948&gt;0,F4948&gt;0),1,0)</f>
        <v>1</v>
      </c>
      <c r="J4948" s="7" t="n">
        <f aca="false">IF(I4948=1,D4948*F4948,0)</f>
        <v>31.2</v>
      </c>
      <c r="K4948" s="7" t="n">
        <f aca="false">YEAR(E4948)*100+MONTH(E4948)</f>
        <v>201111</v>
      </c>
      <c r="L4948" s="7" t="n">
        <f aca="false">IF(AND(A4948&lt;&gt;A4947,LEFT(A4948,1)&lt;&gt;"C"),1,0)</f>
        <v>0</v>
      </c>
    </row>
    <row r="4949" customFormat="false" ht="15" hidden="false" customHeight="false" outlineLevel="0" collapsed="false">
      <c r="A4949" s="0" t="s">
        <v>2945</v>
      </c>
      <c r="B4949" s="0" t="s">
        <v>197</v>
      </c>
      <c r="C4949" s="0" t="s">
        <v>198</v>
      </c>
      <c r="D4949" s="0" t="n">
        <v>36</v>
      </c>
      <c r="E4949" s="6" t="n">
        <v>40858.5659722222</v>
      </c>
      <c r="F4949" s="0" t="n">
        <v>0.85</v>
      </c>
      <c r="G4949" s="0" t="n">
        <v>12726</v>
      </c>
      <c r="H4949" s="0" t="s">
        <v>43</v>
      </c>
      <c r="I4949" s="7" t="n">
        <f aca="false">IF(AND(LEFT(A4949,1)&lt;&gt;"C",D4949&gt;0,F4949&gt;0),1,0)</f>
        <v>1</v>
      </c>
      <c r="J4949" s="7" t="n">
        <f aca="false">IF(I4949=1,D4949*F4949,0)</f>
        <v>30.6</v>
      </c>
      <c r="K4949" s="7" t="n">
        <f aca="false">YEAR(E4949)*100+MONTH(E4949)</f>
        <v>201111</v>
      </c>
      <c r="L4949" s="7" t="n">
        <f aca="false">IF(AND(A4949&lt;&gt;A4948,LEFT(A4949,1)&lt;&gt;"C"),1,0)</f>
        <v>0</v>
      </c>
    </row>
    <row r="4950" customFormat="false" ht="15" hidden="false" customHeight="false" outlineLevel="0" collapsed="false">
      <c r="A4950" s="0" t="s">
        <v>2945</v>
      </c>
      <c r="B4950" s="0" t="s">
        <v>151</v>
      </c>
      <c r="C4950" s="0" t="s">
        <v>152</v>
      </c>
      <c r="D4950" s="0" t="n">
        <v>24</v>
      </c>
      <c r="E4950" s="6" t="n">
        <v>40858.5659722222</v>
      </c>
      <c r="F4950" s="0" t="n">
        <v>0.85</v>
      </c>
      <c r="G4950" s="0" t="n">
        <v>12726</v>
      </c>
      <c r="H4950" s="0" t="s">
        <v>43</v>
      </c>
      <c r="I4950" s="7" t="n">
        <f aca="false">IF(AND(LEFT(A4950,1)&lt;&gt;"C",D4950&gt;0,F4950&gt;0),1,0)</f>
        <v>1</v>
      </c>
      <c r="J4950" s="7" t="n">
        <f aca="false">IF(I4950=1,D4950*F4950,0)</f>
        <v>20.4</v>
      </c>
      <c r="K4950" s="7" t="n">
        <f aca="false">YEAR(E4950)*100+MONTH(E4950)</f>
        <v>201111</v>
      </c>
      <c r="L4950" s="7" t="n">
        <f aca="false">IF(AND(A4950&lt;&gt;A4949,LEFT(A4950,1)&lt;&gt;"C"),1,0)</f>
        <v>0</v>
      </c>
    </row>
    <row r="4951" customFormat="false" ht="15" hidden="false" customHeight="false" outlineLevel="0" collapsed="false">
      <c r="A4951" s="0" t="s">
        <v>2945</v>
      </c>
      <c r="B4951" s="0" t="s">
        <v>979</v>
      </c>
      <c r="C4951" s="0" t="s">
        <v>980</v>
      </c>
      <c r="D4951" s="0" t="n">
        <v>24</v>
      </c>
      <c r="E4951" s="6" t="n">
        <v>40858.5659722222</v>
      </c>
      <c r="F4951" s="0" t="n">
        <v>0.42</v>
      </c>
      <c r="G4951" s="0" t="n">
        <v>12726</v>
      </c>
      <c r="H4951" s="0" t="s">
        <v>43</v>
      </c>
      <c r="I4951" s="7" t="n">
        <f aca="false">IF(AND(LEFT(A4951,1)&lt;&gt;"C",D4951&gt;0,F4951&gt;0),1,0)</f>
        <v>1</v>
      </c>
      <c r="J4951" s="7" t="n">
        <f aca="false">IF(I4951=1,D4951*F4951,0)</f>
        <v>10.08</v>
      </c>
      <c r="K4951" s="7" t="n">
        <f aca="false">YEAR(E4951)*100+MONTH(E4951)</f>
        <v>201111</v>
      </c>
      <c r="L4951" s="7" t="n">
        <f aca="false">IF(AND(A4951&lt;&gt;A4950,LEFT(A4951,1)&lt;&gt;"C"),1,0)</f>
        <v>0</v>
      </c>
    </row>
    <row r="4952" customFormat="false" ht="15" hidden="false" customHeight="false" outlineLevel="0" collapsed="false">
      <c r="A4952" s="0" t="s">
        <v>2945</v>
      </c>
      <c r="B4952" s="0" t="s">
        <v>981</v>
      </c>
      <c r="C4952" s="0" t="s">
        <v>982</v>
      </c>
      <c r="D4952" s="0" t="n">
        <v>24</v>
      </c>
      <c r="E4952" s="6" t="n">
        <v>40858.5659722222</v>
      </c>
      <c r="F4952" s="0" t="n">
        <v>0.42</v>
      </c>
      <c r="G4952" s="0" t="n">
        <v>12726</v>
      </c>
      <c r="H4952" s="0" t="s">
        <v>43</v>
      </c>
      <c r="I4952" s="7" t="n">
        <f aca="false">IF(AND(LEFT(A4952,1)&lt;&gt;"C",D4952&gt;0,F4952&gt;0),1,0)</f>
        <v>1</v>
      </c>
      <c r="J4952" s="7" t="n">
        <f aca="false">IF(I4952=1,D4952*F4952,0)</f>
        <v>10.08</v>
      </c>
      <c r="K4952" s="7" t="n">
        <f aca="false">YEAR(E4952)*100+MONTH(E4952)</f>
        <v>201111</v>
      </c>
      <c r="L4952" s="7" t="n">
        <f aca="false">IF(AND(A4952&lt;&gt;A4951,LEFT(A4952,1)&lt;&gt;"C"),1,0)</f>
        <v>0</v>
      </c>
    </row>
    <row r="4953" customFormat="false" ht="15" hidden="false" customHeight="false" outlineLevel="0" collapsed="false">
      <c r="A4953" s="0" t="s">
        <v>2945</v>
      </c>
      <c r="B4953" s="0" t="s">
        <v>195</v>
      </c>
      <c r="C4953" s="0" t="s">
        <v>196</v>
      </c>
      <c r="D4953" s="0" t="n">
        <v>12</v>
      </c>
      <c r="E4953" s="6" t="n">
        <v>40858.5659722222</v>
      </c>
      <c r="F4953" s="0" t="n">
        <v>0.85</v>
      </c>
      <c r="G4953" s="0" t="n">
        <v>12726</v>
      </c>
      <c r="H4953" s="0" t="s">
        <v>43</v>
      </c>
      <c r="I4953" s="7" t="n">
        <f aca="false">IF(AND(LEFT(A4953,1)&lt;&gt;"C",D4953&gt;0,F4953&gt;0),1,0)</f>
        <v>1</v>
      </c>
      <c r="J4953" s="7" t="n">
        <f aca="false">IF(I4953=1,D4953*F4953,0)</f>
        <v>10.2</v>
      </c>
      <c r="K4953" s="7" t="n">
        <f aca="false">YEAR(E4953)*100+MONTH(E4953)</f>
        <v>201111</v>
      </c>
      <c r="L4953" s="7" t="n">
        <f aca="false">IF(AND(A4953&lt;&gt;A4952,LEFT(A4953,1)&lt;&gt;"C"),1,0)</f>
        <v>0</v>
      </c>
    </row>
    <row r="4954" customFormat="false" ht="15" hidden="false" customHeight="false" outlineLevel="0" collapsed="false">
      <c r="A4954" s="0" t="s">
        <v>2945</v>
      </c>
      <c r="B4954" s="0" t="s">
        <v>983</v>
      </c>
      <c r="C4954" s="0" t="s">
        <v>984</v>
      </c>
      <c r="D4954" s="0" t="n">
        <v>20</v>
      </c>
      <c r="E4954" s="6" t="n">
        <v>40858.5659722222</v>
      </c>
      <c r="F4954" s="0" t="n">
        <v>0.85</v>
      </c>
      <c r="G4954" s="0" t="n">
        <v>12726</v>
      </c>
      <c r="H4954" s="0" t="s">
        <v>43</v>
      </c>
      <c r="I4954" s="7" t="n">
        <f aca="false">IF(AND(LEFT(A4954,1)&lt;&gt;"C",D4954&gt;0,F4954&gt;0),1,0)</f>
        <v>1</v>
      </c>
      <c r="J4954" s="7" t="n">
        <f aca="false">IF(I4954=1,D4954*F4954,0)</f>
        <v>17</v>
      </c>
      <c r="K4954" s="7" t="n">
        <f aca="false">YEAR(E4954)*100+MONTH(E4954)</f>
        <v>201111</v>
      </c>
      <c r="L4954" s="7" t="n">
        <f aca="false">IF(AND(A4954&lt;&gt;A4953,LEFT(A4954,1)&lt;&gt;"C"),1,0)</f>
        <v>0</v>
      </c>
    </row>
    <row r="4955" customFormat="false" ht="15" hidden="false" customHeight="false" outlineLevel="0" collapsed="false">
      <c r="A4955" s="0" t="s">
        <v>2945</v>
      </c>
      <c r="B4955" s="0" t="s">
        <v>241</v>
      </c>
      <c r="C4955" s="0" t="s">
        <v>242</v>
      </c>
      <c r="D4955" s="0" t="n">
        <v>36</v>
      </c>
      <c r="E4955" s="6" t="n">
        <v>40858.5659722222</v>
      </c>
      <c r="F4955" s="0" t="n">
        <v>1.45</v>
      </c>
      <c r="G4955" s="0" t="n">
        <v>12726</v>
      </c>
      <c r="H4955" s="0" t="s">
        <v>43</v>
      </c>
      <c r="I4955" s="7" t="n">
        <f aca="false">IF(AND(LEFT(A4955,1)&lt;&gt;"C",D4955&gt;0,F4955&gt;0),1,0)</f>
        <v>1</v>
      </c>
      <c r="J4955" s="7" t="n">
        <f aca="false">IF(I4955=1,D4955*F4955,0)</f>
        <v>52.2</v>
      </c>
      <c r="K4955" s="7" t="n">
        <f aca="false">YEAR(E4955)*100+MONTH(E4955)</f>
        <v>201111</v>
      </c>
      <c r="L4955" s="7" t="n">
        <f aca="false">IF(AND(A4955&lt;&gt;A4954,LEFT(A4955,1)&lt;&gt;"C"),1,0)</f>
        <v>0</v>
      </c>
    </row>
    <row r="4956" customFormat="false" ht="15" hidden="false" customHeight="false" outlineLevel="0" collapsed="false">
      <c r="A4956" s="0" t="s">
        <v>2945</v>
      </c>
      <c r="B4956" s="0" t="s">
        <v>1336</v>
      </c>
      <c r="C4956" s="0" t="s">
        <v>1337</v>
      </c>
      <c r="D4956" s="0" t="n">
        <v>12</v>
      </c>
      <c r="E4956" s="6" t="n">
        <v>40858.5659722222</v>
      </c>
      <c r="F4956" s="0" t="n">
        <v>1.25</v>
      </c>
      <c r="G4956" s="0" t="n">
        <v>12726</v>
      </c>
      <c r="H4956" s="0" t="s">
        <v>43</v>
      </c>
      <c r="I4956" s="7" t="n">
        <f aca="false">IF(AND(LEFT(A4956,1)&lt;&gt;"C",D4956&gt;0,F4956&gt;0),1,0)</f>
        <v>1</v>
      </c>
      <c r="J4956" s="7" t="n">
        <f aca="false">IF(I4956=1,D4956*F4956,0)</f>
        <v>15</v>
      </c>
      <c r="K4956" s="7" t="n">
        <f aca="false">YEAR(E4956)*100+MONTH(E4956)</f>
        <v>201111</v>
      </c>
      <c r="L4956" s="7" t="n">
        <f aca="false">IF(AND(A4956&lt;&gt;A4955,LEFT(A4956,1)&lt;&gt;"C"),1,0)</f>
        <v>0</v>
      </c>
    </row>
    <row r="4957" customFormat="false" ht="15" hidden="false" customHeight="false" outlineLevel="0" collapsed="false">
      <c r="A4957" s="0" t="s">
        <v>2945</v>
      </c>
      <c r="B4957" s="0" t="s">
        <v>416</v>
      </c>
      <c r="C4957" s="0" t="s">
        <v>417</v>
      </c>
      <c r="D4957" s="0" t="n">
        <v>72</v>
      </c>
      <c r="E4957" s="6" t="n">
        <v>40858.5659722222</v>
      </c>
      <c r="F4957" s="0" t="n">
        <v>0.65</v>
      </c>
      <c r="G4957" s="0" t="n">
        <v>12726</v>
      </c>
      <c r="H4957" s="0" t="s">
        <v>43</v>
      </c>
      <c r="I4957" s="7" t="n">
        <f aca="false">IF(AND(LEFT(A4957,1)&lt;&gt;"C",D4957&gt;0,F4957&gt;0),1,0)</f>
        <v>1</v>
      </c>
      <c r="J4957" s="7" t="n">
        <f aca="false">IF(I4957=1,D4957*F4957,0)</f>
        <v>46.8</v>
      </c>
      <c r="K4957" s="7" t="n">
        <f aca="false">YEAR(E4957)*100+MONTH(E4957)</f>
        <v>201111</v>
      </c>
      <c r="L4957" s="7" t="n">
        <f aca="false">IF(AND(A4957&lt;&gt;A4956,LEFT(A4957,1)&lt;&gt;"C"),1,0)</f>
        <v>0</v>
      </c>
    </row>
    <row r="4958" customFormat="false" ht="15" hidden="false" customHeight="false" outlineLevel="0" collapsed="false">
      <c r="A4958" s="0" t="s">
        <v>2945</v>
      </c>
      <c r="B4958" s="0" t="s">
        <v>157</v>
      </c>
      <c r="C4958" s="0" t="s">
        <v>158</v>
      </c>
      <c r="D4958" s="0" t="n">
        <v>12</v>
      </c>
      <c r="E4958" s="6" t="n">
        <v>40858.5659722222</v>
      </c>
      <c r="F4958" s="0" t="n">
        <v>0.65</v>
      </c>
      <c r="G4958" s="0" t="n">
        <v>12726</v>
      </c>
      <c r="H4958" s="0" t="s">
        <v>43</v>
      </c>
      <c r="I4958" s="7" t="n">
        <f aca="false">IF(AND(LEFT(A4958,1)&lt;&gt;"C",D4958&gt;0,F4958&gt;0),1,0)</f>
        <v>1</v>
      </c>
      <c r="J4958" s="7" t="n">
        <f aca="false">IF(I4958=1,D4958*F4958,0)</f>
        <v>7.8</v>
      </c>
      <c r="K4958" s="7" t="n">
        <f aca="false">YEAR(E4958)*100+MONTH(E4958)</f>
        <v>201111</v>
      </c>
      <c r="L4958" s="7" t="n">
        <f aca="false">IF(AND(A4958&lt;&gt;A4957,LEFT(A4958,1)&lt;&gt;"C"),1,0)</f>
        <v>0</v>
      </c>
    </row>
    <row r="4959" customFormat="false" ht="15" hidden="false" customHeight="false" outlineLevel="0" collapsed="false">
      <c r="A4959" s="0" t="s">
        <v>2945</v>
      </c>
      <c r="B4959" s="0" t="s">
        <v>991</v>
      </c>
      <c r="C4959" s="0" t="s">
        <v>992</v>
      </c>
      <c r="D4959" s="0" t="n">
        <v>48</v>
      </c>
      <c r="E4959" s="6" t="n">
        <v>40858.5659722222</v>
      </c>
      <c r="F4959" s="0" t="n">
        <v>0.42</v>
      </c>
      <c r="G4959" s="0" t="n">
        <v>12726</v>
      </c>
      <c r="H4959" s="0" t="s">
        <v>43</v>
      </c>
      <c r="I4959" s="7" t="n">
        <f aca="false">IF(AND(LEFT(A4959,1)&lt;&gt;"C",D4959&gt;0,F4959&gt;0),1,0)</f>
        <v>1</v>
      </c>
      <c r="J4959" s="7" t="n">
        <f aca="false">IF(I4959=1,D4959*F4959,0)</f>
        <v>20.16</v>
      </c>
      <c r="K4959" s="7" t="n">
        <f aca="false">YEAR(E4959)*100+MONTH(E4959)</f>
        <v>201111</v>
      </c>
      <c r="L4959" s="7" t="n">
        <f aca="false">IF(AND(A4959&lt;&gt;A4958,LEFT(A4959,1)&lt;&gt;"C"),1,0)</f>
        <v>0</v>
      </c>
    </row>
    <row r="4960" customFormat="false" ht="15" hidden="false" customHeight="false" outlineLevel="0" collapsed="false">
      <c r="A4960" s="0" t="s">
        <v>2945</v>
      </c>
      <c r="B4960" s="0" t="s">
        <v>2691</v>
      </c>
      <c r="C4960" s="0" t="s">
        <v>2692</v>
      </c>
      <c r="D4960" s="0" t="n">
        <v>20</v>
      </c>
      <c r="E4960" s="6" t="n">
        <v>40858.5659722222</v>
      </c>
      <c r="F4960" s="0" t="n">
        <v>0.42</v>
      </c>
      <c r="G4960" s="0" t="n">
        <v>12726</v>
      </c>
      <c r="H4960" s="0" t="s">
        <v>43</v>
      </c>
      <c r="I4960" s="7" t="n">
        <f aca="false">IF(AND(LEFT(A4960,1)&lt;&gt;"C",D4960&gt;0,F4960&gt;0),1,0)</f>
        <v>1</v>
      </c>
      <c r="J4960" s="7" t="n">
        <f aca="false">IF(I4960=1,D4960*F4960,0)</f>
        <v>8.4</v>
      </c>
      <c r="K4960" s="7" t="n">
        <f aca="false">YEAR(E4960)*100+MONTH(E4960)</f>
        <v>201111</v>
      </c>
      <c r="L4960" s="7" t="n">
        <f aca="false">IF(AND(A4960&lt;&gt;A4959,LEFT(A4960,1)&lt;&gt;"C"),1,0)</f>
        <v>0</v>
      </c>
    </row>
    <row r="4961" customFormat="false" ht="15" hidden="false" customHeight="false" outlineLevel="0" collapsed="false">
      <c r="A4961" s="0" t="s">
        <v>2945</v>
      </c>
      <c r="B4961" s="0" t="s">
        <v>2112</v>
      </c>
      <c r="C4961" s="0" t="s">
        <v>2113</v>
      </c>
      <c r="D4961" s="0" t="n">
        <v>4</v>
      </c>
      <c r="E4961" s="6" t="n">
        <v>40858.5659722222</v>
      </c>
      <c r="F4961" s="0" t="n">
        <v>3.75</v>
      </c>
      <c r="G4961" s="0" t="n">
        <v>12726</v>
      </c>
      <c r="H4961" s="0" t="s">
        <v>43</v>
      </c>
      <c r="I4961" s="7" t="n">
        <f aca="false">IF(AND(LEFT(A4961,1)&lt;&gt;"C",D4961&gt;0,F4961&gt;0),1,0)</f>
        <v>1</v>
      </c>
      <c r="J4961" s="7" t="n">
        <f aca="false">IF(I4961=1,D4961*F4961,0)</f>
        <v>15</v>
      </c>
      <c r="K4961" s="7" t="n">
        <f aca="false">YEAR(E4961)*100+MONTH(E4961)</f>
        <v>201111</v>
      </c>
      <c r="L4961" s="7" t="n">
        <f aca="false">IF(AND(A4961&lt;&gt;A4960,LEFT(A4961,1)&lt;&gt;"C"),1,0)</f>
        <v>0</v>
      </c>
    </row>
    <row r="4962" customFormat="false" ht="15" hidden="false" customHeight="false" outlineLevel="0" collapsed="false">
      <c r="A4962" s="0" t="s">
        <v>2945</v>
      </c>
      <c r="B4962" s="0" t="s">
        <v>2946</v>
      </c>
      <c r="C4962" s="0" t="s">
        <v>2947</v>
      </c>
      <c r="D4962" s="0" t="n">
        <v>4</v>
      </c>
      <c r="E4962" s="6" t="n">
        <v>40858.5659722222</v>
      </c>
      <c r="F4962" s="0" t="n">
        <v>3.75</v>
      </c>
      <c r="G4962" s="0" t="n">
        <v>12726</v>
      </c>
      <c r="H4962" s="0" t="s">
        <v>43</v>
      </c>
      <c r="I4962" s="7" t="n">
        <f aca="false">IF(AND(LEFT(A4962,1)&lt;&gt;"C",D4962&gt;0,F4962&gt;0),1,0)</f>
        <v>1</v>
      </c>
      <c r="J4962" s="7" t="n">
        <f aca="false">IF(I4962=1,D4962*F4962,0)</f>
        <v>15</v>
      </c>
      <c r="K4962" s="7" t="n">
        <f aca="false">YEAR(E4962)*100+MONTH(E4962)</f>
        <v>201111</v>
      </c>
      <c r="L4962" s="7" t="n">
        <f aca="false">IF(AND(A4962&lt;&gt;A4961,LEFT(A4962,1)&lt;&gt;"C"),1,0)</f>
        <v>0</v>
      </c>
    </row>
    <row r="4963" customFormat="false" ht="15" hidden="false" customHeight="false" outlineLevel="0" collapsed="false">
      <c r="A4963" s="0" t="s">
        <v>2945</v>
      </c>
      <c r="B4963" s="0" t="s">
        <v>2902</v>
      </c>
      <c r="C4963" s="0" t="s">
        <v>2903</v>
      </c>
      <c r="D4963" s="0" t="n">
        <v>36</v>
      </c>
      <c r="E4963" s="6" t="n">
        <v>40858.5659722222</v>
      </c>
      <c r="F4963" s="0" t="n">
        <v>0.85</v>
      </c>
      <c r="G4963" s="0" t="n">
        <v>12726</v>
      </c>
      <c r="H4963" s="0" t="s">
        <v>43</v>
      </c>
      <c r="I4963" s="7" t="n">
        <f aca="false">IF(AND(LEFT(A4963,1)&lt;&gt;"C",D4963&gt;0,F4963&gt;0),1,0)</f>
        <v>1</v>
      </c>
      <c r="J4963" s="7" t="n">
        <f aca="false">IF(I4963=1,D4963*F4963,0)</f>
        <v>30.6</v>
      </c>
      <c r="K4963" s="7" t="n">
        <f aca="false">YEAR(E4963)*100+MONTH(E4963)</f>
        <v>201111</v>
      </c>
      <c r="L4963" s="7" t="n">
        <f aca="false">IF(AND(A4963&lt;&gt;A4962,LEFT(A4963,1)&lt;&gt;"C"),1,0)</f>
        <v>0</v>
      </c>
    </row>
    <row r="4964" customFormat="false" ht="15" hidden="false" customHeight="false" outlineLevel="0" collapsed="false">
      <c r="A4964" s="0" t="s">
        <v>2945</v>
      </c>
      <c r="B4964" s="0" t="s">
        <v>586</v>
      </c>
      <c r="C4964" s="0" t="s">
        <v>587</v>
      </c>
      <c r="D4964" s="0" t="n">
        <v>24</v>
      </c>
      <c r="E4964" s="6" t="n">
        <v>40858.5659722222</v>
      </c>
      <c r="F4964" s="0" t="n">
        <v>1.25</v>
      </c>
      <c r="G4964" s="0" t="n">
        <v>12726</v>
      </c>
      <c r="H4964" s="0" t="s">
        <v>43</v>
      </c>
      <c r="I4964" s="7" t="n">
        <f aca="false">IF(AND(LEFT(A4964,1)&lt;&gt;"C",D4964&gt;0,F4964&gt;0),1,0)</f>
        <v>1</v>
      </c>
      <c r="J4964" s="7" t="n">
        <f aca="false">IF(I4964=1,D4964*F4964,0)</f>
        <v>30</v>
      </c>
      <c r="K4964" s="7" t="n">
        <f aca="false">YEAR(E4964)*100+MONTH(E4964)</f>
        <v>201111</v>
      </c>
      <c r="L4964" s="7" t="n">
        <f aca="false">IF(AND(A4964&lt;&gt;A4963,LEFT(A4964,1)&lt;&gt;"C"),1,0)</f>
        <v>0</v>
      </c>
    </row>
    <row r="4965" customFormat="false" ht="15" hidden="false" customHeight="false" outlineLevel="0" collapsed="false">
      <c r="A4965" s="0" t="s">
        <v>2945</v>
      </c>
      <c r="B4965" s="0" t="s">
        <v>125</v>
      </c>
      <c r="C4965" s="0" t="s">
        <v>126</v>
      </c>
      <c r="D4965" s="0" t="n">
        <v>24</v>
      </c>
      <c r="E4965" s="6" t="n">
        <v>40858.5659722222</v>
      </c>
      <c r="F4965" s="0" t="n">
        <v>1.25</v>
      </c>
      <c r="G4965" s="0" t="n">
        <v>12726</v>
      </c>
      <c r="H4965" s="0" t="s">
        <v>43</v>
      </c>
      <c r="I4965" s="7" t="n">
        <f aca="false">IF(AND(LEFT(A4965,1)&lt;&gt;"C",D4965&gt;0,F4965&gt;0),1,0)</f>
        <v>1</v>
      </c>
      <c r="J4965" s="7" t="n">
        <f aca="false">IF(I4965=1,D4965*F4965,0)</f>
        <v>30</v>
      </c>
      <c r="K4965" s="7" t="n">
        <f aca="false">YEAR(E4965)*100+MONTH(E4965)</f>
        <v>201111</v>
      </c>
      <c r="L4965" s="7" t="n">
        <f aca="false">IF(AND(A4965&lt;&gt;A4964,LEFT(A4965,1)&lt;&gt;"C"),1,0)</f>
        <v>0</v>
      </c>
    </row>
    <row r="4966" customFormat="false" ht="15" hidden="false" customHeight="false" outlineLevel="0" collapsed="false">
      <c r="A4966" s="0" t="s">
        <v>2945</v>
      </c>
      <c r="B4966" s="0" t="s">
        <v>2513</v>
      </c>
      <c r="C4966" s="0" t="s">
        <v>2514</v>
      </c>
      <c r="D4966" s="0" t="n">
        <v>24</v>
      </c>
      <c r="E4966" s="6" t="n">
        <v>40858.5659722222</v>
      </c>
      <c r="F4966" s="0" t="n">
        <v>1.25</v>
      </c>
      <c r="G4966" s="0" t="n">
        <v>12726</v>
      </c>
      <c r="H4966" s="0" t="s">
        <v>43</v>
      </c>
      <c r="I4966" s="7" t="n">
        <f aca="false">IF(AND(LEFT(A4966,1)&lt;&gt;"C",D4966&gt;0,F4966&gt;0),1,0)</f>
        <v>1</v>
      </c>
      <c r="J4966" s="7" t="n">
        <f aca="false">IF(I4966=1,D4966*F4966,0)</f>
        <v>30</v>
      </c>
      <c r="K4966" s="7" t="n">
        <f aca="false">YEAR(E4966)*100+MONTH(E4966)</f>
        <v>201111</v>
      </c>
      <c r="L4966" s="7" t="n">
        <f aca="false">IF(AND(A4966&lt;&gt;A4965,LEFT(A4966,1)&lt;&gt;"C"),1,0)</f>
        <v>0</v>
      </c>
    </row>
    <row r="4967" customFormat="false" ht="15" hidden="false" customHeight="false" outlineLevel="0" collapsed="false">
      <c r="A4967" s="0" t="s">
        <v>2945</v>
      </c>
      <c r="B4967" s="0" t="s">
        <v>616</v>
      </c>
      <c r="C4967" s="0" t="s">
        <v>617</v>
      </c>
      <c r="D4967" s="0" t="n">
        <v>24</v>
      </c>
      <c r="E4967" s="6" t="n">
        <v>40858.5659722222</v>
      </c>
      <c r="F4967" s="0" t="n">
        <v>1.25</v>
      </c>
      <c r="G4967" s="0" t="n">
        <v>12726</v>
      </c>
      <c r="H4967" s="0" t="s">
        <v>43</v>
      </c>
      <c r="I4967" s="7" t="n">
        <f aca="false">IF(AND(LEFT(A4967,1)&lt;&gt;"C",D4967&gt;0,F4967&gt;0),1,0)</f>
        <v>1</v>
      </c>
      <c r="J4967" s="7" t="n">
        <f aca="false">IF(I4967=1,D4967*F4967,0)</f>
        <v>30</v>
      </c>
      <c r="K4967" s="7" t="n">
        <f aca="false">YEAR(E4967)*100+MONTH(E4967)</f>
        <v>201111</v>
      </c>
      <c r="L4967" s="7" t="n">
        <f aca="false">IF(AND(A4967&lt;&gt;A4966,LEFT(A4967,1)&lt;&gt;"C"),1,0)</f>
        <v>0</v>
      </c>
    </row>
    <row r="4968" customFormat="false" ht="15" hidden="false" customHeight="false" outlineLevel="0" collapsed="false">
      <c r="A4968" s="0" t="s">
        <v>2945</v>
      </c>
      <c r="B4968" s="0" t="s">
        <v>131</v>
      </c>
      <c r="C4968" s="0" t="s">
        <v>132</v>
      </c>
      <c r="D4968" s="0" t="n">
        <v>8</v>
      </c>
      <c r="E4968" s="6" t="n">
        <v>40858.5659722222</v>
      </c>
      <c r="F4968" s="0" t="n">
        <v>1.65</v>
      </c>
      <c r="G4968" s="0" t="n">
        <v>12726</v>
      </c>
      <c r="H4968" s="0" t="s">
        <v>43</v>
      </c>
      <c r="I4968" s="7" t="n">
        <f aca="false">IF(AND(LEFT(A4968,1)&lt;&gt;"C",D4968&gt;0,F4968&gt;0),1,0)</f>
        <v>1</v>
      </c>
      <c r="J4968" s="7" t="n">
        <f aca="false">IF(I4968=1,D4968*F4968,0)</f>
        <v>13.2</v>
      </c>
      <c r="K4968" s="7" t="n">
        <f aca="false">YEAR(E4968)*100+MONTH(E4968)</f>
        <v>201111</v>
      </c>
      <c r="L4968" s="7" t="n">
        <f aca="false">IF(AND(A4968&lt;&gt;A4967,LEFT(A4968,1)&lt;&gt;"C"),1,0)</f>
        <v>0</v>
      </c>
    </row>
    <row r="4969" customFormat="false" ht="15" hidden="false" customHeight="false" outlineLevel="0" collapsed="false">
      <c r="A4969" s="0" t="s">
        <v>2945</v>
      </c>
      <c r="B4969" s="0" t="s">
        <v>199</v>
      </c>
      <c r="C4969" s="0" t="s">
        <v>200</v>
      </c>
      <c r="D4969" s="0" t="n">
        <v>24</v>
      </c>
      <c r="E4969" s="6" t="n">
        <v>40858.5659722222</v>
      </c>
      <c r="F4969" s="0" t="n">
        <v>0.85</v>
      </c>
      <c r="G4969" s="0" t="n">
        <v>12726</v>
      </c>
      <c r="H4969" s="0" t="s">
        <v>43</v>
      </c>
      <c r="I4969" s="7" t="n">
        <f aca="false">IF(AND(LEFT(A4969,1)&lt;&gt;"C",D4969&gt;0,F4969&gt;0),1,0)</f>
        <v>1</v>
      </c>
      <c r="J4969" s="7" t="n">
        <f aca="false">IF(I4969=1,D4969*F4969,0)</f>
        <v>20.4</v>
      </c>
      <c r="K4969" s="7" t="n">
        <f aca="false">YEAR(E4969)*100+MONTH(E4969)</f>
        <v>201111</v>
      </c>
      <c r="L4969" s="7" t="n">
        <f aca="false">IF(AND(A4969&lt;&gt;A4968,LEFT(A4969,1)&lt;&gt;"C"),1,0)</f>
        <v>0</v>
      </c>
    </row>
    <row r="4970" customFormat="false" ht="15" hidden="false" customHeight="false" outlineLevel="0" collapsed="false">
      <c r="A4970" s="0" t="s">
        <v>2945</v>
      </c>
      <c r="B4970" s="0" t="s">
        <v>117</v>
      </c>
      <c r="C4970" s="0" t="s">
        <v>118</v>
      </c>
      <c r="D4970" s="0" t="n">
        <v>24</v>
      </c>
      <c r="E4970" s="6" t="n">
        <v>40858.5659722222</v>
      </c>
      <c r="F4970" s="0" t="n">
        <v>0.85</v>
      </c>
      <c r="G4970" s="0" t="n">
        <v>12726</v>
      </c>
      <c r="H4970" s="0" t="s">
        <v>43</v>
      </c>
      <c r="I4970" s="7" t="n">
        <f aca="false">IF(AND(LEFT(A4970,1)&lt;&gt;"C",D4970&gt;0,F4970&gt;0),1,0)</f>
        <v>1</v>
      </c>
      <c r="J4970" s="7" t="n">
        <f aca="false">IF(I4970=1,D4970*F4970,0)</f>
        <v>20.4</v>
      </c>
      <c r="K4970" s="7" t="n">
        <f aca="false">YEAR(E4970)*100+MONTH(E4970)</f>
        <v>201111</v>
      </c>
      <c r="L4970" s="7" t="n">
        <f aca="false">IF(AND(A4970&lt;&gt;A4969,LEFT(A4970,1)&lt;&gt;"C"),1,0)</f>
        <v>0</v>
      </c>
    </row>
    <row r="4971" customFormat="false" ht="15" hidden="false" customHeight="false" outlineLevel="0" collapsed="false">
      <c r="A4971" s="0" t="s">
        <v>2945</v>
      </c>
      <c r="B4971" s="0" t="s">
        <v>977</v>
      </c>
      <c r="C4971" s="0" t="s">
        <v>978</v>
      </c>
      <c r="D4971" s="0" t="n">
        <v>10</v>
      </c>
      <c r="E4971" s="6" t="n">
        <v>40858.5659722222</v>
      </c>
      <c r="F4971" s="0" t="n">
        <v>1.65</v>
      </c>
      <c r="G4971" s="0" t="n">
        <v>12726</v>
      </c>
      <c r="H4971" s="0" t="s">
        <v>43</v>
      </c>
      <c r="I4971" s="7" t="n">
        <f aca="false">IF(AND(LEFT(A4971,1)&lt;&gt;"C",D4971&gt;0,F4971&gt;0),1,0)</f>
        <v>1</v>
      </c>
      <c r="J4971" s="7" t="n">
        <f aca="false">IF(I4971=1,D4971*F4971,0)</f>
        <v>16.5</v>
      </c>
      <c r="K4971" s="7" t="n">
        <f aca="false">YEAR(E4971)*100+MONTH(E4971)</f>
        <v>201111</v>
      </c>
      <c r="L4971" s="7" t="n">
        <f aca="false">IF(AND(A4971&lt;&gt;A4970,LEFT(A4971,1)&lt;&gt;"C"),1,0)</f>
        <v>0</v>
      </c>
    </row>
    <row r="4972" customFormat="false" ht="15" hidden="false" customHeight="false" outlineLevel="0" collapsed="false">
      <c r="A4972" s="0" t="s">
        <v>2945</v>
      </c>
      <c r="B4972" s="0" t="s">
        <v>461</v>
      </c>
      <c r="C4972" s="0" t="s">
        <v>462</v>
      </c>
      <c r="D4972" s="0" t="n">
        <v>12</v>
      </c>
      <c r="E4972" s="6" t="n">
        <v>40858.5659722222</v>
      </c>
      <c r="F4972" s="0" t="n">
        <v>1.45</v>
      </c>
      <c r="G4972" s="0" t="n">
        <v>12726</v>
      </c>
      <c r="H4972" s="0" t="s">
        <v>43</v>
      </c>
      <c r="I4972" s="7" t="n">
        <f aca="false">IF(AND(LEFT(A4972,1)&lt;&gt;"C",D4972&gt;0,F4972&gt;0),1,0)</f>
        <v>1</v>
      </c>
      <c r="J4972" s="7" t="n">
        <f aca="false">IF(I4972=1,D4972*F4972,0)</f>
        <v>17.4</v>
      </c>
      <c r="K4972" s="7" t="n">
        <f aca="false">YEAR(E4972)*100+MONTH(E4972)</f>
        <v>201111</v>
      </c>
      <c r="L4972" s="7" t="n">
        <f aca="false">IF(AND(A4972&lt;&gt;A4971,LEFT(A4972,1)&lt;&gt;"C"),1,0)</f>
        <v>0</v>
      </c>
    </row>
    <row r="4973" customFormat="false" ht="15" hidden="false" customHeight="false" outlineLevel="0" collapsed="false">
      <c r="A4973" s="0" t="s">
        <v>2945</v>
      </c>
      <c r="B4973" s="0" t="s">
        <v>457</v>
      </c>
      <c r="C4973" s="0" t="s">
        <v>458</v>
      </c>
      <c r="D4973" s="0" t="n">
        <v>12</v>
      </c>
      <c r="E4973" s="6" t="n">
        <v>40858.5659722222</v>
      </c>
      <c r="F4973" s="0" t="n">
        <v>1.25</v>
      </c>
      <c r="G4973" s="0" t="n">
        <v>12726</v>
      </c>
      <c r="H4973" s="0" t="s">
        <v>43</v>
      </c>
      <c r="I4973" s="7" t="n">
        <f aca="false">IF(AND(LEFT(A4973,1)&lt;&gt;"C",D4973&gt;0,F4973&gt;0),1,0)</f>
        <v>1</v>
      </c>
      <c r="J4973" s="7" t="n">
        <f aca="false">IF(I4973=1,D4973*F4973,0)</f>
        <v>15</v>
      </c>
      <c r="K4973" s="7" t="n">
        <f aca="false">YEAR(E4973)*100+MONTH(E4973)</f>
        <v>201111</v>
      </c>
      <c r="L4973" s="7" t="n">
        <f aca="false">IF(AND(A4973&lt;&gt;A4972,LEFT(A4973,1)&lt;&gt;"C"),1,0)</f>
        <v>0</v>
      </c>
    </row>
    <row r="4974" customFormat="false" ht="15" hidden="false" customHeight="false" outlineLevel="0" collapsed="false">
      <c r="A4974" s="0" t="s">
        <v>2945</v>
      </c>
      <c r="B4974" s="0" t="s">
        <v>2056</v>
      </c>
      <c r="C4974" s="0" t="s">
        <v>2057</v>
      </c>
      <c r="D4974" s="0" t="n">
        <v>4</v>
      </c>
      <c r="E4974" s="6" t="n">
        <v>40858.5659722222</v>
      </c>
      <c r="F4974" s="0" t="n">
        <v>3.75</v>
      </c>
      <c r="G4974" s="0" t="n">
        <v>12726</v>
      </c>
      <c r="H4974" s="0" t="s">
        <v>43</v>
      </c>
      <c r="I4974" s="7" t="n">
        <f aca="false">IF(AND(LEFT(A4974,1)&lt;&gt;"C",D4974&gt;0,F4974&gt;0),1,0)</f>
        <v>1</v>
      </c>
      <c r="J4974" s="7" t="n">
        <f aca="false">IF(I4974=1,D4974*F4974,0)</f>
        <v>15</v>
      </c>
      <c r="K4974" s="7" t="n">
        <f aca="false">YEAR(E4974)*100+MONTH(E4974)</f>
        <v>201111</v>
      </c>
      <c r="L4974" s="7" t="n">
        <f aca="false">IF(AND(A4974&lt;&gt;A4973,LEFT(A4974,1)&lt;&gt;"C"),1,0)</f>
        <v>0</v>
      </c>
    </row>
    <row r="4975" customFormat="false" ht="15" hidden="false" customHeight="false" outlineLevel="0" collapsed="false">
      <c r="A4975" s="0" t="s">
        <v>2945</v>
      </c>
      <c r="B4975" s="0" t="s">
        <v>643</v>
      </c>
      <c r="C4975" s="0" t="s">
        <v>644</v>
      </c>
      <c r="D4975" s="0" t="n">
        <v>6</v>
      </c>
      <c r="E4975" s="6" t="n">
        <v>40858.5659722222</v>
      </c>
      <c r="F4975" s="0" t="n">
        <v>3.75</v>
      </c>
      <c r="G4975" s="0" t="n">
        <v>12726</v>
      </c>
      <c r="H4975" s="0" t="s">
        <v>43</v>
      </c>
      <c r="I4975" s="7" t="n">
        <f aca="false">IF(AND(LEFT(A4975,1)&lt;&gt;"C",D4975&gt;0,F4975&gt;0),1,0)</f>
        <v>1</v>
      </c>
      <c r="J4975" s="7" t="n">
        <f aca="false">IF(I4975=1,D4975*F4975,0)</f>
        <v>22.5</v>
      </c>
      <c r="K4975" s="7" t="n">
        <f aca="false">YEAR(E4975)*100+MONTH(E4975)</f>
        <v>201111</v>
      </c>
      <c r="L4975" s="7" t="n">
        <f aca="false">IF(AND(A4975&lt;&gt;A4974,LEFT(A4975,1)&lt;&gt;"C"),1,0)</f>
        <v>0</v>
      </c>
    </row>
    <row r="4976" customFormat="false" ht="15" hidden="false" customHeight="false" outlineLevel="0" collapsed="false">
      <c r="A4976" s="0" t="s">
        <v>2945</v>
      </c>
      <c r="B4976" s="0" t="s">
        <v>2948</v>
      </c>
      <c r="C4976" s="0" t="s">
        <v>2949</v>
      </c>
      <c r="D4976" s="0" t="n">
        <v>4</v>
      </c>
      <c r="E4976" s="6" t="n">
        <v>40858.5659722222</v>
      </c>
      <c r="F4976" s="0" t="n">
        <v>3.75</v>
      </c>
      <c r="G4976" s="0" t="n">
        <v>12726</v>
      </c>
      <c r="H4976" s="0" t="s">
        <v>43</v>
      </c>
      <c r="I4976" s="7" t="n">
        <f aca="false">IF(AND(LEFT(A4976,1)&lt;&gt;"C",D4976&gt;0,F4976&gt;0),1,0)</f>
        <v>1</v>
      </c>
      <c r="J4976" s="7" t="n">
        <f aca="false">IF(I4976=1,D4976*F4976,0)</f>
        <v>15</v>
      </c>
      <c r="K4976" s="7" t="n">
        <f aca="false">YEAR(E4976)*100+MONTH(E4976)</f>
        <v>201111</v>
      </c>
      <c r="L4976" s="7" t="n">
        <f aca="false">IF(AND(A4976&lt;&gt;A4975,LEFT(A4976,1)&lt;&gt;"C"),1,0)</f>
        <v>0</v>
      </c>
    </row>
    <row r="4977" customFormat="false" ht="15" hidden="false" customHeight="false" outlineLevel="0" collapsed="false">
      <c r="A4977" s="0" t="s">
        <v>2945</v>
      </c>
      <c r="B4977" s="0" t="s">
        <v>84</v>
      </c>
      <c r="C4977" s="0" t="s">
        <v>85</v>
      </c>
      <c r="D4977" s="0" t="n">
        <v>3</v>
      </c>
      <c r="E4977" s="6" t="n">
        <v>40858.5659722222</v>
      </c>
      <c r="F4977" s="0" t="n">
        <v>18</v>
      </c>
      <c r="G4977" s="0" t="n">
        <v>12726</v>
      </c>
      <c r="H4977" s="0" t="s">
        <v>43</v>
      </c>
      <c r="I4977" s="7" t="n">
        <f aca="false">IF(AND(LEFT(A4977,1)&lt;&gt;"C",D4977&gt;0,F4977&gt;0),1,0)</f>
        <v>1</v>
      </c>
      <c r="J4977" s="7" t="n">
        <f aca="false">IF(I4977=1,D4977*F4977,0)</f>
        <v>54</v>
      </c>
      <c r="K4977" s="7" t="n">
        <f aca="false">YEAR(E4977)*100+MONTH(E4977)</f>
        <v>201111</v>
      </c>
      <c r="L4977" s="7" t="n">
        <f aca="false">IF(AND(A4977&lt;&gt;A4976,LEFT(A4977,1)&lt;&gt;"C"),1,0)</f>
        <v>0</v>
      </c>
    </row>
    <row r="4978" customFormat="false" ht="15" hidden="false" customHeight="false" outlineLevel="0" collapsed="false">
      <c r="A4978" s="0" t="s">
        <v>2950</v>
      </c>
      <c r="B4978" s="0" t="s">
        <v>2951</v>
      </c>
      <c r="C4978" s="0" t="s">
        <v>2952</v>
      </c>
      <c r="D4978" s="0" t="n">
        <v>8</v>
      </c>
      <c r="E4978" s="6" t="n">
        <v>40858.5736111111</v>
      </c>
      <c r="F4978" s="0" t="n">
        <v>7.95</v>
      </c>
      <c r="G4978" s="0" t="n">
        <v>12685</v>
      </c>
      <c r="H4978" s="0" t="s">
        <v>43</v>
      </c>
      <c r="I4978" s="7" t="n">
        <f aca="false">IF(AND(LEFT(A4978,1)&lt;&gt;"C",D4978&gt;0,F4978&gt;0),1,0)</f>
        <v>1</v>
      </c>
      <c r="J4978" s="7" t="n">
        <f aca="false">IF(I4978=1,D4978*F4978,0)</f>
        <v>63.6</v>
      </c>
      <c r="K4978" s="7" t="n">
        <f aca="false">YEAR(E4978)*100+MONTH(E4978)</f>
        <v>201111</v>
      </c>
      <c r="L4978" s="7" t="n">
        <f aca="false">IF(AND(A4978&lt;&gt;A4977,LEFT(A4978,1)&lt;&gt;"C"),1,0)</f>
        <v>1</v>
      </c>
    </row>
    <row r="4979" customFormat="false" ht="15" hidden="false" customHeight="false" outlineLevel="0" collapsed="false">
      <c r="A4979" s="0" t="s">
        <v>2950</v>
      </c>
      <c r="B4979" s="0" t="s">
        <v>2953</v>
      </c>
      <c r="C4979" s="0" t="s">
        <v>2954</v>
      </c>
      <c r="D4979" s="0" t="n">
        <v>12</v>
      </c>
      <c r="E4979" s="6" t="n">
        <v>40858.5736111111</v>
      </c>
      <c r="F4979" s="0" t="n">
        <v>0.79</v>
      </c>
      <c r="G4979" s="0" t="n">
        <v>12685</v>
      </c>
      <c r="H4979" s="0" t="s">
        <v>43</v>
      </c>
      <c r="I4979" s="7" t="n">
        <f aca="false">IF(AND(LEFT(A4979,1)&lt;&gt;"C",D4979&gt;0,F4979&gt;0),1,0)</f>
        <v>1</v>
      </c>
      <c r="J4979" s="7" t="n">
        <f aca="false">IF(I4979=1,D4979*F4979,0)</f>
        <v>9.48</v>
      </c>
      <c r="K4979" s="7" t="n">
        <f aca="false">YEAR(E4979)*100+MONTH(E4979)</f>
        <v>201111</v>
      </c>
      <c r="L4979" s="7" t="n">
        <f aca="false">IF(AND(A4979&lt;&gt;A4978,LEFT(A4979,1)&lt;&gt;"C"),1,0)</f>
        <v>0</v>
      </c>
    </row>
    <row r="4980" customFormat="false" ht="15" hidden="false" customHeight="false" outlineLevel="0" collapsed="false">
      <c r="A4980" s="0" t="s">
        <v>2950</v>
      </c>
      <c r="B4980" s="0" t="s">
        <v>2955</v>
      </c>
      <c r="C4980" s="0" t="s">
        <v>2956</v>
      </c>
      <c r="D4980" s="0" t="n">
        <v>8</v>
      </c>
      <c r="E4980" s="6" t="n">
        <v>40858.5736111111</v>
      </c>
      <c r="F4980" s="0" t="n">
        <v>1.95</v>
      </c>
      <c r="G4980" s="0" t="n">
        <v>12685</v>
      </c>
      <c r="H4980" s="0" t="s">
        <v>43</v>
      </c>
      <c r="I4980" s="7" t="n">
        <f aca="false">IF(AND(LEFT(A4980,1)&lt;&gt;"C",D4980&gt;0,F4980&gt;0),1,0)</f>
        <v>1</v>
      </c>
      <c r="J4980" s="7" t="n">
        <f aca="false">IF(I4980=1,D4980*F4980,0)</f>
        <v>15.6</v>
      </c>
      <c r="K4980" s="7" t="n">
        <f aca="false">YEAR(E4980)*100+MONTH(E4980)</f>
        <v>201111</v>
      </c>
      <c r="L4980" s="7" t="n">
        <f aca="false">IF(AND(A4980&lt;&gt;A4979,LEFT(A4980,1)&lt;&gt;"C"),1,0)</f>
        <v>0</v>
      </c>
    </row>
    <row r="4981" customFormat="false" ht="15" hidden="false" customHeight="false" outlineLevel="0" collapsed="false">
      <c r="A4981" s="0" t="s">
        <v>2950</v>
      </c>
      <c r="B4981" s="0" t="s">
        <v>2587</v>
      </c>
      <c r="C4981" s="0" t="s">
        <v>2588</v>
      </c>
      <c r="D4981" s="0" t="n">
        <v>12</v>
      </c>
      <c r="E4981" s="6" t="n">
        <v>40858.5736111111</v>
      </c>
      <c r="F4981" s="0" t="n">
        <v>0.85</v>
      </c>
      <c r="G4981" s="0" t="n">
        <v>12685</v>
      </c>
      <c r="H4981" s="0" t="s">
        <v>43</v>
      </c>
      <c r="I4981" s="7" t="n">
        <f aca="false">IF(AND(LEFT(A4981,1)&lt;&gt;"C",D4981&gt;0,F4981&gt;0),1,0)</f>
        <v>1</v>
      </c>
      <c r="J4981" s="7" t="n">
        <f aca="false">IF(I4981=1,D4981*F4981,0)</f>
        <v>10.2</v>
      </c>
      <c r="K4981" s="7" t="n">
        <f aca="false">YEAR(E4981)*100+MONTH(E4981)</f>
        <v>201111</v>
      </c>
      <c r="L4981" s="7" t="n">
        <f aca="false">IF(AND(A4981&lt;&gt;A4980,LEFT(A4981,1)&lt;&gt;"C"),1,0)</f>
        <v>0</v>
      </c>
    </row>
    <row r="4982" customFormat="false" ht="15" hidden="false" customHeight="false" outlineLevel="0" collapsed="false">
      <c r="A4982" s="0" t="s">
        <v>2950</v>
      </c>
      <c r="B4982" s="0" t="s">
        <v>1519</v>
      </c>
      <c r="C4982" s="0" t="s">
        <v>1520</v>
      </c>
      <c r="D4982" s="0" t="n">
        <v>12</v>
      </c>
      <c r="E4982" s="6" t="n">
        <v>40858.5736111111</v>
      </c>
      <c r="F4982" s="0" t="n">
        <v>0.83</v>
      </c>
      <c r="G4982" s="0" t="n">
        <v>12685</v>
      </c>
      <c r="H4982" s="0" t="s">
        <v>43</v>
      </c>
      <c r="I4982" s="7" t="n">
        <f aca="false">IF(AND(LEFT(A4982,1)&lt;&gt;"C",D4982&gt;0,F4982&gt;0),1,0)</f>
        <v>1</v>
      </c>
      <c r="J4982" s="7" t="n">
        <f aca="false">IF(I4982=1,D4982*F4982,0)</f>
        <v>9.96</v>
      </c>
      <c r="K4982" s="7" t="n">
        <f aca="false">YEAR(E4982)*100+MONTH(E4982)</f>
        <v>201111</v>
      </c>
      <c r="L4982" s="7" t="n">
        <f aca="false">IF(AND(A4982&lt;&gt;A4981,LEFT(A4982,1)&lt;&gt;"C"),1,0)</f>
        <v>0</v>
      </c>
    </row>
    <row r="4983" customFormat="false" ht="15" hidden="false" customHeight="false" outlineLevel="0" collapsed="false">
      <c r="A4983" s="0" t="s">
        <v>2950</v>
      </c>
      <c r="B4983" s="0" t="s">
        <v>2211</v>
      </c>
      <c r="C4983" s="0" t="s">
        <v>2212</v>
      </c>
      <c r="D4983" s="0" t="n">
        <v>12</v>
      </c>
      <c r="E4983" s="6" t="n">
        <v>40858.5736111111</v>
      </c>
      <c r="F4983" s="0" t="n">
        <v>1.25</v>
      </c>
      <c r="G4983" s="0" t="n">
        <v>12685</v>
      </c>
      <c r="H4983" s="0" t="s">
        <v>43</v>
      </c>
      <c r="I4983" s="7" t="n">
        <f aca="false">IF(AND(LEFT(A4983,1)&lt;&gt;"C",D4983&gt;0,F4983&gt;0),1,0)</f>
        <v>1</v>
      </c>
      <c r="J4983" s="7" t="n">
        <f aca="false">IF(I4983=1,D4983*F4983,0)</f>
        <v>15</v>
      </c>
      <c r="K4983" s="7" t="n">
        <f aca="false">YEAR(E4983)*100+MONTH(E4983)</f>
        <v>201111</v>
      </c>
      <c r="L4983" s="7" t="n">
        <f aca="false">IF(AND(A4983&lt;&gt;A4982,LEFT(A4983,1)&lt;&gt;"C"),1,0)</f>
        <v>0</v>
      </c>
    </row>
    <row r="4984" customFormat="false" ht="15" hidden="false" customHeight="false" outlineLevel="0" collapsed="false">
      <c r="A4984" s="0" t="s">
        <v>2950</v>
      </c>
      <c r="B4984" s="0" t="s">
        <v>2957</v>
      </c>
      <c r="C4984" s="0" t="s">
        <v>2958</v>
      </c>
      <c r="D4984" s="0" t="n">
        <v>24</v>
      </c>
      <c r="E4984" s="6" t="n">
        <v>40858.5736111111</v>
      </c>
      <c r="F4984" s="0" t="n">
        <v>0.29</v>
      </c>
      <c r="G4984" s="0" t="n">
        <v>12685</v>
      </c>
      <c r="H4984" s="0" t="s">
        <v>43</v>
      </c>
      <c r="I4984" s="7" t="n">
        <f aca="false">IF(AND(LEFT(A4984,1)&lt;&gt;"C",D4984&gt;0,F4984&gt;0),1,0)</f>
        <v>1</v>
      </c>
      <c r="J4984" s="7" t="n">
        <f aca="false">IF(I4984=1,D4984*F4984,0)</f>
        <v>6.96</v>
      </c>
      <c r="K4984" s="7" t="n">
        <f aca="false">YEAR(E4984)*100+MONTH(E4984)</f>
        <v>201111</v>
      </c>
      <c r="L4984" s="7" t="n">
        <f aca="false">IF(AND(A4984&lt;&gt;A4983,LEFT(A4984,1)&lt;&gt;"C"),1,0)</f>
        <v>0</v>
      </c>
    </row>
    <row r="4985" customFormat="false" ht="15" hidden="false" customHeight="false" outlineLevel="0" collapsed="false">
      <c r="A4985" s="0" t="s">
        <v>2950</v>
      </c>
      <c r="B4985" s="0" t="s">
        <v>697</v>
      </c>
      <c r="C4985" s="0" t="s">
        <v>698</v>
      </c>
      <c r="D4985" s="0" t="n">
        <v>12</v>
      </c>
      <c r="E4985" s="6" t="n">
        <v>40858.5736111111</v>
      </c>
      <c r="F4985" s="0" t="n">
        <v>1.69</v>
      </c>
      <c r="G4985" s="0" t="n">
        <v>12685</v>
      </c>
      <c r="H4985" s="0" t="s">
        <v>43</v>
      </c>
      <c r="I4985" s="7" t="n">
        <f aca="false">IF(AND(LEFT(A4985,1)&lt;&gt;"C",D4985&gt;0,F4985&gt;0),1,0)</f>
        <v>1</v>
      </c>
      <c r="J4985" s="7" t="n">
        <f aca="false">IF(I4985=1,D4985*F4985,0)</f>
        <v>20.28</v>
      </c>
      <c r="K4985" s="7" t="n">
        <f aca="false">YEAR(E4985)*100+MONTH(E4985)</f>
        <v>201111</v>
      </c>
      <c r="L4985" s="7" t="n">
        <f aca="false">IF(AND(A4985&lt;&gt;A4984,LEFT(A4985,1)&lt;&gt;"C"),1,0)</f>
        <v>0</v>
      </c>
    </row>
    <row r="4986" customFormat="false" ht="15" hidden="false" customHeight="false" outlineLevel="0" collapsed="false">
      <c r="A4986" s="0" t="s">
        <v>2950</v>
      </c>
      <c r="B4986" s="0" t="s">
        <v>62</v>
      </c>
      <c r="C4986" s="0" t="s">
        <v>63</v>
      </c>
      <c r="D4986" s="0" t="n">
        <v>6</v>
      </c>
      <c r="E4986" s="6" t="n">
        <v>40858.5736111111</v>
      </c>
      <c r="F4986" s="0" t="n">
        <v>2.08</v>
      </c>
      <c r="G4986" s="0" t="n">
        <v>12685</v>
      </c>
      <c r="H4986" s="0" t="s">
        <v>43</v>
      </c>
      <c r="I4986" s="7" t="n">
        <f aca="false">IF(AND(LEFT(A4986,1)&lt;&gt;"C",D4986&gt;0,F4986&gt;0),1,0)</f>
        <v>1</v>
      </c>
      <c r="J4986" s="7" t="n">
        <f aca="false">IF(I4986=1,D4986*F4986,0)</f>
        <v>12.48</v>
      </c>
      <c r="K4986" s="7" t="n">
        <f aca="false">YEAR(E4986)*100+MONTH(E4986)</f>
        <v>201111</v>
      </c>
      <c r="L4986" s="7" t="n">
        <f aca="false">IF(AND(A4986&lt;&gt;A4985,LEFT(A4986,1)&lt;&gt;"C"),1,0)</f>
        <v>0</v>
      </c>
    </row>
    <row r="4987" customFormat="false" ht="15" hidden="false" customHeight="false" outlineLevel="0" collapsed="false">
      <c r="A4987" s="0" t="s">
        <v>2950</v>
      </c>
      <c r="B4987" s="0" t="s">
        <v>2573</v>
      </c>
      <c r="C4987" s="0" t="s">
        <v>2574</v>
      </c>
      <c r="D4987" s="0" t="n">
        <v>4</v>
      </c>
      <c r="E4987" s="6" t="n">
        <v>40858.5736111111</v>
      </c>
      <c r="F4987" s="0" t="n">
        <v>3.75</v>
      </c>
      <c r="G4987" s="0" t="n">
        <v>12685</v>
      </c>
      <c r="H4987" s="0" t="s">
        <v>43</v>
      </c>
      <c r="I4987" s="7" t="n">
        <f aca="false">IF(AND(LEFT(A4987,1)&lt;&gt;"C",D4987&gt;0,F4987&gt;0),1,0)</f>
        <v>1</v>
      </c>
      <c r="J4987" s="7" t="n">
        <f aca="false">IF(I4987=1,D4987*F4987,0)</f>
        <v>15</v>
      </c>
      <c r="K4987" s="7" t="n">
        <f aca="false">YEAR(E4987)*100+MONTH(E4987)</f>
        <v>201111</v>
      </c>
      <c r="L4987" s="7" t="n">
        <f aca="false">IF(AND(A4987&lt;&gt;A4986,LEFT(A4987,1)&lt;&gt;"C"),1,0)</f>
        <v>0</v>
      </c>
    </row>
    <row r="4988" customFormat="false" ht="15" hidden="false" customHeight="false" outlineLevel="0" collapsed="false">
      <c r="A4988" s="0" t="s">
        <v>2950</v>
      </c>
      <c r="B4988" s="0" t="s">
        <v>517</v>
      </c>
      <c r="C4988" s="0" t="s">
        <v>518</v>
      </c>
      <c r="D4988" s="0" t="n">
        <v>10</v>
      </c>
      <c r="E4988" s="6" t="n">
        <v>40858.5736111111</v>
      </c>
      <c r="F4988" s="0" t="n">
        <v>2.08</v>
      </c>
      <c r="G4988" s="0" t="n">
        <v>12685</v>
      </c>
      <c r="H4988" s="0" t="s">
        <v>43</v>
      </c>
      <c r="I4988" s="7" t="n">
        <f aca="false">IF(AND(LEFT(A4988,1)&lt;&gt;"C",D4988&gt;0,F4988&gt;0),1,0)</f>
        <v>1</v>
      </c>
      <c r="J4988" s="7" t="n">
        <f aca="false">IF(I4988=1,D4988*F4988,0)</f>
        <v>20.8</v>
      </c>
      <c r="K4988" s="7" t="n">
        <f aca="false">YEAR(E4988)*100+MONTH(E4988)</f>
        <v>201111</v>
      </c>
      <c r="L4988" s="7" t="n">
        <f aca="false">IF(AND(A4988&lt;&gt;A4987,LEFT(A4988,1)&lt;&gt;"C"),1,0)</f>
        <v>0</v>
      </c>
    </row>
    <row r="4989" customFormat="false" ht="15" hidden="false" customHeight="false" outlineLevel="0" collapsed="false">
      <c r="A4989" s="0" t="s">
        <v>2950</v>
      </c>
      <c r="B4989" s="0" t="s">
        <v>567</v>
      </c>
      <c r="C4989" s="0" t="s">
        <v>568</v>
      </c>
      <c r="D4989" s="0" t="n">
        <v>10</v>
      </c>
      <c r="E4989" s="6" t="n">
        <v>40858.5736111111</v>
      </c>
      <c r="F4989" s="0" t="n">
        <v>1.65</v>
      </c>
      <c r="G4989" s="0" t="n">
        <v>12685</v>
      </c>
      <c r="H4989" s="0" t="s">
        <v>43</v>
      </c>
      <c r="I4989" s="7" t="n">
        <f aca="false">IF(AND(LEFT(A4989,1)&lt;&gt;"C",D4989&gt;0,F4989&gt;0),1,0)</f>
        <v>1</v>
      </c>
      <c r="J4989" s="7" t="n">
        <f aca="false">IF(I4989=1,D4989*F4989,0)</f>
        <v>16.5</v>
      </c>
      <c r="K4989" s="7" t="n">
        <f aca="false">YEAR(E4989)*100+MONTH(E4989)</f>
        <v>201111</v>
      </c>
      <c r="L4989" s="7" t="n">
        <f aca="false">IF(AND(A4989&lt;&gt;A4988,LEFT(A4989,1)&lt;&gt;"C"),1,0)</f>
        <v>0</v>
      </c>
    </row>
    <row r="4990" customFormat="false" ht="15" hidden="false" customHeight="false" outlineLevel="0" collapsed="false">
      <c r="A4990" s="0" t="s">
        <v>2950</v>
      </c>
      <c r="B4990" s="0" t="s">
        <v>2959</v>
      </c>
      <c r="C4990" s="0" t="s">
        <v>2960</v>
      </c>
      <c r="D4990" s="0" t="n">
        <v>8</v>
      </c>
      <c r="E4990" s="6" t="n">
        <v>40858.5736111111</v>
      </c>
      <c r="F4990" s="0" t="n">
        <v>1.69</v>
      </c>
      <c r="G4990" s="0" t="n">
        <v>12685</v>
      </c>
      <c r="H4990" s="0" t="s">
        <v>43</v>
      </c>
      <c r="I4990" s="7" t="n">
        <f aca="false">IF(AND(LEFT(A4990,1)&lt;&gt;"C",D4990&gt;0,F4990&gt;0),1,0)</f>
        <v>1</v>
      </c>
      <c r="J4990" s="7" t="n">
        <f aca="false">IF(I4990=1,D4990*F4990,0)</f>
        <v>13.52</v>
      </c>
      <c r="K4990" s="7" t="n">
        <f aca="false">YEAR(E4990)*100+MONTH(E4990)</f>
        <v>201111</v>
      </c>
      <c r="L4990" s="7" t="n">
        <f aca="false">IF(AND(A4990&lt;&gt;A4989,LEFT(A4990,1)&lt;&gt;"C"),1,0)</f>
        <v>0</v>
      </c>
    </row>
    <row r="4991" customFormat="false" ht="15" hidden="false" customHeight="false" outlineLevel="0" collapsed="false">
      <c r="A4991" s="0" t="s">
        <v>2950</v>
      </c>
      <c r="B4991" s="0" t="s">
        <v>2585</v>
      </c>
      <c r="C4991" s="0" t="s">
        <v>2586</v>
      </c>
      <c r="D4991" s="0" t="n">
        <v>12</v>
      </c>
      <c r="E4991" s="6" t="n">
        <v>40858.5736111111</v>
      </c>
      <c r="F4991" s="0" t="n">
        <v>0.85</v>
      </c>
      <c r="G4991" s="0" t="n">
        <v>12685</v>
      </c>
      <c r="H4991" s="0" t="s">
        <v>43</v>
      </c>
      <c r="I4991" s="7" t="n">
        <f aca="false">IF(AND(LEFT(A4991,1)&lt;&gt;"C",D4991&gt;0,F4991&gt;0),1,0)</f>
        <v>1</v>
      </c>
      <c r="J4991" s="7" t="n">
        <f aca="false">IF(I4991=1,D4991*F4991,0)</f>
        <v>10.2</v>
      </c>
      <c r="K4991" s="7" t="n">
        <f aca="false">YEAR(E4991)*100+MONTH(E4991)</f>
        <v>201111</v>
      </c>
      <c r="L4991" s="7" t="n">
        <f aca="false">IF(AND(A4991&lt;&gt;A4990,LEFT(A4991,1)&lt;&gt;"C"),1,0)</f>
        <v>0</v>
      </c>
    </row>
    <row r="4992" customFormat="false" ht="15" hidden="false" customHeight="false" outlineLevel="0" collapsed="false">
      <c r="A4992" s="0" t="s">
        <v>2950</v>
      </c>
      <c r="B4992" s="0" t="s">
        <v>709</v>
      </c>
      <c r="C4992" s="0" t="s">
        <v>710</v>
      </c>
      <c r="D4992" s="0" t="n">
        <v>12</v>
      </c>
      <c r="E4992" s="6" t="n">
        <v>40858.5736111111</v>
      </c>
      <c r="F4992" s="0" t="n">
        <v>0.85</v>
      </c>
      <c r="G4992" s="0" t="n">
        <v>12685</v>
      </c>
      <c r="H4992" s="0" t="s">
        <v>43</v>
      </c>
      <c r="I4992" s="7" t="n">
        <f aca="false">IF(AND(LEFT(A4992,1)&lt;&gt;"C",D4992&gt;0,F4992&gt;0),1,0)</f>
        <v>1</v>
      </c>
      <c r="J4992" s="7" t="n">
        <f aca="false">IF(I4992=1,D4992*F4992,0)</f>
        <v>10.2</v>
      </c>
      <c r="K4992" s="7" t="n">
        <f aca="false">YEAR(E4992)*100+MONTH(E4992)</f>
        <v>201111</v>
      </c>
      <c r="L4992" s="7" t="n">
        <f aca="false">IF(AND(A4992&lt;&gt;A4991,LEFT(A4992,1)&lt;&gt;"C"),1,0)</f>
        <v>0</v>
      </c>
    </row>
    <row r="4993" customFormat="false" ht="15" hidden="false" customHeight="false" outlineLevel="0" collapsed="false">
      <c r="A4993" s="0" t="s">
        <v>2950</v>
      </c>
      <c r="B4993" s="0" t="s">
        <v>647</v>
      </c>
      <c r="C4993" s="0" t="s">
        <v>648</v>
      </c>
      <c r="D4993" s="0" t="n">
        <v>4</v>
      </c>
      <c r="E4993" s="6" t="n">
        <v>40858.5736111111</v>
      </c>
      <c r="F4993" s="0" t="n">
        <v>4.25</v>
      </c>
      <c r="G4993" s="0" t="n">
        <v>12685</v>
      </c>
      <c r="H4993" s="0" t="s">
        <v>43</v>
      </c>
      <c r="I4993" s="7" t="n">
        <f aca="false">IF(AND(LEFT(A4993,1)&lt;&gt;"C",D4993&gt;0,F4993&gt;0),1,0)</f>
        <v>1</v>
      </c>
      <c r="J4993" s="7" t="n">
        <f aca="false">IF(I4993=1,D4993*F4993,0)</f>
        <v>17</v>
      </c>
      <c r="K4993" s="7" t="n">
        <f aca="false">YEAR(E4993)*100+MONTH(E4993)</f>
        <v>201111</v>
      </c>
      <c r="L4993" s="7" t="n">
        <f aca="false">IF(AND(A4993&lt;&gt;A4992,LEFT(A4993,1)&lt;&gt;"C"),1,0)</f>
        <v>0</v>
      </c>
    </row>
    <row r="4994" customFormat="false" ht="15" hidden="false" customHeight="false" outlineLevel="0" collapsed="false">
      <c r="A4994" s="0" t="s">
        <v>2950</v>
      </c>
      <c r="B4994" s="0" t="s">
        <v>2164</v>
      </c>
      <c r="C4994" s="0" t="s">
        <v>2165</v>
      </c>
      <c r="D4994" s="0" t="n">
        <v>12</v>
      </c>
      <c r="E4994" s="6" t="n">
        <v>40858.5736111111</v>
      </c>
      <c r="F4994" s="0" t="n">
        <v>1.25</v>
      </c>
      <c r="G4994" s="0" t="n">
        <v>12685</v>
      </c>
      <c r="H4994" s="0" t="s">
        <v>43</v>
      </c>
      <c r="I4994" s="7" t="n">
        <f aca="false">IF(AND(LEFT(A4994,1)&lt;&gt;"C",D4994&gt;0,F4994&gt;0),1,0)</f>
        <v>1</v>
      </c>
      <c r="J4994" s="7" t="n">
        <f aca="false">IF(I4994=1,D4994*F4994,0)</f>
        <v>15</v>
      </c>
      <c r="K4994" s="7" t="n">
        <f aca="false">YEAR(E4994)*100+MONTH(E4994)</f>
        <v>201111</v>
      </c>
      <c r="L4994" s="7" t="n">
        <f aca="false">IF(AND(A4994&lt;&gt;A4993,LEFT(A4994,1)&lt;&gt;"C"),1,0)</f>
        <v>0</v>
      </c>
    </row>
    <row r="4995" customFormat="false" ht="15" hidden="false" customHeight="false" outlineLevel="0" collapsed="false">
      <c r="A4995" s="0" t="s">
        <v>2950</v>
      </c>
      <c r="B4995" s="0" t="s">
        <v>297</v>
      </c>
      <c r="C4995" s="0" t="s">
        <v>298</v>
      </c>
      <c r="D4995" s="0" t="n">
        <v>8</v>
      </c>
      <c r="E4995" s="6" t="n">
        <v>40858.5736111111</v>
      </c>
      <c r="F4995" s="0" t="n">
        <v>3.75</v>
      </c>
      <c r="G4995" s="0" t="n">
        <v>12685</v>
      </c>
      <c r="H4995" s="0" t="s">
        <v>43</v>
      </c>
      <c r="I4995" s="7" t="n">
        <f aca="false">IF(AND(LEFT(A4995,1)&lt;&gt;"C",D4995&gt;0,F4995&gt;0),1,0)</f>
        <v>1</v>
      </c>
      <c r="J4995" s="7" t="n">
        <f aca="false">IF(I4995=1,D4995*F4995,0)</f>
        <v>30</v>
      </c>
      <c r="K4995" s="7" t="n">
        <f aca="false">YEAR(E4995)*100+MONTH(E4995)</f>
        <v>201111</v>
      </c>
      <c r="L4995" s="7" t="n">
        <f aca="false">IF(AND(A4995&lt;&gt;A4994,LEFT(A4995,1)&lt;&gt;"C"),1,0)</f>
        <v>0</v>
      </c>
    </row>
    <row r="4996" customFormat="false" ht="15" hidden="false" customHeight="false" outlineLevel="0" collapsed="false">
      <c r="A4996" s="0" t="s">
        <v>2950</v>
      </c>
      <c r="B4996" s="0" t="s">
        <v>318</v>
      </c>
      <c r="C4996" s="0" t="s">
        <v>319</v>
      </c>
      <c r="D4996" s="0" t="n">
        <v>4</v>
      </c>
      <c r="E4996" s="6" t="n">
        <v>40858.5736111111</v>
      </c>
      <c r="F4996" s="0" t="n">
        <v>3.75</v>
      </c>
      <c r="G4996" s="0" t="n">
        <v>12685</v>
      </c>
      <c r="H4996" s="0" t="s">
        <v>43</v>
      </c>
      <c r="I4996" s="7" t="n">
        <f aca="false">IF(AND(LEFT(A4996,1)&lt;&gt;"C",D4996&gt;0,F4996&gt;0),1,0)</f>
        <v>1</v>
      </c>
      <c r="J4996" s="7" t="n">
        <f aca="false">IF(I4996=1,D4996*F4996,0)</f>
        <v>15</v>
      </c>
      <c r="K4996" s="7" t="n">
        <f aca="false">YEAR(E4996)*100+MONTH(E4996)</f>
        <v>201111</v>
      </c>
      <c r="L4996" s="7" t="n">
        <f aca="false">IF(AND(A4996&lt;&gt;A4995,LEFT(A4996,1)&lt;&gt;"C"),1,0)</f>
        <v>0</v>
      </c>
    </row>
    <row r="4997" customFormat="false" ht="15" hidden="false" customHeight="false" outlineLevel="0" collapsed="false">
      <c r="A4997" s="0" t="s">
        <v>2950</v>
      </c>
      <c r="B4997" s="0" t="s">
        <v>320</v>
      </c>
      <c r="C4997" s="0" t="s">
        <v>321</v>
      </c>
      <c r="D4997" s="0" t="n">
        <v>4</v>
      </c>
      <c r="E4997" s="6" t="n">
        <v>40858.5736111111</v>
      </c>
      <c r="F4997" s="0" t="n">
        <v>3.75</v>
      </c>
      <c r="G4997" s="0" t="n">
        <v>12685</v>
      </c>
      <c r="H4997" s="0" t="s">
        <v>43</v>
      </c>
      <c r="I4997" s="7" t="n">
        <f aca="false">IF(AND(LEFT(A4997,1)&lt;&gt;"C",D4997&gt;0,F4997&gt;0),1,0)</f>
        <v>1</v>
      </c>
      <c r="J4997" s="7" t="n">
        <f aca="false">IF(I4997=1,D4997*F4997,0)</f>
        <v>15</v>
      </c>
      <c r="K4997" s="7" t="n">
        <f aca="false">YEAR(E4997)*100+MONTH(E4997)</f>
        <v>201111</v>
      </c>
      <c r="L4997" s="7" t="n">
        <f aca="false">IF(AND(A4997&lt;&gt;A4996,LEFT(A4997,1)&lt;&gt;"C"),1,0)</f>
        <v>0</v>
      </c>
    </row>
    <row r="4998" customFormat="false" ht="15" hidden="false" customHeight="false" outlineLevel="0" collapsed="false">
      <c r="A4998" s="0" t="s">
        <v>2950</v>
      </c>
      <c r="B4998" s="0" t="s">
        <v>2961</v>
      </c>
      <c r="C4998" s="0" t="s">
        <v>2962</v>
      </c>
      <c r="D4998" s="0" t="n">
        <v>6</v>
      </c>
      <c r="E4998" s="6" t="n">
        <v>40858.5736111111</v>
      </c>
      <c r="F4998" s="0" t="n">
        <v>2.89</v>
      </c>
      <c r="G4998" s="0" t="n">
        <v>12685</v>
      </c>
      <c r="H4998" s="0" t="s">
        <v>43</v>
      </c>
      <c r="I4998" s="7" t="n">
        <f aca="false">IF(AND(LEFT(A4998,1)&lt;&gt;"C",D4998&gt;0,F4998&gt;0),1,0)</f>
        <v>1</v>
      </c>
      <c r="J4998" s="7" t="n">
        <f aca="false">IF(I4998=1,D4998*F4998,0)</f>
        <v>17.34</v>
      </c>
      <c r="K4998" s="7" t="n">
        <f aca="false">YEAR(E4998)*100+MONTH(E4998)</f>
        <v>201111</v>
      </c>
      <c r="L4998" s="7" t="n">
        <f aca="false">IF(AND(A4998&lt;&gt;A4997,LEFT(A4998,1)&lt;&gt;"C"),1,0)</f>
        <v>0</v>
      </c>
    </row>
    <row r="4999" customFormat="false" ht="15" hidden="false" customHeight="false" outlineLevel="0" collapsed="false">
      <c r="A4999" s="0" t="s">
        <v>2950</v>
      </c>
      <c r="B4999" s="0" t="s">
        <v>84</v>
      </c>
      <c r="C4999" s="0" t="s">
        <v>85</v>
      </c>
      <c r="D4999" s="0" t="n">
        <v>3</v>
      </c>
      <c r="E4999" s="6" t="n">
        <v>40858.5736111111</v>
      </c>
      <c r="F4999" s="0" t="n">
        <v>18</v>
      </c>
      <c r="G4999" s="0" t="n">
        <v>12685</v>
      </c>
      <c r="H4999" s="0" t="s">
        <v>43</v>
      </c>
      <c r="I4999" s="7" t="n">
        <f aca="false">IF(AND(LEFT(A4999,1)&lt;&gt;"C",D4999&gt;0,F4999&gt;0),1,0)</f>
        <v>1</v>
      </c>
      <c r="J4999" s="7" t="n">
        <f aca="false">IF(I4999=1,D4999*F4999,0)</f>
        <v>54</v>
      </c>
      <c r="K4999" s="7" t="n">
        <f aca="false">YEAR(E4999)*100+MONTH(E4999)</f>
        <v>201111</v>
      </c>
      <c r="L4999" s="7" t="n">
        <f aca="false">IF(AND(A4999&lt;&gt;A4998,LEFT(A4999,1)&lt;&gt;"C"),1,0)</f>
        <v>0</v>
      </c>
    </row>
    <row r="5000" customFormat="false" ht="15" hidden="false" customHeight="false" outlineLevel="0" collapsed="false">
      <c r="A5000" s="0" t="s">
        <v>2963</v>
      </c>
      <c r="B5000" s="0" t="s">
        <v>119</v>
      </c>
      <c r="C5000" s="0" t="s">
        <v>120</v>
      </c>
      <c r="D5000" s="0" t="n">
        <v>12</v>
      </c>
      <c r="E5000" s="6" t="n">
        <v>40858.58125</v>
      </c>
      <c r="F5000" s="0" t="n">
        <v>0.42</v>
      </c>
      <c r="G5000" s="0" t="n">
        <v>12517</v>
      </c>
      <c r="H5000" s="0" t="s">
        <v>33</v>
      </c>
      <c r="I5000" s="7" t="n">
        <f aca="false">IF(AND(LEFT(A5000,1)&lt;&gt;"C",D5000&gt;0,F5000&gt;0),1,0)</f>
        <v>1</v>
      </c>
      <c r="J5000" s="7" t="n">
        <f aca="false">IF(I5000=1,D5000*F5000,0)</f>
        <v>5.04</v>
      </c>
      <c r="K5000" s="7" t="n">
        <f aca="false">YEAR(E5000)*100+MONTH(E5000)</f>
        <v>201111</v>
      </c>
      <c r="L5000" s="7" t="n">
        <f aca="false">IF(AND(A5000&lt;&gt;A4999,LEFT(A5000,1)&lt;&gt;"C"),1,0)</f>
        <v>1</v>
      </c>
    </row>
    <row r="5001" customFormat="false" ht="15" hidden="false" customHeight="false" outlineLevel="0" collapsed="false">
      <c r="A5001" s="0" t="s">
        <v>2963</v>
      </c>
      <c r="B5001" s="0" t="s">
        <v>1023</v>
      </c>
      <c r="C5001" s="0" t="s">
        <v>1024</v>
      </c>
      <c r="D5001" s="0" t="n">
        <v>1</v>
      </c>
      <c r="E5001" s="6" t="n">
        <v>40858.58125</v>
      </c>
      <c r="F5001" s="0" t="n">
        <v>8.25</v>
      </c>
      <c r="G5001" s="0" t="n">
        <v>12517</v>
      </c>
      <c r="H5001" s="0" t="s">
        <v>33</v>
      </c>
      <c r="I5001" s="7" t="n">
        <f aca="false">IF(AND(LEFT(A5001,1)&lt;&gt;"C",D5001&gt;0,F5001&gt;0),1,0)</f>
        <v>1</v>
      </c>
      <c r="J5001" s="7" t="n">
        <f aca="false">IF(I5001=1,D5001*F5001,0)</f>
        <v>8.25</v>
      </c>
      <c r="K5001" s="7" t="n">
        <f aca="false">YEAR(E5001)*100+MONTH(E5001)</f>
        <v>201111</v>
      </c>
      <c r="L5001" s="7" t="n">
        <f aca="false">IF(AND(A5001&lt;&gt;A5000,LEFT(A5001,1)&lt;&gt;"C"),1,0)</f>
        <v>0</v>
      </c>
    </row>
    <row r="5002" customFormat="false" ht="15" hidden="false" customHeight="false" outlineLevel="0" collapsed="false">
      <c r="A5002" s="0" t="s">
        <v>2963</v>
      </c>
      <c r="B5002" s="0" t="s">
        <v>2573</v>
      </c>
      <c r="C5002" s="0" t="s">
        <v>2574</v>
      </c>
      <c r="D5002" s="0" t="n">
        <v>9</v>
      </c>
      <c r="E5002" s="6" t="n">
        <v>40858.58125</v>
      </c>
      <c r="F5002" s="0" t="n">
        <v>3.75</v>
      </c>
      <c r="G5002" s="0" t="n">
        <v>12517</v>
      </c>
      <c r="H5002" s="0" t="s">
        <v>33</v>
      </c>
      <c r="I5002" s="7" t="n">
        <f aca="false">IF(AND(LEFT(A5002,1)&lt;&gt;"C",D5002&gt;0,F5002&gt;0),1,0)</f>
        <v>1</v>
      </c>
      <c r="J5002" s="7" t="n">
        <f aca="false">IF(I5002=1,D5002*F5002,0)</f>
        <v>33.75</v>
      </c>
      <c r="K5002" s="7" t="n">
        <f aca="false">YEAR(E5002)*100+MONTH(E5002)</f>
        <v>201111</v>
      </c>
      <c r="L5002" s="7" t="n">
        <f aca="false">IF(AND(A5002&lt;&gt;A5001,LEFT(A5002,1)&lt;&gt;"C"),1,0)</f>
        <v>0</v>
      </c>
    </row>
    <row r="5003" customFormat="false" ht="15" hidden="false" customHeight="false" outlineLevel="0" collapsed="false">
      <c r="A5003" s="0" t="s">
        <v>2963</v>
      </c>
      <c r="B5003" s="0" t="s">
        <v>2964</v>
      </c>
      <c r="C5003" s="0" t="s">
        <v>2965</v>
      </c>
      <c r="D5003" s="0" t="n">
        <v>2</v>
      </c>
      <c r="E5003" s="6" t="n">
        <v>40858.58125</v>
      </c>
      <c r="F5003" s="0" t="n">
        <v>2.55</v>
      </c>
      <c r="G5003" s="0" t="n">
        <v>12517</v>
      </c>
      <c r="H5003" s="0" t="s">
        <v>33</v>
      </c>
      <c r="I5003" s="7" t="n">
        <f aca="false">IF(AND(LEFT(A5003,1)&lt;&gt;"C",D5003&gt;0,F5003&gt;0),1,0)</f>
        <v>1</v>
      </c>
      <c r="J5003" s="7" t="n">
        <f aca="false">IF(I5003=1,D5003*F5003,0)</f>
        <v>5.1</v>
      </c>
      <c r="K5003" s="7" t="n">
        <f aca="false">YEAR(E5003)*100+MONTH(E5003)</f>
        <v>201111</v>
      </c>
      <c r="L5003" s="7" t="n">
        <f aca="false">IF(AND(A5003&lt;&gt;A5002,LEFT(A5003,1)&lt;&gt;"C"),1,0)</f>
        <v>0</v>
      </c>
    </row>
    <row r="5004" customFormat="false" ht="15" hidden="false" customHeight="false" outlineLevel="0" collapsed="false">
      <c r="A5004" s="0" t="s">
        <v>2963</v>
      </c>
      <c r="B5004" s="0" t="s">
        <v>598</v>
      </c>
      <c r="C5004" s="0" t="s">
        <v>599</v>
      </c>
      <c r="D5004" s="0" t="n">
        <v>2</v>
      </c>
      <c r="E5004" s="6" t="n">
        <v>40858.58125</v>
      </c>
      <c r="F5004" s="0" t="n">
        <v>1.95</v>
      </c>
      <c r="G5004" s="0" t="n">
        <v>12517</v>
      </c>
      <c r="H5004" s="0" t="s">
        <v>33</v>
      </c>
      <c r="I5004" s="7" t="n">
        <f aca="false">IF(AND(LEFT(A5004,1)&lt;&gt;"C",D5004&gt;0,F5004&gt;0),1,0)</f>
        <v>1</v>
      </c>
      <c r="J5004" s="7" t="n">
        <f aca="false">IF(I5004=1,D5004*F5004,0)</f>
        <v>3.9</v>
      </c>
      <c r="K5004" s="7" t="n">
        <f aca="false">YEAR(E5004)*100+MONTH(E5004)</f>
        <v>201111</v>
      </c>
      <c r="L5004" s="7" t="n">
        <f aca="false">IF(AND(A5004&lt;&gt;A5003,LEFT(A5004,1)&lt;&gt;"C"),1,0)</f>
        <v>0</v>
      </c>
    </row>
    <row r="5005" customFormat="false" ht="15" hidden="false" customHeight="false" outlineLevel="0" collapsed="false">
      <c r="A5005" s="0" t="s">
        <v>2963</v>
      </c>
      <c r="B5005" s="0" t="s">
        <v>1837</v>
      </c>
      <c r="C5005" s="0" t="s">
        <v>1838</v>
      </c>
      <c r="D5005" s="0" t="n">
        <v>8</v>
      </c>
      <c r="E5005" s="6" t="n">
        <v>40858.58125</v>
      </c>
      <c r="F5005" s="0" t="n">
        <v>1.69</v>
      </c>
      <c r="G5005" s="0" t="n">
        <v>12517</v>
      </c>
      <c r="H5005" s="0" t="s">
        <v>33</v>
      </c>
      <c r="I5005" s="7" t="n">
        <f aca="false">IF(AND(LEFT(A5005,1)&lt;&gt;"C",D5005&gt;0,F5005&gt;0),1,0)</f>
        <v>1</v>
      </c>
      <c r="J5005" s="7" t="n">
        <f aca="false">IF(I5005=1,D5005*F5005,0)</f>
        <v>13.52</v>
      </c>
      <c r="K5005" s="7" t="n">
        <f aca="false">YEAR(E5005)*100+MONTH(E5005)</f>
        <v>201111</v>
      </c>
      <c r="L5005" s="7" t="n">
        <f aca="false">IF(AND(A5005&lt;&gt;A5004,LEFT(A5005,1)&lt;&gt;"C"),1,0)</f>
        <v>0</v>
      </c>
    </row>
    <row r="5006" customFormat="false" ht="15" hidden="false" customHeight="false" outlineLevel="0" collapsed="false">
      <c r="A5006" s="0" t="s">
        <v>2963</v>
      </c>
      <c r="B5006" s="0" t="s">
        <v>121</v>
      </c>
      <c r="C5006" s="0" t="s">
        <v>122</v>
      </c>
      <c r="D5006" s="0" t="n">
        <v>2</v>
      </c>
      <c r="E5006" s="6" t="n">
        <v>40858.58125</v>
      </c>
      <c r="F5006" s="0" t="n">
        <v>1.65</v>
      </c>
      <c r="G5006" s="0" t="n">
        <v>12517</v>
      </c>
      <c r="H5006" s="0" t="s">
        <v>33</v>
      </c>
      <c r="I5006" s="7" t="n">
        <f aca="false">IF(AND(LEFT(A5006,1)&lt;&gt;"C",D5006&gt;0,F5006&gt;0),1,0)</f>
        <v>1</v>
      </c>
      <c r="J5006" s="7" t="n">
        <f aca="false">IF(I5006=1,D5006*F5006,0)</f>
        <v>3.3</v>
      </c>
      <c r="K5006" s="7" t="n">
        <f aca="false">YEAR(E5006)*100+MONTH(E5006)</f>
        <v>201111</v>
      </c>
      <c r="L5006" s="7" t="n">
        <f aca="false">IF(AND(A5006&lt;&gt;A5005,LEFT(A5006,1)&lt;&gt;"C"),1,0)</f>
        <v>0</v>
      </c>
    </row>
    <row r="5007" customFormat="false" ht="15" hidden="false" customHeight="false" outlineLevel="0" collapsed="false">
      <c r="A5007" s="0" t="s">
        <v>2963</v>
      </c>
      <c r="B5007" s="0" t="s">
        <v>78</v>
      </c>
      <c r="C5007" s="0" t="s">
        <v>79</v>
      </c>
      <c r="D5007" s="0" t="n">
        <v>2</v>
      </c>
      <c r="E5007" s="6" t="n">
        <v>40858.58125</v>
      </c>
      <c r="F5007" s="0" t="n">
        <v>1.65</v>
      </c>
      <c r="G5007" s="0" t="n">
        <v>12517</v>
      </c>
      <c r="H5007" s="0" t="s">
        <v>33</v>
      </c>
      <c r="I5007" s="7" t="n">
        <f aca="false">IF(AND(LEFT(A5007,1)&lt;&gt;"C",D5007&gt;0,F5007&gt;0),1,0)</f>
        <v>1</v>
      </c>
      <c r="J5007" s="7" t="n">
        <f aca="false">IF(I5007=1,D5007*F5007,0)</f>
        <v>3.3</v>
      </c>
      <c r="K5007" s="7" t="n">
        <f aca="false">YEAR(E5007)*100+MONTH(E5007)</f>
        <v>201111</v>
      </c>
      <c r="L5007" s="7" t="n">
        <f aca="false">IF(AND(A5007&lt;&gt;A5006,LEFT(A5007,1)&lt;&gt;"C"),1,0)</f>
        <v>0</v>
      </c>
    </row>
    <row r="5008" customFormat="false" ht="15" hidden="false" customHeight="false" outlineLevel="0" collapsed="false">
      <c r="A5008" s="0" t="s">
        <v>2963</v>
      </c>
      <c r="B5008" s="0" t="s">
        <v>2780</v>
      </c>
      <c r="C5008" s="0" t="s">
        <v>2781</v>
      </c>
      <c r="D5008" s="0" t="n">
        <v>2</v>
      </c>
      <c r="E5008" s="6" t="n">
        <v>40858.58125</v>
      </c>
      <c r="F5008" s="0" t="n">
        <v>1.65</v>
      </c>
      <c r="G5008" s="0" t="n">
        <v>12517</v>
      </c>
      <c r="H5008" s="0" t="s">
        <v>33</v>
      </c>
      <c r="I5008" s="7" t="n">
        <f aca="false">IF(AND(LEFT(A5008,1)&lt;&gt;"C",D5008&gt;0,F5008&gt;0),1,0)</f>
        <v>1</v>
      </c>
      <c r="J5008" s="7" t="n">
        <f aca="false">IF(I5008=1,D5008*F5008,0)</f>
        <v>3.3</v>
      </c>
      <c r="K5008" s="7" t="n">
        <f aca="false">YEAR(E5008)*100+MONTH(E5008)</f>
        <v>201111</v>
      </c>
      <c r="L5008" s="7" t="n">
        <f aca="false">IF(AND(A5008&lt;&gt;A5007,LEFT(A5008,1)&lt;&gt;"C"),1,0)</f>
        <v>0</v>
      </c>
    </row>
    <row r="5009" customFormat="false" ht="15" hidden="false" customHeight="false" outlineLevel="0" collapsed="false">
      <c r="A5009" s="0" t="s">
        <v>2963</v>
      </c>
      <c r="B5009" s="0" t="s">
        <v>588</v>
      </c>
      <c r="C5009" s="0" t="s">
        <v>589</v>
      </c>
      <c r="D5009" s="0" t="n">
        <v>2</v>
      </c>
      <c r="E5009" s="6" t="n">
        <v>40858.58125</v>
      </c>
      <c r="F5009" s="0" t="n">
        <v>1.65</v>
      </c>
      <c r="G5009" s="0" t="n">
        <v>12517</v>
      </c>
      <c r="H5009" s="0" t="s">
        <v>33</v>
      </c>
      <c r="I5009" s="7" t="n">
        <f aca="false">IF(AND(LEFT(A5009,1)&lt;&gt;"C",D5009&gt;0,F5009&gt;0),1,0)</f>
        <v>1</v>
      </c>
      <c r="J5009" s="7" t="n">
        <f aca="false">IF(I5009=1,D5009*F5009,0)</f>
        <v>3.3</v>
      </c>
      <c r="K5009" s="7" t="n">
        <f aca="false">YEAR(E5009)*100+MONTH(E5009)</f>
        <v>201111</v>
      </c>
      <c r="L5009" s="7" t="n">
        <f aca="false">IF(AND(A5009&lt;&gt;A5008,LEFT(A5009,1)&lt;&gt;"C"),1,0)</f>
        <v>0</v>
      </c>
    </row>
    <row r="5010" customFormat="false" ht="15" hidden="false" customHeight="false" outlineLevel="0" collapsed="false">
      <c r="A5010" s="0" t="s">
        <v>2963</v>
      </c>
      <c r="B5010" s="0" t="s">
        <v>1212</v>
      </c>
      <c r="C5010" s="0" t="s">
        <v>1213</v>
      </c>
      <c r="D5010" s="0" t="n">
        <v>8</v>
      </c>
      <c r="E5010" s="6" t="n">
        <v>40858.58125</v>
      </c>
      <c r="F5010" s="0" t="n">
        <v>1.25</v>
      </c>
      <c r="G5010" s="0" t="n">
        <v>12517</v>
      </c>
      <c r="H5010" s="0" t="s">
        <v>33</v>
      </c>
      <c r="I5010" s="7" t="n">
        <f aca="false">IF(AND(LEFT(A5010,1)&lt;&gt;"C",D5010&gt;0,F5010&gt;0),1,0)</f>
        <v>1</v>
      </c>
      <c r="J5010" s="7" t="n">
        <f aca="false">IF(I5010=1,D5010*F5010,0)</f>
        <v>10</v>
      </c>
      <c r="K5010" s="7" t="n">
        <f aca="false">YEAR(E5010)*100+MONTH(E5010)</f>
        <v>201111</v>
      </c>
      <c r="L5010" s="7" t="n">
        <f aca="false">IF(AND(A5010&lt;&gt;A5009,LEFT(A5010,1)&lt;&gt;"C"),1,0)</f>
        <v>0</v>
      </c>
    </row>
    <row r="5011" customFormat="false" ht="15" hidden="false" customHeight="false" outlineLevel="0" collapsed="false">
      <c r="A5011" s="0" t="s">
        <v>2963</v>
      </c>
      <c r="B5011" s="0" t="s">
        <v>539</v>
      </c>
      <c r="C5011" s="0" t="s">
        <v>540</v>
      </c>
      <c r="D5011" s="0" t="n">
        <v>10</v>
      </c>
      <c r="E5011" s="6" t="n">
        <v>40858.58125</v>
      </c>
      <c r="F5011" s="0" t="n">
        <v>0.42</v>
      </c>
      <c r="G5011" s="0" t="n">
        <v>12517</v>
      </c>
      <c r="H5011" s="0" t="s">
        <v>33</v>
      </c>
      <c r="I5011" s="7" t="n">
        <f aca="false">IF(AND(LEFT(A5011,1)&lt;&gt;"C",D5011&gt;0,F5011&gt;0),1,0)</f>
        <v>1</v>
      </c>
      <c r="J5011" s="7" t="n">
        <f aca="false">IF(I5011=1,D5011*F5011,0)</f>
        <v>4.2</v>
      </c>
      <c r="K5011" s="7" t="n">
        <f aca="false">YEAR(E5011)*100+MONTH(E5011)</f>
        <v>201111</v>
      </c>
      <c r="L5011" s="7" t="n">
        <f aca="false">IF(AND(A5011&lt;&gt;A5010,LEFT(A5011,1)&lt;&gt;"C"),1,0)</f>
        <v>0</v>
      </c>
    </row>
    <row r="5012" customFormat="false" ht="15" hidden="false" customHeight="false" outlineLevel="0" collapsed="false">
      <c r="A5012" s="0" t="s">
        <v>2963</v>
      </c>
      <c r="B5012" s="0" t="s">
        <v>631</v>
      </c>
      <c r="C5012" s="0" t="s">
        <v>632</v>
      </c>
      <c r="D5012" s="0" t="n">
        <v>3</v>
      </c>
      <c r="E5012" s="6" t="n">
        <v>40858.58125</v>
      </c>
      <c r="F5012" s="0" t="n">
        <v>2.08</v>
      </c>
      <c r="G5012" s="0" t="n">
        <v>12517</v>
      </c>
      <c r="H5012" s="0" t="s">
        <v>33</v>
      </c>
      <c r="I5012" s="7" t="n">
        <f aca="false">IF(AND(LEFT(A5012,1)&lt;&gt;"C",D5012&gt;0,F5012&gt;0),1,0)</f>
        <v>1</v>
      </c>
      <c r="J5012" s="7" t="n">
        <f aca="false">IF(I5012=1,D5012*F5012,0)</f>
        <v>6.24</v>
      </c>
      <c r="K5012" s="7" t="n">
        <f aca="false">YEAR(E5012)*100+MONTH(E5012)</f>
        <v>201111</v>
      </c>
      <c r="L5012" s="7" t="n">
        <f aca="false">IF(AND(A5012&lt;&gt;A5011,LEFT(A5012,1)&lt;&gt;"C"),1,0)</f>
        <v>0</v>
      </c>
    </row>
    <row r="5013" customFormat="false" ht="15" hidden="false" customHeight="false" outlineLevel="0" collapsed="false">
      <c r="A5013" s="0" t="s">
        <v>2963</v>
      </c>
      <c r="B5013" s="0" t="s">
        <v>515</v>
      </c>
      <c r="C5013" s="0" t="s">
        <v>516</v>
      </c>
      <c r="D5013" s="0" t="n">
        <v>3</v>
      </c>
      <c r="E5013" s="6" t="n">
        <v>40858.58125</v>
      </c>
      <c r="F5013" s="0" t="n">
        <v>2.08</v>
      </c>
      <c r="G5013" s="0" t="n">
        <v>12517</v>
      </c>
      <c r="H5013" s="0" t="s">
        <v>33</v>
      </c>
      <c r="I5013" s="7" t="n">
        <f aca="false">IF(AND(LEFT(A5013,1)&lt;&gt;"C",D5013&gt;0,F5013&gt;0),1,0)</f>
        <v>1</v>
      </c>
      <c r="J5013" s="7" t="n">
        <f aca="false">IF(I5013=1,D5013*F5013,0)</f>
        <v>6.24</v>
      </c>
      <c r="K5013" s="7" t="n">
        <f aca="false">YEAR(E5013)*100+MONTH(E5013)</f>
        <v>201111</v>
      </c>
      <c r="L5013" s="7" t="n">
        <f aca="false">IF(AND(A5013&lt;&gt;A5012,LEFT(A5013,1)&lt;&gt;"C"),1,0)</f>
        <v>0</v>
      </c>
    </row>
    <row r="5014" customFormat="false" ht="15" hidden="false" customHeight="false" outlineLevel="0" collapsed="false">
      <c r="A5014" s="0" t="s">
        <v>2963</v>
      </c>
      <c r="B5014" s="0" t="s">
        <v>2235</v>
      </c>
      <c r="C5014" s="0" t="s">
        <v>2236</v>
      </c>
      <c r="D5014" s="0" t="n">
        <v>3</v>
      </c>
      <c r="E5014" s="6" t="n">
        <v>40858.58125</v>
      </c>
      <c r="F5014" s="0" t="n">
        <v>2.08</v>
      </c>
      <c r="G5014" s="0" t="n">
        <v>12517</v>
      </c>
      <c r="H5014" s="0" t="s">
        <v>33</v>
      </c>
      <c r="I5014" s="7" t="n">
        <f aca="false">IF(AND(LEFT(A5014,1)&lt;&gt;"C",D5014&gt;0,F5014&gt;0),1,0)</f>
        <v>1</v>
      </c>
      <c r="J5014" s="7" t="n">
        <f aca="false">IF(I5014=1,D5014*F5014,0)</f>
        <v>6.24</v>
      </c>
      <c r="K5014" s="7" t="n">
        <f aca="false">YEAR(E5014)*100+MONTH(E5014)</f>
        <v>201111</v>
      </c>
      <c r="L5014" s="7" t="n">
        <f aca="false">IF(AND(A5014&lt;&gt;A5013,LEFT(A5014,1)&lt;&gt;"C"),1,0)</f>
        <v>0</v>
      </c>
    </row>
    <row r="5015" customFormat="false" ht="15" hidden="false" customHeight="false" outlineLevel="0" collapsed="false">
      <c r="A5015" s="0" t="s">
        <v>2963</v>
      </c>
      <c r="B5015" s="0" t="s">
        <v>2966</v>
      </c>
      <c r="C5015" s="0" t="s">
        <v>2967</v>
      </c>
      <c r="D5015" s="0" t="n">
        <v>3</v>
      </c>
      <c r="E5015" s="6" t="n">
        <v>40858.58125</v>
      </c>
      <c r="F5015" s="0" t="n">
        <v>2.08</v>
      </c>
      <c r="G5015" s="0" t="n">
        <v>12517</v>
      </c>
      <c r="H5015" s="0" t="s">
        <v>33</v>
      </c>
      <c r="I5015" s="7" t="n">
        <f aca="false">IF(AND(LEFT(A5015,1)&lt;&gt;"C",D5015&gt;0,F5015&gt;0),1,0)</f>
        <v>1</v>
      </c>
      <c r="J5015" s="7" t="n">
        <f aca="false">IF(I5015=1,D5015*F5015,0)</f>
        <v>6.24</v>
      </c>
      <c r="K5015" s="7" t="n">
        <f aca="false">YEAR(E5015)*100+MONTH(E5015)</f>
        <v>201111</v>
      </c>
      <c r="L5015" s="7" t="n">
        <f aca="false">IF(AND(A5015&lt;&gt;A5014,LEFT(A5015,1)&lt;&gt;"C"),1,0)</f>
        <v>0</v>
      </c>
    </row>
    <row r="5016" customFormat="false" ht="15" hidden="false" customHeight="false" outlineLevel="0" collapsed="false">
      <c r="A5016" s="0" t="s">
        <v>2963</v>
      </c>
      <c r="B5016" s="0" t="s">
        <v>625</v>
      </c>
      <c r="C5016" s="0" t="s">
        <v>626</v>
      </c>
      <c r="D5016" s="0" t="n">
        <v>3</v>
      </c>
      <c r="E5016" s="6" t="n">
        <v>40858.58125</v>
      </c>
      <c r="F5016" s="0" t="n">
        <v>2.08</v>
      </c>
      <c r="G5016" s="0" t="n">
        <v>12517</v>
      </c>
      <c r="H5016" s="0" t="s">
        <v>33</v>
      </c>
      <c r="I5016" s="7" t="n">
        <f aca="false">IF(AND(LEFT(A5016,1)&lt;&gt;"C",D5016&gt;0,F5016&gt;0),1,0)</f>
        <v>1</v>
      </c>
      <c r="J5016" s="7" t="n">
        <f aca="false">IF(I5016=1,D5016*F5016,0)</f>
        <v>6.24</v>
      </c>
      <c r="K5016" s="7" t="n">
        <f aca="false">YEAR(E5016)*100+MONTH(E5016)</f>
        <v>201111</v>
      </c>
      <c r="L5016" s="7" t="n">
        <f aca="false">IF(AND(A5016&lt;&gt;A5015,LEFT(A5016,1)&lt;&gt;"C"),1,0)</f>
        <v>0</v>
      </c>
    </row>
    <row r="5017" customFormat="false" ht="15" hidden="false" customHeight="false" outlineLevel="0" collapsed="false">
      <c r="A5017" s="0" t="s">
        <v>2963</v>
      </c>
      <c r="B5017" s="0" t="s">
        <v>1144</v>
      </c>
      <c r="C5017" s="0" t="s">
        <v>1145</v>
      </c>
      <c r="D5017" s="0" t="n">
        <v>3</v>
      </c>
      <c r="E5017" s="6" t="n">
        <v>40858.58125</v>
      </c>
      <c r="F5017" s="0" t="n">
        <v>2.1</v>
      </c>
      <c r="G5017" s="0" t="n">
        <v>12517</v>
      </c>
      <c r="H5017" s="0" t="s">
        <v>33</v>
      </c>
      <c r="I5017" s="7" t="n">
        <f aca="false">IF(AND(LEFT(A5017,1)&lt;&gt;"C",D5017&gt;0,F5017&gt;0),1,0)</f>
        <v>1</v>
      </c>
      <c r="J5017" s="7" t="n">
        <f aca="false">IF(I5017=1,D5017*F5017,0)</f>
        <v>6.3</v>
      </c>
      <c r="K5017" s="7" t="n">
        <f aca="false">YEAR(E5017)*100+MONTH(E5017)</f>
        <v>201111</v>
      </c>
      <c r="L5017" s="7" t="n">
        <f aca="false">IF(AND(A5017&lt;&gt;A5016,LEFT(A5017,1)&lt;&gt;"C"),1,0)</f>
        <v>0</v>
      </c>
    </row>
    <row r="5018" customFormat="false" ht="15" hidden="false" customHeight="false" outlineLevel="0" collapsed="false">
      <c r="A5018" s="0" t="s">
        <v>2963</v>
      </c>
      <c r="B5018" s="0" t="s">
        <v>810</v>
      </c>
      <c r="C5018" s="0" t="s">
        <v>1891</v>
      </c>
      <c r="D5018" s="0" t="n">
        <v>2</v>
      </c>
      <c r="E5018" s="6" t="n">
        <v>40858.58125</v>
      </c>
      <c r="F5018" s="0" t="n">
        <v>3.75</v>
      </c>
      <c r="G5018" s="0" t="n">
        <v>12517</v>
      </c>
      <c r="H5018" s="0" t="s">
        <v>33</v>
      </c>
      <c r="I5018" s="7" t="n">
        <f aca="false">IF(AND(LEFT(A5018,1)&lt;&gt;"C",D5018&gt;0,F5018&gt;0),1,0)</f>
        <v>1</v>
      </c>
      <c r="J5018" s="7" t="n">
        <f aca="false">IF(I5018=1,D5018*F5018,0)</f>
        <v>7.5</v>
      </c>
      <c r="K5018" s="7" t="n">
        <f aca="false">YEAR(E5018)*100+MONTH(E5018)</f>
        <v>201111</v>
      </c>
      <c r="L5018" s="7" t="n">
        <f aca="false">IF(AND(A5018&lt;&gt;A5017,LEFT(A5018,1)&lt;&gt;"C"),1,0)</f>
        <v>0</v>
      </c>
    </row>
    <row r="5019" customFormat="false" ht="15" hidden="false" customHeight="false" outlineLevel="0" collapsed="false">
      <c r="A5019" s="0" t="s">
        <v>2963</v>
      </c>
      <c r="B5019" s="0" t="s">
        <v>463</v>
      </c>
      <c r="C5019" s="0" t="s">
        <v>464</v>
      </c>
      <c r="D5019" s="0" t="n">
        <v>1</v>
      </c>
      <c r="E5019" s="6" t="n">
        <v>40858.58125</v>
      </c>
      <c r="F5019" s="0" t="n">
        <v>7.95</v>
      </c>
      <c r="G5019" s="0" t="n">
        <v>12517</v>
      </c>
      <c r="H5019" s="0" t="s">
        <v>33</v>
      </c>
      <c r="I5019" s="7" t="n">
        <f aca="false">IF(AND(LEFT(A5019,1)&lt;&gt;"C",D5019&gt;0,F5019&gt;0),1,0)</f>
        <v>1</v>
      </c>
      <c r="J5019" s="7" t="n">
        <f aca="false">IF(I5019=1,D5019*F5019,0)</f>
        <v>7.95</v>
      </c>
      <c r="K5019" s="7" t="n">
        <f aca="false">YEAR(E5019)*100+MONTH(E5019)</f>
        <v>201111</v>
      </c>
      <c r="L5019" s="7" t="n">
        <f aca="false">IF(AND(A5019&lt;&gt;A5018,LEFT(A5019,1)&lt;&gt;"C"),1,0)</f>
        <v>0</v>
      </c>
    </row>
    <row r="5020" customFormat="false" ht="15" hidden="false" customHeight="false" outlineLevel="0" collapsed="false">
      <c r="A5020" s="0" t="s">
        <v>2963</v>
      </c>
      <c r="B5020" s="0" t="s">
        <v>1042</v>
      </c>
      <c r="C5020" s="0" t="s">
        <v>1043</v>
      </c>
      <c r="D5020" s="0" t="n">
        <v>2</v>
      </c>
      <c r="E5020" s="6" t="n">
        <v>40858.58125</v>
      </c>
      <c r="F5020" s="0" t="n">
        <v>4.15</v>
      </c>
      <c r="G5020" s="0" t="n">
        <v>12517</v>
      </c>
      <c r="H5020" s="0" t="s">
        <v>33</v>
      </c>
      <c r="I5020" s="7" t="n">
        <f aca="false">IF(AND(LEFT(A5020,1)&lt;&gt;"C",D5020&gt;0,F5020&gt;0),1,0)</f>
        <v>1</v>
      </c>
      <c r="J5020" s="7" t="n">
        <f aca="false">IF(I5020=1,D5020*F5020,0)</f>
        <v>8.3</v>
      </c>
      <c r="K5020" s="7" t="n">
        <f aca="false">YEAR(E5020)*100+MONTH(E5020)</f>
        <v>201111</v>
      </c>
      <c r="L5020" s="7" t="n">
        <f aca="false">IF(AND(A5020&lt;&gt;A5019,LEFT(A5020,1)&lt;&gt;"C"),1,0)</f>
        <v>0</v>
      </c>
    </row>
    <row r="5021" customFormat="false" ht="15" hidden="false" customHeight="false" outlineLevel="0" collapsed="false">
      <c r="A5021" s="0" t="s">
        <v>2963</v>
      </c>
      <c r="B5021" s="0" t="s">
        <v>1671</v>
      </c>
      <c r="C5021" s="0" t="s">
        <v>1672</v>
      </c>
      <c r="D5021" s="0" t="n">
        <v>2</v>
      </c>
      <c r="E5021" s="6" t="n">
        <v>40858.58125</v>
      </c>
      <c r="F5021" s="0" t="n">
        <v>8.25</v>
      </c>
      <c r="G5021" s="0" t="n">
        <v>12517</v>
      </c>
      <c r="H5021" s="0" t="s">
        <v>33</v>
      </c>
      <c r="I5021" s="7" t="n">
        <f aca="false">IF(AND(LEFT(A5021,1)&lt;&gt;"C",D5021&gt;0,F5021&gt;0),1,0)</f>
        <v>1</v>
      </c>
      <c r="J5021" s="7" t="n">
        <f aca="false">IF(I5021=1,D5021*F5021,0)</f>
        <v>16.5</v>
      </c>
      <c r="K5021" s="7" t="n">
        <f aca="false">YEAR(E5021)*100+MONTH(E5021)</f>
        <v>201111</v>
      </c>
      <c r="L5021" s="7" t="n">
        <f aca="false">IF(AND(A5021&lt;&gt;A5020,LEFT(A5021,1)&lt;&gt;"C"),1,0)</f>
        <v>0</v>
      </c>
    </row>
    <row r="5022" customFormat="false" ht="15" hidden="false" customHeight="false" outlineLevel="0" collapsed="false">
      <c r="A5022" s="0" t="s">
        <v>2963</v>
      </c>
      <c r="B5022" s="0" t="s">
        <v>2531</v>
      </c>
      <c r="C5022" s="0" t="s">
        <v>2532</v>
      </c>
      <c r="D5022" s="0" t="n">
        <v>2</v>
      </c>
      <c r="E5022" s="6" t="n">
        <v>40858.58125</v>
      </c>
      <c r="F5022" s="0" t="n">
        <v>4.25</v>
      </c>
      <c r="G5022" s="0" t="n">
        <v>12517</v>
      </c>
      <c r="H5022" s="0" t="s">
        <v>33</v>
      </c>
      <c r="I5022" s="7" t="n">
        <f aca="false">IF(AND(LEFT(A5022,1)&lt;&gt;"C",D5022&gt;0,F5022&gt;0),1,0)</f>
        <v>1</v>
      </c>
      <c r="J5022" s="7" t="n">
        <f aca="false">IF(I5022=1,D5022*F5022,0)</f>
        <v>8.5</v>
      </c>
      <c r="K5022" s="7" t="n">
        <f aca="false">YEAR(E5022)*100+MONTH(E5022)</f>
        <v>201111</v>
      </c>
      <c r="L5022" s="7" t="n">
        <f aca="false">IF(AND(A5022&lt;&gt;A5021,LEFT(A5022,1)&lt;&gt;"C"),1,0)</f>
        <v>0</v>
      </c>
    </row>
    <row r="5023" customFormat="false" ht="15" hidden="false" customHeight="false" outlineLevel="0" collapsed="false">
      <c r="A5023" s="0" t="s">
        <v>2963</v>
      </c>
      <c r="B5023" s="0" t="s">
        <v>802</v>
      </c>
      <c r="C5023" s="0" t="s">
        <v>803</v>
      </c>
      <c r="D5023" s="0" t="n">
        <v>1</v>
      </c>
      <c r="E5023" s="6" t="n">
        <v>40858.58125</v>
      </c>
      <c r="F5023" s="0" t="n">
        <v>4.95</v>
      </c>
      <c r="G5023" s="0" t="n">
        <v>12517</v>
      </c>
      <c r="H5023" s="0" t="s">
        <v>33</v>
      </c>
      <c r="I5023" s="7" t="n">
        <f aca="false">IF(AND(LEFT(A5023,1)&lt;&gt;"C",D5023&gt;0,F5023&gt;0),1,0)</f>
        <v>1</v>
      </c>
      <c r="J5023" s="7" t="n">
        <f aca="false">IF(I5023=1,D5023*F5023,0)</f>
        <v>4.95</v>
      </c>
      <c r="K5023" s="7" t="n">
        <f aca="false">YEAR(E5023)*100+MONTH(E5023)</f>
        <v>201111</v>
      </c>
      <c r="L5023" s="7" t="n">
        <f aca="false">IF(AND(A5023&lt;&gt;A5022,LEFT(A5023,1)&lt;&gt;"C"),1,0)</f>
        <v>0</v>
      </c>
    </row>
    <row r="5024" customFormat="false" ht="15" hidden="false" customHeight="false" outlineLevel="0" collapsed="false">
      <c r="A5024" s="0" t="s">
        <v>2963</v>
      </c>
      <c r="B5024" s="0" t="s">
        <v>1269</v>
      </c>
      <c r="C5024" s="0" t="s">
        <v>1270</v>
      </c>
      <c r="D5024" s="0" t="n">
        <v>2</v>
      </c>
      <c r="E5024" s="6" t="n">
        <v>40858.58125</v>
      </c>
      <c r="F5024" s="0" t="n">
        <v>2.1</v>
      </c>
      <c r="G5024" s="0" t="n">
        <v>12517</v>
      </c>
      <c r="H5024" s="0" t="s">
        <v>33</v>
      </c>
      <c r="I5024" s="7" t="n">
        <f aca="false">IF(AND(LEFT(A5024,1)&lt;&gt;"C",D5024&gt;0,F5024&gt;0),1,0)</f>
        <v>1</v>
      </c>
      <c r="J5024" s="7" t="n">
        <f aca="false">IF(I5024=1,D5024*F5024,0)</f>
        <v>4.2</v>
      </c>
      <c r="K5024" s="7" t="n">
        <f aca="false">YEAR(E5024)*100+MONTH(E5024)</f>
        <v>201111</v>
      </c>
      <c r="L5024" s="7" t="n">
        <f aca="false">IF(AND(A5024&lt;&gt;A5023,LEFT(A5024,1)&lt;&gt;"C"),1,0)</f>
        <v>0</v>
      </c>
    </row>
    <row r="5025" customFormat="false" ht="15" hidden="false" customHeight="false" outlineLevel="0" collapsed="false">
      <c r="A5025" s="0" t="s">
        <v>2963</v>
      </c>
      <c r="B5025" s="0" t="s">
        <v>2443</v>
      </c>
      <c r="C5025" s="0" t="s">
        <v>2444</v>
      </c>
      <c r="D5025" s="0" t="n">
        <v>2</v>
      </c>
      <c r="E5025" s="6" t="n">
        <v>40858.58125</v>
      </c>
      <c r="F5025" s="0" t="n">
        <v>2.1</v>
      </c>
      <c r="G5025" s="0" t="n">
        <v>12517</v>
      </c>
      <c r="H5025" s="0" t="s">
        <v>33</v>
      </c>
      <c r="I5025" s="7" t="n">
        <f aca="false">IF(AND(LEFT(A5025,1)&lt;&gt;"C",D5025&gt;0,F5025&gt;0),1,0)</f>
        <v>1</v>
      </c>
      <c r="J5025" s="7" t="n">
        <f aca="false">IF(I5025=1,D5025*F5025,0)</f>
        <v>4.2</v>
      </c>
      <c r="K5025" s="7" t="n">
        <f aca="false">YEAR(E5025)*100+MONTH(E5025)</f>
        <v>201111</v>
      </c>
      <c r="L5025" s="7" t="n">
        <f aca="false">IF(AND(A5025&lt;&gt;A5024,LEFT(A5025,1)&lt;&gt;"C"),1,0)</f>
        <v>0</v>
      </c>
    </row>
    <row r="5026" customFormat="false" ht="15" hidden="false" customHeight="false" outlineLevel="0" collapsed="false">
      <c r="A5026" s="0" t="s">
        <v>2963</v>
      </c>
      <c r="B5026" s="0" t="s">
        <v>1928</v>
      </c>
      <c r="C5026" s="0" t="s">
        <v>1929</v>
      </c>
      <c r="D5026" s="0" t="n">
        <v>12</v>
      </c>
      <c r="E5026" s="6" t="n">
        <v>40858.58125</v>
      </c>
      <c r="F5026" s="0" t="n">
        <v>0.65</v>
      </c>
      <c r="G5026" s="0" t="n">
        <v>12517</v>
      </c>
      <c r="H5026" s="0" t="s">
        <v>33</v>
      </c>
      <c r="I5026" s="7" t="n">
        <f aca="false">IF(AND(LEFT(A5026,1)&lt;&gt;"C",D5026&gt;0,F5026&gt;0),1,0)</f>
        <v>1</v>
      </c>
      <c r="J5026" s="7" t="n">
        <f aca="false">IF(I5026=1,D5026*F5026,0)</f>
        <v>7.8</v>
      </c>
      <c r="K5026" s="7" t="n">
        <f aca="false">YEAR(E5026)*100+MONTH(E5026)</f>
        <v>201111</v>
      </c>
      <c r="L5026" s="7" t="n">
        <f aca="false">IF(AND(A5026&lt;&gt;A5025,LEFT(A5026,1)&lt;&gt;"C"),1,0)</f>
        <v>0</v>
      </c>
    </row>
    <row r="5027" customFormat="false" ht="15" hidden="false" customHeight="false" outlineLevel="0" collapsed="false">
      <c r="A5027" s="0" t="s">
        <v>2963</v>
      </c>
      <c r="B5027" s="0" t="s">
        <v>1981</v>
      </c>
      <c r="C5027" s="0" t="s">
        <v>1982</v>
      </c>
      <c r="D5027" s="0" t="n">
        <v>8</v>
      </c>
      <c r="E5027" s="6" t="n">
        <v>40858.58125</v>
      </c>
      <c r="F5027" s="0" t="n">
        <v>0.65</v>
      </c>
      <c r="G5027" s="0" t="n">
        <v>12517</v>
      </c>
      <c r="H5027" s="0" t="s">
        <v>33</v>
      </c>
      <c r="I5027" s="7" t="n">
        <f aca="false">IF(AND(LEFT(A5027,1)&lt;&gt;"C",D5027&gt;0,F5027&gt;0),1,0)</f>
        <v>1</v>
      </c>
      <c r="J5027" s="7" t="n">
        <f aca="false">IF(I5027=1,D5027*F5027,0)</f>
        <v>5.2</v>
      </c>
      <c r="K5027" s="7" t="n">
        <f aca="false">YEAR(E5027)*100+MONTH(E5027)</f>
        <v>201111</v>
      </c>
      <c r="L5027" s="7" t="n">
        <f aca="false">IF(AND(A5027&lt;&gt;A5026,LEFT(A5027,1)&lt;&gt;"C"),1,0)</f>
        <v>0</v>
      </c>
    </row>
    <row r="5028" customFormat="false" ht="15" hidden="false" customHeight="false" outlineLevel="0" collapsed="false">
      <c r="A5028" s="0" t="s">
        <v>2963</v>
      </c>
      <c r="B5028" s="0" t="s">
        <v>1843</v>
      </c>
      <c r="C5028" s="0" t="s">
        <v>1844</v>
      </c>
      <c r="D5028" s="0" t="n">
        <v>4</v>
      </c>
      <c r="E5028" s="6" t="n">
        <v>40858.58125</v>
      </c>
      <c r="F5028" s="0" t="n">
        <v>0.65</v>
      </c>
      <c r="G5028" s="0" t="n">
        <v>12517</v>
      </c>
      <c r="H5028" s="0" t="s">
        <v>33</v>
      </c>
      <c r="I5028" s="7" t="n">
        <f aca="false">IF(AND(LEFT(A5028,1)&lt;&gt;"C",D5028&gt;0,F5028&gt;0),1,0)</f>
        <v>1</v>
      </c>
      <c r="J5028" s="7" t="n">
        <f aca="false">IF(I5028=1,D5028*F5028,0)</f>
        <v>2.6</v>
      </c>
      <c r="K5028" s="7" t="n">
        <f aca="false">YEAR(E5028)*100+MONTH(E5028)</f>
        <v>201111</v>
      </c>
      <c r="L5028" s="7" t="n">
        <f aca="false">IF(AND(A5028&lt;&gt;A5027,LEFT(A5028,1)&lt;&gt;"C"),1,0)</f>
        <v>0</v>
      </c>
    </row>
    <row r="5029" customFormat="false" ht="15" hidden="false" customHeight="false" outlineLevel="0" collapsed="false">
      <c r="A5029" s="0" t="s">
        <v>2963</v>
      </c>
      <c r="B5029" s="0" t="s">
        <v>359</v>
      </c>
      <c r="C5029" s="0" t="s">
        <v>360</v>
      </c>
      <c r="D5029" s="0" t="n">
        <v>2</v>
      </c>
      <c r="E5029" s="6" t="n">
        <v>40858.58125</v>
      </c>
      <c r="F5029" s="0" t="n">
        <v>2.95</v>
      </c>
      <c r="G5029" s="0" t="n">
        <v>12517</v>
      </c>
      <c r="H5029" s="0" t="s">
        <v>33</v>
      </c>
      <c r="I5029" s="7" t="n">
        <f aca="false">IF(AND(LEFT(A5029,1)&lt;&gt;"C",D5029&gt;0,F5029&gt;0),1,0)</f>
        <v>1</v>
      </c>
      <c r="J5029" s="7" t="n">
        <f aca="false">IF(I5029=1,D5029*F5029,0)</f>
        <v>5.9</v>
      </c>
      <c r="K5029" s="7" t="n">
        <f aca="false">YEAR(E5029)*100+MONTH(E5029)</f>
        <v>201111</v>
      </c>
      <c r="L5029" s="7" t="n">
        <f aca="false">IF(AND(A5029&lt;&gt;A5028,LEFT(A5029,1)&lt;&gt;"C"),1,0)</f>
        <v>0</v>
      </c>
    </row>
    <row r="5030" customFormat="false" ht="15" hidden="false" customHeight="false" outlineLevel="0" collapsed="false">
      <c r="A5030" s="0" t="s">
        <v>2963</v>
      </c>
      <c r="B5030" s="0" t="s">
        <v>769</v>
      </c>
      <c r="C5030" s="0" t="s">
        <v>770</v>
      </c>
      <c r="D5030" s="0" t="n">
        <v>2</v>
      </c>
      <c r="E5030" s="6" t="n">
        <v>40858.58125</v>
      </c>
      <c r="F5030" s="0" t="n">
        <v>1.45</v>
      </c>
      <c r="G5030" s="0" t="n">
        <v>12517</v>
      </c>
      <c r="H5030" s="0" t="s">
        <v>33</v>
      </c>
      <c r="I5030" s="7" t="n">
        <f aca="false">IF(AND(LEFT(A5030,1)&lt;&gt;"C",D5030&gt;0,F5030&gt;0),1,0)</f>
        <v>1</v>
      </c>
      <c r="J5030" s="7" t="n">
        <f aca="false">IF(I5030=1,D5030*F5030,0)</f>
        <v>2.9</v>
      </c>
      <c r="K5030" s="7" t="n">
        <f aca="false">YEAR(E5030)*100+MONTH(E5030)</f>
        <v>201111</v>
      </c>
      <c r="L5030" s="7" t="n">
        <f aca="false">IF(AND(A5030&lt;&gt;A5029,LEFT(A5030,1)&lt;&gt;"C"),1,0)</f>
        <v>0</v>
      </c>
    </row>
    <row r="5031" customFormat="false" ht="15" hidden="false" customHeight="false" outlineLevel="0" collapsed="false">
      <c r="A5031" s="0" t="s">
        <v>2963</v>
      </c>
      <c r="B5031" s="0" t="s">
        <v>1375</v>
      </c>
      <c r="C5031" s="0" t="s">
        <v>1376</v>
      </c>
      <c r="D5031" s="0" t="n">
        <v>2</v>
      </c>
      <c r="E5031" s="6" t="n">
        <v>40858.58125</v>
      </c>
      <c r="F5031" s="0" t="n">
        <v>1.45</v>
      </c>
      <c r="G5031" s="0" t="n">
        <v>12517</v>
      </c>
      <c r="H5031" s="0" t="s">
        <v>33</v>
      </c>
      <c r="I5031" s="7" t="n">
        <f aca="false">IF(AND(LEFT(A5031,1)&lt;&gt;"C",D5031&gt;0,F5031&gt;0),1,0)</f>
        <v>1</v>
      </c>
      <c r="J5031" s="7" t="n">
        <f aca="false">IF(I5031=1,D5031*F5031,0)</f>
        <v>2.9</v>
      </c>
      <c r="K5031" s="7" t="n">
        <f aca="false">YEAR(E5031)*100+MONTH(E5031)</f>
        <v>201111</v>
      </c>
      <c r="L5031" s="7" t="n">
        <f aca="false">IF(AND(A5031&lt;&gt;A5030,LEFT(A5031,1)&lt;&gt;"C"),1,0)</f>
        <v>0</v>
      </c>
    </row>
    <row r="5032" customFormat="false" ht="15" hidden="false" customHeight="false" outlineLevel="0" collapsed="false">
      <c r="A5032" s="0" t="s">
        <v>2963</v>
      </c>
      <c r="B5032" s="0" t="s">
        <v>127</v>
      </c>
      <c r="C5032" s="0" t="s">
        <v>128</v>
      </c>
      <c r="D5032" s="0" t="n">
        <v>3</v>
      </c>
      <c r="E5032" s="6" t="n">
        <v>40858.58125</v>
      </c>
      <c r="F5032" s="0" t="n">
        <v>1.65</v>
      </c>
      <c r="G5032" s="0" t="n">
        <v>12517</v>
      </c>
      <c r="H5032" s="0" t="s">
        <v>33</v>
      </c>
      <c r="I5032" s="7" t="n">
        <f aca="false">IF(AND(LEFT(A5032,1)&lt;&gt;"C",D5032&gt;0,F5032&gt;0),1,0)</f>
        <v>1</v>
      </c>
      <c r="J5032" s="7" t="n">
        <f aca="false">IF(I5032=1,D5032*F5032,0)</f>
        <v>4.95</v>
      </c>
      <c r="K5032" s="7" t="n">
        <f aca="false">YEAR(E5032)*100+MONTH(E5032)</f>
        <v>201111</v>
      </c>
      <c r="L5032" s="7" t="n">
        <f aca="false">IF(AND(A5032&lt;&gt;A5031,LEFT(A5032,1)&lt;&gt;"C"),1,0)</f>
        <v>0</v>
      </c>
    </row>
    <row r="5033" customFormat="false" ht="15" hidden="false" customHeight="false" outlineLevel="0" collapsed="false">
      <c r="A5033" s="0" t="s">
        <v>2963</v>
      </c>
      <c r="B5033" s="0" t="s">
        <v>131</v>
      </c>
      <c r="C5033" s="0" t="s">
        <v>132</v>
      </c>
      <c r="D5033" s="0" t="n">
        <v>3</v>
      </c>
      <c r="E5033" s="6" t="n">
        <v>40858.58125</v>
      </c>
      <c r="F5033" s="0" t="n">
        <v>1.65</v>
      </c>
      <c r="G5033" s="0" t="n">
        <v>12517</v>
      </c>
      <c r="H5033" s="0" t="s">
        <v>33</v>
      </c>
      <c r="I5033" s="7" t="n">
        <f aca="false">IF(AND(LEFT(A5033,1)&lt;&gt;"C",D5033&gt;0,F5033&gt;0),1,0)</f>
        <v>1</v>
      </c>
      <c r="J5033" s="7" t="n">
        <f aca="false">IF(I5033=1,D5033*F5033,0)</f>
        <v>4.95</v>
      </c>
      <c r="K5033" s="7" t="n">
        <f aca="false">YEAR(E5033)*100+MONTH(E5033)</f>
        <v>201111</v>
      </c>
      <c r="L5033" s="7" t="n">
        <f aca="false">IF(AND(A5033&lt;&gt;A5032,LEFT(A5033,1)&lt;&gt;"C"),1,0)</f>
        <v>0</v>
      </c>
    </row>
    <row r="5034" customFormat="false" ht="15" hidden="false" customHeight="false" outlineLevel="0" collapsed="false">
      <c r="A5034" s="0" t="s">
        <v>2963</v>
      </c>
      <c r="B5034" s="0" t="s">
        <v>1221</v>
      </c>
      <c r="C5034" s="0" t="s">
        <v>1222</v>
      </c>
      <c r="D5034" s="0" t="n">
        <v>6</v>
      </c>
      <c r="E5034" s="6" t="n">
        <v>40858.58125</v>
      </c>
      <c r="F5034" s="0" t="n">
        <v>1.65</v>
      </c>
      <c r="G5034" s="0" t="n">
        <v>12517</v>
      </c>
      <c r="H5034" s="0" t="s">
        <v>33</v>
      </c>
      <c r="I5034" s="7" t="n">
        <f aca="false">IF(AND(LEFT(A5034,1)&lt;&gt;"C",D5034&gt;0,F5034&gt;0),1,0)</f>
        <v>1</v>
      </c>
      <c r="J5034" s="7" t="n">
        <f aca="false">IF(I5034=1,D5034*F5034,0)</f>
        <v>9.9</v>
      </c>
      <c r="K5034" s="7" t="n">
        <f aca="false">YEAR(E5034)*100+MONTH(E5034)</f>
        <v>201111</v>
      </c>
      <c r="L5034" s="7" t="n">
        <f aca="false">IF(AND(A5034&lt;&gt;A5033,LEFT(A5034,1)&lt;&gt;"C"),1,0)</f>
        <v>0</v>
      </c>
    </row>
    <row r="5035" customFormat="false" ht="15" hidden="false" customHeight="false" outlineLevel="0" collapsed="false">
      <c r="A5035" s="0" t="s">
        <v>2963</v>
      </c>
      <c r="B5035" s="0" t="s">
        <v>2968</v>
      </c>
      <c r="C5035" s="0" t="s">
        <v>2969</v>
      </c>
      <c r="D5035" s="0" t="n">
        <v>1</v>
      </c>
      <c r="E5035" s="6" t="n">
        <v>40858.58125</v>
      </c>
      <c r="F5035" s="0" t="n">
        <v>1.25</v>
      </c>
      <c r="G5035" s="0" t="n">
        <v>12517</v>
      </c>
      <c r="H5035" s="0" t="s">
        <v>33</v>
      </c>
      <c r="I5035" s="7" t="n">
        <f aca="false">IF(AND(LEFT(A5035,1)&lt;&gt;"C",D5035&gt;0,F5035&gt;0),1,0)</f>
        <v>1</v>
      </c>
      <c r="J5035" s="7" t="n">
        <f aca="false">IF(I5035=1,D5035*F5035,0)</f>
        <v>1.25</v>
      </c>
      <c r="K5035" s="7" t="n">
        <f aca="false">YEAR(E5035)*100+MONTH(E5035)</f>
        <v>201111</v>
      </c>
      <c r="L5035" s="7" t="n">
        <f aca="false">IF(AND(A5035&lt;&gt;A5034,LEFT(A5035,1)&lt;&gt;"C"),1,0)</f>
        <v>0</v>
      </c>
    </row>
    <row r="5036" customFormat="false" ht="15" hidden="false" customHeight="false" outlineLevel="0" collapsed="false">
      <c r="A5036" s="0" t="s">
        <v>2963</v>
      </c>
      <c r="B5036" s="0" t="s">
        <v>2970</v>
      </c>
      <c r="C5036" s="0" t="s">
        <v>2971</v>
      </c>
      <c r="D5036" s="0" t="n">
        <v>2</v>
      </c>
      <c r="E5036" s="6" t="n">
        <v>40858.58125</v>
      </c>
      <c r="F5036" s="0" t="n">
        <v>4.25</v>
      </c>
      <c r="G5036" s="0" t="n">
        <v>12517</v>
      </c>
      <c r="H5036" s="0" t="s">
        <v>33</v>
      </c>
      <c r="I5036" s="7" t="n">
        <f aca="false">IF(AND(LEFT(A5036,1)&lt;&gt;"C",D5036&gt;0,F5036&gt;0),1,0)</f>
        <v>1</v>
      </c>
      <c r="J5036" s="7" t="n">
        <f aca="false">IF(I5036=1,D5036*F5036,0)</f>
        <v>8.5</v>
      </c>
      <c r="K5036" s="7" t="n">
        <f aca="false">YEAR(E5036)*100+MONTH(E5036)</f>
        <v>201111</v>
      </c>
      <c r="L5036" s="7" t="n">
        <f aca="false">IF(AND(A5036&lt;&gt;A5035,LEFT(A5036,1)&lt;&gt;"C"),1,0)</f>
        <v>0</v>
      </c>
    </row>
    <row r="5037" customFormat="false" ht="15" hidden="false" customHeight="false" outlineLevel="0" collapsed="false">
      <c r="A5037" s="0" t="s">
        <v>2963</v>
      </c>
      <c r="B5037" s="0" t="s">
        <v>353</v>
      </c>
      <c r="C5037" s="0" t="s">
        <v>354</v>
      </c>
      <c r="D5037" s="0" t="n">
        <v>2</v>
      </c>
      <c r="E5037" s="6" t="n">
        <v>40858.58125</v>
      </c>
      <c r="F5037" s="0" t="n">
        <v>4.25</v>
      </c>
      <c r="G5037" s="0" t="n">
        <v>12517</v>
      </c>
      <c r="H5037" s="0" t="s">
        <v>33</v>
      </c>
      <c r="I5037" s="7" t="n">
        <f aca="false">IF(AND(LEFT(A5037,1)&lt;&gt;"C",D5037&gt;0,F5037&gt;0),1,0)</f>
        <v>1</v>
      </c>
      <c r="J5037" s="7" t="n">
        <f aca="false">IF(I5037=1,D5037*F5037,0)</f>
        <v>8.5</v>
      </c>
      <c r="K5037" s="7" t="n">
        <f aca="false">YEAR(E5037)*100+MONTH(E5037)</f>
        <v>201111</v>
      </c>
      <c r="L5037" s="7" t="n">
        <f aca="false">IF(AND(A5037&lt;&gt;A5036,LEFT(A5037,1)&lt;&gt;"C"),1,0)</f>
        <v>0</v>
      </c>
    </row>
    <row r="5038" customFormat="false" ht="15" hidden="false" customHeight="false" outlineLevel="0" collapsed="false">
      <c r="A5038" s="0" t="s">
        <v>2963</v>
      </c>
      <c r="B5038" s="0" t="s">
        <v>2076</v>
      </c>
      <c r="C5038" s="0" t="s">
        <v>2077</v>
      </c>
      <c r="D5038" s="0" t="n">
        <v>2</v>
      </c>
      <c r="E5038" s="6" t="n">
        <v>40858.58125</v>
      </c>
      <c r="F5038" s="0" t="n">
        <v>4.25</v>
      </c>
      <c r="G5038" s="0" t="n">
        <v>12517</v>
      </c>
      <c r="H5038" s="0" t="s">
        <v>33</v>
      </c>
      <c r="I5038" s="7" t="n">
        <f aca="false">IF(AND(LEFT(A5038,1)&lt;&gt;"C",D5038&gt;0,F5038&gt;0),1,0)</f>
        <v>1</v>
      </c>
      <c r="J5038" s="7" t="n">
        <f aca="false">IF(I5038=1,D5038*F5038,0)</f>
        <v>8.5</v>
      </c>
      <c r="K5038" s="7" t="n">
        <f aca="false">YEAR(E5038)*100+MONTH(E5038)</f>
        <v>201111</v>
      </c>
      <c r="L5038" s="7" t="n">
        <f aca="false">IF(AND(A5038&lt;&gt;A5037,LEFT(A5038,1)&lt;&gt;"C"),1,0)</f>
        <v>0</v>
      </c>
    </row>
    <row r="5039" customFormat="false" ht="15" hidden="false" customHeight="false" outlineLevel="0" collapsed="false">
      <c r="A5039" s="0" t="s">
        <v>2963</v>
      </c>
      <c r="B5039" s="0" t="s">
        <v>614</v>
      </c>
      <c r="C5039" s="0" t="s">
        <v>615</v>
      </c>
      <c r="D5039" s="0" t="n">
        <v>1</v>
      </c>
      <c r="E5039" s="6" t="n">
        <v>40858.58125</v>
      </c>
      <c r="F5039" s="0" t="n">
        <v>1.25</v>
      </c>
      <c r="G5039" s="0" t="n">
        <v>12517</v>
      </c>
      <c r="H5039" s="0" t="s">
        <v>33</v>
      </c>
      <c r="I5039" s="7" t="n">
        <f aca="false">IF(AND(LEFT(A5039,1)&lt;&gt;"C",D5039&gt;0,F5039&gt;0),1,0)</f>
        <v>1</v>
      </c>
      <c r="J5039" s="7" t="n">
        <f aca="false">IF(I5039=1,D5039*F5039,0)</f>
        <v>1.25</v>
      </c>
      <c r="K5039" s="7" t="n">
        <f aca="false">YEAR(E5039)*100+MONTH(E5039)</f>
        <v>201111</v>
      </c>
      <c r="L5039" s="7" t="n">
        <f aca="false">IF(AND(A5039&lt;&gt;A5038,LEFT(A5039,1)&lt;&gt;"C"),1,0)</f>
        <v>0</v>
      </c>
    </row>
    <row r="5040" customFormat="false" ht="15" hidden="false" customHeight="false" outlineLevel="0" collapsed="false">
      <c r="A5040" s="0" t="s">
        <v>2963</v>
      </c>
      <c r="B5040" s="0" t="s">
        <v>614</v>
      </c>
      <c r="C5040" s="0" t="s">
        <v>615</v>
      </c>
      <c r="D5040" s="0" t="n">
        <v>1</v>
      </c>
      <c r="E5040" s="6" t="n">
        <v>40858.58125</v>
      </c>
      <c r="F5040" s="0" t="n">
        <v>1.25</v>
      </c>
      <c r="G5040" s="0" t="n">
        <v>12517</v>
      </c>
      <c r="H5040" s="0" t="s">
        <v>33</v>
      </c>
      <c r="I5040" s="7" t="n">
        <f aca="false">IF(AND(LEFT(A5040,1)&lt;&gt;"C",D5040&gt;0,F5040&gt;0),1,0)</f>
        <v>1</v>
      </c>
      <c r="J5040" s="7" t="n">
        <f aca="false">IF(I5040=1,D5040*F5040,0)</f>
        <v>1.25</v>
      </c>
      <c r="K5040" s="7" t="n">
        <f aca="false">YEAR(E5040)*100+MONTH(E5040)</f>
        <v>201111</v>
      </c>
      <c r="L5040" s="7" t="n">
        <f aca="false">IF(AND(A5040&lt;&gt;A5039,LEFT(A5040,1)&lt;&gt;"C"),1,0)</f>
        <v>0</v>
      </c>
    </row>
    <row r="5041" customFormat="false" ht="15" hidden="false" customHeight="false" outlineLevel="0" collapsed="false">
      <c r="A5041" s="0" t="s">
        <v>2963</v>
      </c>
      <c r="B5041" s="0" t="s">
        <v>2968</v>
      </c>
      <c r="C5041" s="0" t="s">
        <v>2969</v>
      </c>
      <c r="D5041" s="0" t="n">
        <v>1</v>
      </c>
      <c r="E5041" s="6" t="n">
        <v>40858.58125</v>
      </c>
      <c r="F5041" s="0" t="n">
        <v>1.25</v>
      </c>
      <c r="G5041" s="0" t="n">
        <v>12517</v>
      </c>
      <c r="H5041" s="0" t="s">
        <v>33</v>
      </c>
      <c r="I5041" s="7" t="n">
        <f aca="false">IF(AND(LEFT(A5041,1)&lt;&gt;"C",D5041&gt;0,F5041&gt;0),1,0)</f>
        <v>1</v>
      </c>
      <c r="J5041" s="7" t="n">
        <f aca="false">IF(I5041=1,D5041*F5041,0)</f>
        <v>1.25</v>
      </c>
      <c r="K5041" s="7" t="n">
        <f aca="false">YEAR(E5041)*100+MONTH(E5041)</f>
        <v>201111</v>
      </c>
      <c r="L5041" s="7" t="n">
        <f aca="false">IF(AND(A5041&lt;&gt;A5040,LEFT(A5041,1)&lt;&gt;"C"),1,0)</f>
        <v>0</v>
      </c>
    </row>
    <row r="5042" customFormat="false" ht="15" hidden="false" customHeight="false" outlineLevel="0" collapsed="false">
      <c r="A5042" s="0" t="s">
        <v>2963</v>
      </c>
      <c r="B5042" s="0" t="s">
        <v>1401</v>
      </c>
      <c r="C5042" s="0" t="s">
        <v>1402</v>
      </c>
      <c r="D5042" s="0" t="n">
        <v>4</v>
      </c>
      <c r="E5042" s="6" t="n">
        <v>40858.58125</v>
      </c>
      <c r="F5042" s="0" t="n">
        <v>1.65</v>
      </c>
      <c r="G5042" s="0" t="n">
        <v>12517</v>
      </c>
      <c r="H5042" s="0" t="s">
        <v>33</v>
      </c>
      <c r="I5042" s="7" t="n">
        <f aca="false">IF(AND(LEFT(A5042,1)&lt;&gt;"C",D5042&gt;0,F5042&gt;0),1,0)</f>
        <v>1</v>
      </c>
      <c r="J5042" s="7" t="n">
        <f aca="false">IF(I5042=1,D5042*F5042,0)</f>
        <v>6.6</v>
      </c>
      <c r="K5042" s="7" t="n">
        <f aca="false">YEAR(E5042)*100+MONTH(E5042)</f>
        <v>201111</v>
      </c>
      <c r="L5042" s="7" t="n">
        <f aca="false">IF(AND(A5042&lt;&gt;A5041,LEFT(A5042,1)&lt;&gt;"C"),1,0)</f>
        <v>0</v>
      </c>
    </row>
    <row r="5043" customFormat="false" ht="15" hidden="false" customHeight="false" outlineLevel="0" collapsed="false">
      <c r="A5043" s="0" t="s">
        <v>2963</v>
      </c>
      <c r="B5043" s="0" t="s">
        <v>1120</v>
      </c>
      <c r="C5043" s="0" t="s">
        <v>1121</v>
      </c>
      <c r="D5043" s="0" t="n">
        <v>3</v>
      </c>
      <c r="E5043" s="6" t="n">
        <v>40858.58125</v>
      </c>
      <c r="F5043" s="0" t="n">
        <v>3.75</v>
      </c>
      <c r="G5043" s="0" t="n">
        <v>12517</v>
      </c>
      <c r="H5043" s="0" t="s">
        <v>33</v>
      </c>
      <c r="I5043" s="7" t="n">
        <f aca="false">IF(AND(LEFT(A5043,1)&lt;&gt;"C",D5043&gt;0,F5043&gt;0),1,0)</f>
        <v>1</v>
      </c>
      <c r="J5043" s="7" t="n">
        <f aca="false">IF(I5043=1,D5043*F5043,0)</f>
        <v>11.25</v>
      </c>
      <c r="K5043" s="7" t="n">
        <f aca="false">YEAR(E5043)*100+MONTH(E5043)</f>
        <v>201111</v>
      </c>
      <c r="L5043" s="7" t="n">
        <f aca="false">IF(AND(A5043&lt;&gt;A5042,LEFT(A5043,1)&lt;&gt;"C"),1,0)</f>
        <v>0</v>
      </c>
    </row>
    <row r="5044" customFormat="false" ht="15" hidden="false" customHeight="false" outlineLevel="0" collapsed="false">
      <c r="A5044" s="0" t="s">
        <v>2963</v>
      </c>
      <c r="B5044" s="0" t="s">
        <v>64</v>
      </c>
      <c r="C5044" s="0" t="s">
        <v>65</v>
      </c>
      <c r="D5044" s="0" t="n">
        <v>12</v>
      </c>
      <c r="E5044" s="6" t="n">
        <v>40858.58125</v>
      </c>
      <c r="F5044" s="0" t="n">
        <v>1.65</v>
      </c>
      <c r="G5044" s="0" t="n">
        <v>12517</v>
      </c>
      <c r="H5044" s="0" t="s">
        <v>33</v>
      </c>
      <c r="I5044" s="7" t="n">
        <f aca="false">IF(AND(LEFT(A5044,1)&lt;&gt;"C",D5044&gt;0,F5044&gt;0),1,0)</f>
        <v>1</v>
      </c>
      <c r="J5044" s="7" t="n">
        <f aca="false">IF(I5044=1,D5044*F5044,0)</f>
        <v>19.8</v>
      </c>
      <c r="K5044" s="7" t="n">
        <f aca="false">YEAR(E5044)*100+MONTH(E5044)</f>
        <v>201111</v>
      </c>
      <c r="L5044" s="7" t="n">
        <f aca="false">IF(AND(A5044&lt;&gt;A5043,LEFT(A5044,1)&lt;&gt;"C"),1,0)</f>
        <v>0</v>
      </c>
    </row>
    <row r="5045" customFormat="false" ht="15" hidden="false" customHeight="false" outlineLevel="0" collapsed="false">
      <c r="A5045" s="0" t="s">
        <v>2963</v>
      </c>
      <c r="B5045" s="0" t="s">
        <v>2393</v>
      </c>
      <c r="C5045" s="0" t="s">
        <v>2394</v>
      </c>
      <c r="D5045" s="0" t="n">
        <v>3</v>
      </c>
      <c r="E5045" s="6" t="n">
        <v>40858.58125</v>
      </c>
      <c r="F5045" s="0" t="n">
        <v>1.25</v>
      </c>
      <c r="G5045" s="0" t="n">
        <v>12517</v>
      </c>
      <c r="H5045" s="0" t="s">
        <v>33</v>
      </c>
      <c r="I5045" s="7" t="n">
        <f aca="false">IF(AND(LEFT(A5045,1)&lt;&gt;"C",D5045&gt;0,F5045&gt;0),1,0)</f>
        <v>1</v>
      </c>
      <c r="J5045" s="7" t="n">
        <f aca="false">IF(I5045=1,D5045*F5045,0)</f>
        <v>3.75</v>
      </c>
      <c r="K5045" s="7" t="n">
        <f aca="false">YEAR(E5045)*100+MONTH(E5045)</f>
        <v>201111</v>
      </c>
      <c r="L5045" s="7" t="n">
        <f aca="false">IF(AND(A5045&lt;&gt;A5044,LEFT(A5045,1)&lt;&gt;"C"),1,0)</f>
        <v>0</v>
      </c>
    </row>
    <row r="5046" customFormat="false" ht="15" hidden="false" customHeight="false" outlineLevel="0" collapsed="false">
      <c r="A5046" s="0" t="s">
        <v>2963</v>
      </c>
      <c r="B5046" s="0" t="s">
        <v>2395</v>
      </c>
      <c r="C5046" s="0" t="s">
        <v>2396</v>
      </c>
      <c r="D5046" s="0" t="n">
        <v>2</v>
      </c>
      <c r="E5046" s="6" t="n">
        <v>40858.58125</v>
      </c>
      <c r="F5046" s="0" t="n">
        <v>1.25</v>
      </c>
      <c r="G5046" s="0" t="n">
        <v>12517</v>
      </c>
      <c r="H5046" s="0" t="s">
        <v>33</v>
      </c>
      <c r="I5046" s="7" t="n">
        <f aca="false">IF(AND(LEFT(A5046,1)&lt;&gt;"C",D5046&gt;0,F5046&gt;0),1,0)</f>
        <v>1</v>
      </c>
      <c r="J5046" s="7" t="n">
        <f aca="false">IF(I5046=1,D5046*F5046,0)</f>
        <v>2.5</v>
      </c>
      <c r="K5046" s="7" t="n">
        <f aca="false">YEAR(E5046)*100+MONTH(E5046)</f>
        <v>201111</v>
      </c>
      <c r="L5046" s="7" t="n">
        <f aca="false">IF(AND(A5046&lt;&gt;A5045,LEFT(A5046,1)&lt;&gt;"C"),1,0)</f>
        <v>0</v>
      </c>
    </row>
    <row r="5047" customFormat="false" ht="15" hidden="false" customHeight="false" outlineLevel="0" collapsed="false">
      <c r="A5047" s="0" t="s">
        <v>2963</v>
      </c>
      <c r="B5047" s="0" t="s">
        <v>1418</v>
      </c>
      <c r="C5047" s="0" t="s">
        <v>1419</v>
      </c>
      <c r="D5047" s="0" t="n">
        <v>5</v>
      </c>
      <c r="E5047" s="6" t="n">
        <v>40858.58125</v>
      </c>
      <c r="F5047" s="0" t="n">
        <v>1.25</v>
      </c>
      <c r="G5047" s="0" t="n">
        <v>12517</v>
      </c>
      <c r="H5047" s="0" t="s">
        <v>33</v>
      </c>
      <c r="I5047" s="7" t="n">
        <f aca="false">IF(AND(LEFT(A5047,1)&lt;&gt;"C",D5047&gt;0,F5047&gt;0),1,0)</f>
        <v>1</v>
      </c>
      <c r="J5047" s="7" t="n">
        <f aca="false">IF(I5047=1,D5047*F5047,0)</f>
        <v>6.25</v>
      </c>
      <c r="K5047" s="7" t="n">
        <f aca="false">YEAR(E5047)*100+MONTH(E5047)</f>
        <v>201111</v>
      </c>
      <c r="L5047" s="7" t="n">
        <f aca="false">IF(AND(A5047&lt;&gt;A5046,LEFT(A5047,1)&lt;&gt;"C"),1,0)</f>
        <v>0</v>
      </c>
    </row>
    <row r="5048" customFormat="false" ht="15" hidden="false" customHeight="false" outlineLevel="0" collapsed="false">
      <c r="A5048" s="0" t="s">
        <v>2963</v>
      </c>
      <c r="B5048" s="0" t="s">
        <v>162</v>
      </c>
      <c r="C5048" s="0" t="s">
        <v>163</v>
      </c>
      <c r="D5048" s="0" t="n">
        <v>4</v>
      </c>
      <c r="E5048" s="6" t="n">
        <v>40858.58125</v>
      </c>
      <c r="F5048" s="0" t="n">
        <v>0.85</v>
      </c>
      <c r="G5048" s="0" t="n">
        <v>12517</v>
      </c>
      <c r="H5048" s="0" t="s">
        <v>33</v>
      </c>
      <c r="I5048" s="7" t="n">
        <f aca="false">IF(AND(LEFT(A5048,1)&lt;&gt;"C",D5048&gt;0,F5048&gt;0),1,0)</f>
        <v>1</v>
      </c>
      <c r="J5048" s="7" t="n">
        <f aca="false">IF(I5048=1,D5048*F5048,0)</f>
        <v>3.4</v>
      </c>
      <c r="K5048" s="7" t="n">
        <f aca="false">YEAR(E5048)*100+MONTH(E5048)</f>
        <v>201111</v>
      </c>
      <c r="L5048" s="7" t="n">
        <f aca="false">IF(AND(A5048&lt;&gt;A5047,LEFT(A5048,1)&lt;&gt;"C"),1,0)</f>
        <v>0</v>
      </c>
    </row>
    <row r="5049" customFormat="false" ht="15" hidden="false" customHeight="false" outlineLevel="0" collapsed="false">
      <c r="A5049" s="0" t="s">
        <v>2963</v>
      </c>
      <c r="B5049" s="0" t="s">
        <v>1234</v>
      </c>
      <c r="C5049" s="0" t="s">
        <v>1235</v>
      </c>
      <c r="D5049" s="0" t="n">
        <v>12</v>
      </c>
      <c r="E5049" s="6" t="n">
        <v>40858.58125</v>
      </c>
      <c r="F5049" s="0" t="n">
        <v>0.55</v>
      </c>
      <c r="G5049" s="0" t="n">
        <v>12517</v>
      </c>
      <c r="H5049" s="0" t="s">
        <v>33</v>
      </c>
      <c r="I5049" s="7" t="n">
        <f aca="false">IF(AND(LEFT(A5049,1)&lt;&gt;"C",D5049&gt;0,F5049&gt;0),1,0)</f>
        <v>1</v>
      </c>
      <c r="J5049" s="7" t="n">
        <f aca="false">IF(I5049=1,D5049*F5049,0)</f>
        <v>6.6</v>
      </c>
      <c r="K5049" s="7" t="n">
        <f aca="false">YEAR(E5049)*100+MONTH(E5049)</f>
        <v>201111</v>
      </c>
      <c r="L5049" s="7" t="n">
        <f aca="false">IF(AND(A5049&lt;&gt;A5048,LEFT(A5049,1)&lt;&gt;"C"),1,0)</f>
        <v>0</v>
      </c>
    </row>
    <row r="5050" customFormat="false" ht="15" hidden="false" customHeight="false" outlineLevel="0" collapsed="false">
      <c r="A5050" s="0" t="s">
        <v>2963</v>
      </c>
      <c r="B5050" s="0" t="s">
        <v>217</v>
      </c>
      <c r="C5050" s="0" t="s">
        <v>218</v>
      </c>
      <c r="D5050" s="0" t="n">
        <v>12</v>
      </c>
      <c r="E5050" s="6" t="n">
        <v>40858.58125</v>
      </c>
      <c r="F5050" s="0" t="n">
        <v>0.55</v>
      </c>
      <c r="G5050" s="0" t="n">
        <v>12517</v>
      </c>
      <c r="H5050" s="0" t="s">
        <v>33</v>
      </c>
      <c r="I5050" s="7" t="n">
        <f aca="false">IF(AND(LEFT(A5050,1)&lt;&gt;"C",D5050&gt;0,F5050&gt;0),1,0)</f>
        <v>1</v>
      </c>
      <c r="J5050" s="7" t="n">
        <f aca="false">IF(I5050=1,D5050*F5050,0)</f>
        <v>6.6</v>
      </c>
      <c r="K5050" s="7" t="n">
        <f aca="false">YEAR(E5050)*100+MONTH(E5050)</f>
        <v>201111</v>
      </c>
      <c r="L5050" s="7" t="n">
        <f aca="false">IF(AND(A5050&lt;&gt;A5049,LEFT(A5050,1)&lt;&gt;"C"),1,0)</f>
        <v>0</v>
      </c>
    </row>
    <row r="5051" customFormat="false" ht="15" hidden="false" customHeight="false" outlineLevel="0" collapsed="false">
      <c r="A5051" s="0" t="s">
        <v>2963</v>
      </c>
      <c r="B5051" s="0" t="s">
        <v>219</v>
      </c>
      <c r="C5051" s="0" t="s">
        <v>220</v>
      </c>
      <c r="D5051" s="0" t="n">
        <v>6</v>
      </c>
      <c r="E5051" s="6" t="n">
        <v>40858.58125</v>
      </c>
      <c r="F5051" s="0" t="n">
        <v>0.55</v>
      </c>
      <c r="G5051" s="0" t="n">
        <v>12517</v>
      </c>
      <c r="H5051" s="0" t="s">
        <v>33</v>
      </c>
      <c r="I5051" s="7" t="n">
        <f aca="false">IF(AND(LEFT(A5051,1)&lt;&gt;"C",D5051&gt;0,F5051&gt;0),1,0)</f>
        <v>1</v>
      </c>
      <c r="J5051" s="7" t="n">
        <f aca="false">IF(I5051=1,D5051*F5051,0)</f>
        <v>3.3</v>
      </c>
      <c r="K5051" s="7" t="n">
        <f aca="false">YEAR(E5051)*100+MONTH(E5051)</f>
        <v>201111</v>
      </c>
      <c r="L5051" s="7" t="n">
        <f aca="false">IF(AND(A5051&lt;&gt;A5050,LEFT(A5051,1)&lt;&gt;"C"),1,0)</f>
        <v>0</v>
      </c>
    </row>
    <row r="5052" customFormat="false" ht="15" hidden="false" customHeight="false" outlineLevel="0" collapsed="false">
      <c r="A5052" s="0" t="s">
        <v>2963</v>
      </c>
      <c r="B5052" s="0" t="s">
        <v>1300</v>
      </c>
      <c r="C5052" s="0" t="s">
        <v>1301</v>
      </c>
      <c r="D5052" s="0" t="n">
        <v>6</v>
      </c>
      <c r="E5052" s="6" t="n">
        <v>40858.58125</v>
      </c>
      <c r="F5052" s="0" t="n">
        <v>0.55</v>
      </c>
      <c r="G5052" s="0" t="n">
        <v>12517</v>
      </c>
      <c r="H5052" s="0" t="s">
        <v>33</v>
      </c>
      <c r="I5052" s="7" t="n">
        <f aca="false">IF(AND(LEFT(A5052,1)&lt;&gt;"C",D5052&gt;0,F5052&gt;0),1,0)</f>
        <v>1</v>
      </c>
      <c r="J5052" s="7" t="n">
        <f aca="false">IF(I5052=1,D5052*F5052,0)</f>
        <v>3.3</v>
      </c>
      <c r="K5052" s="7" t="n">
        <f aca="false">YEAR(E5052)*100+MONTH(E5052)</f>
        <v>201111</v>
      </c>
      <c r="L5052" s="7" t="n">
        <f aca="false">IF(AND(A5052&lt;&gt;A5051,LEFT(A5052,1)&lt;&gt;"C"),1,0)</f>
        <v>0</v>
      </c>
    </row>
    <row r="5053" customFormat="false" ht="15" hidden="false" customHeight="false" outlineLevel="0" collapsed="false">
      <c r="A5053" s="0" t="s">
        <v>2963</v>
      </c>
      <c r="B5053" s="0" t="s">
        <v>941</v>
      </c>
      <c r="C5053" s="0" t="s">
        <v>942</v>
      </c>
      <c r="D5053" s="0" t="n">
        <v>6</v>
      </c>
      <c r="E5053" s="6" t="n">
        <v>40858.58125</v>
      </c>
      <c r="F5053" s="0" t="n">
        <v>0.55</v>
      </c>
      <c r="G5053" s="0" t="n">
        <v>12517</v>
      </c>
      <c r="H5053" s="0" t="s">
        <v>33</v>
      </c>
      <c r="I5053" s="7" t="n">
        <f aca="false">IF(AND(LEFT(A5053,1)&lt;&gt;"C",D5053&gt;0,F5053&gt;0),1,0)</f>
        <v>1</v>
      </c>
      <c r="J5053" s="7" t="n">
        <f aca="false">IF(I5053=1,D5053*F5053,0)</f>
        <v>3.3</v>
      </c>
      <c r="K5053" s="7" t="n">
        <f aca="false">YEAR(E5053)*100+MONTH(E5053)</f>
        <v>201111</v>
      </c>
      <c r="L5053" s="7" t="n">
        <f aca="false">IF(AND(A5053&lt;&gt;A5052,LEFT(A5053,1)&lt;&gt;"C"),1,0)</f>
        <v>0</v>
      </c>
    </row>
    <row r="5054" customFormat="false" ht="15" hidden="false" customHeight="false" outlineLevel="0" collapsed="false">
      <c r="A5054" s="0" t="s">
        <v>2963</v>
      </c>
      <c r="B5054" s="0" t="s">
        <v>2599</v>
      </c>
      <c r="C5054" s="0" t="s">
        <v>2600</v>
      </c>
      <c r="D5054" s="0" t="n">
        <v>6</v>
      </c>
      <c r="E5054" s="6" t="n">
        <v>40858.58125</v>
      </c>
      <c r="F5054" s="0" t="n">
        <v>0.55</v>
      </c>
      <c r="G5054" s="0" t="n">
        <v>12517</v>
      </c>
      <c r="H5054" s="0" t="s">
        <v>33</v>
      </c>
      <c r="I5054" s="7" t="n">
        <f aca="false">IF(AND(LEFT(A5054,1)&lt;&gt;"C",D5054&gt;0,F5054&gt;0),1,0)</f>
        <v>1</v>
      </c>
      <c r="J5054" s="7" t="n">
        <f aca="false">IF(I5054=1,D5054*F5054,0)</f>
        <v>3.3</v>
      </c>
      <c r="K5054" s="7" t="n">
        <f aca="false">YEAR(E5054)*100+MONTH(E5054)</f>
        <v>201111</v>
      </c>
      <c r="L5054" s="7" t="n">
        <f aca="false">IF(AND(A5054&lt;&gt;A5053,LEFT(A5054,1)&lt;&gt;"C"),1,0)</f>
        <v>0</v>
      </c>
    </row>
    <row r="5055" customFormat="false" ht="15" hidden="false" customHeight="false" outlineLevel="0" collapsed="false">
      <c r="A5055" s="0" t="s">
        <v>2963</v>
      </c>
      <c r="B5055" s="0" t="s">
        <v>1607</v>
      </c>
      <c r="C5055" s="0" t="s">
        <v>1608</v>
      </c>
      <c r="D5055" s="0" t="n">
        <v>11</v>
      </c>
      <c r="E5055" s="6" t="n">
        <v>40858.58125</v>
      </c>
      <c r="F5055" s="0" t="n">
        <v>0.42</v>
      </c>
      <c r="G5055" s="0" t="n">
        <v>12517</v>
      </c>
      <c r="H5055" s="0" t="s">
        <v>33</v>
      </c>
      <c r="I5055" s="7" t="n">
        <f aca="false">IF(AND(LEFT(A5055,1)&lt;&gt;"C",D5055&gt;0,F5055&gt;0),1,0)</f>
        <v>1</v>
      </c>
      <c r="J5055" s="7" t="n">
        <f aca="false">IF(I5055=1,D5055*F5055,0)</f>
        <v>4.62</v>
      </c>
      <c r="K5055" s="7" t="n">
        <f aca="false">YEAR(E5055)*100+MONTH(E5055)</f>
        <v>201111</v>
      </c>
      <c r="L5055" s="7" t="n">
        <f aca="false">IF(AND(A5055&lt;&gt;A5054,LEFT(A5055,1)&lt;&gt;"C"),1,0)</f>
        <v>0</v>
      </c>
    </row>
    <row r="5056" customFormat="false" ht="15" hidden="false" customHeight="false" outlineLevel="0" collapsed="false">
      <c r="A5056" s="0" t="s">
        <v>2963</v>
      </c>
      <c r="B5056" s="0" t="s">
        <v>335</v>
      </c>
      <c r="C5056" s="0" t="s">
        <v>336</v>
      </c>
      <c r="D5056" s="0" t="n">
        <v>6</v>
      </c>
      <c r="E5056" s="6" t="n">
        <v>40858.58125</v>
      </c>
      <c r="F5056" s="0" t="n">
        <v>1.65</v>
      </c>
      <c r="G5056" s="0" t="n">
        <v>12517</v>
      </c>
      <c r="H5056" s="0" t="s">
        <v>33</v>
      </c>
      <c r="I5056" s="7" t="n">
        <f aca="false">IF(AND(LEFT(A5056,1)&lt;&gt;"C",D5056&gt;0,F5056&gt;0),1,0)</f>
        <v>1</v>
      </c>
      <c r="J5056" s="7" t="n">
        <f aca="false">IF(I5056=1,D5056*F5056,0)</f>
        <v>9.9</v>
      </c>
      <c r="K5056" s="7" t="n">
        <f aca="false">YEAR(E5056)*100+MONTH(E5056)</f>
        <v>201111</v>
      </c>
      <c r="L5056" s="7" t="n">
        <f aca="false">IF(AND(A5056&lt;&gt;A5055,LEFT(A5056,1)&lt;&gt;"C"),1,0)</f>
        <v>0</v>
      </c>
    </row>
    <row r="5057" customFormat="false" ht="15" hidden="false" customHeight="false" outlineLevel="0" collapsed="false">
      <c r="A5057" s="0" t="s">
        <v>2963</v>
      </c>
      <c r="B5057" s="0" t="s">
        <v>333</v>
      </c>
      <c r="C5057" s="0" t="s">
        <v>334</v>
      </c>
      <c r="D5057" s="0" t="n">
        <v>6</v>
      </c>
      <c r="E5057" s="6" t="n">
        <v>40858.58125</v>
      </c>
      <c r="F5057" s="0" t="n">
        <v>1.65</v>
      </c>
      <c r="G5057" s="0" t="n">
        <v>12517</v>
      </c>
      <c r="H5057" s="0" t="s">
        <v>33</v>
      </c>
      <c r="I5057" s="7" t="n">
        <f aca="false">IF(AND(LEFT(A5057,1)&lt;&gt;"C",D5057&gt;0,F5057&gt;0),1,0)</f>
        <v>1</v>
      </c>
      <c r="J5057" s="7" t="n">
        <f aca="false">IF(I5057=1,D5057*F5057,0)</f>
        <v>9.9</v>
      </c>
      <c r="K5057" s="7" t="n">
        <f aca="false">YEAR(E5057)*100+MONTH(E5057)</f>
        <v>201111</v>
      </c>
      <c r="L5057" s="7" t="n">
        <f aca="false">IF(AND(A5057&lt;&gt;A5056,LEFT(A5057,1)&lt;&gt;"C"),1,0)</f>
        <v>0</v>
      </c>
    </row>
    <row r="5058" customFormat="false" ht="15" hidden="false" customHeight="false" outlineLevel="0" collapsed="false">
      <c r="A5058" s="0" t="s">
        <v>2963</v>
      </c>
      <c r="B5058" s="0" t="s">
        <v>215</v>
      </c>
      <c r="C5058" s="0" t="s">
        <v>216</v>
      </c>
      <c r="D5058" s="0" t="n">
        <v>6</v>
      </c>
      <c r="E5058" s="6" t="n">
        <v>40858.58125</v>
      </c>
      <c r="F5058" s="0" t="n">
        <v>0.55</v>
      </c>
      <c r="G5058" s="0" t="n">
        <v>12517</v>
      </c>
      <c r="H5058" s="0" t="s">
        <v>33</v>
      </c>
      <c r="I5058" s="7" t="n">
        <f aca="false">IF(AND(LEFT(A5058,1)&lt;&gt;"C",D5058&gt;0,F5058&gt;0),1,0)</f>
        <v>1</v>
      </c>
      <c r="J5058" s="7" t="n">
        <f aca="false">IF(I5058=1,D5058*F5058,0)</f>
        <v>3.3</v>
      </c>
      <c r="K5058" s="7" t="n">
        <f aca="false">YEAR(E5058)*100+MONTH(E5058)</f>
        <v>201111</v>
      </c>
      <c r="L5058" s="7" t="n">
        <f aca="false">IF(AND(A5058&lt;&gt;A5057,LEFT(A5058,1)&lt;&gt;"C"),1,0)</f>
        <v>0</v>
      </c>
    </row>
    <row r="5059" customFormat="false" ht="15" hidden="false" customHeight="false" outlineLevel="0" collapsed="false">
      <c r="A5059" s="0" t="s">
        <v>2963</v>
      </c>
      <c r="B5059" s="0" t="s">
        <v>771</v>
      </c>
      <c r="C5059" s="0" t="s">
        <v>772</v>
      </c>
      <c r="D5059" s="0" t="n">
        <v>6</v>
      </c>
      <c r="E5059" s="6" t="n">
        <v>40858.58125</v>
      </c>
      <c r="F5059" s="0" t="n">
        <v>0.55</v>
      </c>
      <c r="G5059" s="0" t="n">
        <v>12517</v>
      </c>
      <c r="H5059" s="0" t="s">
        <v>33</v>
      </c>
      <c r="I5059" s="7" t="n">
        <f aca="false">IF(AND(LEFT(A5059,1)&lt;&gt;"C",D5059&gt;0,F5059&gt;0),1,0)</f>
        <v>1</v>
      </c>
      <c r="J5059" s="7" t="n">
        <f aca="false">IF(I5059=1,D5059*F5059,0)</f>
        <v>3.3</v>
      </c>
      <c r="K5059" s="7" t="n">
        <f aca="false">YEAR(E5059)*100+MONTH(E5059)</f>
        <v>201111</v>
      </c>
      <c r="L5059" s="7" t="n">
        <f aca="false">IF(AND(A5059&lt;&gt;A5058,LEFT(A5059,1)&lt;&gt;"C"),1,0)</f>
        <v>0</v>
      </c>
    </row>
    <row r="5060" customFormat="false" ht="15" hidden="false" customHeight="false" outlineLevel="0" collapsed="false">
      <c r="A5060" s="0" t="s">
        <v>2963</v>
      </c>
      <c r="B5060" s="0" t="s">
        <v>103</v>
      </c>
      <c r="C5060" s="0" t="s">
        <v>104</v>
      </c>
      <c r="D5060" s="0" t="n">
        <v>6</v>
      </c>
      <c r="E5060" s="6" t="n">
        <v>40858.58125</v>
      </c>
      <c r="F5060" s="0" t="n">
        <v>0.55</v>
      </c>
      <c r="G5060" s="0" t="n">
        <v>12517</v>
      </c>
      <c r="H5060" s="0" t="s">
        <v>33</v>
      </c>
      <c r="I5060" s="7" t="n">
        <f aca="false">IF(AND(LEFT(A5060,1)&lt;&gt;"C",D5060&gt;0,F5060&gt;0),1,0)</f>
        <v>1</v>
      </c>
      <c r="J5060" s="7" t="n">
        <f aca="false">IF(I5060=1,D5060*F5060,0)</f>
        <v>3.3</v>
      </c>
      <c r="K5060" s="7" t="n">
        <f aca="false">YEAR(E5060)*100+MONTH(E5060)</f>
        <v>201111</v>
      </c>
      <c r="L5060" s="7" t="n">
        <f aca="false">IF(AND(A5060&lt;&gt;A5059,LEFT(A5060,1)&lt;&gt;"C"),1,0)</f>
        <v>0</v>
      </c>
    </row>
    <row r="5061" customFormat="false" ht="15" hidden="false" customHeight="false" outlineLevel="0" collapsed="false">
      <c r="A5061" s="0" t="s">
        <v>2963</v>
      </c>
      <c r="B5061" s="0" t="s">
        <v>966</v>
      </c>
      <c r="C5061" s="0" t="s">
        <v>967</v>
      </c>
      <c r="D5061" s="0" t="n">
        <v>6</v>
      </c>
      <c r="E5061" s="6" t="n">
        <v>40858.58125</v>
      </c>
      <c r="F5061" s="0" t="n">
        <v>0.55</v>
      </c>
      <c r="G5061" s="0" t="n">
        <v>12517</v>
      </c>
      <c r="H5061" s="0" t="s">
        <v>33</v>
      </c>
      <c r="I5061" s="7" t="n">
        <f aca="false">IF(AND(LEFT(A5061,1)&lt;&gt;"C",D5061&gt;0,F5061&gt;0),1,0)</f>
        <v>1</v>
      </c>
      <c r="J5061" s="7" t="n">
        <f aca="false">IF(I5061=1,D5061*F5061,0)</f>
        <v>3.3</v>
      </c>
      <c r="K5061" s="7" t="n">
        <f aca="false">YEAR(E5061)*100+MONTH(E5061)</f>
        <v>201111</v>
      </c>
      <c r="L5061" s="7" t="n">
        <f aca="false">IF(AND(A5061&lt;&gt;A5060,LEFT(A5061,1)&lt;&gt;"C"),1,0)</f>
        <v>0</v>
      </c>
    </row>
    <row r="5062" customFormat="false" ht="15" hidden="false" customHeight="false" outlineLevel="0" collapsed="false">
      <c r="A5062" s="0" t="s">
        <v>2963</v>
      </c>
      <c r="B5062" s="0" t="s">
        <v>144</v>
      </c>
      <c r="C5062" s="0" t="s">
        <v>2576</v>
      </c>
      <c r="D5062" s="0" t="n">
        <v>4</v>
      </c>
      <c r="E5062" s="6" t="n">
        <v>40858.58125</v>
      </c>
      <c r="F5062" s="0" t="n">
        <v>1.25</v>
      </c>
      <c r="G5062" s="0" t="n">
        <v>12517</v>
      </c>
      <c r="H5062" s="0" t="s">
        <v>33</v>
      </c>
      <c r="I5062" s="7" t="n">
        <f aca="false">IF(AND(LEFT(A5062,1)&lt;&gt;"C",D5062&gt;0,F5062&gt;0),1,0)</f>
        <v>1</v>
      </c>
      <c r="J5062" s="7" t="n">
        <f aca="false">IF(I5062=1,D5062*F5062,0)</f>
        <v>5</v>
      </c>
      <c r="K5062" s="7" t="n">
        <f aca="false">YEAR(E5062)*100+MONTH(E5062)</f>
        <v>201111</v>
      </c>
      <c r="L5062" s="7" t="n">
        <f aca="false">IF(AND(A5062&lt;&gt;A5061,LEFT(A5062,1)&lt;&gt;"C"),1,0)</f>
        <v>0</v>
      </c>
    </row>
    <row r="5063" customFormat="false" ht="15" hidden="false" customHeight="false" outlineLevel="0" collapsed="false">
      <c r="A5063" s="0" t="s">
        <v>2963</v>
      </c>
      <c r="B5063" s="0" t="s">
        <v>2972</v>
      </c>
      <c r="C5063" s="0" t="s">
        <v>2973</v>
      </c>
      <c r="D5063" s="0" t="n">
        <v>1</v>
      </c>
      <c r="E5063" s="6" t="n">
        <v>40858.58125</v>
      </c>
      <c r="F5063" s="0" t="n">
        <v>1.49</v>
      </c>
      <c r="G5063" s="0" t="n">
        <v>12517</v>
      </c>
      <c r="H5063" s="0" t="s">
        <v>33</v>
      </c>
      <c r="I5063" s="7" t="n">
        <f aca="false">IF(AND(LEFT(A5063,1)&lt;&gt;"C",D5063&gt;0,F5063&gt;0),1,0)</f>
        <v>1</v>
      </c>
      <c r="J5063" s="7" t="n">
        <f aca="false">IF(I5063=1,D5063*F5063,0)</f>
        <v>1.49</v>
      </c>
      <c r="K5063" s="7" t="n">
        <f aca="false">YEAR(E5063)*100+MONTH(E5063)</f>
        <v>201111</v>
      </c>
      <c r="L5063" s="7" t="n">
        <f aca="false">IF(AND(A5063&lt;&gt;A5062,LEFT(A5063,1)&lt;&gt;"C"),1,0)</f>
        <v>0</v>
      </c>
    </row>
    <row r="5064" customFormat="false" ht="15" hidden="false" customHeight="false" outlineLevel="0" collapsed="false">
      <c r="A5064" s="0" t="s">
        <v>2963</v>
      </c>
      <c r="B5064" s="0" t="s">
        <v>224</v>
      </c>
      <c r="C5064" s="0" t="s">
        <v>225</v>
      </c>
      <c r="D5064" s="0" t="n">
        <v>3</v>
      </c>
      <c r="E5064" s="6" t="n">
        <v>40858.58125</v>
      </c>
      <c r="F5064" s="0" t="n">
        <v>1.65</v>
      </c>
      <c r="G5064" s="0" t="n">
        <v>12517</v>
      </c>
      <c r="H5064" s="0" t="s">
        <v>33</v>
      </c>
      <c r="I5064" s="7" t="n">
        <f aca="false">IF(AND(LEFT(A5064,1)&lt;&gt;"C",D5064&gt;0,F5064&gt;0),1,0)</f>
        <v>1</v>
      </c>
      <c r="J5064" s="7" t="n">
        <f aca="false">IF(I5064=1,D5064*F5064,0)</f>
        <v>4.95</v>
      </c>
      <c r="K5064" s="7" t="n">
        <f aca="false">YEAR(E5064)*100+MONTH(E5064)</f>
        <v>201111</v>
      </c>
      <c r="L5064" s="7" t="n">
        <f aca="false">IF(AND(A5064&lt;&gt;A5063,LEFT(A5064,1)&lt;&gt;"C"),1,0)</f>
        <v>0</v>
      </c>
    </row>
    <row r="5065" customFormat="false" ht="15" hidden="false" customHeight="false" outlineLevel="0" collapsed="false">
      <c r="A5065" s="0" t="s">
        <v>2963</v>
      </c>
      <c r="B5065" s="0" t="s">
        <v>552</v>
      </c>
      <c r="C5065" s="0" t="s">
        <v>553</v>
      </c>
      <c r="D5065" s="0" t="n">
        <v>2</v>
      </c>
      <c r="E5065" s="6" t="n">
        <v>40858.58125</v>
      </c>
      <c r="F5065" s="0" t="n">
        <v>4.95</v>
      </c>
      <c r="G5065" s="0" t="n">
        <v>12517</v>
      </c>
      <c r="H5065" s="0" t="s">
        <v>33</v>
      </c>
      <c r="I5065" s="7" t="n">
        <f aca="false">IF(AND(LEFT(A5065,1)&lt;&gt;"C",D5065&gt;0,F5065&gt;0),1,0)</f>
        <v>1</v>
      </c>
      <c r="J5065" s="7" t="n">
        <f aca="false">IF(I5065=1,D5065*F5065,0)</f>
        <v>9.9</v>
      </c>
      <c r="K5065" s="7" t="n">
        <f aca="false">YEAR(E5065)*100+MONTH(E5065)</f>
        <v>201111</v>
      </c>
      <c r="L5065" s="7" t="n">
        <f aca="false">IF(AND(A5065&lt;&gt;A5064,LEFT(A5065,1)&lt;&gt;"C"),1,0)</f>
        <v>0</v>
      </c>
    </row>
    <row r="5066" customFormat="false" ht="15" hidden="false" customHeight="false" outlineLevel="0" collapsed="false">
      <c r="A5066" s="0" t="s">
        <v>2963</v>
      </c>
      <c r="B5066" s="0" t="s">
        <v>2972</v>
      </c>
      <c r="C5066" s="0" t="s">
        <v>2973</v>
      </c>
      <c r="D5066" s="0" t="n">
        <v>1</v>
      </c>
      <c r="E5066" s="6" t="n">
        <v>40858.58125</v>
      </c>
      <c r="F5066" s="0" t="n">
        <v>1.49</v>
      </c>
      <c r="G5066" s="0" t="n">
        <v>12517</v>
      </c>
      <c r="H5066" s="0" t="s">
        <v>33</v>
      </c>
      <c r="I5066" s="7" t="n">
        <f aca="false">IF(AND(LEFT(A5066,1)&lt;&gt;"C",D5066&gt;0,F5066&gt;0),1,0)</f>
        <v>1</v>
      </c>
      <c r="J5066" s="7" t="n">
        <f aca="false">IF(I5066=1,D5066*F5066,0)</f>
        <v>1.49</v>
      </c>
      <c r="K5066" s="7" t="n">
        <f aca="false">YEAR(E5066)*100+MONTH(E5066)</f>
        <v>201111</v>
      </c>
      <c r="L5066" s="7" t="n">
        <f aca="false">IF(AND(A5066&lt;&gt;A5065,LEFT(A5066,1)&lt;&gt;"C"),1,0)</f>
        <v>0</v>
      </c>
    </row>
    <row r="5067" customFormat="false" ht="15" hidden="false" customHeight="false" outlineLevel="0" collapsed="false">
      <c r="A5067" s="0" t="s">
        <v>2963</v>
      </c>
      <c r="B5067" s="0" t="s">
        <v>996</v>
      </c>
      <c r="C5067" s="0" t="s">
        <v>997</v>
      </c>
      <c r="D5067" s="0" t="n">
        <v>2</v>
      </c>
      <c r="E5067" s="6" t="n">
        <v>40858.58125</v>
      </c>
      <c r="F5067" s="0" t="n">
        <v>1.65</v>
      </c>
      <c r="G5067" s="0" t="n">
        <v>12517</v>
      </c>
      <c r="H5067" s="0" t="s">
        <v>33</v>
      </c>
      <c r="I5067" s="7" t="n">
        <f aca="false">IF(AND(LEFT(A5067,1)&lt;&gt;"C",D5067&gt;0,F5067&gt;0),1,0)</f>
        <v>1</v>
      </c>
      <c r="J5067" s="7" t="n">
        <f aca="false">IF(I5067=1,D5067*F5067,0)</f>
        <v>3.3</v>
      </c>
      <c r="K5067" s="7" t="n">
        <f aca="false">YEAR(E5067)*100+MONTH(E5067)</f>
        <v>201111</v>
      </c>
      <c r="L5067" s="7" t="n">
        <f aca="false">IF(AND(A5067&lt;&gt;A5066,LEFT(A5067,1)&lt;&gt;"C"),1,0)</f>
        <v>0</v>
      </c>
    </row>
    <row r="5068" customFormat="false" ht="15" hidden="false" customHeight="false" outlineLevel="0" collapsed="false">
      <c r="A5068" s="0" t="s">
        <v>2963</v>
      </c>
      <c r="B5068" s="0" t="s">
        <v>2974</v>
      </c>
      <c r="C5068" s="0" t="s">
        <v>2975</v>
      </c>
      <c r="D5068" s="0" t="n">
        <v>1</v>
      </c>
      <c r="E5068" s="6" t="n">
        <v>40858.58125</v>
      </c>
      <c r="F5068" s="0" t="n">
        <v>6.75</v>
      </c>
      <c r="G5068" s="0" t="n">
        <v>12517</v>
      </c>
      <c r="H5068" s="0" t="s">
        <v>33</v>
      </c>
      <c r="I5068" s="7" t="n">
        <f aca="false">IF(AND(LEFT(A5068,1)&lt;&gt;"C",D5068&gt;0,F5068&gt;0),1,0)</f>
        <v>1</v>
      </c>
      <c r="J5068" s="7" t="n">
        <f aca="false">IF(I5068=1,D5068*F5068,0)</f>
        <v>6.75</v>
      </c>
      <c r="K5068" s="7" t="n">
        <f aca="false">YEAR(E5068)*100+MONTH(E5068)</f>
        <v>201111</v>
      </c>
      <c r="L5068" s="7" t="n">
        <f aca="false">IF(AND(A5068&lt;&gt;A5067,LEFT(A5068,1)&lt;&gt;"C"),1,0)</f>
        <v>0</v>
      </c>
    </row>
    <row r="5069" customFormat="false" ht="15" hidden="false" customHeight="false" outlineLevel="0" collapsed="false">
      <c r="A5069" s="0" t="s">
        <v>2963</v>
      </c>
      <c r="B5069" s="0" t="s">
        <v>2976</v>
      </c>
      <c r="C5069" s="0" t="s">
        <v>2977</v>
      </c>
      <c r="D5069" s="0" t="n">
        <v>4</v>
      </c>
      <c r="E5069" s="6" t="n">
        <v>40858.58125</v>
      </c>
      <c r="F5069" s="0" t="n">
        <v>1.49</v>
      </c>
      <c r="G5069" s="0" t="n">
        <v>12517</v>
      </c>
      <c r="H5069" s="0" t="s">
        <v>33</v>
      </c>
      <c r="I5069" s="7" t="n">
        <f aca="false">IF(AND(LEFT(A5069,1)&lt;&gt;"C",D5069&gt;0,F5069&gt;0),1,0)</f>
        <v>1</v>
      </c>
      <c r="J5069" s="7" t="n">
        <f aca="false">IF(I5069=1,D5069*F5069,0)</f>
        <v>5.96</v>
      </c>
      <c r="K5069" s="7" t="n">
        <f aca="false">YEAR(E5069)*100+MONTH(E5069)</f>
        <v>201111</v>
      </c>
      <c r="L5069" s="7" t="n">
        <f aca="false">IF(AND(A5069&lt;&gt;A5068,LEFT(A5069,1)&lt;&gt;"C"),1,0)</f>
        <v>0</v>
      </c>
    </row>
    <row r="5070" customFormat="false" ht="15" hidden="false" customHeight="false" outlineLevel="0" collapsed="false">
      <c r="A5070" s="0" t="s">
        <v>2963</v>
      </c>
      <c r="B5070" s="0" t="s">
        <v>2978</v>
      </c>
      <c r="C5070" s="0" t="s">
        <v>2979</v>
      </c>
      <c r="D5070" s="0" t="n">
        <v>2</v>
      </c>
      <c r="E5070" s="6" t="n">
        <v>40858.58125</v>
      </c>
      <c r="F5070" s="0" t="n">
        <v>2.95</v>
      </c>
      <c r="G5070" s="0" t="n">
        <v>12517</v>
      </c>
      <c r="H5070" s="0" t="s">
        <v>33</v>
      </c>
      <c r="I5070" s="7" t="n">
        <f aca="false">IF(AND(LEFT(A5070,1)&lt;&gt;"C",D5070&gt;0,F5070&gt;0),1,0)</f>
        <v>1</v>
      </c>
      <c r="J5070" s="7" t="n">
        <f aca="false">IF(I5070=1,D5070*F5070,0)</f>
        <v>5.9</v>
      </c>
      <c r="K5070" s="7" t="n">
        <f aca="false">YEAR(E5070)*100+MONTH(E5070)</f>
        <v>201111</v>
      </c>
      <c r="L5070" s="7" t="n">
        <f aca="false">IF(AND(A5070&lt;&gt;A5069,LEFT(A5070,1)&lt;&gt;"C"),1,0)</f>
        <v>0</v>
      </c>
    </row>
    <row r="5071" customFormat="false" ht="15" hidden="false" customHeight="false" outlineLevel="0" collapsed="false">
      <c r="A5071" s="0" t="s">
        <v>2963</v>
      </c>
      <c r="B5071" s="0" t="s">
        <v>752</v>
      </c>
      <c r="C5071" s="0" t="s">
        <v>753</v>
      </c>
      <c r="D5071" s="0" t="n">
        <v>3</v>
      </c>
      <c r="E5071" s="6" t="n">
        <v>40858.58125</v>
      </c>
      <c r="F5071" s="0" t="n">
        <v>1.65</v>
      </c>
      <c r="G5071" s="0" t="n">
        <v>12517</v>
      </c>
      <c r="H5071" s="0" t="s">
        <v>33</v>
      </c>
      <c r="I5071" s="7" t="n">
        <f aca="false">IF(AND(LEFT(A5071,1)&lt;&gt;"C",D5071&gt;0,F5071&gt;0),1,0)</f>
        <v>1</v>
      </c>
      <c r="J5071" s="7" t="n">
        <f aca="false">IF(I5071=1,D5071*F5071,0)</f>
        <v>4.95</v>
      </c>
      <c r="K5071" s="7" t="n">
        <f aca="false">YEAR(E5071)*100+MONTH(E5071)</f>
        <v>201111</v>
      </c>
      <c r="L5071" s="7" t="n">
        <f aca="false">IF(AND(A5071&lt;&gt;A5070,LEFT(A5071,1)&lt;&gt;"C"),1,0)</f>
        <v>0</v>
      </c>
    </row>
    <row r="5072" customFormat="false" ht="15" hidden="false" customHeight="false" outlineLevel="0" collapsed="false">
      <c r="A5072" s="0" t="s">
        <v>2963</v>
      </c>
      <c r="B5072" s="0" t="s">
        <v>66</v>
      </c>
      <c r="C5072" s="0" t="s">
        <v>67</v>
      </c>
      <c r="D5072" s="0" t="n">
        <v>3</v>
      </c>
      <c r="E5072" s="6" t="n">
        <v>40858.58125</v>
      </c>
      <c r="F5072" s="0" t="n">
        <v>2.95</v>
      </c>
      <c r="G5072" s="0" t="n">
        <v>12517</v>
      </c>
      <c r="H5072" s="0" t="s">
        <v>33</v>
      </c>
      <c r="I5072" s="7" t="n">
        <f aca="false">IF(AND(LEFT(A5072,1)&lt;&gt;"C",D5072&gt;0,F5072&gt;0),1,0)</f>
        <v>1</v>
      </c>
      <c r="J5072" s="7" t="n">
        <f aca="false">IF(I5072=1,D5072*F5072,0)</f>
        <v>8.85</v>
      </c>
      <c r="K5072" s="7" t="n">
        <f aca="false">YEAR(E5072)*100+MONTH(E5072)</f>
        <v>201111</v>
      </c>
      <c r="L5072" s="7" t="n">
        <f aca="false">IF(AND(A5072&lt;&gt;A5071,LEFT(A5072,1)&lt;&gt;"C"),1,0)</f>
        <v>0</v>
      </c>
    </row>
    <row r="5073" customFormat="false" ht="15" hidden="false" customHeight="false" outlineLevel="0" collapsed="false">
      <c r="A5073" s="0" t="s">
        <v>2963</v>
      </c>
      <c r="B5073" s="0" t="s">
        <v>2980</v>
      </c>
      <c r="C5073" s="0" t="s">
        <v>2981</v>
      </c>
      <c r="D5073" s="0" t="n">
        <v>1</v>
      </c>
      <c r="E5073" s="6" t="n">
        <v>40858.58125</v>
      </c>
      <c r="F5073" s="0" t="n">
        <v>9.95</v>
      </c>
      <c r="G5073" s="0" t="n">
        <v>12517</v>
      </c>
      <c r="H5073" s="0" t="s">
        <v>33</v>
      </c>
      <c r="I5073" s="7" t="n">
        <f aca="false">IF(AND(LEFT(A5073,1)&lt;&gt;"C",D5073&gt;0,F5073&gt;0),1,0)</f>
        <v>1</v>
      </c>
      <c r="J5073" s="7" t="n">
        <f aca="false">IF(I5073=1,D5073*F5073,0)</f>
        <v>9.95</v>
      </c>
      <c r="K5073" s="7" t="n">
        <f aca="false">YEAR(E5073)*100+MONTH(E5073)</f>
        <v>201111</v>
      </c>
      <c r="L5073" s="7" t="n">
        <f aca="false">IF(AND(A5073&lt;&gt;A5072,LEFT(A5073,1)&lt;&gt;"C"),1,0)</f>
        <v>0</v>
      </c>
    </row>
    <row r="5074" customFormat="false" ht="15" hidden="false" customHeight="false" outlineLevel="0" collapsed="false">
      <c r="A5074" s="0" t="s">
        <v>2963</v>
      </c>
      <c r="B5074" s="0" t="s">
        <v>2972</v>
      </c>
      <c r="C5074" s="0" t="s">
        <v>2973</v>
      </c>
      <c r="D5074" s="0" t="n">
        <v>8</v>
      </c>
      <c r="E5074" s="6" t="n">
        <v>40858.58125</v>
      </c>
      <c r="F5074" s="0" t="n">
        <v>1.49</v>
      </c>
      <c r="G5074" s="0" t="n">
        <v>12517</v>
      </c>
      <c r="H5074" s="0" t="s">
        <v>33</v>
      </c>
      <c r="I5074" s="7" t="n">
        <f aca="false">IF(AND(LEFT(A5074,1)&lt;&gt;"C",D5074&gt;0,F5074&gt;0),1,0)</f>
        <v>1</v>
      </c>
      <c r="J5074" s="7" t="n">
        <f aca="false">IF(I5074=1,D5074*F5074,0)</f>
        <v>11.92</v>
      </c>
      <c r="K5074" s="7" t="n">
        <f aca="false">YEAR(E5074)*100+MONTH(E5074)</f>
        <v>201111</v>
      </c>
      <c r="L5074" s="7" t="n">
        <f aca="false">IF(AND(A5074&lt;&gt;A5073,LEFT(A5074,1)&lt;&gt;"C"),1,0)</f>
        <v>0</v>
      </c>
    </row>
    <row r="5075" customFormat="false" ht="15" hidden="false" customHeight="false" outlineLevel="0" collapsed="false">
      <c r="A5075" s="0" t="s">
        <v>2963</v>
      </c>
      <c r="B5075" s="0" t="s">
        <v>62</v>
      </c>
      <c r="C5075" s="0" t="s">
        <v>63</v>
      </c>
      <c r="D5075" s="0" t="n">
        <v>10</v>
      </c>
      <c r="E5075" s="6" t="n">
        <v>40858.58125</v>
      </c>
      <c r="F5075" s="0" t="n">
        <v>2.08</v>
      </c>
      <c r="G5075" s="0" t="n">
        <v>12517</v>
      </c>
      <c r="H5075" s="0" t="s">
        <v>33</v>
      </c>
      <c r="I5075" s="7" t="n">
        <f aca="false">IF(AND(LEFT(A5075,1)&lt;&gt;"C",D5075&gt;0,F5075&gt;0),1,0)</f>
        <v>1</v>
      </c>
      <c r="J5075" s="7" t="n">
        <f aca="false">IF(I5075=1,D5075*F5075,0)</f>
        <v>20.8</v>
      </c>
      <c r="K5075" s="7" t="n">
        <f aca="false">YEAR(E5075)*100+MONTH(E5075)</f>
        <v>201111</v>
      </c>
      <c r="L5075" s="7" t="n">
        <f aca="false">IF(AND(A5075&lt;&gt;A5074,LEFT(A5075,1)&lt;&gt;"C"),1,0)</f>
        <v>0</v>
      </c>
    </row>
    <row r="5076" customFormat="false" ht="15" hidden="false" customHeight="false" outlineLevel="0" collapsed="false">
      <c r="A5076" s="0" t="s">
        <v>2982</v>
      </c>
      <c r="B5076" s="0" t="s">
        <v>84</v>
      </c>
      <c r="C5076" s="0" t="s">
        <v>85</v>
      </c>
      <c r="D5076" s="0" t="n">
        <v>3</v>
      </c>
      <c r="E5076" s="6" t="n">
        <v>40858.5861111111</v>
      </c>
      <c r="F5076" s="0" t="n">
        <v>18</v>
      </c>
      <c r="G5076" s="0" t="n">
        <v>12517</v>
      </c>
      <c r="H5076" s="0" t="s">
        <v>33</v>
      </c>
      <c r="I5076" s="7" t="n">
        <f aca="false">IF(AND(LEFT(A5076,1)&lt;&gt;"C",D5076&gt;0,F5076&gt;0),1,0)</f>
        <v>1</v>
      </c>
      <c r="J5076" s="7" t="n">
        <f aca="false">IF(I5076=1,D5076*F5076,0)</f>
        <v>54</v>
      </c>
      <c r="K5076" s="7" t="n">
        <f aca="false">YEAR(E5076)*100+MONTH(E5076)</f>
        <v>201111</v>
      </c>
      <c r="L5076" s="7" t="n">
        <f aca="false">IF(AND(A5076&lt;&gt;A5075,LEFT(A5076,1)&lt;&gt;"C"),1,0)</f>
        <v>1</v>
      </c>
    </row>
    <row r="5077" customFormat="false" ht="15" hidden="false" customHeight="false" outlineLevel="0" collapsed="false">
      <c r="A5077" s="0" t="s">
        <v>2983</v>
      </c>
      <c r="B5077" s="0" t="s">
        <v>895</v>
      </c>
      <c r="C5077" s="0" t="s">
        <v>896</v>
      </c>
      <c r="D5077" s="0" t="n">
        <v>6</v>
      </c>
      <c r="E5077" s="6" t="n">
        <v>40858.6194444444</v>
      </c>
      <c r="F5077" s="0" t="n">
        <v>2.89</v>
      </c>
      <c r="G5077" s="0" t="n">
        <v>12480</v>
      </c>
      <c r="H5077" s="0" t="s">
        <v>33</v>
      </c>
      <c r="I5077" s="7" t="n">
        <f aca="false">IF(AND(LEFT(A5077,1)&lt;&gt;"C",D5077&gt;0,F5077&gt;0),1,0)</f>
        <v>1</v>
      </c>
      <c r="J5077" s="7" t="n">
        <f aca="false">IF(I5077=1,D5077*F5077,0)</f>
        <v>17.34</v>
      </c>
      <c r="K5077" s="7" t="n">
        <f aca="false">YEAR(E5077)*100+MONTH(E5077)</f>
        <v>201111</v>
      </c>
      <c r="L5077" s="7" t="n">
        <f aca="false">IF(AND(A5077&lt;&gt;A5076,LEFT(A5077,1)&lt;&gt;"C"),1,0)</f>
        <v>1</v>
      </c>
    </row>
    <row r="5078" customFormat="false" ht="15" hidden="false" customHeight="false" outlineLevel="0" collapsed="false">
      <c r="A5078" s="0" t="s">
        <v>2983</v>
      </c>
      <c r="B5078" s="0" t="s">
        <v>301</v>
      </c>
      <c r="C5078" s="0" t="s">
        <v>302</v>
      </c>
      <c r="D5078" s="0" t="n">
        <v>12</v>
      </c>
      <c r="E5078" s="6" t="n">
        <v>40858.6194444444</v>
      </c>
      <c r="F5078" s="0" t="n">
        <v>2.55</v>
      </c>
      <c r="G5078" s="0" t="n">
        <v>12480</v>
      </c>
      <c r="H5078" s="0" t="s">
        <v>33</v>
      </c>
      <c r="I5078" s="7" t="n">
        <f aca="false">IF(AND(LEFT(A5078,1)&lt;&gt;"C",D5078&gt;0,F5078&gt;0),1,0)</f>
        <v>1</v>
      </c>
      <c r="J5078" s="7" t="n">
        <f aca="false">IF(I5078=1,D5078*F5078,0)</f>
        <v>30.6</v>
      </c>
      <c r="K5078" s="7" t="n">
        <f aca="false">YEAR(E5078)*100+MONTH(E5078)</f>
        <v>201111</v>
      </c>
      <c r="L5078" s="7" t="n">
        <f aca="false">IF(AND(A5078&lt;&gt;A5077,LEFT(A5078,1)&lt;&gt;"C"),1,0)</f>
        <v>0</v>
      </c>
    </row>
    <row r="5079" customFormat="false" ht="15" hidden="false" customHeight="false" outlineLevel="0" collapsed="false">
      <c r="A5079" s="0" t="s">
        <v>2983</v>
      </c>
      <c r="B5079" s="0" t="s">
        <v>418</v>
      </c>
      <c r="C5079" s="0" t="s">
        <v>419</v>
      </c>
      <c r="D5079" s="0" t="n">
        <v>12</v>
      </c>
      <c r="E5079" s="6" t="n">
        <v>40858.6194444444</v>
      </c>
      <c r="F5079" s="0" t="n">
        <v>3.25</v>
      </c>
      <c r="G5079" s="0" t="n">
        <v>12480</v>
      </c>
      <c r="H5079" s="0" t="s">
        <v>33</v>
      </c>
      <c r="I5079" s="7" t="n">
        <f aca="false">IF(AND(LEFT(A5079,1)&lt;&gt;"C",D5079&gt;0,F5079&gt;0),1,0)</f>
        <v>1</v>
      </c>
      <c r="J5079" s="7" t="n">
        <f aca="false">IF(I5079=1,D5079*F5079,0)</f>
        <v>39</v>
      </c>
      <c r="K5079" s="7" t="n">
        <f aca="false">YEAR(E5079)*100+MONTH(E5079)</f>
        <v>201111</v>
      </c>
      <c r="L5079" s="7" t="n">
        <f aca="false">IF(AND(A5079&lt;&gt;A5078,LEFT(A5079,1)&lt;&gt;"C"),1,0)</f>
        <v>0</v>
      </c>
    </row>
    <row r="5080" customFormat="false" ht="15" hidden="false" customHeight="false" outlineLevel="0" collapsed="false">
      <c r="A5080" s="0" t="s">
        <v>2983</v>
      </c>
      <c r="B5080" s="0" t="s">
        <v>173</v>
      </c>
      <c r="C5080" s="0" t="s">
        <v>174</v>
      </c>
      <c r="D5080" s="0" t="n">
        <v>16</v>
      </c>
      <c r="E5080" s="6" t="n">
        <v>40858.6194444444</v>
      </c>
      <c r="F5080" s="0" t="n">
        <v>1.25</v>
      </c>
      <c r="G5080" s="0" t="n">
        <v>12480</v>
      </c>
      <c r="H5080" s="0" t="s">
        <v>33</v>
      </c>
      <c r="I5080" s="7" t="n">
        <f aca="false">IF(AND(LEFT(A5080,1)&lt;&gt;"C",D5080&gt;0,F5080&gt;0),1,0)</f>
        <v>1</v>
      </c>
      <c r="J5080" s="7" t="n">
        <f aca="false">IF(I5080=1,D5080*F5080,0)</f>
        <v>20</v>
      </c>
      <c r="K5080" s="7" t="n">
        <f aca="false">YEAR(E5080)*100+MONTH(E5080)</f>
        <v>201111</v>
      </c>
      <c r="L5080" s="7" t="n">
        <f aca="false">IF(AND(A5080&lt;&gt;A5079,LEFT(A5080,1)&lt;&gt;"C"),1,0)</f>
        <v>0</v>
      </c>
    </row>
    <row r="5081" customFormat="false" ht="15" hidden="false" customHeight="false" outlineLevel="0" collapsed="false">
      <c r="A5081" s="0" t="s">
        <v>2983</v>
      </c>
      <c r="B5081" s="0" t="s">
        <v>74</v>
      </c>
      <c r="C5081" s="0" t="s">
        <v>75</v>
      </c>
      <c r="D5081" s="0" t="n">
        <v>192</v>
      </c>
      <c r="E5081" s="6" t="n">
        <v>40858.6194444444</v>
      </c>
      <c r="F5081" s="0" t="n">
        <v>1.65</v>
      </c>
      <c r="G5081" s="0" t="n">
        <v>12480</v>
      </c>
      <c r="H5081" s="0" t="s">
        <v>33</v>
      </c>
      <c r="I5081" s="7" t="n">
        <f aca="false">IF(AND(LEFT(A5081,1)&lt;&gt;"C",D5081&gt;0,F5081&gt;0),1,0)</f>
        <v>1</v>
      </c>
      <c r="J5081" s="7" t="n">
        <f aca="false">IF(I5081=1,D5081*F5081,0)</f>
        <v>316.8</v>
      </c>
      <c r="K5081" s="7" t="n">
        <f aca="false">YEAR(E5081)*100+MONTH(E5081)</f>
        <v>201111</v>
      </c>
      <c r="L5081" s="7" t="n">
        <f aca="false">IF(AND(A5081&lt;&gt;A5080,LEFT(A5081,1)&lt;&gt;"C"),1,0)</f>
        <v>0</v>
      </c>
    </row>
    <row r="5082" customFormat="false" ht="15" hidden="false" customHeight="false" outlineLevel="0" collapsed="false">
      <c r="A5082" s="0" t="s">
        <v>2983</v>
      </c>
      <c r="B5082" s="0" t="s">
        <v>119</v>
      </c>
      <c r="C5082" s="0" t="s">
        <v>120</v>
      </c>
      <c r="D5082" s="0" t="n">
        <v>12</v>
      </c>
      <c r="E5082" s="6" t="n">
        <v>40858.6194444444</v>
      </c>
      <c r="F5082" s="0" t="n">
        <v>0.42</v>
      </c>
      <c r="G5082" s="0" t="n">
        <v>12480</v>
      </c>
      <c r="H5082" s="0" t="s">
        <v>33</v>
      </c>
      <c r="I5082" s="7" t="n">
        <f aca="false">IF(AND(LEFT(A5082,1)&lt;&gt;"C",D5082&gt;0,F5082&gt;0),1,0)</f>
        <v>1</v>
      </c>
      <c r="J5082" s="7" t="n">
        <f aca="false">IF(I5082=1,D5082*F5082,0)</f>
        <v>5.04</v>
      </c>
      <c r="K5082" s="7" t="n">
        <f aca="false">YEAR(E5082)*100+MONTH(E5082)</f>
        <v>201111</v>
      </c>
      <c r="L5082" s="7" t="n">
        <f aca="false">IF(AND(A5082&lt;&gt;A5081,LEFT(A5082,1)&lt;&gt;"C"),1,0)</f>
        <v>0</v>
      </c>
    </row>
    <row r="5083" customFormat="false" ht="15" hidden="false" customHeight="false" outlineLevel="0" collapsed="false">
      <c r="A5083" s="0" t="s">
        <v>2983</v>
      </c>
      <c r="B5083" s="0" t="s">
        <v>843</v>
      </c>
      <c r="C5083" s="0" t="s">
        <v>844</v>
      </c>
      <c r="D5083" s="0" t="n">
        <v>24</v>
      </c>
      <c r="E5083" s="6" t="n">
        <v>40858.6194444444</v>
      </c>
      <c r="F5083" s="0" t="n">
        <v>0.85</v>
      </c>
      <c r="G5083" s="0" t="n">
        <v>12480</v>
      </c>
      <c r="H5083" s="0" t="s">
        <v>33</v>
      </c>
      <c r="I5083" s="7" t="n">
        <f aca="false">IF(AND(LEFT(A5083,1)&lt;&gt;"C",D5083&gt;0,F5083&gt;0),1,0)</f>
        <v>1</v>
      </c>
      <c r="J5083" s="7" t="n">
        <f aca="false">IF(I5083=1,D5083*F5083,0)</f>
        <v>20.4</v>
      </c>
      <c r="K5083" s="7" t="n">
        <f aca="false">YEAR(E5083)*100+MONTH(E5083)</f>
        <v>201111</v>
      </c>
      <c r="L5083" s="7" t="n">
        <f aca="false">IF(AND(A5083&lt;&gt;A5082,LEFT(A5083,1)&lt;&gt;"C"),1,0)</f>
        <v>0</v>
      </c>
    </row>
    <row r="5084" customFormat="false" ht="15" hidden="false" customHeight="false" outlineLevel="0" collapsed="false">
      <c r="A5084" s="0" t="s">
        <v>2983</v>
      </c>
      <c r="B5084" s="0" t="s">
        <v>837</v>
      </c>
      <c r="C5084" s="0" t="s">
        <v>838</v>
      </c>
      <c r="D5084" s="0" t="n">
        <v>12</v>
      </c>
      <c r="E5084" s="6" t="n">
        <v>40858.6194444444</v>
      </c>
      <c r="F5084" s="0" t="n">
        <v>4.15</v>
      </c>
      <c r="G5084" s="0" t="n">
        <v>12480</v>
      </c>
      <c r="H5084" s="0" t="s">
        <v>33</v>
      </c>
      <c r="I5084" s="7" t="n">
        <f aca="false">IF(AND(LEFT(A5084,1)&lt;&gt;"C",D5084&gt;0,F5084&gt;0),1,0)</f>
        <v>1</v>
      </c>
      <c r="J5084" s="7" t="n">
        <f aca="false">IF(I5084=1,D5084*F5084,0)</f>
        <v>49.8</v>
      </c>
      <c r="K5084" s="7" t="n">
        <f aca="false">YEAR(E5084)*100+MONTH(E5084)</f>
        <v>201111</v>
      </c>
      <c r="L5084" s="7" t="n">
        <f aca="false">IF(AND(A5084&lt;&gt;A5083,LEFT(A5084,1)&lt;&gt;"C"),1,0)</f>
        <v>0</v>
      </c>
    </row>
    <row r="5085" customFormat="false" ht="15" hidden="false" customHeight="false" outlineLevel="0" collapsed="false">
      <c r="A5085" s="0" t="s">
        <v>2983</v>
      </c>
      <c r="B5085" s="0" t="s">
        <v>789</v>
      </c>
      <c r="C5085" s="0" t="s">
        <v>790</v>
      </c>
      <c r="D5085" s="0" t="n">
        <v>6</v>
      </c>
      <c r="E5085" s="6" t="n">
        <v>40858.6194444444</v>
      </c>
      <c r="F5085" s="0" t="n">
        <v>1.95</v>
      </c>
      <c r="G5085" s="0" t="n">
        <v>12480</v>
      </c>
      <c r="H5085" s="0" t="s">
        <v>33</v>
      </c>
      <c r="I5085" s="7" t="n">
        <f aca="false">IF(AND(LEFT(A5085,1)&lt;&gt;"C",D5085&gt;0,F5085&gt;0),1,0)</f>
        <v>1</v>
      </c>
      <c r="J5085" s="7" t="n">
        <f aca="false">IF(I5085=1,D5085*F5085,0)</f>
        <v>11.7</v>
      </c>
      <c r="K5085" s="7" t="n">
        <f aca="false">YEAR(E5085)*100+MONTH(E5085)</f>
        <v>201111</v>
      </c>
      <c r="L5085" s="7" t="n">
        <f aca="false">IF(AND(A5085&lt;&gt;A5084,LEFT(A5085,1)&lt;&gt;"C"),1,0)</f>
        <v>0</v>
      </c>
    </row>
    <row r="5086" customFormat="false" ht="15" hidden="false" customHeight="false" outlineLevel="0" collapsed="false">
      <c r="A5086" s="0" t="s">
        <v>2983</v>
      </c>
      <c r="B5086" s="0" t="s">
        <v>2265</v>
      </c>
      <c r="C5086" s="0" t="s">
        <v>2266</v>
      </c>
      <c r="D5086" s="0" t="n">
        <v>6</v>
      </c>
      <c r="E5086" s="6" t="n">
        <v>40858.6194444444</v>
      </c>
      <c r="F5086" s="0" t="n">
        <v>2.89</v>
      </c>
      <c r="G5086" s="0" t="n">
        <v>12480</v>
      </c>
      <c r="H5086" s="0" t="s">
        <v>33</v>
      </c>
      <c r="I5086" s="7" t="n">
        <f aca="false">IF(AND(LEFT(A5086,1)&lt;&gt;"C",D5086&gt;0,F5086&gt;0),1,0)</f>
        <v>1</v>
      </c>
      <c r="J5086" s="7" t="n">
        <f aca="false">IF(I5086=1,D5086*F5086,0)</f>
        <v>17.34</v>
      </c>
      <c r="K5086" s="7" t="n">
        <f aca="false">YEAR(E5086)*100+MONTH(E5086)</f>
        <v>201111</v>
      </c>
      <c r="L5086" s="7" t="n">
        <f aca="false">IF(AND(A5086&lt;&gt;A5085,LEFT(A5086,1)&lt;&gt;"C"),1,0)</f>
        <v>0</v>
      </c>
    </row>
    <row r="5087" customFormat="false" ht="15" hidden="false" customHeight="false" outlineLevel="0" collapsed="false">
      <c r="A5087" s="0" t="s">
        <v>2983</v>
      </c>
      <c r="B5087" s="0" t="s">
        <v>773</v>
      </c>
      <c r="C5087" s="0" t="s">
        <v>774</v>
      </c>
      <c r="D5087" s="0" t="n">
        <v>24</v>
      </c>
      <c r="E5087" s="6" t="n">
        <v>40858.6194444444</v>
      </c>
      <c r="F5087" s="0" t="n">
        <v>0.55</v>
      </c>
      <c r="G5087" s="0" t="n">
        <v>12480</v>
      </c>
      <c r="H5087" s="0" t="s">
        <v>33</v>
      </c>
      <c r="I5087" s="7" t="n">
        <f aca="false">IF(AND(LEFT(A5087,1)&lt;&gt;"C",D5087&gt;0,F5087&gt;0),1,0)</f>
        <v>1</v>
      </c>
      <c r="J5087" s="7" t="n">
        <f aca="false">IF(I5087=1,D5087*F5087,0)</f>
        <v>13.2</v>
      </c>
      <c r="K5087" s="7" t="n">
        <f aca="false">YEAR(E5087)*100+MONTH(E5087)</f>
        <v>201111</v>
      </c>
      <c r="L5087" s="7" t="n">
        <f aca="false">IF(AND(A5087&lt;&gt;A5086,LEFT(A5087,1)&lt;&gt;"C"),1,0)</f>
        <v>0</v>
      </c>
    </row>
    <row r="5088" customFormat="false" ht="15" hidden="false" customHeight="false" outlineLevel="0" collapsed="false">
      <c r="A5088" s="0" t="s">
        <v>2983</v>
      </c>
      <c r="B5088" s="0" t="s">
        <v>689</v>
      </c>
      <c r="C5088" s="0" t="s">
        <v>690</v>
      </c>
      <c r="D5088" s="0" t="n">
        <v>8</v>
      </c>
      <c r="E5088" s="6" t="n">
        <v>40858.6194444444</v>
      </c>
      <c r="F5088" s="0" t="n">
        <v>1.25</v>
      </c>
      <c r="G5088" s="0" t="n">
        <v>12480</v>
      </c>
      <c r="H5088" s="0" t="s">
        <v>33</v>
      </c>
      <c r="I5088" s="7" t="n">
        <f aca="false">IF(AND(LEFT(A5088,1)&lt;&gt;"C",D5088&gt;0,F5088&gt;0),1,0)</f>
        <v>1</v>
      </c>
      <c r="J5088" s="7" t="n">
        <f aca="false">IF(I5088=1,D5088*F5088,0)</f>
        <v>10</v>
      </c>
      <c r="K5088" s="7" t="n">
        <f aca="false">YEAR(E5088)*100+MONTH(E5088)</f>
        <v>201111</v>
      </c>
      <c r="L5088" s="7" t="n">
        <f aca="false">IF(AND(A5088&lt;&gt;A5087,LEFT(A5088,1)&lt;&gt;"C"),1,0)</f>
        <v>0</v>
      </c>
    </row>
    <row r="5089" customFormat="false" ht="15" hidden="false" customHeight="false" outlineLevel="0" collapsed="false">
      <c r="A5089" s="0" t="s">
        <v>2983</v>
      </c>
      <c r="B5089" s="0" t="s">
        <v>146</v>
      </c>
      <c r="C5089" s="0" t="s">
        <v>147</v>
      </c>
      <c r="D5089" s="0" t="n">
        <v>6</v>
      </c>
      <c r="E5089" s="6" t="n">
        <v>40858.6194444444</v>
      </c>
      <c r="F5089" s="0" t="n">
        <v>2.89</v>
      </c>
      <c r="G5089" s="0" t="n">
        <v>12480</v>
      </c>
      <c r="H5089" s="0" t="s">
        <v>33</v>
      </c>
      <c r="I5089" s="7" t="n">
        <f aca="false">IF(AND(LEFT(A5089,1)&lt;&gt;"C",D5089&gt;0,F5089&gt;0),1,0)</f>
        <v>1</v>
      </c>
      <c r="J5089" s="7" t="n">
        <f aca="false">IF(I5089=1,D5089*F5089,0)</f>
        <v>17.34</v>
      </c>
      <c r="K5089" s="7" t="n">
        <f aca="false">YEAR(E5089)*100+MONTH(E5089)</f>
        <v>201111</v>
      </c>
      <c r="L5089" s="7" t="n">
        <f aca="false">IF(AND(A5089&lt;&gt;A5088,LEFT(A5089,1)&lt;&gt;"C"),1,0)</f>
        <v>0</v>
      </c>
    </row>
    <row r="5090" customFormat="false" ht="15" hidden="false" customHeight="false" outlineLevel="0" collapsed="false">
      <c r="A5090" s="0" t="s">
        <v>2983</v>
      </c>
      <c r="B5090" s="0" t="s">
        <v>567</v>
      </c>
      <c r="C5090" s="0" t="s">
        <v>568</v>
      </c>
      <c r="D5090" s="0" t="n">
        <v>10</v>
      </c>
      <c r="E5090" s="6" t="n">
        <v>40858.6194444444</v>
      </c>
      <c r="F5090" s="0" t="n">
        <v>1.65</v>
      </c>
      <c r="G5090" s="0" t="n">
        <v>12480</v>
      </c>
      <c r="H5090" s="0" t="s">
        <v>33</v>
      </c>
      <c r="I5090" s="7" t="n">
        <f aca="false">IF(AND(LEFT(A5090,1)&lt;&gt;"C",D5090&gt;0,F5090&gt;0),1,0)</f>
        <v>1</v>
      </c>
      <c r="J5090" s="7" t="n">
        <f aca="false">IF(I5090=1,D5090*F5090,0)</f>
        <v>16.5</v>
      </c>
      <c r="K5090" s="7" t="n">
        <f aca="false">YEAR(E5090)*100+MONTH(E5090)</f>
        <v>201111</v>
      </c>
      <c r="L5090" s="7" t="n">
        <f aca="false">IF(AND(A5090&lt;&gt;A5089,LEFT(A5090,1)&lt;&gt;"C"),1,0)</f>
        <v>0</v>
      </c>
    </row>
    <row r="5091" customFormat="false" ht="15" hidden="false" customHeight="false" outlineLevel="0" collapsed="false">
      <c r="A5091" s="0" t="s">
        <v>2983</v>
      </c>
      <c r="B5091" s="0" t="s">
        <v>537</v>
      </c>
      <c r="C5091" s="0" t="s">
        <v>538</v>
      </c>
      <c r="D5091" s="0" t="n">
        <v>6</v>
      </c>
      <c r="E5091" s="6" t="n">
        <v>40858.6194444444</v>
      </c>
      <c r="F5091" s="0" t="n">
        <v>4.15</v>
      </c>
      <c r="G5091" s="0" t="n">
        <v>12480</v>
      </c>
      <c r="H5091" s="0" t="s">
        <v>33</v>
      </c>
      <c r="I5091" s="7" t="n">
        <f aca="false">IF(AND(LEFT(A5091,1)&lt;&gt;"C",D5091&gt;0,F5091&gt;0),1,0)</f>
        <v>1</v>
      </c>
      <c r="J5091" s="7" t="n">
        <f aca="false">IF(I5091=1,D5091*F5091,0)</f>
        <v>24.9</v>
      </c>
      <c r="K5091" s="7" t="n">
        <f aca="false">YEAR(E5091)*100+MONTH(E5091)</f>
        <v>201111</v>
      </c>
      <c r="L5091" s="7" t="n">
        <f aca="false">IF(AND(A5091&lt;&gt;A5090,LEFT(A5091,1)&lt;&gt;"C"),1,0)</f>
        <v>0</v>
      </c>
    </row>
    <row r="5092" customFormat="false" ht="15" hidden="false" customHeight="false" outlineLevel="0" collapsed="false">
      <c r="A5092" s="0" t="s">
        <v>2983</v>
      </c>
      <c r="B5092" s="0" t="s">
        <v>136</v>
      </c>
      <c r="C5092" s="0" t="s">
        <v>137</v>
      </c>
      <c r="D5092" s="0" t="n">
        <v>4</v>
      </c>
      <c r="E5092" s="6" t="n">
        <v>40858.6194444444</v>
      </c>
      <c r="F5092" s="0" t="n">
        <v>4.95</v>
      </c>
      <c r="G5092" s="0" t="n">
        <v>12480</v>
      </c>
      <c r="H5092" s="0" t="s">
        <v>33</v>
      </c>
      <c r="I5092" s="7" t="n">
        <f aca="false">IF(AND(LEFT(A5092,1)&lt;&gt;"C",D5092&gt;0,F5092&gt;0),1,0)</f>
        <v>1</v>
      </c>
      <c r="J5092" s="7" t="n">
        <f aca="false">IF(I5092=1,D5092*F5092,0)</f>
        <v>19.8</v>
      </c>
      <c r="K5092" s="7" t="n">
        <f aca="false">YEAR(E5092)*100+MONTH(E5092)</f>
        <v>201111</v>
      </c>
      <c r="L5092" s="7" t="n">
        <f aca="false">IF(AND(A5092&lt;&gt;A5091,LEFT(A5092,1)&lt;&gt;"C"),1,0)</f>
        <v>0</v>
      </c>
    </row>
    <row r="5093" customFormat="false" ht="15" hidden="false" customHeight="false" outlineLevel="0" collapsed="false">
      <c r="A5093" s="0" t="s">
        <v>2983</v>
      </c>
      <c r="B5093" s="0" t="s">
        <v>804</v>
      </c>
      <c r="C5093" s="0" t="s">
        <v>805</v>
      </c>
      <c r="D5093" s="0" t="n">
        <v>3</v>
      </c>
      <c r="E5093" s="6" t="n">
        <v>40858.6194444444</v>
      </c>
      <c r="F5093" s="0" t="n">
        <v>4.95</v>
      </c>
      <c r="G5093" s="0" t="n">
        <v>12480</v>
      </c>
      <c r="H5093" s="0" t="s">
        <v>33</v>
      </c>
      <c r="I5093" s="7" t="n">
        <f aca="false">IF(AND(LEFT(A5093,1)&lt;&gt;"C",D5093&gt;0,F5093&gt;0),1,0)</f>
        <v>1</v>
      </c>
      <c r="J5093" s="7" t="n">
        <f aca="false">IF(I5093=1,D5093*F5093,0)</f>
        <v>14.85</v>
      </c>
      <c r="K5093" s="7" t="n">
        <f aca="false">YEAR(E5093)*100+MONTH(E5093)</f>
        <v>201111</v>
      </c>
      <c r="L5093" s="7" t="n">
        <f aca="false">IF(AND(A5093&lt;&gt;A5092,LEFT(A5093,1)&lt;&gt;"C"),1,0)</f>
        <v>0</v>
      </c>
    </row>
    <row r="5094" customFormat="false" ht="15" hidden="false" customHeight="false" outlineLevel="0" collapsed="false">
      <c r="A5094" s="0" t="s">
        <v>2983</v>
      </c>
      <c r="B5094" s="0" t="s">
        <v>756</v>
      </c>
      <c r="C5094" s="0" t="s">
        <v>757</v>
      </c>
      <c r="D5094" s="0" t="n">
        <v>4</v>
      </c>
      <c r="E5094" s="6" t="n">
        <v>40858.6194444444</v>
      </c>
      <c r="F5094" s="0" t="n">
        <v>3.75</v>
      </c>
      <c r="G5094" s="0" t="n">
        <v>12480</v>
      </c>
      <c r="H5094" s="0" t="s">
        <v>33</v>
      </c>
      <c r="I5094" s="7" t="n">
        <f aca="false">IF(AND(LEFT(A5094,1)&lt;&gt;"C",D5094&gt;0,F5094&gt;0),1,0)</f>
        <v>1</v>
      </c>
      <c r="J5094" s="7" t="n">
        <f aca="false">IF(I5094=1,D5094*F5094,0)</f>
        <v>15</v>
      </c>
      <c r="K5094" s="7" t="n">
        <f aca="false">YEAR(E5094)*100+MONTH(E5094)</f>
        <v>201111</v>
      </c>
      <c r="L5094" s="7" t="n">
        <f aca="false">IF(AND(A5094&lt;&gt;A5093,LEFT(A5094,1)&lt;&gt;"C"),1,0)</f>
        <v>0</v>
      </c>
    </row>
    <row r="5095" customFormat="false" ht="15" hidden="false" customHeight="false" outlineLevel="0" collapsed="false">
      <c r="A5095" s="0" t="s">
        <v>2983</v>
      </c>
      <c r="B5095" s="0" t="s">
        <v>2456</v>
      </c>
      <c r="C5095" s="0" t="s">
        <v>2457</v>
      </c>
      <c r="D5095" s="0" t="n">
        <v>25</v>
      </c>
      <c r="E5095" s="6" t="n">
        <v>40858.6194444444</v>
      </c>
      <c r="F5095" s="0" t="n">
        <v>0.1</v>
      </c>
      <c r="G5095" s="0" t="n">
        <v>12480</v>
      </c>
      <c r="H5095" s="0" t="s">
        <v>33</v>
      </c>
      <c r="I5095" s="7" t="n">
        <f aca="false">IF(AND(LEFT(A5095,1)&lt;&gt;"C",D5095&gt;0,F5095&gt;0),1,0)</f>
        <v>1</v>
      </c>
      <c r="J5095" s="7" t="n">
        <f aca="false">IF(I5095=1,D5095*F5095,0)</f>
        <v>2.5</v>
      </c>
      <c r="K5095" s="7" t="n">
        <f aca="false">YEAR(E5095)*100+MONTH(E5095)</f>
        <v>201111</v>
      </c>
      <c r="L5095" s="7" t="n">
        <f aca="false">IF(AND(A5095&lt;&gt;A5094,LEFT(A5095,1)&lt;&gt;"C"),1,0)</f>
        <v>0</v>
      </c>
    </row>
    <row r="5096" customFormat="false" ht="15" hidden="false" customHeight="false" outlineLevel="0" collapsed="false">
      <c r="A5096" s="0" t="s">
        <v>2983</v>
      </c>
      <c r="B5096" s="0" t="s">
        <v>2489</v>
      </c>
      <c r="C5096" s="0" t="s">
        <v>2490</v>
      </c>
      <c r="D5096" s="0" t="n">
        <v>12</v>
      </c>
      <c r="E5096" s="6" t="n">
        <v>40858.6194444444</v>
      </c>
      <c r="F5096" s="0" t="n">
        <v>0.42</v>
      </c>
      <c r="G5096" s="0" t="n">
        <v>12480</v>
      </c>
      <c r="H5096" s="0" t="s">
        <v>33</v>
      </c>
      <c r="I5096" s="7" t="n">
        <f aca="false">IF(AND(LEFT(A5096,1)&lt;&gt;"C",D5096&gt;0,F5096&gt;0),1,0)</f>
        <v>1</v>
      </c>
      <c r="J5096" s="7" t="n">
        <f aca="false">IF(I5096=1,D5096*F5096,0)</f>
        <v>5.04</v>
      </c>
      <c r="K5096" s="7" t="n">
        <f aca="false">YEAR(E5096)*100+MONTH(E5096)</f>
        <v>201111</v>
      </c>
      <c r="L5096" s="7" t="n">
        <f aca="false">IF(AND(A5096&lt;&gt;A5095,LEFT(A5096,1)&lt;&gt;"C"),1,0)</f>
        <v>0</v>
      </c>
    </row>
    <row r="5097" customFormat="false" ht="15" hidden="false" customHeight="false" outlineLevel="0" collapsed="false">
      <c r="A5097" s="0" t="s">
        <v>2983</v>
      </c>
      <c r="B5097" s="0" t="s">
        <v>123</v>
      </c>
      <c r="C5097" s="0" t="s">
        <v>124</v>
      </c>
      <c r="D5097" s="0" t="n">
        <v>12</v>
      </c>
      <c r="E5097" s="6" t="n">
        <v>40858.6194444444</v>
      </c>
      <c r="F5097" s="0" t="n">
        <v>2.95</v>
      </c>
      <c r="G5097" s="0" t="n">
        <v>12480</v>
      </c>
      <c r="H5097" s="0" t="s">
        <v>33</v>
      </c>
      <c r="I5097" s="7" t="n">
        <f aca="false">IF(AND(LEFT(A5097,1)&lt;&gt;"C",D5097&gt;0,F5097&gt;0),1,0)</f>
        <v>1</v>
      </c>
      <c r="J5097" s="7" t="n">
        <f aca="false">IF(I5097=1,D5097*F5097,0)</f>
        <v>35.4</v>
      </c>
      <c r="K5097" s="7" t="n">
        <f aca="false">YEAR(E5097)*100+MONTH(E5097)</f>
        <v>201111</v>
      </c>
      <c r="L5097" s="7" t="n">
        <f aca="false">IF(AND(A5097&lt;&gt;A5096,LEFT(A5097,1)&lt;&gt;"C"),1,0)</f>
        <v>0</v>
      </c>
    </row>
    <row r="5098" customFormat="false" ht="15" hidden="false" customHeight="false" outlineLevel="0" collapsed="false">
      <c r="A5098" s="0" t="s">
        <v>2983</v>
      </c>
      <c r="B5098" s="0" t="s">
        <v>1646</v>
      </c>
      <c r="C5098" s="0" t="s">
        <v>1647</v>
      </c>
      <c r="D5098" s="0" t="n">
        <v>10</v>
      </c>
      <c r="E5098" s="6" t="n">
        <v>40858.6194444444</v>
      </c>
      <c r="F5098" s="0" t="n">
        <v>1.65</v>
      </c>
      <c r="G5098" s="0" t="n">
        <v>12480</v>
      </c>
      <c r="H5098" s="0" t="s">
        <v>33</v>
      </c>
      <c r="I5098" s="7" t="n">
        <f aca="false">IF(AND(LEFT(A5098,1)&lt;&gt;"C",D5098&gt;0,F5098&gt;0),1,0)</f>
        <v>1</v>
      </c>
      <c r="J5098" s="7" t="n">
        <f aca="false">IF(I5098=1,D5098*F5098,0)</f>
        <v>16.5</v>
      </c>
      <c r="K5098" s="7" t="n">
        <f aca="false">YEAR(E5098)*100+MONTH(E5098)</f>
        <v>201111</v>
      </c>
      <c r="L5098" s="7" t="n">
        <f aca="false">IF(AND(A5098&lt;&gt;A5097,LEFT(A5098,1)&lt;&gt;"C"),1,0)</f>
        <v>0</v>
      </c>
    </row>
    <row r="5099" customFormat="false" ht="15" hidden="false" customHeight="false" outlineLevel="0" collapsed="false">
      <c r="A5099" s="0" t="s">
        <v>2983</v>
      </c>
      <c r="B5099" s="0" t="s">
        <v>1527</v>
      </c>
      <c r="C5099" s="0" t="s">
        <v>1528</v>
      </c>
      <c r="D5099" s="0" t="n">
        <v>6</v>
      </c>
      <c r="E5099" s="6" t="n">
        <v>40858.6194444444</v>
      </c>
      <c r="F5099" s="0" t="n">
        <v>3.25</v>
      </c>
      <c r="G5099" s="0" t="n">
        <v>12480</v>
      </c>
      <c r="H5099" s="0" t="s">
        <v>33</v>
      </c>
      <c r="I5099" s="7" t="n">
        <f aca="false">IF(AND(LEFT(A5099,1)&lt;&gt;"C",D5099&gt;0,F5099&gt;0),1,0)</f>
        <v>1</v>
      </c>
      <c r="J5099" s="7" t="n">
        <f aca="false">IF(I5099=1,D5099*F5099,0)</f>
        <v>19.5</v>
      </c>
      <c r="K5099" s="7" t="n">
        <f aca="false">YEAR(E5099)*100+MONTH(E5099)</f>
        <v>201111</v>
      </c>
      <c r="L5099" s="7" t="n">
        <f aca="false">IF(AND(A5099&lt;&gt;A5098,LEFT(A5099,1)&lt;&gt;"C"),1,0)</f>
        <v>0</v>
      </c>
    </row>
    <row r="5100" customFormat="false" ht="15" hidden="false" customHeight="false" outlineLevel="0" collapsed="false">
      <c r="A5100" s="0" t="s">
        <v>2983</v>
      </c>
      <c r="B5100" s="0" t="s">
        <v>685</v>
      </c>
      <c r="C5100" s="0" t="s">
        <v>686</v>
      </c>
      <c r="D5100" s="0" t="n">
        <v>6</v>
      </c>
      <c r="E5100" s="6" t="n">
        <v>40858.6194444444</v>
      </c>
      <c r="F5100" s="0" t="n">
        <v>2.55</v>
      </c>
      <c r="G5100" s="0" t="n">
        <v>12480</v>
      </c>
      <c r="H5100" s="0" t="s">
        <v>33</v>
      </c>
      <c r="I5100" s="7" t="n">
        <f aca="false">IF(AND(LEFT(A5100,1)&lt;&gt;"C",D5100&gt;0,F5100&gt;0),1,0)</f>
        <v>1</v>
      </c>
      <c r="J5100" s="7" t="n">
        <f aca="false">IF(I5100=1,D5100*F5100,0)</f>
        <v>15.3</v>
      </c>
      <c r="K5100" s="7" t="n">
        <f aca="false">YEAR(E5100)*100+MONTH(E5100)</f>
        <v>201111</v>
      </c>
      <c r="L5100" s="7" t="n">
        <f aca="false">IF(AND(A5100&lt;&gt;A5099,LEFT(A5100,1)&lt;&gt;"C"),1,0)</f>
        <v>0</v>
      </c>
    </row>
    <row r="5101" customFormat="false" ht="15" hidden="false" customHeight="false" outlineLevel="0" collapsed="false">
      <c r="A5101" s="0" t="s">
        <v>2983</v>
      </c>
      <c r="B5101" s="0" t="s">
        <v>2984</v>
      </c>
      <c r="C5101" s="0" t="s">
        <v>2985</v>
      </c>
      <c r="D5101" s="0" t="n">
        <v>6</v>
      </c>
      <c r="E5101" s="6" t="n">
        <v>40858.6194444444</v>
      </c>
      <c r="F5101" s="0" t="n">
        <v>3.25</v>
      </c>
      <c r="G5101" s="0" t="n">
        <v>12480</v>
      </c>
      <c r="H5101" s="0" t="s">
        <v>33</v>
      </c>
      <c r="I5101" s="7" t="n">
        <f aca="false">IF(AND(LEFT(A5101,1)&lt;&gt;"C",D5101&gt;0,F5101&gt;0),1,0)</f>
        <v>1</v>
      </c>
      <c r="J5101" s="7" t="n">
        <f aca="false">IF(I5101=1,D5101*F5101,0)</f>
        <v>19.5</v>
      </c>
      <c r="K5101" s="7" t="n">
        <f aca="false">YEAR(E5101)*100+MONTH(E5101)</f>
        <v>201111</v>
      </c>
      <c r="L5101" s="7" t="n">
        <f aca="false">IF(AND(A5101&lt;&gt;A5100,LEFT(A5101,1)&lt;&gt;"C"),1,0)</f>
        <v>0</v>
      </c>
    </row>
    <row r="5102" customFormat="false" ht="15" hidden="false" customHeight="false" outlineLevel="0" collapsed="false">
      <c r="A5102" s="0" t="s">
        <v>2983</v>
      </c>
      <c r="B5102" s="0" t="s">
        <v>310</v>
      </c>
      <c r="C5102" s="0" t="s">
        <v>311</v>
      </c>
      <c r="D5102" s="0" t="n">
        <v>4</v>
      </c>
      <c r="E5102" s="6" t="n">
        <v>40858.6194444444</v>
      </c>
      <c r="F5102" s="0" t="n">
        <v>4.95</v>
      </c>
      <c r="G5102" s="0" t="n">
        <v>12480</v>
      </c>
      <c r="H5102" s="0" t="s">
        <v>33</v>
      </c>
      <c r="I5102" s="7" t="n">
        <f aca="false">IF(AND(LEFT(A5102,1)&lt;&gt;"C",D5102&gt;0,F5102&gt;0),1,0)</f>
        <v>1</v>
      </c>
      <c r="J5102" s="7" t="n">
        <f aca="false">IF(I5102=1,D5102*F5102,0)</f>
        <v>19.8</v>
      </c>
      <c r="K5102" s="7" t="n">
        <f aca="false">YEAR(E5102)*100+MONTH(E5102)</f>
        <v>201111</v>
      </c>
      <c r="L5102" s="7" t="n">
        <f aca="false">IF(AND(A5102&lt;&gt;A5101,LEFT(A5102,1)&lt;&gt;"C"),1,0)</f>
        <v>0</v>
      </c>
    </row>
    <row r="5103" customFormat="false" ht="15" hidden="false" customHeight="false" outlineLevel="0" collapsed="false">
      <c r="A5103" s="0" t="s">
        <v>2983</v>
      </c>
      <c r="B5103" s="0" t="s">
        <v>448</v>
      </c>
      <c r="C5103" s="0" t="s">
        <v>449</v>
      </c>
      <c r="D5103" s="0" t="n">
        <v>12</v>
      </c>
      <c r="E5103" s="6" t="n">
        <v>40858.6194444444</v>
      </c>
      <c r="F5103" s="0" t="n">
        <v>1.65</v>
      </c>
      <c r="G5103" s="0" t="n">
        <v>12480</v>
      </c>
      <c r="H5103" s="0" t="s">
        <v>33</v>
      </c>
      <c r="I5103" s="7" t="n">
        <f aca="false">IF(AND(LEFT(A5103,1)&lt;&gt;"C",D5103&gt;0,F5103&gt;0),1,0)</f>
        <v>1</v>
      </c>
      <c r="J5103" s="7" t="n">
        <f aca="false">IF(I5103=1,D5103*F5103,0)</f>
        <v>19.8</v>
      </c>
      <c r="K5103" s="7" t="n">
        <f aca="false">YEAR(E5103)*100+MONTH(E5103)</f>
        <v>201111</v>
      </c>
      <c r="L5103" s="7" t="n">
        <f aca="false">IF(AND(A5103&lt;&gt;A5102,LEFT(A5103,1)&lt;&gt;"C"),1,0)</f>
        <v>0</v>
      </c>
    </row>
    <row r="5104" customFormat="false" ht="15" hidden="false" customHeight="false" outlineLevel="0" collapsed="false">
      <c r="A5104" s="0" t="s">
        <v>2983</v>
      </c>
      <c r="B5104" s="0" t="s">
        <v>2986</v>
      </c>
      <c r="C5104" s="0" t="s">
        <v>2987</v>
      </c>
      <c r="D5104" s="0" t="n">
        <v>48</v>
      </c>
      <c r="E5104" s="6" t="n">
        <v>40858.6194444444</v>
      </c>
      <c r="F5104" s="0" t="n">
        <v>0.29</v>
      </c>
      <c r="G5104" s="0" t="n">
        <v>12480</v>
      </c>
      <c r="H5104" s="0" t="s">
        <v>33</v>
      </c>
      <c r="I5104" s="7" t="n">
        <f aca="false">IF(AND(LEFT(A5104,1)&lt;&gt;"C",D5104&gt;0,F5104&gt;0),1,0)</f>
        <v>1</v>
      </c>
      <c r="J5104" s="7" t="n">
        <f aca="false">IF(I5104=1,D5104*F5104,0)</f>
        <v>13.92</v>
      </c>
      <c r="K5104" s="7" t="n">
        <f aca="false">YEAR(E5104)*100+MONTH(E5104)</f>
        <v>201111</v>
      </c>
      <c r="L5104" s="7" t="n">
        <f aca="false">IF(AND(A5104&lt;&gt;A5103,LEFT(A5104,1)&lt;&gt;"C"),1,0)</f>
        <v>0</v>
      </c>
    </row>
    <row r="5105" customFormat="false" ht="15" hidden="false" customHeight="false" outlineLevel="0" collapsed="false">
      <c r="A5105" s="0" t="s">
        <v>2983</v>
      </c>
      <c r="B5105" s="0" t="s">
        <v>457</v>
      </c>
      <c r="C5105" s="0" t="s">
        <v>458</v>
      </c>
      <c r="D5105" s="0" t="n">
        <v>12</v>
      </c>
      <c r="E5105" s="6" t="n">
        <v>40858.6194444444</v>
      </c>
      <c r="F5105" s="0" t="n">
        <v>1.25</v>
      </c>
      <c r="G5105" s="0" t="n">
        <v>12480</v>
      </c>
      <c r="H5105" s="0" t="s">
        <v>33</v>
      </c>
      <c r="I5105" s="7" t="n">
        <f aca="false">IF(AND(LEFT(A5105,1)&lt;&gt;"C",D5105&gt;0,F5105&gt;0),1,0)</f>
        <v>1</v>
      </c>
      <c r="J5105" s="7" t="n">
        <f aca="false">IF(I5105=1,D5105*F5105,0)</f>
        <v>15</v>
      </c>
      <c r="K5105" s="7" t="n">
        <f aca="false">YEAR(E5105)*100+MONTH(E5105)</f>
        <v>201111</v>
      </c>
      <c r="L5105" s="7" t="n">
        <f aca="false">IF(AND(A5105&lt;&gt;A5104,LEFT(A5105,1)&lt;&gt;"C"),1,0)</f>
        <v>0</v>
      </c>
    </row>
    <row r="5106" customFormat="false" ht="15" hidden="false" customHeight="false" outlineLevel="0" collapsed="false">
      <c r="A5106" s="0" t="s">
        <v>2983</v>
      </c>
      <c r="B5106" s="0" t="s">
        <v>241</v>
      </c>
      <c r="C5106" s="0" t="s">
        <v>242</v>
      </c>
      <c r="D5106" s="0" t="n">
        <v>12</v>
      </c>
      <c r="E5106" s="6" t="n">
        <v>40858.6194444444</v>
      </c>
      <c r="F5106" s="0" t="n">
        <v>1.45</v>
      </c>
      <c r="G5106" s="0" t="n">
        <v>12480</v>
      </c>
      <c r="H5106" s="0" t="s">
        <v>33</v>
      </c>
      <c r="I5106" s="7" t="n">
        <f aca="false">IF(AND(LEFT(A5106,1)&lt;&gt;"C",D5106&gt;0,F5106&gt;0),1,0)</f>
        <v>1</v>
      </c>
      <c r="J5106" s="7" t="n">
        <f aca="false">IF(I5106=1,D5106*F5106,0)</f>
        <v>17.4</v>
      </c>
      <c r="K5106" s="7" t="n">
        <f aca="false">YEAR(E5106)*100+MONTH(E5106)</f>
        <v>201111</v>
      </c>
      <c r="L5106" s="7" t="n">
        <f aca="false">IF(AND(A5106&lt;&gt;A5105,LEFT(A5106,1)&lt;&gt;"C"),1,0)</f>
        <v>0</v>
      </c>
    </row>
    <row r="5107" customFormat="false" ht="15" hidden="false" customHeight="false" outlineLevel="0" collapsed="false">
      <c r="A5107" s="0" t="s">
        <v>2983</v>
      </c>
      <c r="B5107" s="0" t="s">
        <v>1676</v>
      </c>
      <c r="C5107" s="0" t="s">
        <v>1677</v>
      </c>
      <c r="D5107" s="0" t="n">
        <v>3</v>
      </c>
      <c r="E5107" s="6" t="n">
        <v>40858.6194444444</v>
      </c>
      <c r="F5107" s="0" t="n">
        <v>5.95</v>
      </c>
      <c r="G5107" s="0" t="n">
        <v>12480</v>
      </c>
      <c r="H5107" s="0" t="s">
        <v>33</v>
      </c>
      <c r="I5107" s="7" t="n">
        <f aca="false">IF(AND(LEFT(A5107,1)&lt;&gt;"C",D5107&gt;0,F5107&gt;0),1,0)</f>
        <v>1</v>
      </c>
      <c r="J5107" s="7" t="n">
        <f aca="false">IF(I5107=1,D5107*F5107,0)</f>
        <v>17.85</v>
      </c>
      <c r="K5107" s="7" t="n">
        <f aca="false">YEAR(E5107)*100+MONTH(E5107)</f>
        <v>201111</v>
      </c>
      <c r="L5107" s="7" t="n">
        <f aca="false">IF(AND(A5107&lt;&gt;A5106,LEFT(A5107,1)&lt;&gt;"C"),1,0)</f>
        <v>0</v>
      </c>
    </row>
    <row r="5108" customFormat="false" ht="15" hidden="false" customHeight="false" outlineLevel="0" collapsed="false">
      <c r="A5108" s="0" t="s">
        <v>2983</v>
      </c>
      <c r="B5108" s="0" t="s">
        <v>138</v>
      </c>
      <c r="C5108" s="0" t="s">
        <v>139</v>
      </c>
      <c r="D5108" s="0" t="n">
        <v>6</v>
      </c>
      <c r="E5108" s="6" t="n">
        <v>40858.6194444444</v>
      </c>
      <c r="F5108" s="0" t="n">
        <v>2.08</v>
      </c>
      <c r="G5108" s="0" t="n">
        <v>12480</v>
      </c>
      <c r="H5108" s="0" t="s">
        <v>33</v>
      </c>
      <c r="I5108" s="7" t="n">
        <f aca="false">IF(AND(LEFT(A5108,1)&lt;&gt;"C",D5108&gt;0,F5108&gt;0),1,0)</f>
        <v>1</v>
      </c>
      <c r="J5108" s="7" t="n">
        <f aca="false">IF(I5108=1,D5108*F5108,0)</f>
        <v>12.48</v>
      </c>
      <c r="K5108" s="7" t="n">
        <f aca="false">YEAR(E5108)*100+MONTH(E5108)</f>
        <v>201111</v>
      </c>
      <c r="L5108" s="7" t="n">
        <f aca="false">IF(AND(A5108&lt;&gt;A5107,LEFT(A5108,1)&lt;&gt;"C"),1,0)</f>
        <v>0</v>
      </c>
    </row>
    <row r="5109" customFormat="false" ht="15" hidden="false" customHeight="false" outlineLevel="0" collapsed="false">
      <c r="A5109" s="0" t="s">
        <v>2983</v>
      </c>
      <c r="B5109" s="0" t="s">
        <v>1808</v>
      </c>
      <c r="C5109" s="0" t="s">
        <v>1809</v>
      </c>
      <c r="D5109" s="0" t="n">
        <v>6</v>
      </c>
      <c r="E5109" s="6" t="n">
        <v>40858.6194444444</v>
      </c>
      <c r="F5109" s="0" t="n">
        <v>4.15</v>
      </c>
      <c r="G5109" s="0" t="n">
        <v>12480</v>
      </c>
      <c r="H5109" s="0" t="s">
        <v>33</v>
      </c>
      <c r="I5109" s="7" t="n">
        <f aca="false">IF(AND(LEFT(A5109,1)&lt;&gt;"C",D5109&gt;0,F5109&gt;0),1,0)</f>
        <v>1</v>
      </c>
      <c r="J5109" s="7" t="n">
        <f aca="false">IF(I5109=1,D5109*F5109,0)</f>
        <v>24.9</v>
      </c>
      <c r="K5109" s="7" t="n">
        <f aca="false">YEAR(E5109)*100+MONTH(E5109)</f>
        <v>201111</v>
      </c>
      <c r="L5109" s="7" t="n">
        <f aca="false">IF(AND(A5109&lt;&gt;A5108,LEFT(A5109,1)&lt;&gt;"C"),1,0)</f>
        <v>0</v>
      </c>
    </row>
    <row r="5110" customFormat="false" ht="15" hidden="false" customHeight="false" outlineLevel="0" collapsed="false">
      <c r="A5110" s="0" t="s">
        <v>2983</v>
      </c>
      <c r="B5110" s="0" t="s">
        <v>2988</v>
      </c>
      <c r="C5110" s="0" t="s">
        <v>2989</v>
      </c>
      <c r="D5110" s="0" t="n">
        <v>6</v>
      </c>
      <c r="E5110" s="6" t="n">
        <v>40858.6194444444</v>
      </c>
      <c r="F5110" s="0" t="n">
        <v>1.25</v>
      </c>
      <c r="G5110" s="0" t="n">
        <v>12480</v>
      </c>
      <c r="H5110" s="0" t="s">
        <v>33</v>
      </c>
      <c r="I5110" s="7" t="n">
        <f aca="false">IF(AND(LEFT(A5110,1)&lt;&gt;"C",D5110&gt;0,F5110&gt;0),1,0)</f>
        <v>1</v>
      </c>
      <c r="J5110" s="7" t="n">
        <f aca="false">IF(I5110=1,D5110*F5110,0)</f>
        <v>7.5</v>
      </c>
      <c r="K5110" s="7" t="n">
        <f aca="false">YEAR(E5110)*100+MONTH(E5110)</f>
        <v>201111</v>
      </c>
      <c r="L5110" s="7" t="n">
        <f aca="false">IF(AND(A5110&lt;&gt;A5109,LEFT(A5110,1)&lt;&gt;"C"),1,0)</f>
        <v>0</v>
      </c>
    </row>
    <row r="5111" customFormat="false" ht="15" hidden="false" customHeight="false" outlineLevel="0" collapsed="false">
      <c r="A5111" s="0" t="s">
        <v>2983</v>
      </c>
      <c r="B5111" s="0" t="s">
        <v>1380</v>
      </c>
      <c r="C5111" s="0" t="s">
        <v>1381</v>
      </c>
      <c r="D5111" s="0" t="n">
        <v>24</v>
      </c>
      <c r="E5111" s="6" t="n">
        <v>40858.6194444444</v>
      </c>
      <c r="F5111" s="0" t="n">
        <v>0.55</v>
      </c>
      <c r="G5111" s="0" t="n">
        <v>12480</v>
      </c>
      <c r="H5111" s="0" t="s">
        <v>33</v>
      </c>
      <c r="I5111" s="7" t="n">
        <f aca="false">IF(AND(LEFT(A5111,1)&lt;&gt;"C",D5111&gt;0,F5111&gt;0),1,0)</f>
        <v>1</v>
      </c>
      <c r="J5111" s="7" t="n">
        <f aca="false">IF(I5111=1,D5111*F5111,0)</f>
        <v>13.2</v>
      </c>
      <c r="K5111" s="7" t="n">
        <f aca="false">YEAR(E5111)*100+MONTH(E5111)</f>
        <v>201111</v>
      </c>
      <c r="L5111" s="7" t="n">
        <f aca="false">IF(AND(A5111&lt;&gt;A5110,LEFT(A5111,1)&lt;&gt;"C"),1,0)</f>
        <v>0</v>
      </c>
    </row>
    <row r="5112" customFormat="false" ht="15" hidden="false" customHeight="false" outlineLevel="0" collapsed="false">
      <c r="A5112" s="0" t="s">
        <v>2983</v>
      </c>
      <c r="B5112" s="0" t="s">
        <v>2152</v>
      </c>
      <c r="C5112" s="0" t="s">
        <v>2153</v>
      </c>
      <c r="D5112" s="0" t="n">
        <v>6</v>
      </c>
      <c r="E5112" s="6" t="n">
        <v>40858.6194444444</v>
      </c>
      <c r="F5112" s="0" t="n">
        <v>2.89</v>
      </c>
      <c r="G5112" s="0" t="n">
        <v>12480</v>
      </c>
      <c r="H5112" s="0" t="s">
        <v>33</v>
      </c>
      <c r="I5112" s="7" t="n">
        <f aca="false">IF(AND(LEFT(A5112,1)&lt;&gt;"C",D5112&gt;0,F5112&gt;0),1,0)</f>
        <v>1</v>
      </c>
      <c r="J5112" s="7" t="n">
        <f aca="false">IF(I5112=1,D5112*F5112,0)</f>
        <v>17.34</v>
      </c>
      <c r="K5112" s="7" t="n">
        <f aca="false">YEAR(E5112)*100+MONTH(E5112)</f>
        <v>201111</v>
      </c>
      <c r="L5112" s="7" t="n">
        <f aca="false">IF(AND(A5112&lt;&gt;A5111,LEFT(A5112,1)&lt;&gt;"C"),1,0)</f>
        <v>0</v>
      </c>
    </row>
    <row r="5113" customFormat="false" ht="15" hidden="false" customHeight="false" outlineLevel="0" collapsed="false">
      <c r="A5113" s="0" t="s">
        <v>2983</v>
      </c>
      <c r="B5113" s="0" t="s">
        <v>101</v>
      </c>
      <c r="C5113" s="0" t="s">
        <v>102</v>
      </c>
      <c r="D5113" s="0" t="n">
        <v>12</v>
      </c>
      <c r="E5113" s="6" t="n">
        <v>40858.6194444444</v>
      </c>
      <c r="F5113" s="0" t="n">
        <v>0.85</v>
      </c>
      <c r="G5113" s="0" t="n">
        <v>12480</v>
      </c>
      <c r="H5113" s="0" t="s">
        <v>33</v>
      </c>
      <c r="I5113" s="7" t="n">
        <f aca="false">IF(AND(LEFT(A5113,1)&lt;&gt;"C",D5113&gt;0,F5113&gt;0),1,0)</f>
        <v>1</v>
      </c>
      <c r="J5113" s="7" t="n">
        <f aca="false">IF(I5113=1,D5113*F5113,0)</f>
        <v>10.2</v>
      </c>
      <c r="K5113" s="7" t="n">
        <f aca="false">YEAR(E5113)*100+MONTH(E5113)</f>
        <v>201111</v>
      </c>
      <c r="L5113" s="7" t="n">
        <f aca="false">IF(AND(A5113&lt;&gt;A5112,LEFT(A5113,1)&lt;&gt;"C"),1,0)</f>
        <v>0</v>
      </c>
    </row>
    <row r="5114" customFormat="false" ht="15" hidden="false" customHeight="false" outlineLevel="0" collapsed="false">
      <c r="A5114" s="0" t="s">
        <v>2983</v>
      </c>
      <c r="B5114" s="0" t="s">
        <v>1559</v>
      </c>
      <c r="C5114" s="0" t="s">
        <v>1560</v>
      </c>
      <c r="D5114" s="0" t="n">
        <v>6</v>
      </c>
      <c r="E5114" s="6" t="n">
        <v>40858.6194444444</v>
      </c>
      <c r="F5114" s="0" t="n">
        <v>2.1</v>
      </c>
      <c r="G5114" s="0" t="n">
        <v>12480</v>
      </c>
      <c r="H5114" s="0" t="s">
        <v>33</v>
      </c>
      <c r="I5114" s="7" t="n">
        <f aca="false">IF(AND(LEFT(A5114,1)&lt;&gt;"C",D5114&gt;0,F5114&gt;0),1,0)</f>
        <v>1</v>
      </c>
      <c r="J5114" s="7" t="n">
        <f aca="false">IF(I5114=1,D5114*F5114,0)</f>
        <v>12.6</v>
      </c>
      <c r="K5114" s="7" t="n">
        <f aca="false">YEAR(E5114)*100+MONTH(E5114)</f>
        <v>201111</v>
      </c>
      <c r="L5114" s="7" t="n">
        <f aca="false">IF(AND(A5114&lt;&gt;A5113,LEFT(A5114,1)&lt;&gt;"C"),1,0)</f>
        <v>0</v>
      </c>
    </row>
    <row r="5115" customFormat="false" ht="15" hidden="false" customHeight="false" outlineLevel="0" collapsed="false">
      <c r="A5115" s="0" t="s">
        <v>2983</v>
      </c>
      <c r="B5115" s="0" t="s">
        <v>1189</v>
      </c>
      <c r="C5115" s="0" t="s">
        <v>1190</v>
      </c>
      <c r="D5115" s="0" t="n">
        <v>6</v>
      </c>
      <c r="E5115" s="6" t="n">
        <v>40858.6194444444</v>
      </c>
      <c r="F5115" s="0" t="n">
        <v>2.89</v>
      </c>
      <c r="G5115" s="0" t="n">
        <v>12480</v>
      </c>
      <c r="H5115" s="0" t="s">
        <v>33</v>
      </c>
      <c r="I5115" s="7" t="n">
        <f aca="false">IF(AND(LEFT(A5115,1)&lt;&gt;"C",D5115&gt;0,F5115&gt;0),1,0)</f>
        <v>1</v>
      </c>
      <c r="J5115" s="7" t="n">
        <f aca="false">IF(I5115=1,D5115*F5115,0)</f>
        <v>17.34</v>
      </c>
      <c r="K5115" s="7" t="n">
        <f aca="false">YEAR(E5115)*100+MONTH(E5115)</f>
        <v>201111</v>
      </c>
      <c r="L5115" s="7" t="n">
        <f aca="false">IF(AND(A5115&lt;&gt;A5114,LEFT(A5115,1)&lt;&gt;"C"),1,0)</f>
        <v>0</v>
      </c>
    </row>
    <row r="5116" customFormat="false" ht="15" hidden="false" customHeight="false" outlineLevel="0" collapsed="false">
      <c r="A5116" s="0" t="s">
        <v>2983</v>
      </c>
      <c r="B5116" s="0" t="s">
        <v>84</v>
      </c>
      <c r="C5116" s="0" t="s">
        <v>85</v>
      </c>
      <c r="D5116" s="0" t="n">
        <v>8</v>
      </c>
      <c r="E5116" s="6" t="n">
        <v>40858.6194444444</v>
      </c>
      <c r="F5116" s="0" t="n">
        <v>18</v>
      </c>
      <c r="G5116" s="0" t="n">
        <v>12480</v>
      </c>
      <c r="H5116" s="0" t="s">
        <v>33</v>
      </c>
      <c r="I5116" s="7" t="n">
        <f aca="false">IF(AND(LEFT(A5116,1)&lt;&gt;"C",D5116&gt;0,F5116&gt;0),1,0)</f>
        <v>1</v>
      </c>
      <c r="J5116" s="7" t="n">
        <f aca="false">IF(I5116=1,D5116*F5116,0)</f>
        <v>144</v>
      </c>
      <c r="K5116" s="7" t="n">
        <f aca="false">YEAR(E5116)*100+MONTH(E5116)</f>
        <v>201111</v>
      </c>
      <c r="L5116" s="7" t="n">
        <f aca="false">IF(AND(A5116&lt;&gt;A5115,LEFT(A5116,1)&lt;&gt;"C"),1,0)</f>
        <v>0</v>
      </c>
    </row>
    <row r="5117" customFormat="false" ht="15" hidden="false" customHeight="false" outlineLevel="0" collapsed="false">
      <c r="A5117" s="0" t="s">
        <v>2990</v>
      </c>
      <c r="B5117" s="0" t="s">
        <v>64</v>
      </c>
      <c r="C5117" s="0" t="s">
        <v>65</v>
      </c>
      <c r="D5117" s="0" t="n">
        <v>96</v>
      </c>
      <c r="E5117" s="6" t="n">
        <v>40858.7006944444</v>
      </c>
      <c r="F5117" s="0" t="n">
        <v>1.65</v>
      </c>
      <c r="G5117" s="0" t="n">
        <v>12691</v>
      </c>
      <c r="H5117" s="0" t="s">
        <v>43</v>
      </c>
      <c r="I5117" s="7" t="n">
        <f aca="false">IF(AND(LEFT(A5117,1)&lt;&gt;"C",D5117&gt;0,F5117&gt;0),1,0)</f>
        <v>1</v>
      </c>
      <c r="J5117" s="7" t="n">
        <f aca="false">IF(I5117=1,D5117*F5117,0)</f>
        <v>158.4</v>
      </c>
      <c r="K5117" s="7" t="n">
        <f aca="false">YEAR(E5117)*100+MONTH(E5117)</f>
        <v>201111</v>
      </c>
      <c r="L5117" s="7" t="n">
        <f aca="false">IF(AND(A5117&lt;&gt;A5116,LEFT(A5117,1)&lt;&gt;"C"),1,0)</f>
        <v>1</v>
      </c>
    </row>
    <row r="5118" customFormat="false" ht="15" hidden="false" customHeight="false" outlineLevel="0" collapsed="false">
      <c r="A5118" s="0" t="s">
        <v>2990</v>
      </c>
      <c r="B5118" s="0" t="s">
        <v>84</v>
      </c>
      <c r="C5118" s="0" t="s">
        <v>85</v>
      </c>
      <c r="D5118" s="0" t="n">
        <v>1</v>
      </c>
      <c r="E5118" s="6" t="n">
        <v>40858.7006944444</v>
      </c>
      <c r="F5118" s="0" t="n">
        <v>18</v>
      </c>
      <c r="G5118" s="0" t="n">
        <v>12691</v>
      </c>
      <c r="H5118" s="0" t="s">
        <v>43</v>
      </c>
      <c r="I5118" s="7" t="n">
        <f aca="false">IF(AND(LEFT(A5118,1)&lt;&gt;"C",D5118&gt;0,F5118&gt;0),1,0)</f>
        <v>1</v>
      </c>
      <c r="J5118" s="7" t="n">
        <f aca="false">IF(I5118=1,D5118*F5118,0)</f>
        <v>18</v>
      </c>
      <c r="K5118" s="7" t="n">
        <f aca="false">YEAR(E5118)*100+MONTH(E5118)</f>
        <v>201111</v>
      </c>
      <c r="L5118" s="7" t="n">
        <f aca="false">IF(AND(A5118&lt;&gt;A5117,LEFT(A5118,1)&lt;&gt;"C"),1,0)</f>
        <v>0</v>
      </c>
    </row>
    <row r="5119" customFormat="false" ht="15" hidden="false" customHeight="false" outlineLevel="0" collapsed="false">
      <c r="A5119" s="0" t="s">
        <v>2991</v>
      </c>
      <c r="B5119" s="0" t="s">
        <v>1312</v>
      </c>
      <c r="C5119" s="0" t="s">
        <v>1313</v>
      </c>
      <c r="D5119" s="0" t="n">
        <v>3</v>
      </c>
      <c r="E5119" s="6" t="n">
        <v>40860.6506944444</v>
      </c>
      <c r="F5119" s="0" t="n">
        <v>0.65</v>
      </c>
      <c r="G5119" s="0" t="n">
        <v>12508</v>
      </c>
      <c r="H5119" s="0" t="s">
        <v>43</v>
      </c>
      <c r="I5119" s="7" t="n">
        <f aca="false">IF(AND(LEFT(A5119,1)&lt;&gt;"C",D5119&gt;0,F5119&gt;0),1,0)</f>
        <v>1</v>
      </c>
      <c r="J5119" s="7" t="n">
        <f aca="false">IF(I5119=1,D5119*F5119,0)</f>
        <v>1.95</v>
      </c>
      <c r="K5119" s="7" t="n">
        <f aca="false">YEAR(E5119)*100+MONTH(E5119)</f>
        <v>201111</v>
      </c>
      <c r="L5119" s="7" t="n">
        <f aca="false">IF(AND(A5119&lt;&gt;A5118,LEFT(A5119,1)&lt;&gt;"C"),1,0)</f>
        <v>1</v>
      </c>
    </row>
    <row r="5120" customFormat="false" ht="15" hidden="false" customHeight="false" outlineLevel="0" collapsed="false">
      <c r="A5120" s="0" t="s">
        <v>2991</v>
      </c>
      <c r="B5120" s="0" t="s">
        <v>1909</v>
      </c>
      <c r="C5120" s="0" t="s">
        <v>1910</v>
      </c>
      <c r="D5120" s="0" t="n">
        <v>3</v>
      </c>
      <c r="E5120" s="6" t="n">
        <v>40860.6506944444</v>
      </c>
      <c r="F5120" s="0" t="n">
        <v>2.95</v>
      </c>
      <c r="G5120" s="0" t="n">
        <v>12508</v>
      </c>
      <c r="H5120" s="0" t="s">
        <v>43</v>
      </c>
      <c r="I5120" s="7" t="n">
        <f aca="false">IF(AND(LEFT(A5120,1)&lt;&gt;"C",D5120&gt;0,F5120&gt;0),1,0)</f>
        <v>1</v>
      </c>
      <c r="J5120" s="7" t="n">
        <f aca="false">IF(I5120=1,D5120*F5120,0)</f>
        <v>8.85</v>
      </c>
      <c r="K5120" s="7" t="n">
        <f aca="false">YEAR(E5120)*100+MONTH(E5120)</f>
        <v>201111</v>
      </c>
      <c r="L5120" s="7" t="n">
        <f aca="false">IF(AND(A5120&lt;&gt;A5119,LEFT(A5120,1)&lt;&gt;"C"),1,0)</f>
        <v>0</v>
      </c>
    </row>
    <row r="5121" customFormat="false" ht="15" hidden="false" customHeight="false" outlineLevel="0" collapsed="false">
      <c r="A5121" s="0" t="s">
        <v>2991</v>
      </c>
      <c r="B5121" s="0" t="s">
        <v>667</v>
      </c>
      <c r="C5121" s="0" t="s">
        <v>668</v>
      </c>
      <c r="D5121" s="0" t="n">
        <v>5</v>
      </c>
      <c r="E5121" s="6" t="n">
        <v>40860.6506944444</v>
      </c>
      <c r="F5121" s="0" t="n">
        <v>0.85</v>
      </c>
      <c r="G5121" s="0" t="n">
        <v>12508</v>
      </c>
      <c r="H5121" s="0" t="s">
        <v>43</v>
      </c>
      <c r="I5121" s="7" t="n">
        <f aca="false">IF(AND(LEFT(A5121,1)&lt;&gt;"C",D5121&gt;0,F5121&gt;0),1,0)</f>
        <v>1</v>
      </c>
      <c r="J5121" s="7" t="n">
        <f aca="false">IF(I5121=1,D5121*F5121,0)</f>
        <v>4.25</v>
      </c>
      <c r="K5121" s="7" t="n">
        <f aca="false">YEAR(E5121)*100+MONTH(E5121)</f>
        <v>201111</v>
      </c>
      <c r="L5121" s="7" t="n">
        <f aca="false">IF(AND(A5121&lt;&gt;A5120,LEFT(A5121,1)&lt;&gt;"C"),1,0)</f>
        <v>0</v>
      </c>
    </row>
    <row r="5122" customFormat="false" ht="15" hidden="false" customHeight="false" outlineLevel="0" collapsed="false">
      <c r="A5122" s="0" t="s">
        <v>2991</v>
      </c>
      <c r="B5122" s="0" t="s">
        <v>1120</v>
      </c>
      <c r="C5122" s="0" t="s">
        <v>1121</v>
      </c>
      <c r="D5122" s="0" t="n">
        <v>2</v>
      </c>
      <c r="E5122" s="6" t="n">
        <v>40860.6506944444</v>
      </c>
      <c r="F5122" s="0" t="n">
        <v>3.75</v>
      </c>
      <c r="G5122" s="0" t="n">
        <v>12508</v>
      </c>
      <c r="H5122" s="0" t="s">
        <v>43</v>
      </c>
      <c r="I5122" s="7" t="n">
        <f aca="false">IF(AND(LEFT(A5122,1)&lt;&gt;"C",D5122&gt;0,F5122&gt;0),1,0)</f>
        <v>1</v>
      </c>
      <c r="J5122" s="7" t="n">
        <f aca="false">IF(I5122=1,D5122*F5122,0)</f>
        <v>7.5</v>
      </c>
      <c r="K5122" s="7" t="n">
        <f aca="false">YEAR(E5122)*100+MONTH(E5122)</f>
        <v>201111</v>
      </c>
      <c r="L5122" s="7" t="n">
        <f aca="false">IF(AND(A5122&lt;&gt;A5121,LEFT(A5122,1)&lt;&gt;"C"),1,0)</f>
        <v>0</v>
      </c>
    </row>
    <row r="5123" customFormat="false" ht="15" hidden="false" customHeight="false" outlineLevel="0" collapsed="false">
      <c r="A5123" s="0" t="s">
        <v>2991</v>
      </c>
      <c r="B5123" s="0" t="s">
        <v>2817</v>
      </c>
      <c r="C5123" s="0" t="s">
        <v>2818</v>
      </c>
      <c r="D5123" s="0" t="n">
        <v>5</v>
      </c>
      <c r="E5123" s="6" t="n">
        <v>40860.6506944444</v>
      </c>
      <c r="F5123" s="0" t="n">
        <v>0.85</v>
      </c>
      <c r="G5123" s="0" t="n">
        <v>12508</v>
      </c>
      <c r="H5123" s="0" t="s">
        <v>43</v>
      </c>
      <c r="I5123" s="7" t="n">
        <f aca="false">IF(AND(LEFT(A5123,1)&lt;&gt;"C",D5123&gt;0,F5123&gt;0),1,0)</f>
        <v>1</v>
      </c>
      <c r="J5123" s="7" t="n">
        <f aca="false">IF(I5123=1,D5123*F5123,0)</f>
        <v>4.25</v>
      </c>
      <c r="K5123" s="7" t="n">
        <f aca="false">YEAR(E5123)*100+MONTH(E5123)</f>
        <v>201111</v>
      </c>
      <c r="L5123" s="7" t="n">
        <f aca="false">IF(AND(A5123&lt;&gt;A5122,LEFT(A5123,1)&lt;&gt;"C"),1,0)</f>
        <v>0</v>
      </c>
    </row>
    <row r="5124" customFormat="false" ht="15" hidden="false" customHeight="false" outlineLevel="0" collapsed="false">
      <c r="A5124" s="0" t="s">
        <v>2991</v>
      </c>
      <c r="B5124" s="0" t="s">
        <v>1501</v>
      </c>
      <c r="C5124" s="0" t="s">
        <v>1502</v>
      </c>
      <c r="D5124" s="0" t="n">
        <v>5</v>
      </c>
      <c r="E5124" s="6" t="n">
        <v>40860.6506944444</v>
      </c>
      <c r="F5124" s="0" t="n">
        <v>0.65</v>
      </c>
      <c r="G5124" s="0" t="n">
        <v>12508</v>
      </c>
      <c r="H5124" s="0" t="s">
        <v>43</v>
      </c>
      <c r="I5124" s="7" t="n">
        <f aca="false">IF(AND(LEFT(A5124,1)&lt;&gt;"C",D5124&gt;0,F5124&gt;0),1,0)</f>
        <v>1</v>
      </c>
      <c r="J5124" s="7" t="n">
        <f aca="false">IF(I5124=1,D5124*F5124,0)</f>
        <v>3.25</v>
      </c>
      <c r="K5124" s="7" t="n">
        <f aca="false">YEAR(E5124)*100+MONTH(E5124)</f>
        <v>201111</v>
      </c>
      <c r="L5124" s="7" t="n">
        <f aca="false">IF(AND(A5124&lt;&gt;A5123,LEFT(A5124,1)&lt;&gt;"C"),1,0)</f>
        <v>0</v>
      </c>
    </row>
    <row r="5125" customFormat="false" ht="15" hidden="false" customHeight="false" outlineLevel="0" collapsed="false">
      <c r="A5125" s="0" t="s">
        <v>2991</v>
      </c>
      <c r="B5125" s="0" t="s">
        <v>991</v>
      </c>
      <c r="C5125" s="0" t="s">
        <v>992</v>
      </c>
      <c r="D5125" s="0" t="n">
        <v>5</v>
      </c>
      <c r="E5125" s="6" t="n">
        <v>40860.6506944444</v>
      </c>
      <c r="F5125" s="0" t="n">
        <v>0.42</v>
      </c>
      <c r="G5125" s="0" t="n">
        <v>12508</v>
      </c>
      <c r="H5125" s="0" t="s">
        <v>43</v>
      </c>
      <c r="I5125" s="7" t="n">
        <f aca="false">IF(AND(LEFT(A5125,1)&lt;&gt;"C",D5125&gt;0,F5125&gt;0),1,0)</f>
        <v>1</v>
      </c>
      <c r="J5125" s="7" t="n">
        <f aca="false">IF(I5125=1,D5125*F5125,0)</f>
        <v>2.1</v>
      </c>
      <c r="K5125" s="7" t="n">
        <f aca="false">YEAR(E5125)*100+MONTH(E5125)</f>
        <v>201111</v>
      </c>
      <c r="L5125" s="7" t="n">
        <f aca="false">IF(AND(A5125&lt;&gt;A5124,LEFT(A5125,1)&lt;&gt;"C"),1,0)</f>
        <v>0</v>
      </c>
    </row>
    <row r="5126" customFormat="false" ht="15" hidden="false" customHeight="false" outlineLevel="0" collapsed="false">
      <c r="A5126" s="0" t="s">
        <v>2991</v>
      </c>
      <c r="B5126" s="0" t="s">
        <v>1436</v>
      </c>
      <c r="C5126" s="0" t="s">
        <v>1437</v>
      </c>
      <c r="D5126" s="0" t="n">
        <v>4</v>
      </c>
      <c r="E5126" s="6" t="n">
        <v>40860.6506944444</v>
      </c>
      <c r="F5126" s="0" t="n">
        <v>4.95</v>
      </c>
      <c r="G5126" s="0" t="n">
        <v>12508</v>
      </c>
      <c r="H5126" s="0" t="s">
        <v>43</v>
      </c>
      <c r="I5126" s="7" t="n">
        <f aca="false">IF(AND(LEFT(A5126,1)&lt;&gt;"C",D5126&gt;0,F5126&gt;0),1,0)</f>
        <v>1</v>
      </c>
      <c r="J5126" s="7" t="n">
        <f aca="false">IF(I5126=1,D5126*F5126,0)</f>
        <v>19.8</v>
      </c>
      <c r="K5126" s="7" t="n">
        <f aca="false">YEAR(E5126)*100+MONTH(E5126)</f>
        <v>201111</v>
      </c>
      <c r="L5126" s="7" t="n">
        <f aca="false">IF(AND(A5126&lt;&gt;A5125,LEFT(A5126,1)&lt;&gt;"C"),1,0)</f>
        <v>0</v>
      </c>
    </row>
    <row r="5127" customFormat="false" ht="15" hidden="false" customHeight="false" outlineLevel="0" collapsed="false">
      <c r="A5127" s="0" t="s">
        <v>2991</v>
      </c>
      <c r="B5127" s="0" t="s">
        <v>2902</v>
      </c>
      <c r="C5127" s="0" t="s">
        <v>2903</v>
      </c>
      <c r="D5127" s="0" t="n">
        <v>5</v>
      </c>
      <c r="E5127" s="6" t="n">
        <v>40860.6506944444</v>
      </c>
      <c r="F5127" s="0" t="n">
        <v>0.85</v>
      </c>
      <c r="G5127" s="0" t="n">
        <v>12508</v>
      </c>
      <c r="H5127" s="0" t="s">
        <v>43</v>
      </c>
      <c r="I5127" s="7" t="n">
        <f aca="false">IF(AND(LEFT(A5127,1)&lt;&gt;"C",D5127&gt;0,F5127&gt;0),1,0)</f>
        <v>1</v>
      </c>
      <c r="J5127" s="7" t="n">
        <f aca="false">IF(I5127=1,D5127*F5127,0)</f>
        <v>4.25</v>
      </c>
      <c r="K5127" s="7" t="n">
        <f aca="false">YEAR(E5127)*100+MONTH(E5127)</f>
        <v>201111</v>
      </c>
      <c r="L5127" s="7" t="n">
        <f aca="false">IF(AND(A5127&lt;&gt;A5126,LEFT(A5127,1)&lt;&gt;"C"),1,0)</f>
        <v>0</v>
      </c>
    </row>
    <row r="5128" customFormat="false" ht="15" hidden="false" customHeight="false" outlineLevel="0" collapsed="false">
      <c r="A5128" s="0" t="s">
        <v>2991</v>
      </c>
      <c r="B5128" s="0" t="s">
        <v>2034</v>
      </c>
      <c r="C5128" s="0" t="s">
        <v>2035</v>
      </c>
      <c r="D5128" s="0" t="n">
        <v>4</v>
      </c>
      <c r="E5128" s="6" t="n">
        <v>40860.6506944444</v>
      </c>
      <c r="F5128" s="0" t="n">
        <v>1.25</v>
      </c>
      <c r="G5128" s="0" t="n">
        <v>12508</v>
      </c>
      <c r="H5128" s="0" t="s">
        <v>43</v>
      </c>
      <c r="I5128" s="7" t="n">
        <f aca="false">IF(AND(LEFT(A5128,1)&lt;&gt;"C",D5128&gt;0,F5128&gt;0),1,0)</f>
        <v>1</v>
      </c>
      <c r="J5128" s="7" t="n">
        <f aca="false">IF(I5128=1,D5128*F5128,0)</f>
        <v>5</v>
      </c>
      <c r="K5128" s="7" t="n">
        <f aca="false">YEAR(E5128)*100+MONTH(E5128)</f>
        <v>201111</v>
      </c>
      <c r="L5128" s="7" t="n">
        <f aca="false">IF(AND(A5128&lt;&gt;A5127,LEFT(A5128,1)&lt;&gt;"C"),1,0)</f>
        <v>0</v>
      </c>
    </row>
    <row r="5129" customFormat="false" ht="15" hidden="false" customHeight="false" outlineLevel="0" collapsed="false">
      <c r="A5129" s="0" t="s">
        <v>2991</v>
      </c>
      <c r="B5129" s="0" t="s">
        <v>273</v>
      </c>
      <c r="C5129" s="0" t="s">
        <v>274</v>
      </c>
      <c r="D5129" s="0" t="n">
        <v>2</v>
      </c>
      <c r="E5129" s="6" t="n">
        <v>40860.6506944444</v>
      </c>
      <c r="F5129" s="0" t="n">
        <v>4.95</v>
      </c>
      <c r="G5129" s="0" t="n">
        <v>12508</v>
      </c>
      <c r="H5129" s="0" t="s">
        <v>43</v>
      </c>
      <c r="I5129" s="7" t="n">
        <f aca="false">IF(AND(LEFT(A5129,1)&lt;&gt;"C",D5129&gt;0,F5129&gt;0),1,0)</f>
        <v>1</v>
      </c>
      <c r="J5129" s="7" t="n">
        <f aca="false">IF(I5129=1,D5129*F5129,0)</f>
        <v>9.9</v>
      </c>
      <c r="K5129" s="7" t="n">
        <f aca="false">YEAR(E5129)*100+MONTH(E5129)</f>
        <v>201111</v>
      </c>
      <c r="L5129" s="7" t="n">
        <f aca="false">IF(AND(A5129&lt;&gt;A5128,LEFT(A5129,1)&lt;&gt;"C"),1,0)</f>
        <v>0</v>
      </c>
    </row>
    <row r="5130" customFormat="false" ht="15" hidden="false" customHeight="false" outlineLevel="0" collapsed="false">
      <c r="A5130" s="0" t="s">
        <v>2991</v>
      </c>
      <c r="B5130" s="0" t="s">
        <v>794</v>
      </c>
      <c r="C5130" s="0" t="s">
        <v>795</v>
      </c>
      <c r="D5130" s="0" t="n">
        <v>5</v>
      </c>
      <c r="E5130" s="6" t="n">
        <v>40860.6506944444</v>
      </c>
      <c r="F5130" s="0" t="n">
        <v>0.85</v>
      </c>
      <c r="G5130" s="0" t="n">
        <v>12508</v>
      </c>
      <c r="H5130" s="0" t="s">
        <v>43</v>
      </c>
      <c r="I5130" s="7" t="n">
        <f aca="false">IF(AND(LEFT(A5130,1)&lt;&gt;"C",D5130&gt;0,F5130&gt;0),1,0)</f>
        <v>1</v>
      </c>
      <c r="J5130" s="7" t="n">
        <f aca="false">IF(I5130=1,D5130*F5130,0)</f>
        <v>4.25</v>
      </c>
      <c r="K5130" s="7" t="n">
        <f aca="false">YEAR(E5130)*100+MONTH(E5130)</f>
        <v>201111</v>
      </c>
      <c r="L5130" s="7" t="n">
        <f aca="false">IF(AND(A5130&lt;&gt;A5129,LEFT(A5130,1)&lt;&gt;"C"),1,0)</f>
        <v>0</v>
      </c>
    </row>
    <row r="5131" customFormat="false" ht="15" hidden="false" customHeight="false" outlineLevel="0" collapsed="false">
      <c r="A5131" s="0" t="s">
        <v>2991</v>
      </c>
      <c r="B5131" s="0" t="s">
        <v>1930</v>
      </c>
      <c r="C5131" s="0" t="s">
        <v>1931</v>
      </c>
      <c r="D5131" s="0" t="n">
        <v>7</v>
      </c>
      <c r="E5131" s="6" t="n">
        <v>40860.6506944444</v>
      </c>
      <c r="F5131" s="0" t="n">
        <v>2.89</v>
      </c>
      <c r="G5131" s="0" t="n">
        <v>12508</v>
      </c>
      <c r="H5131" s="0" t="s">
        <v>43</v>
      </c>
      <c r="I5131" s="7" t="n">
        <f aca="false">IF(AND(LEFT(A5131,1)&lt;&gt;"C",D5131&gt;0,F5131&gt;0),1,0)</f>
        <v>1</v>
      </c>
      <c r="J5131" s="7" t="n">
        <f aca="false">IF(I5131=1,D5131*F5131,0)</f>
        <v>20.23</v>
      </c>
      <c r="K5131" s="7" t="n">
        <f aca="false">YEAR(E5131)*100+MONTH(E5131)</f>
        <v>201111</v>
      </c>
      <c r="L5131" s="7" t="n">
        <f aca="false">IF(AND(A5131&lt;&gt;A5130,LEFT(A5131,1)&lt;&gt;"C"),1,0)</f>
        <v>0</v>
      </c>
    </row>
    <row r="5132" customFormat="false" ht="15" hidden="false" customHeight="false" outlineLevel="0" collapsed="false">
      <c r="A5132" s="0" t="s">
        <v>2991</v>
      </c>
      <c r="B5132" s="0" t="s">
        <v>521</v>
      </c>
      <c r="C5132" s="0" t="s">
        <v>522</v>
      </c>
      <c r="D5132" s="0" t="n">
        <v>6</v>
      </c>
      <c r="E5132" s="6" t="n">
        <v>40860.6506944444</v>
      </c>
      <c r="F5132" s="0" t="n">
        <v>1.95</v>
      </c>
      <c r="G5132" s="0" t="n">
        <v>12508</v>
      </c>
      <c r="H5132" s="0" t="s">
        <v>43</v>
      </c>
      <c r="I5132" s="7" t="n">
        <f aca="false">IF(AND(LEFT(A5132,1)&lt;&gt;"C",D5132&gt;0,F5132&gt;0),1,0)</f>
        <v>1</v>
      </c>
      <c r="J5132" s="7" t="n">
        <f aca="false">IF(I5132=1,D5132*F5132,0)</f>
        <v>11.7</v>
      </c>
      <c r="K5132" s="7" t="n">
        <f aca="false">YEAR(E5132)*100+MONTH(E5132)</f>
        <v>201111</v>
      </c>
      <c r="L5132" s="7" t="n">
        <f aca="false">IF(AND(A5132&lt;&gt;A5131,LEFT(A5132,1)&lt;&gt;"C"),1,0)</f>
        <v>0</v>
      </c>
    </row>
    <row r="5133" customFormat="false" ht="15" hidden="false" customHeight="false" outlineLevel="0" collapsed="false">
      <c r="A5133" s="0" t="s">
        <v>2991</v>
      </c>
      <c r="B5133" s="0" t="s">
        <v>814</v>
      </c>
      <c r="C5133" s="0" t="s">
        <v>815</v>
      </c>
      <c r="D5133" s="0" t="n">
        <v>4</v>
      </c>
      <c r="E5133" s="6" t="n">
        <v>40860.6506944444</v>
      </c>
      <c r="F5133" s="0" t="n">
        <v>1.45</v>
      </c>
      <c r="G5133" s="0" t="n">
        <v>12508</v>
      </c>
      <c r="H5133" s="0" t="s">
        <v>43</v>
      </c>
      <c r="I5133" s="7" t="n">
        <f aca="false">IF(AND(LEFT(A5133,1)&lt;&gt;"C",D5133&gt;0,F5133&gt;0),1,0)</f>
        <v>1</v>
      </c>
      <c r="J5133" s="7" t="n">
        <f aca="false">IF(I5133=1,D5133*F5133,0)</f>
        <v>5.8</v>
      </c>
      <c r="K5133" s="7" t="n">
        <f aca="false">YEAR(E5133)*100+MONTH(E5133)</f>
        <v>201111</v>
      </c>
      <c r="L5133" s="7" t="n">
        <f aca="false">IF(AND(A5133&lt;&gt;A5132,LEFT(A5133,1)&lt;&gt;"C"),1,0)</f>
        <v>0</v>
      </c>
    </row>
    <row r="5134" customFormat="false" ht="15" hidden="false" customHeight="false" outlineLevel="0" collapsed="false">
      <c r="A5134" s="0" t="s">
        <v>2991</v>
      </c>
      <c r="B5134" s="0" t="s">
        <v>808</v>
      </c>
      <c r="C5134" s="0" t="s">
        <v>809</v>
      </c>
      <c r="D5134" s="0" t="n">
        <v>2</v>
      </c>
      <c r="E5134" s="6" t="n">
        <v>40860.6506944444</v>
      </c>
      <c r="F5134" s="0" t="n">
        <v>3.75</v>
      </c>
      <c r="G5134" s="0" t="n">
        <v>12508</v>
      </c>
      <c r="H5134" s="0" t="s">
        <v>43</v>
      </c>
      <c r="I5134" s="7" t="n">
        <f aca="false">IF(AND(LEFT(A5134,1)&lt;&gt;"C",D5134&gt;0,F5134&gt;0),1,0)</f>
        <v>1</v>
      </c>
      <c r="J5134" s="7" t="n">
        <f aca="false">IF(I5134=1,D5134*F5134,0)</f>
        <v>7.5</v>
      </c>
      <c r="K5134" s="7" t="n">
        <f aca="false">YEAR(E5134)*100+MONTH(E5134)</f>
        <v>201111</v>
      </c>
      <c r="L5134" s="7" t="n">
        <f aca="false">IF(AND(A5134&lt;&gt;A5133,LEFT(A5134,1)&lt;&gt;"C"),1,0)</f>
        <v>0</v>
      </c>
    </row>
    <row r="5135" customFormat="false" ht="15" hidden="false" customHeight="false" outlineLevel="0" collapsed="false">
      <c r="A5135" s="0" t="s">
        <v>2991</v>
      </c>
      <c r="B5135" s="0" t="s">
        <v>2910</v>
      </c>
      <c r="C5135" s="0" t="s">
        <v>2911</v>
      </c>
      <c r="D5135" s="0" t="n">
        <v>2</v>
      </c>
      <c r="E5135" s="6" t="n">
        <v>40860.6506944444</v>
      </c>
      <c r="F5135" s="0" t="n">
        <v>1.25</v>
      </c>
      <c r="G5135" s="0" t="n">
        <v>12508</v>
      </c>
      <c r="H5135" s="0" t="s">
        <v>43</v>
      </c>
      <c r="I5135" s="7" t="n">
        <f aca="false">IF(AND(LEFT(A5135,1)&lt;&gt;"C",D5135&gt;0,F5135&gt;0),1,0)</f>
        <v>1</v>
      </c>
      <c r="J5135" s="7" t="n">
        <f aca="false">IF(I5135=1,D5135*F5135,0)</f>
        <v>2.5</v>
      </c>
      <c r="K5135" s="7" t="n">
        <f aca="false">YEAR(E5135)*100+MONTH(E5135)</f>
        <v>201111</v>
      </c>
      <c r="L5135" s="7" t="n">
        <f aca="false">IF(AND(A5135&lt;&gt;A5134,LEFT(A5135,1)&lt;&gt;"C"),1,0)</f>
        <v>0</v>
      </c>
    </row>
    <row r="5136" customFormat="false" ht="15" hidden="false" customHeight="false" outlineLevel="0" collapsed="false">
      <c r="A5136" s="0" t="s">
        <v>2992</v>
      </c>
      <c r="B5136" s="0" t="s">
        <v>64</v>
      </c>
      <c r="C5136" s="0" t="s">
        <v>65</v>
      </c>
      <c r="D5136" s="0" t="n">
        <v>24</v>
      </c>
      <c r="E5136" s="6" t="n">
        <v>40861.3548611111</v>
      </c>
      <c r="F5136" s="0" t="n">
        <v>1.65</v>
      </c>
      <c r="G5136" s="0" t="n">
        <v>12689</v>
      </c>
      <c r="H5136" s="0" t="s">
        <v>43</v>
      </c>
      <c r="I5136" s="7" t="n">
        <f aca="false">IF(AND(LEFT(A5136,1)&lt;&gt;"C",D5136&gt;0,F5136&gt;0),1,0)</f>
        <v>1</v>
      </c>
      <c r="J5136" s="7" t="n">
        <f aca="false">IF(I5136=1,D5136*F5136,0)</f>
        <v>39.6</v>
      </c>
      <c r="K5136" s="7" t="n">
        <f aca="false">YEAR(E5136)*100+MONTH(E5136)</f>
        <v>201111</v>
      </c>
      <c r="L5136" s="7" t="n">
        <f aca="false">IF(AND(A5136&lt;&gt;A5135,LEFT(A5136,1)&lt;&gt;"C"),1,0)</f>
        <v>1</v>
      </c>
    </row>
    <row r="5137" customFormat="false" ht="15" hidden="false" customHeight="false" outlineLevel="0" collapsed="false">
      <c r="A5137" s="0" t="s">
        <v>2992</v>
      </c>
      <c r="B5137" s="0" t="s">
        <v>606</v>
      </c>
      <c r="C5137" s="0" t="s">
        <v>607</v>
      </c>
      <c r="D5137" s="0" t="n">
        <v>24</v>
      </c>
      <c r="E5137" s="6" t="n">
        <v>40861.3548611111</v>
      </c>
      <c r="F5137" s="0" t="n">
        <v>0.42</v>
      </c>
      <c r="G5137" s="0" t="n">
        <v>12689</v>
      </c>
      <c r="H5137" s="0" t="s">
        <v>43</v>
      </c>
      <c r="I5137" s="7" t="n">
        <f aca="false">IF(AND(LEFT(A5137,1)&lt;&gt;"C",D5137&gt;0,F5137&gt;0),1,0)</f>
        <v>1</v>
      </c>
      <c r="J5137" s="7" t="n">
        <f aca="false">IF(I5137=1,D5137*F5137,0)</f>
        <v>10.08</v>
      </c>
      <c r="K5137" s="7" t="n">
        <f aca="false">YEAR(E5137)*100+MONTH(E5137)</f>
        <v>201111</v>
      </c>
      <c r="L5137" s="7" t="n">
        <f aca="false">IF(AND(A5137&lt;&gt;A5136,LEFT(A5137,1)&lt;&gt;"C"),1,0)</f>
        <v>0</v>
      </c>
    </row>
    <row r="5138" customFormat="false" ht="15" hidden="false" customHeight="false" outlineLevel="0" collapsed="false">
      <c r="A5138" s="0" t="s">
        <v>2992</v>
      </c>
      <c r="B5138" s="0" t="s">
        <v>747</v>
      </c>
      <c r="C5138" s="0" t="s">
        <v>748</v>
      </c>
      <c r="D5138" s="0" t="n">
        <v>12</v>
      </c>
      <c r="E5138" s="6" t="n">
        <v>40861.3548611111</v>
      </c>
      <c r="F5138" s="0" t="n">
        <v>0.42</v>
      </c>
      <c r="G5138" s="0" t="n">
        <v>12689</v>
      </c>
      <c r="H5138" s="0" t="s">
        <v>43</v>
      </c>
      <c r="I5138" s="7" t="n">
        <f aca="false">IF(AND(LEFT(A5138,1)&lt;&gt;"C",D5138&gt;0,F5138&gt;0),1,0)</f>
        <v>1</v>
      </c>
      <c r="J5138" s="7" t="n">
        <f aca="false">IF(I5138=1,D5138*F5138,0)</f>
        <v>5.04</v>
      </c>
      <c r="K5138" s="7" t="n">
        <f aca="false">YEAR(E5138)*100+MONTH(E5138)</f>
        <v>201111</v>
      </c>
      <c r="L5138" s="7" t="n">
        <f aca="false">IF(AND(A5138&lt;&gt;A5137,LEFT(A5138,1)&lt;&gt;"C"),1,0)</f>
        <v>0</v>
      </c>
    </row>
    <row r="5139" customFormat="false" ht="15" hidden="false" customHeight="false" outlineLevel="0" collapsed="false">
      <c r="A5139" s="0" t="s">
        <v>2992</v>
      </c>
      <c r="B5139" s="0" t="s">
        <v>173</v>
      </c>
      <c r="C5139" s="0" t="s">
        <v>174</v>
      </c>
      <c r="D5139" s="0" t="n">
        <v>8</v>
      </c>
      <c r="E5139" s="6" t="n">
        <v>40861.3548611111</v>
      </c>
      <c r="F5139" s="0" t="n">
        <v>1.25</v>
      </c>
      <c r="G5139" s="0" t="n">
        <v>12689</v>
      </c>
      <c r="H5139" s="0" t="s">
        <v>43</v>
      </c>
      <c r="I5139" s="7" t="n">
        <f aca="false">IF(AND(LEFT(A5139,1)&lt;&gt;"C",D5139&gt;0,F5139&gt;0),1,0)</f>
        <v>1</v>
      </c>
      <c r="J5139" s="7" t="n">
        <f aca="false">IF(I5139=1,D5139*F5139,0)</f>
        <v>10</v>
      </c>
      <c r="K5139" s="7" t="n">
        <f aca="false">YEAR(E5139)*100+MONTH(E5139)</f>
        <v>201111</v>
      </c>
      <c r="L5139" s="7" t="n">
        <f aca="false">IF(AND(A5139&lt;&gt;A5138,LEFT(A5139,1)&lt;&gt;"C"),1,0)</f>
        <v>0</v>
      </c>
    </row>
    <row r="5140" customFormat="false" ht="15" hidden="false" customHeight="false" outlineLevel="0" collapsed="false">
      <c r="A5140" s="0" t="s">
        <v>2992</v>
      </c>
      <c r="B5140" s="0" t="s">
        <v>473</v>
      </c>
      <c r="C5140" s="0" t="s">
        <v>474</v>
      </c>
      <c r="D5140" s="0" t="n">
        <v>4</v>
      </c>
      <c r="E5140" s="6" t="n">
        <v>40861.3548611111</v>
      </c>
      <c r="F5140" s="0" t="n">
        <v>9.95</v>
      </c>
      <c r="G5140" s="0" t="n">
        <v>12689</v>
      </c>
      <c r="H5140" s="0" t="s">
        <v>43</v>
      </c>
      <c r="I5140" s="7" t="n">
        <f aca="false">IF(AND(LEFT(A5140,1)&lt;&gt;"C",D5140&gt;0,F5140&gt;0),1,0)</f>
        <v>1</v>
      </c>
      <c r="J5140" s="7" t="n">
        <f aca="false">IF(I5140=1,D5140*F5140,0)</f>
        <v>39.8</v>
      </c>
      <c r="K5140" s="7" t="n">
        <f aca="false">YEAR(E5140)*100+MONTH(E5140)</f>
        <v>201111</v>
      </c>
      <c r="L5140" s="7" t="n">
        <f aca="false">IF(AND(A5140&lt;&gt;A5139,LEFT(A5140,1)&lt;&gt;"C"),1,0)</f>
        <v>0</v>
      </c>
    </row>
    <row r="5141" customFormat="false" ht="15" hidden="false" customHeight="false" outlineLevel="0" collapsed="false">
      <c r="A5141" s="0" t="s">
        <v>2992</v>
      </c>
      <c r="B5141" s="0" t="s">
        <v>333</v>
      </c>
      <c r="C5141" s="0" t="s">
        <v>334</v>
      </c>
      <c r="D5141" s="0" t="n">
        <v>12</v>
      </c>
      <c r="E5141" s="6" t="n">
        <v>40861.3548611111</v>
      </c>
      <c r="F5141" s="0" t="n">
        <v>1.65</v>
      </c>
      <c r="G5141" s="0" t="n">
        <v>12689</v>
      </c>
      <c r="H5141" s="0" t="s">
        <v>43</v>
      </c>
      <c r="I5141" s="7" t="n">
        <f aca="false">IF(AND(LEFT(A5141,1)&lt;&gt;"C",D5141&gt;0,F5141&gt;0),1,0)</f>
        <v>1</v>
      </c>
      <c r="J5141" s="7" t="n">
        <f aca="false">IF(I5141=1,D5141*F5141,0)</f>
        <v>19.8</v>
      </c>
      <c r="K5141" s="7" t="n">
        <f aca="false">YEAR(E5141)*100+MONTH(E5141)</f>
        <v>201111</v>
      </c>
      <c r="L5141" s="7" t="n">
        <f aca="false">IF(AND(A5141&lt;&gt;A5140,LEFT(A5141,1)&lt;&gt;"C"),1,0)</f>
        <v>0</v>
      </c>
    </row>
    <row r="5142" customFormat="false" ht="15" hidden="false" customHeight="false" outlineLevel="0" collapsed="false">
      <c r="A5142" s="0" t="s">
        <v>2992</v>
      </c>
      <c r="B5142" s="0" t="s">
        <v>171</v>
      </c>
      <c r="C5142" s="0" t="s">
        <v>172</v>
      </c>
      <c r="D5142" s="0" t="n">
        <v>8</v>
      </c>
      <c r="E5142" s="6" t="n">
        <v>40861.3548611111</v>
      </c>
      <c r="F5142" s="0" t="n">
        <v>1.25</v>
      </c>
      <c r="G5142" s="0" t="n">
        <v>12689</v>
      </c>
      <c r="H5142" s="0" t="s">
        <v>43</v>
      </c>
      <c r="I5142" s="7" t="n">
        <f aca="false">IF(AND(LEFT(A5142,1)&lt;&gt;"C",D5142&gt;0,F5142&gt;0),1,0)</f>
        <v>1</v>
      </c>
      <c r="J5142" s="7" t="n">
        <f aca="false">IF(I5142=1,D5142*F5142,0)</f>
        <v>10</v>
      </c>
      <c r="K5142" s="7" t="n">
        <f aca="false">YEAR(E5142)*100+MONTH(E5142)</f>
        <v>201111</v>
      </c>
      <c r="L5142" s="7" t="n">
        <f aca="false">IF(AND(A5142&lt;&gt;A5141,LEFT(A5142,1)&lt;&gt;"C"),1,0)</f>
        <v>0</v>
      </c>
    </row>
    <row r="5143" customFormat="false" ht="15" hidden="false" customHeight="false" outlineLevel="0" collapsed="false">
      <c r="A5143" s="0" t="s">
        <v>2992</v>
      </c>
      <c r="B5143" s="0" t="s">
        <v>56</v>
      </c>
      <c r="C5143" s="0" t="s">
        <v>57</v>
      </c>
      <c r="D5143" s="0" t="n">
        <v>10</v>
      </c>
      <c r="E5143" s="6" t="n">
        <v>40861.3548611111</v>
      </c>
      <c r="F5143" s="0" t="n">
        <v>1.65</v>
      </c>
      <c r="G5143" s="0" t="n">
        <v>12689</v>
      </c>
      <c r="H5143" s="0" t="s">
        <v>43</v>
      </c>
      <c r="I5143" s="7" t="n">
        <f aca="false">IF(AND(LEFT(A5143,1)&lt;&gt;"C",D5143&gt;0,F5143&gt;0),1,0)</f>
        <v>1</v>
      </c>
      <c r="J5143" s="7" t="n">
        <f aca="false">IF(I5143=1,D5143*F5143,0)</f>
        <v>16.5</v>
      </c>
      <c r="K5143" s="7" t="n">
        <f aca="false">YEAR(E5143)*100+MONTH(E5143)</f>
        <v>201111</v>
      </c>
      <c r="L5143" s="7" t="n">
        <f aca="false">IF(AND(A5143&lt;&gt;A5142,LEFT(A5143,1)&lt;&gt;"C"),1,0)</f>
        <v>0</v>
      </c>
    </row>
    <row r="5144" customFormat="false" ht="15" hidden="false" customHeight="false" outlineLevel="0" collapsed="false">
      <c r="A5144" s="0" t="s">
        <v>2992</v>
      </c>
      <c r="B5144" s="0" t="s">
        <v>645</v>
      </c>
      <c r="C5144" s="0" t="s">
        <v>646</v>
      </c>
      <c r="D5144" s="0" t="n">
        <v>10</v>
      </c>
      <c r="E5144" s="6" t="n">
        <v>40861.3548611111</v>
      </c>
      <c r="F5144" s="0" t="n">
        <v>2.08</v>
      </c>
      <c r="G5144" s="0" t="n">
        <v>12689</v>
      </c>
      <c r="H5144" s="0" t="s">
        <v>43</v>
      </c>
      <c r="I5144" s="7" t="n">
        <f aca="false">IF(AND(LEFT(A5144,1)&lt;&gt;"C",D5144&gt;0,F5144&gt;0),1,0)</f>
        <v>1</v>
      </c>
      <c r="J5144" s="7" t="n">
        <f aca="false">IF(I5144=1,D5144*F5144,0)</f>
        <v>20.8</v>
      </c>
      <c r="K5144" s="7" t="n">
        <f aca="false">YEAR(E5144)*100+MONTH(E5144)</f>
        <v>201111</v>
      </c>
      <c r="L5144" s="7" t="n">
        <f aca="false">IF(AND(A5144&lt;&gt;A5143,LEFT(A5144,1)&lt;&gt;"C"),1,0)</f>
        <v>0</v>
      </c>
    </row>
    <row r="5145" customFormat="false" ht="15" hidden="false" customHeight="false" outlineLevel="0" collapsed="false">
      <c r="A5145" s="0" t="s">
        <v>2992</v>
      </c>
      <c r="B5145" s="0" t="s">
        <v>475</v>
      </c>
      <c r="C5145" s="0" t="s">
        <v>476</v>
      </c>
      <c r="D5145" s="0" t="n">
        <v>4</v>
      </c>
      <c r="E5145" s="6" t="n">
        <v>40861.3548611111</v>
      </c>
      <c r="F5145" s="0" t="n">
        <v>9.95</v>
      </c>
      <c r="G5145" s="0" t="n">
        <v>12689</v>
      </c>
      <c r="H5145" s="0" t="s">
        <v>43</v>
      </c>
      <c r="I5145" s="7" t="n">
        <f aca="false">IF(AND(LEFT(A5145,1)&lt;&gt;"C",D5145&gt;0,F5145&gt;0),1,0)</f>
        <v>1</v>
      </c>
      <c r="J5145" s="7" t="n">
        <f aca="false">IF(I5145=1,D5145*F5145,0)</f>
        <v>39.8</v>
      </c>
      <c r="K5145" s="7" t="n">
        <f aca="false">YEAR(E5145)*100+MONTH(E5145)</f>
        <v>201111</v>
      </c>
      <c r="L5145" s="7" t="n">
        <f aca="false">IF(AND(A5145&lt;&gt;A5144,LEFT(A5145,1)&lt;&gt;"C"),1,0)</f>
        <v>0</v>
      </c>
    </row>
    <row r="5146" customFormat="false" ht="15" hidden="false" customHeight="false" outlineLevel="0" collapsed="false">
      <c r="A5146" s="0" t="s">
        <v>2992</v>
      </c>
      <c r="B5146" s="0" t="s">
        <v>70</v>
      </c>
      <c r="C5146" s="0" t="s">
        <v>71</v>
      </c>
      <c r="D5146" s="0" t="n">
        <v>10</v>
      </c>
      <c r="E5146" s="6" t="n">
        <v>40861.3548611111</v>
      </c>
      <c r="F5146" s="0" t="n">
        <v>1.65</v>
      </c>
      <c r="G5146" s="0" t="n">
        <v>12689</v>
      </c>
      <c r="H5146" s="0" t="s">
        <v>43</v>
      </c>
      <c r="I5146" s="7" t="n">
        <f aca="false">IF(AND(LEFT(A5146,1)&lt;&gt;"C",D5146&gt;0,F5146&gt;0),1,0)</f>
        <v>1</v>
      </c>
      <c r="J5146" s="7" t="n">
        <f aca="false">IF(I5146=1,D5146*F5146,0)</f>
        <v>16.5</v>
      </c>
      <c r="K5146" s="7" t="n">
        <f aca="false">YEAR(E5146)*100+MONTH(E5146)</f>
        <v>201111</v>
      </c>
      <c r="L5146" s="7" t="n">
        <f aca="false">IF(AND(A5146&lt;&gt;A5145,LEFT(A5146,1)&lt;&gt;"C"),1,0)</f>
        <v>0</v>
      </c>
    </row>
    <row r="5147" customFormat="false" ht="15" hidden="false" customHeight="false" outlineLevel="0" collapsed="false">
      <c r="A5147" s="0" t="s">
        <v>2992</v>
      </c>
      <c r="B5147" s="0" t="s">
        <v>68</v>
      </c>
      <c r="C5147" s="0" t="s">
        <v>69</v>
      </c>
      <c r="D5147" s="0" t="n">
        <v>10</v>
      </c>
      <c r="E5147" s="6" t="n">
        <v>40861.3548611111</v>
      </c>
      <c r="F5147" s="0" t="n">
        <v>1.65</v>
      </c>
      <c r="G5147" s="0" t="n">
        <v>12689</v>
      </c>
      <c r="H5147" s="0" t="s">
        <v>43</v>
      </c>
      <c r="I5147" s="7" t="n">
        <f aca="false">IF(AND(LEFT(A5147,1)&lt;&gt;"C",D5147&gt;0,F5147&gt;0),1,0)</f>
        <v>1</v>
      </c>
      <c r="J5147" s="7" t="n">
        <f aca="false">IF(I5147=1,D5147*F5147,0)</f>
        <v>16.5</v>
      </c>
      <c r="K5147" s="7" t="n">
        <f aca="false">YEAR(E5147)*100+MONTH(E5147)</f>
        <v>201111</v>
      </c>
      <c r="L5147" s="7" t="n">
        <f aca="false">IF(AND(A5147&lt;&gt;A5146,LEFT(A5147,1)&lt;&gt;"C"),1,0)</f>
        <v>0</v>
      </c>
    </row>
    <row r="5148" customFormat="false" ht="15" hidden="false" customHeight="false" outlineLevel="0" collapsed="false">
      <c r="A5148" s="0" t="s">
        <v>2992</v>
      </c>
      <c r="B5148" s="0" t="s">
        <v>78</v>
      </c>
      <c r="C5148" s="0" t="s">
        <v>79</v>
      </c>
      <c r="D5148" s="0" t="n">
        <v>10</v>
      </c>
      <c r="E5148" s="6" t="n">
        <v>40861.3548611111</v>
      </c>
      <c r="F5148" s="0" t="n">
        <v>1.65</v>
      </c>
      <c r="G5148" s="0" t="n">
        <v>12689</v>
      </c>
      <c r="H5148" s="0" t="s">
        <v>43</v>
      </c>
      <c r="I5148" s="7" t="n">
        <f aca="false">IF(AND(LEFT(A5148,1)&lt;&gt;"C",D5148&gt;0,F5148&gt;0),1,0)</f>
        <v>1</v>
      </c>
      <c r="J5148" s="7" t="n">
        <f aca="false">IF(I5148=1,D5148*F5148,0)</f>
        <v>16.5</v>
      </c>
      <c r="K5148" s="7" t="n">
        <f aca="false">YEAR(E5148)*100+MONTH(E5148)</f>
        <v>201111</v>
      </c>
      <c r="L5148" s="7" t="n">
        <f aca="false">IF(AND(A5148&lt;&gt;A5147,LEFT(A5148,1)&lt;&gt;"C"),1,0)</f>
        <v>0</v>
      </c>
    </row>
    <row r="5149" customFormat="false" ht="15" hidden="false" customHeight="false" outlineLevel="0" collapsed="false">
      <c r="A5149" s="0" t="s">
        <v>2992</v>
      </c>
      <c r="B5149" s="0" t="s">
        <v>598</v>
      </c>
      <c r="C5149" s="0" t="s">
        <v>599</v>
      </c>
      <c r="D5149" s="0" t="n">
        <v>8</v>
      </c>
      <c r="E5149" s="6" t="n">
        <v>40861.3548611111</v>
      </c>
      <c r="F5149" s="0" t="n">
        <v>1.95</v>
      </c>
      <c r="G5149" s="0" t="n">
        <v>12689</v>
      </c>
      <c r="H5149" s="0" t="s">
        <v>43</v>
      </c>
      <c r="I5149" s="7" t="n">
        <f aca="false">IF(AND(LEFT(A5149,1)&lt;&gt;"C",D5149&gt;0,F5149&gt;0),1,0)</f>
        <v>1</v>
      </c>
      <c r="J5149" s="7" t="n">
        <f aca="false">IF(I5149=1,D5149*F5149,0)</f>
        <v>15.6</v>
      </c>
      <c r="K5149" s="7" t="n">
        <f aca="false">YEAR(E5149)*100+MONTH(E5149)</f>
        <v>201111</v>
      </c>
      <c r="L5149" s="7" t="n">
        <f aca="false">IF(AND(A5149&lt;&gt;A5148,LEFT(A5149,1)&lt;&gt;"C"),1,0)</f>
        <v>0</v>
      </c>
    </row>
    <row r="5150" customFormat="false" ht="15" hidden="false" customHeight="false" outlineLevel="0" collapsed="false">
      <c r="A5150" s="0" t="s">
        <v>2992</v>
      </c>
      <c r="B5150" s="0" t="s">
        <v>467</v>
      </c>
      <c r="C5150" s="0" t="s">
        <v>468</v>
      </c>
      <c r="D5150" s="0" t="n">
        <v>8</v>
      </c>
      <c r="E5150" s="6" t="n">
        <v>40861.3548611111</v>
      </c>
      <c r="F5150" s="0" t="n">
        <v>1.95</v>
      </c>
      <c r="G5150" s="0" t="n">
        <v>12689</v>
      </c>
      <c r="H5150" s="0" t="s">
        <v>43</v>
      </c>
      <c r="I5150" s="7" t="n">
        <f aca="false">IF(AND(LEFT(A5150,1)&lt;&gt;"C",D5150&gt;0,F5150&gt;0),1,0)</f>
        <v>1</v>
      </c>
      <c r="J5150" s="7" t="n">
        <f aca="false">IF(I5150=1,D5150*F5150,0)</f>
        <v>15.6</v>
      </c>
      <c r="K5150" s="7" t="n">
        <f aca="false">YEAR(E5150)*100+MONTH(E5150)</f>
        <v>201111</v>
      </c>
      <c r="L5150" s="7" t="n">
        <f aca="false">IF(AND(A5150&lt;&gt;A5149,LEFT(A5150,1)&lt;&gt;"C"),1,0)</f>
        <v>0</v>
      </c>
    </row>
    <row r="5151" customFormat="false" ht="15" hidden="false" customHeight="false" outlineLevel="0" collapsed="false">
      <c r="A5151" s="0" t="s">
        <v>2992</v>
      </c>
      <c r="B5151" s="0" t="s">
        <v>339</v>
      </c>
      <c r="C5151" s="0" t="s">
        <v>340</v>
      </c>
      <c r="D5151" s="0" t="n">
        <v>8</v>
      </c>
      <c r="E5151" s="6" t="n">
        <v>40861.3548611111</v>
      </c>
      <c r="F5151" s="0" t="n">
        <v>1.95</v>
      </c>
      <c r="G5151" s="0" t="n">
        <v>12689</v>
      </c>
      <c r="H5151" s="0" t="s">
        <v>43</v>
      </c>
      <c r="I5151" s="7" t="n">
        <f aca="false">IF(AND(LEFT(A5151,1)&lt;&gt;"C",D5151&gt;0,F5151&gt;0),1,0)</f>
        <v>1</v>
      </c>
      <c r="J5151" s="7" t="n">
        <f aca="false">IF(I5151=1,D5151*F5151,0)</f>
        <v>15.6</v>
      </c>
      <c r="K5151" s="7" t="n">
        <f aca="false">YEAR(E5151)*100+MONTH(E5151)</f>
        <v>201111</v>
      </c>
      <c r="L5151" s="7" t="n">
        <f aca="false">IF(AND(A5151&lt;&gt;A5150,LEFT(A5151,1)&lt;&gt;"C"),1,0)</f>
        <v>0</v>
      </c>
    </row>
    <row r="5152" customFormat="false" ht="15" hidden="false" customHeight="false" outlineLevel="0" collapsed="false">
      <c r="A5152" s="0" t="s">
        <v>2992</v>
      </c>
      <c r="B5152" s="0" t="s">
        <v>392</v>
      </c>
      <c r="C5152" s="0" t="s">
        <v>393</v>
      </c>
      <c r="D5152" s="0" t="n">
        <v>12</v>
      </c>
      <c r="E5152" s="6" t="n">
        <v>40861.3548611111</v>
      </c>
      <c r="F5152" s="0" t="n">
        <v>0.85</v>
      </c>
      <c r="G5152" s="0" t="n">
        <v>12689</v>
      </c>
      <c r="H5152" s="0" t="s">
        <v>43</v>
      </c>
      <c r="I5152" s="7" t="n">
        <f aca="false">IF(AND(LEFT(A5152,1)&lt;&gt;"C",D5152&gt;0,F5152&gt;0),1,0)</f>
        <v>1</v>
      </c>
      <c r="J5152" s="7" t="n">
        <f aca="false">IF(I5152=1,D5152*F5152,0)</f>
        <v>10.2</v>
      </c>
      <c r="K5152" s="7" t="n">
        <f aca="false">YEAR(E5152)*100+MONTH(E5152)</f>
        <v>201111</v>
      </c>
      <c r="L5152" s="7" t="n">
        <f aca="false">IF(AND(A5152&lt;&gt;A5151,LEFT(A5152,1)&lt;&gt;"C"),1,0)</f>
        <v>0</v>
      </c>
    </row>
    <row r="5153" customFormat="false" ht="15" hidden="false" customHeight="false" outlineLevel="0" collapsed="false">
      <c r="A5153" s="0" t="s">
        <v>2992</v>
      </c>
      <c r="B5153" s="0" t="s">
        <v>2993</v>
      </c>
      <c r="C5153" s="0" t="s">
        <v>2994</v>
      </c>
      <c r="D5153" s="0" t="n">
        <v>12</v>
      </c>
      <c r="E5153" s="6" t="n">
        <v>40861.3548611111</v>
      </c>
      <c r="F5153" s="0" t="n">
        <v>0.85</v>
      </c>
      <c r="G5153" s="0" t="n">
        <v>12689</v>
      </c>
      <c r="H5153" s="0" t="s">
        <v>43</v>
      </c>
      <c r="I5153" s="7" t="n">
        <f aca="false">IF(AND(LEFT(A5153,1)&lt;&gt;"C",D5153&gt;0,F5153&gt;0),1,0)</f>
        <v>1</v>
      </c>
      <c r="J5153" s="7" t="n">
        <f aca="false">IF(I5153=1,D5153*F5153,0)</f>
        <v>10.2</v>
      </c>
      <c r="K5153" s="7" t="n">
        <f aca="false">YEAR(E5153)*100+MONTH(E5153)</f>
        <v>201111</v>
      </c>
      <c r="L5153" s="7" t="n">
        <f aca="false">IF(AND(A5153&lt;&gt;A5152,LEFT(A5153,1)&lt;&gt;"C"),1,0)</f>
        <v>0</v>
      </c>
    </row>
    <row r="5154" customFormat="false" ht="15" hidden="false" customHeight="false" outlineLevel="0" collapsed="false">
      <c r="A5154" s="0" t="s">
        <v>2992</v>
      </c>
      <c r="B5154" s="0" t="s">
        <v>133</v>
      </c>
      <c r="C5154" s="0" t="s">
        <v>134</v>
      </c>
      <c r="D5154" s="0" t="n">
        <v>6</v>
      </c>
      <c r="E5154" s="6" t="n">
        <v>40861.3548611111</v>
      </c>
      <c r="F5154" s="0" t="n">
        <v>3.25</v>
      </c>
      <c r="G5154" s="0" t="n">
        <v>12689</v>
      </c>
      <c r="H5154" s="0" t="s">
        <v>43</v>
      </c>
      <c r="I5154" s="7" t="n">
        <f aca="false">IF(AND(LEFT(A5154,1)&lt;&gt;"C",D5154&gt;0,F5154&gt;0),1,0)</f>
        <v>1</v>
      </c>
      <c r="J5154" s="7" t="n">
        <f aca="false">IF(I5154=1,D5154*F5154,0)</f>
        <v>19.5</v>
      </c>
      <c r="K5154" s="7" t="n">
        <f aca="false">YEAR(E5154)*100+MONTH(E5154)</f>
        <v>201111</v>
      </c>
      <c r="L5154" s="7" t="n">
        <f aca="false">IF(AND(A5154&lt;&gt;A5153,LEFT(A5154,1)&lt;&gt;"C"),1,0)</f>
        <v>0</v>
      </c>
    </row>
    <row r="5155" customFormat="false" ht="15" hidden="false" customHeight="false" outlineLevel="0" collapsed="false">
      <c r="A5155" s="0" t="s">
        <v>2992</v>
      </c>
      <c r="B5155" s="0" t="s">
        <v>667</v>
      </c>
      <c r="C5155" s="0" t="s">
        <v>668</v>
      </c>
      <c r="D5155" s="0" t="n">
        <v>10</v>
      </c>
      <c r="E5155" s="6" t="n">
        <v>40861.3548611111</v>
      </c>
      <c r="F5155" s="0" t="n">
        <v>0.85</v>
      </c>
      <c r="G5155" s="0" t="n">
        <v>12689</v>
      </c>
      <c r="H5155" s="0" t="s">
        <v>43</v>
      </c>
      <c r="I5155" s="7" t="n">
        <f aca="false">IF(AND(LEFT(A5155,1)&lt;&gt;"C",D5155&gt;0,F5155&gt;0),1,0)</f>
        <v>1</v>
      </c>
      <c r="J5155" s="7" t="n">
        <f aca="false">IF(I5155=1,D5155*F5155,0)</f>
        <v>8.5</v>
      </c>
      <c r="K5155" s="7" t="n">
        <f aca="false">YEAR(E5155)*100+MONTH(E5155)</f>
        <v>201111</v>
      </c>
      <c r="L5155" s="7" t="n">
        <f aca="false">IF(AND(A5155&lt;&gt;A5154,LEFT(A5155,1)&lt;&gt;"C"),1,0)</f>
        <v>0</v>
      </c>
    </row>
    <row r="5156" customFormat="false" ht="15" hidden="false" customHeight="false" outlineLevel="0" collapsed="false">
      <c r="A5156" s="0" t="s">
        <v>2992</v>
      </c>
      <c r="B5156" s="0" t="s">
        <v>794</v>
      </c>
      <c r="C5156" s="0" t="s">
        <v>795</v>
      </c>
      <c r="D5156" s="0" t="n">
        <v>10</v>
      </c>
      <c r="E5156" s="6" t="n">
        <v>40861.3548611111</v>
      </c>
      <c r="F5156" s="0" t="n">
        <v>0.85</v>
      </c>
      <c r="G5156" s="0" t="n">
        <v>12689</v>
      </c>
      <c r="H5156" s="0" t="s">
        <v>43</v>
      </c>
      <c r="I5156" s="7" t="n">
        <f aca="false">IF(AND(LEFT(A5156,1)&lt;&gt;"C",D5156&gt;0,F5156&gt;0),1,0)</f>
        <v>1</v>
      </c>
      <c r="J5156" s="7" t="n">
        <f aca="false">IF(I5156=1,D5156*F5156,0)</f>
        <v>8.5</v>
      </c>
      <c r="K5156" s="7" t="n">
        <f aca="false">YEAR(E5156)*100+MONTH(E5156)</f>
        <v>201111</v>
      </c>
      <c r="L5156" s="7" t="n">
        <f aca="false">IF(AND(A5156&lt;&gt;A5155,LEFT(A5156,1)&lt;&gt;"C"),1,0)</f>
        <v>0</v>
      </c>
    </row>
    <row r="5157" customFormat="false" ht="15" hidden="false" customHeight="false" outlineLevel="0" collapsed="false">
      <c r="A5157" s="0" t="s">
        <v>2992</v>
      </c>
      <c r="B5157" s="0" t="s">
        <v>1048</v>
      </c>
      <c r="C5157" s="0" t="s">
        <v>1049</v>
      </c>
      <c r="D5157" s="0" t="n">
        <v>4</v>
      </c>
      <c r="E5157" s="6" t="n">
        <v>40861.3548611111</v>
      </c>
      <c r="F5157" s="0" t="n">
        <v>4.15</v>
      </c>
      <c r="G5157" s="0" t="n">
        <v>12689</v>
      </c>
      <c r="H5157" s="0" t="s">
        <v>43</v>
      </c>
      <c r="I5157" s="7" t="n">
        <f aca="false">IF(AND(LEFT(A5157,1)&lt;&gt;"C",D5157&gt;0,F5157&gt;0),1,0)</f>
        <v>1</v>
      </c>
      <c r="J5157" s="7" t="n">
        <f aca="false">IF(I5157=1,D5157*F5157,0)</f>
        <v>16.6</v>
      </c>
      <c r="K5157" s="7" t="n">
        <f aca="false">YEAR(E5157)*100+MONTH(E5157)</f>
        <v>201111</v>
      </c>
      <c r="L5157" s="7" t="n">
        <f aca="false">IF(AND(A5157&lt;&gt;A5156,LEFT(A5157,1)&lt;&gt;"C"),1,0)</f>
        <v>0</v>
      </c>
    </row>
    <row r="5158" customFormat="false" ht="15" hidden="false" customHeight="false" outlineLevel="0" collapsed="false">
      <c r="A5158" s="0" t="s">
        <v>2992</v>
      </c>
      <c r="B5158" s="0" t="s">
        <v>1042</v>
      </c>
      <c r="C5158" s="0" t="s">
        <v>1043</v>
      </c>
      <c r="D5158" s="0" t="n">
        <v>4</v>
      </c>
      <c r="E5158" s="6" t="n">
        <v>40861.3548611111</v>
      </c>
      <c r="F5158" s="0" t="n">
        <v>4.15</v>
      </c>
      <c r="G5158" s="0" t="n">
        <v>12689</v>
      </c>
      <c r="H5158" s="0" t="s">
        <v>43</v>
      </c>
      <c r="I5158" s="7" t="n">
        <f aca="false">IF(AND(LEFT(A5158,1)&lt;&gt;"C",D5158&gt;0,F5158&gt;0),1,0)</f>
        <v>1</v>
      </c>
      <c r="J5158" s="7" t="n">
        <f aca="false">IF(I5158=1,D5158*F5158,0)</f>
        <v>16.6</v>
      </c>
      <c r="K5158" s="7" t="n">
        <f aca="false">YEAR(E5158)*100+MONTH(E5158)</f>
        <v>201111</v>
      </c>
      <c r="L5158" s="7" t="n">
        <f aca="false">IF(AND(A5158&lt;&gt;A5157,LEFT(A5158,1)&lt;&gt;"C"),1,0)</f>
        <v>0</v>
      </c>
    </row>
    <row r="5159" customFormat="false" ht="15" hidden="false" customHeight="false" outlineLevel="0" collapsed="false">
      <c r="A5159" s="0" t="s">
        <v>2992</v>
      </c>
      <c r="B5159" s="0" t="s">
        <v>1044</v>
      </c>
      <c r="C5159" s="0" t="s">
        <v>1045</v>
      </c>
      <c r="D5159" s="0" t="n">
        <v>4</v>
      </c>
      <c r="E5159" s="6" t="n">
        <v>40861.3548611111</v>
      </c>
      <c r="F5159" s="0" t="n">
        <v>4.15</v>
      </c>
      <c r="G5159" s="0" t="n">
        <v>12689</v>
      </c>
      <c r="H5159" s="0" t="s">
        <v>43</v>
      </c>
      <c r="I5159" s="7" t="n">
        <f aca="false">IF(AND(LEFT(A5159,1)&lt;&gt;"C",D5159&gt;0,F5159&gt;0),1,0)</f>
        <v>1</v>
      </c>
      <c r="J5159" s="7" t="n">
        <f aca="false">IF(I5159=1,D5159*F5159,0)</f>
        <v>16.6</v>
      </c>
      <c r="K5159" s="7" t="n">
        <f aca="false">YEAR(E5159)*100+MONTH(E5159)</f>
        <v>201111</v>
      </c>
      <c r="L5159" s="7" t="n">
        <f aca="false">IF(AND(A5159&lt;&gt;A5158,LEFT(A5159,1)&lt;&gt;"C"),1,0)</f>
        <v>0</v>
      </c>
    </row>
    <row r="5160" customFormat="false" ht="15" hidden="false" customHeight="false" outlineLevel="0" collapsed="false">
      <c r="A5160" s="0" t="s">
        <v>2992</v>
      </c>
      <c r="B5160" s="0" t="s">
        <v>1503</v>
      </c>
      <c r="C5160" s="0" t="s">
        <v>1504</v>
      </c>
      <c r="D5160" s="0" t="n">
        <v>5</v>
      </c>
      <c r="E5160" s="6" t="n">
        <v>40861.3548611111</v>
      </c>
      <c r="F5160" s="0" t="n">
        <v>2.1</v>
      </c>
      <c r="G5160" s="0" t="n">
        <v>12689</v>
      </c>
      <c r="H5160" s="0" t="s">
        <v>43</v>
      </c>
      <c r="I5160" s="7" t="n">
        <f aca="false">IF(AND(LEFT(A5160,1)&lt;&gt;"C",D5160&gt;0,F5160&gt;0),1,0)</f>
        <v>1</v>
      </c>
      <c r="J5160" s="7" t="n">
        <f aca="false">IF(I5160=1,D5160*F5160,0)</f>
        <v>10.5</v>
      </c>
      <c r="K5160" s="7" t="n">
        <f aca="false">YEAR(E5160)*100+MONTH(E5160)</f>
        <v>201111</v>
      </c>
      <c r="L5160" s="7" t="n">
        <f aca="false">IF(AND(A5160&lt;&gt;A5159,LEFT(A5160,1)&lt;&gt;"C"),1,0)</f>
        <v>0</v>
      </c>
    </row>
    <row r="5161" customFormat="false" ht="15" hidden="false" customHeight="false" outlineLevel="0" collapsed="false">
      <c r="A5161" s="0" t="s">
        <v>2992</v>
      </c>
      <c r="B5161" s="0" t="s">
        <v>1505</v>
      </c>
      <c r="C5161" s="0" t="s">
        <v>1506</v>
      </c>
      <c r="D5161" s="0" t="n">
        <v>5</v>
      </c>
      <c r="E5161" s="6" t="n">
        <v>40861.3548611111</v>
      </c>
      <c r="F5161" s="0" t="n">
        <v>2.1</v>
      </c>
      <c r="G5161" s="0" t="n">
        <v>12689</v>
      </c>
      <c r="H5161" s="0" t="s">
        <v>43</v>
      </c>
      <c r="I5161" s="7" t="n">
        <f aca="false">IF(AND(LEFT(A5161,1)&lt;&gt;"C",D5161&gt;0,F5161&gt;0),1,0)</f>
        <v>1</v>
      </c>
      <c r="J5161" s="7" t="n">
        <f aca="false">IF(I5161=1,D5161*F5161,0)</f>
        <v>10.5</v>
      </c>
      <c r="K5161" s="7" t="n">
        <f aca="false">YEAR(E5161)*100+MONTH(E5161)</f>
        <v>201111</v>
      </c>
      <c r="L5161" s="7" t="n">
        <f aca="false">IF(AND(A5161&lt;&gt;A5160,LEFT(A5161,1)&lt;&gt;"C"),1,0)</f>
        <v>0</v>
      </c>
    </row>
    <row r="5162" customFormat="false" ht="15" hidden="false" customHeight="false" outlineLevel="0" collapsed="false">
      <c r="A5162" s="0" t="s">
        <v>2992</v>
      </c>
      <c r="B5162" s="0" t="s">
        <v>1144</v>
      </c>
      <c r="C5162" s="0" t="s">
        <v>1145</v>
      </c>
      <c r="D5162" s="0" t="n">
        <v>5</v>
      </c>
      <c r="E5162" s="6" t="n">
        <v>40861.3548611111</v>
      </c>
      <c r="F5162" s="0" t="n">
        <v>2.1</v>
      </c>
      <c r="G5162" s="0" t="n">
        <v>12689</v>
      </c>
      <c r="H5162" s="0" t="s">
        <v>43</v>
      </c>
      <c r="I5162" s="7" t="n">
        <f aca="false">IF(AND(LEFT(A5162,1)&lt;&gt;"C",D5162&gt;0,F5162&gt;0),1,0)</f>
        <v>1</v>
      </c>
      <c r="J5162" s="7" t="n">
        <f aca="false">IF(I5162=1,D5162*F5162,0)</f>
        <v>10.5</v>
      </c>
      <c r="K5162" s="7" t="n">
        <f aca="false">YEAR(E5162)*100+MONTH(E5162)</f>
        <v>201111</v>
      </c>
      <c r="L5162" s="7" t="n">
        <f aca="false">IF(AND(A5162&lt;&gt;A5161,LEFT(A5162,1)&lt;&gt;"C"),1,0)</f>
        <v>0</v>
      </c>
    </row>
    <row r="5163" customFormat="false" ht="15" hidden="false" customHeight="false" outlineLevel="0" collapsed="false">
      <c r="A5163" s="0" t="s">
        <v>2992</v>
      </c>
      <c r="B5163" s="0" t="s">
        <v>569</v>
      </c>
      <c r="C5163" s="0" t="s">
        <v>570</v>
      </c>
      <c r="D5163" s="0" t="n">
        <v>10</v>
      </c>
      <c r="E5163" s="6" t="n">
        <v>40861.3548611111</v>
      </c>
      <c r="F5163" s="0" t="n">
        <v>2.08</v>
      </c>
      <c r="G5163" s="0" t="n">
        <v>12689</v>
      </c>
      <c r="H5163" s="0" t="s">
        <v>43</v>
      </c>
      <c r="I5163" s="7" t="n">
        <f aca="false">IF(AND(LEFT(A5163,1)&lt;&gt;"C",D5163&gt;0,F5163&gt;0),1,0)</f>
        <v>1</v>
      </c>
      <c r="J5163" s="7" t="n">
        <f aca="false">IF(I5163=1,D5163*F5163,0)</f>
        <v>20.8</v>
      </c>
      <c r="K5163" s="7" t="n">
        <f aca="false">YEAR(E5163)*100+MONTH(E5163)</f>
        <v>201111</v>
      </c>
      <c r="L5163" s="7" t="n">
        <f aca="false">IF(AND(A5163&lt;&gt;A5162,LEFT(A5163,1)&lt;&gt;"C"),1,0)</f>
        <v>0</v>
      </c>
    </row>
    <row r="5164" customFormat="false" ht="15" hidden="false" customHeight="false" outlineLevel="0" collapsed="false">
      <c r="A5164" s="0" t="s">
        <v>2992</v>
      </c>
      <c r="B5164" s="0" t="s">
        <v>1077</v>
      </c>
      <c r="C5164" s="0" t="s">
        <v>1078</v>
      </c>
      <c r="D5164" s="0" t="n">
        <v>10</v>
      </c>
      <c r="E5164" s="6" t="n">
        <v>40861.3548611111</v>
      </c>
      <c r="F5164" s="0" t="n">
        <v>2.08</v>
      </c>
      <c r="G5164" s="0" t="n">
        <v>12689</v>
      </c>
      <c r="H5164" s="0" t="s">
        <v>43</v>
      </c>
      <c r="I5164" s="7" t="n">
        <f aca="false">IF(AND(LEFT(A5164,1)&lt;&gt;"C",D5164&gt;0,F5164&gt;0),1,0)</f>
        <v>1</v>
      </c>
      <c r="J5164" s="7" t="n">
        <f aca="false">IF(I5164=1,D5164*F5164,0)</f>
        <v>20.8</v>
      </c>
      <c r="K5164" s="7" t="n">
        <f aca="false">YEAR(E5164)*100+MONTH(E5164)</f>
        <v>201111</v>
      </c>
      <c r="L5164" s="7" t="n">
        <f aca="false">IF(AND(A5164&lt;&gt;A5163,LEFT(A5164,1)&lt;&gt;"C"),1,0)</f>
        <v>0</v>
      </c>
    </row>
    <row r="5165" customFormat="false" ht="15" hidden="false" customHeight="false" outlineLevel="0" collapsed="false">
      <c r="A5165" s="0" t="s">
        <v>2992</v>
      </c>
      <c r="B5165" s="0" t="s">
        <v>1386</v>
      </c>
      <c r="C5165" s="0" t="s">
        <v>1387</v>
      </c>
      <c r="D5165" s="0" t="n">
        <v>10</v>
      </c>
      <c r="E5165" s="6" t="n">
        <v>40861.3548611111</v>
      </c>
      <c r="F5165" s="0" t="n">
        <v>2.08</v>
      </c>
      <c r="G5165" s="0" t="n">
        <v>12689</v>
      </c>
      <c r="H5165" s="0" t="s">
        <v>43</v>
      </c>
      <c r="I5165" s="7" t="n">
        <f aca="false">IF(AND(LEFT(A5165,1)&lt;&gt;"C",D5165&gt;0,F5165&gt;0),1,0)</f>
        <v>1</v>
      </c>
      <c r="J5165" s="7" t="n">
        <f aca="false">IF(I5165=1,D5165*F5165,0)</f>
        <v>20.8</v>
      </c>
      <c r="K5165" s="7" t="n">
        <f aca="false">YEAR(E5165)*100+MONTH(E5165)</f>
        <v>201111</v>
      </c>
      <c r="L5165" s="7" t="n">
        <f aca="false">IF(AND(A5165&lt;&gt;A5164,LEFT(A5165,1)&lt;&gt;"C"),1,0)</f>
        <v>0</v>
      </c>
    </row>
    <row r="5166" customFormat="false" ht="15" hidden="false" customHeight="false" outlineLevel="0" collapsed="false">
      <c r="A5166" s="0" t="s">
        <v>2992</v>
      </c>
      <c r="B5166" s="0" t="s">
        <v>559</v>
      </c>
      <c r="C5166" s="0" t="s">
        <v>560</v>
      </c>
      <c r="D5166" s="0" t="n">
        <v>10</v>
      </c>
      <c r="E5166" s="6" t="n">
        <v>40861.3548611111</v>
      </c>
      <c r="F5166" s="0" t="n">
        <v>0.85</v>
      </c>
      <c r="G5166" s="0" t="n">
        <v>12689</v>
      </c>
      <c r="H5166" s="0" t="s">
        <v>43</v>
      </c>
      <c r="I5166" s="7" t="n">
        <f aca="false">IF(AND(LEFT(A5166,1)&lt;&gt;"C",D5166&gt;0,F5166&gt;0),1,0)</f>
        <v>1</v>
      </c>
      <c r="J5166" s="7" t="n">
        <f aca="false">IF(I5166=1,D5166*F5166,0)</f>
        <v>8.5</v>
      </c>
      <c r="K5166" s="7" t="n">
        <f aca="false">YEAR(E5166)*100+MONTH(E5166)</f>
        <v>201111</v>
      </c>
      <c r="L5166" s="7" t="n">
        <f aca="false">IF(AND(A5166&lt;&gt;A5165,LEFT(A5166,1)&lt;&gt;"C"),1,0)</f>
        <v>0</v>
      </c>
    </row>
    <row r="5167" customFormat="false" ht="15" hidden="false" customHeight="false" outlineLevel="0" collapsed="false">
      <c r="A5167" s="0" t="s">
        <v>2992</v>
      </c>
      <c r="B5167" s="0" t="s">
        <v>335</v>
      </c>
      <c r="C5167" s="0" t="s">
        <v>336</v>
      </c>
      <c r="D5167" s="0" t="n">
        <v>12</v>
      </c>
      <c r="E5167" s="6" t="n">
        <v>40861.3548611111</v>
      </c>
      <c r="F5167" s="0" t="n">
        <v>1.65</v>
      </c>
      <c r="G5167" s="0" t="n">
        <v>12689</v>
      </c>
      <c r="H5167" s="0" t="s">
        <v>43</v>
      </c>
      <c r="I5167" s="7" t="n">
        <f aca="false">IF(AND(LEFT(A5167,1)&lt;&gt;"C",D5167&gt;0,F5167&gt;0),1,0)</f>
        <v>1</v>
      </c>
      <c r="J5167" s="7" t="n">
        <f aca="false">IF(I5167=1,D5167*F5167,0)</f>
        <v>19.8</v>
      </c>
      <c r="K5167" s="7" t="n">
        <f aca="false">YEAR(E5167)*100+MONTH(E5167)</f>
        <v>201111</v>
      </c>
      <c r="L5167" s="7" t="n">
        <f aca="false">IF(AND(A5167&lt;&gt;A5166,LEFT(A5167,1)&lt;&gt;"C"),1,0)</f>
        <v>0</v>
      </c>
    </row>
    <row r="5168" customFormat="false" ht="15" hidden="false" customHeight="false" outlineLevel="0" collapsed="false">
      <c r="A5168" s="0" t="s">
        <v>2992</v>
      </c>
      <c r="B5168" s="0" t="s">
        <v>2573</v>
      </c>
      <c r="C5168" s="0" t="s">
        <v>2574</v>
      </c>
      <c r="D5168" s="0" t="n">
        <v>8</v>
      </c>
      <c r="E5168" s="6" t="n">
        <v>40861.3548611111</v>
      </c>
      <c r="F5168" s="0" t="n">
        <v>3.75</v>
      </c>
      <c r="G5168" s="0" t="n">
        <v>12689</v>
      </c>
      <c r="H5168" s="0" t="s">
        <v>43</v>
      </c>
      <c r="I5168" s="7" t="n">
        <f aca="false">IF(AND(LEFT(A5168,1)&lt;&gt;"C",D5168&gt;0,F5168&gt;0),1,0)</f>
        <v>1</v>
      </c>
      <c r="J5168" s="7" t="n">
        <f aca="false">IF(I5168=1,D5168*F5168,0)</f>
        <v>30</v>
      </c>
      <c r="K5168" s="7" t="n">
        <f aca="false">YEAR(E5168)*100+MONTH(E5168)</f>
        <v>201111</v>
      </c>
      <c r="L5168" s="7" t="n">
        <f aca="false">IF(AND(A5168&lt;&gt;A5167,LEFT(A5168,1)&lt;&gt;"C"),1,0)</f>
        <v>0</v>
      </c>
    </row>
    <row r="5169" customFormat="false" ht="15" hidden="false" customHeight="false" outlineLevel="0" collapsed="false">
      <c r="A5169" s="0" t="s">
        <v>2992</v>
      </c>
      <c r="B5169" s="0" t="s">
        <v>62</v>
      </c>
      <c r="C5169" s="0" t="s">
        <v>63</v>
      </c>
      <c r="D5169" s="0" t="n">
        <v>24</v>
      </c>
      <c r="E5169" s="6" t="n">
        <v>40861.3548611111</v>
      </c>
      <c r="F5169" s="0" t="n">
        <v>1.79</v>
      </c>
      <c r="G5169" s="0" t="n">
        <v>12689</v>
      </c>
      <c r="H5169" s="0" t="s">
        <v>43</v>
      </c>
      <c r="I5169" s="7" t="n">
        <f aca="false">IF(AND(LEFT(A5169,1)&lt;&gt;"C",D5169&gt;0,F5169&gt;0),1,0)</f>
        <v>1</v>
      </c>
      <c r="J5169" s="7" t="n">
        <f aca="false">IF(I5169=1,D5169*F5169,0)</f>
        <v>42.96</v>
      </c>
      <c r="K5169" s="7" t="n">
        <f aca="false">YEAR(E5169)*100+MONTH(E5169)</f>
        <v>201111</v>
      </c>
      <c r="L5169" s="7" t="n">
        <f aca="false">IF(AND(A5169&lt;&gt;A5168,LEFT(A5169,1)&lt;&gt;"C"),1,0)</f>
        <v>0</v>
      </c>
    </row>
    <row r="5170" customFormat="false" ht="15" hidden="false" customHeight="false" outlineLevel="0" collapsed="false">
      <c r="A5170" s="0" t="s">
        <v>2992</v>
      </c>
      <c r="B5170" s="0" t="s">
        <v>653</v>
      </c>
      <c r="C5170" s="0" t="s">
        <v>654</v>
      </c>
      <c r="D5170" s="0" t="n">
        <v>4</v>
      </c>
      <c r="E5170" s="6" t="n">
        <v>40861.3548611111</v>
      </c>
      <c r="F5170" s="0" t="n">
        <v>6.25</v>
      </c>
      <c r="G5170" s="0" t="n">
        <v>12689</v>
      </c>
      <c r="H5170" s="0" t="s">
        <v>43</v>
      </c>
      <c r="I5170" s="7" t="n">
        <f aca="false">IF(AND(LEFT(A5170,1)&lt;&gt;"C",D5170&gt;0,F5170&gt;0),1,0)</f>
        <v>1</v>
      </c>
      <c r="J5170" s="7" t="n">
        <f aca="false">IF(I5170=1,D5170*F5170,0)</f>
        <v>25</v>
      </c>
      <c r="K5170" s="7" t="n">
        <f aca="false">YEAR(E5170)*100+MONTH(E5170)</f>
        <v>201111</v>
      </c>
      <c r="L5170" s="7" t="n">
        <f aca="false">IF(AND(A5170&lt;&gt;A5169,LEFT(A5170,1)&lt;&gt;"C"),1,0)</f>
        <v>0</v>
      </c>
    </row>
    <row r="5171" customFormat="false" ht="15" hidden="false" customHeight="false" outlineLevel="0" collapsed="false">
      <c r="A5171" s="0" t="s">
        <v>2992</v>
      </c>
      <c r="B5171" s="0" t="s">
        <v>756</v>
      </c>
      <c r="C5171" s="0" t="s">
        <v>757</v>
      </c>
      <c r="D5171" s="0" t="n">
        <v>4</v>
      </c>
      <c r="E5171" s="6" t="n">
        <v>40861.3548611111</v>
      </c>
      <c r="F5171" s="0" t="n">
        <v>3.75</v>
      </c>
      <c r="G5171" s="0" t="n">
        <v>12689</v>
      </c>
      <c r="H5171" s="0" t="s">
        <v>43</v>
      </c>
      <c r="I5171" s="7" t="n">
        <f aca="false">IF(AND(LEFT(A5171,1)&lt;&gt;"C",D5171&gt;0,F5171&gt;0),1,0)</f>
        <v>1</v>
      </c>
      <c r="J5171" s="7" t="n">
        <f aca="false">IF(I5171=1,D5171*F5171,0)</f>
        <v>15</v>
      </c>
      <c r="K5171" s="7" t="n">
        <f aca="false">YEAR(E5171)*100+MONTH(E5171)</f>
        <v>201111</v>
      </c>
      <c r="L5171" s="7" t="n">
        <f aca="false">IF(AND(A5171&lt;&gt;A5170,LEFT(A5171,1)&lt;&gt;"C"),1,0)</f>
        <v>0</v>
      </c>
    </row>
    <row r="5172" customFormat="false" ht="15" hidden="false" customHeight="false" outlineLevel="0" collapsed="false">
      <c r="A5172" s="0" t="s">
        <v>2992</v>
      </c>
      <c r="B5172" s="0" t="s">
        <v>297</v>
      </c>
      <c r="C5172" s="0" t="s">
        <v>298</v>
      </c>
      <c r="D5172" s="0" t="n">
        <v>4</v>
      </c>
      <c r="E5172" s="6" t="n">
        <v>40861.3548611111</v>
      </c>
      <c r="F5172" s="0" t="n">
        <v>3.75</v>
      </c>
      <c r="G5172" s="0" t="n">
        <v>12689</v>
      </c>
      <c r="H5172" s="0" t="s">
        <v>43</v>
      </c>
      <c r="I5172" s="7" t="n">
        <f aca="false">IF(AND(LEFT(A5172,1)&lt;&gt;"C",D5172&gt;0,F5172&gt;0),1,0)</f>
        <v>1</v>
      </c>
      <c r="J5172" s="7" t="n">
        <f aca="false">IF(I5172=1,D5172*F5172,0)</f>
        <v>15</v>
      </c>
      <c r="K5172" s="7" t="n">
        <f aca="false">YEAR(E5172)*100+MONTH(E5172)</f>
        <v>201111</v>
      </c>
      <c r="L5172" s="7" t="n">
        <f aca="false">IF(AND(A5172&lt;&gt;A5171,LEFT(A5172,1)&lt;&gt;"C"),1,0)</f>
        <v>0</v>
      </c>
    </row>
    <row r="5173" customFormat="false" ht="15" hidden="false" customHeight="false" outlineLevel="0" collapsed="false">
      <c r="A5173" s="0" t="s">
        <v>2992</v>
      </c>
      <c r="B5173" s="0" t="s">
        <v>84</v>
      </c>
      <c r="C5173" s="0" t="s">
        <v>85</v>
      </c>
      <c r="D5173" s="0" t="n">
        <v>4</v>
      </c>
      <c r="E5173" s="6" t="n">
        <v>40861.3548611111</v>
      </c>
      <c r="F5173" s="0" t="n">
        <v>18</v>
      </c>
      <c r="G5173" s="0" t="n">
        <v>12689</v>
      </c>
      <c r="H5173" s="0" t="s">
        <v>43</v>
      </c>
      <c r="I5173" s="7" t="n">
        <f aca="false">IF(AND(LEFT(A5173,1)&lt;&gt;"C",D5173&gt;0,F5173&gt;0),1,0)</f>
        <v>1</v>
      </c>
      <c r="J5173" s="7" t="n">
        <f aca="false">IF(I5173=1,D5173*F5173,0)</f>
        <v>72</v>
      </c>
      <c r="K5173" s="7" t="n">
        <f aca="false">YEAR(E5173)*100+MONTH(E5173)</f>
        <v>201111</v>
      </c>
      <c r="L5173" s="7" t="n">
        <f aca="false">IF(AND(A5173&lt;&gt;A5172,LEFT(A5173,1)&lt;&gt;"C"),1,0)</f>
        <v>0</v>
      </c>
    </row>
    <row r="5174" customFormat="false" ht="15" hidden="false" customHeight="false" outlineLevel="0" collapsed="false">
      <c r="A5174" s="0" t="s">
        <v>2995</v>
      </c>
      <c r="B5174" s="0" t="s">
        <v>97</v>
      </c>
      <c r="C5174" s="0" t="s">
        <v>98</v>
      </c>
      <c r="D5174" s="0" t="n">
        <v>-12</v>
      </c>
      <c r="E5174" s="6" t="n">
        <v>40861.4743055556</v>
      </c>
      <c r="F5174" s="0" t="n">
        <v>1.65</v>
      </c>
      <c r="G5174" s="0" t="n">
        <v>12476</v>
      </c>
      <c r="H5174" s="0" t="s">
        <v>33</v>
      </c>
      <c r="I5174" s="7" t="n">
        <f aca="false">IF(AND(LEFT(A5174,1)&lt;&gt;"C",D5174&gt;0,F5174&gt;0),1,0)</f>
        <v>0</v>
      </c>
      <c r="J5174" s="7" t="n">
        <f aca="false">IF(I5174=1,D5174*F5174,0)</f>
        <v>0</v>
      </c>
      <c r="K5174" s="7" t="n">
        <f aca="false">YEAR(E5174)*100+MONTH(E5174)</f>
        <v>201111</v>
      </c>
      <c r="L5174" s="7" t="n">
        <f aca="false">IF(AND(A5174&lt;&gt;A5173,LEFT(A5174,1)&lt;&gt;"C"),1,0)</f>
        <v>0</v>
      </c>
    </row>
    <row r="5175" customFormat="false" ht="15" hidden="false" customHeight="false" outlineLevel="0" collapsed="false">
      <c r="A5175" s="0" t="s">
        <v>2995</v>
      </c>
      <c r="B5175" s="0" t="s">
        <v>471</v>
      </c>
      <c r="C5175" s="0" t="s">
        <v>472</v>
      </c>
      <c r="D5175" s="0" t="n">
        <v>-12</v>
      </c>
      <c r="E5175" s="6" t="n">
        <v>40861.4743055556</v>
      </c>
      <c r="F5175" s="0" t="n">
        <v>1.65</v>
      </c>
      <c r="G5175" s="0" t="n">
        <v>12476</v>
      </c>
      <c r="H5175" s="0" t="s">
        <v>33</v>
      </c>
      <c r="I5175" s="7" t="n">
        <f aca="false">IF(AND(LEFT(A5175,1)&lt;&gt;"C",D5175&gt;0,F5175&gt;0),1,0)</f>
        <v>0</v>
      </c>
      <c r="J5175" s="7" t="n">
        <f aca="false">IF(I5175=1,D5175*F5175,0)</f>
        <v>0</v>
      </c>
      <c r="K5175" s="7" t="n">
        <f aca="false">YEAR(E5175)*100+MONTH(E5175)</f>
        <v>201111</v>
      </c>
      <c r="L5175" s="7" t="n">
        <f aca="false">IF(AND(A5175&lt;&gt;A5174,LEFT(A5175,1)&lt;&gt;"C"),1,0)</f>
        <v>0</v>
      </c>
    </row>
    <row r="5176" customFormat="false" ht="15" hidden="false" customHeight="false" outlineLevel="0" collapsed="false">
      <c r="A5176" s="0" t="s">
        <v>2996</v>
      </c>
      <c r="B5176" s="0" t="s">
        <v>1607</v>
      </c>
      <c r="C5176" s="0" t="s">
        <v>1608</v>
      </c>
      <c r="D5176" s="0" t="n">
        <v>20</v>
      </c>
      <c r="E5176" s="6" t="n">
        <v>40861.5430555556</v>
      </c>
      <c r="F5176" s="0" t="n">
        <v>0.42</v>
      </c>
      <c r="G5176" s="0" t="n">
        <v>12490</v>
      </c>
      <c r="H5176" s="0" t="s">
        <v>43</v>
      </c>
      <c r="I5176" s="7" t="n">
        <f aca="false">IF(AND(LEFT(A5176,1)&lt;&gt;"C",D5176&gt;0,F5176&gt;0),1,0)</f>
        <v>1</v>
      </c>
      <c r="J5176" s="7" t="n">
        <f aca="false">IF(I5176=1,D5176*F5176,0)</f>
        <v>8.4</v>
      </c>
      <c r="K5176" s="7" t="n">
        <f aca="false">YEAR(E5176)*100+MONTH(E5176)</f>
        <v>201111</v>
      </c>
      <c r="L5176" s="7" t="n">
        <f aca="false">IF(AND(A5176&lt;&gt;A5175,LEFT(A5176,1)&lt;&gt;"C"),1,0)</f>
        <v>1</v>
      </c>
    </row>
    <row r="5177" customFormat="false" ht="15" hidden="false" customHeight="false" outlineLevel="0" collapsed="false">
      <c r="A5177" s="0" t="s">
        <v>2996</v>
      </c>
      <c r="B5177" s="0" t="s">
        <v>157</v>
      </c>
      <c r="C5177" s="0" t="s">
        <v>158</v>
      </c>
      <c r="D5177" s="0" t="n">
        <v>24</v>
      </c>
      <c r="E5177" s="6" t="n">
        <v>40861.5430555556</v>
      </c>
      <c r="F5177" s="0" t="n">
        <v>0.65</v>
      </c>
      <c r="G5177" s="0" t="n">
        <v>12490</v>
      </c>
      <c r="H5177" s="0" t="s">
        <v>43</v>
      </c>
      <c r="I5177" s="7" t="n">
        <f aca="false">IF(AND(LEFT(A5177,1)&lt;&gt;"C",D5177&gt;0,F5177&gt;0),1,0)</f>
        <v>1</v>
      </c>
      <c r="J5177" s="7" t="n">
        <f aca="false">IF(I5177=1,D5177*F5177,0)</f>
        <v>15.6</v>
      </c>
      <c r="K5177" s="7" t="n">
        <f aca="false">YEAR(E5177)*100+MONTH(E5177)</f>
        <v>201111</v>
      </c>
      <c r="L5177" s="7" t="n">
        <f aca="false">IF(AND(A5177&lt;&gt;A5176,LEFT(A5177,1)&lt;&gt;"C"),1,0)</f>
        <v>0</v>
      </c>
    </row>
    <row r="5178" customFormat="false" ht="15" hidden="false" customHeight="false" outlineLevel="0" collapsed="false">
      <c r="A5178" s="0" t="s">
        <v>2996</v>
      </c>
      <c r="B5178" s="0" t="s">
        <v>199</v>
      </c>
      <c r="C5178" s="0" t="s">
        <v>200</v>
      </c>
      <c r="D5178" s="0" t="n">
        <v>24</v>
      </c>
      <c r="E5178" s="6" t="n">
        <v>40861.5430555556</v>
      </c>
      <c r="F5178" s="0" t="n">
        <v>0.85</v>
      </c>
      <c r="G5178" s="0" t="n">
        <v>12490</v>
      </c>
      <c r="H5178" s="0" t="s">
        <v>43</v>
      </c>
      <c r="I5178" s="7" t="n">
        <f aca="false">IF(AND(LEFT(A5178,1)&lt;&gt;"C",D5178&gt;0,F5178&gt;0),1,0)</f>
        <v>1</v>
      </c>
      <c r="J5178" s="7" t="n">
        <f aca="false">IF(I5178=1,D5178*F5178,0)</f>
        <v>20.4</v>
      </c>
      <c r="K5178" s="7" t="n">
        <f aca="false">YEAR(E5178)*100+MONTH(E5178)</f>
        <v>201111</v>
      </c>
      <c r="L5178" s="7" t="n">
        <f aca="false">IF(AND(A5178&lt;&gt;A5177,LEFT(A5178,1)&lt;&gt;"C"),1,0)</f>
        <v>0</v>
      </c>
    </row>
    <row r="5179" customFormat="false" ht="15" hidden="false" customHeight="false" outlineLevel="0" collapsed="false">
      <c r="A5179" s="0" t="s">
        <v>2996</v>
      </c>
      <c r="B5179" s="0" t="s">
        <v>195</v>
      </c>
      <c r="C5179" s="0" t="s">
        <v>196</v>
      </c>
      <c r="D5179" s="0" t="n">
        <v>24</v>
      </c>
      <c r="E5179" s="6" t="n">
        <v>40861.5430555556</v>
      </c>
      <c r="F5179" s="0" t="n">
        <v>0.85</v>
      </c>
      <c r="G5179" s="0" t="n">
        <v>12490</v>
      </c>
      <c r="H5179" s="0" t="s">
        <v>43</v>
      </c>
      <c r="I5179" s="7" t="n">
        <f aca="false">IF(AND(LEFT(A5179,1)&lt;&gt;"C",D5179&gt;0,F5179&gt;0),1,0)</f>
        <v>1</v>
      </c>
      <c r="J5179" s="7" t="n">
        <f aca="false">IF(I5179=1,D5179*F5179,0)</f>
        <v>20.4</v>
      </c>
      <c r="K5179" s="7" t="n">
        <f aca="false">YEAR(E5179)*100+MONTH(E5179)</f>
        <v>201111</v>
      </c>
      <c r="L5179" s="7" t="n">
        <f aca="false">IF(AND(A5179&lt;&gt;A5178,LEFT(A5179,1)&lt;&gt;"C"),1,0)</f>
        <v>0</v>
      </c>
    </row>
    <row r="5180" customFormat="false" ht="15" hidden="false" customHeight="false" outlineLevel="0" collapsed="false">
      <c r="A5180" s="0" t="s">
        <v>2996</v>
      </c>
      <c r="B5180" s="0" t="s">
        <v>1094</v>
      </c>
      <c r="C5180" s="0" t="s">
        <v>1095</v>
      </c>
      <c r="D5180" s="0" t="n">
        <v>12</v>
      </c>
      <c r="E5180" s="6" t="n">
        <v>40861.5430555556</v>
      </c>
      <c r="F5180" s="0" t="n">
        <v>1.95</v>
      </c>
      <c r="G5180" s="0" t="n">
        <v>12490</v>
      </c>
      <c r="H5180" s="0" t="s">
        <v>43</v>
      </c>
      <c r="I5180" s="7" t="n">
        <f aca="false">IF(AND(LEFT(A5180,1)&lt;&gt;"C",D5180&gt;0,F5180&gt;0),1,0)</f>
        <v>1</v>
      </c>
      <c r="J5180" s="7" t="n">
        <f aca="false">IF(I5180=1,D5180*F5180,0)</f>
        <v>23.4</v>
      </c>
      <c r="K5180" s="7" t="n">
        <f aca="false">YEAR(E5180)*100+MONTH(E5180)</f>
        <v>201111</v>
      </c>
      <c r="L5180" s="7" t="n">
        <f aca="false">IF(AND(A5180&lt;&gt;A5179,LEFT(A5180,1)&lt;&gt;"C"),1,0)</f>
        <v>0</v>
      </c>
    </row>
    <row r="5181" customFormat="false" ht="15" hidden="false" customHeight="false" outlineLevel="0" collapsed="false">
      <c r="A5181" s="0" t="s">
        <v>2996</v>
      </c>
      <c r="B5181" s="0" t="s">
        <v>127</v>
      </c>
      <c r="C5181" s="0" t="s">
        <v>128</v>
      </c>
      <c r="D5181" s="0" t="n">
        <v>16</v>
      </c>
      <c r="E5181" s="6" t="n">
        <v>40861.5430555556</v>
      </c>
      <c r="F5181" s="0" t="n">
        <v>1.65</v>
      </c>
      <c r="G5181" s="0" t="n">
        <v>12490</v>
      </c>
      <c r="H5181" s="0" t="s">
        <v>43</v>
      </c>
      <c r="I5181" s="7" t="n">
        <f aca="false">IF(AND(LEFT(A5181,1)&lt;&gt;"C",D5181&gt;0,F5181&gt;0),1,0)</f>
        <v>1</v>
      </c>
      <c r="J5181" s="7" t="n">
        <f aca="false">IF(I5181=1,D5181*F5181,0)</f>
        <v>26.4</v>
      </c>
      <c r="K5181" s="7" t="n">
        <f aca="false">YEAR(E5181)*100+MONTH(E5181)</f>
        <v>201111</v>
      </c>
      <c r="L5181" s="7" t="n">
        <f aca="false">IF(AND(A5181&lt;&gt;A5180,LEFT(A5181,1)&lt;&gt;"C"),1,0)</f>
        <v>0</v>
      </c>
    </row>
    <row r="5182" customFormat="false" ht="15" hidden="false" customHeight="false" outlineLevel="0" collapsed="false">
      <c r="A5182" s="0" t="s">
        <v>2996</v>
      </c>
      <c r="B5182" s="0" t="s">
        <v>113</v>
      </c>
      <c r="C5182" s="0" t="s">
        <v>114</v>
      </c>
      <c r="D5182" s="0" t="n">
        <v>12</v>
      </c>
      <c r="E5182" s="6" t="n">
        <v>40861.5430555556</v>
      </c>
      <c r="F5182" s="0" t="n">
        <v>1.25</v>
      </c>
      <c r="G5182" s="0" t="n">
        <v>12490</v>
      </c>
      <c r="H5182" s="0" t="s">
        <v>43</v>
      </c>
      <c r="I5182" s="7" t="n">
        <f aca="false">IF(AND(LEFT(A5182,1)&lt;&gt;"C",D5182&gt;0,F5182&gt;0),1,0)</f>
        <v>1</v>
      </c>
      <c r="J5182" s="7" t="n">
        <f aca="false">IF(I5182=1,D5182*F5182,0)</f>
        <v>15</v>
      </c>
      <c r="K5182" s="7" t="n">
        <f aca="false">YEAR(E5182)*100+MONTH(E5182)</f>
        <v>201111</v>
      </c>
      <c r="L5182" s="7" t="n">
        <f aca="false">IF(AND(A5182&lt;&gt;A5181,LEFT(A5182,1)&lt;&gt;"C"),1,0)</f>
        <v>0</v>
      </c>
    </row>
    <row r="5183" customFormat="false" ht="15" hidden="false" customHeight="false" outlineLevel="0" collapsed="false">
      <c r="A5183" s="0" t="s">
        <v>2996</v>
      </c>
      <c r="B5183" s="0" t="s">
        <v>2946</v>
      </c>
      <c r="C5183" s="0" t="s">
        <v>2947</v>
      </c>
      <c r="D5183" s="0" t="n">
        <v>8</v>
      </c>
      <c r="E5183" s="6" t="n">
        <v>40861.5430555556</v>
      </c>
      <c r="F5183" s="0" t="n">
        <v>3.75</v>
      </c>
      <c r="G5183" s="0" t="n">
        <v>12490</v>
      </c>
      <c r="H5183" s="0" t="s">
        <v>43</v>
      </c>
      <c r="I5183" s="7" t="n">
        <f aca="false">IF(AND(LEFT(A5183,1)&lt;&gt;"C",D5183&gt;0,F5183&gt;0),1,0)</f>
        <v>1</v>
      </c>
      <c r="J5183" s="7" t="n">
        <f aca="false">IF(I5183=1,D5183*F5183,0)</f>
        <v>30</v>
      </c>
      <c r="K5183" s="7" t="n">
        <f aca="false">YEAR(E5183)*100+MONTH(E5183)</f>
        <v>201111</v>
      </c>
      <c r="L5183" s="7" t="n">
        <f aca="false">IF(AND(A5183&lt;&gt;A5182,LEFT(A5183,1)&lt;&gt;"C"),1,0)</f>
        <v>0</v>
      </c>
    </row>
    <row r="5184" customFormat="false" ht="15" hidden="false" customHeight="false" outlineLevel="0" collapsed="false">
      <c r="A5184" s="0" t="s">
        <v>2996</v>
      </c>
      <c r="B5184" s="0" t="s">
        <v>2655</v>
      </c>
      <c r="C5184" s="0" t="s">
        <v>2656</v>
      </c>
      <c r="D5184" s="0" t="n">
        <v>8</v>
      </c>
      <c r="E5184" s="6" t="n">
        <v>40861.5430555556</v>
      </c>
      <c r="F5184" s="0" t="n">
        <v>4.95</v>
      </c>
      <c r="G5184" s="0" t="n">
        <v>12490</v>
      </c>
      <c r="H5184" s="0" t="s">
        <v>43</v>
      </c>
      <c r="I5184" s="7" t="n">
        <f aca="false">IF(AND(LEFT(A5184,1)&lt;&gt;"C",D5184&gt;0,F5184&gt;0),1,0)</f>
        <v>1</v>
      </c>
      <c r="J5184" s="7" t="n">
        <f aca="false">IF(I5184=1,D5184*F5184,0)</f>
        <v>39.6</v>
      </c>
      <c r="K5184" s="7" t="n">
        <f aca="false">YEAR(E5184)*100+MONTH(E5184)</f>
        <v>201111</v>
      </c>
      <c r="L5184" s="7" t="n">
        <f aca="false">IF(AND(A5184&lt;&gt;A5183,LEFT(A5184,1)&lt;&gt;"C"),1,0)</f>
        <v>0</v>
      </c>
    </row>
    <row r="5185" customFormat="false" ht="15" hidden="false" customHeight="false" outlineLevel="0" collapsed="false">
      <c r="A5185" s="0" t="s">
        <v>2996</v>
      </c>
      <c r="B5185" s="0" t="s">
        <v>109</v>
      </c>
      <c r="C5185" s="0" t="s">
        <v>110</v>
      </c>
      <c r="D5185" s="0" t="n">
        <v>16</v>
      </c>
      <c r="E5185" s="6" t="n">
        <v>40861.5430555556</v>
      </c>
      <c r="F5185" s="0" t="n">
        <v>0.83</v>
      </c>
      <c r="G5185" s="0" t="n">
        <v>12490</v>
      </c>
      <c r="H5185" s="0" t="s">
        <v>43</v>
      </c>
      <c r="I5185" s="7" t="n">
        <f aca="false">IF(AND(LEFT(A5185,1)&lt;&gt;"C",D5185&gt;0,F5185&gt;0),1,0)</f>
        <v>1</v>
      </c>
      <c r="J5185" s="7" t="n">
        <f aca="false">IF(I5185=1,D5185*F5185,0)</f>
        <v>13.28</v>
      </c>
      <c r="K5185" s="7" t="n">
        <f aca="false">YEAR(E5185)*100+MONTH(E5185)</f>
        <v>201111</v>
      </c>
      <c r="L5185" s="7" t="n">
        <f aca="false">IF(AND(A5185&lt;&gt;A5184,LEFT(A5185,1)&lt;&gt;"C"),1,0)</f>
        <v>0</v>
      </c>
    </row>
    <row r="5186" customFormat="false" ht="15" hidden="false" customHeight="false" outlineLevel="0" collapsed="false">
      <c r="A5186" s="0" t="s">
        <v>2996</v>
      </c>
      <c r="B5186" s="0" t="s">
        <v>689</v>
      </c>
      <c r="C5186" s="0" t="s">
        <v>690</v>
      </c>
      <c r="D5186" s="0" t="n">
        <v>16</v>
      </c>
      <c r="E5186" s="6" t="n">
        <v>40861.5430555556</v>
      </c>
      <c r="F5186" s="0" t="n">
        <v>1.25</v>
      </c>
      <c r="G5186" s="0" t="n">
        <v>12490</v>
      </c>
      <c r="H5186" s="0" t="s">
        <v>43</v>
      </c>
      <c r="I5186" s="7" t="n">
        <f aca="false">IF(AND(LEFT(A5186,1)&lt;&gt;"C",D5186&gt;0,F5186&gt;0),1,0)</f>
        <v>1</v>
      </c>
      <c r="J5186" s="7" t="n">
        <f aca="false">IF(I5186=1,D5186*F5186,0)</f>
        <v>20</v>
      </c>
      <c r="K5186" s="7" t="n">
        <f aca="false">YEAR(E5186)*100+MONTH(E5186)</f>
        <v>201111</v>
      </c>
      <c r="L5186" s="7" t="n">
        <f aca="false">IF(AND(A5186&lt;&gt;A5185,LEFT(A5186,1)&lt;&gt;"C"),1,0)</f>
        <v>0</v>
      </c>
    </row>
    <row r="5187" customFormat="false" ht="15" hidden="false" customHeight="false" outlineLevel="0" collapsed="false">
      <c r="A5187" s="0" t="s">
        <v>2996</v>
      </c>
      <c r="B5187" s="0" t="s">
        <v>62</v>
      </c>
      <c r="C5187" s="0" t="s">
        <v>63</v>
      </c>
      <c r="D5187" s="0" t="n">
        <v>24</v>
      </c>
      <c r="E5187" s="6" t="n">
        <v>40861.5430555556</v>
      </c>
      <c r="F5187" s="0" t="n">
        <v>1.79</v>
      </c>
      <c r="G5187" s="0" t="n">
        <v>12490</v>
      </c>
      <c r="H5187" s="0" t="s">
        <v>43</v>
      </c>
      <c r="I5187" s="7" t="n">
        <f aca="false">IF(AND(LEFT(A5187,1)&lt;&gt;"C",D5187&gt;0,F5187&gt;0),1,0)</f>
        <v>1</v>
      </c>
      <c r="J5187" s="7" t="n">
        <f aca="false">IF(I5187=1,D5187*F5187,0)</f>
        <v>42.96</v>
      </c>
      <c r="K5187" s="7" t="n">
        <f aca="false">YEAR(E5187)*100+MONTH(E5187)</f>
        <v>201111</v>
      </c>
      <c r="L5187" s="7" t="n">
        <f aca="false">IF(AND(A5187&lt;&gt;A5186,LEFT(A5187,1)&lt;&gt;"C"),1,0)</f>
        <v>0</v>
      </c>
    </row>
    <row r="5188" customFormat="false" ht="15" hidden="false" customHeight="false" outlineLevel="0" collapsed="false">
      <c r="A5188" s="0" t="s">
        <v>2996</v>
      </c>
      <c r="B5188" s="0" t="s">
        <v>416</v>
      </c>
      <c r="C5188" s="0" t="s">
        <v>417</v>
      </c>
      <c r="D5188" s="0" t="n">
        <v>36</v>
      </c>
      <c r="E5188" s="6" t="n">
        <v>40861.5430555556</v>
      </c>
      <c r="F5188" s="0" t="n">
        <v>0.65</v>
      </c>
      <c r="G5188" s="0" t="n">
        <v>12490</v>
      </c>
      <c r="H5188" s="0" t="s">
        <v>43</v>
      </c>
      <c r="I5188" s="7" t="n">
        <f aca="false">IF(AND(LEFT(A5188,1)&lt;&gt;"C",D5188&gt;0,F5188&gt;0),1,0)</f>
        <v>1</v>
      </c>
      <c r="J5188" s="7" t="n">
        <f aca="false">IF(I5188=1,D5188*F5188,0)</f>
        <v>23.4</v>
      </c>
      <c r="K5188" s="7" t="n">
        <f aca="false">YEAR(E5188)*100+MONTH(E5188)</f>
        <v>201111</v>
      </c>
      <c r="L5188" s="7" t="n">
        <f aca="false">IF(AND(A5188&lt;&gt;A5187,LEFT(A5188,1)&lt;&gt;"C"),1,0)</f>
        <v>0</v>
      </c>
    </row>
    <row r="5189" customFormat="false" ht="15" hidden="false" customHeight="false" outlineLevel="0" collapsed="false">
      <c r="A5189" s="0" t="s">
        <v>2996</v>
      </c>
      <c r="B5189" s="0" t="s">
        <v>539</v>
      </c>
      <c r="C5189" s="0" t="s">
        <v>540</v>
      </c>
      <c r="D5189" s="0" t="n">
        <v>24</v>
      </c>
      <c r="E5189" s="6" t="n">
        <v>40861.5430555556</v>
      </c>
      <c r="F5189" s="0" t="n">
        <v>0.42</v>
      </c>
      <c r="G5189" s="0" t="n">
        <v>12490</v>
      </c>
      <c r="H5189" s="0" t="s">
        <v>43</v>
      </c>
      <c r="I5189" s="7" t="n">
        <f aca="false">IF(AND(LEFT(A5189,1)&lt;&gt;"C",D5189&gt;0,F5189&gt;0),1,0)</f>
        <v>1</v>
      </c>
      <c r="J5189" s="7" t="n">
        <f aca="false">IF(I5189=1,D5189*F5189,0)</f>
        <v>10.08</v>
      </c>
      <c r="K5189" s="7" t="n">
        <f aca="false">YEAR(E5189)*100+MONTH(E5189)</f>
        <v>201111</v>
      </c>
      <c r="L5189" s="7" t="n">
        <f aca="false">IF(AND(A5189&lt;&gt;A5188,LEFT(A5189,1)&lt;&gt;"C"),1,0)</f>
        <v>0</v>
      </c>
    </row>
    <row r="5190" customFormat="false" ht="15" hidden="false" customHeight="false" outlineLevel="0" collapsed="false">
      <c r="A5190" s="0" t="s">
        <v>2996</v>
      </c>
      <c r="B5190" s="0" t="s">
        <v>983</v>
      </c>
      <c r="C5190" s="0" t="s">
        <v>984</v>
      </c>
      <c r="D5190" s="0" t="n">
        <v>20</v>
      </c>
      <c r="E5190" s="6" t="n">
        <v>40861.5430555556</v>
      </c>
      <c r="F5190" s="0" t="n">
        <v>0.85</v>
      </c>
      <c r="G5190" s="0" t="n">
        <v>12490</v>
      </c>
      <c r="H5190" s="0" t="s">
        <v>43</v>
      </c>
      <c r="I5190" s="7" t="n">
        <f aca="false">IF(AND(LEFT(A5190,1)&lt;&gt;"C",D5190&gt;0,F5190&gt;0),1,0)</f>
        <v>1</v>
      </c>
      <c r="J5190" s="7" t="n">
        <f aca="false">IF(I5190=1,D5190*F5190,0)</f>
        <v>17</v>
      </c>
      <c r="K5190" s="7" t="n">
        <f aca="false">YEAR(E5190)*100+MONTH(E5190)</f>
        <v>201111</v>
      </c>
      <c r="L5190" s="7" t="n">
        <f aca="false">IF(AND(A5190&lt;&gt;A5189,LEFT(A5190,1)&lt;&gt;"C"),1,0)</f>
        <v>0</v>
      </c>
    </row>
    <row r="5191" customFormat="false" ht="15" hidden="false" customHeight="false" outlineLevel="0" collapsed="false">
      <c r="A5191" s="0" t="s">
        <v>2996</v>
      </c>
      <c r="B5191" s="0" t="s">
        <v>2261</v>
      </c>
      <c r="C5191" s="0" t="s">
        <v>2262</v>
      </c>
      <c r="D5191" s="0" t="n">
        <v>8</v>
      </c>
      <c r="E5191" s="6" t="n">
        <v>40861.5430555556</v>
      </c>
      <c r="F5191" s="0" t="n">
        <v>1.65</v>
      </c>
      <c r="G5191" s="0" t="n">
        <v>12490</v>
      </c>
      <c r="H5191" s="0" t="s">
        <v>43</v>
      </c>
      <c r="I5191" s="7" t="n">
        <f aca="false">IF(AND(LEFT(A5191,1)&lt;&gt;"C",D5191&gt;0,F5191&gt;0),1,0)</f>
        <v>1</v>
      </c>
      <c r="J5191" s="7" t="n">
        <f aca="false">IF(I5191=1,D5191*F5191,0)</f>
        <v>13.2</v>
      </c>
      <c r="K5191" s="7" t="n">
        <f aca="false">YEAR(E5191)*100+MONTH(E5191)</f>
        <v>201111</v>
      </c>
      <c r="L5191" s="7" t="n">
        <f aca="false">IF(AND(A5191&lt;&gt;A5190,LEFT(A5191,1)&lt;&gt;"C"),1,0)</f>
        <v>0</v>
      </c>
    </row>
    <row r="5192" customFormat="false" ht="15" hidden="false" customHeight="false" outlineLevel="0" collapsed="false">
      <c r="A5192" s="0" t="s">
        <v>2996</v>
      </c>
      <c r="B5192" s="0" t="s">
        <v>1409</v>
      </c>
      <c r="C5192" s="0" t="s">
        <v>1410</v>
      </c>
      <c r="D5192" s="0" t="n">
        <v>12</v>
      </c>
      <c r="E5192" s="6" t="n">
        <v>40861.5430555556</v>
      </c>
      <c r="F5192" s="0" t="n">
        <v>0.85</v>
      </c>
      <c r="G5192" s="0" t="n">
        <v>12490</v>
      </c>
      <c r="H5192" s="0" t="s">
        <v>43</v>
      </c>
      <c r="I5192" s="7" t="n">
        <f aca="false">IF(AND(LEFT(A5192,1)&lt;&gt;"C",D5192&gt;0,F5192&gt;0),1,0)</f>
        <v>1</v>
      </c>
      <c r="J5192" s="7" t="n">
        <f aca="false">IF(I5192=1,D5192*F5192,0)</f>
        <v>10.2</v>
      </c>
      <c r="K5192" s="7" t="n">
        <f aca="false">YEAR(E5192)*100+MONTH(E5192)</f>
        <v>201111</v>
      </c>
      <c r="L5192" s="7" t="n">
        <f aca="false">IF(AND(A5192&lt;&gt;A5191,LEFT(A5192,1)&lt;&gt;"C"),1,0)</f>
        <v>0</v>
      </c>
    </row>
    <row r="5193" customFormat="false" ht="15" hidden="false" customHeight="false" outlineLevel="0" collapsed="false">
      <c r="A5193" s="0" t="s">
        <v>2996</v>
      </c>
      <c r="B5193" s="0" t="s">
        <v>131</v>
      </c>
      <c r="C5193" s="0" t="s">
        <v>132</v>
      </c>
      <c r="D5193" s="0" t="n">
        <v>16</v>
      </c>
      <c r="E5193" s="6" t="n">
        <v>40861.5430555556</v>
      </c>
      <c r="F5193" s="0" t="n">
        <v>1.65</v>
      </c>
      <c r="G5193" s="0" t="n">
        <v>12490</v>
      </c>
      <c r="H5193" s="0" t="s">
        <v>43</v>
      </c>
      <c r="I5193" s="7" t="n">
        <f aca="false">IF(AND(LEFT(A5193,1)&lt;&gt;"C",D5193&gt;0,F5193&gt;0),1,0)</f>
        <v>1</v>
      </c>
      <c r="J5193" s="7" t="n">
        <f aca="false">IF(I5193=1,D5193*F5193,0)</f>
        <v>26.4</v>
      </c>
      <c r="K5193" s="7" t="n">
        <f aca="false">YEAR(E5193)*100+MONTH(E5193)</f>
        <v>201111</v>
      </c>
      <c r="L5193" s="7" t="n">
        <f aca="false">IF(AND(A5193&lt;&gt;A5192,LEFT(A5193,1)&lt;&gt;"C"),1,0)</f>
        <v>0</v>
      </c>
    </row>
    <row r="5194" customFormat="false" ht="15" hidden="false" customHeight="false" outlineLevel="0" collapsed="false">
      <c r="A5194" s="0" t="s">
        <v>2996</v>
      </c>
      <c r="B5194" s="0" t="s">
        <v>84</v>
      </c>
      <c r="C5194" s="0" t="s">
        <v>85</v>
      </c>
      <c r="D5194" s="0" t="n">
        <v>2</v>
      </c>
      <c r="E5194" s="6" t="n">
        <v>40861.5430555556</v>
      </c>
      <c r="F5194" s="0" t="n">
        <v>18</v>
      </c>
      <c r="G5194" s="0" t="n">
        <v>12490</v>
      </c>
      <c r="H5194" s="0" t="s">
        <v>43</v>
      </c>
      <c r="I5194" s="7" t="n">
        <f aca="false">IF(AND(LEFT(A5194,1)&lt;&gt;"C",D5194&gt;0,F5194&gt;0),1,0)</f>
        <v>1</v>
      </c>
      <c r="J5194" s="7" t="n">
        <f aca="false">IF(I5194=1,D5194*F5194,0)</f>
        <v>36</v>
      </c>
      <c r="K5194" s="7" t="n">
        <f aca="false">YEAR(E5194)*100+MONTH(E5194)</f>
        <v>201111</v>
      </c>
      <c r="L5194" s="7" t="n">
        <f aca="false">IF(AND(A5194&lt;&gt;A5193,LEFT(A5194,1)&lt;&gt;"C"),1,0)</f>
        <v>0</v>
      </c>
    </row>
    <row r="5195" customFormat="false" ht="15" hidden="false" customHeight="false" outlineLevel="0" collapsed="false">
      <c r="A5195" s="0" t="s">
        <v>2997</v>
      </c>
      <c r="B5195" s="0" t="s">
        <v>146</v>
      </c>
      <c r="C5195" s="0" t="s">
        <v>147</v>
      </c>
      <c r="D5195" s="0" t="n">
        <v>-3</v>
      </c>
      <c r="E5195" s="6" t="n">
        <v>40861.5506944444</v>
      </c>
      <c r="F5195" s="0" t="n">
        <v>2.89</v>
      </c>
      <c r="G5195" s="0" t="n">
        <v>13816</v>
      </c>
      <c r="H5195" s="0" t="s">
        <v>33</v>
      </c>
      <c r="I5195" s="7" t="n">
        <f aca="false">IF(AND(LEFT(A5195,1)&lt;&gt;"C",D5195&gt;0,F5195&gt;0),1,0)</f>
        <v>0</v>
      </c>
      <c r="J5195" s="7" t="n">
        <f aca="false">IF(I5195=1,D5195*F5195,0)</f>
        <v>0</v>
      </c>
      <c r="K5195" s="7" t="n">
        <f aca="false">YEAR(E5195)*100+MONTH(E5195)</f>
        <v>201111</v>
      </c>
      <c r="L5195" s="7" t="n">
        <f aca="false">IF(AND(A5195&lt;&gt;A5194,LEFT(A5195,1)&lt;&gt;"C"),1,0)</f>
        <v>0</v>
      </c>
    </row>
    <row r="5196" customFormat="false" ht="15" hidden="false" customHeight="false" outlineLevel="0" collapsed="false">
      <c r="A5196" s="0" t="s">
        <v>2998</v>
      </c>
      <c r="B5196" s="0" t="s">
        <v>1042</v>
      </c>
      <c r="C5196" s="0" t="s">
        <v>1043</v>
      </c>
      <c r="D5196" s="0" t="n">
        <v>4</v>
      </c>
      <c r="E5196" s="6" t="n">
        <v>40861.5694444445</v>
      </c>
      <c r="F5196" s="0" t="n">
        <v>4.15</v>
      </c>
      <c r="G5196" s="0" t="n">
        <v>12553</v>
      </c>
      <c r="H5196" s="0" t="s">
        <v>43</v>
      </c>
      <c r="I5196" s="7" t="n">
        <f aca="false">IF(AND(LEFT(A5196,1)&lt;&gt;"C",D5196&gt;0,F5196&gt;0),1,0)</f>
        <v>1</v>
      </c>
      <c r="J5196" s="7" t="n">
        <f aca="false">IF(I5196=1,D5196*F5196,0)</f>
        <v>16.6</v>
      </c>
      <c r="K5196" s="7" t="n">
        <f aca="false">YEAR(E5196)*100+MONTH(E5196)</f>
        <v>201111</v>
      </c>
      <c r="L5196" s="7" t="n">
        <f aca="false">IF(AND(A5196&lt;&gt;A5195,LEFT(A5196,1)&lt;&gt;"C"),1,0)</f>
        <v>1</v>
      </c>
    </row>
    <row r="5197" customFormat="false" ht="15" hidden="false" customHeight="false" outlineLevel="0" collapsed="false">
      <c r="A5197" s="0" t="s">
        <v>2998</v>
      </c>
      <c r="B5197" s="0" t="s">
        <v>78</v>
      </c>
      <c r="C5197" s="0" t="s">
        <v>79</v>
      </c>
      <c r="D5197" s="0" t="n">
        <v>20</v>
      </c>
      <c r="E5197" s="6" t="n">
        <v>40861.5694444445</v>
      </c>
      <c r="F5197" s="0" t="n">
        <v>1.65</v>
      </c>
      <c r="G5197" s="0" t="n">
        <v>12553</v>
      </c>
      <c r="H5197" s="0" t="s">
        <v>43</v>
      </c>
      <c r="I5197" s="7" t="n">
        <f aca="false">IF(AND(LEFT(A5197,1)&lt;&gt;"C",D5197&gt;0,F5197&gt;0),1,0)</f>
        <v>1</v>
      </c>
      <c r="J5197" s="7" t="n">
        <f aca="false">IF(I5197=1,D5197*F5197,0)</f>
        <v>33</v>
      </c>
      <c r="K5197" s="7" t="n">
        <f aca="false">YEAR(E5197)*100+MONTH(E5197)</f>
        <v>201111</v>
      </c>
      <c r="L5197" s="7" t="n">
        <f aca="false">IF(AND(A5197&lt;&gt;A5196,LEFT(A5197,1)&lt;&gt;"C"),1,0)</f>
        <v>0</v>
      </c>
    </row>
    <row r="5198" customFormat="false" ht="15" hidden="false" customHeight="false" outlineLevel="0" collapsed="false">
      <c r="A5198" s="0" t="s">
        <v>2998</v>
      </c>
      <c r="B5198" s="0" t="s">
        <v>68</v>
      </c>
      <c r="C5198" s="0" t="s">
        <v>69</v>
      </c>
      <c r="D5198" s="0" t="n">
        <v>10</v>
      </c>
      <c r="E5198" s="6" t="n">
        <v>40861.5694444445</v>
      </c>
      <c r="F5198" s="0" t="n">
        <v>1.65</v>
      </c>
      <c r="G5198" s="0" t="n">
        <v>12553</v>
      </c>
      <c r="H5198" s="0" t="s">
        <v>43</v>
      </c>
      <c r="I5198" s="7" t="n">
        <f aca="false">IF(AND(LEFT(A5198,1)&lt;&gt;"C",D5198&gt;0,F5198&gt;0),1,0)</f>
        <v>1</v>
      </c>
      <c r="J5198" s="7" t="n">
        <f aca="false">IF(I5198=1,D5198*F5198,0)</f>
        <v>16.5</v>
      </c>
      <c r="K5198" s="7" t="n">
        <f aca="false">YEAR(E5198)*100+MONTH(E5198)</f>
        <v>201111</v>
      </c>
      <c r="L5198" s="7" t="n">
        <f aca="false">IF(AND(A5198&lt;&gt;A5197,LEFT(A5198,1)&lt;&gt;"C"),1,0)</f>
        <v>0</v>
      </c>
    </row>
    <row r="5199" customFormat="false" ht="15" hidden="false" customHeight="false" outlineLevel="0" collapsed="false">
      <c r="A5199" s="0" t="s">
        <v>2998</v>
      </c>
      <c r="B5199" s="0" t="s">
        <v>1144</v>
      </c>
      <c r="C5199" s="0" t="s">
        <v>1145</v>
      </c>
      <c r="D5199" s="0" t="n">
        <v>10</v>
      </c>
      <c r="E5199" s="6" t="n">
        <v>40861.5694444445</v>
      </c>
      <c r="F5199" s="0" t="n">
        <v>2.1</v>
      </c>
      <c r="G5199" s="0" t="n">
        <v>12553</v>
      </c>
      <c r="H5199" s="0" t="s">
        <v>43</v>
      </c>
      <c r="I5199" s="7" t="n">
        <f aca="false">IF(AND(LEFT(A5199,1)&lt;&gt;"C",D5199&gt;0,F5199&gt;0),1,0)</f>
        <v>1</v>
      </c>
      <c r="J5199" s="7" t="n">
        <f aca="false">IF(I5199=1,D5199*F5199,0)</f>
        <v>21</v>
      </c>
      <c r="K5199" s="7" t="n">
        <f aca="false">YEAR(E5199)*100+MONTH(E5199)</f>
        <v>201111</v>
      </c>
      <c r="L5199" s="7" t="n">
        <f aca="false">IF(AND(A5199&lt;&gt;A5198,LEFT(A5199,1)&lt;&gt;"C"),1,0)</f>
        <v>0</v>
      </c>
    </row>
    <row r="5200" customFormat="false" ht="15" hidden="false" customHeight="false" outlineLevel="0" collapsed="false">
      <c r="A5200" s="0" t="s">
        <v>2998</v>
      </c>
      <c r="B5200" s="0" t="s">
        <v>2235</v>
      </c>
      <c r="C5200" s="0" t="s">
        <v>2236</v>
      </c>
      <c r="D5200" s="0" t="n">
        <v>10</v>
      </c>
      <c r="E5200" s="6" t="n">
        <v>40861.5694444445</v>
      </c>
      <c r="F5200" s="0" t="n">
        <v>2.08</v>
      </c>
      <c r="G5200" s="0" t="n">
        <v>12553</v>
      </c>
      <c r="H5200" s="0" t="s">
        <v>43</v>
      </c>
      <c r="I5200" s="7" t="n">
        <f aca="false">IF(AND(LEFT(A5200,1)&lt;&gt;"C",D5200&gt;0,F5200&gt;0),1,0)</f>
        <v>1</v>
      </c>
      <c r="J5200" s="7" t="n">
        <f aca="false">IF(I5200=1,D5200*F5200,0)</f>
        <v>20.8</v>
      </c>
      <c r="K5200" s="7" t="n">
        <f aca="false">YEAR(E5200)*100+MONTH(E5200)</f>
        <v>201111</v>
      </c>
      <c r="L5200" s="7" t="n">
        <f aca="false">IF(AND(A5200&lt;&gt;A5199,LEFT(A5200,1)&lt;&gt;"C"),1,0)</f>
        <v>0</v>
      </c>
    </row>
    <row r="5201" customFormat="false" ht="15" hidden="false" customHeight="false" outlineLevel="0" collapsed="false">
      <c r="A5201" s="0" t="s">
        <v>2998</v>
      </c>
      <c r="B5201" s="0" t="s">
        <v>2500</v>
      </c>
      <c r="C5201" s="0" t="s">
        <v>2501</v>
      </c>
      <c r="D5201" s="0" t="n">
        <v>8</v>
      </c>
      <c r="E5201" s="6" t="n">
        <v>40861.5694444445</v>
      </c>
      <c r="F5201" s="0" t="n">
        <v>3.75</v>
      </c>
      <c r="G5201" s="0" t="n">
        <v>12553</v>
      </c>
      <c r="H5201" s="0" t="s">
        <v>43</v>
      </c>
      <c r="I5201" s="7" t="n">
        <f aca="false">IF(AND(LEFT(A5201,1)&lt;&gt;"C",D5201&gt;0,F5201&gt;0),1,0)</f>
        <v>1</v>
      </c>
      <c r="J5201" s="7" t="n">
        <f aca="false">IF(I5201=1,D5201*F5201,0)</f>
        <v>30</v>
      </c>
      <c r="K5201" s="7" t="n">
        <f aca="false">YEAR(E5201)*100+MONTH(E5201)</f>
        <v>201111</v>
      </c>
      <c r="L5201" s="7" t="n">
        <f aca="false">IF(AND(A5201&lt;&gt;A5200,LEFT(A5201,1)&lt;&gt;"C"),1,0)</f>
        <v>0</v>
      </c>
    </row>
    <row r="5202" customFormat="false" ht="15" hidden="false" customHeight="false" outlineLevel="0" collapsed="false">
      <c r="A5202" s="0" t="s">
        <v>2998</v>
      </c>
      <c r="B5202" s="0" t="s">
        <v>1440</v>
      </c>
      <c r="C5202" s="0" t="s">
        <v>1441</v>
      </c>
      <c r="D5202" s="0" t="n">
        <v>12</v>
      </c>
      <c r="E5202" s="6" t="n">
        <v>40861.5694444445</v>
      </c>
      <c r="F5202" s="0" t="n">
        <v>2.1</v>
      </c>
      <c r="G5202" s="0" t="n">
        <v>12553</v>
      </c>
      <c r="H5202" s="0" t="s">
        <v>43</v>
      </c>
      <c r="I5202" s="7" t="n">
        <f aca="false">IF(AND(LEFT(A5202,1)&lt;&gt;"C",D5202&gt;0,F5202&gt;0),1,0)</f>
        <v>1</v>
      </c>
      <c r="J5202" s="7" t="n">
        <f aca="false">IF(I5202=1,D5202*F5202,0)</f>
        <v>25.2</v>
      </c>
      <c r="K5202" s="7" t="n">
        <f aca="false">YEAR(E5202)*100+MONTH(E5202)</f>
        <v>201111</v>
      </c>
      <c r="L5202" s="7" t="n">
        <f aca="false">IF(AND(A5202&lt;&gt;A5201,LEFT(A5202,1)&lt;&gt;"C"),1,0)</f>
        <v>0</v>
      </c>
    </row>
    <row r="5203" customFormat="false" ht="15" hidden="false" customHeight="false" outlineLevel="0" collapsed="false">
      <c r="A5203" s="0" t="s">
        <v>2998</v>
      </c>
      <c r="B5203" s="0" t="s">
        <v>677</v>
      </c>
      <c r="C5203" s="0" t="s">
        <v>678</v>
      </c>
      <c r="D5203" s="0" t="n">
        <v>12</v>
      </c>
      <c r="E5203" s="6" t="n">
        <v>40861.5694444445</v>
      </c>
      <c r="F5203" s="0" t="n">
        <v>2.1</v>
      </c>
      <c r="G5203" s="0" t="n">
        <v>12553</v>
      </c>
      <c r="H5203" s="0" t="s">
        <v>43</v>
      </c>
      <c r="I5203" s="7" t="n">
        <f aca="false">IF(AND(LEFT(A5203,1)&lt;&gt;"C",D5203&gt;0,F5203&gt;0),1,0)</f>
        <v>1</v>
      </c>
      <c r="J5203" s="7" t="n">
        <f aca="false">IF(I5203=1,D5203*F5203,0)</f>
        <v>25.2</v>
      </c>
      <c r="K5203" s="7" t="n">
        <f aca="false">YEAR(E5203)*100+MONTH(E5203)</f>
        <v>201111</v>
      </c>
      <c r="L5203" s="7" t="n">
        <f aca="false">IF(AND(A5203&lt;&gt;A5202,LEFT(A5203,1)&lt;&gt;"C"),1,0)</f>
        <v>0</v>
      </c>
    </row>
    <row r="5204" customFormat="false" ht="15" hidden="false" customHeight="false" outlineLevel="0" collapsed="false">
      <c r="A5204" s="0" t="s">
        <v>2998</v>
      </c>
      <c r="B5204" s="0" t="s">
        <v>679</v>
      </c>
      <c r="C5204" s="0" t="s">
        <v>680</v>
      </c>
      <c r="D5204" s="0" t="n">
        <v>12</v>
      </c>
      <c r="E5204" s="6" t="n">
        <v>40861.5694444445</v>
      </c>
      <c r="F5204" s="0" t="n">
        <v>2.1</v>
      </c>
      <c r="G5204" s="0" t="n">
        <v>12553</v>
      </c>
      <c r="H5204" s="0" t="s">
        <v>43</v>
      </c>
      <c r="I5204" s="7" t="n">
        <f aca="false">IF(AND(LEFT(A5204,1)&lt;&gt;"C",D5204&gt;0,F5204&gt;0),1,0)</f>
        <v>1</v>
      </c>
      <c r="J5204" s="7" t="n">
        <f aca="false">IF(I5204=1,D5204*F5204,0)</f>
        <v>25.2</v>
      </c>
      <c r="K5204" s="7" t="n">
        <f aca="false">YEAR(E5204)*100+MONTH(E5204)</f>
        <v>201111</v>
      </c>
      <c r="L5204" s="7" t="n">
        <f aca="false">IF(AND(A5204&lt;&gt;A5203,LEFT(A5204,1)&lt;&gt;"C"),1,0)</f>
        <v>0</v>
      </c>
    </row>
    <row r="5205" customFormat="false" ht="15" hidden="false" customHeight="false" outlineLevel="0" collapsed="false">
      <c r="A5205" s="0" t="s">
        <v>2998</v>
      </c>
      <c r="B5205" s="0" t="s">
        <v>62</v>
      </c>
      <c r="C5205" s="0" t="s">
        <v>63</v>
      </c>
      <c r="D5205" s="0" t="n">
        <v>18</v>
      </c>
      <c r="E5205" s="6" t="n">
        <v>40861.5694444445</v>
      </c>
      <c r="F5205" s="0" t="n">
        <v>2.08</v>
      </c>
      <c r="G5205" s="0" t="n">
        <v>12553</v>
      </c>
      <c r="H5205" s="0" t="s">
        <v>43</v>
      </c>
      <c r="I5205" s="7" t="n">
        <f aca="false">IF(AND(LEFT(A5205,1)&lt;&gt;"C",D5205&gt;0,F5205&gt;0),1,0)</f>
        <v>1</v>
      </c>
      <c r="J5205" s="7" t="n">
        <f aca="false">IF(I5205=1,D5205*F5205,0)</f>
        <v>37.44</v>
      </c>
      <c r="K5205" s="7" t="n">
        <f aca="false">YEAR(E5205)*100+MONTH(E5205)</f>
        <v>201111</v>
      </c>
      <c r="L5205" s="7" t="n">
        <f aca="false">IF(AND(A5205&lt;&gt;A5204,LEFT(A5205,1)&lt;&gt;"C"),1,0)</f>
        <v>0</v>
      </c>
    </row>
    <row r="5206" customFormat="false" ht="15" hidden="false" customHeight="false" outlineLevel="0" collapsed="false">
      <c r="A5206" s="0" t="s">
        <v>2998</v>
      </c>
      <c r="B5206" s="0" t="s">
        <v>64</v>
      </c>
      <c r="C5206" s="0" t="s">
        <v>65</v>
      </c>
      <c r="D5206" s="0" t="n">
        <v>12</v>
      </c>
      <c r="E5206" s="6" t="n">
        <v>40861.5694444445</v>
      </c>
      <c r="F5206" s="0" t="n">
        <v>1.65</v>
      </c>
      <c r="G5206" s="0" t="n">
        <v>12553</v>
      </c>
      <c r="H5206" s="0" t="s">
        <v>43</v>
      </c>
      <c r="I5206" s="7" t="n">
        <f aca="false">IF(AND(LEFT(A5206,1)&lt;&gt;"C",D5206&gt;0,F5206&gt;0),1,0)</f>
        <v>1</v>
      </c>
      <c r="J5206" s="7" t="n">
        <f aca="false">IF(I5206=1,D5206*F5206,0)</f>
        <v>19.8</v>
      </c>
      <c r="K5206" s="7" t="n">
        <f aca="false">YEAR(E5206)*100+MONTH(E5206)</f>
        <v>201111</v>
      </c>
      <c r="L5206" s="7" t="n">
        <f aca="false">IF(AND(A5206&lt;&gt;A5205,LEFT(A5206,1)&lt;&gt;"C"),1,0)</f>
        <v>0</v>
      </c>
    </row>
    <row r="5207" customFormat="false" ht="15" hidden="false" customHeight="false" outlineLevel="0" collapsed="false">
      <c r="A5207" s="0" t="s">
        <v>2998</v>
      </c>
      <c r="B5207" s="0" t="s">
        <v>335</v>
      </c>
      <c r="C5207" s="0" t="s">
        <v>336</v>
      </c>
      <c r="D5207" s="0" t="n">
        <v>12</v>
      </c>
      <c r="E5207" s="6" t="n">
        <v>40861.5694444445</v>
      </c>
      <c r="F5207" s="0" t="n">
        <v>1.65</v>
      </c>
      <c r="G5207" s="0" t="n">
        <v>12553</v>
      </c>
      <c r="H5207" s="0" t="s">
        <v>43</v>
      </c>
      <c r="I5207" s="7" t="n">
        <f aca="false">IF(AND(LEFT(A5207,1)&lt;&gt;"C",D5207&gt;0,F5207&gt;0),1,0)</f>
        <v>1</v>
      </c>
      <c r="J5207" s="7" t="n">
        <f aca="false">IF(I5207=1,D5207*F5207,0)</f>
        <v>19.8</v>
      </c>
      <c r="K5207" s="7" t="n">
        <f aca="false">YEAR(E5207)*100+MONTH(E5207)</f>
        <v>201111</v>
      </c>
      <c r="L5207" s="7" t="n">
        <f aca="false">IF(AND(A5207&lt;&gt;A5206,LEFT(A5207,1)&lt;&gt;"C"),1,0)</f>
        <v>0</v>
      </c>
    </row>
    <row r="5208" customFormat="false" ht="15" hidden="false" customHeight="false" outlineLevel="0" collapsed="false">
      <c r="A5208" s="0" t="s">
        <v>2998</v>
      </c>
      <c r="B5208" s="0" t="s">
        <v>2617</v>
      </c>
      <c r="C5208" s="0" t="s">
        <v>2618</v>
      </c>
      <c r="D5208" s="0" t="n">
        <v>12</v>
      </c>
      <c r="E5208" s="6" t="n">
        <v>40861.5694444445</v>
      </c>
      <c r="F5208" s="0" t="n">
        <v>1.25</v>
      </c>
      <c r="G5208" s="0" t="n">
        <v>12553</v>
      </c>
      <c r="H5208" s="0" t="s">
        <v>43</v>
      </c>
      <c r="I5208" s="7" t="n">
        <f aca="false">IF(AND(LEFT(A5208,1)&lt;&gt;"C",D5208&gt;0,F5208&gt;0),1,0)</f>
        <v>1</v>
      </c>
      <c r="J5208" s="7" t="n">
        <f aca="false">IF(I5208=1,D5208*F5208,0)</f>
        <v>15</v>
      </c>
      <c r="K5208" s="7" t="n">
        <f aca="false">YEAR(E5208)*100+MONTH(E5208)</f>
        <v>201111</v>
      </c>
      <c r="L5208" s="7" t="n">
        <f aca="false">IF(AND(A5208&lt;&gt;A5207,LEFT(A5208,1)&lt;&gt;"C"),1,0)</f>
        <v>0</v>
      </c>
    </row>
    <row r="5209" customFormat="false" ht="15" hidden="false" customHeight="false" outlineLevel="0" collapsed="false">
      <c r="A5209" s="0" t="s">
        <v>2998</v>
      </c>
      <c r="B5209" s="0" t="s">
        <v>2619</v>
      </c>
      <c r="C5209" s="0" t="s">
        <v>2620</v>
      </c>
      <c r="D5209" s="0" t="n">
        <v>12</v>
      </c>
      <c r="E5209" s="6" t="n">
        <v>40861.5694444445</v>
      </c>
      <c r="F5209" s="0" t="n">
        <v>1.25</v>
      </c>
      <c r="G5209" s="0" t="n">
        <v>12553</v>
      </c>
      <c r="H5209" s="0" t="s">
        <v>43</v>
      </c>
      <c r="I5209" s="7" t="n">
        <f aca="false">IF(AND(LEFT(A5209,1)&lt;&gt;"C",D5209&gt;0,F5209&gt;0),1,0)</f>
        <v>1</v>
      </c>
      <c r="J5209" s="7" t="n">
        <f aca="false">IF(I5209=1,D5209*F5209,0)</f>
        <v>15</v>
      </c>
      <c r="K5209" s="7" t="n">
        <f aca="false">YEAR(E5209)*100+MONTH(E5209)</f>
        <v>201111</v>
      </c>
      <c r="L5209" s="7" t="n">
        <f aca="false">IF(AND(A5209&lt;&gt;A5208,LEFT(A5209,1)&lt;&gt;"C"),1,0)</f>
        <v>0</v>
      </c>
    </row>
    <row r="5210" customFormat="false" ht="15" hidden="false" customHeight="false" outlineLevel="0" collapsed="false">
      <c r="A5210" s="0" t="s">
        <v>2998</v>
      </c>
      <c r="B5210" s="0" t="s">
        <v>1149</v>
      </c>
      <c r="C5210" s="0" t="s">
        <v>1150</v>
      </c>
      <c r="D5210" s="0" t="n">
        <v>3</v>
      </c>
      <c r="E5210" s="6" t="n">
        <v>40861.5694444445</v>
      </c>
      <c r="F5210" s="0" t="n">
        <v>5.95</v>
      </c>
      <c r="G5210" s="0" t="n">
        <v>12553</v>
      </c>
      <c r="H5210" s="0" t="s">
        <v>43</v>
      </c>
      <c r="I5210" s="7" t="n">
        <f aca="false">IF(AND(LEFT(A5210,1)&lt;&gt;"C",D5210&gt;0,F5210&gt;0),1,0)</f>
        <v>1</v>
      </c>
      <c r="J5210" s="7" t="n">
        <f aca="false">IF(I5210=1,D5210*F5210,0)</f>
        <v>17.85</v>
      </c>
      <c r="K5210" s="7" t="n">
        <f aca="false">YEAR(E5210)*100+MONTH(E5210)</f>
        <v>201111</v>
      </c>
      <c r="L5210" s="7" t="n">
        <f aca="false">IF(AND(A5210&lt;&gt;A5209,LEFT(A5210,1)&lt;&gt;"C"),1,0)</f>
        <v>0</v>
      </c>
    </row>
    <row r="5211" customFormat="false" ht="15" hidden="false" customHeight="false" outlineLevel="0" collapsed="false">
      <c r="A5211" s="0" t="s">
        <v>2998</v>
      </c>
      <c r="B5211" s="0" t="s">
        <v>82</v>
      </c>
      <c r="C5211" s="0" t="s">
        <v>83</v>
      </c>
      <c r="D5211" s="0" t="n">
        <v>3</v>
      </c>
      <c r="E5211" s="6" t="n">
        <v>40861.5694444445</v>
      </c>
      <c r="F5211" s="0" t="n">
        <v>5.95</v>
      </c>
      <c r="G5211" s="0" t="n">
        <v>12553</v>
      </c>
      <c r="H5211" s="0" t="s">
        <v>43</v>
      </c>
      <c r="I5211" s="7" t="n">
        <f aca="false">IF(AND(LEFT(A5211,1)&lt;&gt;"C",D5211&gt;0,F5211&gt;0),1,0)</f>
        <v>1</v>
      </c>
      <c r="J5211" s="7" t="n">
        <f aca="false">IF(I5211=1,D5211*F5211,0)</f>
        <v>17.85</v>
      </c>
      <c r="K5211" s="7" t="n">
        <f aca="false">YEAR(E5211)*100+MONTH(E5211)</f>
        <v>201111</v>
      </c>
      <c r="L5211" s="7" t="n">
        <f aca="false">IF(AND(A5211&lt;&gt;A5210,LEFT(A5211,1)&lt;&gt;"C"),1,0)</f>
        <v>0</v>
      </c>
    </row>
    <row r="5212" customFormat="false" ht="15" hidden="false" customHeight="false" outlineLevel="0" collapsed="false">
      <c r="A5212" s="0" t="s">
        <v>2998</v>
      </c>
      <c r="B5212" s="0" t="s">
        <v>697</v>
      </c>
      <c r="C5212" s="0" t="s">
        <v>698</v>
      </c>
      <c r="D5212" s="0" t="n">
        <v>12</v>
      </c>
      <c r="E5212" s="6" t="n">
        <v>40861.5694444445</v>
      </c>
      <c r="F5212" s="0" t="n">
        <v>1.69</v>
      </c>
      <c r="G5212" s="0" t="n">
        <v>12553</v>
      </c>
      <c r="H5212" s="0" t="s">
        <v>43</v>
      </c>
      <c r="I5212" s="7" t="n">
        <f aca="false">IF(AND(LEFT(A5212,1)&lt;&gt;"C",D5212&gt;0,F5212&gt;0),1,0)</f>
        <v>1</v>
      </c>
      <c r="J5212" s="7" t="n">
        <f aca="false">IF(I5212=1,D5212*F5212,0)</f>
        <v>20.28</v>
      </c>
      <c r="K5212" s="7" t="n">
        <f aca="false">YEAR(E5212)*100+MONTH(E5212)</f>
        <v>201111</v>
      </c>
      <c r="L5212" s="7" t="n">
        <f aca="false">IF(AND(A5212&lt;&gt;A5211,LEFT(A5212,1)&lt;&gt;"C"),1,0)</f>
        <v>0</v>
      </c>
    </row>
    <row r="5213" customFormat="false" ht="15" hidden="false" customHeight="false" outlineLevel="0" collapsed="false">
      <c r="A5213" s="0" t="s">
        <v>2998</v>
      </c>
      <c r="B5213" s="0" t="s">
        <v>705</v>
      </c>
      <c r="C5213" s="0" t="s">
        <v>706</v>
      </c>
      <c r="D5213" s="0" t="n">
        <v>12</v>
      </c>
      <c r="E5213" s="6" t="n">
        <v>40861.5694444445</v>
      </c>
      <c r="F5213" s="0" t="n">
        <v>0.85</v>
      </c>
      <c r="G5213" s="0" t="n">
        <v>12553</v>
      </c>
      <c r="H5213" s="0" t="s">
        <v>43</v>
      </c>
      <c r="I5213" s="7" t="n">
        <f aca="false">IF(AND(LEFT(A5213,1)&lt;&gt;"C",D5213&gt;0,F5213&gt;0),1,0)</f>
        <v>1</v>
      </c>
      <c r="J5213" s="7" t="n">
        <f aca="false">IF(I5213=1,D5213*F5213,0)</f>
        <v>10.2</v>
      </c>
      <c r="K5213" s="7" t="n">
        <f aca="false">YEAR(E5213)*100+MONTH(E5213)</f>
        <v>201111</v>
      </c>
      <c r="L5213" s="7" t="n">
        <f aca="false">IF(AND(A5213&lt;&gt;A5212,LEFT(A5213,1)&lt;&gt;"C"),1,0)</f>
        <v>0</v>
      </c>
    </row>
    <row r="5214" customFormat="false" ht="15" hidden="false" customHeight="false" outlineLevel="0" collapsed="false">
      <c r="A5214" s="0" t="s">
        <v>2998</v>
      </c>
      <c r="B5214" s="0" t="s">
        <v>285</v>
      </c>
      <c r="C5214" s="0" t="s">
        <v>286</v>
      </c>
      <c r="D5214" s="0" t="n">
        <v>2</v>
      </c>
      <c r="E5214" s="6" t="n">
        <v>40861.5694444445</v>
      </c>
      <c r="F5214" s="0" t="n">
        <v>8.5</v>
      </c>
      <c r="G5214" s="0" t="n">
        <v>12553</v>
      </c>
      <c r="H5214" s="0" t="s">
        <v>43</v>
      </c>
      <c r="I5214" s="7" t="n">
        <f aca="false">IF(AND(LEFT(A5214,1)&lt;&gt;"C",D5214&gt;0,F5214&gt;0),1,0)</f>
        <v>1</v>
      </c>
      <c r="J5214" s="7" t="n">
        <f aca="false">IF(I5214=1,D5214*F5214,0)</f>
        <v>17</v>
      </c>
      <c r="K5214" s="7" t="n">
        <f aca="false">YEAR(E5214)*100+MONTH(E5214)</f>
        <v>201111</v>
      </c>
      <c r="L5214" s="7" t="n">
        <f aca="false">IF(AND(A5214&lt;&gt;A5213,LEFT(A5214,1)&lt;&gt;"C"),1,0)</f>
        <v>0</v>
      </c>
    </row>
    <row r="5215" customFormat="false" ht="15" hidden="false" customHeight="false" outlineLevel="0" collapsed="false">
      <c r="A5215" s="0" t="s">
        <v>2998</v>
      </c>
      <c r="B5215" s="0" t="s">
        <v>1221</v>
      </c>
      <c r="C5215" s="0" t="s">
        <v>1222</v>
      </c>
      <c r="D5215" s="0" t="n">
        <v>12</v>
      </c>
      <c r="E5215" s="6" t="n">
        <v>40861.5694444445</v>
      </c>
      <c r="F5215" s="0" t="n">
        <v>1.65</v>
      </c>
      <c r="G5215" s="0" t="n">
        <v>12553</v>
      </c>
      <c r="H5215" s="0" t="s">
        <v>43</v>
      </c>
      <c r="I5215" s="7" t="n">
        <f aca="false">IF(AND(LEFT(A5215,1)&lt;&gt;"C",D5215&gt;0,F5215&gt;0),1,0)</f>
        <v>1</v>
      </c>
      <c r="J5215" s="7" t="n">
        <f aca="false">IF(I5215=1,D5215*F5215,0)</f>
        <v>19.8</v>
      </c>
      <c r="K5215" s="7" t="n">
        <f aca="false">YEAR(E5215)*100+MONTH(E5215)</f>
        <v>201111</v>
      </c>
      <c r="L5215" s="7" t="n">
        <f aca="false">IF(AND(A5215&lt;&gt;A5214,LEFT(A5215,1)&lt;&gt;"C"),1,0)</f>
        <v>0</v>
      </c>
    </row>
    <row r="5216" customFormat="false" ht="15" hidden="false" customHeight="false" outlineLevel="0" collapsed="false">
      <c r="A5216" s="0" t="s">
        <v>2998</v>
      </c>
      <c r="B5216" s="0" t="s">
        <v>2655</v>
      </c>
      <c r="C5216" s="0" t="s">
        <v>2656</v>
      </c>
      <c r="D5216" s="0" t="n">
        <v>4</v>
      </c>
      <c r="E5216" s="6" t="n">
        <v>40861.5694444445</v>
      </c>
      <c r="F5216" s="0" t="n">
        <v>4.95</v>
      </c>
      <c r="G5216" s="0" t="n">
        <v>12553</v>
      </c>
      <c r="H5216" s="0" t="s">
        <v>43</v>
      </c>
      <c r="I5216" s="7" t="n">
        <f aca="false">IF(AND(LEFT(A5216,1)&lt;&gt;"C",D5216&gt;0,F5216&gt;0),1,0)</f>
        <v>1</v>
      </c>
      <c r="J5216" s="7" t="n">
        <f aca="false">IF(I5216=1,D5216*F5216,0)</f>
        <v>19.8</v>
      </c>
      <c r="K5216" s="7" t="n">
        <f aca="false">YEAR(E5216)*100+MONTH(E5216)</f>
        <v>201111</v>
      </c>
      <c r="L5216" s="7" t="n">
        <f aca="false">IF(AND(A5216&lt;&gt;A5215,LEFT(A5216,1)&lt;&gt;"C"),1,0)</f>
        <v>0</v>
      </c>
    </row>
    <row r="5217" customFormat="false" ht="15" hidden="false" customHeight="false" outlineLevel="0" collapsed="false">
      <c r="A5217" s="0" t="s">
        <v>2998</v>
      </c>
      <c r="B5217" s="0" t="s">
        <v>569</v>
      </c>
      <c r="C5217" s="0" t="s">
        <v>570</v>
      </c>
      <c r="D5217" s="0" t="n">
        <v>10</v>
      </c>
      <c r="E5217" s="6" t="n">
        <v>40861.5694444445</v>
      </c>
      <c r="F5217" s="0" t="n">
        <v>2.08</v>
      </c>
      <c r="G5217" s="0" t="n">
        <v>12553</v>
      </c>
      <c r="H5217" s="0" t="s">
        <v>43</v>
      </c>
      <c r="I5217" s="7" t="n">
        <f aca="false">IF(AND(LEFT(A5217,1)&lt;&gt;"C",D5217&gt;0,F5217&gt;0),1,0)</f>
        <v>1</v>
      </c>
      <c r="J5217" s="7" t="n">
        <f aca="false">IF(I5217=1,D5217*F5217,0)</f>
        <v>20.8</v>
      </c>
      <c r="K5217" s="7" t="n">
        <f aca="false">YEAR(E5217)*100+MONTH(E5217)</f>
        <v>201111</v>
      </c>
      <c r="L5217" s="7" t="n">
        <f aca="false">IF(AND(A5217&lt;&gt;A5216,LEFT(A5217,1)&lt;&gt;"C"),1,0)</f>
        <v>0</v>
      </c>
    </row>
    <row r="5218" customFormat="false" ht="15" hidden="false" customHeight="false" outlineLevel="0" collapsed="false">
      <c r="A5218" s="0" t="s">
        <v>2998</v>
      </c>
      <c r="B5218" s="0" t="s">
        <v>84</v>
      </c>
      <c r="C5218" s="0" t="s">
        <v>85</v>
      </c>
      <c r="D5218" s="0" t="n">
        <v>3</v>
      </c>
      <c r="E5218" s="6" t="n">
        <v>40861.5694444445</v>
      </c>
      <c r="F5218" s="0" t="n">
        <v>18</v>
      </c>
      <c r="G5218" s="0" t="n">
        <v>12553</v>
      </c>
      <c r="H5218" s="0" t="s">
        <v>43</v>
      </c>
      <c r="I5218" s="7" t="n">
        <f aca="false">IF(AND(LEFT(A5218,1)&lt;&gt;"C",D5218&gt;0,F5218&gt;0),1,0)</f>
        <v>1</v>
      </c>
      <c r="J5218" s="7" t="n">
        <f aca="false">IF(I5218=1,D5218*F5218,0)</f>
        <v>54</v>
      </c>
      <c r="K5218" s="7" t="n">
        <f aca="false">YEAR(E5218)*100+MONTH(E5218)</f>
        <v>201111</v>
      </c>
      <c r="L5218" s="7" t="n">
        <f aca="false">IF(AND(A5218&lt;&gt;A5217,LEFT(A5218,1)&lt;&gt;"C"),1,0)</f>
        <v>0</v>
      </c>
    </row>
    <row r="5219" customFormat="false" ht="15" hidden="false" customHeight="false" outlineLevel="0" collapsed="false">
      <c r="A5219" s="0" t="s">
        <v>2999</v>
      </c>
      <c r="B5219" s="0" t="s">
        <v>943</v>
      </c>
      <c r="C5219" s="0" t="s">
        <v>944</v>
      </c>
      <c r="D5219" s="0" t="n">
        <v>48</v>
      </c>
      <c r="E5219" s="6" t="n">
        <v>40861.6270833333</v>
      </c>
      <c r="F5219" s="0" t="n">
        <v>1.95</v>
      </c>
      <c r="G5219" s="0" t="n">
        <v>12642</v>
      </c>
      <c r="H5219" s="0" t="s">
        <v>33</v>
      </c>
      <c r="I5219" s="7" t="n">
        <f aca="false">IF(AND(LEFT(A5219,1)&lt;&gt;"C",D5219&gt;0,F5219&gt;0),1,0)</f>
        <v>1</v>
      </c>
      <c r="J5219" s="7" t="n">
        <f aca="false">IF(I5219=1,D5219*F5219,0)</f>
        <v>93.6</v>
      </c>
      <c r="K5219" s="7" t="n">
        <f aca="false">YEAR(E5219)*100+MONTH(E5219)</f>
        <v>201111</v>
      </c>
      <c r="L5219" s="7" t="n">
        <f aca="false">IF(AND(A5219&lt;&gt;A5218,LEFT(A5219,1)&lt;&gt;"C"),1,0)</f>
        <v>1</v>
      </c>
    </row>
    <row r="5220" customFormat="false" ht="15" hidden="false" customHeight="false" outlineLevel="0" collapsed="false">
      <c r="A5220" s="0" t="s">
        <v>2999</v>
      </c>
      <c r="B5220" s="0" t="s">
        <v>1244</v>
      </c>
      <c r="C5220" s="0" t="s">
        <v>1245</v>
      </c>
      <c r="D5220" s="0" t="n">
        <v>6</v>
      </c>
      <c r="E5220" s="6" t="n">
        <v>40861.6270833333</v>
      </c>
      <c r="F5220" s="0" t="n">
        <v>3.75</v>
      </c>
      <c r="G5220" s="0" t="n">
        <v>12642</v>
      </c>
      <c r="H5220" s="0" t="s">
        <v>33</v>
      </c>
      <c r="I5220" s="7" t="n">
        <f aca="false">IF(AND(LEFT(A5220,1)&lt;&gt;"C",D5220&gt;0,F5220&gt;0),1,0)</f>
        <v>1</v>
      </c>
      <c r="J5220" s="7" t="n">
        <f aca="false">IF(I5220=1,D5220*F5220,0)</f>
        <v>22.5</v>
      </c>
      <c r="K5220" s="7" t="n">
        <f aca="false">YEAR(E5220)*100+MONTH(E5220)</f>
        <v>201111</v>
      </c>
      <c r="L5220" s="7" t="n">
        <f aca="false">IF(AND(A5220&lt;&gt;A5219,LEFT(A5220,1)&lt;&gt;"C"),1,0)</f>
        <v>0</v>
      </c>
    </row>
    <row r="5221" customFormat="false" ht="15" hidden="false" customHeight="false" outlineLevel="0" collapsed="false">
      <c r="A5221" s="0" t="s">
        <v>2999</v>
      </c>
      <c r="B5221" s="0" t="s">
        <v>420</v>
      </c>
      <c r="C5221" s="0" t="s">
        <v>421</v>
      </c>
      <c r="D5221" s="0" t="n">
        <v>10</v>
      </c>
      <c r="E5221" s="6" t="n">
        <v>40861.6270833333</v>
      </c>
      <c r="F5221" s="0" t="n">
        <v>2.1</v>
      </c>
      <c r="G5221" s="0" t="n">
        <v>12642</v>
      </c>
      <c r="H5221" s="0" t="s">
        <v>33</v>
      </c>
      <c r="I5221" s="7" t="n">
        <f aca="false">IF(AND(LEFT(A5221,1)&lt;&gt;"C",D5221&gt;0,F5221&gt;0),1,0)</f>
        <v>1</v>
      </c>
      <c r="J5221" s="7" t="n">
        <f aca="false">IF(I5221=1,D5221*F5221,0)</f>
        <v>21</v>
      </c>
      <c r="K5221" s="7" t="n">
        <f aca="false">YEAR(E5221)*100+MONTH(E5221)</f>
        <v>201111</v>
      </c>
      <c r="L5221" s="7" t="n">
        <f aca="false">IF(AND(A5221&lt;&gt;A5220,LEFT(A5221,1)&lt;&gt;"C"),1,0)</f>
        <v>0</v>
      </c>
    </row>
    <row r="5222" customFormat="false" ht="15" hidden="false" customHeight="false" outlineLevel="0" collapsed="false">
      <c r="A5222" s="0" t="s">
        <v>2999</v>
      </c>
      <c r="B5222" s="0" t="s">
        <v>752</v>
      </c>
      <c r="C5222" s="0" t="s">
        <v>753</v>
      </c>
      <c r="D5222" s="0" t="n">
        <v>12</v>
      </c>
      <c r="E5222" s="6" t="n">
        <v>40861.6270833333</v>
      </c>
      <c r="F5222" s="0" t="n">
        <v>1.65</v>
      </c>
      <c r="G5222" s="0" t="n">
        <v>12642</v>
      </c>
      <c r="H5222" s="0" t="s">
        <v>33</v>
      </c>
      <c r="I5222" s="7" t="n">
        <f aca="false">IF(AND(LEFT(A5222,1)&lt;&gt;"C",D5222&gt;0,F5222&gt;0),1,0)</f>
        <v>1</v>
      </c>
      <c r="J5222" s="7" t="n">
        <f aca="false">IF(I5222=1,D5222*F5222,0)</f>
        <v>19.8</v>
      </c>
      <c r="K5222" s="7" t="n">
        <f aca="false">YEAR(E5222)*100+MONTH(E5222)</f>
        <v>201111</v>
      </c>
      <c r="L5222" s="7" t="n">
        <f aca="false">IF(AND(A5222&lt;&gt;A5221,LEFT(A5222,1)&lt;&gt;"C"),1,0)</f>
        <v>0</v>
      </c>
    </row>
    <row r="5223" customFormat="false" ht="15" hidden="false" customHeight="false" outlineLevel="0" collapsed="false">
      <c r="A5223" s="0" t="s">
        <v>2999</v>
      </c>
      <c r="B5223" s="0" t="s">
        <v>1204</v>
      </c>
      <c r="C5223" s="0" t="s">
        <v>1205</v>
      </c>
      <c r="D5223" s="0" t="n">
        <v>2</v>
      </c>
      <c r="E5223" s="6" t="n">
        <v>40861.6270833333</v>
      </c>
      <c r="F5223" s="0" t="n">
        <v>9.95</v>
      </c>
      <c r="G5223" s="0" t="n">
        <v>12642</v>
      </c>
      <c r="H5223" s="0" t="s">
        <v>33</v>
      </c>
      <c r="I5223" s="7" t="n">
        <f aca="false">IF(AND(LEFT(A5223,1)&lt;&gt;"C",D5223&gt;0,F5223&gt;0),1,0)</f>
        <v>1</v>
      </c>
      <c r="J5223" s="7" t="n">
        <f aca="false">IF(I5223=1,D5223*F5223,0)</f>
        <v>19.9</v>
      </c>
      <c r="K5223" s="7" t="n">
        <f aca="false">YEAR(E5223)*100+MONTH(E5223)</f>
        <v>201111</v>
      </c>
      <c r="L5223" s="7" t="n">
        <f aca="false">IF(AND(A5223&lt;&gt;A5222,LEFT(A5223,1)&lt;&gt;"C"),1,0)</f>
        <v>0</v>
      </c>
    </row>
    <row r="5224" customFormat="false" ht="15" hidden="false" customHeight="false" outlineLevel="0" collapsed="false">
      <c r="A5224" s="0" t="s">
        <v>2999</v>
      </c>
      <c r="B5224" s="0" t="s">
        <v>545</v>
      </c>
      <c r="C5224" s="0" t="s">
        <v>546</v>
      </c>
      <c r="D5224" s="0" t="n">
        <v>3</v>
      </c>
      <c r="E5224" s="6" t="n">
        <v>40861.6270833333</v>
      </c>
      <c r="F5224" s="0" t="n">
        <v>4.95</v>
      </c>
      <c r="G5224" s="0" t="n">
        <v>12642</v>
      </c>
      <c r="H5224" s="0" t="s">
        <v>33</v>
      </c>
      <c r="I5224" s="7" t="n">
        <f aca="false">IF(AND(LEFT(A5224,1)&lt;&gt;"C",D5224&gt;0,F5224&gt;0),1,0)</f>
        <v>1</v>
      </c>
      <c r="J5224" s="7" t="n">
        <f aca="false">IF(I5224=1,D5224*F5224,0)</f>
        <v>14.85</v>
      </c>
      <c r="K5224" s="7" t="n">
        <f aca="false">YEAR(E5224)*100+MONTH(E5224)</f>
        <v>201111</v>
      </c>
      <c r="L5224" s="7" t="n">
        <f aca="false">IF(AND(A5224&lt;&gt;A5223,LEFT(A5224,1)&lt;&gt;"C"),1,0)</f>
        <v>0</v>
      </c>
    </row>
    <row r="5225" customFormat="false" ht="15" hidden="false" customHeight="false" outlineLevel="0" collapsed="false">
      <c r="A5225" s="0" t="s">
        <v>2999</v>
      </c>
      <c r="B5225" s="0" t="s">
        <v>1688</v>
      </c>
      <c r="C5225" s="0" t="s">
        <v>1689</v>
      </c>
      <c r="D5225" s="0" t="n">
        <v>36</v>
      </c>
      <c r="E5225" s="6" t="n">
        <v>40861.6270833333</v>
      </c>
      <c r="F5225" s="0" t="n">
        <v>0.39</v>
      </c>
      <c r="G5225" s="0" t="n">
        <v>12642</v>
      </c>
      <c r="H5225" s="0" t="s">
        <v>33</v>
      </c>
      <c r="I5225" s="7" t="n">
        <f aca="false">IF(AND(LEFT(A5225,1)&lt;&gt;"C",D5225&gt;0,F5225&gt;0),1,0)</f>
        <v>1</v>
      </c>
      <c r="J5225" s="7" t="n">
        <f aca="false">IF(I5225=1,D5225*F5225,0)</f>
        <v>14.04</v>
      </c>
      <c r="K5225" s="7" t="n">
        <f aca="false">YEAR(E5225)*100+MONTH(E5225)</f>
        <v>201111</v>
      </c>
      <c r="L5225" s="7" t="n">
        <f aca="false">IF(AND(A5225&lt;&gt;A5224,LEFT(A5225,1)&lt;&gt;"C"),1,0)</f>
        <v>0</v>
      </c>
    </row>
    <row r="5226" customFormat="false" ht="15" hidden="false" customHeight="false" outlineLevel="0" collapsed="false">
      <c r="A5226" s="0" t="s">
        <v>2999</v>
      </c>
      <c r="B5226" s="0" t="s">
        <v>363</v>
      </c>
      <c r="C5226" s="0" t="s">
        <v>364</v>
      </c>
      <c r="D5226" s="0" t="n">
        <v>6</v>
      </c>
      <c r="E5226" s="6" t="n">
        <v>40861.6270833333</v>
      </c>
      <c r="F5226" s="0" t="n">
        <v>2.25</v>
      </c>
      <c r="G5226" s="0" t="n">
        <v>12642</v>
      </c>
      <c r="H5226" s="0" t="s">
        <v>33</v>
      </c>
      <c r="I5226" s="7" t="n">
        <f aca="false">IF(AND(LEFT(A5226,1)&lt;&gt;"C",D5226&gt;0,F5226&gt;0),1,0)</f>
        <v>1</v>
      </c>
      <c r="J5226" s="7" t="n">
        <f aca="false">IF(I5226=1,D5226*F5226,0)</f>
        <v>13.5</v>
      </c>
      <c r="K5226" s="7" t="n">
        <f aca="false">YEAR(E5226)*100+MONTH(E5226)</f>
        <v>201111</v>
      </c>
      <c r="L5226" s="7" t="n">
        <f aca="false">IF(AND(A5226&lt;&gt;A5225,LEFT(A5226,1)&lt;&gt;"C"),1,0)</f>
        <v>0</v>
      </c>
    </row>
    <row r="5227" customFormat="false" ht="15" hidden="false" customHeight="false" outlineLevel="0" collapsed="false">
      <c r="A5227" s="0" t="s">
        <v>2999</v>
      </c>
      <c r="B5227" s="0" t="s">
        <v>1208</v>
      </c>
      <c r="C5227" s="0" t="s">
        <v>1209</v>
      </c>
      <c r="D5227" s="0" t="n">
        <v>6</v>
      </c>
      <c r="E5227" s="6" t="n">
        <v>40861.6270833333</v>
      </c>
      <c r="F5227" s="0" t="n">
        <v>2.55</v>
      </c>
      <c r="G5227" s="0" t="n">
        <v>12642</v>
      </c>
      <c r="H5227" s="0" t="s">
        <v>33</v>
      </c>
      <c r="I5227" s="7" t="n">
        <f aca="false">IF(AND(LEFT(A5227,1)&lt;&gt;"C",D5227&gt;0,F5227&gt;0),1,0)</f>
        <v>1</v>
      </c>
      <c r="J5227" s="7" t="n">
        <f aca="false">IF(I5227=1,D5227*F5227,0)</f>
        <v>15.3</v>
      </c>
      <c r="K5227" s="7" t="n">
        <f aca="false">YEAR(E5227)*100+MONTH(E5227)</f>
        <v>201111</v>
      </c>
      <c r="L5227" s="7" t="n">
        <f aca="false">IF(AND(A5227&lt;&gt;A5226,LEFT(A5227,1)&lt;&gt;"C"),1,0)</f>
        <v>0</v>
      </c>
    </row>
    <row r="5228" customFormat="false" ht="15" hidden="false" customHeight="false" outlineLevel="0" collapsed="false">
      <c r="A5228" s="0" t="s">
        <v>2999</v>
      </c>
      <c r="B5228" s="0" t="s">
        <v>1189</v>
      </c>
      <c r="C5228" s="0" t="s">
        <v>1190</v>
      </c>
      <c r="D5228" s="0" t="n">
        <v>24</v>
      </c>
      <c r="E5228" s="6" t="n">
        <v>40861.6270833333</v>
      </c>
      <c r="F5228" s="0" t="n">
        <v>2.89</v>
      </c>
      <c r="G5228" s="0" t="n">
        <v>12642</v>
      </c>
      <c r="H5228" s="0" t="s">
        <v>33</v>
      </c>
      <c r="I5228" s="7" t="n">
        <f aca="false">IF(AND(LEFT(A5228,1)&lt;&gt;"C",D5228&gt;0,F5228&gt;0),1,0)</f>
        <v>1</v>
      </c>
      <c r="J5228" s="7" t="n">
        <f aca="false">IF(I5228=1,D5228*F5228,0)</f>
        <v>69.36</v>
      </c>
      <c r="K5228" s="7" t="n">
        <f aca="false">YEAR(E5228)*100+MONTH(E5228)</f>
        <v>201111</v>
      </c>
      <c r="L5228" s="7" t="n">
        <f aca="false">IF(AND(A5228&lt;&gt;A5227,LEFT(A5228,1)&lt;&gt;"C"),1,0)</f>
        <v>0</v>
      </c>
    </row>
    <row r="5229" customFormat="false" ht="15" hidden="false" customHeight="false" outlineLevel="0" collapsed="false">
      <c r="A5229" s="0" t="s">
        <v>2999</v>
      </c>
      <c r="B5229" s="0" t="s">
        <v>1418</v>
      </c>
      <c r="C5229" s="0" t="s">
        <v>1419</v>
      </c>
      <c r="D5229" s="0" t="n">
        <v>12</v>
      </c>
      <c r="E5229" s="6" t="n">
        <v>40861.6270833333</v>
      </c>
      <c r="F5229" s="0" t="n">
        <v>1.25</v>
      </c>
      <c r="G5229" s="0" t="n">
        <v>12642</v>
      </c>
      <c r="H5229" s="0" t="s">
        <v>33</v>
      </c>
      <c r="I5229" s="7" t="n">
        <f aca="false">IF(AND(LEFT(A5229,1)&lt;&gt;"C",D5229&gt;0,F5229&gt;0),1,0)</f>
        <v>1</v>
      </c>
      <c r="J5229" s="7" t="n">
        <f aca="false">IF(I5229=1,D5229*F5229,0)</f>
        <v>15</v>
      </c>
      <c r="K5229" s="7" t="n">
        <f aca="false">YEAR(E5229)*100+MONTH(E5229)</f>
        <v>201111</v>
      </c>
      <c r="L5229" s="7" t="n">
        <f aca="false">IF(AND(A5229&lt;&gt;A5228,LEFT(A5229,1)&lt;&gt;"C"),1,0)</f>
        <v>0</v>
      </c>
    </row>
    <row r="5230" customFormat="false" ht="15" hidden="false" customHeight="false" outlineLevel="0" collapsed="false">
      <c r="A5230" s="0" t="s">
        <v>2999</v>
      </c>
      <c r="B5230" s="0" t="s">
        <v>84</v>
      </c>
      <c r="C5230" s="0" t="s">
        <v>85</v>
      </c>
      <c r="D5230" s="0" t="n">
        <v>2</v>
      </c>
      <c r="E5230" s="6" t="n">
        <v>40861.6270833333</v>
      </c>
      <c r="F5230" s="0" t="n">
        <v>18</v>
      </c>
      <c r="G5230" s="0" t="n">
        <v>12642</v>
      </c>
      <c r="H5230" s="0" t="s">
        <v>33</v>
      </c>
      <c r="I5230" s="7" t="n">
        <f aca="false">IF(AND(LEFT(A5230,1)&lt;&gt;"C",D5230&gt;0,F5230&gt;0),1,0)</f>
        <v>1</v>
      </c>
      <c r="J5230" s="7" t="n">
        <f aca="false">IF(I5230=1,D5230*F5230,0)</f>
        <v>36</v>
      </c>
      <c r="K5230" s="7" t="n">
        <f aca="false">YEAR(E5230)*100+MONTH(E5230)</f>
        <v>201111</v>
      </c>
      <c r="L5230" s="7" t="n">
        <f aca="false">IF(AND(A5230&lt;&gt;A5229,LEFT(A5230,1)&lt;&gt;"C"),1,0)</f>
        <v>0</v>
      </c>
    </row>
    <row r="5231" customFormat="false" ht="15" hidden="false" customHeight="false" outlineLevel="0" collapsed="false">
      <c r="A5231" s="0" t="s">
        <v>3000</v>
      </c>
      <c r="B5231" s="0" t="s">
        <v>84</v>
      </c>
      <c r="C5231" s="0" t="s">
        <v>85</v>
      </c>
      <c r="D5231" s="0" t="n">
        <v>2</v>
      </c>
      <c r="E5231" s="6" t="n">
        <v>40861.6381944444</v>
      </c>
      <c r="F5231" s="0" t="n">
        <v>18</v>
      </c>
      <c r="G5231" s="0" t="n">
        <v>12476</v>
      </c>
      <c r="H5231" s="0" t="s">
        <v>33</v>
      </c>
      <c r="I5231" s="7" t="n">
        <f aca="false">IF(AND(LEFT(A5231,1)&lt;&gt;"C",D5231&gt;0,F5231&gt;0),1,0)</f>
        <v>1</v>
      </c>
      <c r="J5231" s="7" t="n">
        <f aca="false">IF(I5231=1,D5231*F5231,0)</f>
        <v>36</v>
      </c>
      <c r="K5231" s="7" t="n">
        <f aca="false">YEAR(E5231)*100+MONTH(E5231)</f>
        <v>201111</v>
      </c>
      <c r="L5231" s="7" t="n">
        <f aca="false">IF(AND(A5231&lt;&gt;A5230,LEFT(A5231,1)&lt;&gt;"C"),1,0)</f>
        <v>1</v>
      </c>
    </row>
    <row r="5232" customFormat="false" ht="15" hidden="false" customHeight="false" outlineLevel="0" collapsed="false">
      <c r="A5232" s="0" t="s">
        <v>3000</v>
      </c>
      <c r="B5232" s="0" t="s">
        <v>1786</v>
      </c>
      <c r="C5232" s="0" t="s">
        <v>1787</v>
      </c>
      <c r="D5232" s="0" t="n">
        <v>16</v>
      </c>
      <c r="E5232" s="6" t="n">
        <v>40861.6381944444</v>
      </c>
      <c r="F5232" s="0" t="n">
        <v>1.25</v>
      </c>
      <c r="G5232" s="0" t="n">
        <v>12476</v>
      </c>
      <c r="H5232" s="0" t="s">
        <v>33</v>
      </c>
      <c r="I5232" s="7" t="n">
        <f aca="false">IF(AND(LEFT(A5232,1)&lt;&gt;"C",D5232&gt;0,F5232&gt;0),1,0)</f>
        <v>1</v>
      </c>
      <c r="J5232" s="7" t="n">
        <f aca="false">IF(I5232=1,D5232*F5232,0)</f>
        <v>20</v>
      </c>
      <c r="K5232" s="7" t="n">
        <f aca="false">YEAR(E5232)*100+MONTH(E5232)</f>
        <v>201111</v>
      </c>
      <c r="L5232" s="7" t="n">
        <f aca="false">IF(AND(A5232&lt;&gt;A5231,LEFT(A5232,1)&lt;&gt;"C"),1,0)</f>
        <v>0</v>
      </c>
    </row>
    <row r="5233" customFormat="false" ht="15" hidden="false" customHeight="false" outlineLevel="0" collapsed="false">
      <c r="A5233" s="0" t="s">
        <v>3000</v>
      </c>
      <c r="B5233" s="0" t="s">
        <v>3001</v>
      </c>
      <c r="C5233" s="0" t="s">
        <v>3002</v>
      </c>
      <c r="D5233" s="0" t="n">
        <v>3</v>
      </c>
      <c r="E5233" s="6" t="n">
        <v>40861.6381944444</v>
      </c>
      <c r="F5233" s="0" t="n">
        <v>12.5</v>
      </c>
      <c r="G5233" s="0" t="n">
        <v>12476</v>
      </c>
      <c r="H5233" s="0" t="s">
        <v>33</v>
      </c>
      <c r="I5233" s="7" t="n">
        <f aca="false">IF(AND(LEFT(A5233,1)&lt;&gt;"C",D5233&gt;0,F5233&gt;0),1,0)</f>
        <v>1</v>
      </c>
      <c r="J5233" s="7" t="n">
        <f aca="false">IF(I5233=1,D5233*F5233,0)</f>
        <v>37.5</v>
      </c>
      <c r="K5233" s="7" t="n">
        <f aca="false">YEAR(E5233)*100+MONTH(E5233)</f>
        <v>201111</v>
      </c>
      <c r="L5233" s="7" t="n">
        <f aca="false">IF(AND(A5233&lt;&gt;A5232,LEFT(A5233,1)&lt;&gt;"C"),1,0)</f>
        <v>0</v>
      </c>
    </row>
    <row r="5234" customFormat="false" ht="15" hidden="false" customHeight="false" outlineLevel="0" collapsed="false">
      <c r="A5234" s="0" t="s">
        <v>3000</v>
      </c>
      <c r="B5234" s="0" t="s">
        <v>2788</v>
      </c>
      <c r="C5234" s="0" t="s">
        <v>2789</v>
      </c>
      <c r="D5234" s="0" t="n">
        <v>4</v>
      </c>
      <c r="E5234" s="6" t="n">
        <v>40861.6381944444</v>
      </c>
      <c r="F5234" s="0" t="n">
        <v>8.25</v>
      </c>
      <c r="G5234" s="0" t="n">
        <v>12476</v>
      </c>
      <c r="H5234" s="0" t="s">
        <v>33</v>
      </c>
      <c r="I5234" s="7" t="n">
        <f aca="false">IF(AND(LEFT(A5234,1)&lt;&gt;"C",D5234&gt;0,F5234&gt;0),1,0)</f>
        <v>1</v>
      </c>
      <c r="J5234" s="7" t="n">
        <f aca="false">IF(I5234=1,D5234*F5234,0)</f>
        <v>33</v>
      </c>
      <c r="K5234" s="7" t="n">
        <f aca="false">YEAR(E5234)*100+MONTH(E5234)</f>
        <v>201111</v>
      </c>
      <c r="L5234" s="7" t="n">
        <f aca="false">IF(AND(A5234&lt;&gt;A5233,LEFT(A5234,1)&lt;&gt;"C"),1,0)</f>
        <v>0</v>
      </c>
    </row>
    <row r="5235" customFormat="false" ht="15" hidden="false" customHeight="false" outlineLevel="0" collapsed="false">
      <c r="A5235" s="0" t="s">
        <v>3000</v>
      </c>
      <c r="B5235" s="0" t="s">
        <v>3003</v>
      </c>
      <c r="C5235" s="0" t="s">
        <v>3004</v>
      </c>
      <c r="D5235" s="0" t="n">
        <v>6</v>
      </c>
      <c r="E5235" s="6" t="n">
        <v>40861.6381944444</v>
      </c>
      <c r="F5235" s="0" t="n">
        <v>3.75</v>
      </c>
      <c r="G5235" s="0" t="n">
        <v>12476</v>
      </c>
      <c r="H5235" s="0" t="s">
        <v>33</v>
      </c>
      <c r="I5235" s="7" t="n">
        <f aca="false">IF(AND(LEFT(A5235,1)&lt;&gt;"C",D5235&gt;0,F5235&gt;0),1,0)</f>
        <v>1</v>
      </c>
      <c r="J5235" s="7" t="n">
        <f aca="false">IF(I5235=1,D5235*F5235,0)</f>
        <v>22.5</v>
      </c>
      <c r="K5235" s="7" t="n">
        <f aca="false">YEAR(E5235)*100+MONTH(E5235)</f>
        <v>201111</v>
      </c>
      <c r="L5235" s="7" t="n">
        <f aca="false">IF(AND(A5235&lt;&gt;A5234,LEFT(A5235,1)&lt;&gt;"C"),1,0)</f>
        <v>0</v>
      </c>
    </row>
    <row r="5236" customFormat="false" ht="15" hidden="false" customHeight="false" outlineLevel="0" collapsed="false">
      <c r="A5236" s="0" t="s">
        <v>3000</v>
      </c>
      <c r="B5236" s="0" t="s">
        <v>2473</v>
      </c>
      <c r="C5236" s="0" t="s">
        <v>2474</v>
      </c>
      <c r="D5236" s="0" t="n">
        <v>6</v>
      </c>
      <c r="E5236" s="6" t="n">
        <v>40861.6381944444</v>
      </c>
      <c r="F5236" s="0" t="n">
        <v>2.08</v>
      </c>
      <c r="G5236" s="0" t="n">
        <v>12476</v>
      </c>
      <c r="H5236" s="0" t="s">
        <v>33</v>
      </c>
      <c r="I5236" s="7" t="n">
        <f aca="false">IF(AND(LEFT(A5236,1)&lt;&gt;"C",D5236&gt;0,F5236&gt;0),1,0)</f>
        <v>1</v>
      </c>
      <c r="J5236" s="7" t="n">
        <f aca="false">IF(I5236=1,D5236*F5236,0)</f>
        <v>12.48</v>
      </c>
      <c r="K5236" s="7" t="n">
        <f aca="false">YEAR(E5236)*100+MONTH(E5236)</f>
        <v>201111</v>
      </c>
      <c r="L5236" s="7" t="n">
        <f aca="false">IF(AND(A5236&lt;&gt;A5235,LEFT(A5236,1)&lt;&gt;"C"),1,0)</f>
        <v>0</v>
      </c>
    </row>
    <row r="5237" customFormat="false" ht="15" hidden="false" customHeight="false" outlineLevel="0" collapsed="false">
      <c r="A5237" s="0" t="s">
        <v>3000</v>
      </c>
      <c r="B5237" s="0" t="s">
        <v>1780</v>
      </c>
      <c r="C5237" s="0" t="s">
        <v>1781</v>
      </c>
      <c r="D5237" s="0" t="n">
        <v>16</v>
      </c>
      <c r="E5237" s="6" t="n">
        <v>40861.6381944444</v>
      </c>
      <c r="F5237" s="0" t="n">
        <v>1.25</v>
      </c>
      <c r="G5237" s="0" t="n">
        <v>12476</v>
      </c>
      <c r="H5237" s="0" t="s">
        <v>33</v>
      </c>
      <c r="I5237" s="7" t="n">
        <f aca="false">IF(AND(LEFT(A5237,1)&lt;&gt;"C",D5237&gt;0,F5237&gt;0),1,0)</f>
        <v>1</v>
      </c>
      <c r="J5237" s="7" t="n">
        <f aca="false">IF(I5237=1,D5237*F5237,0)</f>
        <v>20</v>
      </c>
      <c r="K5237" s="7" t="n">
        <f aca="false">YEAR(E5237)*100+MONTH(E5237)</f>
        <v>201111</v>
      </c>
      <c r="L5237" s="7" t="n">
        <f aca="false">IF(AND(A5237&lt;&gt;A5236,LEFT(A5237,1)&lt;&gt;"C"),1,0)</f>
        <v>0</v>
      </c>
    </row>
    <row r="5238" customFormat="false" ht="15" hidden="false" customHeight="false" outlineLevel="0" collapsed="false">
      <c r="A5238" s="0" t="s">
        <v>3000</v>
      </c>
      <c r="B5238" s="0" t="s">
        <v>2603</v>
      </c>
      <c r="C5238" s="0" t="s">
        <v>2604</v>
      </c>
      <c r="D5238" s="0" t="n">
        <v>12</v>
      </c>
      <c r="E5238" s="6" t="n">
        <v>40861.6381944444</v>
      </c>
      <c r="F5238" s="0" t="n">
        <v>1.45</v>
      </c>
      <c r="G5238" s="0" t="n">
        <v>12476</v>
      </c>
      <c r="H5238" s="0" t="s">
        <v>33</v>
      </c>
      <c r="I5238" s="7" t="n">
        <f aca="false">IF(AND(LEFT(A5238,1)&lt;&gt;"C",D5238&gt;0,F5238&gt;0),1,0)</f>
        <v>1</v>
      </c>
      <c r="J5238" s="7" t="n">
        <f aca="false">IF(I5238=1,D5238*F5238,0)</f>
        <v>17.4</v>
      </c>
      <c r="K5238" s="7" t="n">
        <f aca="false">YEAR(E5238)*100+MONTH(E5238)</f>
        <v>201111</v>
      </c>
      <c r="L5238" s="7" t="n">
        <f aca="false">IF(AND(A5238&lt;&gt;A5237,LEFT(A5238,1)&lt;&gt;"C"),1,0)</f>
        <v>0</v>
      </c>
    </row>
    <row r="5239" customFormat="false" ht="15" hidden="false" customHeight="false" outlineLevel="0" collapsed="false">
      <c r="A5239" s="0" t="s">
        <v>3000</v>
      </c>
      <c r="B5239" s="0" t="s">
        <v>2563</v>
      </c>
      <c r="C5239" s="0" t="s">
        <v>2564</v>
      </c>
      <c r="D5239" s="0" t="n">
        <v>4</v>
      </c>
      <c r="E5239" s="6" t="n">
        <v>40861.6381944444</v>
      </c>
      <c r="F5239" s="0" t="n">
        <v>5.95</v>
      </c>
      <c r="G5239" s="0" t="n">
        <v>12476</v>
      </c>
      <c r="H5239" s="0" t="s">
        <v>33</v>
      </c>
      <c r="I5239" s="7" t="n">
        <f aca="false">IF(AND(LEFT(A5239,1)&lt;&gt;"C",D5239&gt;0,F5239&gt;0),1,0)</f>
        <v>1</v>
      </c>
      <c r="J5239" s="7" t="n">
        <f aca="false">IF(I5239=1,D5239*F5239,0)</f>
        <v>23.8</v>
      </c>
      <c r="K5239" s="7" t="n">
        <f aca="false">YEAR(E5239)*100+MONTH(E5239)</f>
        <v>201111</v>
      </c>
      <c r="L5239" s="7" t="n">
        <f aca="false">IF(AND(A5239&lt;&gt;A5238,LEFT(A5239,1)&lt;&gt;"C"),1,0)</f>
        <v>0</v>
      </c>
    </row>
    <row r="5240" customFormat="false" ht="15" hidden="false" customHeight="false" outlineLevel="0" collapsed="false">
      <c r="A5240" s="0" t="s">
        <v>3000</v>
      </c>
      <c r="B5240" s="0" t="s">
        <v>3005</v>
      </c>
      <c r="C5240" s="0" t="s">
        <v>3006</v>
      </c>
      <c r="D5240" s="0" t="n">
        <v>3</v>
      </c>
      <c r="E5240" s="6" t="n">
        <v>40861.6381944444</v>
      </c>
      <c r="F5240" s="0" t="n">
        <v>6.95</v>
      </c>
      <c r="G5240" s="0" t="n">
        <v>12476</v>
      </c>
      <c r="H5240" s="0" t="s">
        <v>33</v>
      </c>
      <c r="I5240" s="7" t="n">
        <f aca="false">IF(AND(LEFT(A5240,1)&lt;&gt;"C",D5240&gt;0,F5240&gt;0),1,0)</f>
        <v>1</v>
      </c>
      <c r="J5240" s="7" t="n">
        <f aca="false">IF(I5240=1,D5240*F5240,0)</f>
        <v>20.85</v>
      </c>
      <c r="K5240" s="7" t="n">
        <f aca="false">YEAR(E5240)*100+MONTH(E5240)</f>
        <v>201111</v>
      </c>
      <c r="L5240" s="7" t="n">
        <f aca="false">IF(AND(A5240&lt;&gt;A5239,LEFT(A5240,1)&lt;&gt;"C"),1,0)</f>
        <v>0</v>
      </c>
    </row>
    <row r="5241" customFormat="false" ht="15" hidden="false" customHeight="false" outlineLevel="0" collapsed="false">
      <c r="A5241" s="0" t="s">
        <v>3007</v>
      </c>
      <c r="B5241" s="0" t="s">
        <v>1099</v>
      </c>
      <c r="C5241" s="0" t="s">
        <v>1100</v>
      </c>
      <c r="D5241" s="0" t="n">
        <v>12</v>
      </c>
      <c r="E5241" s="6" t="n">
        <v>40862.3631944444</v>
      </c>
      <c r="F5241" s="0" t="n">
        <v>2.49</v>
      </c>
      <c r="G5241" s="0" t="n">
        <v>12640</v>
      </c>
      <c r="H5241" s="0" t="s">
        <v>43</v>
      </c>
      <c r="I5241" s="7" t="n">
        <f aca="false">IF(AND(LEFT(A5241,1)&lt;&gt;"C",D5241&gt;0,F5241&gt;0),1,0)</f>
        <v>1</v>
      </c>
      <c r="J5241" s="7" t="n">
        <f aca="false">IF(I5241=1,D5241*F5241,0)</f>
        <v>29.88</v>
      </c>
      <c r="K5241" s="7" t="n">
        <f aca="false">YEAR(E5241)*100+MONTH(E5241)</f>
        <v>201111</v>
      </c>
      <c r="L5241" s="7" t="n">
        <f aca="false">IF(AND(A5241&lt;&gt;A5240,LEFT(A5241,1)&lt;&gt;"C"),1,0)</f>
        <v>1</v>
      </c>
    </row>
    <row r="5242" customFormat="false" ht="15" hidden="false" customHeight="false" outlineLevel="0" collapsed="false">
      <c r="A5242" s="0" t="s">
        <v>3007</v>
      </c>
      <c r="B5242" s="0" t="s">
        <v>1021</v>
      </c>
      <c r="C5242" s="0" t="s">
        <v>1022</v>
      </c>
      <c r="D5242" s="0" t="n">
        <v>6</v>
      </c>
      <c r="E5242" s="6" t="n">
        <v>40862.3631944444</v>
      </c>
      <c r="F5242" s="0" t="n">
        <v>8.25</v>
      </c>
      <c r="G5242" s="0" t="n">
        <v>12640</v>
      </c>
      <c r="H5242" s="0" t="s">
        <v>43</v>
      </c>
      <c r="I5242" s="7" t="n">
        <f aca="false">IF(AND(LEFT(A5242,1)&lt;&gt;"C",D5242&gt;0,F5242&gt;0),1,0)</f>
        <v>1</v>
      </c>
      <c r="J5242" s="7" t="n">
        <f aca="false">IF(I5242=1,D5242*F5242,0)</f>
        <v>49.5</v>
      </c>
      <c r="K5242" s="7" t="n">
        <f aca="false">YEAR(E5242)*100+MONTH(E5242)</f>
        <v>201111</v>
      </c>
      <c r="L5242" s="7" t="n">
        <f aca="false">IF(AND(A5242&lt;&gt;A5241,LEFT(A5242,1)&lt;&gt;"C"),1,0)</f>
        <v>0</v>
      </c>
    </row>
    <row r="5243" customFormat="false" ht="15" hidden="false" customHeight="false" outlineLevel="0" collapsed="false">
      <c r="A5243" s="0" t="s">
        <v>3007</v>
      </c>
      <c r="B5243" s="0" t="s">
        <v>1128</v>
      </c>
      <c r="C5243" s="0" t="s">
        <v>1129</v>
      </c>
      <c r="D5243" s="0" t="n">
        <v>4</v>
      </c>
      <c r="E5243" s="6" t="n">
        <v>40862.3631944444</v>
      </c>
      <c r="F5243" s="0" t="n">
        <v>8.5</v>
      </c>
      <c r="G5243" s="0" t="n">
        <v>12640</v>
      </c>
      <c r="H5243" s="0" t="s">
        <v>43</v>
      </c>
      <c r="I5243" s="7" t="n">
        <f aca="false">IF(AND(LEFT(A5243,1)&lt;&gt;"C",D5243&gt;0,F5243&gt;0),1,0)</f>
        <v>1</v>
      </c>
      <c r="J5243" s="7" t="n">
        <f aca="false">IF(I5243=1,D5243*F5243,0)</f>
        <v>34</v>
      </c>
      <c r="K5243" s="7" t="n">
        <f aca="false">YEAR(E5243)*100+MONTH(E5243)</f>
        <v>201111</v>
      </c>
      <c r="L5243" s="7" t="n">
        <f aca="false">IF(AND(A5243&lt;&gt;A5242,LEFT(A5243,1)&lt;&gt;"C"),1,0)</f>
        <v>0</v>
      </c>
    </row>
    <row r="5244" customFormat="false" ht="15" hidden="false" customHeight="false" outlineLevel="0" collapsed="false">
      <c r="A5244" s="0" t="s">
        <v>3007</v>
      </c>
      <c r="B5244" s="0" t="s">
        <v>3008</v>
      </c>
      <c r="C5244" s="0" t="s">
        <v>3009</v>
      </c>
      <c r="D5244" s="0" t="n">
        <v>2</v>
      </c>
      <c r="E5244" s="6" t="n">
        <v>40862.3631944444</v>
      </c>
      <c r="F5244" s="0" t="n">
        <v>8.25</v>
      </c>
      <c r="G5244" s="0" t="n">
        <v>12640</v>
      </c>
      <c r="H5244" s="0" t="s">
        <v>43</v>
      </c>
      <c r="I5244" s="7" t="n">
        <f aca="false">IF(AND(LEFT(A5244,1)&lt;&gt;"C",D5244&gt;0,F5244&gt;0),1,0)</f>
        <v>1</v>
      </c>
      <c r="J5244" s="7" t="n">
        <f aca="false">IF(I5244=1,D5244*F5244,0)</f>
        <v>16.5</v>
      </c>
      <c r="K5244" s="7" t="n">
        <f aca="false">YEAR(E5244)*100+MONTH(E5244)</f>
        <v>201111</v>
      </c>
      <c r="L5244" s="7" t="n">
        <f aca="false">IF(AND(A5244&lt;&gt;A5243,LEFT(A5244,1)&lt;&gt;"C"),1,0)</f>
        <v>0</v>
      </c>
    </row>
    <row r="5245" customFormat="false" ht="15" hidden="false" customHeight="false" outlineLevel="0" collapsed="false">
      <c r="A5245" s="0" t="s">
        <v>3007</v>
      </c>
      <c r="B5245" s="0" t="s">
        <v>3010</v>
      </c>
      <c r="C5245" s="0" t="s">
        <v>3011</v>
      </c>
      <c r="D5245" s="0" t="n">
        <v>3</v>
      </c>
      <c r="E5245" s="6" t="n">
        <v>40862.3631944444</v>
      </c>
      <c r="F5245" s="0" t="n">
        <v>12.5</v>
      </c>
      <c r="G5245" s="0" t="n">
        <v>12640</v>
      </c>
      <c r="H5245" s="0" t="s">
        <v>43</v>
      </c>
      <c r="I5245" s="7" t="n">
        <f aca="false">IF(AND(LEFT(A5245,1)&lt;&gt;"C",D5245&gt;0,F5245&gt;0),1,0)</f>
        <v>1</v>
      </c>
      <c r="J5245" s="7" t="n">
        <f aca="false">IF(I5245=1,D5245*F5245,0)</f>
        <v>37.5</v>
      </c>
      <c r="K5245" s="7" t="n">
        <f aca="false">YEAR(E5245)*100+MONTH(E5245)</f>
        <v>201111</v>
      </c>
      <c r="L5245" s="7" t="n">
        <f aca="false">IF(AND(A5245&lt;&gt;A5244,LEFT(A5245,1)&lt;&gt;"C"),1,0)</f>
        <v>0</v>
      </c>
    </row>
    <row r="5246" customFormat="false" ht="15" hidden="false" customHeight="false" outlineLevel="0" collapsed="false">
      <c r="A5246" s="0" t="s">
        <v>3007</v>
      </c>
      <c r="B5246" s="0" t="s">
        <v>3012</v>
      </c>
      <c r="C5246" s="0" t="s">
        <v>3013</v>
      </c>
      <c r="D5246" s="0" t="n">
        <v>3</v>
      </c>
      <c r="E5246" s="6" t="n">
        <v>40862.3631944444</v>
      </c>
      <c r="F5246" s="0" t="n">
        <v>12.5</v>
      </c>
      <c r="G5246" s="0" t="n">
        <v>12640</v>
      </c>
      <c r="H5246" s="0" t="s">
        <v>43</v>
      </c>
      <c r="I5246" s="7" t="n">
        <f aca="false">IF(AND(LEFT(A5246,1)&lt;&gt;"C",D5246&gt;0,F5246&gt;0),1,0)</f>
        <v>1</v>
      </c>
      <c r="J5246" s="7" t="n">
        <f aca="false">IF(I5246=1,D5246*F5246,0)</f>
        <v>37.5</v>
      </c>
      <c r="K5246" s="7" t="n">
        <f aca="false">YEAR(E5246)*100+MONTH(E5246)</f>
        <v>201111</v>
      </c>
      <c r="L5246" s="7" t="n">
        <f aca="false">IF(AND(A5246&lt;&gt;A5245,LEFT(A5246,1)&lt;&gt;"C"),1,0)</f>
        <v>0</v>
      </c>
    </row>
    <row r="5247" customFormat="false" ht="15" hidden="false" customHeight="false" outlineLevel="0" collapsed="false">
      <c r="A5247" s="0" t="s">
        <v>3007</v>
      </c>
      <c r="B5247" s="0" t="s">
        <v>3014</v>
      </c>
      <c r="C5247" s="0" t="s">
        <v>3015</v>
      </c>
      <c r="D5247" s="0" t="n">
        <v>3</v>
      </c>
      <c r="E5247" s="6" t="n">
        <v>40862.3631944444</v>
      </c>
      <c r="F5247" s="0" t="n">
        <v>12.5</v>
      </c>
      <c r="G5247" s="0" t="n">
        <v>12640</v>
      </c>
      <c r="H5247" s="0" t="s">
        <v>43</v>
      </c>
      <c r="I5247" s="7" t="n">
        <f aca="false">IF(AND(LEFT(A5247,1)&lt;&gt;"C",D5247&gt;0,F5247&gt;0),1,0)</f>
        <v>1</v>
      </c>
      <c r="J5247" s="7" t="n">
        <f aca="false">IF(I5247=1,D5247*F5247,0)</f>
        <v>37.5</v>
      </c>
      <c r="K5247" s="7" t="n">
        <f aca="false">YEAR(E5247)*100+MONTH(E5247)</f>
        <v>201111</v>
      </c>
      <c r="L5247" s="7" t="n">
        <f aca="false">IF(AND(A5247&lt;&gt;A5246,LEFT(A5247,1)&lt;&gt;"C"),1,0)</f>
        <v>0</v>
      </c>
    </row>
    <row r="5248" customFormat="false" ht="15" hidden="false" customHeight="false" outlineLevel="0" collapsed="false">
      <c r="A5248" s="0" t="s">
        <v>3007</v>
      </c>
      <c r="B5248" s="0" t="s">
        <v>2563</v>
      </c>
      <c r="C5248" s="0" t="s">
        <v>2564</v>
      </c>
      <c r="D5248" s="0" t="n">
        <v>3</v>
      </c>
      <c r="E5248" s="6" t="n">
        <v>40862.3631944444</v>
      </c>
      <c r="F5248" s="0" t="n">
        <v>5.95</v>
      </c>
      <c r="G5248" s="0" t="n">
        <v>12640</v>
      </c>
      <c r="H5248" s="0" t="s">
        <v>43</v>
      </c>
      <c r="I5248" s="7" t="n">
        <f aca="false">IF(AND(LEFT(A5248,1)&lt;&gt;"C",D5248&gt;0,F5248&gt;0),1,0)</f>
        <v>1</v>
      </c>
      <c r="J5248" s="7" t="n">
        <f aca="false">IF(I5248=1,D5248*F5248,0)</f>
        <v>17.85</v>
      </c>
      <c r="K5248" s="7" t="n">
        <f aca="false">YEAR(E5248)*100+MONTH(E5248)</f>
        <v>201111</v>
      </c>
      <c r="L5248" s="7" t="n">
        <f aca="false">IF(AND(A5248&lt;&gt;A5247,LEFT(A5248,1)&lt;&gt;"C"),1,0)</f>
        <v>0</v>
      </c>
    </row>
    <row r="5249" customFormat="false" ht="15" hidden="false" customHeight="false" outlineLevel="0" collapsed="false">
      <c r="A5249" s="0" t="s">
        <v>3007</v>
      </c>
      <c r="B5249" s="0" t="s">
        <v>84</v>
      </c>
      <c r="C5249" s="0" t="s">
        <v>85</v>
      </c>
      <c r="D5249" s="0" t="n">
        <v>4</v>
      </c>
      <c r="E5249" s="6" t="n">
        <v>40862.3631944444</v>
      </c>
      <c r="F5249" s="0" t="n">
        <v>18</v>
      </c>
      <c r="G5249" s="0" t="n">
        <v>12640</v>
      </c>
      <c r="H5249" s="0" t="s">
        <v>43</v>
      </c>
      <c r="I5249" s="7" t="n">
        <f aca="false">IF(AND(LEFT(A5249,1)&lt;&gt;"C",D5249&gt;0,F5249&gt;0),1,0)</f>
        <v>1</v>
      </c>
      <c r="J5249" s="7" t="n">
        <f aca="false">IF(I5249=1,D5249*F5249,0)</f>
        <v>72</v>
      </c>
      <c r="K5249" s="7" t="n">
        <f aca="false">YEAR(E5249)*100+MONTH(E5249)</f>
        <v>201111</v>
      </c>
      <c r="L5249" s="7" t="n">
        <f aca="false">IF(AND(A5249&lt;&gt;A5248,LEFT(A5249,1)&lt;&gt;"C"),1,0)</f>
        <v>0</v>
      </c>
    </row>
    <row r="5250" customFormat="false" ht="15" hidden="false" customHeight="false" outlineLevel="0" collapsed="false">
      <c r="A5250" s="0" t="s">
        <v>3016</v>
      </c>
      <c r="B5250" s="0" t="s">
        <v>144</v>
      </c>
      <c r="C5250" s="0" t="s">
        <v>2576</v>
      </c>
      <c r="D5250" s="0" t="n">
        <v>12</v>
      </c>
      <c r="E5250" s="6" t="n">
        <v>40862.4256944444</v>
      </c>
      <c r="F5250" s="0" t="n">
        <v>1.25</v>
      </c>
      <c r="G5250" s="0" t="n">
        <v>12569</v>
      </c>
      <c r="H5250" s="0" t="s">
        <v>33</v>
      </c>
      <c r="I5250" s="7" t="n">
        <f aca="false">IF(AND(LEFT(A5250,1)&lt;&gt;"C",D5250&gt;0,F5250&gt;0),1,0)</f>
        <v>1</v>
      </c>
      <c r="J5250" s="7" t="n">
        <f aca="false">IF(I5250=1,D5250*F5250,0)</f>
        <v>15</v>
      </c>
      <c r="K5250" s="7" t="n">
        <f aca="false">YEAR(E5250)*100+MONTH(E5250)</f>
        <v>201111</v>
      </c>
      <c r="L5250" s="7" t="n">
        <f aca="false">IF(AND(A5250&lt;&gt;A5249,LEFT(A5250,1)&lt;&gt;"C"),1,0)</f>
        <v>1</v>
      </c>
    </row>
    <row r="5251" customFormat="false" ht="15" hidden="false" customHeight="false" outlineLevel="0" collapsed="false">
      <c r="A5251" s="0" t="s">
        <v>3016</v>
      </c>
      <c r="B5251" s="0" t="s">
        <v>1271</v>
      </c>
      <c r="C5251" s="0" t="s">
        <v>1272</v>
      </c>
      <c r="D5251" s="0" t="n">
        <v>1</v>
      </c>
      <c r="E5251" s="6" t="n">
        <v>40862.4256944444</v>
      </c>
      <c r="F5251" s="0" t="n">
        <v>9.95</v>
      </c>
      <c r="G5251" s="0" t="n">
        <v>12569</v>
      </c>
      <c r="H5251" s="0" t="s">
        <v>33</v>
      </c>
      <c r="I5251" s="7" t="n">
        <f aca="false">IF(AND(LEFT(A5251,1)&lt;&gt;"C",D5251&gt;0,F5251&gt;0),1,0)</f>
        <v>1</v>
      </c>
      <c r="J5251" s="7" t="n">
        <f aca="false">IF(I5251=1,D5251*F5251,0)</f>
        <v>9.95</v>
      </c>
      <c r="K5251" s="7" t="n">
        <f aca="false">YEAR(E5251)*100+MONTH(E5251)</f>
        <v>201111</v>
      </c>
      <c r="L5251" s="7" t="n">
        <f aca="false">IF(AND(A5251&lt;&gt;A5250,LEFT(A5251,1)&lt;&gt;"C"),1,0)</f>
        <v>0</v>
      </c>
    </row>
    <row r="5252" customFormat="false" ht="15" hidden="false" customHeight="false" outlineLevel="0" collapsed="false">
      <c r="A5252" s="0" t="s">
        <v>3016</v>
      </c>
      <c r="B5252" s="0" t="s">
        <v>3017</v>
      </c>
      <c r="C5252" s="0" t="s">
        <v>3018</v>
      </c>
      <c r="D5252" s="0" t="n">
        <v>4</v>
      </c>
      <c r="E5252" s="6" t="n">
        <v>40862.4256944444</v>
      </c>
      <c r="F5252" s="0" t="n">
        <v>4.95</v>
      </c>
      <c r="G5252" s="0" t="n">
        <v>12569</v>
      </c>
      <c r="H5252" s="0" t="s">
        <v>33</v>
      </c>
      <c r="I5252" s="7" t="n">
        <f aca="false">IF(AND(LEFT(A5252,1)&lt;&gt;"C",D5252&gt;0,F5252&gt;0),1,0)</f>
        <v>1</v>
      </c>
      <c r="J5252" s="7" t="n">
        <f aca="false">IF(I5252=1,D5252*F5252,0)</f>
        <v>19.8</v>
      </c>
      <c r="K5252" s="7" t="n">
        <f aca="false">YEAR(E5252)*100+MONTH(E5252)</f>
        <v>201111</v>
      </c>
      <c r="L5252" s="7" t="n">
        <f aca="false">IF(AND(A5252&lt;&gt;A5251,LEFT(A5252,1)&lt;&gt;"C"),1,0)</f>
        <v>0</v>
      </c>
    </row>
    <row r="5253" customFormat="false" ht="15" hidden="false" customHeight="false" outlineLevel="0" collapsed="false">
      <c r="A5253" s="0" t="s">
        <v>3016</v>
      </c>
      <c r="B5253" s="0" t="s">
        <v>939</v>
      </c>
      <c r="C5253" s="0" t="s">
        <v>940</v>
      </c>
      <c r="D5253" s="0" t="n">
        <v>24</v>
      </c>
      <c r="E5253" s="6" t="n">
        <v>40862.4256944444</v>
      </c>
      <c r="F5253" s="0" t="n">
        <v>0.85</v>
      </c>
      <c r="G5253" s="0" t="n">
        <v>12569</v>
      </c>
      <c r="H5253" s="0" t="s">
        <v>33</v>
      </c>
      <c r="I5253" s="7" t="n">
        <f aca="false">IF(AND(LEFT(A5253,1)&lt;&gt;"C",D5253&gt;0,F5253&gt;0),1,0)</f>
        <v>1</v>
      </c>
      <c r="J5253" s="7" t="n">
        <f aca="false">IF(I5253=1,D5253*F5253,0)</f>
        <v>20.4</v>
      </c>
      <c r="K5253" s="7" t="n">
        <f aca="false">YEAR(E5253)*100+MONTH(E5253)</f>
        <v>201111</v>
      </c>
      <c r="L5253" s="7" t="n">
        <f aca="false">IF(AND(A5253&lt;&gt;A5252,LEFT(A5253,1)&lt;&gt;"C"),1,0)</f>
        <v>0</v>
      </c>
    </row>
    <row r="5254" customFormat="false" ht="15" hidden="false" customHeight="false" outlineLevel="0" collapsed="false">
      <c r="A5254" s="0" t="s">
        <v>3016</v>
      </c>
      <c r="B5254" s="0" t="s">
        <v>695</v>
      </c>
      <c r="C5254" s="0" t="s">
        <v>696</v>
      </c>
      <c r="D5254" s="0" t="n">
        <v>8</v>
      </c>
      <c r="E5254" s="6" t="n">
        <v>40862.4256944444</v>
      </c>
      <c r="F5254" s="0" t="n">
        <v>3.75</v>
      </c>
      <c r="G5254" s="0" t="n">
        <v>12569</v>
      </c>
      <c r="H5254" s="0" t="s">
        <v>33</v>
      </c>
      <c r="I5254" s="7" t="n">
        <f aca="false">IF(AND(LEFT(A5254,1)&lt;&gt;"C",D5254&gt;0,F5254&gt;0),1,0)</f>
        <v>1</v>
      </c>
      <c r="J5254" s="7" t="n">
        <f aca="false">IF(I5254=1,D5254*F5254,0)</f>
        <v>30</v>
      </c>
      <c r="K5254" s="7" t="n">
        <f aca="false">YEAR(E5254)*100+MONTH(E5254)</f>
        <v>201111</v>
      </c>
      <c r="L5254" s="7" t="n">
        <f aca="false">IF(AND(A5254&lt;&gt;A5253,LEFT(A5254,1)&lt;&gt;"C"),1,0)</f>
        <v>0</v>
      </c>
    </row>
    <row r="5255" customFormat="false" ht="15" hidden="false" customHeight="false" outlineLevel="0" collapsed="false">
      <c r="A5255" s="0" t="s">
        <v>3016</v>
      </c>
      <c r="B5255" s="0" t="s">
        <v>2098</v>
      </c>
      <c r="C5255" s="0" t="s">
        <v>2099</v>
      </c>
      <c r="D5255" s="0" t="n">
        <v>6</v>
      </c>
      <c r="E5255" s="6" t="n">
        <v>40862.4256944444</v>
      </c>
      <c r="F5255" s="0" t="n">
        <v>2.95</v>
      </c>
      <c r="G5255" s="0" t="n">
        <v>12569</v>
      </c>
      <c r="H5255" s="0" t="s">
        <v>33</v>
      </c>
      <c r="I5255" s="7" t="n">
        <f aca="false">IF(AND(LEFT(A5255,1)&lt;&gt;"C",D5255&gt;0,F5255&gt;0),1,0)</f>
        <v>1</v>
      </c>
      <c r="J5255" s="7" t="n">
        <f aca="false">IF(I5255=1,D5255*F5255,0)</f>
        <v>17.7</v>
      </c>
      <c r="K5255" s="7" t="n">
        <f aca="false">YEAR(E5255)*100+MONTH(E5255)</f>
        <v>201111</v>
      </c>
      <c r="L5255" s="7" t="n">
        <f aca="false">IF(AND(A5255&lt;&gt;A5254,LEFT(A5255,1)&lt;&gt;"C"),1,0)</f>
        <v>0</v>
      </c>
    </row>
    <row r="5256" customFormat="false" ht="15" hidden="false" customHeight="false" outlineLevel="0" collapsed="false">
      <c r="A5256" s="0" t="s">
        <v>3016</v>
      </c>
      <c r="B5256" s="0" t="s">
        <v>84</v>
      </c>
      <c r="C5256" s="0" t="s">
        <v>85</v>
      </c>
      <c r="D5256" s="0" t="n">
        <v>1</v>
      </c>
      <c r="E5256" s="6" t="n">
        <v>40862.4256944444</v>
      </c>
      <c r="F5256" s="0" t="n">
        <v>18</v>
      </c>
      <c r="G5256" s="0" t="n">
        <v>12569</v>
      </c>
      <c r="H5256" s="0" t="s">
        <v>33</v>
      </c>
      <c r="I5256" s="7" t="n">
        <f aca="false">IF(AND(LEFT(A5256,1)&lt;&gt;"C",D5256&gt;0,F5256&gt;0),1,0)</f>
        <v>1</v>
      </c>
      <c r="J5256" s="7" t="n">
        <f aca="false">IF(I5256=1,D5256*F5256,0)</f>
        <v>18</v>
      </c>
      <c r="K5256" s="7" t="n">
        <f aca="false">YEAR(E5256)*100+MONTH(E5256)</f>
        <v>201111</v>
      </c>
      <c r="L5256" s="7" t="n">
        <f aca="false">IF(AND(A5256&lt;&gt;A5255,LEFT(A5256,1)&lt;&gt;"C"),1,0)</f>
        <v>0</v>
      </c>
    </row>
    <row r="5257" customFormat="false" ht="15" hidden="false" customHeight="false" outlineLevel="0" collapsed="false">
      <c r="A5257" s="0" t="s">
        <v>3019</v>
      </c>
      <c r="B5257" s="0" t="s">
        <v>2060</v>
      </c>
      <c r="C5257" s="0" t="s">
        <v>2061</v>
      </c>
      <c r="D5257" s="0" t="n">
        <v>24</v>
      </c>
      <c r="E5257" s="6" t="n">
        <v>40862.4513888889</v>
      </c>
      <c r="F5257" s="0" t="n">
        <v>0.42</v>
      </c>
      <c r="G5257" s="0" t="n">
        <v>12684</v>
      </c>
      <c r="H5257" s="0" t="s">
        <v>43</v>
      </c>
      <c r="I5257" s="7" t="n">
        <f aca="false">IF(AND(LEFT(A5257,1)&lt;&gt;"C",D5257&gt;0,F5257&gt;0),1,0)</f>
        <v>1</v>
      </c>
      <c r="J5257" s="7" t="n">
        <f aca="false">IF(I5257=1,D5257*F5257,0)</f>
        <v>10.08</v>
      </c>
      <c r="K5257" s="7" t="n">
        <f aca="false">YEAR(E5257)*100+MONTH(E5257)</f>
        <v>201111</v>
      </c>
      <c r="L5257" s="7" t="n">
        <f aca="false">IF(AND(A5257&lt;&gt;A5256,LEFT(A5257,1)&lt;&gt;"C"),1,0)</f>
        <v>1</v>
      </c>
    </row>
    <row r="5258" customFormat="false" ht="15" hidden="false" customHeight="false" outlineLevel="0" collapsed="false">
      <c r="A5258" s="0" t="s">
        <v>3019</v>
      </c>
      <c r="B5258" s="0" t="s">
        <v>263</v>
      </c>
      <c r="C5258" s="0" t="s">
        <v>264</v>
      </c>
      <c r="D5258" s="0" t="n">
        <v>24</v>
      </c>
      <c r="E5258" s="6" t="n">
        <v>40862.4513888889</v>
      </c>
      <c r="F5258" s="0" t="n">
        <v>0.42</v>
      </c>
      <c r="G5258" s="0" t="n">
        <v>12684</v>
      </c>
      <c r="H5258" s="0" t="s">
        <v>43</v>
      </c>
      <c r="I5258" s="7" t="n">
        <f aca="false">IF(AND(LEFT(A5258,1)&lt;&gt;"C",D5258&gt;0,F5258&gt;0),1,0)</f>
        <v>1</v>
      </c>
      <c r="J5258" s="7" t="n">
        <f aca="false">IF(I5258=1,D5258*F5258,0)</f>
        <v>10.08</v>
      </c>
      <c r="K5258" s="7" t="n">
        <f aca="false">YEAR(E5258)*100+MONTH(E5258)</f>
        <v>201111</v>
      </c>
      <c r="L5258" s="7" t="n">
        <f aca="false">IF(AND(A5258&lt;&gt;A5257,LEFT(A5258,1)&lt;&gt;"C"),1,0)</f>
        <v>0</v>
      </c>
    </row>
    <row r="5259" customFormat="false" ht="15" hidden="false" customHeight="false" outlineLevel="0" collapsed="false">
      <c r="A5259" s="0" t="s">
        <v>3019</v>
      </c>
      <c r="B5259" s="0" t="s">
        <v>794</v>
      </c>
      <c r="C5259" s="0" t="s">
        <v>795</v>
      </c>
      <c r="D5259" s="0" t="n">
        <v>10</v>
      </c>
      <c r="E5259" s="6" t="n">
        <v>40862.4513888889</v>
      </c>
      <c r="F5259" s="0" t="n">
        <v>0.85</v>
      </c>
      <c r="G5259" s="0" t="n">
        <v>12684</v>
      </c>
      <c r="H5259" s="0" t="s">
        <v>43</v>
      </c>
      <c r="I5259" s="7" t="n">
        <f aca="false">IF(AND(LEFT(A5259,1)&lt;&gt;"C",D5259&gt;0,F5259&gt;0),1,0)</f>
        <v>1</v>
      </c>
      <c r="J5259" s="7" t="n">
        <f aca="false">IF(I5259=1,D5259*F5259,0)</f>
        <v>8.5</v>
      </c>
      <c r="K5259" s="7" t="n">
        <f aca="false">YEAR(E5259)*100+MONTH(E5259)</f>
        <v>201111</v>
      </c>
      <c r="L5259" s="7" t="n">
        <f aca="false">IF(AND(A5259&lt;&gt;A5258,LEFT(A5259,1)&lt;&gt;"C"),1,0)</f>
        <v>0</v>
      </c>
    </row>
    <row r="5260" customFormat="false" ht="15" hidden="false" customHeight="false" outlineLevel="0" collapsed="false">
      <c r="A5260" s="0" t="s">
        <v>3019</v>
      </c>
      <c r="B5260" s="0" t="s">
        <v>168</v>
      </c>
      <c r="C5260" s="0" t="s">
        <v>169</v>
      </c>
      <c r="D5260" s="0" t="n">
        <v>10</v>
      </c>
      <c r="E5260" s="6" t="n">
        <v>40862.4513888889</v>
      </c>
      <c r="F5260" s="0" t="n">
        <v>0.85</v>
      </c>
      <c r="G5260" s="0" t="n">
        <v>12684</v>
      </c>
      <c r="H5260" s="0" t="s">
        <v>43</v>
      </c>
      <c r="I5260" s="7" t="n">
        <f aca="false">IF(AND(LEFT(A5260,1)&lt;&gt;"C",D5260&gt;0,F5260&gt;0),1,0)</f>
        <v>1</v>
      </c>
      <c r="J5260" s="7" t="n">
        <f aca="false">IF(I5260=1,D5260*F5260,0)</f>
        <v>8.5</v>
      </c>
      <c r="K5260" s="7" t="n">
        <f aca="false">YEAR(E5260)*100+MONTH(E5260)</f>
        <v>201111</v>
      </c>
      <c r="L5260" s="7" t="n">
        <f aca="false">IF(AND(A5260&lt;&gt;A5259,LEFT(A5260,1)&lt;&gt;"C"),1,0)</f>
        <v>0</v>
      </c>
    </row>
    <row r="5261" customFormat="false" ht="15" hidden="false" customHeight="false" outlineLevel="0" collapsed="false">
      <c r="A5261" s="0" t="s">
        <v>3019</v>
      </c>
      <c r="B5261" s="0" t="s">
        <v>339</v>
      </c>
      <c r="C5261" s="0" t="s">
        <v>340</v>
      </c>
      <c r="D5261" s="0" t="n">
        <v>8</v>
      </c>
      <c r="E5261" s="6" t="n">
        <v>40862.4513888889</v>
      </c>
      <c r="F5261" s="0" t="n">
        <v>1.95</v>
      </c>
      <c r="G5261" s="0" t="n">
        <v>12684</v>
      </c>
      <c r="H5261" s="0" t="s">
        <v>43</v>
      </c>
      <c r="I5261" s="7" t="n">
        <f aca="false">IF(AND(LEFT(A5261,1)&lt;&gt;"C",D5261&gt;0,F5261&gt;0),1,0)</f>
        <v>1</v>
      </c>
      <c r="J5261" s="7" t="n">
        <f aca="false">IF(I5261=1,D5261*F5261,0)</f>
        <v>15.6</v>
      </c>
      <c r="K5261" s="7" t="n">
        <f aca="false">YEAR(E5261)*100+MONTH(E5261)</f>
        <v>201111</v>
      </c>
      <c r="L5261" s="7" t="n">
        <f aca="false">IF(AND(A5261&lt;&gt;A5260,LEFT(A5261,1)&lt;&gt;"C"),1,0)</f>
        <v>0</v>
      </c>
    </row>
    <row r="5262" customFormat="false" ht="15" hidden="false" customHeight="false" outlineLevel="0" collapsed="false">
      <c r="A5262" s="0" t="s">
        <v>3019</v>
      </c>
      <c r="B5262" s="0" t="s">
        <v>467</v>
      </c>
      <c r="C5262" s="0" t="s">
        <v>468</v>
      </c>
      <c r="D5262" s="0" t="n">
        <v>8</v>
      </c>
      <c r="E5262" s="6" t="n">
        <v>40862.4513888889</v>
      </c>
      <c r="F5262" s="0" t="n">
        <v>1.95</v>
      </c>
      <c r="G5262" s="0" t="n">
        <v>12684</v>
      </c>
      <c r="H5262" s="0" t="s">
        <v>43</v>
      </c>
      <c r="I5262" s="7" t="n">
        <f aca="false">IF(AND(LEFT(A5262,1)&lt;&gt;"C",D5262&gt;0,F5262&gt;0),1,0)</f>
        <v>1</v>
      </c>
      <c r="J5262" s="7" t="n">
        <f aca="false">IF(I5262=1,D5262*F5262,0)</f>
        <v>15.6</v>
      </c>
      <c r="K5262" s="7" t="n">
        <f aca="false">YEAR(E5262)*100+MONTH(E5262)</f>
        <v>201111</v>
      </c>
      <c r="L5262" s="7" t="n">
        <f aca="false">IF(AND(A5262&lt;&gt;A5261,LEFT(A5262,1)&lt;&gt;"C"),1,0)</f>
        <v>0</v>
      </c>
    </row>
    <row r="5263" customFormat="false" ht="15" hidden="false" customHeight="false" outlineLevel="0" collapsed="false">
      <c r="A5263" s="0" t="s">
        <v>3019</v>
      </c>
      <c r="B5263" s="0" t="s">
        <v>1210</v>
      </c>
      <c r="C5263" s="0" t="s">
        <v>1211</v>
      </c>
      <c r="D5263" s="0" t="n">
        <v>10</v>
      </c>
      <c r="E5263" s="6" t="n">
        <v>40862.4513888889</v>
      </c>
      <c r="F5263" s="0" t="n">
        <v>1.65</v>
      </c>
      <c r="G5263" s="0" t="n">
        <v>12684</v>
      </c>
      <c r="H5263" s="0" t="s">
        <v>43</v>
      </c>
      <c r="I5263" s="7" t="n">
        <f aca="false">IF(AND(LEFT(A5263,1)&lt;&gt;"C",D5263&gt;0,F5263&gt;0),1,0)</f>
        <v>1</v>
      </c>
      <c r="J5263" s="7" t="n">
        <f aca="false">IF(I5263=1,D5263*F5263,0)</f>
        <v>16.5</v>
      </c>
      <c r="K5263" s="7" t="n">
        <f aca="false">YEAR(E5263)*100+MONTH(E5263)</f>
        <v>201111</v>
      </c>
      <c r="L5263" s="7" t="n">
        <f aca="false">IF(AND(A5263&lt;&gt;A5262,LEFT(A5263,1)&lt;&gt;"C"),1,0)</f>
        <v>0</v>
      </c>
    </row>
    <row r="5264" customFormat="false" ht="15" hidden="false" customHeight="false" outlineLevel="0" collapsed="false">
      <c r="A5264" s="0" t="s">
        <v>3019</v>
      </c>
      <c r="B5264" s="0" t="s">
        <v>70</v>
      </c>
      <c r="C5264" s="0" t="s">
        <v>71</v>
      </c>
      <c r="D5264" s="0" t="n">
        <v>10</v>
      </c>
      <c r="E5264" s="6" t="n">
        <v>40862.4513888889</v>
      </c>
      <c r="F5264" s="0" t="n">
        <v>1.65</v>
      </c>
      <c r="G5264" s="0" t="n">
        <v>12684</v>
      </c>
      <c r="H5264" s="0" t="s">
        <v>43</v>
      </c>
      <c r="I5264" s="7" t="n">
        <f aca="false">IF(AND(LEFT(A5264,1)&lt;&gt;"C",D5264&gt;0,F5264&gt;0),1,0)</f>
        <v>1</v>
      </c>
      <c r="J5264" s="7" t="n">
        <f aca="false">IF(I5264=1,D5264*F5264,0)</f>
        <v>16.5</v>
      </c>
      <c r="K5264" s="7" t="n">
        <f aca="false">YEAR(E5264)*100+MONTH(E5264)</f>
        <v>201111</v>
      </c>
      <c r="L5264" s="7" t="n">
        <f aca="false">IF(AND(A5264&lt;&gt;A5263,LEFT(A5264,1)&lt;&gt;"C"),1,0)</f>
        <v>0</v>
      </c>
    </row>
    <row r="5265" customFormat="false" ht="15" hidden="false" customHeight="false" outlineLevel="0" collapsed="false">
      <c r="A5265" s="0" t="s">
        <v>3019</v>
      </c>
      <c r="B5265" s="0" t="s">
        <v>56</v>
      </c>
      <c r="C5265" s="0" t="s">
        <v>57</v>
      </c>
      <c r="D5265" s="0" t="n">
        <v>10</v>
      </c>
      <c r="E5265" s="6" t="n">
        <v>40862.4513888889</v>
      </c>
      <c r="F5265" s="0" t="n">
        <v>1.65</v>
      </c>
      <c r="G5265" s="0" t="n">
        <v>12684</v>
      </c>
      <c r="H5265" s="0" t="s">
        <v>43</v>
      </c>
      <c r="I5265" s="7" t="n">
        <f aca="false">IF(AND(LEFT(A5265,1)&lt;&gt;"C",D5265&gt;0,F5265&gt;0),1,0)</f>
        <v>1</v>
      </c>
      <c r="J5265" s="7" t="n">
        <f aca="false">IF(I5265=1,D5265*F5265,0)</f>
        <v>16.5</v>
      </c>
      <c r="K5265" s="7" t="n">
        <f aca="false">YEAR(E5265)*100+MONTH(E5265)</f>
        <v>201111</v>
      </c>
      <c r="L5265" s="7" t="n">
        <f aca="false">IF(AND(A5265&lt;&gt;A5264,LEFT(A5265,1)&lt;&gt;"C"),1,0)</f>
        <v>0</v>
      </c>
    </row>
    <row r="5266" customFormat="false" ht="15" hidden="false" customHeight="false" outlineLevel="0" collapsed="false">
      <c r="A5266" s="0" t="s">
        <v>3019</v>
      </c>
      <c r="B5266" s="0" t="s">
        <v>771</v>
      </c>
      <c r="C5266" s="0" t="s">
        <v>772</v>
      </c>
      <c r="D5266" s="0" t="n">
        <v>24</v>
      </c>
      <c r="E5266" s="6" t="n">
        <v>40862.4513888889</v>
      </c>
      <c r="F5266" s="0" t="n">
        <v>0.55</v>
      </c>
      <c r="G5266" s="0" t="n">
        <v>12684</v>
      </c>
      <c r="H5266" s="0" t="s">
        <v>43</v>
      </c>
      <c r="I5266" s="7" t="n">
        <f aca="false">IF(AND(LEFT(A5266,1)&lt;&gt;"C",D5266&gt;0,F5266&gt;0),1,0)</f>
        <v>1</v>
      </c>
      <c r="J5266" s="7" t="n">
        <f aca="false">IF(I5266=1,D5266*F5266,0)</f>
        <v>13.2</v>
      </c>
      <c r="K5266" s="7" t="n">
        <f aca="false">YEAR(E5266)*100+MONTH(E5266)</f>
        <v>201111</v>
      </c>
      <c r="L5266" s="7" t="n">
        <f aca="false">IF(AND(A5266&lt;&gt;A5265,LEFT(A5266,1)&lt;&gt;"C"),1,0)</f>
        <v>0</v>
      </c>
    </row>
    <row r="5267" customFormat="false" ht="15" hidden="false" customHeight="false" outlineLevel="0" collapsed="false">
      <c r="A5267" s="0" t="s">
        <v>3019</v>
      </c>
      <c r="B5267" s="0" t="s">
        <v>966</v>
      </c>
      <c r="C5267" s="0" t="s">
        <v>967</v>
      </c>
      <c r="D5267" s="0" t="n">
        <v>24</v>
      </c>
      <c r="E5267" s="6" t="n">
        <v>40862.4513888889</v>
      </c>
      <c r="F5267" s="0" t="n">
        <v>0.55</v>
      </c>
      <c r="G5267" s="0" t="n">
        <v>12684</v>
      </c>
      <c r="H5267" s="0" t="s">
        <v>43</v>
      </c>
      <c r="I5267" s="7" t="n">
        <f aca="false">IF(AND(LEFT(A5267,1)&lt;&gt;"C",D5267&gt;0,F5267&gt;0),1,0)</f>
        <v>1</v>
      </c>
      <c r="J5267" s="7" t="n">
        <f aca="false">IF(I5267=1,D5267*F5267,0)</f>
        <v>13.2</v>
      </c>
      <c r="K5267" s="7" t="n">
        <f aca="false">YEAR(E5267)*100+MONTH(E5267)</f>
        <v>201111</v>
      </c>
      <c r="L5267" s="7" t="n">
        <f aca="false">IF(AND(A5267&lt;&gt;A5266,LEFT(A5267,1)&lt;&gt;"C"),1,0)</f>
        <v>0</v>
      </c>
    </row>
    <row r="5268" customFormat="false" ht="15" hidden="false" customHeight="false" outlineLevel="0" collapsed="false">
      <c r="A5268" s="0" t="s">
        <v>3019</v>
      </c>
      <c r="B5268" s="0" t="s">
        <v>2599</v>
      </c>
      <c r="C5268" s="0" t="s">
        <v>2600</v>
      </c>
      <c r="D5268" s="0" t="n">
        <v>24</v>
      </c>
      <c r="E5268" s="6" t="n">
        <v>40862.4513888889</v>
      </c>
      <c r="F5268" s="0" t="n">
        <v>0.55</v>
      </c>
      <c r="G5268" s="0" t="n">
        <v>12684</v>
      </c>
      <c r="H5268" s="0" t="s">
        <v>43</v>
      </c>
      <c r="I5268" s="7" t="n">
        <f aca="false">IF(AND(LEFT(A5268,1)&lt;&gt;"C",D5268&gt;0,F5268&gt;0),1,0)</f>
        <v>1</v>
      </c>
      <c r="J5268" s="7" t="n">
        <f aca="false">IF(I5268=1,D5268*F5268,0)</f>
        <v>13.2</v>
      </c>
      <c r="K5268" s="7" t="n">
        <f aca="false">YEAR(E5268)*100+MONTH(E5268)</f>
        <v>201111</v>
      </c>
      <c r="L5268" s="7" t="n">
        <f aca="false">IF(AND(A5268&lt;&gt;A5267,LEFT(A5268,1)&lt;&gt;"C"),1,0)</f>
        <v>0</v>
      </c>
    </row>
    <row r="5269" customFormat="false" ht="15" hidden="false" customHeight="false" outlineLevel="0" collapsed="false">
      <c r="A5269" s="0" t="s">
        <v>3019</v>
      </c>
      <c r="B5269" s="0" t="s">
        <v>1261</v>
      </c>
      <c r="C5269" s="0" t="s">
        <v>1262</v>
      </c>
      <c r="D5269" s="0" t="n">
        <v>24</v>
      </c>
      <c r="E5269" s="6" t="n">
        <v>40862.4513888889</v>
      </c>
      <c r="F5269" s="0" t="n">
        <v>0.55</v>
      </c>
      <c r="G5269" s="0" t="n">
        <v>12684</v>
      </c>
      <c r="H5269" s="0" t="s">
        <v>43</v>
      </c>
      <c r="I5269" s="7" t="n">
        <f aca="false">IF(AND(LEFT(A5269,1)&lt;&gt;"C",D5269&gt;0,F5269&gt;0),1,0)</f>
        <v>1</v>
      </c>
      <c r="J5269" s="7" t="n">
        <f aca="false">IF(I5269=1,D5269*F5269,0)</f>
        <v>13.2</v>
      </c>
      <c r="K5269" s="7" t="n">
        <f aca="false">YEAR(E5269)*100+MONTH(E5269)</f>
        <v>201111</v>
      </c>
      <c r="L5269" s="7" t="n">
        <f aca="false">IF(AND(A5269&lt;&gt;A5268,LEFT(A5269,1)&lt;&gt;"C"),1,0)</f>
        <v>0</v>
      </c>
    </row>
    <row r="5270" customFormat="false" ht="15" hidden="false" customHeight="false" outlineLevel="0" collapsed="false">
      <c r="A5270" s="0" t="s">
        <v>3019</v>
      </c>
      <c r="B5270" s="0" t="s">
        <v>1933</v>
      </c>
      <c r="C5270" s="0" t="s">
        <v>1934</v>
      </c>
      <c r="D5270" s="0" t="n">
        <v>12</v>
      </c>
      <c r="E5270" s="6" t="n">
        <v>40862.4513888889</v>
      </c>
      <c r="F5270" s="0" t="n">
        <v>1.65</v>
      </c>
      <c r="G5270" s="0" t="n">
        <v>12684</v>
      </c>
      <c r="H5270" s="0" t="s">
        <v>43</v>
      </c>
      <c r="I5270" s="7" t="n">
        <f aca="false">IF(AND(LEFT(A5270,1)&lt;&gt;"C",D5270&gt;0,F5270&gt;0),1,0)</f>
        <v>1</v>
      </c>
      <c r="J5270" s="7" t="n">
        <f aca="false">IF(I5270=1,D5270*F5270,0)</f>
        <v>19.8</v>
      </c>
      <c r="K5270" s="7" t="n">
        <f aca="false">YEAR(E5270)*100+MONTH(E5270)</f>
        <v>201111</v>
      </c>
      <c r="L5270" s="7" t="n">
        <f aca="false">IF(AND(A5270&lt;&gt;A5269,LEFT(A5270,1)&lt;&gt;"C"),1,0)</f>
        <v>0</v>
      </c>
    </row>
    <row r="5271" customFormat="false" ht="15" hidden="false" customHeight="false" outlineLevel="0" collapsed="false">
      <c r="A5271" s="0" t="s">
        <v>3019</v>
      </c>
      <c r="B5271" s="0" t="s">
        <v>333</v>
      </c>
      <c r="C5271" s="0" t="s">
        <v>334</v>
      </c>
      <c r="D5271" s="0" t="n">
        <v>12</v>
      </c>
      <c r="E5271" s="6" t="n">
        <v>40862.4513888889</v>
      </c>
      <c r="F5271" s="0" t="n">
        <v>1.65</v>
      </c>
      <c r="G5271" s="0" t="n">
        <v>12684</v>
      </c>
      <c r="H5271" s="0" t="s">
        <v>43</v>
      </c>
      <c r="I5271" s="7" t="n">
        <f aca="false">IF(AND(LEFT(A5271,1)&lt;&gt;"C",D5271&gt;0,F5271&gt;0),1,0)</f>
        <v>1</v>
      </c>
      <c r="J5271" s="7" t="n">
        <f aca="false">IF(I5271=1,D5271*F5271,0)</f>
        <v>19.8</v>
      </c>
      <c r="K5271" s="7" t="n">
        <f aca="false">YEAR(E5271)*100+MONTH(E5271)</f>
        <v>201111</v>
      </c>
      <c r="L5271" s="7" t="n">
        <f aca="false">IF(AND(A5271&lt;&gt;A5270,LEFT(A5271,1)&lt;&gt;"C"),1,0)</f>
        <v>0</v>
      </c>
    </row>
    <row r="5272" customFormat="false" ht="15" hidden="false" customHeight="false" outlineLevel="0" collapsed="false">
      <c r="A5272" s="0" t="s">
        <v>3019</v>
      </c>
      <c r="B5272" s="0" t="s">
        <v>52</v>
      </c>
      <c r="C5272" s="0" t="s">
        <v>53</v>
      </c>
      <c r="D5272" s="0" t="n">
        <v>12</v>
      </c>
      <c r="E5272" s="6" t="n">
        <v>40862.4513888889</v>
      </c>
      <c r="F5272" s="0" t="n">
        <v>1.95</v>
      </c>
      <c r="G5272" s="0" t="n">
        <v>12684</v>
      </c>
      <c r="H5272" s="0" t="s">
        <v>43</v>
      </c>
      <c r="I5272" s="7" t="n">
        <f aca="false">IF(AND(LEFT(A5272,1)&lt;&gt;"C",D5272&gt;0,F5272&gt;0),1,0)</f>
        <v>1</v>
      </c>
      <c r="J5272" s="7" t="n">
        <f aca="false">IF(I5272=1,D5272*F5272,0)</f>
        <v>23.4</v>
      </c>
      <c r="K5272" s="7" t="n">
        <f aca="false">YEAR(E5272)*100+MONTH(E5272)</f>
        <v>201111</v>
      </c>
      <c r="L5272" s="7" t="n">
        <f aca="false">IF(AND(A5272&lt;&gt;A5271,LEFT(A5272,1)&lt;&gt;"C"),1,0)</f>
        <v>0</v>
      </c>
    </row>
    <row r="5273" customFormat="false" ht="15" hidden="false" customHeight="false" outlineLevel="0" collapsed="false">
      <c r="A5273" s="0" t="s">
        <v>3019</v>
      </c>
      <c r="B5273" s="0" t="s">
        <v>533</v>
      </c>
      <c r="C5273" s="0" t="s">
        <v>534</v>
      </c>
      <c r="D5273" s="0" t="n">
        <v>16</v>
      </c>
      <c r="E5273" s="6" t="n">
        <v>40862.4513888889</v>
      </c>
      <c r="F5273" s="0" t="n">
        <v>1.25</v>
      </c>
      <c r="G5273" s="0" t="n">
        <v>12684</v>
      </c>
      <c r="H5273" s="0" t="s">
        <v>43</v>
      </c>
      <c r="I5273" s="7" t="n">
        <f aca="false">IF(AND(LEFT(A5273,1)&lt;&gt;"C",D5273&gt;0,F5273&gt;0),1,0)</f>
        <v>1</v>
      </c>
      <c r="J5273" s="7" t="n">
        <f aca="false">IF(I5273=1,D5273*F5273,0)</f>
        <v>20</v>
      </c>
      <c r="K5273" s="7" t="n">
        <f aca="false">YEAR(E5273)*100+MONTH(E5273)</f>
        <v>201111</v>
      </c>
      <c r="L5273" s="7" t="n">
        <f aca="false">IF(AND(A5273&lt;&gt;A5272,LEFT(A5273,1)&lt;&gt;"C"),1,0)</f>
        <v>0</v>
      </c>
    </row>
    <row r="5274" customFormat="false" ht="15" hidden="false" customHeight="false" outlineLevel="0" collapsed="false">
      <c r="A5274" s="0" t="s">
        <v>3019</v>
      </c>
      <c r="B5274" s="0" t="s">
        <v>641</v>
      </c>
      <c r="C5274" s="0" t="s">
        <v>642</v>
      </c>
      <c r="D5274" s="0" t="n">
        <v>12</v>
      </c>
      <c r="E5274" s="6" t="n">
        <v>40862.4513888889</v>
      </c>
      <c r="F5274" s="0" t="n">
        <v>1.65</v>
      </c>
      <c r="G5274" s="0" t="n">
        <v>12684</v>
      </c>
      <c r="H5274" s="0" t="s">
        <v>43</v>
      </c>
      <c r="I5274" s="7" t="n">
        <f aca="false">IF(AND(LEFT(A5274,1)&lt;&gt;"C",D5274&gt;0,F5274&gt;0),1,0)</f>
        <v>1</v>
      </c>
      <c r="J5274" s="7" t="n">
        <f aca="false">IF(I5274=1,D5274*F5274,0)</f>
        <v>19.8</v>
      </c>
      <c r="K5274" s="7" t="n">
        <f aca="false">YEAR(E5274)*100+MONTH(E5274)</f>
        <v>201111</v>
      </c>
      <c r="L5274" s="7" t="n">
        <f aca="false">IF(AND(A5274&lt;&gt;A5273,LEFT(A5274,1)&lt;&gt;"C"),1,0)</f>
        <v>0</v>
      </c>
    </row>
    <row r="5275" customFormat="false" ht="15" hidden="false" customHeight="false" outlineLevel="0" collapsed="false">
      <c r="A5275" s="0" t="s">
        <v>3019</v>
      </c>
      <c r="B5275" s="0" t="s">
        <v>541</v>
      </c>
      <c r="C5275" s="0" t="s">
        <v>542</v>
      </c>
      <c r="D5275" s="0" t="n">
        <v>24</v>
      </c>
      <c r="E5275" s="6" t="n">
        <v>40862.4513888889</v>
      </c>
      <c r="F5275" s="0" t="n">
        <v>0.42</v>
      </c>
      <c r="G5275" s="0" t="n">
        <v>12684</v>
      </c>
      <c r="H5275" s="0" t="s">
        <v>43</v>
      </c>
      <c r="I5275" s="7" t="n">
        <f aca="false">IF(AND(LEFT(A5275,1)&lt;&gt;"C",D5275&gt;0,F5275&gt;0),1,0)</f>
        <v>1</v>
      </c>
      <c r="J5275" s="7" t="n">
        <f aca="false">IF(I5275=1,D5275*F5275,0)</f>
        <v>10.08</v>
      </c>
      <c r="K5275" s="7" t="n">
        <f aca="false">YEAR(E5275)*100+MONTH(E5275)</f>
        <v>201111</v>
      </c>
      <c r="L5275" s="7" t="n">
        <f aca="false">IF(AND(A5275&lt;&gt;A5274,LEFT(A5275,1)&lt;&gt;"C"),1,0)</f>
        <v>0</v>
      </c>
    </row>
    <row r="5276" customFormat="false" ht="15" hidden="false" customHeight="false" outlineLevel="0" collapsed="false">
      <c r="A5276" s="0" t="s">
        <v>3019</v>
      </c>
      <c r="B5276" s="0" t="s">
        <v>539</v>
      </c>
      <c r="C5276" s="0" t="s">
        <v>540</v>
      </c>
      <c r="D5276" s="0" t="n">
        <v>24</v>
      </c>
      <c r="E5276" s="6" t="n">
        <v>40862.4513888889</v>
      </c>
      <c r="F5276" s="0" t="n">
        <v>0.42</v>
      </c>
      <c r="G5276" s="0" t="n">
        <v>12684</v>
      </c>
      <c r="H5276" s="0" t="s">
        <v>43</v>
      </c>
      <c r="I5276" s="7" t="n">
        <f aca="false">IF(AND(LEFT(A5276,1)&lt;&gt;"C",D5276&gt;0,F5276&gt;0),1,0)</f>
        <v>1</v>
      </c>
      <c r="J5276" s="7" t="n">
        <f aca="false">IF(I5276=1,D5276*F5276,0)</f>
        <v>10.08</v>
      </c>
      <c r="K5276" s="7" t="n">
        <f aca="false">YEAR(E5276)*100+MONTH(E5276)</f>
        <v>201111</v>
      </c>
      <c r="L5276" s="7" t="n">
        <f aca="false">IF(AND(A5276&lt;&gt;A5275,LEFT(A5276,1)&lt;&gt;"C"),1,0)</f>
        <v>0</v>
      </c>
    </row>
    <row r="5277" customFormat="false" ht="15" hidden="false" customHeight="false" outlineLevel="0" collapsed="false">
      <c r="A5277" s="0" t="s">
        <v>3019</v>
      </c>
      <c r="B5277" s="0" t="s">
        <v>1436</v>
      </c>
      <c r="C5277" s="0" t="s">
        <v>1437</v>
      </c>
      <c r="D5277" s="0" t="n">
        <v>3</v>
      </c>
      <c r="E5277" s="6" t="n">
        <v>40862.4513888889</v>
      </c>
      <c r="F5277" s="0" t="n">
        <v>4.95</v>
      </c>
      <c r="G5277" s="0" t="n">
        <v>12684</v>
      </c>
      <c r="H5277" s="0" t="s">
        <v>43</v>
      </c>
      <c r="I5277" s="7" t="n">
        <f aca="false">IF(AND(LEFT(A5277,1)&lt;&gt;"C",D5277&gt;0,F5277&gt;0),1,0)</f>
        <v>1</v>
      </c>
      <c r="J5277" s="7" t="n">
        <f aca="false">IF(I5277=1,D5277*F5277,0)</f>
        <v>14.85</v>
      </c>
      <c r="K5277" s="7" t="n">
        <f aca="false">YEAR(E5277)*100+MONTH(E5277)</f>
        <v>201111</v>
      </c>
      <c r="L5277" s="7" t="n">
        <f aca="false">IF(AND(A5277&lt;&gt;A5276,LEFT(A5277,1)&lt;&gt;"C"),1,0)</f>
        <v>0</v>
      </c>
    </row>
    <row r="5278" customFormat="false" ht="15" hidden="false" customHeight="false" outlineLevel="0" collapsed="false">
      <c r="A5278" s="0" t="s">
        <v>3019</v>
      </c>
      <c r="B5278" s="0" t="s">
        <v>2867</v>
      </c>
      <c r="C5278" s="0" t="s">
        <v>2868</v>
      </c>
      <c r="D5278" s="0" t="n">
        <v>24</v>
      </c>
      <c r="E5278" s="6" t="n">
        <v>40862.4513888889</v>
      </c>
      <c r="F5278" s="0" t="n">
        <v>0.42</v>
      </c>
      <c r="G5278" s="0" t="n">
        <v>12684</v>
      </c>
      <c r="H5278" s="0" t="s">
        <v>43</v>
      </c>
      <c r="I5278" s="7" t="n">
        <f aca="false">IF(AND(LEFT(A5278,1)&lt;&gt;"C",D5278&gt;0,F5278&gt;0),1,0)</f>
        <v>1</v>
      </c>
      <c r="J5278" s="7" t="n">
        <f aca="false">IF(I5278=1,D5278*F5278,0)</f>
        <v>10.08</v>
      </c>
      <c r="K5278" s="7" t="n">
        <f aca="false">YEAR(E5278)*100+MONTH(E5278)</f>
        <v>201111</v>
      </c>
      <c r="L5278" s="7" t="n">
        <f aca="false">IF(AND(A5278&lt;&gt;A5277,LEFT(A5278,1)&lt;&gt;"C"),1,0)</f>
        <v>0</v>
      </c>
    </row>
    <row r="5279" customFormat="false" ht="15" hidden="false" customHeight="false" outlineLevel="0" collapsed="false">
      <c r="A5279" s="0" t="s">
        <v>3019</v>
      </c>
      <c r="B5279" s="0" t="s">
        <v>2042</v>
      </c>
      <c r="C5279" s="0" t="s">
        <v>2043</v>
      </c>
      <c r="D5279" s="0" t="n">
        <v>12</v>
      </c>
      <c r="E5279" s="6" t="n">
        <v>40862.4513888889</v>
      </c>
      <c r="F5279" s="0" t="n">
        <v>0.85</v>
      </c>
      <c r="G5279" s="0" t="n">
        <v>12684</v>
      </c>
      <c r="H5279" s="0" t="s">
        <v>43</v>
      </c>
      <c r="I5279" s="7" t="n">
        <f aca="false">IF(AND(LEFT(A5279,1)&lt;&gt;"C",D5279&gt;0,F5279&gt;0),1,0)</f>
        <v>1</v>
      </c>
      <c r="J5279" s="7" t="n">
        <f aca="false">IF(I5279=1,D5279*F5279,0)</f>
        <v>10.2</v>
      </c>
      <c r="K5279" s="7" t="n">
        <f aca="false">YEAR(E5279)*100+MONTH(E5279)</f>
        <v>201111</v>
      </c>
      <c r="L5279" s="7" t="n">
        <f aca="false">IF(AND(A5279&lt;&gt;A5278,LEFT(A5279,1)&lt;&gt;"C"),1,0)</f>
        <v>0</v>
      </c>
    </row>
    <row r="5280" customFormat="false" ht="15" hidden="false" customHeight="false" outlineLevel="0" collapsed="false">
      <c r="A5280" s="0" t="s">
        <v>3019</v>
      </c>
      <c r="B5280" s="0" t="s">
        <v>1501</v>
      </c>
      <c r="C5280" s="0" t="s">
        <v>1502</v>
      </c>
      <c r="D5280" s="0" t="n">
        <v>16</v>
      </c>
      <c r="E5280" s="6" t="n">
        <v>40862.4513888889</v>
      </c>
      <c r="F5280" s="0" t="n">
        <v>0.65</v>
      </c>
      <c r="G5280" s="0" t="n">
        <v>12684</v>
      </c>
      <c r="H5280" s="0" t="s">
        <v>43</v>
      </c>
      <c r="I5280" s="7" t="n">
        <f aca="false">IF(AND(LEFT(A5280,1)&lt;&gt;"C",D5280&gt;0,F5280&gt;0),1,0)</f>
        <v>1</v>
      </c>
      <c r="J5280" s="7" t="n">
        <f aca="false">IF(I5280=1,D5280*F5280,0)</f>
        <v>10.4</v>
      </c>
      <c r="K5280" s="7" t="n">
        <f aca="false">YEAR(E5280)*100+MONTH(E5280)</f>
        <v>201111</v>
      </c>
      <c r="L5280" s="7" t="n">
        <f aca="false">IF(AND(A5280&lt;&gt;A5279,LEFT(A5280,1)&lt;&gt;"C"),1,0)</f>
        <v>0</v>
      </c>
    </row>
    <row r="5281" customFormat="false" ht="15" hidden="false" customHeight="false" outlineLevel="0" collapsed="false">
      <c r="A5281" s="0" t="s">
        <v>3019</v>
      </c>
      <c r="B5281" s="0" t="s">
        <v>871</v>
      </c>
      <c r="C5281" s="0" t="s">
        <v>872</v>
      </c>
      <c r="D5281" s="0" t="n">
        <v>12</v>
      </c>
      <c r="E5281" s="6" t="n">
        <v>40862.4513888889</v>
      </c>
      <c r="F5281" s="0" t="n">
        <v>0.83</v>
      </c>
      <c r="G5281" s="0" t="n">
        <v>12684</v>
      </c>
      <c r="H5281" s="0" t="s">
        <v>43</v>
      </c>
      <c r="I5281" s="7" t="n">
        <f aca="false">IF(AND(LEFT(A5281,1)&lt;&gt;"C",D5281&gt;0,F5281&gt;0),1,0)</f>
        <v>1</v>
      </c>
      <c r="J5281" s="7" t="n">
        <f aca="false">IF(I5281=1,D5281*F5281,0)</f>
        <v>9.96</v>
      </c>
      <c r="K5281" s="7" t="n">
        <f aca="false">YEAR(E5281)*100+MONTH(E5281)</f>
        <v>201111</v>
      </c>
      <c r="L5281" s="7" t="n">
        <f aca="false">IF(AND(A5281&lt;&gt;A5280,LEFT(A5281,1)&lt;&gt;"C"),1,0)</f>
        <v>0</v>
      </c>
    </row>
    <row r="5282" customFormat="false" ht="15" hidden="false" customHeight="false" outlineLevel="0" collapsed="false">
      <c r="A5282" s="0" t="s">
        <v>3019</v>
      </c>
      <c r="B5282" s="0" t="s">
        <v>629</v>
      </c>
      <c r="C5282" s="0" t="s">
        <v>630</v>
      </c>
      <c r="D5282" s="0" t="n">
        <v>2</v>
      </c>
      <c r="E5282" s="6" t="n">
        <v>40862.4513888889</v>
      </c>
      <c r="F5282" s="0" t="n">
        <v>8.5</v>
      </c>
      <c r="G5282" s="0" t="n">
        <v>12684</v>
      </c>
      <c r="H5282" s="0" t="s">
        <v>43</v>
      </c>
      <c r="I5282" s="7" t="n">
        <f aca="false">IF(AND(LEFT(A5282,1)&lt;&gt;"C",D5282&gt;0,F5282&gt;0),1,0)</f>
        <v>1</v>
      </c>
      <c r="J5282" s="7" t="n">
        <f aca="false">IF(I5282=1,D5282*F5282,0)</f>
        <v>17</v>
      </c>
      <c r="K5282" s="7" t="n">
        <f aca="false">YEAR(E5282)*100+MONTH(E5282)</f>
        <v>201111</v>
      </c>
      <c r="L5282" s="7" t="n">
        <f aca="false">IF(AND(A5282&lt;&gt;A5281,LEFT(A5282,1)&lt;&gt;"C"),1,0)</f>
        <v>0</v>
      </c>
    </row>
    <row r="5283" customFormat="false" ht="15" hidden="false" customHeight="false" outlineLevel="0" collapsed="false">
      <c r="A5283" s="0" t="s">
        <v>3019</v>
      </c>
      <c r="B5283" s="0" t="s">
        <v>713</v>
      </c>
      <c r="C5283" s="0" t="s">
        <v>714</v>
      </c>
      <c r="D5283" s="0" t="n">
        <v>18</v>
      </c>
      <c r="E5283" s="6" t="n">
        <v>40862.4513888889</v>
      </c>
      <c r="F5283" s="0" t="n">
        <v>1.25</v>
      </c>
      <c r="G5283" s="0" t="n">
        <v>12684</v>
      </c>
      <c r="H5283" s="0" t="s">
        <v>43</v>
      </c>
      <c r="I5283" s="7" t="n">
        <f aca="false">IF(AND(LEFT(A5283,1)&lt;&gt;"C",D5283&gt;0,F5283&gt;0),1,0)</f>
        <v>1</v>
      </c>
      <c r="J5283" s="7" t="n">
        <f aca="false">IF(I5283=1,D5283*F5283,0)</f>
        <v>22.5</v>
      </c>
      <c r="K5283" s="7" t="n">
        <f aca="false">YEAR(E5283)*100+MONTH(E5283)</f>
        <v>201111</v>
      </c>
      <c r="L5283" s="7" t="n">
        <f aca="false">IF(AND(A5283&lt;&gt;A5282,LEFT(A5283,1)&lt;&gt;"C"),1,0)</f>
        <v>0</v>
      </c>
    </row>
    <row r="5284" customFormat="false" ht="15" hidden="false" customHeight="false" outlineLevel="0" collapsed="false">
      <c r="A5284" s="0" t="s">
        <v>3019</v>
      </c>
      <c r="B5284" s="0" t="s">
        <v>2421</v>
      </c>
      <c r="C5284" s="0" t="s">
        <v>2422</v>
      </c>
      <c r="D5284" s="0" t="n">
        <v>18</v>
      </c>
      <c r="E5284" s="6" t="n">
        <v>40862.4513888889</v>
      </c>
      <c r="F5284" s="0" t="n">
        <v>1.25</v>
      </c>
      <c r="G5284" s="0" t="n">
        <v>12684</v>
      </c>
      <c r="H5284" s="0" t="s">
        <v>43</v>
      </c>
      <c r="I5284" s="7" t="n">
        <f aca="false">IF(AND(LEFT(A5284,1)&lt;&gt;"C",D5284&gt;0,F5284&gt;0),1,0)</f>
        <v>1</v>
      </c>
      <c r="J5284" s="7" t="n">
        <f aca="false">IF(I5284=1,D5284*F5284,0)</f>
        <v>22.5</v>
      </c>
      <c r="K5284" s="7" t="n">
        <f aca="false">YEAR(E5284)*100+MONTH(E5284)</f>
        <v>201111</v>
      </c>
      <c r="L5284" s="7" t="n">
        <f aca="false">IF(AND(A5284&lt;&gt;A5283,LEFT(A5284,1)&lt;&gt;"C"),1,0)</f>
        <v>0</v>
      </c>
    </row>
    <row r="5285" customFormat="false" ht="15" hidden="false" customHeight="false" outlineLevel="0" collapsed="false">
      <c r="A5285" s="0" t="s">
        <v>3019</v>
      </c>
      <c r="B5285" s="0" t="s">
        <v>1099</v>
      </c>
      <c r="C5285" s="0" t="s">
        <v>1100</v>
      </c>
      <c r="D5285" s="0" t="n">
        <v>12</v>
      </c>
      <c r="E5285" s="6" t="n">
        <v>40862.4513888889</v>
      </c>
      <c r="F5285" s="0" t="n">
        <v>2.49</v>
      </c>
      <c r="G5285" s="0" t="n">
        <v>12684</v>
      </c>
      <c r="H5285" s="0" t="s">
        <v>43</v>
      </c>
      <c r="I5285" s="7" t="n">
        <f aca="false">IF(AND(LEFT(A5285,1)&lt;&gt;"C",D5285&gt;0,F5285&gt;0),1,0)</f>
        <v>1</v>
      </c>
      <c r="J5285" s="7" t="n">
        <f aca="false">IF(I5285=1,D5285*F5285,0)</f>
        <v>29.88</v>
      </c>
      <c r="K5285" s="7" t="n">
        <f aca="false">YEAR(E5285)*100+MONTH(E5285)</f>
        <v>201111</v>
      </c>
      <c r="L5285" s="7" t="n">
        <f aca="false">IF(AND(A5285&lt;&gt;A5284,LEFT(A5285,1)&lt;&gt;"C"),1,0)</f>
        <v>0</v>
      </c>
    </row>
    <row r="5286" customFormat="false" ht="15" hidden="false" customHeight="false" outlineLevel="0" collapsed="false">
      <c r="A5286" s="0" t="s">
        <v>3019</v>
      </c>
      <c r="B5286" s="0" t="s">
        <v>84</v>
      </c>
      <c r="C5286" s="0" t="s">
        <v>85</v>
      </c>
      <c r="D5286" s="0" t="n">
        <v>2</v>
      </c>
      <c r="E5286" s="6" t="n">
        <v>40862.4513888889</v>
      </c>
      <c r="F5286" s="0" t="n">
        <v>18</v>
      </c>
      <c r="G5286" s="0" t="n">
        <v>12684</v>
      </c>
      <c r="H5286" s="0" t="s">
        <v>43</v>
      </c>
      <c r="I5286" s="7" t="n">
        <f aca="false">IF(AND(LEFT(A5286,1)&lt;&gt;"C",D5286&gt;0,F5286&gt;0),1,0)</f>
        <v>1</v>
      </c>
      <c r="J5286" s="7" t="n">
        <f aca="false">IF(I5286=1,D5286*F5286,0)</f>
        <v>36</v>
      </c>
      <c r="K5286" s="7" t="n">
        <f aca="false">YEAR(E5286)*100+MONTH(E5286)</f>
        <v>201111</v>
      </c>
      <c r="L5286" s="7" t="n">
        <f aca="false">IF(AND(A5286&lt;&gt;A5285,LEFT(A5286,1)&lt;&gt;"C"),1,0)</f>
        <v>0</v>
      </c>
    </row>
    <row r="5287" customFormat="false" ht="15" hidden="false" customHeight="false" outlineLevel="0" collapsed="false">
      <c r="A5287" s="0" t="s">
        <v>3020</v>
      </c>
      <c r="B5287" s="0" t="s">
        <v>3021</v>
      </c>
      <c r="C5287" s="0" t="s">
        <v>3022</v>
      </c>
      <c r="D5287" s="0" t="n">
        <v>12</v>
      </c>
      <c r="E5287" s="6" t="n">
        <v>40862.6541666667</v>
      </c>
      <c r="F5287" s="0" t="n">
        <v>1.25</v>
      </c>
      <c r="G5287" s="0" t="n">
        <v>12474</v>
      </c>
      <c r="H5287" s="0" t="s">
        <v>33</v>
      </c>
      <c r="I5287" s="7" t="n">
        <f aca="false">IF(AND(LEFT(A5287,1)&lt;&gt;"C",D5287&gt;0,F5287&gt;0),1,0)</f>
        <v>1</v>
      </c>
      <c r="J5287" s="7" t="n">
        <f aca="false">IF(I5287=1,D5287*F5287,0)</f>
        <v>15</v>
      </c>
      <c r="K5287" s="7" t="n">
        <f aca="false">YEAR(E5287)*100+MONTH(E5287)</f>
        <v>201111</v>
      </c>
      <c r="L5287" s="7" t="n">
        <f aca="false">IF(AND(A5287&lt;&gt;A5286,LEFT(A5287,1)&lt;&gt;"C"),1,0)</f>
        <v>1</v>
      </c>
    </row>
    <row r="5288" customFormat="false" ht="15" hidden="false" customHeight="false" outlineLevel="0" collapsed="false">
      <c r="A5288" s="0" t="s">
        <v>3020</v>
      </c>
      <c r="B5288" s="0" t="s">
        <v>2110</v>
      </c>
      <c r="C5288" s="0" t="s">
        <v>2111</v>
      </c>
      <c r="D5288" s="0" t="n">
        <v>24</v>
      </c>
      <c r="E5288" s="6" t="n">
        <v>40862.6541666667</v>
      </c>
      <c r="F5288" s="0" t="n">
        <v>0.42</v>
      </c>
      <c r="G5288" s="0" t="n">
        <v>12474</v>
      </c>
      <c r="H5288" s="0" t="s">
        <v>33</v>
      </c>
      <c r="I5288" s="7" t="n">
        <f aca="false">IF(AND(LEFT(A5288,1)&lt;&gt;"C",D5288&gt;0,F5288&gt;0),1,0)</f>
        <v>1</v>
      </c>
      <c r="J5288" s="7" t="n">
        <f aca="false">IF(I5288=1,D5288*F5288,0)</f>
        <v>10.08</v>
      </c>
      <c r="K5288" s="7" t="n">
        <f aca="false">YEAR(E5288)*100+MONTH(E5288)</f>
        <v>201111</v>
      </c>
      <c r="L5288" s="7" t="n">
        <f aca="false">IF(AND(A5288&lt;&gt;A5287,LEFT(A5288,1)&lt;&gt;"C"),1,0)</f>
        <v>0</v>
      </c>
    </row>
    <row r="5289" customFormat="false" ht="15" hidden="false" customHeight="false" outlineLevel="0" collapsed="false">
      <c r="A5289" s="0" t="s">
        <v>3020</v>
      </c>
      <c r="B5289" s="0" t="s">
        <v>981</v>
      </c>
      <c r="C5289" s="0" t="s">
        <v>982</v>
      </c>
      <c r="D5289" s="0" t="n">
        <v>24</v>
      </c>
      <c r="E5289" s="6" t="n">
        <v>40862.6541666667</v>
      </c>
      <c r="F5289" s="0" t="n">
        <v>0.42</v>
      </c>
      <c r="G5289" s="0" t="n">
        <v>12474</v>
      </c>
      <c r="H5289" s="0" t="s">
        <v>33</v>
      </c>
      <c r="I5289" s="7" t="n">
        <f aca="false">IF(AND(LEFT(A5289,1)&lt;&gt;"C",D5289&gt;0,F5289&gt;0),1,0)</f>
        <v>1</v>
      </c>
      <c r="J5289" s="7" t="n">
        <f aca="false">IF(I5289=1,D5289*F5289,0)</f>
        <v>10.08</v>
      </c>
      <c r="K5289" s="7" t="n">
        <f aca="false">YEAR(E5289)*100+MONTH(E5289)</f>
        <v>201111</v>
      </c>
      <c r="L5289" s="7" t="n">
        <f aca="false">IF(AND(A5289&lt;&gt;A5288,LEFT(A5289,1)&lt;&gt;"C"),1,0)</f>
        <v>0</v>
      </c>
    </row>
    <row r="5290" customFormat="false" ht="15" hidden="false" customHeight="false" outlineLevel="0" collapsed="false">
      <c r="A5290" s="0" t="s">
        <v>3020</v>
      </c>
      <c r="B5290" s="0" t="s">
        <v>979</v>
      </c>
      <c r="C5290" s="0" t="s">
        <v>980</v>
      </c>
      <c r="D5290" s="0" t="n">
        <v>24</v>
      </c>
      <c r="E5290" s="6" t="n">
        <v>40862.6541666667</v>
      </c>
      <c r="F5290" s="0" t="n">
        <v>0.42</v>
      </c>
      <c r="G5290" s="0" t="n">
        <v>12474</v>
      </c>
      <c r="H5290" s="0" t="s">
        <v>33</v>
      </c>
      <c r="I5290" s="7" t="n">
        <f aca="false">IF(AND(LEFT(A5290,1)&lt;&gt;"C",D5290&gt;0,F5290&gt;0),1,0)</f>
        <v>1</v>
      </c>
      <c r="J5290" s="7" t="n">
        <f aca="false">IF(I5290=1,D5290*F5290,0)</f>
        <v>10.08</v>
      </c>
      <c r="K5290" s="7" t="n">
        <f aca="false">YEAR(E5290)*100+MONTH(E5290)</f>
        <v>201111</v>
      </c>
      <c r="L5290" s="7" t="n">
        <f aca="false">IF(AND(A5290&lt;&gt;A5289,LEFT(A5290,1)&lt;&gt;"C"),1,0)</f>
        <v>0</v>
      </c>
    </row>
    <row r="5291" customFormat="false" ht="15" hidden="false" customHeight="false" outlineLevel="0" collapsed="false">
      <c r="A5291" s="0" t="s">
        <v>3020</v>
      </c>
      <c r="B5291" s="0" t="s">
        <v>2546</v>
      </c>
      <c r="C5291" s="0" t="s">
        <v>2547</v>
      </c>
      <c r="D5291" s="0" t="n">
        <v>6</v>
      </c>
      <c r="E5291" s="6" t="n">
        <v>40862.6541666667</v>
      </c>
      <c r="F5291" s="0" t="n">
        <v>2.95</v>
      </c>
      <c r="G5291" s="0" t="n">
        <v>12474</v>
      </c>
      <c r="H5291" s="0" t="s">
        <v>33</v>
      </c>
      <c r="I5291" s="7" t="n">
        <f aca="false">IF(AND(LEFT(A5291,1)&lt;&gt;"C",D5291&gt;0,F5291&gt;0),1,0)</f>
        <v>1</v>
      </c>
      <c r="J5291" s="7" t="n">
        <f aca="false">IF(I5291=1,D5291*F5291,0)</f>
        <v>17.7</v>
      </c>
      <c r="K5291" s="7" t="n">
        <f aca="false">YEAR(E5291)*100+MONTH(E5291)</f>
        <v>201111</v>
      </c>
      <c r="L5291" s="7" t="n">
        <f aca="false">IF(AND(A5291&lt;&gt;A5290,LEFT(A5291,1)&lt;&gt;"C"),1,0)</f>
        <v>0</v>
      </c>
    </row>
    <row r="5292" customFormat="false" ht="15" hidden="false" customHeight="false" outlineLevel="0" collapsed="false">
      <c r="A5292" s="0" t="s">
        <v>3020</v>
      </c>
      <c r="B5292" s="0" t="s">
        <v>711</v>
      </c>
      <c r="C5292" s="0" t="s">
        <v>712</v>
      </c>
      <c r="D5292" s="0" t="n">
        <v>12</v>
      </c>
      <c r="E5292" s="6" t="n">
        <v>40862.6541666667</v>
      </c>
      <c r="F5292" s="0" t="n">
        <v>1.45</v>
      </c>
      <c r="G5292" s="0" t="n">
        <v>12474</v>
      </c>
      <c r="H5292" s="0" t="s">
        <v>33</v>
      </c>
      <c r="I5292" s="7" t="n">
        <f aca="false">IF(AND(LEFT(A5292,1)&lt;&gt;"C",D5292&gt;0,F5292&gt;0),1,0)</f>
        <v>1</v>
      </c>
      <c r="J5292" s="7" t="n">
        <f aca="false">IF(I5292=1,D5292*F5292,0)</f>
        <v>17.4</v>
      </c>
      <c r="K5292" s="7" t="n">
        <f aca="false">YEAR(E5292)*100+MONTH(E5292)</f>
        <v>201111</v>
      </c>
      <c r="L5292" s="7" t="n">
        <f aca="false">IF(AND(A5292&lt;&gt;A5291,LEFT(A5292,1)&lt;&gt;"C"),1,0)</f>
        <v>0</v>
      </c>
    </row>
    <row r="5293" customFormat="false" ht="15" hidden="false" customHeight="false" outlineLevel="0" collapsed="false">
      <c r="A5293" s="0" t="s">
        <v>3020</v>
      </c>
      <c r="B5293" s="0" t="s">
        <v>1559</v>
      </c>
      <c r="C5293" s="0" t="s">
        <v>1560</v>
      </c>
      <c r="D5293" s="0" t="n">
        <v>18</v>
      </c>
      <c r="E5293" s="6" t="n">
        <v>40862.6541666667</v>
      </c>
      <c r="F5293" s="0" t="n">
        <v>2.1</v>
      </c>
      <c r="G5293" s="0" t="n">
        <v>12474</v>
      </c>
      <c r="H5293" s="0" t="s">
        <v>33</v>
      </c>
      <c r="I5293" s="7" t="n">
        <f aca="false">IF(AND(LEFT(A5293,1)&lt;&gt;"C",D5293&gt;0,F5293&gt;0),1,0)</f>
        <v>1</v>
      </c>
      <c r="J5293" s="7" t="n">
        <f aca="false">IF(I5293=1,D5293*F5293,0)</f>
        <v>37.8</v>
      </c>
      <c r="K5293" s="7" t="n">
        <f aca="false">YEAR(E5293)*100+MONTH(E5293)</f>
        <v>201111</v>
      </c>
      <c r="L5293" s="7" t="n">
        <f aca="false">IF(AND(A5293&lt;&gt;A5292,LEFT(A5293,1)&lt;&gt;"C"),1,0)</f>
        <v>0</v>
      </c>
    </row>
    <row r="5294" customFormat="false" ht="15" hidden="false" customHeight="false" outlineLevel="0" collapsed="false">
      <c r="A5294" s="0" t="s">
        <v>3020</v>
      </c>
      <c r="B5294" s="0" t="s">
        <v>707</v>
      </c>
      <c r="C5294" s="0" t="s">
        <v>708</v>
      </c>
      <c r="D5294" s="0" t="n">
        <v>12</v>
      </c>
      <c r="E5294" s="6" t="n">
        <v>40862.6541666667</v>
      </c>
      <c r="F5294" s="0" t="n">
        <v>0.85</v>
      </c>
      <c r="G5294" s="0" t="n">
        <v>12474</v>
      </c>
      <c r="H5294" s="0" t="s">
        <v>33</v>
      </c>
      <c r="I5294" s="7" t="n">
        <f aca="false">IF(AND(LEFT(A5294,1)&lt;&gt;"C",D5294&gt;0,F5294&gt;0),1,0)</f>
        <v>1</v>
      </c>
      <c r="J5294" s="7" t="n">
        <f aca="false">IF(I5294=1,D5294*F5294,0)</f>
        <v>10.2</v>
      </c>
      <c r="K5294" s="7" t="n">
        <f aca="false">YEAR(E5294)*100+MONTH(E5294)</f>
        <v>201111</v>
      </c>
      <c r="L5294" s="7" t="n">
        <f aca="false">IF(AND(A5294&lt;&gt;A5293,LEFT(A5294,1)&lt;&gt;"C"),1,0)</f>
        <v>0</v>
      </c>
    </row>
    <row r="5295" customFormat="false" ht="15" hidden="false" customHeight="false" outlineLevel="0" collapsed="false">
      <c r="A5295" s="0" t="s">
        <v>3020</v>
      </c>
      <c r="B5295" s="0" t="s">
        <v>705</v>
      </c>
      <c r="C5295" s="0" t="s">
        <v>706</v>
      </c>
      <c r="D5295" s="0" t="n">
        <v>12</v>
      </c>
      <c r="E5295" s="6" t="n">
        <v>40862.6541666667</v>
      </c>
      <c r="F5295" s="0" t="n">
        <v>0.85</v>
      </c>
      <c r="G5295" s="0" t="n">
        <v>12474</v>
      </c>
      <c r="H5295" s="0" t="s">
        <v>33</v>
      </c>
      <c r="I5295" s="7" t="n">
        <f aca="false">IF(AND(LEFT(A5295,1)&lt;&gt;"C",D5295&gt;0,F5295&gt;0),1,0)</f>
        <v>1</v>
      </c>
      <c r="J5295" s="7" t="n">
        <f aca="false">IF(I5295=1,D5295*F5295,0)</f>
        <v>10.2</v>
      </c>
      <c r="K5295" s="7" t="n">
        <f aca="false">YEAR(E5295)*100+MONTH(E5295)</f>
        <v>201111</v>
      </c>
      <c r="L5295" s="7" t="n">
        <f aca="false">IF(AND(A5295&lt;&gt;A5294,LEFT(A5295,1)&lt;&gt;"C"),1,0)</f>
        <v>0</v>
      </c>
    </row>
    <row r="5296" customFormat="false" ht="15" hidden="false" customHeight="false" outlineLevel="0" collapsed="false">
      <c r="A5296" s="0" t="s">
        <v>3020</v>
      </c>
      <c r="B5296" s="0" t="s">
        <v>2714</v>
      </c>
      <c r="C5296" s="0" t="s">
        <v>2715</v>
      </c>
      <c r="D5296" s="0" t="n">
        <v>12</v>
      </c>
      <c r="E5296" s="6" t="n">
        <v>40862.6541666667</v>
      </c>
      <c r="F5296" s="0" t="n">
        <v>0.85</v>
      </c>
      <c r="G5296" s="0" t="n">
        <v>12474</v>
      </c>
      <c r="H5296" s="0" t="s">
        <v>33</v>
      </c>
      <c r="I5296" s="7" t="n">
        <f aca="false">IF(AND(LEFT(A5296,1)&lt;&gt;"C",D5296&gt;0,F5296&gt;0),1,0)</f>
        <v>1</v>
      </c>
      <c r="J5296" s="7" t="n">
        <f aca="false">IF(I5296=1,D5296*F5296,0)</f>
        <v>10.2</v>
      </c>
      <c r="K5296" s="7" t="n">
        <f aca="false">YEAR(E5296)*100+MONTH(E5296)</f>
        <v>201111</v>
      </c>
      <c r="L5296" s="7" t="n">
        <f aca="false">IF(AND(A5296&lt;&gt;A5295,LEFT(A5296,1)&lt;&gt;"C"),1,0)</f>
        <v>0</v>
      </c>
    </row>
    <row r="5297" customFormat="false" ht="15" hidden="false" customHeight="false" outlineLevel="0" collapsed="false">
      <c r="A5297" s="0" t="s">
        <v>3020</v>
      </c>
      <c r="B5297" s="0" t="s">
        <v>2886</v>
      </c>
      <c r="C5297" s="0" t="s">
        <v>2887</v>
      </c>
      <c r="D5297" s="0" t="n">
        <v>24</v>
      </c>
      <c r="E5297" s="6" t="n">
        <v>40862.6541666667</v>
      </c>
      <c r="F5297" s="0" t="n">
        <v>0.29</v>
      </c>
      <c r="G5297" s="0" t="n">
        <v>12474</v>
      </c>
      <c r="H5297" s="0" t="s">
        <v>33</v>
      </c>
      <c r="I5297" s="7" t="n">
        <f aca="false">IF(AND(LEFT(A5297,1)&lt;&gt;"C",D5297&gt;0,F5297&gt;0),1,0)</f>
        <v>1</v>
      </c>
      <c r="J5297" s="7" t="n">
        <f aca="false">IF(I5297=1,D5297*F5297,0)</f>
        <v>6.96</v>
      </c>
      <c r="K5297" s="7" t="n">
        <f aca="false">YEAR(E5297)*100+MONTH(E5297)</f>
        <v>201111</v>
      </c>
      <c r="L5297" s="7" t="n">
        <f aca="false">IF(AND(A5297&lt;&gt;A5296,LEFT(A5297,1)&lt;&gt;"C"),1,0)</f>
        <v>0</v>
      </c>
    </row>
    <row r="5298" customFormat="false" ht="15" hidden="false" customHeight="false" outlineLevel="0" collapsed="false">
      <c r="A5298" s="0" t="s">
        <v>3020</v>
      </c>
      <c r="B5298" s="0" t="s">
        <v>2002</v>
      </c>
      <c r="C5298" s="0" t="s">
        <v>2003</v>
      </c>
      <c r="D5298" s="0" t="n">
        <v>24</v>
      </c>
      <c r="E5298" s="6" t="n">
        <v>40862.6541666667</v>
      </c>
      <c r="F5298" s="0" t="n">
        <v>0.29</v>
      </c>
      <c r="G5298" s="0" t="n">
        <v>12474</v>
      </c>
      <c r="H5298" s="0" t="s">
        <v>33</v>
      </c>
      <c r="I5298" s="7" t="n">
        <f aca="false">IF(AND(LEFT(A5298,1)&lt;&gt;"C",D5298&gt;0,F5298&gt;0),1,0)</f>
        <v>1</v>
      </c>
      <c r="J5298" s="7" t="n">
        <f aca="false">IF(I5298=1,D5298*F5298,0)</f>
        <v>6.96</v>
      </c>
      <c r="K5298" s="7" t="n">
        <f aca="false">YEAR(E5298)*100+MONTH(E5298)</f>
        <v>201111</v>
      </c>
      <c r="L5298" s="7" t="n">
        <f aca="false">IF(AND(A5298&lt;&gt;A5297,LEFT(A5298,1)&lt;&gt;"C"),1,0)</f>
        <v>0</v>
      </c>
    </row>
    <row r="5299" customFormat="false" ht="15" hidden="false" customHeight="false" outlineLevel="0" collapsed="false">
      <c r="A5299" s="0" t="s">
        <v>3020</v>
      </c>
      <c r="B5299" s="0" t="s">
        <v>2421</v>
      </c>
      <c r="C5299" s="0" t="s">
        <v>2422</v>
      </c>
      <c r="D5299" s="0" t="n">
        <v>18</v>
      </c>
      <c r="E5299" s="6" t="n">
        <v>40862.6541666667</v>
      </c>
      <c r="F5299" s="0" t="n">
        <v>1.25</v>
      </c>
      <c r="G5299" s="0" t="n">
        <v>12474</v>
      </c>
      <c r="H5299" s="0" t="s">
        <v>33</v>
      </c>
      <c r="I5299" s="7" t="n">
        <f aca="false">IF(AND(LEFT(A5299,1)&lt;&gt;"C",D5299&gt;0,F5299&gt;0),1,0)</f>
        <v>1</v>
      </c>
      <c r="J5299" s="7" t="n">
        <f aca="false">IF(I5299=1,D5299*F5299,0)</f>
        <v>22.5</v>
      </c>
      <c r="K5299" s="7" t="n">
        <f aca="false">YEAR(E5299)*100+MONTH(E5299)</f>
        <v>201111</v>
      </c>
      <c r="L5299" s="7" t="n">
        <f aca="false">IF(AND(A5299&lt;&gt;A5298,LEFT(A5299,1)&lt;&gt;"C"),1,0)</f>
        <v>0</v>
      </c>
    </row>
    <row r="5300" customFormat="false" ht="15" hidden="false" customHeight="false" outlineLevel="0" collapsed="false">
      <c r="A5300" s="0" t="s">
        <v>3020</v>
      </c>
      <c r="B5300" s="0" t="s">
        <v>1555</v>
      </c>
      <c r="C5300" s="0" t="s">
        <v>1556</v>
      </c>
      <c r="D5300" s="0" t="n">
        <v>24</v>
      </c>
      <c r="E5300" s="6" t="n">
        <v>40862.6541666667</v>
      </c>
      <c r="F5300" s="0" t="n">
        <v>0.42</v>
      </c>
      <c r="G5300" s="0" t="n">
        <v>12474</v>
      </c>
      <c r="H5300" s="0" t="s">
        <v>33</v>
      </c>
      <c r="I5300" s="7" t="n">
        <f aca="false">IF(AND(LEFT(A5300,1)&lt;&gt;"C",D5300&gt;0,F5300&gt;0),1,0)</f>
        <v>1</v>
      </c>
      <c r="J5300" s="7" t="n">
        <f aca="false">IF(I5300=1,D5300*F5300,0)</f>
        <v>10.08</v>
      </c>
      <c r="K5300" s="7" t="n">
        <f aca="false">YEAR(E5300)*100+MONTH(E5300)</f>
        <v>201111</v>
      </c>
      <c r="L5300" s="7" t="n">
        <f aca="false">IF(AND(A5300&lt;&gt;A5299,LEFT(A5300,1)&lt;&gt;"C"),1,0)</f>
        <v>0</v>
      </c>
    </row>
    <row r="5301" customFormat="false" ht="15" hidden="false" customHeight="false" outlineLevel="0" collapsed="false">
      <c r="A5301" s="0" t="s">
        <v>3020</v>
      </c>
      <c r="B5301" s="0" t="s">
        <v>2465</v>
      </c>
      <c r="C5301" s="0" t="s">
        <v>2466</v>
      </c>
      <c r="D5301" s="0" t="n">
        <v>24</v>
      </c>
      <c r="E5301" s="6" t="n">
        <v>40862.6541666667</v>
      </c>
      <c r="F5301" s="0" t="n">
        <v>1.25</v>
      </c>
      <c r="G5301" s="0" t="n">
        <v>12474</v>
      </c>
      <c r="H5301" s="0" t="s">
        <v>33</v>
      </c>
      <c r="I5301" s="7" t="n">
        <f aca="false">IF(AND(LEFT(A5301,1)&lt;&gt;"C",D5301&gt;0,F5301&gt;0),1,0)</f>
        <v>1</v>
      </c>
      <c r="J5301" s="7" t="n">
        <f aca="false">IF(I5301=1,D5301*F5301,0)</f>
        <v>30</v>
      </c>
      <c r="K5301" s="7" t="n">
        <f aca="false">YEAR(E5301)*100+MONTH(E5301)</f>
        <v>201111</v>
      </c>
      <c r="L5301" s="7" t="n">
        <f aca="false">IF(AND(A5301&lt;&gt;A5300,LEFT(A5301,1)&lt;&gt;"C"),1,0)</f>
        <v>0</v>
      </c>
    </row>
    <row r="5302" customFormat="false" ht="15" hidden="false" customHeight="false" outlineLevel="0" collapsed="false">
      <c r="A5302" s="0" t="s">
        <v>3020</v>
      </c>
      <c r="B5302" s="0" t="s">
        <v>701</v>
      </c>
      <c r="C5302" s="0" t="s">
        <v>702</v>
      </c>
      <c r="D5302" s="0" t="n">
        <v>12</v>
      </c>
      <c r="E5302" s="6" t="n">
        <v>40862.6541666667</v>
      </c>
      <c r="F5302" s="0" t="n">
        <v>1.25</v>
      </c>
      <c r="G5302" s="0" t="n">
        <v>12474</v>
      </c>
      <c r="H5302" s="0" t="s">
        <v>33</v>
      </c>
      <c r="I5302" s="7" t="n">
        <f aca="false">IF(AND(LEFT(A5302,1)&lt;&gt;"C",D5302&gt;0,F5302&gt;0),1,0)</f>
        <v>1</v>
      </c>
      <c r="J5302" s="7" t="n">
        <f aca="false">IF(I5302=1,D5302*F5302,0)</f>
        <v>15</v>
      </c>
      <c r="K5302" s="7" t="n">
        <f aca="false">YEAR(E5302)*100+MONTH(E5302)</f>
        <v>201111</v>
      </c>
      <c r="L5302" s="7" t="n">
        <f aca="false">IF(AND(A5302&lt;&gt;A5301,LEFT(A5302,1)&lt;&gt;"C"),1,0)</f>
        <v>0</v>
      </c>
    </row>
    <row r="5303" customFormat="false" ht="15" hidden="false" customHeight="false" outlineLevel="0" collapsed="false">
      <c r="A5303" s="0" t="s">
        <v>3020</v>
      </c>
      <c r="B5303" s="0" t="s">
        <v>1794</v>
      </c>
      <c r="C5303" s="0" t="s">
        <v>1795</v>
      </c>
      <c r="D5303" s="0" t="n">
        <v>6</v>
      </c>
      <c r="E5303" s="6" t="n">
        <v>40862.6541666667</v>
      </c>
      <c r="F5303" s="0" t="n">
        <v>2.49</v>
      </c>
      <c r="G5303" s="0" t="n">
        <v>12474</v>
      </c>
      <c r="H5303" s="0" t="s">
        <v>33</v>
      </c>
      <c r="I5303" s="7" t="n">
        <f aca="false">IF(AND(LEFT(A5303,1)&lt;&gt;"C",D5303&gt;0,F5303&gt;0),1,0)</f>
        <v>1</v>
      </c>
      <c r="J5303" s="7" t="n">
        <f aca="false">IF(I5303=1,D5303*F5303,0)</f>
        <v>14.94</v>
      </c>
      <c r="K5303" s="7" t="n">
        <f aca="false">YEAR(E5303)*100+MONTH(E5303)</f>
        <v>201111</v>
      </c>
      <c r="L5303" s="7" t="n">
        <f aca="false">IF(AND(A5303&lt;&gt;A5302,LEFT(A5303,1)&lt;&gt;"C"),1,0)</f>
        <v>0</v>
      </c>
    </row>
    <row r="5304" customFormat="false" ht="15" hidden="false" customHeight="false" outlineLevel="0" collapsed="false">
      <c r="A5304" s="0" t="s">
        <v>3020</v>
      </c>
      <c r="B5304" s="0" t="s">
        <v>1027</v>
      </c>
      <c r="C5304" s="0" t="s">
        <v>1028</v>
      </c>
      <c r="D5304" s="0" t="n">
        <v>12</v>
      </c>
      <c r="E5304" s="6" t="n">
        <v>40862.6541666667</v>
      </c>
      <c r="F5304" s="0" t="n">
        <v>1.25</v>
      </c>
      <c r="G5304" s="0" t="n">
        <v>12474</v>
      </c>
      <c r="H5304" s="0" t="s">
        <v>33</v>
      </c>
      <c r="I5304" s="7" t="n">
        <f aca="false">IF(AND(LEFT(A5304,1)&lt;&gt;"C",D5304&gt;0,F5304&gt;0),1,0)</f>
        <v>1</v>
      </c>
      <c r="J5304" s="7" t="n">
        <f aca="false">IF(I5304=1,D5304*F5304,0)</f>
        <v>15</v>
      </c>
      <c r="K5304" s="7" t="n">
        <f aca="false">YEAR(E5304)*100+MONTH(E5304)</f>
        <v>201111</v>
      </c>
      <c r="L5304" s="7" t="n">
        <f aca="false">IF(AND(A5304&lt;&gt;A5303,LEFT(A5304,1)&lt;&gt;"C"),1,0)</f>
        <v>0</v>
      </c>
    </row>
    <row r="5305" customFormat="false" ht="15" hidden="false" customHeight="false" outlineLevel="0" collapsed="false">
      <c r="A5305" s="0" t="s">
        <v>3020</v>
      </c>
      <c r="B5305" s="0" t="s">
        <v>2211</v>
      </c>
      <c r="C5305" s="0" t="s">
        <v>2212</v>
      </c>
      <c r="D5305" s="0" t="n">
        <v>12</v>
      </c>
      <c r="E5305" s="6" t="n">
        <v>40862.6541666667</v>
      </c>
      <c r="F5305" s="0" t="n">
        <v>1.25</v>
      </c>
      <c r="G5305" s="0" t="n">
        <v>12474</v>
      </c>
      <c r="H5305" s="0" t="s">
        <v>33</v>
      </c>
      <c r="I5305" s="7" t="n">
        <f aca="false">IF(AND(LEFT(A5305,1)&lt;&gt;"C",D5305&gt;0,F5305&gt;0),1,0)</f>
        <v>1</v>
      </c>
      <c r="J5305" s="7" t="n">
        <f aca="false">IF(I5305=1,D5305*F5305,0)</f>
        <v>15</v>
      </c>
      <c r="K5305" s="7" t="n">
        <f aca="false">YEAR(E5305)*100+MONTH(E5305)</f>
        <v>201111</v>
      </c>
      <c r="L5305" s="7" t="n">
        <f aca="false">IF(AND(A5305&lt;&gt;A5304,LEFT(A5305,1)&lt;&gt;"C"),1,0)</f>
        <v>0</v>
      </c>
    </row>
    <row r="5306" customFormat="false" ht="15" hidden="false" customHeight="false" outlineLevel="0" collapsed="false">
      <c r="A5306" s="0" t="s">
        <v>3020</v>
      </c>
      <c r="B5306" s="0" t="s">
        <v>871</v>
      </c>
      <c r="C5306" s="0" t="s">
        <v>872</v>
      </c>
      <c r="D5306" s="0" t="n">
        <v>12</v>
      </c>
      <c r="E5306" s="6" t="n">
        <v>40862.6541666667</v>
      </c>
      <c r="F5306" s="0" t="n">
        <v>0.83</v>
      </c>
      <c r="G5306" s="0" t="n">
        <v>12474</v>
      </c>
      <c r="H5306" s="0" t="s">
        <v>33</v>
      </c>
      <c r="I5306" s="7" t="n">
        <f aca="false">IF(AND(LEFT(A5306,1)&lt;&gt;"C",D5306&gt;0,F5306&gt;0),1,0)</f>
        <v>1</v>
      </c>
      <c r="J5306" s="7" t="n">
        <f aca="false">IF(I5306=1,D5306*F5306,0)</f>
        <v>9.96</v>
      </c>
      <c r="K5306" s="7" t="n">
        <f aca="false">YEAR(E5306)*100+MONTH(E5306)</f>
        <v>201111</v>
      </c>
      <c r="L5306" s="7" t="n">
        <f aca="false">IF(AND(A5306&lt;&gt;A5305,LEFT(A5306,1)&lt;&gt;"C"),1,0)</f>
        <v>0</v>
      </c>
    </row>
    <row r="5307" customFormat="false" ht="15" hidden="false" customHeight="false" outlineLevel="0" collapsed="false">
      <c r="A5307" s="0" t="s">
        <v>3020</v>
      </c>
      <c r="B5307" s="0" t="s">
        <v>173</v>
      </c>
      <c r="C5307" s="0" t="s">
        <v>174</v>
      </c>
      <c r="D5307" s="0" t="n">
        <v>8</v>
      </c>
      <c r="E5307" s="6" t="n">
        <v>40862.6541666667</v>
      </c>
      <c r="F5307" s="0" t="n">
        <v>1.25</v>
      </c>
      <c r="G5307" s="0" t="n">
        <v>12474</v>
      </c>
      <c r="H5307" s="0" t="s">
        <v>33</v>
      </c>
      <c r="I5307" s="7" t="n">
        <f aca="false">IF(AND(LEFT(A5307,1)&lt;&gt;"C",D5307&gt;0,F5307&gt;0),1,0)</f>
        <v>1</v>
      </c>
      <c r="J5307" s="7" t="n">
        <f aca="false">IF(I5307=1,D5307*F5307,0)</f>
        <v>10</v>
      </c>
      <c r="K5307" s="7" t="n">
        <f aca="false">YEAR(E5307)*100+MONTH(E5307)</f>
        <v>201111</v>
      </c>
      <c r="L5307" s="7" t="n">
        <f aca="false">IF(AND(A5307&lt;&gt;A5306,LEFT(A5307,1)&lt;&gt;"C"),1,0)</f>
        <v>0</v>
      </c>
    </row>
    <row r="5308" customFormat="false" ht="15" hidden="false" customHeight="false" outlineLevel="0" collapsed="false">
      <c r="A5308" s="0" t="s">
        <v>3020</v>
      </c>
      <c r="B5308" s="0" t="s">
        <v>783</v>
      </c>
      <c r="C5308" s="0" t="s">
        <v>784</v>
      </c>
      <c r="D5308" s="0" t="n">
        <v>6</v>
      </c>
      <c r="E5308" s="6" t="n">
        <v>40862.6541666667</v>
      </c>
      <c r="F5308" s="0" t="n">
        <v>2.1</v>
      </c>
      <c r="G5308" s="0" t="n">
        <v>12474</v>
      </c>
      <c r="H5308" s="0" t="s">
        <v>33</v>
      </c>
      <c r="I5308" s="7" t="n">
        <f aca="false">IF(AND(LEFT(A5308,1)&lt;&gt;"C",D5308&gt;0,F5308&gt;0),1,0)</f>
        <v>1</v>
      </c>
      <c r="J5308" s="7" t="n">
        <f aca="false">IF(I5308=1,D5308*F5308,0)</f>
        <v>12.6</v>
      </c>
      <c r="K5308" s="7" t="n">
        <f aca="false">YEAR(E5308)*100+MONTH(E5308)</f>
        <v>201111</v>
      </c>
      <c r="L5308" s="7" t="n">
        <f aca="false">IF(AND(A5308&lt;&gt;A5307,LEFT(A5308,1)&lt;&gt;"C"),1,0)</f>
        <v>0</v>
      </c>
    </row>
    <row r="5309" customFormat="false" ht="15" hidden="false" customHeight="false" outlineLevel="0" collapsed="false">
      <c r="A5309" s="0" t="s">
        <v>3020</v>
      </c>
      <c r="B5309" s="0" t="s">
        <v>539</v>
      </c>
      <c r="C5309" s="0" t="s">
        <v>540</v>
      </c>
      <c r="D5309" s="0" t="n">
        <v>24</v>
      </c>
      <c r="E5309" s="6" t="n">
        <v>40862.6541666667</v>
      </c>
      <c r="F5309" s="0" t="n">
        <v>0.42</v>
      </c>
      <c r="G5309" s="0" t="n">
        <v>12474</v>
      </c>
      <c r="H5309" s="0" t="s">
        <v>33</v>
      </c>
      <c r="I5309" s="7" t="n">
        <f aca="false">IF(AND(LEFT(A5309,1)&lt;&gt;"C",D5309&gt;0,F5309&gt;0),1,0)</f>
        <v>1</v>
      </c>
      <c r="J5309" s="7" t="n">
        <f aca="false">IF(I5309=1,D5309*F5309,0)</f>
        <v>10.08</v>
      </c>
      <c r="K5309" s="7" t="n">
        <f aca="false">YEAR(E5309)*100+MONTH(E5309)</f>
        <v>201111</v>
      </c>
      <c r="L5309" s="7" t="n">
        <f aca="false">IF(AND(A5309&lt;&gt;A5308,LEFT(A5309,1)&lt;&gt;"C"),1,0)</f>
        <v>0</v>
      </c>
    </row>
    <row r="5310" customFormat="false" ht="15" hidden="false" customHeight="false" outlineLevel="0" collapsed="false">
      <c r="A5310" s="0" t="s">
        <v>3020</v>
      </c>
      <c r="B5310" s="0" t="s">
        <v>610</v>
      </c>
      <c r="C5310" s="0" t="s">
        <v>611</v>
      </c>
      <c r="D5310" s="0" t="n">
        <v>6</v>
      </c>
      <c r="E5310" s="6" t="n">
        <v>40862.6541666667</v>
      </c>
      <c r="F5310" s="0" t="n">
        <v>2.95</v>
      </c>
      <c r="G5310" s="0" t="n">
        <v>12474</v>
      </c>
      <c r="H5310" s="0" t="s">
        <v>33</v>
      </c>
      <c r="I5310" s="7" t="n">
        <f aca="false">IF(AND(LEFT(A5310,1)&lt;&gt;"C",D5310&gt;0,F5310&gt;0),1,0)</f>
        <v>1</v>
      </c>
      <c r="J5310" s="7" t="n">
        <f aca="false">IF(I5310=1,D5310*F5310,0)</f>
        <v>17.7</v>
      </c>
      <c r="K5310" s="7" t="n">
        <f aca="false">YEAR(E5310)*100+MONTH(E5310)</f>
        <v>201111</v>
      </c>
      <c r="L5310" s="7" t="n">
        <f aca="false">IF(AND(A5310&lt;&gt;A5309,LEFT(A5310,1)&lt;&gt;"C"),1,0)</f>
        <v>0</v>
      </c>
    </row>
    <row r="5311" customFormat="false" ht="15" hidden="false" customHeight="false" outlineLevel="0" collapsed="false">
      <c r="A5311" s="0" t="s">
        <v>3020</v>
      </c>
      <c r="B5311" s="0" t="s">
        <v>606</v>
      </c>
      <c r="C5311" s="0" t="s">
        <v>607</v>
      </c>
      <c r="D5311" s="0" t="n">
        <v>12</v>
      </c>
      <c r="E5311" s="6" t="n">
        <v>40862.6541666667</v>
      </c>
      <c r="F5311" s="0" t="n">
        <v>0.42</v>
      </c>
      <c r="G5311" s="0" t="n">
        <v>12474</v>
      </c>
      <c r="H5311" s="0" t="s">
        <v>33</v>
      </c>
      <c r="I5311" s="7" t="n">
        <f aca="false">IF(AND(LEFT(A5311,1)&lt;&gt;"C",D5311&gt;0,F5311&gt;0),1,0)</f>
        <v>1</v>
      </c>
      <c r="J5311" s="7" t="n">
        <f aca="false">IF(I5311=1,D5311*F5311,0)</f>
        <v>5.04</v>
      </c>
      <c r="K5311" s="7" t="n">
        <f aca="false">YEAR(E5311)*100+MONTH(E5311)</f>
        <v>201111</v>
      </c>
      <c r="L5311" s="7" t="n">
        <f aca="false">IF(AND(A5311&lt;&gt;A5310,LEFT(A5311,1)&lt;&gt;"C"),1,0)</f>
        <v>0</v>
      </c>
    </row>
    <row r="5312" customFormat="false" ht="15" hidden="false" customHeight="false" outlineLevel="0" collapsed="false">
      <c r="A5312" s="0" t="s">
        <v>3020</v>
      </c>
      <c r="B5312" s="0" t="s">
        <v>647</v>
      </c>
      <c r="C5312" s="0" t="s">
        <v>648</v>
      </c>
      <c r="D5312" s="0" t="n">
        <v>8</v>
      </c>
      <c r="E5312" s="6" t="n">
        <v>40862.6541666667</v>
      </c>
      <c r="F5312" s="0" t="n">
        <v>4.25</v>
      </c>
      <c r="G5312" s="0" t="n">
        <v>12474</v>
      </c>
      <c r="H5312" s="0" t="s">
        <v>33</v>
      </c>
      <c r="I5312" s="7" t="n">
        <f aca="false">IF(AND(LEFT(A5312,1)&lt;&gt;"C",D5312&gt;0,F5312&gt;0),1,0)</f>
        <v>1</v>
      </c>
      <c r="J5312" s="7" t="n">
        <f aca="false">IF(I5312=1,D5312*F5312,0)</f>
        <v>34</v>
      </c>
      <c r="K5312" s="7" t="n">
        <f aca="false">YEAR(E5312)*100+MONTH(E5312)</f>
        <v>201111</v>
      </c>
      <c r="L5312" s="7" t="n">
        <f aca="false">IF(AND(A5312&lt;&gt;A5311,LEFT(A5312,1)&lt;&gt;"C"),1,0)</f>
        <v>0</v>
      </c>
    </row>
    <row r="5313" customFormat="false" ht="15" hidden="false" customHeight="false" outlineLevel="0" collapsed="false">
      <c r="A5313" s="0" t="s">
        <v>3020</v>
      </c>
      <c r="B5313" s="0" t="s">
        <v>171</v>
      </c>
      <c r="C5313" s="0" t="s">
        <v>172</v>
      </c>
      <c r="D5313" s="0" t="n">
        <v>8</v>
      </c>
      <c r="E5313" s="6" t="n">
        <v>40862.6541666667</v>
      </c>
      <c r="F5313" s="0" t="n">
        <v>1.25</v>
      </c>
      <c r="G5313" s="0" t="n">
        <v>12474</v>
      </c>
      <c r="H5313" s="0" t="s">
        <v>33</v>
      </c>
      <c r="I5313" s="7" t="n">
        <f aca="false">IF(AND(LEFT(A5313,1)&lt;&gt;"C",D5313&gt;0,F5313&gt;0),1,0)</f>
        <v>1</v>
      </c>
      <c r="J5313" s="7" t="n">
        <f aca="false">IF(I5313=1,D5313*F5313,0)</f>
        <v>10</v>
      </c>
      <c r="K5313" s="7" t="n">
        <f aca="false">YEAR(E5313)*100+MONTH(E5313)</f>
        <v>201111</v>
      </c>
      <c r="L5313" s="7" t="n">
        <f aca="false">IF(AND(A5313&lt;&gt;A5312,LEFT(A5313,1)&lt;&gt;"C"),1,0)</f>
        <v>0</v>
      </c>
    </row>
    <row r="5314" customFormat="false" ht="15" hidden="false" customHeight="false" outlineLevel="0" collapsed="false">
      <c r="A5314" s="0" t="s">
        <v>3020</v>
      </c>
      <c r="B5314" s="0" t="s">
        <v>1338</v>
      </c>
      <c r="C5314" s="0" t="s">
        <v>1339</v>
      </c>
      <c r="D5314" s="0" t="n">
        <v>6</v>
      </c>
      <c r="E5314" s="6" t="n">
        <v>40862.6541666667</v>
      </c>
      <c r="F5314" s="0" t="n">
        <v>2.95</v>
      </c>
      <c r="G5314" s="0" t="n">
        <v>12474</v>
      </c>
      <c r="H5314" s="0" t="s">
        <v>33</v>
      </c>
      <c r="I5314" s="7" t="n">
        <f aca="false">IF(AND(LEFT(A5314,1)&lt;&gt;"C",D5314&gt;0,F5314&gt;0),1,0)</f>
        <v>1</v>
      </c>
      <c r="J5314" s="7" t="n">
        <f aca="false">IF(I5314=1,D5314*F5314,0)</f>
        <v>17.7</v>
      </c>
      <c r="K5314" s="7" t="n">
        <f aca="false">YEAR(E5314)*100+MONTH(E5314)</f>
        <v>201111</v>
      </c>
      <c r="L5314" s="7" t="n">
        <f aca="false">IF(AND(A5314&lt;&gt;A5313,LEFT(A5314,1)&lt;&gt;"C"),1,0)</f>
        <v>0</v>
      </c>
    </row>
    <row r="5315" customFormat="false" ht="15" hidden="false" customHeight="false" outlineLevel="0" collapsed="false">
      <c r="A5315" s="0" t="s">
        <v>3020</v>
      </c>
      <c r="B5315" s="0" t="s">
        <v>119</v>
      </c>
      <c r="C5315" s="0" t="s">
        <v>120</v>
      </c>
      <c r="D5315" s="0" t="n">
        <v>12</v>
      </c>
      <c r="E5315" s="6" t="n">
        <v>40862.6541666667</v>
      </c>
      <c r="F5315" s="0" t="n">
        <v>0.42</v>
      </c>
      <c r="G5315" s="0" t="n">
        <v>12474</v>
      </c>
      <c r="H5315" s="0" t="s">
        <v>33</v>
      </c>
      <c r="I5315" s="7" t="n">
        <f aca="false">IF(AND(LEFT(A5315,1)&lt;&gt;"C",D5315&gt;0,F5315&gt;0),1,0)</f>
        <v>1</v>
      </c>
      <c r="J5315" s="7" t="n">
        <f aca="false">IF(I5315=1,D5315*F5315,0)</f>
        <v>5.04</v>
      </c>
      <c r="K5315" s="7" t="n">
        <f aca="false">YEAR(E5315)*100+MONTH(E5315)</f>
        <v>201111</v>
      </c>
      <c r="L5315" s="7" t="n">
        <f aca="false">IF(AND(A5315&lt;&gt;A5314,LEFT(A5315,1)&lt;&gt;"C"),1,0)</f>
        <v>0</v>
      </c>
    </row>
    <row r="5316" customFormat="false" ht="15" hidden="false" customHeight="false" outlineLevel="0" collapsed="false">
      <c r="A5316" s="0" t="s">
        <v>3020</v>
      </c>
      <c r="B5316" s="0" t="s">
        <v>525</v>
      </c>
      <c r="C5316" s="0" t="s">
        <v>526</v>
      </c>
      <c r="D5316" s="0" t="n">
        <v>6</v>
      </c>
      <c r="E5316" s="6" t="n">
        <v>40862.6541666667</v>
      </c>
      <c r="F5316" s="0" t="n">
        <v>2.95</v>
      </c>
      <c r="G5316" s="0" t="n">
        <v>12474</v>
      </c>
      <c r="H5316" s="0" t="s">
        <v>33</v>
      </c>
      <c r="I5316" s="7" t="n">
        <f aca="false">IF(AND(LEFT(A5316,1)&lt;&gt;"C",D5316&gt;0,F5316&gt;0),1,0)</f>
        <v>1</v>
      </c>
      <c r="J5316" s="7" t="n">
        <f aca="false">IF(I5316=1,D5316*F5316,0)</f>
        <v>17.7</v>
      </c>
      <c r="K5316" s="7" t="n">
        <f aca="false">YEAR(E5316)*100+MONTH(E5316)</f>
        <v>201111</v>
      </c>
      <c r="L5316" s="7" t="n">
        <f aca="false">IF(AND(A5316&lt;&gt;A5315,LEFT(A5316,1)&lt;&gt;"C"),1,0)</f>
        <v>0</v>
      </c>
    </row>
    <row r="5317" customFormat="false" ht="15" hidden="false" customHeight="false" outlineLevel="0" collapsed="false">
      <c r="A5317" s="0" t="s">
        <v>3020</v>
      </c>
      <c r="B5317" s="0" t="s">
        <v>1187</v>
      </c>
      <c r="C5317" s="0" t="s">
        <v>1188</v>
      </c>
      <c r="D5317" s="0" t="n">
        <v>3</v>
      </c>
      <c r="E5317" s="6" t="n">
        <v>40862.6541666667</v>
      </c>
      <c r="F5317" s="0" t="n">
        <v>5.95</v>
      </c>
      <c r="G5317" s="0" t="n">
        <v>12474</v>
      </c>
      <c r="H5317" s="0" t="s">
        <v>33</v>
      </c>
      <c r="I5317" s="7" t="n">
        <f aca="false">IF(AND(LEFT(A5317,1)&lt;&gt;"C",D5317&gt;0,F5317&gt;0),1,0)</f>
        <v>1</v>
      </c>
      <c r="J5317" s="7" t="n">
        <f aca="false">IF(I5317=1,D5317*F5317,0)</f>
        <v>17.85</v>
      </c>
      <c r="K5317" s="7" t="n">
        <f aca="false">YEAR(E5317)*100+MONTH(E5317)</f>
        <v>201111</v>
      </c>
      <c r="L5317" s="7" t="n">
        <f aca="false">IF(AND(A5317&lt;&gt;A5316,LEFT(A5317,1)&lt;&gt;"C"),1,0)</f>
        <v>0</v>
      </c>
    </row>
    <row r="5318" customFormat="false" ht="15" hidden="false" customHeight="false" outlineLevel="0" collapsed="false">
      <c r="A5318" s="0" t="s">
        <v>3020</v>
      </c>
      <c r="B5318" s="0" t="s">
        <v>2365</v>
      </c>
      <c r="C5318" s="0" t="s">
        <v>2366</v>
      </c>
      <c r="D5318" s="0" t="n">
        <v>12</v>
      </c>
      <c r="E5318" s="6" t="n">
        <v>40862.6541666667</v>
      </c>
      <c r="F5318" s="0" t="n">
        <v>0.85</v>
      </c>
      <c r="G5318" s="0" t="n">
        <v>12474</v>
      </c>
      <c r="H5318" s="0" t="s">
        <v>33</v>
      </c>
      <c r="I5318" s="7" t="n">
        <f aca="false">IF(AND(LEFT(A5318,1)&lt;&gt;"C",D5318&gt;0,F5318&gt;0),1,0)</f>
        <v>1</v>
      </c>
      <c r="J5318" s="7" t="n">
        <f aca="false">IF(I5318=1,D5318*F5318,0)</f>
        <v>10.2</v>
      </c>
      <c r="K5318" s="7" t="n">
        <f aca="false">YEAR(E5318)*100+MONTH(E5318)</f>
        <v>201111</v>
      </c>
      <c r="L5318" s="7" t="n">
        <f aca="false">IF(AND(A5318&lt;&gt;A5317,LEFT(A5318,1)&lt;&gt;"C"),1,0)</f>
        <v>0</v>
      </c>
    </row>
    <row r="5319" customFormat="false" ht="15" hidden="false" customHeight="false" outlineLevel="0" collapsed="false">
      <c r="A5319" s="0" t="s">
        <v>3020</v>
      </c>
      <c r="B5319" s="0" t="s">
        <v>861</v>
      </c>
      <c r="C5319" s="0" t="s">
        <v>862</v>
      </c>
      <c r="D5319" s="0" t="n">
        <v>6</v>
      </c>
      <c r="E5319" s="6" t="n">
        <v>40862.6541666667</v>
      </c>
      <c r="F5319" s="0" t="n">
        <v>2.55</v>
      </c>
      <c r="G5319" s="0" t="n">
        <v>12474</v>
      </c>
      <c r="H5319" s="0" t="s">
        <v>33</v>
      </c>
      <c r="I5319" s="7" t="n">
        <f aca="false">IF(AND(LEFT(A5319,1)&lt;&gt;"C",D5319&gt;0,F5319&gt;0),1,0)</f>
        <v>1</v>
      </c>
      <c r="J5319" s="7" t="n">
        <f aca="false">IF(I5319=1,D5319*F5319,0)</f>
        <v>15.3</v>
      </c>
      <c r="K5319" s="7" t="n">
        <f aca="false">YEAR(E5319)*100+MONTH(E5319)</f>
        <v>201111</v>
      </c>
      <c r="L5319" s="7" t="n">
        <f aca="false">IF(AND(A5319&lt;&gt;A5318,LEFT(A5319,1)&lt;&gt;"C"),1,0)</f>
        <v>0</v>
      </c>
    </row>
    <row r="5320" customFormat="false" ht="15" hidden="false" customHeight="false" outlineLevel="0" collapsed="false">
      <c r="A5320" s="0" t="s">
        <v>3020</v>
      </c>
      <c r="B5320" s="0" t="s">
        <v>1583</v>
      </c>
      <c r="C5320" s="0" t="s">
        <v>1584</v>
      </c>
      <c r="D5320" s="0" t="n">
        <v>12</v>
      </c>
      <c r="E5320" s="6" t="n">
        <v>40862.6541666667</v>
      </c>
      <c r="F5320" s="0" t="n">
        <v>2.1</v>
      </c>
      <c r="G5320" s="0" t="n">
        <v>12474</v>
      </c>
      <c r="H5320" s="0" t="s">
        <v>33</v>
      </c>
      <c r="I5320" s="7" t="n">
        <f aca="false">IF(AND(LEFT(A5320,1)&lt;&gt;"C",D5320&gt;0,F5320&gt;0),1,0)</f>
        <v>1</v>
      </c>
      <c r="J5320" s="7" t="n">
        <f aca="false">IF(I5320=1,D5320*F5320,0)</f>
        <v>25.2</v>
      </c>
      <c r="K5320" s="7" t="n">
        <f aca="false">YEAR(E5320)*100+MONTH(E5320)</f>
        <v>201111</v>
      </c>
      <c r="L5320" s="7" t="n">
        <f aca="false">IF(AND(A5320&lt;&gt;A5319,LEFT(A5320,1)&lt;&gt;"C"),1,0)</f>
        <v>0</v>
      </c>
    </row>
    <row r="5321" customFormat="false" ht="15" hidden="false" customHeight="false" outlineLevel="0" collapsed="false">
      <c r="A5321" s="0" t="s">
        <v>3020</v>
      </c>
      <c r="B5321" s="0" t="s">
        <v>84</v>
      </c>
      <c r="C5321" s="0" t="s">
        <v>85</v>
      </c>
      <c r="D5321" s="0" t="n">
        <v>4</v>
      </c>
      <c r="E5321" s="6" t="n">
        <v>40862.6541666667</v>
      </c>
      <c r="F5321" s="0" t="n">
        <v>18</v>
      </c>
      <c r="G5321" s="0" t="n">
        <v>12474</v>
      </c>
      <c r="H5321" s="0" t="s">
        <v>33</v>
      </c>
      <c r="I5321" s="7" t="n">
        <f aca="false">IF(AND(LEFT(A5321,1)&lt;&gt;"C",D5321&gt;0,F5321&gt;0),1,0)</f>
        <v>1</v>
      </c>
      <c r="J5321" s="7" t="n">
        <f aca="false">IF(I5321=1,D5321*F5321,0)</f>
        <v>72</v>
      </c>
      <c r="K5321" s="7" t="n">
        <f aca="false">YEAR(E5321)*100+MONTH(E5321)</f>
        <v>201111</v>
      </c>
      <c r="L5321" s="7" t="n">
        <f aca="false">IF(AND(A5321&lt;&gt;A5320,LEFT(A5321,1)&lt;&gt;"C"),1,0)</f>
        <v>0</v>
      </c>
    </row>
    <row r="5322" customFormat="false" ht="15" hidden="false" customHeight="false" outlineLevel="0" collapsed="false">
      <c r="A5322" s="0" t="s">
        <v>3020</v>
      </c>
      <c r="B5322" s="0" t="s">
        <v>1192</v>
      </c>
      <c r="C5322" s="0" t="s">
        <v>1193</v>
      </c>
      <c r="D5322" s="0" t="n">
        <v>1</v>
      </c>
      <c r="E5322" s="6" t="n">
        <v>40862.6541666667</v>
      </c>
      <c r="F5322" s="0" t="n">
        <v>2.95</v>
      </c>
      <c r="G5322" s="0" t="n">
        <v>12474</v>
      </c>
      <c r="H5322" s="0" t="s">
        <v>33</v>
      </c>
      <c r="I5322" s="7" t="n">
        <f aca="false">IF(AND(LEFT(A5322,1)&lt;&gt;"C",D5322&gt;0,F5322&gt;0),1,0)</f>
        <v>1</v>
      </c>
      <c r="J5322" s="7" t="n">
        <f aca="false">IF(I5322=1,D5322*F5322,0)</f>
        <v>2.95</v>
      </c>
      <c r="K5322" s="7" t="n">
        <f aca="false">YEAR(E5322)*100+MONTH(E5322)</f>
        <v>201111</v>
      </c>
      <c r="L5322" s="7" t="n">
        <f aca="false">IF(AND(A5322&lt;&gt;A5321,LEFT(A5322,1)&lt;&gt;"C"),1,0)</f>
        <v>0</v>
      </c>
    </row>
    <row r="5323" customFormat="false" ht="15" hidden="false" customHeight="false" outlineLevel="0" collapsed="false">
      <c r="A5323" s="0" t="s">
        <v>3020</v>
      </c>
      <c r="B5323" s="0" t="s">
        <v>2546</v>
      </c>
      <c r="C5323" s="0" t="s">
        <v>2547</v>
      </c>
      <c r="D5323" s="0" t="n">
        <v>6</v>
      </c>
      <c r="E5323" s="6" t="n">
        <v>40862.6541666667</v>
      </c>
      <c r="F5323" s="0" t="n">
        <v>2.95</v>
      </c>
      <c r="G5323" s="0" t="n">
        <v>12474</v>
      </c>
      <c r="H5323" s="0" t="s">
        <v>33</v>
      </c>
      <c r="I5323" s="7" t="n">
        <f aca="false">IF(AND(LEFT(A5323,1)&lt;&gt;"C",D5323&gt;0,F5323&gt;0),1,0)</f>
        <v>1</v>
      </c>
      <c r="J5323" s="7" t="n">
        <f aca="false">IF(I5323=1,D5323*F5323,0)</f>
        <v>17.7</v>
      </c>
      <c r="K5323" s="7" t="n">
        <f aca="false">YEAR(E5323)*100+MONTH(E5323)</f>
        <v>201111</v>
      </c>
      <c r="L5323" s="7" t="n">
        <f aca="false">IF(AND(A5323&lt;&gt;A5322,LEFT(A5323,1)&lt;&gt;"C"),1,0)</f>
        <v>0</v>
      </c>
    </row>
    <row r="5324" customFormat="false" ht="15" hidden="false" customHeight="false" outlineLevel="0" collapsed="false">
      <c r="A5324" s="0" t="s">
        <v>3020</v>
      </c>
      <c r="B5324" s="0" t="s">
        <v>333</v>
      </c>
      <c r="C5324" s="0" t="s">
        <v>334</v>
      </c>
      <c r="D5324" s="0" t="n">
        <v>12</v>
      </c>
      <c r="E5324" s="6" t="n">
        <v>40862.6541666667</v>
      </c>
      <c r="F5324" s="0" t="n">
        <v>1.65</v>
      </c>
      <c r="G5324" s="0" t="n">
        <v>12474</v>
      </c>
      <c r="H5324" s="0" t="s">
        <v>33</v>
      </c>
      <c r="I5324" s="7" t="n">
        <f aca="false">IF(AND(LEFT(A5324,1)&lt;&gt;"C",D5324&gt;0,F5324&gt;0),1,0)</f>
        <v>1</v>
      </c>
      <c r="J5324" s="7" t="n">
        <f aca="false">IF(I5324=1,D5324*F5324,0)</f>
        <v>19.8</v>
      </c>
      <c r="K5324" s="7" t="n">
        <f aca="false">YEAR(E5324)*100+MONTH(E5324)</f>
        <v>201111</v>
      </c>
      <c r="L5324" s="7" t="n">
        <f aca="false">IF(AND(A5324&lt;&gt;A5323,LEFT(A5324,1)&lt;&gt;"C"),1,0)</f>
        <v>0</v>
      </c>
    </row>
    <row r="5325" customFormat="false" ht="15" hidden="false" customHeight="false" outlineLevel="0" collapsed="false">
      <c r="A5325" s="0" t="s">
        <v>3020</v>
      </c>
      <c r="B5325" s="0" t="s">
        <v>335</v>
      </c>
      <c r="C5325" s="0" t="s">
        <v>336</v>
      </c>
      <c r="D5325" s="0" t="n">
        <v>12</v>
      </c>
      <c r="E5325" s="6" t="n">
        <v>40862.6541666667</v>
      </c>
      <c r="F5325" s="0" t="n">
        <v>1.65</v>
      </c>
      <c r="G5325" s="0" t="n">
        <v>12474</v>
      </c>
      <c r="H5325" s="0" t="s">
        <v>33</v>
      </c>
      <c r="I5325" s="7" t="n">
        <f aca="false">IF(AND(LEFT(A5325,1)&lt;&gt;"C",D5325&gt;0,F5325&gt;0),1,0)</f>
        <v>1</v>
      </c>
      <c r="J5325" s="7" t="n">
        <f aca="false">IF(I5325=1,D5325*F5325,0)</f>
        <v>19.8</v>
      </c>
      <c r="K5325" s="7" t="n">
        <f aca="false">YEAR(E5325)*100+MONTH(E5325)</f>
        <v>201111</v>
      </c>
      <c r="L5325" s="7" t="n">
        <f aca="false">IF(AND(A5325&lt;&gt;A5324,LEFT(A5325,1)&lt;&gt;"C"),1,0)</f>
        <v>0</v>
      </c>
    </row>
    <row r="5326" customFormat="false" ht="15" hidden="false" customHeight="false" outlineLevel="0" collapsed="false">
      <c r="A5326" s="0" t="s">
        <v>3020</v>
      </c>
      <c r="B5326" s="0" t="s">
        <v>471</v>
      </c>
      <c r="C5326" s="0" t="s">
        <v>472</v>
      </c>
      <c r="D5326" s="0" t="n">
        <v>12</v>
      </c>
      <c r="E5326" s="6" t="n">
        <v>40862.6541666667</v>
      </c>
      <c r="F5326" s="0" t="n">
        <v>1.65</v>
      </c>
      <c r="G5326" s="0" t="n">
        <v>12474</v>
      </c>
      <c r="H5326" s="0" t="s">
        <v>33</v>
      </c>
      <c r="I5326" s="7" t="n">
        <f aca="false">IF(AND(LEFT(A5326,1)&lt;&gt;"C",D5326&gt;0,F5326&gt;0),1,0)</f>
        <v>1</v>
      </c>
      <c r="J5326" s="7" t="n">
        <f aca="false">IF(I5326=1,D5326*F5326,0)</f>
        <v>19.8</v>
      </c>
      <c r="K5326" s="7" t="n">
        <f aca="false">YEAR(E5326)*100+MONTH(E5326)</f>
        <v>201111</v>
      </c>
      <c r="L5326" s="7" t="n">
        <f aca="false">IF(AND(A5326&lt;&gt;A5325,LEFT(A5326,1)&lt;&gt;"C"),1,0)</f>
        <v>0</v>
      </c>
    </row>
    <row r="5327" customFormat="false" ht="15" hidden="false" customHeight="false" outlineLevel="0" collapsed="false">
      <c r="A5327" s="0" t="s">
        <v>3020</v>
      </c>
      <c r="B5327" s="0" t="s">
        <v>655</v>
      </c>
      <c r="C5327" s="0" t="s">
        <v>656</v>
      </c>
      <c r="D5327" s="0" t="n">
        <v>8</v>
      </c>
      <c r="E5327" s="6" t="n">
        <v>40862.6541666667</v>
      </c>
      <c r="F5327" s="0" t="n">
        <v>3.75</v>
      </c>
      <c r="G5327" s="0" t="n">
        <v>12474</v>
      </c>
      <c r="H5327" s="0" t="s">
        <v>33</v>
      </c>
      <c r="I5327" s="7" t="n">
        <f aca="false">IF(AND(LEFT(A5327,1)&lt;&gt;"C",D5327&gt;0,F5327&gt;0),1,0)</f>
        <v>1</v>
      </c>
      <c r="J5327" s="7" t="n">
        <f aca="false">IF(I5327=1,D5327*F5327,0)</f>
        <v>30</v>
      </c>
      <c r="K5327" s="7" t="n">
        <f aca="false">YEAR(E5327)*100+MONTH(E5327)</f>
        <v>201111</v>
      </c>
      <c r="L5327" s="7" t="n">
        <f aca="false">IF(AND(A5327&lt;&gt;A5326,LEFT(A5327,1)&lt;&gt;"C"),1,0)</f>
        <v>0</v>
      </c>
    </row>
    <row r="5328" customFormat="false" ht="15" hidden="false" customHeight="false" outlineLevel="0" collapsed="false">
      <c r="A5328" s="0" t="s">
        <v>3020</v>
      </c>
      <c r="B5328" s="0" t="s">
        <v>647</v>
      </c>
      <c r="C5328" s="0" t="s">
        <v>648</v>
      </c>
      <c r="D5328" s="0" t="n">
        <v>8</v>
      </c>
      <c r="E5328" s="6" t="n">
        <v>40862.6541666667</v>
      </c>
      <c r="F5328" s="0" t="n">
        <v>4.25</v>
      </c>
      <c r="G5328" s="0" t="n">
        <v>12474</v>
      </c>
      <c r="H5328" s="0" t="s">
        <v>33</v>
      </c>
      <c r="I5328" s="7" t="n">
        <f aca="false">IF(AND(LEFT(A5328,1)&lt;&gt;"C",D5328&gt;0,F5328&gt;0),1,0)</f>
        <v>1</v>
      </c>
      <c r="J5328" s="7" t="n">
        <f aca="false">IF(I5328=1,D5328*F5328,0)</f>
        <v>34</v>
      </c>
      <c r="K5328" s="7" t="n">
        <f aca="false">YEAR(E5328)*100+MONTH(E5328)</f>
        <v>201111</v>
      </c>
      <c r="L5328" s="7" t="n">
        <f aca="false">IF(AND(A5328&lt;&gt;A5327,LEFT(A5328,1)&lt;&gt;"C"),1,0)</f>
        <v>0</v>
      </c>
    </row>
    <row r="5329" customFormat="false" ht="15" hidden="false" customHeight="false" outlineLevel="0" collapsed="false">
      <c r="A5329" s="0" t="s">
        <v>3020</v>
      </c>
      <c r="B5329" s="0" t="s">
        <v>62</v>
      </c>
      <c r="C5329" s="0" t="s">
        <v>63</v>
      </c>
      <c r="D5329" s="0" t="n">
        <v>24</v>
      </c>
      <c r="E5329" s="6" t="n">
        <v>40862.6541666667</v>
      </c>
      <c r="F5329" s="0" t="n">
        <v>1.79</v>
      </c>
      <c r="G5329" s="0" t="n">
        <v>12474</v>
      </c>
      <c r="H5329" s="0" t="s">
        <v>33</v>
      </c>
      <c r="I5329" s="7" t="n">
        <f aca="false">IF(AND(LEFT(A5329,1)&lt;&gt;"C",D5329&gt;0,F5329&gt;0),1,0)</f>
        <v>1</v>
      </c>
      <c r="J5329" s="7" t="n">
        <f aca="false">IF(I5329=1,D5329*F5329,0)</f>
        <v>42.96</v>
      </c>
      <c r="K5329" s="7" t="n">
        <f aca="false">YEAR(E5329)*100+MONTH(E5329)</f>
        <v>201111</v>
      </c>
      <c r="L5329" s="7" t="n">
        <f aca="false">IF(AND(A5329&lt;&gt;A5328,LEFT(A5329,1)&lt;&gt;"C"),1,0)</f>
        <v>0</v>
      </c>
    </row>
    <row r="5330" customFormat="false" ht="15" hidden="false" customHeight="false" outlineLevel="0" collapsed="false">
      <c r="A5330" s="0" t="s">
        <v>3023</v>
      </c>
      <c r="B5330" s="0" t="s">
        <v>1600</v>
      </c>
      <c r="C5330" s="0" t="s">
        <v>1601</v>
      </c>
      <c r="D5330" s="0" t="n">
        <v>10</v>
      </c>
      <c r="E5330" s="6" t="n">
        <v>40863.3590277778</v>
      </c>
      <c r="F5330" s="0" t="n">
        <v>1.95</v>
      </c>
      <c r="G5330" s="0" t="n">
        <v>12621</v>
      </c>
      <c r="H5330" s="0" t="s">
        <v>33</v>
      </c>
      <c r="I5330" s="7" t="n">
        <f aca="false">IF(AND(LEFT(A5330,1)&lt;&gt;"C",D5330&gt;0,F5330&gt;0),1,0)</f>
        <v>1</v>
      </c>
      <c r="J5330" s="7" t="n">
        <f aca="false">IF(I5330=1,D5330*F5330,0)</f>
        <v>19.5</v>
      </c>
      <c r="K5330" s="7" t="n">
        <f aca="false">YEAR(E5330)*100+MONTH(E5330)</f>
        <v>201111</v>
      </c>
      <c r="L5330" s="7" t="n">
        <f aca="false">IF(AND(A5330&lt;&gt;A5329,LEFT(A5330,1)&lt;&gt;"C"),1,0)</f>
        <v>1</v>
      </c>
    </row>
    <row r="5331" customFormat="false" ht="15" hidden="false" customHeight="false" outlineLevel="0" collapsed="false">
      <c r="A5331" s="0" t="s">
        <v>3023</v>
      </c>
      <c r="B5331" s="0" t="s">
        <v>2780</v>
      </c>
      <c r="C5331" s="0" t="s">
        <v>2781</v>
      </c>
      <c r="D5331" s="0" t="n">
        <v>10</v>
      </c>
      <c r="E5331" s="6" t="n">
        <v>40863.3590277778</v>
      </c>
      <c r="F5331" s="0" t="n">
        <v>1.65</v>
      </c>
      <c r="G5331" s="0" t="n">
        <v>12621</v>
      </c>
      <c r="H5331" s="0" t="s">
        <v>33</v>
      </c>
      <c r="I5331" s="7" t="n">
        <f aca="false">IF(AND(LEFT(A5331,1)&lt;&gt;"C",D5331&gt;0,F5331&gt;0),1,0)</f>
        <v>1</v>
      </c>
      <c r="J5331" s="7" t="n">
        <f aca="false">IF(I5331=1,D5331*F5331,0)</f>
        <v>16.5</v>
      </c>
      <c r="K5331" s="7" t="n">
        <f aca="false">YEAR(E5331)*100+MONTH(E5331)</f>
        <v>201111</v>
      </c>
      <c r="L5331" s="7" t="n">
        <f aca="false">IF(AND(A5331&lt;&gt;A5330,LEFT(A5331,1)&lt;&gt;"C"),1,0)</f>
        <v>0</v>
      </c>
    </row>
    <row r="5332" customFormat="false" ht="15" hidden="false" customHeight="false" outlineLevel="0" collapsed="false">
      <c r="A5332" s="0" t="s">
        <v>3023</v>
      </c>
      <c r="B5332" s="0" t="s">
        <v>629</v>
      </c>
      <c r="C5332" s="0" t="s">
        <v>630</v>
      </c>
      <c r="D5332" s="0" t="n">
        <v>6</v>
      </c>
      <c r="E5332" s="6" t="n">
        <v>40863.3590277778</v>
      </c>
      <c r="F5332" s="0" t="n">
        <v>8.5</v>
      </c>
      <c r="G5332" s="0" t="n">
        <v>12621</v>
      </c>
      <c r="H5332" s="0" t="s">
        <v>33</v>
      </c>
      <c r="I5332" s="7" t="n">
        <f aca="false">IF(AND(LEFT(A5332,1)&lt;&gt;"C",D5332&gt;0,F5332&gt;0),1,0)</f>
        <v>1</v>
      </c>
      <c r="J5332" s="7" t="n">
        <f aca="false">IF(I5332=1,D5332*F5332,0)</f>
        <v>51</v>
      </c>
      <c r="K5332" s="7" t="n">
        <f aca="false">YEAR(E5332)*100+MONTH(E5332)</f>
        <v>201111</v>
      </c>
      <c r="L5332" s="7" t="n">
        <f aca="false">IF(AND(A5332&lt;&gt;A5331,LEFT(A5332,1)&lt;&gt;"C"),1,0)</f>
        <v>0</v>
      </c>
    </row>
    <row r="5333" customFormat="false" ht="15" hidden="false" customHeight="false" outlineLevel="0" collapsed="false">
      <c r="A5333" s="0" t="s">
        <v>3023</v>
      </c>
      <c r="B5333" s="0" t="s">
        <v>1583</v>
      </c>
      <c r="C5333" s="0" t="s">
        <v>1584</v>
      </c>
      <c r="D5333" s="0" t="n">
        <v>24</v>
      </c>
      <c r="E5333" s="6" t="n">
        <v>40863.3590277778</v>
      </c>
      <c r="F5333" s="0" t="n">
        <v>2.1</v>
      </c>
      <c r="G5333" s="0" t="n">
        <v>12621</v>
      </c>
      <c r="H5333" s="0" t="s">
        <v>33</v>
      </c>
      <c r="I5333" s="7" t="n">
        <f aca="false">IF(AND(LEFT(A5333,1)&lt;&gt;"C",D5333&gt;0,F5333&gt;0),1,0)</f>
        <v>1</v>
      </c>
      <c r="J5333" s="7" t="n">
        <f aca="false">IF(I5333=1,D5333*F5333,0)</f>
        <v>50.4</v>
      </c>
      <c r="K5333" s="7" t="n">
        <f aca="false">YEAR(E5333)*100+MONTH(E5333)</f>
        <v>201111</v>
      </c>
      <c r="L5333" s="7" t="n">
        <f aca="false">IF(AND(A5333&lt;&gt;A5332,LEFT(A5333,1)&lt;&gt;"C"),1,0)</f>
        <v>0</v>
      </c>
    </row>
    <row r="5334" customFormat="false" ht="15" hidden="false" customHeight="false" outlineLevel="0" collapsed="false">
      <c r="A5334" s="0" t="s">
        <v>3023</v>
      </c>
      <c r="B5334" s="0" t="s">
        <v>756</v>
      </c>
      <c r="C5334" s="0" t="s">
        <v>757</v>
      </c>
      <c r="D5334" s="0" t="n">
        <v>12</v>
      </c>
      <c r="E5334" s="6" t="n">
        <v>40863.3590277778</v>
      </c>
      <c r="F5334" s="0" t="n">
        <v>3.75</v>
      </c>
      <c r="G5334" s="0" t="n">
        <v>12621</v>
      </c>
      <c r="H5334" s="0" t="s">
        <v>33</v>
      </c>
      <c r="I5334" s="7" t="n">
        <f aca="false">IF(AND(LEFT(A5334,1)&lt;&gt;"C",D5334&gt;0,F5334&gt;0),1,0)</f>
        <v>1</v>
      </c>
      <c r="J5334" s="7" t="n">
        <f aca="false">IF(I5334=1,D5334*F5334,0)</f>
        <v>45</v>
      </c>
      <c r="K5334" s="7" t="n">
        <f aca="false">YEAR(E5334)*100+MONTH(E5334)</f>
        <v>201111</v>
      </c>
      <c r="L5334" s="7" t="n">
        <f aca="false">IF(AND(A5334&lt;&gt;A5333,LEFT(A5334,1)&lt;&gt;"C"),1,0)</f>
        <v>0</v>
      </c>
    </row>
    <row r="5335" customFormat="false" ht="15" hidden="false" customHeight="false" outlineLevel="0" collapsed="false">
      <c r="A5335" s="0" t="s">
        <v>3023</v>
      </c>
      <c r="B5335" s="0" t="s">
        <v>2244</v>
      </c>
      <c r="C5335" s="0" t="s">
        <v>2245</v>
      </c>
      <c r="D5335" s="0" t="n">
        <v>24</v>
      </c>
      <c r="E5335" s="6" t="n">
        <v>40863.3590277778</v>
      </c>
      <c r="F5335" s="0" t="n">
        <v>4.25</v>
      </c>
      <c r="G5335" s="0" t="n">
        <v>12621</v>
      </c>
      <c r="H5335" s="0" t="s">
        <v>33</v>
      </c>
      <c r="I5335" s="7" t="n">
        <f aca="false">IF(AND(LEFT(A5335,1)&lt;&gt;"C",D5335&gt;0,F5335&gt;0),1,0)</f>
        <v>1</v>
      </c>
      <c r="J5335" s="7" t="n">
        <f aca="false">IF(I5335=1,D5335*F5335,0)</f>
        <v>102</v>
      </c>
      <c r="K5335" s="7" t="n">
        <f aca="false">YEAR(E5335)*100+MONTH(E5335)</f>
        <v>201111</v>
      </c>
      <c r="L5335" s="7" t="n">
        <f aca="false">IF(AND(A5335&lt;&gt;A5334,LEFT(A5335,1)&lt;&gt;"C"),1,0)</f>
        <v>0</v>
      </c>
    </row>
    <row r="5336" customFormat="false" ht="15" hidden="false" customHeight="false" outlineLevel="0" collapsed="false">
      <c r="A5336" s="0" t="s">
        <v>3023</v>
      </c>
      <c r="B5336" s="0" t="s">
        <v>62</v>
      </c>
      <c r="C5336" s="0" t="s">
        <v>63</v>
      </c>
      <c r="D5336" s="0" t="n">
        <v>24</v>
      </c>
      <c r="E5336" s="6" t="n">
        <v>40863.3590277778</v>
      </c>
      <c r="F5336" s="0" t="n">
        <v>1.79</v>
      </c>
      <c r="G5336" s="0" t="n">
        <v>12621</v>
      </c>
      <c r="H5336" s="0" t="s">
        <v>33</v>
      </c>
      <c r="I5336" s="7" t="n">
        <f aca="false">IF(AND(LEFT(A5336,1)&lt;&gt;"C",D5336&gt;0,F5336&gt;0),1,0)</f>
        <v>1</v>
      </c>
      <c r="J5336" s="7" t="n">
        <f aca="false">IF(I5336=1,D5336*F5336,0)</f>
        <v>42.96</v>
      </c>
      <c r="K5336" s="7" t="n">
        <f aca="false">YEAR(E5336)*100+MONTH(E5336)</f>
        <v>201111</v>
      </c>
      <c r="L5336" s="7" t="n">
        <f aca="false">IF(AND(A5336&lt;&gt;A5335,LEFT(A5336,1)&lt;&gt;"C"),1,0)</f>
        <v>0</v>
      </c>
    </row>
    <row r="5337" customFormat="false" ht="15" hidden="false" customHeight="false" outlineLevel="0" collapsed="false">
      <c r="A5337" s="0" t="s">
        <v>3023</v>
      </c>
      <c r="B5337" s="0" t="s">
        <v>217</v>
      </c>
      <c r="C5337" s="0" t="s">
        <v>218</v>
      </c>
      <c r="D5337" s="0" t="n">
        <v>24</v>
      </c>
      <c r="E5337" s="6" t="n">
        <v>40863.3590277778</v>
      </c>
      <c r="F5337" s="0" t="n">
        <v>0.55</v>
      </c>
      <c r="G5337" s="0" t="n">
        <v>12621</v>
      </c>
      <c r="H5337" s="0" t="s">
        <v>33</v>
      </c>
      <c r="I5337" s="7" t="n">
        <f aca="false">IF(AND(LEFT(A5337,1)&lt;&gt;"C",D5337&gt;0,F5337&gt;0),1,0)</f>
        <v>1</v>
      </c>
      <c r="J5337" s="7" t="n">
        <f aca="false">IF(I5337=1,D5337*F5337,0)</f>
        <v>13.2</v>
      </c>
      <c r="K5337" s="7" t="n">
        <f aca="false">YEAR(E5337)*100+MONTH(E5337)</f>
        <v>201111</v>
      </c>
      <c r="L5337" s="7" t="n">
        <f aca="false">IF(AND(A5337&lt;&gt;A5336,LEFT(A5337,1)&lt;&gt;"C"),1,0)</f>
        <v>0</v>
      </c>
    </row>
    <row r="5338" customFormat="false" ht="15" hidden="false" customHeight="false" outlineLevel="0" collapsed="false">
      <c r="A5338" s="0" t="s">
        <v>3023</v>
      </c>
      <c r="B5338" s="0" t="s">
        <v>1059</v>
      </c>
      <c r="C5338" s="0" t="s">
        <v>1060</v>
      </c>
      <c r="D5338" s="0" t="n">
        <v>24</v>
      </c>
      <c r="E5338" s="6" t="n">
        <v>40863.3590277778</v>
      </c>
      <c r="F5338" s="0" t="n">
        <v>2.08</v>
      </c>
      <c r="G5338" s="0" t="n">
        <v>12621</v>
      </c>
      <c r="H5338" s="0" t="s">
        <v>33</v>
      </c>
      <c r="I5338" s="7" t="n">
        <f aca="false">IF(AND(LEFT(A5338,1)&lt;&gt;"C",D5338&gt;0,F5338&gt;0),1,0)</f>
        <v>1</v>
      </c>
      <c r="J5338" s="7" t="n">
        <f aca="false">IF(I5338=1,D5338*F5338,0)</f>
        <v>49.92</v>
      </c>
      <c r="K5338" s="7" t="n">
        <f aca="false">YEAR(E5338)*100+MONTH(E5338)</f>
        <v>201111</v>
      </c>
      <c r="L5338" s="7" t="n">
        <f aca="false">IF(AND(A5338&lt;&gt;A5337,LEFT(A5338,1)&lt;&gt;"C"),1,0)</f>
        <v>0</v>
      </c>
    </row>
    <row r="5339" customFormat="false" ht="15" hidden="false" customHeight="false" outlineLevel="0" collapsed="false">
      <c r="A5339" s="0" t="s">
        <v>3023</v>
      </c>
      <c r="B5339" s="0" t="s">
        <v>830</v>
      </c>
      <c r="C5339" s="0" t="s">
        <v>831</v>
      </c>
      <c r="D5339" s="0" t="n">
        <v>24</v>
      </c>
      <c r="E5339" s="6" t="n">
        <v>40863.3590277778</v>
      </c>
      <c r="F5339" s="0" t="n">
        <v>0.83</v>
      </c>
      <c r="G5339" s="0" t="n">
        <v>12621</v>
      </c>
      <c r="H5339" s="0" t="s">
        <v>33</v>
      </c>
      <c r="I5339" s="7" t="n">
        <f aca="false">IF(AND(LEFT(A5339,1)&lt;&gt;"C",D5339&gt;0,F5339&gt;0),1,0)</f>
        <v>1</v>
      </c>
      <c r="J5339" s="7" t="n">
        <f aca="false">IF(I5339=1,D5339*F5339,0)</f>
        <v>19.92</v>
      </c>
      <c r="K5339" s="7" t="n">
        <f aca="false">YEAR(E5339)*100+MONTH(E5339)</f>
        <v>201111</v>
      </c>
      <c r="L5339" s="7" t="n">
        <f aca="false">IF(AND(A5339&lt;&gt;A5338,LEFT(A5339,1)&lt;&gt;"C"),1,0)</f>
        <v>0</v>
      </c>
    </row>
    <row r="5340" customFormat="false" ht="15" hidden="false" customHeight="false" outlineLevel="0" collapsed="false">
      <c r="A5340" s="0" t="s">
        <v>3023</v>
      </c>
      <c r="B5340" s="0" t="s">
        <v>594</v>
      </c>
      <c r="C5340" s="0" t="s">
        <v>595</v>
      </c>
      <c r="D5340" s="0" t="n">
        <v>24</v>
      </c>
      <c r="E5340" s="6" t="n">
        <v>40863.3590277778</v>
      </c>
      <c r="F5340" s="0" t="n">
        <v>2.08</v>
      </c>
      <c r="G5340" s="0" t="n">
        <v>12621</v>
      </c>
      <c r="H5340" s="0" t="s">
        <v>33</v>
      </c>
      <c r="I5340" s="7" t="n">
        <f aca="false">IF(AND(LEFT(A5340,1)&lt;&gt;"C",D5340&gt;0,F5340&gt;0),1,0)</f>
        <v>1</v>
      </c>
      <c r="J5340" s="7" t="n">
        <f aca="false">IF(I5340=1,D5340*F5340,0)</f>
        <v>49.92</v>
      </c>
      <c r="K5340" s="7" t="n">
        <f aca="false">YEAR(E5340)*100+MONTH(E5340)</f>
        <v>201111</v>
      </c>
      <c r="L5340" s="7" t="n">
        <f aca="false">IF(AND(A5340&lt;&gt;A5339,LEFT(A5340,1)&lt;&gt;"C"),1,0)</f>
        <v>0</v>
      </c>
    </row>
    <row r="5341" customFormat="false" ht="15" hidden="false" customHeight="false" outlineLevel="0" collapsed="false">
      <c r="A5341" s="0" t="s">
        <v>3023</v>
      </c>
      <c r="B5341" s="0" t="s">
        <v>2148</v>
      </c>
      <c r="C5341" s="0" t="s">
        <v>2149</v>
      </c>
      <c r="D5341" s="0" t="n">
        <v>12</v>
      </c>
      <c r="E5341" s="6" t="n">
        <v>40863.3590277778</v>
      </c>
      <c r="F5341" s="0" t="n">
        <v>2.08</v>
      </c>
      <c r="G5341" s="0" t="n">
        <v>12621</v>
      </c>
      <c r="H5341" s="0" t="s">
        <v>33</v>
      </c>
      <c r="I5341" s="7" t="n">
        <f aca="false">IF(AND(LEFT(A5341,1)&lt;&gt;"C",D5341&gt;0,F5341&gt;0),1,0)</f>
        <v>1</v>
      </c>
      <c r="J5341" s="7" t="n">
        <f aca="false">IF(I5341=1,D5341*F5341,0)</f>
        <v>24.96</v>
      </c>
      <c r="K5341" s="7" t="n">
        <f aca="false">YEAR(E5341)*100+MONTH(E5341)</f>
        <v>201111</v>
      </c>
      <c r="L5341" s="7" t="n">
        <f aca="false">IF(AND(A5341&lt;&gt;A5340,LEFT(A5341,1)&lt;&gt;"C"),1,0)</f>
        <v>0</v>
      </c>
    </row>
    <row r="5342" customFormat="false" ht="15" hidden="false" customHeight="false" outlineLevel="0" collapsed="false">
      <c r="A5342" s="0" t="s">
        <v>3023</v>
      </c>
      <c r="B5342" s="0" t="s">
        <v>450</v>
      </c>
      <c r="C5342" s="0" t="s">
        <v>451</v>
      </c>
      <c r="D5342" s="0" t="n">
        <v>6</v>
      </c>
      <c r="E5342" s="6" t="n">
        <v>40863.3590277778</v>
      </c>
      <c r="F5342" s="0" t="n">
        <v>2.95</v>
      </c>
      <c r="G5342" s="0" t="n">
        <v>12621</v>
      </c>
      <c r="H5342" s="0" t="s">
        <v>33</v>
      </c>
      <c r="I5342" s="7" t="n">
        <f aca="false">IF(AND(LEFT(A5342,1)&lt;&gt;"C",D5342&gt;0,F5342&gt;0),1,0)</f>
        <v>1</v>
      </c>
      <c r="J5342" s="7" t="n">
        <f aca="false">IF(I5342=1,D5342*F5342,0)</f>
        <v>17.7</v>
      </c>
      <c r="K5342" s="7" t="n">
        <f aca="false">YEAR(E5342)*100+MONTH(E5342)</f>
        <v>201111</v>
      </c>
      <c r="L5342" s="7" t="n">
        <f aca="false">IF(AND(A5342&lt;&gt;A5341,LEFT(A5342,1)&lt;&gt;"C"),1,0)</f>
        <v>0</v>
      </c>
    </row>
    <row r="5343" customFormat="false" ht="15" hidden="false" customHeight="false" outlineLevel="0" collapsed="false">
      <c r="A5343" s="0" t="s">
        <v>3023</v>
      </c>
      <c r="B5343" s="0" t="s">
        <v>569</v>
      </c>
      <c r="C5343" s="0" t="s">
        <v>570</v>
      </c>
      <c r="D5343" s="0" t="n">
        <v>10</v>
      </c>
      <c r="E5343" s="6" t="n">
        <v>40863.3590277778</v>
      </c>
      <c r="F5343" s="0" t="n">
        <v>2.08</v>
      </c>
      <c r="G5343" s="0" t="n">
        <v>12621</v>
      </c>
      <c r="H5343" s="0" t="s">
        <v>33</v>
      </c>
      <c r="I5343" s="7" t="n">
        <f aca="false">IF(AND(LEFT(A5343,1)&lt;&gt;"C",D5343&gt;0,F5343&gt;0),1,0)</f>
        <v>1</v>
      </c>
      <c r="J5343" s="7" t="n">
        <f aca="false">IF(I5343=1,D5343*F5343,0)</f>
        <v>20.8</v>
      </c>
      <c r="K5343" s="7" t="n">
        <f aca="false">YEAR(E5343)*100+MONTH(E5343)</f>
        <v>201111</v>
      </c>
      <c r="L5343" s="7" t="n">
        <f aca="false">IF(AND(A5343&lt;&gt;A5342,LEFT(A5343,1)&lt;&gt;"C"),1,0)</f>
        <v>0</v>
      </c>
    </row>
    <row r="5344" customFormat="false" ht="15" hidden="false" customHeight="false" outlineLevel="0" collapsed="false">
      <c r="A5344" s="0" t="s">
        <v>3023</v>
      </c>
      <c r="B5344" s="0" t="s">
        <v>1348</v>
      </c>
      <c r="C5344" s="0" t="s">
        <v>1349</v>
      </c>
      <c r="D5344" s="0" t="n">
        <v>6</v>
      </c>
      <c r="E5344" s="6" t="n">
        <v>40863.3590277778</v>
      </c>
      <c r="F5344" s="0" t="n">
        <v>1.95</v>
      </c>
      <c r="G5344" s="0" t="n">
        <v>12621</v>
      </c>
      <c r="H5344" s="0" t="s">
        <v>33</v>
      </c>
      <c r="I5344" s="7" t="n">
        <f aca="false">IF(AND(LEFT(A5344,1)&lt;&gt;"C",D5344&gt;0,F5344&gt;0),1,0)</f>
        <v>1</v>
      </c>
      <c r="J5344" s="7" t="n">
        <f aca="false">IF(I5344=1,D5344*F5344,0)</f>
        <v>11.7</v>
      </c>
      <c r="K5344" s="7" t="n">
        <f aca="false">YEAR(E5344)*100+MONTH(E5344)</f>
        <v>201111</v>
      </c>
      <c r="L5344" s="7" t="n">
        <f aca="false">IF(AND(A5344&lt;&gt;A5343,LEFT(A5344,1)&lt;&gt;"C"),1,0)</f>
        <v>0</v>
      </c>
    </row>
    <row r="5345" customFormat="false" ht="15" hidden="false" customHeight="false" outlineLevel="0" collapsed="false">
      <c r="A5345" s="0" t="s">
        <v>3023</v>
      </c>
      <c r="B5345" s="0" t="s">
        <v>2235</v>
      </c>
      <c r="C5345" s="0" t="s">
        <v>2236</v>
      </c>
      <c r="D5345" s="0" t="n">
        <v>10</v>
      </c>
      <c r="E5345" s="6" t="n">
        <v>40863.3590277778</v>
      </c>
      <c r="F5345" s="0" t="n">
        <v>2.08</v>
      </c>
      <c r="G5345" s="0" t="n">
        <v>12621</v>
      </c>
      <c r="H5345" s="0" t="s">
        <v>33</v>
      </c>
      <c r="I5345" s="7" t="n">
        <f aca="false">IF(AND(LEFT(A5345,1)&lt;&gt;"C",D5345&gt;0,F5345&gt;0),1,0)</f>
        <v>1</v>
      </c>
      <c r="J5345" s="7" t="n">
        <f aca="false">IF(I5345=1,D5345*F5345,0)</f>
        <v>20.8</v>
      </c>
      <c r="K5345" s="7" t="n">
        <f aca="false">YEAR(E5345)*100+MONTH(E5345)</f>
        <v>201111</v>
      </c>
      <c r="L5345" s="7" t="n">
        <f aca="false">IF(AND(A5345&lt;&gt;A5344,LEFT(A5345,1)&lt;&gt;"C"),1,0)</f>
        <v>0</v>
      </c>
    </row>
    <row r="5346" customFormat="false" ht="15" hidden="false" customHeight="false" outlineLevel="0" collapsed="false">
      <c r="A5346" s="0" t="s">
        <v>3023</v>
      </c>
      <c r="B5346" s="0" t="s">
        <v>84</v>
      </c>
      <c r="C5346" s="0" t="s">
        <v>85</v>
      </c>
      <c r="D5346" s="0" t="n">
        <v>3</v>
      </c>
      <c r="E5346" s="6" t="n">
        <v>40863.3590277778</v>
      </c>
      <c r="F5346" s="0" t="n">
        <v>18</v>
      </c>
      <c r="G5346" s="0" t="n">
        <v>12621</v>
      </c>
      <c r="H5346" s="0" t="s">
        <v>33</v>
      </c>
      <c r="I5346" s="7" t="n">
        <f aca="false">IF(AND(LEFT(A5346,1)&lt;&gt;"C",D5346&gt;0,F5346&gt;0),1,0)</f>
        <v>1</v>
      </c>
      <c r="J5346" s="7" t="n">
        <f aca="false">IF(I5346=1,D5346*F5346,0)</f>
        <v>54</v>
      </c>
      <c r="K5346" s="7" t="n">
        <f aca="false">YEAR(E5346)*100+MONTH(E5346)</f>
        <v>201111</v>
      </c>
      <c r="L5346" s="7" t="n">
        <f aca="false">IF(AND(A5346&lt;&gt;A5345,LEFT(A5346,1)&lt;&gt;"C"),1,0)</f>
        <v>0</v>
      </c>
    </row>
    <row r="5347" customFormat="false" ht="15" hidden="false" customHeight="false" outlineLevel="0" collapsed="false">
      <c r="A5347" s="0" t="s">
        <v>3024</v>
      </c>
      <c r="B5347" s="0" t="s">
        <v>123</v>
      </c>
      <c r="C5347" s="0" t="s">
        <v>124</v>
      </c>
      <c r="D5347" s="0" t="n">
        <v>18</v>
      </c>
      <c r="E5347" s="6" t="n">
        <v>40863.3597222222</v>
      </c>
      <c r="F5347" s="0" t="n">
        <v>2.95</v>
      </c>
      <c r="G5347" s="0" t="n">
        <v>13816</v>
      </c>
      <c r="H5347" s="0" t="s">
        <v>33</v>
      </c>
      <c r="I5347" s="7" t="n">
        <f aca="false">IF(AND(LEFT(A5347,1)&lt;&gt;"C",D5347&gt;0,F5347&gt;0),1,0)</f>
        <v>1</v>
      </c>
      <c r="J5347" s="7" t="n">
        <f aca="false">IF(I5347=1,D5347*F5347,0)</f>
        <v>53.1</v>
      </c>
      <c r="K5347" s="7" t="n">
        <f aca="false">YEAR(E5347)*100+MONTH(E5347)</f>
        <v>201111</v>
      </c>
      <c r="L5347" s="7" t="n">
        <f aca="false">IF(AND(A5347&lt;&gt;A5346,LEFT(A5347,1)&lt;&gt;"C"),1,0)</f>
        <v>1</v>
      </c>
    </row>
    <row r="5348" customFormat="false" ht="15" hidden="false" customHeight="false" outlineLevel="0" collapsed="false">
      <c r="A5348" s="0" t="s">
        <v>3024</v>
      </c>
      <c r="B5348" s="0" t="s">
        <v>1851</v>
      </c>
      <c r="C5348" s="0" t="s">
        <v>1852</v>
      </c>
      <c r="D5348" s="0" t="n">
        <v>12</v>
      </c>
      <c r="E5348" s="6" t="n">
        <v>40863.3597222222</v>
      </c>
      <c r="F5348" s="0" t="n">
        <v>1.25</v>
      </c>
      <c r="G5348" s="0" t="n">
        <v>13816</v>
      </c>
      <c r="H5348" s="0" t="s">
        <v>33</v>
      </c>
      <c r="I5348" s="7" t="n">
        <f aca="false">IF(AND(LEFT(A5348,1)&lt;&gt;"C",D5348&gt;0,F5348&gt;0),1,0)</f>
        <v>1</v>
      </c>
      <c r="J5348" s="7" t="n">
        <f aca="false">IF(I5348=1,D5348*F5348,0)</f>
        <v>15</v>
      </c>
      <c r="K5348" s="7" t="n">
        <f aca="false">YEAR(E5348)*100+MONTH(E5348)</f>
        <v>201111</v>
      </c>
      <c r="L5348" s="7" t="n">
        <f aca="false">IF(AND(A5348&lt;&gt;A5347,LEFT(A5348,1)&lt;&gt;"C"),1,0)</f>
        <v>0</v>
      </c>
    </row>
    <row r="5349" customFormat="false" ht="15" hidden="false" customHeight="false" outlineLevel="0" collapsed="false">
      <c r="A5349" s="0" t="s">
        <v>3024</v>
      </c>
      <c r="B5349" s="0" t="s">
        <v>66</v>
      </c>
      <c r="C5349" s="0" t="s">
        <v>67</v>
      </c>
      <c r="D5349" s="0" t="n">
        <v>6</v>
      </c>
      <c r="E5349" s="6" t="n">
        <v>40863.3597222222</v>
      </c>
      <c r="F5349" s="0" t="n">
        <v>2.95</v>
      </c>
      <c r="G5349" s="0" t="n">
        <v>13816</v>
      </c>
      <c r="H5349" s="0" t="s">
        <v>33</v>
      </c>
      <c r="I5349" s="7" t="n">
        <f aca="false">IF(AND(LEFT(A5349,1)&lt;&gt;"C",D5349&gt;0,F5349&gt;0),1,0)</f>
        <v>1</v>
      </c>
      <c r="J5349" s="7" t="n">
        <f aca="false">IF(I5349=1,D5349*F5349,0)</f>
        <v>17.7</v>
      </c>
      <c r="K5349" s="7" t="n">
        <f aca="false">YEAR(E5349)*100+MONTH(E5349)</f>
        <v>201111</v>
      </c>
      <c r="L5349" s="7" t="n">
        <f aca="false">IF(AND(A5349&lt;&gt;A5348,LEFT(A5349,1)&lt;&gt;"C"),1,0)</f>
        <v>0</v>
      </c>
    </row>
    <row r="5350" customFormat="false" ht="15" hidden="false" customHeight="false" outlineLevel="0" collapsed="false">
      <c r="A5350" s="0" t="s">
        <v>3024</v>
      </c>
      <c r="B5350" s="0" t="s">
        <v>463</v>
      </c>
      <c r="C5350" s="0" t="s">
        <v>464</v>
      </c>
      <c r="D5350" s="0" t="n">
        <v>2</v>
      </c>
      <c r="E5350" s="6" t="n">
        <v>40863.3597222222</v>
      </c>
      <c r="F5350" s="0" t="n">
        <v>7.95</v>
      </c>
      <c r="G5350" s="0" t="n">
        <v>13816</v>
      </c>
      <c r="H5350" s="0" t="s">
        <v>33</v>
      </c>
      <c r="I5350" s="7" t="n">
        <f aca="false">IF(AND(LEFT(A5350,1)&lt;&gt;"C",D5350&gt;0,F5350&gt;0),1,0)</f>
        <v>1</v>
      </c>
      <c r="J5350" s="7" t="n">
        <f aca="false">IF(I5350=1,D5350*F5350,0)</f>
        <v>15.9</v>
      </c>
      <c r="K5350" s="7" t="n">
        <f aca="false">YEAR(E5350)*100+MONTH(E5350)</f>
        <v>201111</v>
      </c>
      <c r="L5350" s="7" t="n">
        <f aca="false">IF(AND(A5350&lt;&gt;A5349,LEFT(A5350,1)&lt;&gt;"C"),1,0)</f>
        <v>0</v>
      </c>
    </row>
    <row r="5351" customFormat="false" ht="15" hidden="false" customHeight="false" outlineLevel="0" collapsed="false">
      <c r="A5351" s="0" t="s">
        <v>3024</v>
      </c>
      <c r="B5351" s="0" t="s">
        <v>3025</v>
      </c>
      <c r="C5351" s="0" t="s">
        <v>3026</v>
      </c>
      <c r="D5351" s="0" t="n">
        <v>6</v>
      </c>
      <c r="E5351" s="6" t="n">
        <v>40863.3597222222</v>
      </c>
      <c r="F5351" s="0" t="n">
        <v>2.95</v>
      </c>
      <c r="G5351" s="0" t="n">
        <v>13816</v>
      </c>
      <c r="H5351" s="0" t="s">
        <v>33</v>
      </c>
      <c r="I5351" s="7" t="n">
        <f aca="false">IF(AND(LEFT(A5351,1)&lt;&gt;"C",D5351&gt;0,F5351&gt;0),1,0)</f>
        <v>1</v>
      </c>
      <c r="J5351" s="7" t="n">
        <f aca="false">IF(I5351=1,D5351*F5351,0)</f>
        <v>17.7</v>
      </c>
      <c r="K5351" s="7" t="n">
        <f aca="false">YEAR(E5351)*100+MONTH(E5351)</f>
        <v>201111</v>
      </c>
      <c r="L5351" s="7" t="n">
        <f aca="false">IF(AND(A5351&lt;&gt;A5350,LEFT(A5351,1)&lt;&gt;"C"),1,0)</f>
        <v>0</v>
      </c>
    </row>
    <row r="5352" customFormat="false" ht="15" hidden="false" customHeight="false" outlineLevel="0" collapsed="false">
      <c r="A5352" s="0" t="s">
        <v>3024</v>
      </c>
      <c r="B5352" s="0" t="s">
        <v>2831</v>
      </c>
      <c r="C5352" s="0" t="s">
        <v>2832</v>
      </c>
      <c r="D5352" s="0" t="n">
        <v>6</v>
      </c>
      <c r="E5352" s="6" t="n">
        <v>40863.3597222222</v>
      </c>
      <c r="F5352" s="0" t="n">
        <v>2.95</v>
      </c>
      <c r="G5352" s="0" t="n">
        <v>13816</v>
      </c>
      <c r="H5352" s="0" t="s">
        <v>33</v>
      </c>
      <c r="I5352" s="7" t="n">
        <f aca="false">IF(AND(LEFT(A5352,1)&lt;&gt;"C",D5352&gt;0,F5352&gt;0),1,0)</f>
        <v>1</v>
      </c>
      <c r="J5352" s="7" t="n">
        <f aca="false">IF(I5352=1,D5352*F5352,0)</f>
        <v>17.7</v>
      </c>
      <c r="K5352" s="7" t="n">
        <f aca="false">YEAR(E5352)*100+MONTH(E5352)</f>
        <v>201111</v>
      </c>
      <c r="L5352" s="7" t="n">
        <f aca="false">IF(AND(A5352&lt;&gt;A5351,LEFT(A5352,1)&lt;&gt;"C"),1,0)</f>
        <v>0</v>
      </c>
    </row>
    <row r="5353" customFormat="false" ht="15" hidden="false" customHeight="false" outlineLevel="0" collapsed="false">
      <c r="A5353" s="0" t="s">
        <v>3024</v>
      </c>
      <c r="B5353" s="0" t="s">
        <v>2650</v>
      </c>
      <c r="C5353" s="0" t="s">
        <v>2651</v>
      </c>
      <c r="D5353" s="0" t="n">
        <v>12</v>
      </c>
      <c r="E5353" s="6" t="n">
        <v>40863.3597222222</v>
      </c>
      <c r="F5353" s="0" t="n">
        <v>0.83</v>
      </c>
      <c r="G5353" s="0" t="n">
        <v>13816</v>
      </c>
      <c r="H5353" s="0" t="s">
        <v>33</v>
      </c>
      <c r="I5353" s="7" t="n">
        <f aca="false">IF(AND(LEFT(A5353,1)&lt;&gt;"C",D5353&gt;0,F5353&gt;0),1,0)</f>
        <v>1</v>
      </c>
      <c r="J5353" s="7" t="n">
        <f aca="false">IF(I5353=1,D5353*F5353,0)</f>
        <v>9.96</v>
      </c>
      <c r="K5353" s="7" t="n">
        <f aca="false">YEAR(E5353)*100+MONTH(E5353)</f>
        <v>201111</v>
      </c>
      <c r="L5353" s="7" t="n">
        <f aca="false">IF(AND(A5353&lt;&gt;A5352,LEFT(A5353,1)&lt;&gt;"C"),1,0)</f>
        <v>0</v>
      </c>
    </row>
    <row r="5354" customFormat="false" ht="15" hidden="false" customHeight="false" outlineLevel="0" collapsed="false">
      <c r="A5354" s="0" t="s">
        <v>3024</v>
      </c>
      <c r="B5354" s="0" t="s">
        <v>2705</v>
      </c>
      <c r="C5354" s="0" t="s">
        <v>2706</v>
      </c>
      <c r="D5354" s="0" t="n">
        <v>12</v>
      </c>
      <c r="E5354" s="6" t="n">
        <v>40863.3597222222</v>
      </c>
      <c r="F5354" s="0" t="n">
        <v>0.83</v>
      </c>
      <c r="G5354" s="0" t="n">
        <v>13816</v>
      </c>
      <c r="H5354" s="0" t="s">
        <v>33</v>
      </c>
      <c r="I5354" s="7" t="n">
        <f aca="false">IF(AND(LEFT(A5354,1)&lt;&gt;"C",D5354&gt;0,F5354&gt;0),1,0)</f>
        <v>1</v>
      </c>
      <c r="J5354" s="7" t="n">
        <f aca="false">IF(I5354=1,D5354*F5354,0)</f>
        <v>9.96</v>
      </c>
      <c r="K5354" s="7" t="n">
        <f aca="false">YEAR(E5354)*100+MONTH(E5354)</f>
        <v>201111</v>
      </c>
      <c r="L5354" s="7" t="n">
        <f aca="false">IF(AND(A5354&lt;&gt;A5353,LEFT(A5354,1)&lt;&gt;"C"),1,0)</f>
        <v>0</v>
      </c>
    </row>
    <row r="5355" customFormat="false" ht="15" hidden="false" customHeight="false" outlineLevel="0" collapsed="false">
      <c r="A5355" s="0" t="s">
        <v>3024</v>
      </c>
      <c r="B5355" s="0" t="s">
        <v>2591</v>
      </c>
      <c r="C5355" s="0" t="s">
        <v>2592</v>
      </c>
      <c r="D5355" s="0" t="n">
        <v>12</v>
      </c>
      <c r="E5355" s="6" t="n">
        <v>40863.3597222222</v>
      </c>
      <c r="F5355" s="0" t="n">
        <v>0.83</v>
      </c>
      <c r="G5355" s="0" t="n">
        <v>13816</v>
      </c>
      <c r="H5355" s="0" t="s">
        <v>33</v>
      </c>
      <c r="I5355" s="7" t="n">
        <f aca="false">IF(AND(LEFT(A5355,1)&lt;&gt;"C",D5355&gt;0,F5355&gt;0),1,0)</f>
        <v>1</v>
      </c>
      <c r="J5355" s="7" t="n">
        <f aca="false">IF(I5355=1,D5355*F5355,0)</f>
        <v>9.96</v>
      </c>
      <c r="K5355" s="7" t="n">
        <f aca="false">YEAR(E5355)*100+MONTH(E5355)</f>
        <v>201111</v>
      </c>
      <c r="L5355" s="7" t="n">
        <f aca="false">IF(AND(A5355&lt;&gt;A5354,LEFT(A5355,1)&lt;&gt;"C"),1,0)</f>
        <v>0</v>
      </c>
    </row>
    <row r="5356" customFormat="false" ht="15" hidden="false" customHeight="false" outlineLevel="0" collapsed="false">
      <c r="A5356" s="0" t="s">
        <v>3024</v>
      </c>
      <c r="B5356" s="0" t="s">
        <v>2573</v>
      </c>
      <c r="C5356" s="0" t="s">
        <v>2574</v>
      </c>
      <c r="D5356" s="0" t="n">
        <v>4</v>
      </c>
      <c r="E5356" s="6" t="n">
        <v>40863.3597222222</v>
      </c>
      <c r="F5356" s="0" t="n">
        <v>3.75</v>
      </c>
      <c r="G5356" s="0" t="n">
        <v>13816</v>
      </c>
      <c r="H5356" s="0" t="s">
        <v>33</v>
      </c>
      <c r="I5356" s="7" t="n">
        <f aca="false">IF(AND(LEFT(A5356,1)&lt;&gt;"C",D5356&gt;0,F5356&gt;0),1,0)</f>
        <v>1</v>
      </c>
      <c r="J5356" s="7" t="n">
        <f aca="false">IF(I5356=1,D5356*F5356,0)</f>
        <v>15</v>
      </c>
      <c r="K5356" s="7" t="n">
        <f aca="false">YEAR(E5356)*100+MONTH(E5356)</f>
        <v>201111</v>
      </c>
      <c r="L5356" s="7" t="n">
        <f aca="false">IF(AND(A5356&lt;&gt;A5355,LEFT(A5356,1)&lt;&gt;"C"),1,0)</f>
        <v>0</v>
      </c>
    </row>
    <row r="5357" customFormat="false" ht="15" hidden="false" customHeight="false" outlineLevel="0" collapsed="false">
      <c r="A5357" s="0" t="s">
        <v>3024</v>
      </c>
      <c r="B5357" s="0" t="s">
        <v>84</v>
      </c>
      <c r="C5357" s="0" t="s">
        <v>85</v>
      </c>
      <c r="D5357" s="0" t="n">
        <v>1</v>
      </c>
      <c r="E5357" s="6" t="n">
        <v>40863.3597222222</v>
      </c>
      <c r="F5357" s="0" t="n">
        <v>18</v>
      </c>
      <c r="G5357" s="0" t="n">
        <v>13816</v>
      </c>
      <c r="H5357" s="0" t="s">
        <v>33</v>
      </c>
      <c r="I5357" s="7" t="n">
        <f aca="false">IF(AND(LEFT(A5357,1)&lt;&gt;"C",D5357&gt;0,F5357&gt;0),1,0)</f>
        <v>1</v>
      </c>
      <c r="J5357" s="7" t="n">
        <f aca="false">IF(I5357=1,D5357*F5357,0)</f>
        <v>18</v>
      </c>
      <c r="K5357" s="7" t="n">
        <f aca="false">YEAR(E5357)*100+MONTH(E5357)</f>
        <v>201111</v>
      </c>
      <c r="L5357" s="7" t="n">
        <f aca="false">IF(AND(A5357&lt;&gt;A5356,LEFT(A5357,1)&lt;&gt;"C"),1,0)</f>
        <v>0</v>
      </c>
    </row>
    <row r="5358" customFormat="false" ht="15" hidden="false" customHeight="false" outlineLevel="0" collapsed="false">
      <c r="A5358" s="0" t="s">
        <v>3027</v>
      </c>
      <c r="B5358" s="0" t="s">
        <v>2966</v>
      </c>
      <c r="C5358" s="0" t="s">
        <v>2967</v>
      </c>
      <c r="D5358" s="0" t="n">
        <v>10</v>
      </c>
      <c r="E5358" s="6" t="n">
        <v>40863.4604166667</v>
      </c>
      <c r="F5358" s="0" t="n">
        <v>2.08</v>
      </c>
      <c r="G5358" s="0" t="n">
        <v>12720</v>
      </c>
      <c r="H5358" s="0" t="s">
        <v>33</v>
      </c>
      <c r="I5358" s="7" t="n">
        <f aca="false">IF(AND(LEFT(A5358,1)&lt;&gt;"C",D5358&gt;0,F5358&gt;0),1,0)</f>
        <v>1</v>
      </c>
      <c r="J5358" s="7" t="n">
        <f aca="false">IF(I5358=1,D5358*F5358,0)</f>
        <v>20.8</v>
      </c>
      <c r="K5358" s="7" t="n">
        <f aca="false">YEAR(E5358)*100+MONTH(E5358)</f>
        <v>201111</v>
      </c>
      <c r="L5358" s="7" t="n">
        <f aca="false">IF(AND(A5358&lt;&gt;A5357,LEFT(A5358,1)&lt;&gt;"C"),1,0)</f>
        <v>1</v>
      </c>
    </row>
    <row r="5359" customFormat="false" ht="15" hidden="false" customHeight="false" outlineLevel="0" collapsed="false">
      <c r="A5359" s="0" t="s">
        <v>3027</v>
      </c>
      <c r="B5359" s="0" t="s">
        <v>2804</v>
      </c>
      <c r="C5359" s="0" t="s">
        <v>2805</v>
      </c>
      <c r="D5359" s="0" t="n">
        <v>10</v>
      </c>
      <c r="E5359" s="6" t="n">
        <v>40863.4604166667</v>
      </c>
      <c r="F5359" s="0" t="n">
        <v>2.08</v>
      </c>
      <c r="G5359" s="0" t="n">
        <v>12720</v>
      </c>
      <c r="H5359" s="0" t="s">
        <v>33</v>
      </c>
      <c r="I5359" s="7" t="n">
        <f aca="false">IF(AND(LEFT(A5359,1)&lt;&gt;"C",D5359&gt;0,F5359&gt;0),1,0)</f>
        <v>1</v>
      </c>
      <c r="J5359" s="7" t="n">
        <f aca="false">IF(I5359=1,D5359*F5359,0)</f>
        <v>20.8</v>
      </c>
      <c r="K5359" s="7" t="n">
        <f aca="false">YEAR(E5359)*100+MONTH(E5359)</f>
        <v>201111</v>
      </c>
      <c r="L5359" s="7" t="n">
        <f aca="false">IF(AND(A5359&lt;&gt;A5358,LEFT(A5359,1)&lt;&gt;"C"),1,0)</f>
        <v>0</v>
      </c>
    </row>
    <row r="5360" customFormat="false" ht="15" hidden="false" customHeight="false" outlineLevel="0" collapsed="false">
      <c r="A5360" s="0" t="s">
        <v>3027</v>
      </c>
      <c r="B5360" s="0" t="s">
        <v>2780</v>
      </c>
      <c r="C5360" s="0" t="s">
        <v>2781</v>
      </c>
      <c r="D5360" s="0" t="n">
        <v>10</v>
      </c>
      <c r="E5360" s="6" t="n">
        <v>40863.4604166667</v>
      </c>
      <c r="F5360" s="0" t="n">
        <v>1.65</v>
      </c>
      <c r="G5360" s="0" t="n">
        <v>12720</v>
      </c>
      <c r="H5360" s="0" t="s">
        <v>33</v>
      </c>
      <c r="I5360" s="7" t="n">
        <f aca="false">IF(AND(LEFT(A5360,1)&lt;&gt;"C",D5360&gt;0,F5360&gt;0),1,0)</f>
        <v>1</v>
      </c>
      <c r="J5360" s="7" t="n">
        <f aca="false">IF(I5360=1,D5360*F5360,0)</f>
        <v>16.5</v>
      </c>
      <c r="K5360" s="7" t="n">
        <f aca="false">YEAR(E5360)*100+MONTH(E5360)</f>
        <v>201111</v>
      </c>
      <c r="L5360" s="7" t="n">
        <f aca="false">IF(AND(A5360&lt;&gt;A5359,LEFT(A5360,1)&lt;&gt;"C"),1,0)</f>
        <v>0</v>
      </c>
    </row>
    <row r="5361" customFormat="false" ht="15" hidden="false" customHeight="false" outlineLevel="0" collapsed="false">
      <c r="A5361" s="0" t="s">
        <v>3027</v>
      </c>
      <c r="B5361" s="0" t="s">
        <v>1686</v>
      </c>
      <c r="C5361" s="0" t="s">
        <v>1687</v>
      </c>
      <c r="D5361" s="0" t="n">
        <v>12</v>
      </c>
      <c r="E5361" s="6" t="n">
        <v>40863.4604166667</v>
      </c>
      <c r="F5361" s="0" t="n">
        <v>0.85</v>
      </c>
      <c r="G5361" s="0" t="n">
        <v>12720</v>
      </c>
      <c r="H5361" s="0" t="s">
        <v>33</v>
      </c>
      <c r="I5361" s="7" t="n">
        <f aca="false">IF(AND(LEFT(A5361,1)&lt;&gt;"C",D5361&gt;0,F5361&gt;0),1,0)</f>
        <v>1</v>
      </c>
      <c r="J5361" s="7" t="n">
        <f aca="false">IF(I5361=1,D5361*F5361,0)</f>
        <v>10.2</v>
      </c>
      <c r="K5361" s="7" t="n">
        <f aca="false">YEAR(E5361)*100+MONTH(E5361)</f>
        <v>201111</v>
      </c>
      <c r="L5361" s="7" t="n">
        <f aca="false">IF(AND(A5361&lt;&gt;A5360,LEFT(A5361,1)&lt;&gt;"C"),1,0)</f>
        <v>0</v>
      </c>
    </row>
    <row r="5362" customFormat="false" ht="15" hidden="false" customHeight="false" outlineLevel="0" collapsed="false">
      <c r="A5362" s="0" t="s">
        <v>3027</v>
      </c>
      <c r="B5362" s="0" t="s">
        <v>895</v>
      </c>
      <c r="C5362" s="0" t="s">
        <v>896</v>
      </c>
      <c r="D5362" s="0" t="n">
        <v>12</v>
      </c>
      <c r="E5362" s="6" t="n">
        <v>40863.4604166667</v>
      </c>
      <c r="F5362" s="0" t="n">
        <v>2.89</v>
      </c>
      <c r="G5362" s="0" t="n">
        <v>12720</v>
      </c>
      <c r="H5362" s="0" t="s">
        <v>33</v>
      </c>
      <c r="I5362" s="7" t="n">
        <f aca="false">IF(AND(LEFT(A5362,1)&lt;&gt;"C",D5362&gt;0,F5362&gt;0),1,0)</f>
        <v>1</v>
      </c>
      <c r="J5362" s="7" t="n">
        <f aca="false">IF(I5362=1,D5362*F5362,0)</f>
        <v>34.68</v>
      </c>
      <c r="K5362" s="7" t="n">
        <f aca="false">YEAR(E5362)*100+MONTH(E5362)</f>
        <v>201111</v>
      </c>
      <c r="L5362" s="7" t="n">
        <f aca="false">IF(AND(A5362&lt;&gt;A5361,LEFT(A5362,1)&lt;&gt;"C"),1,0)</f>
        <v>0</v>
      </c>
    </row>
    <row r="5363" customFormat="false" ht="15" hidden="false" customHeight="false" outlineLevel="0" collapsed="false">
      <c r="A5363" s="0" t="s">
        <v>3027</v>
      </c>
      <c r="B5363" s="0" t="s">
        <v>519</v>
      </c>
      <c r="C5363" s="0" t="s">
        <v>520</v>
      </c>
      <c r="D5363" s="0" t="n">
        <v>10</v>
      </c>
      <c r="E5363" s="6" t="n">
        <v>40863.4604166667</v>
      </c>
      <c r="F5363" s="0" t="n">
        <v>2.08</v>
      </c>
      <c r="G5363" s="0" t="n">
        <v>12720</v>
      </c>
      <c r="H5363" s="0" t="s">
        <v>33</v>
      </c>
      <c r="I5363" s="7" t="n">
        <f aca="false">IF(AND(LEFT(A5363,1)&lt;&gt;"C",D5363&gt;0,F5363&gt;0),1,0)</f>
        <v>1</v>
      </c>
      <c r="J5363" s="7" t="n">
        <f aca="false">IF(I5363=1,D5363*F5363,0)</f>
        <v>20.8</v>
      </c>
      <c r="K5363" s="7" t="n">
        <f aca="false">YEAR(E5363)*100+MONTH(E5363)</f>
        <v>201111</v>
      </c>
      <c r="L5363" s="7" t="n">
        <f aca="false">IF(AND(A5363&lt;&gt;A5362,LEFT(A5363,1)&lt;&gt;"C"),1,0)</f>
        <v>0</v>
      </c>
    </row>
    <row r="5364" customFormat="false" ht="15" hidden="false" customHeight="false" outlineLevel="0" collapsed="false">
      <c r="A5364" s="0" t="s">
        <v>3027</v>
      </c>
      <c r="B5364" s="0" t="s">
        <v>1206</v>
      </c>
      <c r="C5364" s="0" t="s">
        <v>1207</v>
      </c>
      <c r="D5364" s="0" t="n">
        <v>3</v>
      </c>
      <c r="E5364" s="6" t="n">
        <v>40863.4604166667</v>
      </c>
      <c r="F5364" s="0" t="n">
        <v>4.95</v>
      </c>
      <c r="G5364" s="0" t="n">
        <v>12720</v>
      </c>
      <c r="H5364" s="0" t="s">
        <v>33</v>
      </c>
      <c r="I5364" s="7" t="n">
        <f aca="false">IF(AND(LEFT(A5364,1)&lt;&gt;"C",D5364&gt;0,F5364&gt;0),1,0)</f>
        <v>1</v>
      </c>
      <c r="J5364" s="7" t="n">
        <f aca="false">IF(I5364=1,D5364*F5364,0)</f>
        <v>14.85</v>
      </c>
      <c r="K5364" s="7" t="n">
        <f aca="false">YEAR(E5364)*100+MONTH(E5364)</f>
        <v>201111</v>
      </c>
      <c r="L5364" s="7" t="n">
        <f aca="false">IF(AND(A5364&lt;&gt;A5363,LEFT(A5364,1)&lt;&gt;"C"),1,0)</f>
        <v>0</v>
      </c>
    </row>
    <row r="5365" customFormat="false" ht="15" hidden="false" customHeight="false" outlineLevel="0" collapsed="false">
      <c r="A5365" s="0" t="s">
        <v>3027</v>
      </c>
      <c r="B5365" s="0" t="s">
        <v>1505</v>
      </c>
      <c r="C5365" s="0" t="s">
        <v>1506</v>
      </c>
      <c r="D5365" s="0" t="n">
        <v>5</v>
      </c>
      <c r="E5365" s="6" t="n">
        <v>40863.4604166667</v>
      </c>
      <c r="F5365" s="0" t="n">
        <v>2.1</v>
      </c>
      <c r="G5365" s="0" t="n">
        <v>12720</v>
      </c>
      <c r="H5365" s="0" t="s">
        <v>33</v>
      </c>
      <c r="I5365" s="7" t="n">
        <f aca="false">IF(AND(LEFT(A5365,1)&lt;&gt;"C",D5365&gt;0,F5365&gt;0),1,0)</f>
        <v>1</v>
      </c>
      <c r="J5365" s="7" t="n">
        <f aca="false">IF(I5365=1,D5365*F5365,0)</f>
        <v>10.5</v>
      </c>
      <c r="K5365" s="7" t="n">
        <f aca="false">YEAR(E5365)*100+MONTH(E5365)</f>
        <v>201111</v>
      </c>
      <c r="L5365" s="7" t="n">
        <f aca="false">IF(AND(A5365&lt;&gt;A5364,LEFT(A5365,1)&lt;&gt;"C"),1,0)</f>
        <v>0</v>
      </c>
    </row>
    <row r="5366" customFormat="false" ht="15" hidden="false" customHeight="false" outlineLevel="0" collapsed="false">
      <c r="A5366" s="0" t="s">
        <v>3027</v>
      </c>
      <c r="B5366" s="0" t="s">
        <v>2504</v>
      </c>
      <c r="C5366" s="0" t="s">
        <v>2505</v>
      </c>
      <c r="D5366" s="0" t="n">
        <v>6</v>
      </c>
      <c r="E5366" s="6" t="n">
        <v>40863.4604166667</v>
      </c>
      <c r="F5366" s="0" t="n">
        <v>1.95</v>
      </c>
      <c r="G5366" s="0" t="n">
        <v>12720</v>
      </c>
      <c r="H5366" s="0" t="s">
        <v>33</v>
      </c>
      <c r="I5366" s="7" t="n">
        <f aca="false">IF(AND(LEFT(A5366,1)&lt;&gt;"C",D5366&gt;0,F5366&gt;0),1,0)</f>
        <v>1</v>
      </c>
      <c r="J5366" s="7" t="n">
        <f aca="false">IF(I5366=1,D5366*F5366,0)</f>
        <v>11.7</v>
      </c>
      <c r="K5366" s="7" t="n">
        <f aca="false">YEAR(E5366)*100+MONTH(E5366)</f>
        <v>201111</v>
      </c>
      <c r="L5366" s="7" t="n">
        <f aca="false">IF(AND(A5366&lt;&gt;A5365,LEFT(A5366,1)&lt;&gt;"C"),1,0)</f>
        <v>0</v>
      </c>
    </row>
    <row r="5367" customFormat="false" ht="15" hidden="false" customHeight="false" outlineLevel="0" collapsed="false">
      <c r="A5367" s="0" t="s">
        <v>3027</v>
      </c>
      <c r="B5367" s="0" t="s">
        <v>420</v>
      </c>
      <c r="C5367" s="0" t="s">
        <v>421</v>
      </c>
      <c r="D5367" s="0" t="n">
        <v>5</v>
      </c>
      <c r="E5367" s="6" t="n">
        <v>40863.4604166667</v>
      </c>
      <c r="F5367" s="0" t="n">
        <v>2.1</v>
      </c>
      <c r="G5367" s="0" t="n">
        <v>12720</v>
      </c>
      <c r="H5367" s="0" t="s">
        <v>33</v>
      </c>
      <c r="I5367" s="7" t="n">
        <f aca="false">IF(AND(LEFT(A5367,1)&lt;&gt;"C",D5367&gt;0,F5367&gt;0),1,0)</f>
        <v>1</v>
      </c>
      <c r="J5367" s="7" t="n">
        <f aca="false">IF(I5367=1,D5367*F5367,0)</f>
        <v>10.5</v>
      </c>
      <c r="K5367" s="7" t="n">
        <f aca="false">YEAR(E5367)*100+MONTH(E5367)</f>
        <v>201111</v>
      </c>
      <c r="L5367" s="7" t="n">
        <f aca="false">IF(AND(A5367&lt;&gt;A5366,LEFT(A5367,1)&lt;&gt;"C"),1,0)</f>
        <v>0</v>
      </c>
    </row>
    <row r="5368" customFormat="false" ht="15" hidden="false" customHeight="false" outlineLevel="0" collapsed="false">
      <c r="A5368" s="0" t="s">
        <v>3027</v>
      </c>
      <c r="B5368" s="0" t="s">
        <v>973</v>
      </c>
      <c r="C5368" s="0" t="s">
        <v>974</v>
      </c>
      <c r="D5368" s="0" t="n">
        <v>25</v>
      </c>
      <c r="E5368" s="6" t="n">
        <v>40863.4604166667</v>
      </c>
      <c r="F5368" s="0" t="n">
        <v>0.42</v>
      </c>
      <c r="G5368" s="0" t="n">
        <v>12720</v>
      </c>
      <c r="H5368" s="0" t="s">
        <v>33</v>
      </c>
      <c r="I5368" s="7" t="n">
        <f aca="false">IF(AND(LEFT(A5368,1)&lt;&gt;"C",D5368&gt;0,F5368&gt;0),1,0)</f>
        <v>1</v>
      </c>
      <c r="J5368" s="7" t="n">
        <f aca="false">IF(I5368=1,D5368*F5368,0)</f>
        <v>10.5</v>
      </c>
      <c r="K5368" s="7" t="n">
        <f aca="false">YEAR(E5368)*100+MONTH(E5368)</f>
        <v>201111</v>
      </c>
      <c r="L5368" s="7" t="n">
        <f aca="false">IF(AND(A5368&lt;&gt;A5367,LEFT(A5368,1)&lt;&gt;"C"),1,0)</f>
        <v>0</v>
      </c>
    </row>
    <row r="5369" customFormat="false" ht="15" hidden="false" customHeight="false" outlineLevel="0" collapsed="false">
      <c r="A5369" s="0" t="s">
        <v>3027</v>
      </c>
      <c r="B5369" s="0" t="s">
        <v>897</v>
      </c>
      <c r="C5369" s="0" t="s">
        <v>898</v>
      </c>
      <c r="D5369" s="0" t="n">
        <v>3</v>
      </c>
      <c r="E5369" s="6" t="n">
        <v>40863.4604166667</v>
      </c>
      <c r="F5369" s="0" t="n">
        <v>4.95</v>
      </c>
      <c r="G5369" s="0" t="n">
        <v>12720</v>
      </c>
      <c r="H5369" s="0" t="s">
        <v>33</v>
      </c>
      <c r="I5369" s="7" t="n">
        <f aca="false">IF(AND(LEFT(A5369,1)&lt;&gt;"C",D5369&gt;0,F5369&gt;0),1,0)</f>
        <v>1</v>
      </c>
      <c r="J5369" s="7" t="n">
        <f aca="false">IF(I5369=1,D5369*F5369,0)</f>
        <v>14.85</v>
      </c>
      <c r="K5369" s="7" t="n">
        <f aca="false">YEAR(E5369)*100+MONTH(E5369)</f>
        <v>201111</v>
      </c>
      <c r="L5369" s="7" t="n">
        <f aca="false">IF(AND(A5369&lt;&gt;A5368,LEFT(A5369,1)&lt;&gt;"C"),1,0)</f>
        <v>0</v>
      </c>
    </row>
    <row r="5370" customFormat="false" ht="15" hidden="false" customHeight="false" outlineLevel="0" collapsed="false">
      <c r="A5370" s="0" t="s">
        <v>3027</v>
      </c>
      <c r="B5370" s="0" t="s">
        <v>217</v>
      </c>
      <c r="C5370" s="0" t="s">
        <v>218</v>
      </c>
      <c r="D5370" s="0" t="n">
        <v>24</v>
      </c>
      <c r="E5370" s="6" t="n">
        <v>40863.4604166667</v>
      </c>
      <c r="F5370" s="0" t="n">
        <v>0.55</v>
      </c>
      <c r="G5370" s="0" t="n">
        <v>12720</v>
      </c>
      <c r="H5370" s="0" t="s">
        <v>33</v>
      </c>
      <c r="I5370" s="7" t="n">
        <f aca="false">IF(AND(LEFT(A5370,1)&lt;&gt;"C",D5370&gt;0,F5370&gt;0),1,0)</f>
        <v>1</v>
      </c>
      <c r="J5370" s="7" t="n">
        <f aca="false">IF(I5370=1,D5370*F5370,0)</f>
        <v>13.2</v>
      </c>
      <c r="K5370" s="7" t="n">
        <f aca="false">YEAR(E5370)*100+MONTH(E5370)</f>
        <v>201111</v>
      </c>
      <c r="L5370" s="7" t="n">
        <f aca="false">IF(AND(A5370&lt;&gt;A5369,LEFT(A5370,1)&lt;&gt;"C"),1,0)</f>
        <v>0</v>
      </c>
    </row>
    <row r="5371" customFormat="false" ht="15" hidden="false" customHeight="false" outlineLevel="0" collapsed="false">
      <c r="A5371" s="0" t="s">
        <v>3027</v>
      </c>
      <c r="B5371" s="0" t="s">
        <v>109</v>
      </c>
      <c r="C5371" s="0" t="s">
        <v>110</v>
      </c>
      <c r="D5371" s="0" t="n">
        <v>16</v>
      </c>
      <c r="E5371" s="6" t="n">
        <v>40863.4604166667</v>
      </c>
      <c r="F5371" s="0" t="n">
        <v>0.83</v>
      </c>
      <c r="G5371" s="0" t="n">
        <v>12720</v>
      </c>
      <c r="H5371" s="0" t="s">
        <v>33</v>
      </c>
      <c r="I5371" s="7" t="n">
        <f aca="false">IF(AND(LEFT(A5371,1)&lt;&gt;"C",D5371&gt;0,F5371&gt;0),1,0)</f>
        <v>1</v>
      </c>
      <c r="J5371" s="7" t="n">
        <f aca="false">IF(I5371=1,D5371*F5371,0)</f>
        <v>13.28</v>
      </c>
      <c r="K5371" s="7" t="n">
        <f aca="false">YEAR(E5371)*100+MONTH(E5371)</f>
        <v>201111</v>
      </c>
      <c r="L5371" s="7" t="n">
        <f aca="false">IF(AND(A5371&lt;&gt;A5370,LEFT(A5371,1)&lt;&gt;"C"),1,0)</f>
        <v>0</v>
      </c>
    </row>
    <row r="5372" customFormat="false" ht="15" hidden="false" customHeight="false" outlineLevel="0" collapsed="false">
      <c r="A5372" s="0" t="s">
        <v>3027</v>
      </c>
      <c r="B5372" s="0" t="s">
        <v>3028</v>
      </c>
      <c r="C5372" s="0" t="s">
        <v>3029</v>
      </c>
      <c r="D5372" s="0" t="n">
        <v>10</v>
      </c>
      <c r="E5372" s="6" t="n">
        <v>40863.4604166667</v>
      </c>
      <c r="F5372" s="0" t="n">
        <v>1.65</v>
      </c>
      <c r="G5372" s="0" t="n">
        <v>12720</v>
      </c>
      <c r="H5372" s="0" t="s">
        <v>33</v>
      </c>
      <c r="I5372" s="7" t="n">
        <f aca="false">IF(AND(LEFT(A5372,1)&lt;&gt;"C",D5372&gt;0,F5372&gt;0),1,0)</f>
        <v>1</v>
      </c>
      <c r="J5372" s="7" t="n">
        <f aca="false">IF(I5372=1,D5372*F5372,0)</f>
        <v>16.5</v>
      </c>
      <c r="K5372" s="7" t="n">
        <f aca="false">YEAR(E5372)*100+MONTH(E5372)</f>
        <v>201111</v>
      </c>
      <c r="L5372" s="7" t="n">
        <f aca="false">IF(AND(A5372&lt;&gt;A5371,LEFT(A5372,1)&lt;&gt;"C"),1,0)</f>
        <v>0</v>
      </c>
    </row>
    <row r="5373" customFormat="false" ht="15" hidden="false" customHeight="false" outlineLevel="0" collapsed="false">
      <c r="A5373" s="0" t="s">
        <v>3027</v>
      </c>
      <c r="B5373" s="0" t="s">
        <v>717</v>
      </c>
      <c r="C5373" s="0" t="s">
        <v>718</v>
      </c>
      <c r="D5373" s="0" t="n">
        <v>8</v>
      </c>
      <c r="E5373" s="6" t="n">
        <v>40863.4604166667</v>
      </c>
      <c r="F5373" s="0" t="n">
        <v>0.83</v>
      </c>
      <c r="G5373" s="0" t="n">
        <v>12720</v>
      </c>
      <c r="H5373" s="0" t="s">
        <v>33</v>
      </c>
      <c r="I5373" s="7" t="n">
        <f aca="false">IF(AND(LEFT(A5373,1)&lt;&gt;"C",D5373&gt;0,F5373&gt;0),1,0)</f>
        <v>1</v>
      </c>
      <c r="J5373" s="7" t="n">
        <f aca="false">IF(I5373=1,D5373*F5373,0)</f>
        <v>6.64</v>
      </c>
      <c r="K5373" s="7" t="n">
        <f aca="false">YEAR(E5373)*100+MONTH(E5373)</f>
        <v>201111</v>
      </c>
      <c r="L5373" s="7" t="n">
        <f aca="false">IF(AND(A5373&lt;&gt;A5372,LEFT(A5373,1)&lt;&gt;"C"),1,0)</f>
        <v>0</v>
      </c>
    </row>
    <row r="5374" customFormat="false" ht="15" hidden="false" customHeight="false" outlineLevel="0" collapsed="false">
      <c r="A5374" s="0" t="s">
        <v>3027</v>
      </c>
      <c r="B5374" s="0" t="s">
        <v>471</v>
      </c>
      <c r="C5374" s="0" t="s">
        <v>472</v>
      </c>
      <c r="D5374" s="0" t="n">
        <v>12</v>
      </c>
      <c r="E5374" s="6" t="n">
        <v>40863.4604166667</v>
      </c>
      <c r="F5374" s="0" t="n">
        <v>1.65</v>
      </c>
      <c r="G5374" s="0" t="n">
        <v>12720</v>
      </c>
      <c r="H5374" s="0" t="s">
        <v>33</v>
      </c>
      <c r="I5374" s="7" t="n">
        <f aca="false">IF(AND(LEFT(A5374,1)&lt;&gt;"C",D5374&gt;0,F5374&gt;0),1,0)</f>
        <v>1</v>
      </c>
      <c r="J5374" s="7" t="n">
        <f aca="false">IF(I5374=1,D5374*F5374,0)</f>
        <v>19.8</v>
      </c>
      <c r="K5374" s="7" t="n">
        <f aca="false">YEAR(E5374)*100+MONTH(E5374)</f>
        <v>201111</v>
      </c>
      <c r="L5374" s="7" t="n">
        <f aca="false">IF(AND(A5374&lt;&gt;A5373,LEFT(A5374,1)&lt;&gt;"C"),1,0)</f>
        <v>0</v>
      </c>
    </row>
    <row r="5375" customFormat="false" ht="15" hidden="false" customHeight="false" outlineLevel="0" collapsed="false">
      <c r="A5375" s="0" t="s">
        <v>3027</v>
      </c>
      <c r="B5375" s="0" t="s">
        <v>97</v>
      </c>
      <c r="C5375" s="0" t="s">
        <v>98</v>
      </c>
      <c r="D5375" s="0" t="n">
        <v>12</v>
      </c>
      <c r="E5375" s="6" t="n">
        <v>40863.4604166667</v>
      </c>
      <c r="F5375" s="0" t="n">
        <v>1.65</v>
      </c>
      <c r="G5375" s="0" t="n">
        <v>12720</v>
      </c>
      <c r="H5375" s="0" t="s">
        <v>33</v>
      </c>
      <c r="I5375" s="7" t="n">
        <f aca="false">IF(AND(LEFT(A5375,1)&lt;&gt;"C",D5375&gt;0,F5375&gt;0),1,0)</f>
        <v>1</v>
      </c>
      <c r="J5375" s="7" t="n">
        <f aca="false">IF(I5375=1,D5375*F5375,0)</f>
        <v>19.8</v>
      </c>
      <c r="K5375" s="7" t="n">
        <f aca="false">YEAR(E5375)*100+MONTH(E5375)</f>
        <v>201111</v>
      </c>
      <c r="L5375" s="7" t="n">
        <f aca="false">IF(AND(A5375&lt;&gt;A5374,LEFT(A5375,1)&lt;&gt;"C"),1,0)</f>
        <v>0</v>
      </c>
    </row>
    <row r="5376" customFormat="false" ht="15" hidden="false" customHeight="false" outlineLevel="0" collapsed="false">
      <c r="A5376" s="0" t="s">
        <v>3027</v>
      </c>
      <c r="B5376" s="0" t="s">
        <v>583</v>
      </c>
      <c r="C5376" s="0" t="s">
        <v>584</v>
      </c>
      <c r="D5376" s="0" t="n">
        <v>12</v>
      </c>
      <c r="E5376" s="6" t="n">
        <v>40863.4604166667</v>
      </c>
      <c r="F5376" s="0" t="n">
        <v>1.45</v>
      </c>
      <c r="G5376" s="0" t="n">
        <v>12720</v>
      </c>
      <c r="H5376" s="0" t="s">
        <v>33</v>
      </c>
      <c r="I5376" s="7" t="n">
        <f aca="false">IF(AND(LEFT(A5376,1)&lt;&gt;"C",D5376&gt;0,F5376&gt;0),1,0)</f>
        <v>1</v>
      </c>
      <c r="J5376" s="7" t="n">
        <f aca="false">IF(I5376=1,D5376*F5376,0)</f>
        <v>17.4</v>
      </c>
      <c r="K5376" s="7" t="n">
        <f aca="false">YEAR(E5376)*100+MONTH(E5376)</f>
        <v>201111</v>
      </c>
      <c r="L5376" s="7" t="n">
        <f aca="false">IF(AND(A5376&lt;&gt;A5375,LEFT(A5376,1)&lt;&gt;"C"),1,0)</f>
        <v>0</v>
      </c>
    </row>
    <row r="5377" customFormat="false" ht="15" hidden="false" customHeight="false" outlineLevel="0" collapsed="false">
      <c r="A5377" s="0" t="s">
        <v>3027</v>
      </c>
      <c r="B5377" s="0" t="s">
        <v>3030</v>
      </c>
      <c r="C5377" s="0" t="s">
        <v>3031</v>
      </c>
      <c r="D5377" s="0" t="n">
        <v>12</v>
      </c>
      <c r="E5377" s="6" t="n">
        <v>40863.4604166667</v>
      </c>
      <c r="F5377" s="0" t="n">
        <v>0.42</v>
      </c>
      <c r="G5377" s="0" t="n">
        <v>12720</v>
      </c>
      <c r="H5377" s="0" t="s">
        <v>33</v>
      </c>
      <c r="I5377" s="7" t="n">
        <f aca="false">IF(AND(LEFT(A5377,1)&lt;&gt;"C",D5377&gt;0,F5377&gt;0),1,0)</f>
        <v>1</v>
      </c>
      <c r="J5377" s="7" t="n">
        <f aca="false">IF(I5377=1,D5377*F5377,0)</f>
        <v>5.04</v>
      </c>
      <c r="K5377" s="7" t="n">
        <f aca="false">YEAR(E5377)*100+MONTH(E5377)</f>
        <v>201111</v>
      </c>
      <c r="L5377" s="7" t="n">
        <f aca="false">IF(AND(A5377&lt;&gt;A5376,LEFT(A5377,1)&lt;&gt;"C"),1,0)</f>
        <v>0</v>
      </c>
    </row>
    <row r="5378" customFormat="false" ht="15" hidden="false" customHeight="false" outlineLevel="0" collapsed="false">
      <c r="A5378" s="0" t="s">
        <v>3027</v>
      </c>
      <c r="B5378" s="0" t="s">
        <v>2665</v>
      </c>
      <c r="C5378" s="0" t="s">
        <v>2666</v>
      </c>
      <c r="D5378" s="0" t="n">
        <v>24</v>
      </c>
      <c r="E5378" s="6" t="n">
        <v>40863.4604166667</v>
      </c>
      <c r="F5378" s="0" t="n">
        <v>0.42</v>
      </c>
      <c r="G5378" s="0" t="n">
        <v>12720</v>
      </c>
      <c r="H5378" s="0" t="s">
        <v>33</v>
      </c>
      <c r="I5378" s="7" t="n">
        <f aca="false">IF(AND(LEFT(A5378,1)&lt;&gt;"C",D5378&gt;0,F5378&gt;0),1,0)</f>
        <v>1</v>
      </c>
      <c r="J5378" s="7" t="n">
        <f aca="false">IF(I5378=1,D5378*F5378,0)</f>
        <v>10.08</v>
      </c>
      <c r="K5378" s="7" t="n">
        <f aca="false">YEAR(E5378)*100+MONTH(E5378)</f>
        <v>201111</v>
      </c>
      <c r="L5378" s="7" t="n">
        <f aca="false">IF(AND(A5378&lt;&gt;A5377,LEFT(A5378,1)&lt;&gt;"C"),1,0)</f>
        <v>0</v>
      </c>
    </row>
    <row r="5379" customFormat="false" ht="15" hidden="false" customHeight="false" outlineLevel="0" collapsed="false">
      <c r="A5379" s="0" t="s">
        <v>3027</v>
      </c>
      <c r="B5379" s="0" t="s">
        <v>1559</v>
      </c>
      <c r="C5379" s="0" t="s">
        <v>1560</v>
      </c>
      <c r="D5379" s="0" t="n">
        <v>6</v>
      </c>
      <c r="E5379" s="6" t="n">
        <v>40863.4604166667</v>
      </c>
      <c r="F5379" s="0" t="n">
        <v>2.1</v>
      </c>
      <c r="G5379" s="0" t="n">
        <v>12720</v>
      </c>
      <c r="H5379" s="0" t="s">
        <v>33</v>
      </c>
      <c r="I5379" s="7" t="n">
        <f aca="false">IF(AND(LEFT(A5379,1)&lt;&gt;"C",D5379&gt;0,F5379&gt;0),1,0)</f>
        <v>1</v>
      </c>
      <c r="J5379" s="7" t="n">
        <f aca="false">IF(I5379=1,D5379*F5379,0)</f>
        <v>12.6</v>
      </c>
      <c r="K5379" s="7" t="n">
        <f aca="false">YEAR(E5379)*100+MONTH(E5379)</f>
        <v>201111</v>
      </c>
      <c r="L5379" s="7" t="n">
        <f aca="false">IF(AND(A5379&lt;&gt;A5378,LEFT(A5379,1)&lt;&gt;"C"),1,0)</f>
        <v>0</v>
      </c>
    </row>
    <row r="5380" customFormat="false" ht="15" hidden="false" customHeight="false" outlineLevel="0" collapsed="false">
      <c r="A5380" s="0" t="s">
        <v>3027</v>
      </c>
      <c r="B5380" s="0" t="s">
        <v>3032</v>
      </c>
      <c r="C5380" s="0" t="s">
        <v>3033</v>
      </c>
      <c r="D5380" s="0" t="n">
        <v>2</v>
      </c>
      <c r="E5380" s="6" t="n">
        <v>40863.4604166667</v>
      </c>
      <c r="F5380" s="0" t="n">
        <v>5.75</v>
      </c>
      <c r="G5380" s="0" t="n">
        <v>12720</v>
      </c>
      <c r="H5380" s="0" t="s">
        <v>33</v>
      </c>
      <c r="I5380" s="7" t="n">
        <f aca="false">IF(AND(LEFT(A5380,1)&lt;&gt;"C",D5380&gt;0,F5380&gt;0),1,0)</f>
        <v>1</v>
      </c>
      <c r="J5380" s="7" t="n">
        <f aca="false">IF(I5380=1,D5380*F5380,0)</f>
        <v>11.5</v>
      </c>
      <c r="K5380" s="7" t="n">
        <f aca="false">YEAR(E5380)*100+MONTH(E5380)</f>
        <v>201111</v>
      </c>
      <c r="L5380" s="7" t="n">
        <f aca="false">IF(AND(A5380&lt;&gt;A5379,LEFT(A5380,1)&lt;&gt;"C"),1,0)</f>
        <v>0</v>
      </c>
    </row>
    <row r="5381" customFormat="false" ht="15" hidden="false" customHeight="false" outlineLevel="0" collapsed="false">
      <c r="A5381" s="0" t="s">
        <v>3027</v>
      </c>
      <c r="B5381" s="0" t="s">
        <v>1081</v>
      </c>
      <c r="C5381" s="0" t="s">
        <v>1082</v>
      </c>
      <c r="D5381" s="0" t="n">
        <v>10</v>
      </c>
      <c r="E5381" s="6" t="n">
        <v>40863.4604166667</v>
      </c>
      <c r="F5381" s="0" t="n">
        <v>1.25</v>
      </c>
      <c r="G5381" s="0" t="n">
        <v>12720</v>
      </c>
      <c r="H5381" s="0" t="s">
        <v>33</v>
      </c>
      <c r="I5381" s="7" t="n">
        <f aca="false">IF(AND(LEFT(A5381,1)&lt;&gt;"C",D5381&gt;0,F5381&gt;0),1,0)</f>
        <v>1</v>
      </c>
      <c r="J5381" s="7" t="n">
        <f aca="false">IF(I5381=1,D5381*F5381,0)</f>
        <v>12.5</v>
      </c>
      <c r="K5381" s="7" t="n">
        <f aca="false">YEAR(E5381)*100+MONTH(E5381)</f>
        <v>201111</v>
      </c>
      <c r="L5381" s="7" t="n">
        <f aca="false">IF(AND(A5381&lt;&gt;A5380,LEFT(A5381,1)&lt;&gt;"C"),1,0)</f>
        <v>0</v>
      </c>
    </row>
    <row r="5382" customFormat="false" ht="15" hidden="false" customHeight="false" outlineLevel="0" collapsed="false">
      <c r="A5382" s="0" t="s">
        <v>3027</v>
      </c>
      <c r="B5382" s="0" t="s">
        <v>84</v>
      </c>
      <c r="C5382" s="0" t="s">
        <v>85</v>
      </c>
      <c r="D5382" s="0" t="n">
        <v>3</v>
      </c>
      <c r="E5382" s="6" t="n">
        <v>40863.4604166667</v>
      </c>
      <c r="F5382" s="0" t="n">
        <v>18</v>
      </c>
      <c r="G5382" s="0" t="n">
        <v>12720</v>
      </c>
      <c r="H5382" s="0" t="s">
        <v>33</v>
      </c>
      <c r="I5382" s="7" t="n">
        <f aca="false">IF(AND(LEFT(A5382,1)&lt;&gt;"C",D5382&gt;0,F5382&gt;0),1,0)</f>
        <v>1</v>
      </c>
      <c r="J5382" s="7" t="n">
        <f aca="false">IF(I5382=1,D5382*F5382,0)</f>
        <v>54</v>
      </c>
      <c r="K5382" s="7" t="n">
        <f aca="false">YEAR(E5382)*100+MONTH(E5382)</f>
        <v>201111</v>
      </c>
      <c r="L5382" s="7" t="n">
        <f aca="false">IF(AND(A5382&lt;&gt;A5381,LEFT(A5382,1)&lt;&gt;"C"),1,0)</f>
        <v>0</v>
      </c>
    </row>
    <row r="5383" customFormat="false" ht="15" hidden="false" customHeight="false" outlineLevel="0" collapsed="false">
      <c r="A5383" s="0" t="s">
        <v>3034</v>
      </c>
      <c r="B5383" s="0" t="s">
        <v>84</v>
      </c>
      <c r="C5383" s="0" t="s">
        <v>85</v>
      </c>
      <c r="D5383" s="0" t="n">
        <v>1</v>
      </c>
      <c r="E5383" s="6" t="n">
        <v>40863.4944444444</v>
      </c>
      <c r="F5383" s="0" t="n">
        <v>18</v>
      </c>
      <c r="G5383" s="0" t="n">
        <v>12640</v>
      </c>
      <c r="H5383" s="0" t="s">
        <v>43</v>
      </c>
      <c r="I5383" s="7" t="n">
        <f aca="false">IF(AND(LEFT(A5383,1)&lt;&gt;"C",D5383&gt;0,F5383&gt;0),1,0)</f>
        <v>1</v>
      </c>
      <c r="J5383" s="7" t="n">
        <f aca="false">IF(I5383=1,D5383*F5383,0)</f>
        <v>18</v>
      </c>
      <c r="K5383" s="7" t="n">
        <f aca="false">YEAR(E5383)*100+MONTH(E5383)</f>
        <v>201111</v>
      </c>
      <c r="L5383" s="7" t="n">
        <f aca="false">IF(AND(A5383&lt;&gt;A5382,LEFT(A5383,1)&lt;&gt;"C"),1,0)</f>
        <v>1</v>
      </c>
    </row>
    <row r="5384" customFormat="false" ht="15" hidden="false" customHeight="false" outlineLevel="0" collapsed="false">
      <c r="A5384" s="0" t="s">
        <v>3034</v>
      </c>
      <c r="B5384" s="0" t="s">
        <v>1099</v>
      </c>
      <c r="C5384" s="0" t="s">
        <v>1100</v>
      </c>
      <c r="D5384" s="0" t="n">
        <v>24</v>
      </c>
      <c r="E5384" s="6" t="n">
        <v>40863.4944444444</v>
      </c>
      <c r="F5384" s="0" t="n">
        <v>2.49</v>
      </c>
      <c r="G5384" s="0" t="n">
        <v>12640</v>
      </c>
      <c r="H5384" s="0" t="s">
        <v>43</v>
      </c>
      <c r="I5384" s="7" t="n">
        <f aca="false">IF(AND(LEFT(A5384,1)&lt;&gt;"C",D5384&gt;0,F5384&gt;0),1,0)</f>
        <v>1</v>
      </c>
      <c r="J5384" s="7" t="n">
        <f aca="false">IF(I5384=1,D5384*F5384,0)</f>
        <v>59.76</v>
      </c>
      <c r="K5384" s="7" t="n">
        <f aca="false">YEAR(E5384)*100+MONTH(E5384)</f>
        <v>201111</v>
      </c>
      <c r="L5384" s="7" t="n">
        <f aca="false">IF(AND(A5384&lt;&gt;A5383,LEFT(A5384,1)&lt;&gt;"C"),1,0)</f>
        <v>0</v>
      </c>
    </row>
    <row r="5385" customFormat="false" ht="15" hidden="false" customHeight="false" outlineLevel="0" collapsed="false">
      <c r="A5385" s="0" t="s">
        <v>3035</v>
      </c>
      <c r="B5385" s="0" t="s">
        <v>62</v>
      </c>
      <c r="C5385" s="0" t="s">
        <v>63</v>
      </c>
      <c r="D5385" s="0" t="n">
        <v>72</v>
      </c>
      <c r="E5385" s="6" t="n">
        <v>40863.4993055556</v>
      </c>
      <c r="F5385" s="0" t="n">
        <v>1.79</v>
      </c>
      <c r="G5385" s="0" t="n">
        <v>12731</v>
      </c>
      <c r="H5385" s="0" t="s">
        <v>43</v>
      </c>
      <c r="I5385" s="7" t="n">
        <f aca="false">IF(AND(LEFT(A5385,1)&lt;&gt;"C",D5385&gt;0,F5385&gt;0),1,0)</f>
        <v>1</v>
      </c>
      <c r="J5385" s="7" t="n">
        <f aca="false">IF(I5385=1,D5385*F5385,0)</f>
        <v>128.88</v>
      </c>
      <c r="K5385" s="7" t="n">
        <f aca="false">YEAR(E5385)*100+MONTH(E5385)</f>
        <v>201111</v>
      </c>
      <c r="L5385" s="7" t="n">
        <f aca="false">IF(AND(A5385&lt;&gt;A5384,LEFT(A5385,1)&lt;&gt;"C"),1,0)</f>
        <v>1</v>
      </c>
    </row>
    <row r="5386" customFormat="false" ht="15" hidden="false" customHeight="false" outlineLevel="0" collapsed="false">
      <c r="A5386" s="0" t="s">
        <v>3035</v>
      </c>
      <c r="B5386" s="0" t="s">
        <v>823</v>
      </c>
      <c r="C5386" s="0" t="s">
        <v>824</v>
      </c>
      <c r="D5386" s="0" t="n">
        <v>24</v>
      </c>
      <c r="E5386" s="6" t="n">
        <v>40863.4993055556</v>
      </c>
      <c r="F5386" s="0" t="n">
        <v>2.55</v>
      </c>
      <c r="G5386" s="0" t="n">
        <v>12731</v>
      </c>
      <c r="H5386" s="0" t="s">
        <v>43</v>
      </c>
      <c r="I5386" s="7" t="n">
        <f aca="false">IF(AND(LEFT(A5386,1)&lt;&gt;"C",D5386&gt;0,F5386&gt;0),1,0)</f>
        <v>1</v>
      </c>
      <c r="J5386" s="7" t="n">
        <f aca="false">IF(I5386=1,D5386*F5386,0)</f>
        <v>61.2</v>
      </c>
      <c r="K5386" s="7" t="n">
        <f aca="false">YEAR(E5386)*100+MONTH(E5386)</f>
        <v>201111</v>
      </c>
      <c r="L5386" s="7" t="n">
        <f aca="false">IF(AND(A5386&lt;&gt;A5385,LEFT(A5386,1)&lt;&gt;"C"),1,0)</f>
        <v>0</v>
      </c>
    </row>
    <row r="5387" customFormat="false" ht="15" hidden="false" customHeight="false" outlineLevel="0" collapsed="false">
      <c r="A5387" s="0" t="s">
        <v>3035</v>
      </c>
      <c r="B5387" s="0" t="s">
        <v>679</v>
      </c>
      <c r="C5387" s="0" t="s">
        <v>680</v>
      </c>
      <c r="D5387" s="0" t="n">
        <v>12</v>
      </c>
      <c r="E5387" s="6" t="n">
        <v>40863.4993055556</v>
      </c>
      <c r="F5387" s="0" t="n">
        <v>2.1</v>
      </c>
      <c r="G5387" s="0" t="n">
        <v>12731</v>
      </c>
      <c r="H5387" s="0" t="s">
        <v>43</v>
      </c>
      <c r="I5387" s="7" t="n">
        <f aca="false">IF(AND(LEFT(A5387,1)&lt;&gt;"C",D5387&gt;0,F5387&gt;0),1,0)</f>
        <v>1</v>
      </c>
      <c r="J5387" s="7" t="n">
        <f aca="false">IF(I5387=1,D5387*F5387,0)</f>
        <v>25.2</v>
      </c>
      <c r="K5387" s="7" t="n">
        <f aca="false">YEAR(E5387)*100+MONTH(E5387)</f>
        <v>201111</v>
      </c>
      <c r="L5387" s="7" t="n">
        <f aca="false">IF(AND(A5387&lt;&gt;A5386,LEFT(A5387,1)&lt;&gt;"C"),1,0)</f>
        <v>0</v>
      </c>
    </row>
    <row r="5388" customFormat="false" ht="15" hidden="false" customHeight="false" outlineLevel="0" collapsed="false">
      <c r="A5388" s="0" t="s">
        <v>3035</v>
      </c>
      <c r="B5388" s="0" t="s">
        <v>1438</v>
      </c>
      <c r="C5388" s="0" t="s">
        <v>1439</v>
      </c>
      <c r="D5388" s="0" t="n">
        <v>12</v>
      </c>
      <c r="E5388" s="6" t="n">
        <v>40863.4993055556</v>
      </c>
      <c r="F5388" s="0" t="n">
        <v>2.1</v>
      </c>
      <c r="G5388" s="0" t="n">
        <v>12731</v>
      </c>
      <c r="H5388" s="0" t="s">
        <v>43</v>
      </c>
      <c r="I5388" s="7" t="n">
        <f aca="false">IF(AND(LEFT(A5388,1)&lt;&gt;"C",D5388&gt;0,F5388&gt;0),1,0)</f>
        <v>1</v>
      </c>
      <c r="J5388" s="7" t="n">
        <f aca="false">IF(I5388=1,D5388*F5388,0)</f>
        <v>25.2</v>
      </c>
      <c r="K5388" s="7" t="n">
        <f aca="false">YEAR(E5388)*100+MONTH(E5388)</f>
        <v>201111</v>
      </c>
      <c r="L5388" s="7" t="n">
        <f aca="false">IF(AND(A5388&lt;&gt;A5387,LEFT(A5388,1)&lt;&gt;"C"),1,0)</f>
        <v>0</v>
      </c>
    </row>
    <row r="5389" customFormat="false" ht="15" hidden="false" customHeight="false" outlineLevel="0" collapsed="false">
      <c r="A5389" s="0" t="s">
        <v>3035</v>
      </c>
      <c r="B5389" s="0" t="s">
        <v>677</v>
      </c>
      <c r="C5389" s="0" t="s">
        <v>678</v>
      </c>
      <c r="D5389" s="0" t="n">
        <v>12</v>
      </c>
      <c r="E5389" s="6" t="n">
        <v>40863.4993055556</v>
      </c>
      <c r="F5389" s="0" t="n">
        <v>2.1</v>
      </c>
      <c r="G5389" s="0" t="n">
        <v>12731</v>
      </c>
      <c r="H5389" s="0" t="s">
        <v>43</v>
      </c>
      <c r="I5389" s="7" t="n">
        <f aca="false">IF(AND(LEFT(A5389,1)&lt;&gt;"C",D5389&gt;0,F5389&gt;0),1,0)</f>
        <v>1</v>
      </c>
      <c r="J5389" s="7" t="n">
        <f aca="false">IF(I5389=1,D5389*F5389,0)</f>
        <v>25.2</v>
      </c>
      <c r="K5389" s="7" t="n">
        <f aca="false">YEAR(E5389)*100+MONTH(E5389)</f>
        <v>201111</v>
      </c>
      <c r="L5389" s="7" t="n">
        <f aca="false">IF(AND(A5389&lt;&gt;A5388,LEFT(A5389,1)&lt;&gt;"C"),1,0)</f>
        <v>0</v>
      </c>
    </row>
    <row r="5390" customFormat="false" ht="15" hidden="false" customHeight="false" outlineLevel="0" collapsed="false">
      <c r="A5390" s="0" t="s">
        <v>3035</v>
      </c>
      <c r="B5390" s="0" t="s">
        <v>1118</v>
      </c>
      <c r="C5390" s="0" t="s">
        <v>1119</v>
      </c>
      <c r="D5390" s="0" t="n">
        <v>12</v>
      </c>
      <c r="E5390" s="6" t="n">
        <v>40863.4993055556</v>
      </c>
      <c r="F5390" s="0" t="n">
        <v>1.25</v>
      </c>
      <c r="G5390" s="0" t="n">
        <v>12731</v>
      </c>
      <c r="H5390" s="0" t="s">
        <v>43</v>
      </c>
      <c r="I5390" s="7" t="n">
        <f aca="false">IF(AND(LEFT(A5390,1)&lt;&gt;"C",D5390&gt;0,F5390&gt;0),1,0)</f>
        <v>1</v>
      </c>
      <c r="J5390" s="7" t="n">
        <f aca="false">IF(I5390=1,D5390*F5390,0)</f>
        <v>15</v>
      </c>
      <c r="K5390" s="7" t="n">
        <f aca="false">YEAR(E5390)*100+MONTH(E5390)</f>
        <v>201111</v>
      </c>
      <c r="L5390" s="7" t="n">
        <f aca="false">IF(AND(A5390&lt;&gt;A5389,LEFT(A5390,1)&lt;&gt;"C"),1,0)</f>
        <v>0</v>
      </c>
    </row>
    <row r="5391" customFormat="false" ht="15" hidden="false" customHeight="false" outlineLevel="0" collapsed="false">
      <c r="A5391" s="0" t="s">
        <v>3035</v>
      </c>
      <c r="B5391" s="0" t="s">
        <v>1615</v>
      </c>
      <c r="C5391" s="0" t="s">
        <v>1616</v>
      </c>
      <c r="D5391" s="0" t="n">
        <v>12</v>
      </c>
      <c r="E5391" s="6" t="n">
        <v>40863.4993055556</v>
      </c>
      <c r="F5391" s="0" t="n">
        <v>14.95</v>
      </c>
      <c r="G5391" s="0" t="n">
        <v>12731</v>
      </c>
      <c r="H5391" s="0" t="s">
        <v>43</v>
      </c>
      <c r="I5391" s="7" t="n">
        <f aca="false">IF(AND(LEFT(A5391,1)&lt;&gt;"C",D5391&gt;0,F5391&gt;0),1,0)</f>
        <v>1</v>
      </c>
      <c r="J5391" s="7" t="n">
        <f aca="false">IF(I5391=1,D5391*F5391,0)</f>
        <v>179.4</v>
      </c>
      <c r="K5391" s="7" t="n">
        <f aca="false">YEAR(E5391)*100+MONTH(E5391)</f>
        <v>201111</v>
      </c>
      <c r="L5391" s="7" t="n">
        <f aca="false">IF(AND(A5391&lt;&gt;A5390,LEFT(A5391,1)&lt;&gt;"C"),1,0)</f>
        <v>0</v>
      </c>
    </row>
    <row r="5392" customFormat="false" ht="15" hidden="false" customHeight="false" outlineLevel="0" collapsed="false">
      <c r="A5392" s="0" t="s">
        <v>3035</v>
      </c>
      <c r="B5392" s="0" t="s">
        <v>1011</v>
      </c>
      <c r="C5392" s="0" t="s">
        <v>1012</v>
      </c>
      <c r="D5392" s="0" t="n">
        <v>6</v>
      </c>
      <c r="E5392" s="6" t="n">
        <v>40863.4993055556</v>
      </c>
      <c r="F5392" s="0" t="n">
        <v>14.95</v>
      </c>
      <c r="G5392" s="0" t="n">
        <v>12731</v>
      </c>
      <c r="H5392" s="0" t="s">
        <v>43</v>
      </c>
      <c r="I5392" s="7" t="n">
        <f aca="false">IF(AND(LEFT(A5392,1)&lt;&gt;"C",D5392&gt;0,F5392&gt;0),1,0)</f>
        <v>1</v>
      </c>
      <c r="J5392" s="7" t="n">
        <f aca="false">IF(I5392=1,D5392*F5392,0)</f>
        <v>89.7</v>
      </c>
      <c r="K5392" s="7" t="n">
        <f aca="false">YEAR(E5392)*100+MONTH(E5392)</f>
        <v>201111</v>
      </c>
      <c r="L5392" s="7" t="n">
        <f aca="false">IF(AND(A5392&lt;&gt;A5391,LEFT(A5392,1)&lt;&gt;"C"),1,0)</f>
        <v>0</v>
      </c>
    </row>
    <row r="5393" customFormat="false" ht="15" hidden="false" customHeight="false" outlineLevel="0" collapsed="false">
      <c r="A5393" s="0" t="s">
        <v>3035</v>
      </c>
      <c r="B5393" s="0" t="s">
        <v>756</v>
      </c>
      <c r="C5393" s="0" t="s">
        <v>757</v>
      </c>
      <c r="D5393" s="0" t="n">
        <v>36</v>
      </c>
      <c r="E5393" s="6" t="n">
        <v>40863.4993055556</v>
      </c>
      <c r="F5393" s="0" t="n">
        <v>3.39</v>
      </c>
      <c r="G5393" s="0" t="n">
        <v>12731</v>
      </c>
      <c r="H5393" s="0" t="s">
        <v>43</v>
      </c>
      <c r="I5393" s="7" t="n">
        <f aca="false">IF(AND(LEFT(A5393,1)&lt;&gt;"C",D5393&gt;0,F5393&gt;0),1,0)</f>
        <v>1</v>
      </c>
      <c r="J5393" s="7" t="n">
        <f aca="false">IF(I5393=1,D5393*F5393,0)</f>
        <v>122.04</v>
      </c>
      <c r="K5393" s="7" t="n">
        <f aca="false">YEAR(E5393)*100+MONTH(E5393)</f>
        <v>201111</v>
      </c>
      <c r="L5393" s="7" t="n">
        <f aca="false">IF(AND(A5393&lt;&gt;A5392,LEFT(A5393,1)&lt;&gt;"C"),1,0)</f>
        <v>0</v>
      </c>
    </row>
    <row r="5394" customFormat="false" ht="15" hidden="false" customHeight="false" outlineLevel="0" collapsed="false">
      <c r="A5394" s="0" t="s">
        <v>3035</v>
      </c>
      <c r="B5394" s="0" t="s">
        <v>1019</v>
      </c>
      <c r="C5394" s="0" t="s">
        <v>1020</v>
      </c>
      <c r="D5394" s="0" t="n">
        <v>10</v>
      </c>
      <c r="E5394" s="6" t="n">
        <v>40863.4993055556</v>
      </c>
      <c r="F5394" s="0" t="n">
        <v>7.08</v>
      </c>
      <c r="G5394" s="0" t="n">
        <v>12731</v>
      </c>
      <c r="H5394" s="0" t="s">
        <v>43</v>
      </c>
      <c r="I5394" s="7" t="n">
        <f aca="false">IF(AND(LEFT(A5394,1)&lt;&gt;"C",D5394&gt;0,F5394&gt;0),1,0)</f>
        <v>1</v>
      </c>
      <c r="J5394" s="7" t="n">
        <f aca="false">IF(I5394=1,D5394*F5394,0)</f>
        <v>70.8</v>
      </c>
      <c r="K5394" s="7" t="n">
        <f aca="false">YEAR(E5394)*100+MONTH(E5394)</f>
        <v>201111</v>
      </c>
      <c r="L5394" s="7" t="n">
        <f aca="false">IF(AND(A5394&lt;&gt;A5393,LEFT(A5394,1)&lt;&gt;"C"),1,0)</f>
        <v>0</v>
      </c>
    </row>
    <row r="5395" customFormat="false" ht="15" hidden="false" customHeight="false" outlineLevel="0" collapsed="false">
      <c r="A5395" s="0" t="s">
        <v>3035</v>
      </c>
      <c r="B5395" s="0" t="s">
        <v>758</v>
      </c>
      <c r="C5395" s="0" t="s">
        <v>759</v>
      </c>
      <c r="D5395" s="0" t="n">
        <v>10</v>
      </c>
      <c r="E5395" s="6" t="n">
        <v>40863.4993055556</v>
      </c>
      <c r="F5395" s="0" t="n">
        <v>7.08</v>
      </c>
      <c r="G5395" s="0" t="n">
        <v>12731</v>
      </c>
      <c r="H5395" s="0" t="s">
        <v>43</v>
      </c>
      <c r="I5395" s="7" t="n">
        <f aca="false">IF(AND(LEFT(A5395,1)&lt;&gt;"C",D5395&gt;0,F5395&gt;0),1,0)</f>
        <v>1</v>
      </c>
      <c r="J5395" s="7" t="n">
        <f aca="false">IF(I5395=1,D5395*F5395,0)</f>
        <v>70.8</v>
      </c>
      <c r="K5395" s="7" t="n">
        <f aca="false">YEAR(E5395)*100+MONTH(E5395)</f>
        <v>201111</v>
      </c>
      <c r="L5395" s="7" t="n">
        <f aca="false">IF(AND(A5395&lt;&gt;A5394,LEFT(A5395,1)&lt;&gt;"C"),1,0)</f>
        <v>0</v>
      </c>
    </row>
    <row r="5396" customFormat="false" ht="15" hidden="false" customHeight="false" outlineLevel="0" collapsed="false">
      <c r="A5396" s="0" t="s">
        <v>3035</v>
      </c>
      <c r="B5396" s="0" t="s">
        <v>3036</v>
      </c>
      <c r="C5396" s="0" t="s">
        <v>3037</v>
      </c>
      <c r="D5396" s="0" t="n">
        <v>10</v>
      </c>
      <c r="E5396" s="6" t="n">
        <v>40863.4993055556</v>
      </c>
      <c r="F5396" s="0" t="n">
        <v>7.08</v>
      </c>
      <c r="G5396" s="0" t="n">
        <v>12731</v>
      </c>
      <c r="H5396" s="0" t="s">
        <v>43</v>
      </c>
      <c r="I5396" s="7" t="n">
        <f aca="false">IF(AND(LEFT(A5396,1)&lt;&gt;"C",D5396&gt;0,F5396&gt;0),1,0)</f>
        <v>1</v>
      </c>
      <c r="J5396" s="7" t="n">
        <f aca="false">IF(I5396=1,D5396*F5396,0)</f>
        <v>70.8</v>
      </c>
      <c r="K5396" s="7" t="n">
        <f aca="false">YEAR(E5396)*100+MONTH(E5396)</f>
        <v>201111</v>
      </c>
      <c r="L5396" s="7" t="n">
        <f aca="false">IF(AND(A5396&lt;&gt;A5395,LEFT(A5396,1)&lt;&gt;"C"),1,0)</f>
        <v>0</v>
      </c>
    </row>
    <row r="5397" customFormat="false" ht="15" hidden="false" customHeight="false" outlineLevel="0" collapsed="false">
      <c r="A5397" s="0" t="s">
        <v>3035</v>
      </c>
      <c r="B5397" s="0" t="s">
        <v>416</v>
      </c>
      <c r="C5397" s="0" t="s">
        <v>417</v>
      </c>
      <c r="D5397" s="0" t="n">
        <v>36</v>
      </c>
      <c r="E5397" s="6" t="n">
        <v>40863.4993055556</v>
      </c>
      <c r="F5397" s="0" t="n">
        <v>0.65</v>
      </c>
      <c r="G5397" s="0" t="n">
        <v>12731</v>
      </c>
      <c r="H5397" s="0" t="s">
        <v>43</v>
      </c>
      <c r="I5397" s="7" t="n">
        <f aca="false">IF(AND(LEFT(A5397,1)&lt;&gt;"C",D5397&gt;0,F5397&gt;0),1,0)</f>
        <v>1</v>
      </c>
      <c r="J5397" s="7" t="n">
        <f aca="false">IF(I5397=1,D5397*F5397,0)</f>
        <v>23.4</v>
      </c>
      <c r="K5397" s="7" t="n">
        <f aca="false">YEAR(E5397)*100+MONTH(E5397)</f>
        <v>201111</v>
      </c>
      <c r="L5397" s="7" t="n">
        <f aca="false">IF(AND(A5397&lt;&gt;A5396,LEFT(A5397,1)&lt;&gt;"C"),1,0)</f>
        <v>0</v>
      </c>
    </row>
    <row r="5398" customFormat="false" ht="15" hidden="false" customHeight="false" outlineLevel="0" collapsed="false">
      <c r="A5398" s="0" t="s">
        <v>3035</v>
      </c>
      <c r="B5398" s="0" t="s">
        <v>388</v>
      </c>
      <c r="C5398" s="0" t="s">
        <v>389</v>
      </c>
      <c r="D5398" s="0" t="n">
        <v>160</v>
      </c>
      <c r="E5398" s="6" t="n">
        <v>40863.4993055556</v>
      </c>
      <c r="F5398" s="0" t="n">
        <v>1.45</v>
      </c>
      <c r="G5398" s="0" t="n">
        <v>12731</v>
      </c>
      <c r="H5398" s="0" t="s">
        <v>43</v>
      </c>
      <c r="I5398" s="7" t="n">
        <f aca="false">IF(AND(LEFT(A5398,1)&lt;&gt;"C",D5398&gt;0,F5398&gt;0),1,0)</f>
        <v>1</v>
      </c>
      <c r="J5398" s="7" t="n">
        <f aca="false">IF(I5398=1,D5398*F5398,0)</f>
        <v>232</v>
      </c>
      <c r="K5398" s="7" t="n">
        <f aca="false">YEAR(E5398)*100+MONTH(E5398)</f>
        <v>201111</v>
      </c>
      <c r="L5398" s="7" t="n">
        <f aca="false">IF(AND(A5398&lt;&gt;A5397,LEFT(A5398,1)&lt;&gt;"C"),1,0)</f>
        <v>0</v>
      </c>
    </row>
    <row r="5399" customFormat="false" ht="15" hidden="false" customHeight="false" outlineLevel="0" collapsed="false">
      <c r="A5399" s="0" t="s">
        <v>3035</v>
      </c>
      <c r="B5399" s="0" t="s">
        <v>68</v>
      </c>
      <c r="C5399" s="0" t="s">
        <v>69</v>
      </c>
      <c r="D5399" s="0" t="n">
        <v>20</v>
      </c>
      <c r="E5399" s="6" t="n">
        <v>40863.4993055556</v>
      </c>
      <c r="F5399" s="0" t="n">
        <v>1.65</v>
      </c>
      <c r="G5399" s="0" t="n">
        <v>12731</v>
      </c>
      <c r="H5399" s="0" t="s">
        <v>43</v>
      </c>
      <c r="I5399" s="7" t="n">
        <f aca="false">IF(AND(LEFT(A5399,1)&lt;&gt;"C",D5399&gt;0,F5399&gt;0),1,0)</f>
        <v>1</v>
      </c>
      <c r="J5399" s="7" t="n">
        <f aca="false">IF(I5399=1,D5399*F5399,0)</f>
        <v>33</v>
      </c>
      <c r="K5399" s="7" t="n">
        <f aca="false">YEAR(E5399)*100+MONTH(E5399)</f>
        <v>201111</v>
      </c>
      <c r="L5399" s="7" t="n">
        <f aca="false">IF(AND(A5399&lt;&gt;A5398,LEFT(A5399,1)&lt;&gt;"C"),1,0)</f>
        <v>0</v>
      </c>
    </row>
    <row r="5400" customFormat="false" ht="15" hidden="false" customHeight="false" outlineLevel="0" collapsed="false">
      <c r="A5400" s="0" t="s">
        <v>3035</v>
      </c>
      <c r="B5400" s="0" t="s">
        <v>56</v>
      </c>
      <c r="C5400" s="0" t="s">
        <v>57</v>
      </c>
      <c r="D5400" s="0" t="n">
        <v>30</v>
      </c>
      <c r="E5400" s="6" t="n">
        <v>40863.4993055556</v>
      </c>
      <c r="F5400" s="0" t="n">
        <v>1.65</v>
      </c>
      <c r="G5400" s="0" t="n">
        <v>12731</v>
      </c>
      <c r="H5400" s="0" t="s">
        <v>43</v>
      </c>
      <c r="I5400" s="7" t="n">
        <f aca="false">IF(AND(LEFT(A5400,1)&lt;&gt;"C",D5400&gt;0,F5400&gt;0),1,0)</f>
        <v>1</v>
      </c>
      <c r="J5400" s="7" t="n">
        <f aca="false">IF(I5400=1,D5400*F5400,0)</f>
        <v>49.5</v>
      </c>
      <c r="K5400" s="7" t="n">
        <f aca="false">YEAR(E5400)*100+MONTH(E5400)</f>
        <v>201111</v>
      </c>
      <c r="L5400" s="7" t="n">
        <f aca="false">IF(AND(A5400&lt;&gt;A5399,LEFT(A5400,1)&lt;&gt;"C"),1,0)</f>
        <v>0</v>
      </c>
    </row>
    <row r="5401" customFormat="false" ht="15" hidden="false" customHeight="false" outlineLevel="0" collapsed="false">
      <c r="A5401" s="0" t="s">
        <v>3035</v>
      </c>
      <c r="B5401" s="0" t="s">
        <v>74</v>
      </c>
      <c r="C5401" s="0" t="s">
        <v>75</v>
      </c>
      <c r="D5401" s="0" t="n">
        <v>36</v>
      </c>
      <c r="E5401" s="6" t="n">
        <v>40863.4993055556</v>
      </c>
      <c r="F5401" s="0" t="n">
        <v>1.95</v>
      </c>
      <c r="G5401" s="0" t="n">
        <v>12731</v>
      </c>
      <c r="H5401" s="0" t="s">
        <v>43</v>
      </c>
      <c r="I5401" s="7" t="n">
        <f aca="false">IF(AND(LEFT(A5401,1)&lt;&gt;"C",D5401&gt;0,F5401&gt;0),1,0)</f>
        <v>1</v>
      </c>
      <c r="J5401" s="7" t="n">
        <f aca="false">IF(I5401=1,D5401*F5401,0)</f>
        <v>70.2</v>
      </c>
      <c r="K5401" s="7" t="n">
        <f aca="false">YEAR(E5401)*100+MONTH(E5401)</f>
        <v>201111</v>
      </c>
      <c r="L5401" s="7" t="n">
        <f aca="false">IF(AND(A5401&lt;&gt;A5400,LEFT(A5401,1)&lt;&gt;"C"),1,0)</f>
        <v>0</v>
      </c>
    </row>
    <row r="5402" customFormat="false" ht="15" hidden="false" customHeight="false" outlineLevel="0" collapsed="false">
      <c r="A5402" s="0" t="s">
        <v>3035</v>
      </c>
      <c r="B5402" s="0" t="s">
        <v>651</v>
      </c>
      <c r="C5402" s="0" t="s">
        <v>652</v>
      </c>
      <c r="D5402" s="0" t="n">
        <v>20</v>
      </c>
      <c r="E5402" s="6" t="n">
        <v>40863.4993055556</v>
      </c>
      <c r="F5402" s="0" t="n">
        <v>1.65</v>
      </c>
      <c r="G5402" s="0" t="n">
        <v>12731</v>
      </c>
      <c r="H5402" s="0" t="s">
        <v>43</v>
      </c>
      <c r="I5402" s="7" t="n">
        <f aca="false">IF(AND(LEFT(A5402,1)&lt;&gt;"C",D5402&gt;0,F5402&gt;0),1,0)</f>
        <v>1</v>
      </c>
      <c r="J5402" s="7" t="n">
        <f aca="false">IF(I5402=1,D5402*F5402,0)</f>
        <v>33</v>
      </c>
      <c r="K5402" s="7" t="n">
        <f aca="false">YEAR(E5402)*100+MONTH(E5402)</f>
        <v>201111</v>
      </c>
      <c r="L5402" s="7" t="n">
        <f aca="false">IF(AND(A5402&lt;&gt;A5401,LEFT(A5402,1)&lt;&gt;"C"),1,0)</f>
        <v>0</v>
      </c>
    </row>
    <row r="5403" customFormat="false" ht="15" hidden="false" customHeight="false" outlineLevel="0" collapsed="false">
      <c r="A5403" s="0" t="s">
        <v>3035</v>
      </c>
      <c r="B5403" s="0" t="s">
        <v>217</v>
      </c>
      <c r="C5403" s="0" t="s">
        <v>218</v>
      </c>
      <c r="D5403" s="0" t="n">
        <v>24</v>
      </c>
      <c r="E5403" s="6" t="n">
        <v>40863.4993055556</v>
      </c>
      <c r="F5403" s="0" t="n">
        <v>0.55</v>
      </c>
      <c r="G5403" s="0" t="n">
        <v>12731</v>
      </c>
      <c r="H5403" s="0" t="s">
        <v>43</v>
      </c>
      <c r="I5403" s="7" t="n">
        <f aca="false">IF(AND(LEFT(A5403,1)&lt;&gt;"C",D5403&gt;0,F5403&gt;0),1,0)</f>
        <v>1</v>
      </c>
      <c r="J5403" s="7" t="n">
        <f aca="false">IF(I5403=1,D5403*F5403,0)</f>
        <v>13.2</v>
      </c>
      <c r="K5403" s="7" t="n">
        <f aca="false">YEAR(E5403)*100+MONTH(E5403)</f>
        <v>201111</v>
      </c>
      <c r="L5403" s="7" t="n">
        <f aca="false">IF(AND(A5403&lt;&gt;A5402,LEFT(A5403,1)&lt;&gt;"C"),1,0)</f>
        <v>0</v>
      </c>
    </row>
    <row r="5404" customFormat="false" ht="15" hidden="false" customHeight="false" outlineLevel="0" collapsed="false">
      <c r="A5404" s="0" t="s">
        <v>3035</v>
      </c>
      <c r="B5404" s="0" t="s">
        <v>1306</v>
      </c>
      <c r="C5404" s="0" t="s">
        <v>1307</v>
      </c>
      <c r="D5404" s="0" t="n">
        <v>24</v>
      </c>
      <c r="E5404" s="6" t="n">
        <v>40863.4993055556</v>
      </c>
      <c r="F5404" s="0" t="n">
        <v>1.25</v>
      </c>
      <c r="G5404" s="0" t="n">
        <v>12731</v>
      </c>
      <c r="H5404" s="0" t="s">
        <v>43</v>
      </c>
      <c r="I5404" s="7" t="n">
        <f aca="false">IF(AND(LEFT(A5404,1)&lt;&gt;"C",D5404&gt;0,F5404&gt;0),1,0)</f>
        <v>1</v>
      </c>
      <c r="J5404" s="7" t="n">
        <f aca="false">IF(I5404=1,D5404*F5404,0)</f>
        <v>30</v>
      </c>
      <c r="K5404" s="7" t="n">
        <f aca="false">YEAR(E5404)*100+MONTH(E5404)</f>
        <v>201111</v>
      </c>
      <c r="L5404" s="7" t="n">
        <f aca="false">IF(AND(A5404&lt;&gt;A5403,LEFT(A5404,1)&lt;&gt;"C"),1,0)</f>
        <v>0</v>
      </c>
    </row>
    <row r="5405" customFormat="false" ht="15" hidden="false" customHeight="false" outlineLevel="0" collapsed="false">
      <c r="A5405" s="0" t="s">
        <v>3035</v>
      </c>
      <c r="B5405" s="0" t="s">
        <v>133</v>
      </c>
      <c r="C5405" s="0" t="s">
        <v>134</v>
      </c>
      <c r="D5405" s="0" t="n">
        <v>24</v>
      </c>
      <c r="E5405" s="6" t="n">
        <v>40863.4993055556</v>
      </c>
      <c r="F5405" s="0" t="n">
        <v>3.25</v>
      </c>
      <c r="G5405" s="0" t="n">
        <v>12731</v>
      </c>
      <c r="H5405" s="0" t="s">
        <v>43</v>
      </c>
      <c r="I5405" s="7" t="n">
        <f aca="false">IF(AND(LEFT(A5405,1)&lt;&gt;"C",D5405&gt;0,F5405&gt;0),1,0)</f>
        <v>1</v>
      </c>
      <c r="J5405" s="7" t="n">
        <f aca="false">IF(I5405=1,D5405*F5405,0)</f>
        <v>78</v>
      </c>
      <c r="K5405" s="7" t="n">
        <f aca="false">YEAR(E5405)*100+MONTH(E5405)</f>
        <v>201111</v>
      </c>
      <c r="L5405" s="7" t="n">
        <f aca="false">IF(AND(A5405&lt;&gt;A5404,LEFT(A5405,1)&lt;&gt;"C"),1,0)</f>
        <v>0</v>
      </c>
    </row>
    <row r="5406" customFormat="false" ht="15" hidden="false" customHeight="false" outlineLevel="0" collapsed="false">
      <c r="A5406" s="0" t="s">
        <v>3035</v>
      </c>
      <c r="B5406" s="0" t="s">
        <v>1617</v>
      </c>
      <c r="C5406" s="0" t="s">
        <v>1618</v>
      </c>
      <c r="D5406" s="0" t="n">
        <v>60</v>
      </c>
      <c r="E5406" s="6" t="n">
        <v>40863.4993055556</v>
      </c>
      <c r="F5406" s="0" t="n">
        <v>0.85</v>
      </c>
      <c r="G5406" s="0" t="n">
        <v>12731</v>
      </c>
      <c r="H5406" s="0" t="s">
        <v>43</v>
      </c>
      <c r="I5406" s="7" t="n">
        <f aca="false">IF(AND(LEFT(A5406,1)&lt;&gt;"C",D5406&gt;0,F5406&gt;0),1,0)</f>
        <v>1</v>
      </c>
      <c r="J5406" s="7" t="n">
        <f aca="false">IF(I5406=1,D5406*F5406,0)</f>
        <v>51</v>
      </c>
      <c r="K5406" s="7" t="n">
        <f aca="false">YEAR(E5406)*100+MONTH(E5406)</f>
        <v>201111</v>
      </c>
      <c r="L5406" s="7" t="n">
        <f aca="false">IF(AND(A5406&lt;&gt;A5405,LEFT(A5406,1)&lt;&gt;"C"),1,0)</f>
        <v>0</v>
      </c>
    </row>
    <row r="5407" customFormat="false" ht="15" hidden="false" customHeight="false" outlineLevel="0" collapsed="false">
      <c r="A5407" s="0" t="s">
        <v>3038</v>
      </c>
      <c r="B5407" s="0" t="s">
        <v>2573</v>
      </c>
      <c r="C5407" s="0" t="s">
        <v>2574</v>
      </c>
      <c r="D5407" s="0" t="n">
        <v>8</v>
      </c>
      <c r="E5407" s="6" t="n">
        <v>40863.5791666667</v>
      </c>
      <c r="F5407" s="0" t="n">
        <v>3.75</v>
      </c>
      <c r="G5407" s="0" t="n">
        <v>13815</v>
      </c>
      <c r="H5407" s="0" t="s">
        <v>33</v>
      </c>
      <c r="I5407" s="7" t="n">
        <f aca="false">IF(AND(LEFT(A5407,1)&lt;&gt;"C",D5407&gt;0,F5407&gt;0),1,0)</f>
        <v>1</v>
      </c>
      <c r="J5407" s="7" t="n">
        <f aca="false">IF(I5407=1,D5407*F5407,0)</f>
        <v>30</v>
      </c>
      <c r="K5407" s="7" t="n">
        <f aca="false">YEAR(E5407)*100+MONTH(E5407)</f>
        <v>201111</v>
      </c>
      <c r="L5407" s="7" t="n">
        <f aca="false">IF(AND(A5407&lt;&gt;A5406,LEFT(A5407,1)&lt;&gt;"C"),1,0)</f>
        <v>1</v>
      </c>
    </row>
    <row r="5408" customFormat="false" ht="15" hidden="false" customHeight="false" outlineLevel="0" collapsed="false">
      <c r="A5408" s="0" t="s">
        <v>3038</v>
      </c>
      <c r="B5408" s="0" t="s">
        <v>2966</v>
      </c>
      <c r="C5408" s="0" t="s">
        <v>2967</v>
      </c>
      <c r="D5408" s="0" t="n">
        <v>10</v>
      </c>
      <c r="E5408" s="6" t="n">
        <v>40863.5791666667</v>
      </c>
      <c r="F5408" s="0" t="n">
        <v>2.08</v>
      </c>
      <c r="G5408" s="0" t="n">
        <v>13815</v>
      </c>
      <c r="H5408" s="0" t="s">
        <v>33</v>
      </c>
      <c r="I5408" s="7" t="n">
        <f aca="false">IF(AND(LEFT(A5408,1)&lt;&gt;"C",D5408&gt;0,F5408&gt;0),1,0)</f>
        <v>1</v>
      </c>
      <c r="J5408" s="7" t="n">
        <f aca="false">IF(I5408=1,D5408*F5408,0)</f>
        <v>20.8</v>
      </c>
      <c r="K5408" s="7" t="n">
        <f aca="false">YEAR(E5408)*100+MONTH(E5408)</f>
        <v>201111</v>
      </c>
      <c r="L5408" s="7" t="n">
        <f aca="false">IF(AND(A5408&lt;&gt;A5407,LEFT(A5408,1)&lt;&gt;"C"),1,0)</f>
        <v>0</v>
      </c>
    </row>
    <row r="5409" customFormat="false" ht="15" hidden="false" customHeight="false" outlineLevel="0" collapsed="false">
      <c r="A5409" s="0" t="s">
        <v>3038</v>
      </c>
      <c r="B5409" s="0" t="s">
        <v>2282</v>
      </c>
      <c r="C5409" s="0" t="s">
        <v>2283</v>
      </c>
      <c r="D5409" s="0" t="n">
        <v>6</v>
      </c>
      <c r="E5409" s="6" t="n">
        <v>40863.5791666667</v>
      </c>
      <c r="F5409" s="0" t="n">
        <v>7.95</v>
      </c>
      <c r="G5409" s="0" t="n">
        <v>13815</v>
      </c>
      <c r="H5409" s="0" t="s">
        <v>33</v>
      </c>
      <c r="I5409" s="7" t="n">
        <f aca="false">IF(AND(LEFT(A5409,1)&lt;&gt;"C",D5409&gt;0,F5409&gt;0),1,0)</f>
        <v>1</v>
      </c>
      <c r="J5409" s="7" t="n">
        <f aca="false">IF(I5409=1,D5409*F5409,0)</f>
        <v>47.7</v>
      </c>
      <c r="K5409" s="7" t="n">
        <f aca="false">YEAR(E5409)*100+MONTH(E5409)</f>
        <v>201111</v>
      </c>
      <c r="L5409" s="7" t="n">
        <f aca="false">IF(AND(A5409&lt;&gt;A5408,LEFT(A5409,1)&lt;&gt;"C"),1,0)</f>
        <v>0</v>
      </c>
    </row>
    <row r="5410" customFormat="false" ht="15" hidden="false" customHeight="false" outlineLevel="0" collapsed="false">
      <c r="A5410" s="0" t="s">
        <v>3038</v>
      </c>
      <c r="B5410" s="0" t="s">
        <v>2168</v>
      </c>
      <c r="C5410" s="0" t="s">
        <v>2169</v>
      </c>
      <c r="D5410" s="0" t="n">
        <v>48</v>
      </c>
      <c r="E5410" s="6" t="n">
        <v>40863.5791666667</v>
      </c>
      <c r="F5410" s="0" t="n">
        <v>0.39</v>
      </c>
      <c r="G5410" s="0" t="n">
        <v>13815</v>
      </c>
      <c r="H5410" s="0" t="s">
        <v>33</v>
      </c>
      <c r="I5410" s="7" t="n">
        <f aca="false">IF(AND(LEFT(A5410,1)&lt;&gt;"C",D5410&gt;0,F5410&gt;0),1,0)</f>
        <v>1</v>
      </c>
      <c r="J5410" s="7" t="n">
        <f aca="false">IF(I5410=1,D5410*F5410,0)</f>
        <v>18.72</v>
      </c>
      <c r="K5410" s="7" t="n">
        <f aca="false">YEAR(E5410)*100+MONTH(E5410)</f>
        <v>201111</v>
      </c>
      <c r="L5410" s="7" t="n">
        <f aca="false">IF(AND(A5410&lt;&gt;A5409,LEFT(A5410,1)&lt;&gt;"C"),1,0)</f>
        <v>0</v>
      </c>
    </row>
    <row r="5411" customFormat="false" ht="15" hidden="false" customHeight="false" outlineLevel="0" collapsed="false">
      <c r="A5411" s="0" t="s">
        <v>3038</v>
      </c>
      <c r="B5411" s="0" t="s">
        <v>1187</v>
      </c>
      <c r="C5411" s="0" t="s">
        <v>1188</v>
      </c>
      <c r="D5411" s="0" t="n">
        <v>6</v>
      </c>
      <c r="E5411" s="6" t="n">
        <v>40863.5791666667</v>
      </c>
      <c r="F5411" s="0" t="n">
        <v>5.95</v>
      </c>
      <c r="G5411" s="0" t="n">
        <v>13815</v>
      </c>
      <c r="H5411" s="0" t="s">
        <v>33</v>
      </c>
      <c r="I5411" s="7" t="n">
        <f aca="false">IF(AND(LEFT(A5411,1)&lt;&gt;"C",D5411&gt;0,F5411&gt;0),1,0)</f>
        <v>1</v>
      </c>
      <c r="J5411" s="7" t="n">
        <f aca="false">IF(I5411=1,D5411*F5411,0)</f>
        <v>35.7</v>
      </c>
      <c r="K5411" s="7" t="n">
        <f aca="false">YEAR(E5411)*100+MONTH(E5411)</f>
        <v>201111</v>
      </c>
      <c r="L5411" s="7" t="n">
        <f aca="false">IF(AND(A5411&lt;&gt;A5410,LEFT(A5411,1)&lt;&gt;"C"),1,0)</f>
        <v>0</v>
      </c>
    </row>
    <row r="5412" customFormat="false" ht="15" hidden="false" customHeight="false" outlineLevel="0" collapsed="false">
      <c r="A5412" s="0" t="s">
        <v>3038</v>
      </c>
      <c r="B5412" s="0" t="s">
        <v>3039</v>
      </c>
      <c r="C5412" s="0" t="s">
        <v>3040</v>
      </c>
      <c r="D5412" s="0" t="n">
        <v>12</v>
      </c>
      <c r="E5412" s="6" t="n">
        <v>40863.5791666667</v>
      </c>
      <c r="F5412" s="0" t="n">
        <v>1.65</v>
      </c>
      <c r="G5412" s="0" t="n">
        <v>13815</v>
      </c>
      <c r="H5412" s="0" t="s">
        <v>33</v>
      </c>
      <c r="I5412" s="7" t="n">
        <f aca="false">IF(AND(LEFT(A5412,1)&lt;&gt;"C",D5412&gt;0,F5412&gt;0),1,0)</f>
        <v>1</v>
      </c>
      <c r="J5412" s="7" t="n">
        <f aca="false">IF(I5412=1,D5412*F5412,0)</f>
        <v>19.8</v>
      </c>
      <c r="K5412" s="7" t="n">
        <f aca="false">YEAR(E5412)*100+MONTH(E5412)</f>
        <v>201111</v>
      </c>
      <c r="L5412" s="7" t="n">
        <f aca="false">IF(AND(A5412&lt;&gt;A5411,LEFT(A5412,1)&lt;&gt;"C"),1,0)</f>
        <v>0</v>
      </c>
    </row>
    <row r="5413" customFormat="false" ht="15" hidden="false" customHeight="false" outlineLevel="0" collapsed="false">
      <c r="A5413" s="0" t="s">
        <v>3038</v>
      </c>
      <c r="B5413" s="0" t="s">
        <v>970</v>
      </c>
      <c r="C5413" s="0" t="s">
        <v>971</v>
      </c>
      <c r="D5413" s="0" t="n">
        <v>20</v>
      </c>
      <c r="E5413" s="6" t="n">
        <v>40863.5791666667</v>
      </c>
      <c r="F5413" s="0" t="n">
        <v>1.65</v>
      </c>
      <c r="G5413" s="0" t="n">
        <v>13815</v>
      </c>
      <c r="H5413" s="0" t="s">
        <v>33</v>
      </c>
      <c r="I5413" s="7" t="n">
        <f aca="false">IF(AND(LEFT(A5413,1)&lt;&gt;"C",D5413&gt;0,F5413&gt;0),1,0)</f>
        <v>1</v>
      </c>
      <c r="J5413" s="7" t="n">
        <f aca="false">IF(I5413=1,D5413*F5413,0)</f>
        <v>33</v>
      </c>
      <c r="K5413" s="7" t="n">
        <f aca="false">YEAR(E5413)*100+MONTH(E5413)</f>
        <v>201111</v>
      </c>
      <c r="L5413" s="7" t="n">
        <f aca="false">IF(AND(A5413&lt;&gt;A5412,LEFT(A5413,1)&lt;&gt;"C"),1,0)</f>
        <v>0</v>
      </c>
    </row>
    <row r="5414" customFormat="false" ht="15" hidden="false" customHeight="false" outlineLevel="0" collapsed="false">
      <c r="A5414" s="0" t="s">
        <v>3038</v>
      </c>
      <c r="B5414" s="0" t="s">
        <v>1189</v>
      </c>
      <c r="C5414" s="0" t="s">
        <v>1190</v>
      </c>
      <c r="D5414" s="0" t="n">
        <v>12</v>
      </c>
      <c r="E5414" s="6" t="n">
        <v>40863.5791666667</v>
      </c>
      <c r="F5414" s="0" t="n">
        <v>2.89</v>
      </c>
      <c r="G5414" s="0" t="n">
        <v>13815</v>
      </c>
      <c r="H5414" s="0" t="s">
        <v>33</v>
      </c>
      <c r="I5414" s="7" t="n">
        <f aca="false">IF(AND(LEFT(A5414,1)&lt;&gt;"C",D5414&gt;0,F5414&gt;0),1,0)</f>
        <v>1</v>
      </c>
      <c r="J5414" s="7" t="n">
        <f aca="false">IF(I5414=1,D5414*F5414,0)</f>
        <v>34.68</v>
      </c>
      <c r="K5414" s="7" t="n">
        <f aca="false">YEAR(E5414)*100+MONTH(E5414)</f>
        <v>201111</v>
      </c>
      <c r="L5414" s="7" t="n">
        <f aca="false">IF(AND(A5414&lt;&gt;A5413,LEFT(A5414,1)&lt;&gt;"C"),1,0)</f>
        <v>0</v>
      </c>
    </row>
    <row r="5415" customFormat="false" ht="15" hidden="false" customHeight="false" outlineLevel="0" collapsed="false">
      <c r="A5415" s="0" t="s">
        <v>3038</v>
      </c>
      <c r="B5415" s="0" t="s">
        <v>968</v>
      </c>
      <c r="C5415" s="0" t="s">
        <v>969</v>
      </c>
      <c r="D5415" s="0" t="n">
        <v>10</v>
      </c>
      <c r="E5415" s="6" t="n">
        <v>40863.5791666667</v>
      </c>
      <c r="F5415" s="0" t="n">
        <v>1.65</v>
      </c>
      <c r="G5415" s="0" t="n">
        <v>13815</v>
      </c>
      <c r="H5415" s="0" t="s">
        <v>33</v>
      </c>
      <c r="I5415" s="7" t="n">
        <f aca="false">IF(AND(LEFT(A5415,1)&lt;&gt;"C",D5415&gt;0,F5415&gt;0),1,0)</f>
        <v>1</v>
      </c>
      <c r="J5415" s="7" t="n">
        <f aca="false">IF(I5415=1,D5415*F5415,0)</f>
        <v>16.5</v>
      </c>
      <c r="K5415" s="7" t="n">
        <f aca="false">YEAR(E5415)*100+MONTH(E5415)</f>
        <v>201111</v>
      </c>
      <c r="L5415" s="7" t="n">
        <f aca="false">IF(AND(A5415&lt;&gt;A5414,LEFT(A5415,1)&lt;&gt;"C"),1,0)</f>
        <v>0</v>
      </c>
    </row>
    <row r="5416" customFormat="false" ht="15" hidden="false" customHeight="false" outlineLevel="0" collapsed="false">
      <c r="A5416" s="0" t="s">
        <v>3038</v>
      </c>
      <c r="B5416" s="0" t="s">
        <v>3041</v>
      </c>
      <c r="C5416" s="0" t="s">
        <v>3042</v>
      </c>
      <c r="D5416" s="0" t="n">
        <v>10</v>
      </c>
      <c r="E5416" s="6" t="n">
        <v>40863.5791666667</v>
      </c>
      <c r="F5416" s="0" t="n">
        <v>1.65</v>
      </c>
      <c r="G5416" s="0" t="n">
        <v>13815</v>
      </c>
      <c r="H5416" s="0" t="s">
        <v>33</v>
      </c>
      <c r="I5416" s="7" t="n">
        <f aca="false">IF(AND(LEFT(A5416,1)&lt;&gt;"C",D5416&gt;0,F5416&gt;0),1,0)</f>
        <v>1</v>
      </c>
      <c r="J5416" s="7" t="n">
        <f aca="false">IF(I5416=1,D5416*F5416,0)</f>
        <v>16.5</v>
      </c>
      <c r="K5416" s="7" t="n">
        <f aca="false">YEAR(E5416)*100+MONTH(E5416)</f>
        <v>201111</v>
      </c>
      <c r="L5416" s="7" t="n">
        <f aca="false">IF(AND(A5416&lt;&gt;A5415,LEFT(A5416,1)&lt;&gt;"C"),1,0)</f>
        <v>0</v>
      </c>
    </row>
    <row r="5417" customFormat="false" ht="15" hidden="false" customHeight="false" outlineLevel="0" collapsed="false">
      <c r="A5417" s="0" t="s">
        <v>3038</v>
      </c>
      <c r="B5417" s="0" t="s">
        <v>2417</v>
      </c>
      <c r="C5417" s="0" t="s">
        <v>2418</v>
      </c>
      <c r="D5417" s="0" t="n">
        <v>12</v>
      </c>
      <c r="E5417" s="6" t="n">
        <v>40863.5791666667</v>
      </c>
      <c r="F5417" s="0" t="n">
        <v>1.25</v>
      </c>
      <c r="G5417" s="0" t="n">
        <v>13815</v>
      </c>
      <c r="H5417" s="0" t="s">
        <v>33</v>
      </c>
      <c r="I5417" s="7" t="n">
        <f aca="false">IF(AND(LEFT(A5417,1)&lt;&gt;"C",D5417&gt;0,F5417&gt;0),1,0)</f>
        <v>1</v>
      </c>
      <c r="J5417" s="7" t="n">
        <f aca="false">IF(I5417=1,D5417*F5417,0)</f>
        <v>15</v>
      </c>
      <c r="K5417" s="7" t="n">
        <f aca="false">YEAR(E5417)*100+MONTH(E5417)</f>
        <v>201111</v>
      </c>
      <c r="L5417" s="7" t="n">
        <f aca="false">IF(AND(A5417&lt;&gt;A5416,LEFT(A5417,1)&lt;&gt;"C"),1,0)</f>
        <v>0</v>
      </c>
    </row>
    <row r="5418" customFormat="false" ht="15" hidden="false" customHeight="false" outlineLevel="0" collapsed="false">
      <c r="A5418" s="0" t="s">
        <v>3038</v>
      </c>
      <c r="B5418" s="0" t="s">
        <v>977</v>
      </c>
      <c r="C5418" s="0" t="s">
        <v>978</v>
      </c>
      <c r="D5418" s="0" t="n">
        <v>10</v>
      </c>
      <c r="E5418" s="6" t="n">
        <v>40863.5791666667</v>
      </c>
      <c r="F5418" s="0" t="n">
        <v>1.65</v>
      </c>
      <c r="G5418" s="0" t="n">
        <v>13815</v>
      </c>
      <c r="H5418" s="0" t="s">
        <v>33</v>
      </c>
      <c r="I5418" s="7" t="n">
        <f aca="false">IF(AND(LEFT(A5418,1)&lt;&gt;"C",D5418&gt;0,F5418&gt;0),1,0)</f>
        <v>1</v>
      </c>
      <c r="J5418" s="7" t="n">
        <f aca="false">IF(I5418=1,D5418*F5418,0)</f>
        <v>16.5</v>
      </c>
      <c r="K5418" s="7" t="n">
        <f aca="false">YEAR(E5418)*100+MONTH(E5418)</f>
        <v>201111</v>
      </c>
      <c r="L5418" s="7" t="n">
        <f aca="false">IF(AND(A5418&lt;&gt;A5417,LEFT(A5418,1)&lt;&gt;"C"),1,0)</f>
        <v>0</v>
      </c>
    </row>
    <row r="5419" customFormat="false" ht="15" hidden="false" customHeight="false" outlineLevel="0" collapsed="false">
      <c r="A5419" s="0" t="s">
        <v>3038</v>
      </c>
      <c r="B5419" s="0" t="s">
        <v>575</v>
      </c>
      <c r="C5419" s="0" t="s">
        <v>576</v>
      </c>
      <c r="D5419" s="0" t="n">
        <v>40</v>
      </c>
      <c r="E5419" s="6" t="n">
        <v>40863.5791666667</v>
      </c>
      <c r="F5419" s="0" t="n">
        <v>2.08</v>
      </c>
      <c r="G5419" s="0" t="n">
        <v>13815</v>
      </c>
      <c r="H5419" s="0" t="s">
        <v>33</v>
      </c>
      <c r="I5419" s="7" t="n">
        <f aca="false">IF(AND(LEFT(A5419,1)&lt;&gt;"C",D5419&gt;0,F5419&gt;0),1,0)</f>
        <v>1</v>
      </c>
      <c r="J5419" s="7" t="n">
        <f aca="false">IF(I5419=1,D5419*F5419,0)</f>
        <v>83.2</v>
      </c>
      <c r="K5419" s="7" t="n">
        <f aca="false">YEAR(E5419)*100+MONTH(E5419)</f>
        <v>201111</v>
      </c>
      <c r="L5419" s="7" t="n">
        <f aca="false">IF(AND(A5419&lt;&gt;A5418,LEFT(A5419,1)&lt;&gt;"C"),1,0)</f>
        <v>0</v>
      </c>
    </row>
    <row r="5420" customFormat="false" ht="15" hidden="false" customHeight="false" outlineLevel="0" collapsed="false">
      <c r="A5420" s="0" t="s">
        <v>3038</v>
      </c>
      <c r="B5420" s="0" t="s">
        <v>168</v>
      </c>
      <c r="C5420" s="0" t="s">
        <v>169</v>
      </c>
      <c r="D5420" s="0" t="n">
        <v>20</v>
      </c>
      <c r="E5420" s="6" t="n">
        <v>40863.5791666667</v>
      </c>
      <c r="F5420" s="0" t="n">
        <v>0.85</v>
      </c>
      <c r="G5420" s="0" t="n">
        <v>13815</v>
      </c>
      <c r="H5420" s="0" t="s">
        <v>33</v>
      </c>
      <c r="I5420" s="7" t="n">
        <f aca="false">IF(AND(LEFT(A5420,1)&lt;&gt;"C",D5420&gt;0,F5420&gt;0),1,0)</f>
        <v>1</v>
      </c>
      <c r="J5420" s="7" t="n">
        <f aca="false">IF(I5420=1,D5420*F5420,0)</f>
        <v>17</v>
      </c>
      <c r="K5420" s="7" t="n">
        <f aca="false">YEAR(E5420)*100+MONTH(E5420)</f>
        <v>201111</v>
      </c>
      <c r="L5420" s="7" t="n">
        <f aca="false">IF(AND(A5420&lt;&gt;A5419,LEFT(A5420,1)&lt;&gt;"C"),1,0)</f>
        <v>0</v>
      </c>
    </row>
    <row r="5421" customFormat="false" ht="15" hidden="false" customHeight="false" outlineLevel="0" collapsed="false">
      <c r="A5421" s="0" t="s">
        <v>3038</v>
      </c>
      <c r="B5421" s="0" t="s">
        <v>569</v>
      </c>
      <c r="C5421" s="0" t="s">
        <v>570</v>
      </c>
      <c r="D5421" s="0" t="n">
        <v>10</v>
      </c>
      <c r="E5421" s="6" t="n">
        <v>40863.5791666667</v>
      </c>
      <c r="F5421" s="0" t="n">
        <v>2.08</v>
      </c>
      <c r="G5421" s="0" t="n">
        <v>13815</v>
      </c>
      <c r="H5421" s="0" t="s">
        <v>33</v>
      </c>
      <c r="I5421" s="7" t="n">
        <f aca="false">IF(AND(LEFT(A5421,1)&lt;&gt;"C",D5421&gt;0,F5421&gt;0),1,0)</f>
        <v>1</v>
      </c>
      <c r="J5421" s="7" t="n">
        <f aca="false">IF(I5421=1,D5421*F5421,0)</f>
        <v>20.8</v>
      </c>
      <c r="K5421" s="7" t="n">
        <f aca="false">YEAR(E5421)*100+MONTH(E5421)</f>
        <v>201111</v>
      </c>
      <c r="L5421" s="7" t="n">
        <f aca="false">IF(AND(A5421&lt;&gt;A5420,LEFT(A5421,1)&lt;&gt;"C"),1,0)</f>
        <v>0</v>
      </c>
    </row>
    <row r="5422" customFormat="false" ht="15" hidden="false" customHeight="false" outlineLevel="0" collapsed="false">
      <c r="A5422" s="0" t="s">
        <v>3038</v>
      </c>
      <c r="B5422" s="0" t="s">
        <v>794</v>
      </c>
      <c r="C5422" s="0" t="s">
        <v>795</v>
      </c>
      <c r="D5422" s="0" t="n">
        <v>20</v>
      </c>
      <c r="E5422" s="6" t="n">
        <v>40863.5791666667</v>
      </c>
      <c r="F5422" s="0" t="n">
        <v>0.85</v>
      </c>
      <c r="G5422" s="0" t="n">
        <v>13815</v>
      </c>
      <c r="H5422" s="0" t="s">
        <v>33</v>
      </c>
      <c r="I5422" s="7" t="n">
        <f aca="false">IF(AND(LEFT(A5422,1)&lt;&gt;"C",D5422&gt;0,F5422&gt;0),1,0)</f>
        <v>1</v>
      </c>
      <c r="J5422" s="7" t="n">
        <f aca="false">IF(I5422=1,D5422*F5422,0)</f>
        <v>17</v>
      </c>
      <c r="K5422" s="7" t="n">
        <f aca="false">YEAR(E5422)*100+MONTH(E5422)</f>
        <v>201111</v>
      </c>
      <c r="L5422" s="7" t="n">
        <f aca="false">IF(AND(A5422&lt;&gt;A5421,LEFT(A5422,1)&lt;&gt;"C"),1,0)</f>
        <v>0</v>
      </c>
    </row>
    <row r="5423" customFormat="false" ht="15" hidden="false" customHeight="false" outlineLevel="0" collapsed="false">
      <c r="A5423" s="0" t="s">
        <v>3038</v>
      </c>
      <c r="B5423" s="0" t="s">
        <v>123</v>
      </c>
      <c r="C5423" s="0" t="s">
        <v>124</v>
      </c>
      <c r="D5423" s="0" t="n">
        <v>6</v>
      </c>
      <c r="E5423" s="6" t="n">
        <v>40863.5791666667</v>
      </c>
      <c r="F5423" s="0" t="n">
        <v>2.95</v>
      </c>
      <c r="G5423" s="0" t="n">
        <v>13815</v>
      </c>
      <c r="H5423" s="0" t="s">
        <v>33</v>
      </c>
      <c r="I5423" s="7" t="n">
        <f aca="false">IF(AND(LEFT(A5423,1)&lt;&gt;"C",D5423&gt;0,F5423&gt;0),1,0)</f>
        <v>1</v>
      </c>
      <c r="J5423" s="7" t="n">
        <f aca="false">IF(I5423=1,D5423*F5423,0)</f>
        <v>17.7</v>
      </c>
      <c r="K5423" s="7" t="n">
        <f aca="false">YEAR(E5423)*100+MONTH(E5423)</f>
        <v>201111</v>
      </c>
      <c r="L5423" s="7" t="n">
        <f aca="false">IF(AND(A5423&lt;&gt;A5422,LEFT(A5423,1)&lt;&gt;"C"),1,0)</f>
        <v>0</v>
      </c>
    </row>
    <row r="5424" customFormat="false" ht="15" hidden="false" customHeight="false" outlineLevel="0" collapsed="false">
      <c r="A5424" s="0" t="s">
        <v>3038</v>
      </c>
      <c r="B5424" s="0" t="s">
        <v>1048</v>
      </c>
      <c r="C5424" s="0" t="s">
        <v>1049</v>
      </c>
      <c r="D5424" s="0" t="n">
        <v>4</v>
      </c>
      <c r="E5424" s="6" t="n">
        <v>40863.5791666667</v>
      </c>
      <c r="F5424" s="0" t="n">
        <v>4.15</v>
      </c>
      <c r="G5424" s="0" t="n">
        <v>13815</v>
      </c>
      <c r="H5424" s="0" t="s">
        <v>33</v>
      </c>
      <c r="I5424" s="7" t="n">
        <f aca="false">IF(AND(LEFT(A5424,1)&lt;&gt;"C",D5424&gt;0,F5424&gt;0),1,0)</f>
        <v>1</v>
      </c>
      <c r="J5424" s="7" t="n">
        <f aca="false">IF(I5424=1,D5424*F5424,0)</f>
        <v>16.6</v>
      </c>
      <c r="K5424" s="7" t="n">
        <f aca="false">YEAR(E5424)*100+MONTH(E5424)</f>
        <v>201111</v>
      </c>
      <c r="L5424" s="7" t="n">
        <f aca="false">IF(AND(A5424&lt;&gt;A5423,LEFT(A5424,1)&lt;&gt;"C"),1,0)</f>
        <v>0</v>
      </c>
    </row>
    <row r="5425" customFormat="false" ht="15" hidden="false" customHeight="false" outlineLevel="0" collapsed="false">
      <c r="A5425" s="0" t="s">
        <v>3038</v>
      </c>
      <c r="B5425" s="0" t="s">
        <v>1656</v>
      </c>
      <c r="C5425" s="0" t="s">
        <v>1657</v>
      </c>
      <c r="D5425" s="0" t="n">
        <v>20</v>
      </c>
      <c r="E5425" s="6" t="n">
        <v>40863.5791666667</v>
      </c>
      <c r="F5425" s="0" t="n">
        <v>2.08</v>
      </c>
      <c r="G5425" s="0" t="n">
        <v>13815</v>
      </c>
      <c r="H5425" s="0" t="s">
        <v>33</v>
      </c>
      <c r="I5425" s="7" t="n">
        <f aca="false">IF(AND(LEFT(A5425,1)&lt;&gt;"C",D5425&gt;0,F5425&gt;0),1,0)</f>
        <v>1</v>
      </c>
      <c r="J5425" s="7" t="n">
        <f aca="false">IF(I5425=1,D5425*F5425,0)</f>
        <v>41.6</v>
      </c>
      <c r="K5425" s="7" t="n">
        <f aca="false">YEAR(E5425)*100+MONTH(E5425)</f>
        <v>201111</v>
      </c>
      <c r="L5425" s="7" t="n">
        <f aca="false">IF(AND(A5425&lt;&gt;A5424,LEFT(A5425,1)&lt;&gt;"C"),1,0)</f>
        <v>0</v>
      </c>
    </row>
    <row r="5426" customFormat="false" ht="15" hidden="false" customHeight="false" outlineLevel="0" collapsed="false">
      <c r="A5426" s="0" t="s">
        <v>3038</v>
      </c>
      <c r="B5426" s="0" t="s">
        <v>133</v>
      </c>
      <c r="C5426" s="0" t="s">
        <v>134</v>
      </c>
      <c r="D5426" s="0" t="n">
        <v>6</v>
      </c>
      <c r="E5426" s="6" t="n">
        <v>40863.5791666667</v>
      </c>
      <c r="F5426" s="0" t="n">
        <v>3.25</v>
      </c>
      <c r="G5426" s="0" t="n">
        <v>13815</v>
      </c>
      <c r="H5426" s="0" t="s">
        <v>33</v>
      </c>
      <c r="I5426" s="7" t="n">
        <f aca="false">IF(AND(LEFT(A5426,1)&lt;&gt;"C",D5426&gt;0,F5426&gt;0),1,0)</f>
        <v>1</v>
      </c>
      <c r="J5426" s="7" t="n">
        <f aca="false">IF(I5426=1,D5426*F5426,0)</f>
        <v>19.5</v>
      </c>
      <c r="K5426" s="7" t="n">
        <f aca="false">YEAR(E5426)*100+MONTH(E5426)</f>
        <v>201111</v>
      </c>
      <c r="L5426" s="7" t="n">
        <f aca="false">IF(AND(A5426&lt;&gt;A5425,LEFT(A5426,1)&lt;&gt;"C"),1,0)</f>
        <v>0</v>
      </c>
    </row>
    <row r="5427" customFormat="false" ht="15" hidden="false" customHeight="false" outlineLevel="0" collapsed="false">
      <c r="A5427" s="0" t="s">
        <v>3038</v>
      </c>
      <c r="B5427" s="0" t="s">
        <v>521</v>
      </c>
      <c r="C5427" s="0" t="s">
        <v>522</v>
      </c>
      <c r="D5427" s="0" t="n">
        <v>8</v>
      </c>
      <c r="E5427" s="6" t="n">
        <v>40863.5791666667</v>
      </c>
      <c r="F5427" s="0" t="n">
        <v>1.95</v>
      </c>
      <c r="G5427" s="0" t="n">
        <v>13815</v>
      </c>
      <c r="H5427" s="0" t="s">
        <v>33</v>
      </c>
      <c r="I5427" s="7" t="n">
        <f aca="false">IF(AND(LEFT(A5427,1)&lt;&gt;"C",D5427&gt;0,F5427&gt;0),1,0)</f>
        <v>1</v>
      </c>
      <c r="J5427" s="7" t="n">
        <f aca="false">IF(I5427=1,D5427*F5427,0)</f>
        <v>15.6</v>
      </c>
      <c r="K5427" s="7" t="n">
        <f aca="false">YEAR(E5427)*100+MONTH(E5427)</f>
        <v>201111</v>
      </c>
      <c r="L5427" s="7" t="n">
        <f aca="false">IF(AND(A5427&lt;&gt;A5426,LEFT(A5427,1)&lt;&gt;"C"),1,0)</f>
        <v>0</v>
      </c>
    </row>
    <row r="5428" customFormat="false" ht="15" hidden="false" customHeight="false" outlineLevel="0" collapsed="false">
      <c r="A5428" s="0" t="s">
        <v>3038</v>
      </c>
      <c r="B5428" s="0" t="s">
        <v>873</v>
      </c>
      <c r="C5428" s="0" t="s">
        <v>874</v>
      </c>
      <c r="D5428" s="0" t="n">
        <v>12</v>
      </c>
      <c r="E5428" s="6" t="n">
        <v>40863.5791666667</v>
      </c>
      <c r="F5428" s="0" t="n">
        <v>0.83</v>
      </c>
      <c r="G5428" s="0" t="n">
        <v>13815</v>
      </c>
      <c r="H5428" s="0" t="s">
        <v>33</v>
      </c>
      <c r="I5428" s="7" t="n">
        <f aca="false">IF(AND(LEFT(A5428,1)&lt;&gt;"C",D5428&gt;0,F5428&gt;0),1,0)</f>
        <v>1</v>
      </c>
      <c r="J5428" s="7" t="n">
        <f aca="false">IF(I5428=1,D5428*F5428,0)</f>
        <v>9.96</v>
      </c>
      <c r="K5428" s="7" t="n">
        <f aca="false">YEAR(E5428)*100+MONTH(E5428)</f>
        <v>201111</v>
      </c>
      <c r="L5428" s="7" t="n">
        <f aca="false">IF(AND(A5428&lt;&gt;A5427,LEFT(A5428,1)&lt;&gt;"C"),1,0)</f>
        <v>0</v>
      </c>
    </row>
    <row r="5429" customFormat="false" ht="15" hidden="false" customHeight="false" outlineLevel="0" collapsed="false">
      <c r="A5429" s="0" t="s">
        <v>3038</v>
      </c>
      <c r="B5429" s="0" t="s">
        <v>1183</v>
      </c>
      <c r="C5429" s="0" t="s">
        <v>1184</v>
      </c>
      <c r="D5429" s="0" t="n">
        <v>10</v>
      </c>
      <c r="E5429" s="6" t="n">
        <v>40863.5791666667</v>
      </c>
      <c r="F5429" s="0" t="n">
        <v>0.82</v>
      </c>
      <c r="G5429" s="0" t="n">
        <v>13815</v>
      </c>
      <c r="H5429" s="0" t="s">
        <v>33</v>
      </c>
      <c r="I5429" s="7" t="n">
        <f aca="false">IF(AND(LEFT(A5429,1)&lt;&gt;"C",D5429&gt;0,F5429&gt;0),1,0)</f>
        <v>1</v>
      </c>
      <c r="J5429" s="7" t="n">
        <f aca="false">IF(I5429=1,D5429*F5429,0)</f>
        <v>8.2</v>
      </c>
      <c r="K5429" s="7" t="n">
        <f aca="false">YEAR(E5429)*100+MONTH(E5429)</f>
        <v>201111</v>
      </c>
      <c r="L5429" s="7" t="n">
        <f aca="false">IF(AND(A5429&lt;&gt;A5428,LEFT(A5429,1)&lt;&gt;"C"),1,0)</f>
        <v>0</v>
      </c>
    </row>
    <row r="5430" customFormat="false" ht="15" hidden="false" customHeight="false" outlineLevel="0" collapsed="false">
      <c r="A5430" s="0" t="s">
        <v>3038</v>
      </c>
      <c r="B5430" s="0" t="s">
        <v>2685</v>
      </c>
      <c r="C5430" s="0" t="s">
        <v>2686</v>
      </c>
      <c r="D5430" s="0" t="n">
        <v>5</v>
      </c>
      <c r="E5430" s="6" t="n">
        <v>40863.5791666667</v>
      </c>
      <c r="F5430" s="0" t="n">
        <v>2.95</v>
      </c>
      <c r="G5430" s="0" t="n">
        <v>13815</v>
      </c>
      <c r="H5430" s="0" t="s">
        <v>33</v>
      </c>
      <c r="I5430" s="7" t="n">
        <f aca="false">IF(AND(LEFT(A5430,1)&lt;&gt;"C",D5430&gt;0,F5430&gt;0),1,0)</f>
        <v>1</v>
      </c>
      <c r="J5430" s="7" t="n">
        <f aca="false">IF(I5430=1,D5430*F5430,0)</f>
        <v>14.75</v>
      </c>
      <c r="K5430" s="7" t="n">
        <f aca="false">YEAR(E5430)*100+MONTH(E5430)</f>
        <v>201111</v>
      </c>
      <c r="L5430" s="7" t="n">
        <f aca="false">IF(AND(A5430&lt;&gt;A5429,LEFT(A5430,1)&lt;&gt;"C"),1,0)</f>
        <v>0</v>
      </c>
    </row>
    <row r="5431" customFormat="false" ht="15" hidden="false" customHeight="false" outlineLevel="0" collapsed="false">
      <c r="A5431" s="0" t="s">
        <v>3038</v>
      </c>
      <c r="B5431" s="0" t="s">
        <v>1323</v>
      </c>
      <c r="C5431" s="0" t="s">
        <v>1324</v>
      </c>
      <c r="D5431" s="0" t="n">
        <v>4</v>
      </c>
      <c r="E5431" s="6" t="n">
        <v>40863.5791666667</v>
      </c>
      <c r="F5431" s="0" t="n">
        <v>4.95</v>
      </c>
      <c r="G5431" s="0" t="n">
        <v>13815</v>
      </c>
      <c r="H5431" s="0" t="s">
        <v>33</v>
      </c>
      <c r="I5431" s="7" t="n">
        <f aca="false">IF(AND(LEFT(A5431,1)&lt;&gt;"C",D5431&gt;0,F5431&gt;0),1,0)</f>
        <v>1</v>
      </c>
      <c r="J5431" s="7" t="n">
        <f aca="false">IF(I5431=1,D5431*F5431,0)</f>
        <v>19.8</v>
      </c>
      <c r="K5431" s="7" t="n">
        <f aca="false">YEAR(E5431)*100+MONTH(E5431)</f>
        <v>201111</v>
      </c>
      <c r="L5431" s="7" t="n">
        <f aca="false">IF(AND(A5431&lt;&gt;A5430,LEFT(A5431,1)&lt;&gt;"C"),1,0)</f>
        <v>0</v>
      </c>
    </row>
    <row r="5432" customFormat="false" ht="15" hidden="false" customHeight="false" outlineLevel="0" collapsed="false">
      <c r="A5432" s="0" t="s">
        <v>3038</v>
      </c>
      <c r="B5432" s="0" t="s">
        <v>667</v>
      </c>
      <c r="C5432" s="0" t="s">
        <v>668</v>
      </c>
      <c r="D5432" s="0" t="n">
        <v>20</v>
      </c>
      <c r="E5432" s="6" t="n">
        <v>40863.5791666667</v>
      </c>
      <c r="F5432" s="0" t="n">
        <v>0.85</v>
      </c>
      <c r="G5432" s="0" t="n">
        <v>13815</v>
      </c>
      <c r="H5432" s="0" t="s">
        <v>33</v>
      </c>
      <c r="I5432" s="7" t="n">
        <f aca="false">IF(AND(LEFT(A5432,1)&lt;&gt;"C",D5432&gt;0,F5432&gt;0),1,0)</f>
        <v>1</v>
      </c>
      <c r="J5432" s="7" t="n">
        <f aca="false">IF(I5432=1,D5432*F5432,0)</f>
        <v>17</v>
      </c>
      <c r="K5432" s="7" t="n">
        <f aca="false">YEAR(E5432)*100+MONTH(E5432)</f>
        <v>201111</v>
      </c>
      <c r="L5432" s="7" t="n">
        <f aca="false">IF(AND(A5432&lt;&gt;A5431,LEFT(A5432,1)&lt;&gt;"C"),1,0)</f>
        <v>0</v>
      </c>
    </row>
    <row r="5433" customFormat="false" ht="15" hidden="false" customHeight="false" outlineLevel="0" collapsed="false">
      <c r="A5433" s="0" t="s">
        <v>3038</v>
      </c>
      <c r="B5433" s="0" t="s">
        <v>1535</v>
      </c>
      <c r="C5433" s="0" t="s">
        <v>1536</v>
      </c>
      <c r="D5433" s="0" t="n">
        <v>20</v>
      </c>
      <c r="E5433" s="6" t="n">
        <v>40863.5791666667</v>
      </c>
      <c r="F5433" s="0" t="n">
        <v>2.08</v>
      </c>
      <c r="G5433" s="0" t="n">
        <v>13815</v>
      </c>
      <c r="H5433" s="0" t="s">
        <v>33</v>
      </c>
      <c r="I5433" s="7" t="n">
        <f aca="false">IF(AND(LEFT(A5433,1)&lt;&gt;"C",D5433&gt;0,F5433&gt;0),1,0)</f>
        <v>1</v>
      </c>
      <c r="J5433" s="7" t="n">
        <f aca="false">IF(I5433=1,D5433*F5433,0)</f>
        <v>41.6</v>
      </c>
      <c r="K5433" s="7" t="n">
        <f aca="false">YEAR(E5433)*100+MONTH(E5433)</f>
        <v>201111</v>
      </c>
      <c r="L5433" s="7" t="n">
        <f aca="false">IF(AND(A5433&lt;&gt;A5432,LEFT(A5433,1)&lt;&gt;"C"),1,0)</f>
        <v>0</v>
      </c>
    </row>
    <row r="5434" customFormat="false" ht="15" hidden="false" customHeight="false" outlineLevel="0" collapsed="false">
      <c r="A5434" s="0" t="s">
        <v>3038</v>
      </c>
      <c r="B5434" s="0" t="s">
        <v>645</v>
      </c>
      <c r="C5434" s="0" t="s">
        <v>646</v>
      </c>
      <c r="D5434" s="0" t="n">
        <v>20</v>
      </c>
      <c r="E5434" s="6" t="n">
        <v>40863.5791666667</v>
      </c>
      <c r="F5434" s="0" t="n">
        <v>2.08</v>
      </c>
      <c r="G5434" s="0" t="n">
        <v>13815</v>
      </c>
      <c r="H5434" s="0" t="s">
        <v>33</v>
      </c>
      <c r="I5434" s="7" t="n">
        <f aca="false">IF(AND(LEFT(A5434,1)&lt;&gt;"C",D5434&gt;0,F5434&gt;0),1,0)</f>
        <v>1</v>
      </c>
      <c r="J5434" s="7" t="n">
        <f aca="false">IF(I5434=1,D5434*F5434,0)</f>
        <v>41.6</v>
      </c>
      <c r="K5434" s="7" t="n">
        <f aca="false">YEAR(E5434)*100+MONTH(E5434)</f>
        <v>201111</v>
      </c>
      <c r="L5434" s="7" t="n">
        <f aca="false">IF(AND(A5434&lt;&gt;A5433,LEFT(A5434,1)&lt;&gt;"C"),1,0)</f>
        <v>0</v>
      </c>
    </row>
    <row r="5435" customFormat="false" ht="15" hidden="false" customHeight="false" outlineLevel="0" collapsed="false">
      <c r="A5435" s="0" t="s">
        <v>3038</v>
      </c>
      <c r="B5435" s="0" t="s">
        <v>519</v>
      </c>
      <c r="C5435" s="0" t="s">
        <v>520</v>
      </c>
      <c r="D5435" s="0" t="n">
        <v>20</v>
      </c>
      <c r="E5435" s="6" t="n">
        <v>40863.5791666667</v>
      </c>
      <c r="F5435" s="0" t="n">
        <v>2.08</v>
      </c>
      <c r="G5435" s="0" t="n">
        <v>13815</v>
      </c>
      <c r="H5435" s="0" t="s">
        <v>33</v>
      </c>
      <c r="I5435" s="7" t="n">
        <f aca="false">IF(AND(LEFT(A5435,1)&lt;&gt;"C",D5435&gt;0,F5435&gt;0),1,0)</f>
        <v>1</v>
      </c>
      <c r="J5435" s="7" t="n">
        <f aca="false">IF(I5435=1,D5435*F5435,0)</f>
        <v>41.6</v>
      </c>
      <c r="K5435" s="7" t="n">
        <f aca="false">YEAR(E5435)*100+MONTH(E5435)</f>
        <v>201111</v>
      </c>
      <c r="L5435" s="7" t="n">
        <f aca="false">IF(AND(A5435&lt;&gt;A5434,LEFT(A5435,1)&lt;&gt;"C"),1,0)</f>
        <v>0</v>
      </c>
    </row>
    <row r="5436" customFormat="false" ht="15" hidden="false" customHeight="false" outlineLevel="0" collapsed="false">
      <c r="A5436" s="0" t="s">
        <v>3038</v>
      </c>
      <c r="B5436" s="0" t="s">
        <v>517</v>
      </c>
      <c r="C5436" s="0" t="s">
        <v>518</v>
      </c>
      <c r="D5436" s="0" t="n">
        <v>10</v>
      </c>
      <c r="E5436" s="6" t="n">
        <v>40863.5791666667</v>
      </c>
      <c r="F5436" s="0" t="n">
        <v>2.08</v>
      </c>
      <c r="G5436" s="0" t="n">
        <v>13815</v>
      </c>
      <c r="H5436" s="0" t="s">
        <v>33</v>
      </c>
      <c r="I5436" s="7" t="n">
        <f aca="false">IF(AND(LEFT(A5436,1)&lt;&gt;"C",D5436&gt;0,F5436&gt;0),1,0)</f>
        <v>1</v>
      </c>
      <c r="J5436" s="7" t="n">
        <f aca="false">IF(I5436=1,D5436*F5436,0)</f>
        <v>20.8</v>
      </c>
      <c r="K5436" s="7" t="n">
        <f aca="false">YEAR(E5436)*100+MONTH(E5436)</f>
        <v>201111</v>
      </c>
      <c r="L5436" s="7" t="n">
        <f aca="false">IF(AND(A5436&lt;&gt;A5435,LEFT(A5436,1)&lt;&gt;"C"),1,0)</f>
        <v>0</v>
      </c>
    </row>
    <row r="5437" customFormat="false" ht="15" hidden="false" customHeight="false" outlineLevel="0" collapsed="false">
      <c r="A5437" s="0" t="s">
        <v>3038</v>
      </c>
      <c r="B5437" s="0" t="s">
        <v>1386</v>
      </c>
      <c r="C5437" s="0" t="s">
        <v>1387</v>
      </c>
      <c r="D5437" s="0" t="n">
        <v>20</v>
      </c>
      <c r="E5437" s="6" t="n">
        <v>40863.5791666667</v>
      </c>
      <c r="F5437" s="0" t="n">
        <v>2.08</v>
      </c>
      <c r="G5437" s="0" t="n">
        <v>13815</v>
      </c>
      <c r="H5437" s="0" t="s">
        <v>33</v>
      </c>
      <c r="I5437" s="7" t="n">
        <f aca="false">IF(AND(LEFT(A5437,1)&lt;&gt;"C",D5437&gt;0,F5437&gt;0),1,0)</f>
        <v>1</v>
      </c>
      <c r="J5437" s="7" t="n">
        <f aca="false">IF(I5437=1,D5437*F5437,0)</f>
        <v>41.6</v>
      </c>
      <c r="K5437" s="7" t="n">
        <f aca="false">YEAR(E5437)*100+MONTH(E5437)</f>
        <v>201111</v>
      </c>
      <c r="L5437" s="7" t="n">
        <f aca="false">IF(AND(A5437&lt;&gt;A5436,LEFT(A5437,1)&lt;&gt;"C"),1,0)</f>
        <v>0</v>
      </c>
    </row>
    <row r="5438" customFormat="false" ht="15" hidden="false" customHeight="false" outlineLevel="0" collapsed="false">
      <c r="A5438" s="0" t="s">
        <v>3038</v>
      </c>
      <c r="B5438" s="0" t="s">
        <v>493</v>
      </c>
      <c r="C5438" s="0" t="s">
        <v>494</v>
      </c>
      <c r="D5438" s="0" t="n">
        <v>16</v>
      </c>
      <c r="E5438" s="6" t="n">
        <v>40863.5791666667</v>
      </c>
      <c r="F5438" s="0" t="n">
        <v>0.85</v>
      </c>
      <c r="G5438" s="0" t="n">
        <v>13815</v>
      </c>
      <c r="H5438" s="0" t="s">
        <v>33</v>
      </c>
      <c r="I5438" s="7" t="n">
        <f aca="false">IF(AND(LEFT(A5438,1)&lt;&gt;"C",D5438&gt;0,F5438&gt;0),1,0)</f>
        <v>1</v>
      </c>
      <c r="J5438" s="7" t="n">
        <f aca="false">IF(I5438=1,D5438*F5438,0)</f>
        <v>13.6</v>
      </c>
      <c r="K5438" s="7" t="n">
        <f aca="false">YEAR(E5438)*100+MONTH(E5438)</f>
        <v>201111</v>
      </c>
      <c r="L5438" s="7" t="n">
        <f aca="false">IF(AND(A5438&lt;&gt;A5437,LEFT(A5438,1)&lt;&gt;"C"),1,0)</f>
        <v>0</v>
      </c>
    </row>
    <row r="5439" customFormat="false" ht="15" hidden="false" customHeight="false" outlineLevel="0" collapsed="false">
      <c r="A5439" s="0" t="s">
        <v>3038</v>
      </c>
      <c r="B5439" s="0" t="s">
        <v>164</v>
      </c>
      <c r="C5439" s="0" t="s">
        <v>165</v>
      </c>
      <c r="D5439" s="0" t="n">
        <v>16</v>
      </c>
      <c r="E5439" s="6" t="n">
        <v>40863.5791666667</v>
      </c>
      <c r="F5439" s="0" t="n">
        <v>1.25</v>
      </c>
      <c r="G5439" s="0" t="n">
        <v>13815</v>
      </c>
      <c r="H5439" s="0" t="s">
        <v>33</v>
      </c>
      <c r="I5439" s="7" t="n">
        <f aca="false">IF(AND(LEFT(A5439,1)&lt;&gt;"C",D5439&gt;0,F5439&gt;0),1,0)</f>
        <v>1</v>
      </c>
      <c r="J5439" s="7" t="n">
        <f aca="false">IF(I5439=1,D5439*F5439,0)</f>
        <v>20</v>
      </c>
      <c r="K5439" s="7" t="n">
        <f aca="false">YEAR(E5439)*100+MONTH(E5439)</f>
        <v>201111</v>
      </c>
      <c r="L5439" s="7" t="n">
        <f aca="false">IF(AND(A5439&lt;&gt;A5438,LEFT(A5439,1)&lt;&gt;"C"),1,0)</f>
        <v>0</v>
      </c>
    </row>
    <row r="5440" customFormat="false" ht="15" hidden="false" customHeight="false" outlineLevel="0" collapsed="false">
      <c r="A5440" s="0" t="s">
        <v>3038</v>
      </c>
      <c r="B5440" s="0" t="s">
        <v>3043</v>
      </c>
      <c r="C5440" s="0" t="s">
        <v>3044</v>
      </c>
      <c r="D5440" s="0" t="n">
        <v>12</v>
      </c>
      <c r="E5440" s="6" t="n">
        <v>40863.5791666667</v>
      </c>
      <c r="F5440" s="0" t="n">
        <v>0.85</v>
      </c>
      <c r="G5440" s="0" t="n">
        <v>13815</v>
      </c>
      <c r="H5440" s="0" t="s">
        <v>33</v>
      </c>
      <c r="I5440" s="7" t="n">
        <f aca="false">IF(AND(LEFT(A5440,1)&lt;&gt;"C",D5440&gt;0,F5440&gt;0),1,0)</f>
        <v>1</v>
      </c>
      <c r="J5440" s="7" t="n">
        <f aca="false">IF(I5440=1,D5440*F5440,0)</f>
        <v>10.2</v>
      </c>
      <c r="K5440" s="7" t="n">
        <f aca="false">YEAR(E5440)*100+MONTH(E5440)</f>
        <v>201111</v>
      </c>
      <c r="L5440" s="7" t="n">
        <f aca="false">IF(AND(A5440&lt;&gt;A5439,LEFT(A5440,1)&lt;&gt;"C"),1,0)</f>
        <v>0</v>
      </c>
    </row>
    <row r="5441" customFormat="false" ht="15" hidden="false" customHeight="false" outlineLevel="0" collapsed="false">
      <c r="A5441" s="0" t="s">
        <v>3038</v>
      </c>
      <c r="B5441" s="0" t="s">
        <v>633</v>
      </c>
      <c r="C5441" s="0" t="s">
        <v>634</v>
      </c>
      <c r="D5441" s="0" t="n">
        <v>12</v>
      </c>
      <c r="E5441" s="6" t="n">
        <v>40863.5791666667</v>
      </c>
      <c r="F5441" s="0" t="n">
        <v>1.65</v>
      </c>
      <c r="G5441" s="0" t="n">
        <v>13815</v>
      </c>
      <c r="H5441" s="0" t="s">
        <v>33</v>
      </c>
      <c r="I5441" s="7" t="n">
        <f aca="false">IF(AND(LEFT(A5441,1)&lt;&gt;"C",D5441&gt;0,F5441&gt;0),1,0)</f>
        <v>1</v>
      </c>
      <c r="J5441" s="7" t="n">
        <f aca="false">IF(I5441=1,D5441*F5441,0)</f>
        <v>19.8</v>
      </c>
      <c r="K5441" s="7" t="n">
        <f aca="false">YEAR(E5441)*100+MONTH(E5441)</f>
        <v>201111</v>
      </c>
      <c r="L5441" s="7" t="n">
        <f aca="false">IF(AND(A5441&lt;&gt;A5440,LEFT(A5441,1)&lt;&gt;"C"),1,0)</f>
        <v>0</v>
      </c>
    </row>
    <row r="5442" customFormat="false" ht="15" hidden="false" customHeight="false" outlineLevel="0" collapsed="false">
      <c r="A5442" s="0" t="s">
        <v>3038</v>
      </c>
      <c r="B5442" s="0" t="s">
        <v>84</v>
      </c>
      <c r="C5442" s="0" t="s">
        <v>85</v>
      </c>
      <c r="D5442" s="0" t="n">
        <v>4</v>
      </c>
      <c r="E5442" s="6" t="n">
        <v>40863.5791666667</v>
      </c>
      <c r="F5442" s="0" t="n">
        <v>18</v>
      </c>
      <c r="G5442" s="0" t="n">
        <v>13815</v>
      </c>
      <c r="H5442" s="0" t="s">
        <v>33</v>
      </c>
      <c r="I5442" s="7" t="n">
        <f aca="false">IF(AND(LEFT(A5442,1)&lt;&gt;"C",D5442&gt;0,F5442&gt;0),1,0)</f>
        <v>1</v>
      </c>
      <c r="J5442" s="7" t="n">
        <f aca="false">IF(I5442=1,D5442*F5442,0)</f>
        <v>72</v>
      </c>
      <c r="K5442" s="7" t="n">
        <f aca="false">YEAR(E5442)*100+MONTH(E5442)</f>
        <v>201111</v>
      </c>
      <c r="L5442" s="7" t="n">
        <f aca="false">IF(AND(A5442&lt;&gt;A5441,LEFT(A5442,1)&lt;&gt;"C"),1,0)</f>
        <v>0</v>
      </c>
    </row>
    <row r="5443" customFormat="false" ht="15" hidden="false" customHeight="false" outlineLevel="0" collapsed="false">
      <c r="A5443" s="0" t="s">
        <v>3045</v>
      </c>
      <c r="B5443" s="0" t="s">
        <v>203</v>
      </c>
      <c r="C5443" s="0" t="s">
        <v>204</v>
      </c>
      <c r="D5443" s="0" t="n">
        <v>24</v>
      </c>
      <c r="E5443" s="6" t="n">
        <v>40863.5805555556</v>
      </c>
      <c r="F5443" s="0" t="n">
        <v>0.39</v>
      </c>
      <c r="G5443" s="0" t="n">
        <v>12569</v>
      </c>
      <c r="H5443" s="0" t="s">
        <v>33</v>
      </c>
      <c r="I5443" s="7" t="n">
        <f aca="false">IF(AND(LEFT(A5443,1)&lt;&gt;"C",D5443&gt;0,F5443&gt;0),1,0)</f>
        <v>1</v>
      </c>
      <c r="J5443" s="7" t="n">
        <f aca="false">IF(I5443=1,D5443*F5443,0)</f>
        <v>9.36</v>
      </c>
      <c r="K5443" s="7" t="n">
        <f aca="false">YEAR(E5443)*100+MONTH(E5443)</f>
        <v>201111</v>
      </c>
      <c r="L5443" s="7" t="n">
        <f aca="false">IF(AND(A5443&lt;&gt;A5442,LEFT(A5443,1)&lt;&gt;"C"),1,0)</f>
        <v>1</v>
      </c>
    </row>
    <row r="5444" customFormat="false" ht="15" hidden="false" customHeight="false" outlineLevel="0" collapsed="false">
      <c r="A5444" s="0" t="s">
        <v>3045</v>
      </c>
      <c r="B5444" s="0" t="s">
        <v>201</v>
      </c>
      <c r="C5444" s="0" t="s">
        <v>202</v>
      </c>
      <c r="D5444" s="0" t="n">
        <v>24</v>
      </c>
      <c r="E5444" s="6" t="n">
        <v>40863.5805555556</v>
      </c>
      <c r="F5444" s="0" t="n">
        <v>0.39</v>
      </c>
      <c r="G5444" s="0" t="n">
        <v>12569</v>
      </c>
      <c r="H5444" s="0" t="s">
        <v>33</v>
      </c>
      <c r="I5444" s="7" t="n">
        <f aca="false">IF(AND(LEFT(A5444,1)&lt;&gt;"C",D5444&gt;0,F5444&gt;0),1,0)</f>
        <v>1</v>
      </c>
      <c r="J5444" s="7" t="n">
        <f aca="false">IF(I5444=1,D5444*F5444,0)</f>
        <v>9.36</v>
      </c>
      <c r="K5444" s="7" t="n">
        <f aca="false">YEAR(E5444)*100+MONTH(E5444)</f>
        <v>201111</v>
      </c>
      <c r="L5444" s="7" t="n">
        <f aca="false">IF(AND(A5444&lt;&gt;A5443,LEFT(A5444,1)&lt;&gt;"C"),1,0)</f>
        <v>0</v>
      </c>
    </row>
    <row r="5445" customFormat="false" ht="15" hidden="false" customHeight="false" outlineLevel="0" collapsed="false">
      <c r="A5445" s="0" t="s">
        <v>3045</v>
      </c>
      <c r="B5445" s="0" t="s">
        <v>207</v>
      </c>
      <c r="C5445" s="0" t="s">
        <v>208</v>
      </c>
      <c r="D5445" s="0" t="n">
        <v>24</v>
      </c>
      <c r="E5445" s="6" t="n">
        <v>40863.5805555556</v>
      </c>
      <c r="F5445" s="0" t="n">
        <v>0.39</v>
      </c>
      <c r="G5445" s="0" t="n">
        <v>12569</v>
      </c>
      <c r="H5445" s="0" t="s">
        <v>33</v>
      </c>
      <c r="I5445" s="7" t="n">
        <f aca="false">IF(AND(LEFT(A5445,1)&lt;&gt;"C",D5445&gt;0,F5445&gt;0),1,0)</f>
        <v>1</v>
      </c>
      <c r="J5445" s="7" t="n">
        <f aca="false">IF(I5445=1,D5445*F5445,0)</f>
        <v>9.36</v>
      </c>
      <c r="K5445" s="7" t="n">
        <f aca="false">YEAR(E5445)*100+MONTH(E5445)</f>
        <v>201111</v>
      </c>
      <c r="L5445" s="7" t="n">
        <f aca="false">IF(AND(A5445&lt;&gt;A5444,LEFT(A5445,1)&lt;&gt;"C"),1,0)</f>
        <v>0</v>
      </c>
    </row>
    <row r="5446" customFormat="false" ht="15" hidden="false" customHeight="false" outlineLevel="0" collapsed="false">
      <c r="A5446" s="0" t="s">
        <v>3045</v>
      </c>
      <c r="B5446" s="0" t="s">
        <v>3046</v>
      </c>
      <c r="C5446" s="0" t="s">
        <v>3047</v>
      </c>
      <c r="D5446" s="0" t="n">
        <v>36</v>
      </c>
      <c r="E5446" s="6" t="n">
        <v>40863.5805555556</v>
      </c>
      <c r="F5446" s="0" t="n">
        <v>0.39</v>
      </c>
      <c r="G5446" s="0" t="n">
        <v>12569</v>
      </c>
      <c r="H5446" s="0" t="s">
        <v>33</v>
      </c>
      <c r="I5446" s="7" t="n">
        <f aca="false">IF(AND(LEFT(A5446,1)&lt;&gt;"C",D5446&gt;0,F5446&gt;0),1,0)</f>
        <v>1</v>
      </c>
      <c r="J5446" s="7" t="n">
        <f aca="false">IF(I5446=1,D5446*F5446,0)</f>
        <v>14.04</v>
      </c>
      <c r="K5446" s="7" t="n">
        <f aca="false">YEAR(E5446)*100+MONTH(E5446)</f>
        <v>201111</v>
      </c>
      <c r="L5446" s="7" t="n">
        <f aca="false">IF(AND(A5446&lt;&gt;A5445,LEFT(A5446,1)&lt;&gt;"C"),1,0)</f>
        <v>0</v>
      </c>
    </row>
    <row r="5447" customFormat="false" ht="15" hidden="false" customHeight="false" outlineLevel="0" collapsed="false">
      <c r="A5447" s="0" t="s">
        <v>3045</v>
      </c>
      <c r="B5447" s="0" t="s">
        <v>84</v>
      </c>
      <c r="C5447" s="0" t="s">
        <v>85</v>
      </c>
      <c r="D5447" s="0" t="n">
        <v>1</v>
      </c>
      <c r="E5447" s="6" t="n">
        <v>40863.5805555556</v>
      </c>
      <c r="F5447" s="0" t="n">
        <v>18</v>
      </c>
      <c r="G5447" s="0" t="n">
        <v>12569</v>
      </c>
      <c r="H5447" s="0" t="s">
        <v>33</v>
      </c>
      <c r="I5447" s="7" t="n">
        <f aca="false">IF(AND(LEFT(A5447,1)&lt;&gt;"C",D5447&gt;0,F5447&gt;0),1,0)</f>
        <v>1</v>
      </c>
      <c r="J5447" s="7" t="n">
        <f aca="false">IF(I5447=1,D5447*F5447,0)</f>
        <v>18</v>
      </c>
      <c r="K5447" s="7" t="n">
        <f aca="false">YEAR(E5447)*100+MONTH(E5447)</f>
        <v>201111</v>
      </c>
      <c r="L5447" s="7" t="n">
        <f aca="false">IF(AND(A5447&lt;&gt;A5446,LEFT(A5447,1)&lt;&gt;"C"),1,0)</f>
        <v>0</v>
      </c>
    </row>
    <row r="5448" customFormat="false" ht="15" hidden="false" customHeight="false" outlineLevel="0" collapsed="false">
      <c r="A5448" s="0" t="s">
        <v>3048</v>
      </c>
      <c r="B5448" s="0" t="s">
        <v>1271</v>
      </c>
      <c r="C5448" s="0" t="s">
        <v>1272</v>
      </c>
      <c r="D5448" s="0" t="n">
        <v>5</v>
      </c>
      <c r="E5448" s="6" t="n">
        <v>40863.5826388889</v>
      </c>
      <c r="F5448" s="0" t="n">
        <v>9.95</v>
      </c>
      <c r="G5448" s="0" t="n">
        <v>12569</v>
      </c>
      <c r="H5448" s="0" t="s">
        <v>33</v>
      </c>
      <c r="I5448" s="7" t="n">
        <f aca="false">IF(AND(LEFT(A5448,1)&lt;&gt;"C",D5448&gt;0,F5448&gt;0),1,0)</f>
        <v>1</v>
      </c>
      <c r="J5448" s="7" t="n">
        <f aca="false">IF(I5448=1,D5448*F5448,0)</f>
        <v>49.75</v>
      </c>
      <c r="K5448" s="7" t="n">
        <f aca="false">YEAR(E5448)*100+MONTH(E5448)</f>
        <v>201111</v>
      </c>
      <c r="L5448" s="7" t="n">
        <f aca="false">IF(AND(A5448&lt;&gt;A5447,LEFT(A5448,1)&lt;&gt;"C"),1,0)</f>
        <v>1</v>
      </c>
    </row>
    <row r="5449" customFormat="false" ht="15" hidden="false" customHeight="false" outlineLevel="0" collapsed="false">
      <c r="A5449" s="0" t="s">
        <v>3048</v>
      </c>
      <c r="B5449" s="0" t="s">
        <v>84</v>
      </c>
      <c r="C5449" s="0" t="s">
        <v>85</v>
      </c>
      <c r="D5449" s="0" t="n">
        <v>1</v>
      </c>
      <c r="E5449" s="6" t="n">
        <v>40863.5826388889</v>
      </c>
      <c r="F5449" s="0" t="n">
        <v>18</v>
      </c>
      <c r="G5449" s="0" t="n">
        <v>12569</v>
      </c>
      <c r="H5449" s="0" t="s">
        <v>33</v>
      </c>
      <c r="I5449" s="7" t="n">
        <f aca="false">IF(AND(LEFT(A5449,1)&lt;&gt;"C",D5449&gt;0,F5449&gt;0),1,0)</f>
        <v>1</v>
      </c>
      <c r="J5449" s="7" t="n">
        <f aca="false">IF(I5449=1,D5449*F5449,0)</f>
        <v>18</v>
      </c>
      <c r="K5449" s="7" t="n">
        <f aca="false">YEAR(E5449)*100+MONTH(E5449)</f>
        <v>201111</v>
      </c>
      <c r="L5449" s="7" t="n">
        <f aca="false">IF(AND(A5449&lt;&gt;A5448,LEFT(A5449,1)&lt;&gt;"C"),1,0)</f>
        <v>0</v>
      </c>
    </row>
    <row r="5450" customFormat="false" ht="15" hidden="false" customHeight="false" outlineLevel="0" collapsed="false">
      <c r="A5450" s="0" t="s">
        <v>3049</v>
      </c>
      <c r="B5450" s="0" t="s">
        <v>84</v>
      </c>
      <c r="C5450" s="0" t="s">
        <v>85</v>
      </c>
      <c r="D5450" s="0" t="n">
        <v>-1</v>
      </c>
      <c r="E5450" s="6" t="n">
        <v>40863.6</v>
      </c>
      <c r="F5450" s="0" t="n">
        <v>18</v>
      </c>
      <c r="G5450" s="0" t="n">
        <v>12569</v>
      </c>
      <c r="H5450" s="0" t="s">
        <v>33</v>
      </c>
      <c r="I5450" s="7" t="n">
        <f aca="false">IF(AND(LEFT(A5450,1)&lt;&gt;"C",D5450&gt;0,F5450&gt;0),1,0)</f>
        <v>0</v>
      </c>
      <c r="J5450" s="7" t="n">
        <f aca="false">IF(I5450=1,D5450*F5450,0)</f>
        <v>0</v>
      </c>
      <c r="K5450" s="7" t="n">
        <f aca="false">YEAR(E5450)*100+MONTH(E5450)</f>
        <v>201111</v>
      </c>
      <c r="L5450" s="7" t="n">
        <f aca="false">IF(AND(A5450&lt;&gt;A5449,LEFT(A5450,1)&lt;&gt;"C"),1,0)</f>
        <v>0</v>
      </c>
    </row>
    <row r="5451" customFormat="false" ht="15" hidden="false" customHeight="false" outlineLevel="0" collapsed="false">
      <c r="A5451" s="0" t="s">
        <v>3050</v>
      </c>
      <c r="B5451" s="0" t="s">
        <v>62</v>
      </c>
      <c r="C5451" s="0" t="s">
        <v>63</v>
      </c>
      <c r="D5451" s="0" t="n">
        <v>6</v>
      </c>
      <c r="E5451" s="6" t="n">
        <v>40863.6708333333</v>
      </c>
      <c r="F5451" s="0" t="n">
        <v>2.08</v>
      </c>
      <c r="G5451" s="0" t="n">
        <v>12626</v>
      </c>
      <c r="H5451" s="0" t="s">
        <v>33</v>
      </c>
      <c r="I5451" s="7" t="n">
        <f aca="false">IF(AND(LEFT(A5451,1)&lt;&gt;"C",D5451&gt;0,F5451&gt;0),1,0)</f>
        <v>1</v>
      </c>
      <c r="J5451" s="7" t="n">
        <f aca="false">IF(I5451=1,D5451*F5451,0)</f>
        <v>12.48</v>
      </c>
      <c r="K5451" s="7" t="n">
        <f aca="false">YEAR(E5451)*100+MONTH(E5451)</f>
        <v>201111</v>
      </c>
      <c r="L5451" s="7" t="n">
        <f aca="false">IF(AND(A5451&lt;&gt;A5450,LEFT(A5451,1)&lt;&gt;"C"),1,0)</f>
        <v>1</v>
      </c>
    </row>
    <row r="5452" customFormat="false" ht="15" hidden="false" customHeight="false" outlineLevel="0" collapsed="false">
      <c r="A5452" s="0" t="s">
        <v>3050</v>
      </c>
      <c r="B5452" s="0" t="s">
        <v>136</v>
      </c>
      <c r="C5452" s="0" t="s">
        <v>137</v>
      </c>
      <c r="D5452" s="0" t="n">
        <v>4</v>
      </c>
      <c r="E5452" s="6" t="n">
        <v>40863.6708333333</v>
      </c>
      <c r="F5452" s="0" t="n">
        <v>4.95</v>
      </c>
      <c r="G5452" s="0" t="n">
        <v>12626</v>
      </c>
      <c r="H5452" s="0" t="s">
        <v>33</v>
      </c>
      <c r="I5452" s="7" t="n">
        <f aca="false">IF(AND(LEFT(A5452,1)&lt;&gt;"C",D5452&gt;0,F5452&gt;0),1,0)</f>
        <v>1</v>
      </c>
      <c r="J5452" s="7" t="n">
        <f aca="false">IF(I5452=1,D5452*F5452,0)</f>
        <v>19.8</v>
      </c>
      <c r="K5452" s="7" t="n">
        <f aca="false">YEAR(E5452)*100+MONTH(E5452)</f>
        <v>201111</v>
      </c>
      <c r="L5452" s="7" t="n">
        <f aca="false">IF(AND(A5452&lt;&gt;A5451,LEFT(A5452,1)&lt;&gt;"C"),1,0)</f>
        <v>0</v>
      </c>
    </row>
    <row r="5453" customFormat="false" ht="15" hidden="false" customHeight="false" outlineLevel="0" collapsed="false">
      <c r="A5453" s="0" t="s">
        <v>3050</v>
      </c>
      <c r="B5453" s="0" t="s">
        <v>119</v>
      </c>
      <c r="C5453" s="0" t="s">
        <v>120</v>
      </c>
      <c r="D5453" s="0" t="n">
        <v>12</v>
      </c>
      <c r="E5453" s="6" t="n">
        <v>40863.6708333333</v>
      </c>
      <c r="F5453" s="0" t="n">
        <v>0.42</v>
      </c>
      <c r="G5453" s="0" t="n">
        <v>12626</v>
      </c>
      <c r="H5453" s="0" t="s">
        <v>33</v>
      </c>
      <c r="I5453" s="7" t="n">
        <f aca="false">IF(AND(LEFT(A5453,1)&lt;&gt;"C",D5453&gt;0,F5453&gt;0),1,0)</f>
        <v>1</v>
      </c>
      <c r="J5453" s="7" t="n">
        <f aca="false">IF(I5453=1,D5453*F5453,0)</f>
        <v>5.04</v>
      </c>
      <c r="K5453" s="7" t="n">
        <f aca="false">YEAR(E5453)*100+MONTH(E5453)</f>
        <v>201111</v>
      </c>
      <c r="L5453" s="7" t="n">
        <f aca="false">IF(AND(A5453&lt;&gt;A5452,LEFT(A5453,1)&lt;&gt;"C"),1,0)</f>
        <v>0</v>
      </c>
    </row>
    <row r="5454" customFormat="false" ht="15" hidden="false" customHeight="false" outlineLevel="0" collapsed="false">
      <c r="A5454" s="0" t="s">
        <v>3050</v>
      </c>
      <c r="B5454" s="0" t="s">
        <v>783</v>
      </c>
      <c r="C5454" s="0" t="s">
        <v>784</v>
      </c>
      <c r="D5454" s="0" t="n">
        <v>24</v>
      </c>
      <c r="E5454" s="6" t="n">
        <v>40863.6708333333</v>
      </c>
      <c r="F5454" s="0" t="n">
        <v>2.1</v>
      </c>
      <c r="G5454" s="0" t="n">
        <v>12626</v>
      </c>
      <c r="H5454" s="0" t="s">
        <v>33</v>
      </c>
      <c r="I5454" s="7" t="n">
        <f aca="false">IF(AND(LEFT(A5454,1)&lt;&gt;"C",D5454&gt;0,F5454&gt;0),1,0)</f>
        <v>1</v>
      </c>
      <c r="J5454" s="7" t="n">
        <f aca="false">IF(I5454=1,D5454*F5454,0)</f>
        <v>50.4</v>
      </c>
      <c r="K5454" s="7" t="n">
        <f aca="false">YEAR(E5454)*100+MONTH(E5454)</f>
        <v>201111</v>
      </c>
      <c r="L5454" s="7" t="n">
        <f aca="false">IF(AND(A5454&lt;&gt;A5453,LEFT(A5454,1)&lt;&gt;"C"),1,0)</f>
        <v>0</v>
      </c>
    </row>
    <row r="5455" customFormat="false" ht="15" hidden="false" customHeight="false" outlineLevel="0" collapsed="false">
      <c r="A5455" s="0" t="s">
        <v>3050</v>
      </c>
      <c r="B5455" s="0" t="s">
        <v>333</v>
      </c>
      <c r="C5455" s="0" t="s">
        <v>334</v>
      </c>
      <c r="D5455" s="0" t="n">
        <v>12</v>
      </c>
      <c r="E5455" s="6" t="n">
        <v>40863.6708333333</v>
      </c>
      <c r="F5455" s="0" t="n">
        <v>1.65</v>
      </c>
      <c r="G5455" s="0" t="n">
        <v>12626</v>
      </c>
      <c r="H5455" s="0" t="s">
        <v>33</v>
      </c>
      <c r="I5455" s="7" t="n">
        <f aca="false">IF(AND(LEFT(A5455,1)&lt;&gt;"C",D5455&gt;0,F5455&gt;0),1,0)</f>
        <v>1</v>
      </c>
      <c r="J5455" s="7" t="n">
        <f aca="false">IF(I5455=1,D5455*F5455,0)</f>
        <v>19.8</v>
      </c>
      <c r="K5455" s="7" t="n">
        <f aca="false">YEAR(E5455)*100+MONTH(E5455)</f>
        <v>201111</v>
      </c>
      <c r="L5455" s="7" t="n">
        <f aca="false">IF(AND(A5455&lt;&gt;A5454,LEFT(A5455,1)&lt;&gt;"C"),1,0)</f>
        <v>0</v>
      </c>
    </row>
    <row r="5456" customFormat="false" ht="15" hidden="false" customHeight="false" outlineLevel="0" collapsed="false">
      <c r="A5456" s="0" t="s">
        <v>3050</v>
      </c>
      <c r="B5456" s="0" t="s">
        <v>56</v>
      </c>
      <c r="C5456" s="0" t="s">
        <v>57</v>
      </c>
      <c r="D5456" s="0" t="n">
        <v>10</v>
      </c>
      <c r="E5456" s="6" t="n">
        <v>40863.6708333333</v>
      </c>
      <c r="F5456" s="0" t="n">
        <v>1.65</v>
      </c>
      <c r="G5456" s="0" t="n">
        <v>12626</v>
      </c>
      <c r="H5456" s="0" t="s">
        <v>33</v>
      </c>
      <c r="I5456" s="7" t="n">
        <f aca="false">IF(AND(LEFT(A5456,1)&lt;&gt;"C",D5456&gt;0,F5456&gt;0),1,0)</f>
        <v>1</v>
      </c>
      <c r="J5456" s="7" t="n">
        <f aca="false">IF(I5456=1,D5456*F5456,0)</f>
        <v>16.5</v>
      </c>
      <c r="K5456" s="7" t="n">
        <f aca="false">YEAR(E5456)*100+MONTH(E5456)</f>
        <v>201111</v>
      </c>
      <c r="L5456" s="7" t="n">
        <f aca="false">IF(AND(A5456&lt;&gt;A5455,LEFT(A5456,1)&lt;&gt;"C"),1,0)</f>
        <v>0</v>
      </c>
    </row>
    <row r="5457" customFormat="false" ht="15" hidden="false" customHeight="false" outlineLevel="0" collapsed="false">
      <c r="A5457" s="0" t="s">
        <v>3050</v>
      </c>
      <c r="B5457" s="0" t="s">
        <v>70</v>
      </c>
      <c r="C5457" s="0" t="s">
        <v>71</v>
      </c>
      <c r="D5457" s="0" t="n">
        <v>10</v>
      </c>
      <c r="E5457" s="6" t="n">
        <v>40863.6708333333</v>
      </c>
      <c r="F5457" s="0" t="n">
        <v>1.65</v>
      </c>
      <c r="G5457" s="0" t="n">
        <v>12626</v>
      </c>
      <c r="H5457" s="0" t="s">
        <v>33</v>
      </c>
      <c r="I5457" s="7" t="n">
        <f aca="false">IF(AND(LEFT(A5457,1)&lt;&gt;"C",D5457&gt;0,F5457&gt;0),1,0)</f>
        <v>1</v>
      </c>
      <c r="J5457" s="7" t="n">
        <f aca="false">IF(I5457=1,D5457*F5457,0)</f>
        <v>16.5</v>
      </c>
      <c r="K5457" s="7" t="n">
        <f aca="false">YEAR(E5457)*100+MONTH(E5457)</f>
        <v>201111</v>
      </c>
      <c r="L5457" s="7" t="n">
        <f aca="false">IF(AND(A5457&lt;&gt;A5456,LEFT(A5457,1)&lt;&gt;"C"),1,0)</f>
        <v>0</v>
      </c>
    </row>
    <row r="5458" customFormat="false" ht="15" hidden="false" customHeight="false" outlineLevel="0" collapsed="false">
      <c r="A5458" s="0" t="s">
        <v>3050</v>
      </c>
      <c r="B5458" s="0" t="s">
        <v>2150</v>
      </c>
      <c r="C5458" s="0" t="s">
        <v>2151</v>
      </c>
      <c r="D5458" s="0" t="n">
        <v>12</v>
      </c>
      <c r="E5458" s="6" t="n">
        <v>40863.6708333333</v>
      </c>
      <c r="F5458" s="0" t="n">
        <v>2.08</v>
      </c>
      <c r="G5458" s="0" t="n">
        <v>12626</v>
      </c>
      <c r="H5458" s="0" t="s">
        <v>33</v>
      </c>
      <c r="I5458" s="7" t="n">
        <f aca="false">IF(AND(LEFT(A5458,1)&lt;&gt;"C",D5458&gt;0,F5458&gt;0),1,0)</f>
        <v>1</v>
      </c>
      <c r="J5458" s="7" t="n">
        <f aca="false">IF(I5458=1,D5458*F5458,0)</f>
        <v>24.96</v>
      </c>
      <c r="K5458" s="7" t="n">
        <f aca="false">YEAR(E5458)*100+MONTH(E5458)</f>
        <v>201111</v>
      </c>
      <c r="L5458" s="7" t="n">
        <f aca="false">IF(AND(A5458&lt;&gt;A5457,LEFT(A5458,1)&lt;&gt;"C"),1,0)</f>
        <v>0</v>
      </c>
    </row>
    <row r="5459" customFormat="false" ht="15" hidden="false" customHeight="false" outlineLevel="0" collapsed="false">
      <c r="A5459" s="0" t="s">
        <v>3050</v>
      </c>
      <c r="B5459" s="0" t="s">
        <v>2152</v>
      </c>
      <c r="C5459" s="0" t="s">
        <v>2153</v>
      </c>
      <c r="D5459" s="0" t="n">
        <v>6</v>
      </c>
      <c r="E5459" s="6" t="n">
        <v>40863.6708333333</v>
      </c>
      <c r="F5459" s="0" t="n">
        <v>2.89</v>
      </c>
      <c r="G5459" s="0" t="n">
        <v>12626</v>
      </c>
      <c r="H5459" s="0" t="s">
        <v>33</v>
      </c>
      <c r="I5459" s="7" t="n">
        <f aca="false">IF(AND(LEFT(A5459,1)&lt;&gt;"C",D5459&gt;0,F5459&gt;0),1,0)</f>
        <v>1</v>
      </c>
      <c r="J5459" s="7" t="n">
        <f aca="false">IF(I5459=1,D5459*F5459,0)</f>
        <v>17.34</v>
      </c>
      <c r="K5459" s="7" t="n">
        <f aca="false">YEAR(E5459)*100+MONTH(E5459)</f>
        <v>201111</v>
      </c>
      <c r="L5459" s="7" t="n">
        <f aca="false">IF(AND(A5459&lt;&gt;A5458,LEFT(A5459,1)&lt;&gt;"C"),1,0)</f>
        <v>0</v>
      </c>
    </row>
    <row r="5460" customFormat="false" ht="15" hidden="false" customHeight="false" outlineLevel="0" collapsed="false">
      <c r="A5460" s="0" t="s">
        <v>3050</v>
      </c>
      <c r="B5460" s="0" t="s">
        <v>148</v>
      </c>
      <c r="C5460" s="0" t="s">
        <v>149</v>
      </c>
      <c r="D5460" s="0" t="n">
        <v>1</v>
      </c>
      <c r="E5460" s="6" t="n">
        <v>40863.6708333333</v>
      </c>
      <c r="F5460" s="0" t="n">
        <v>12.75</v>
      </c>
      <c r="G5460" s="0" t="n">
        <v>12626</v>
      </c>
      <c r="H5460" s="0" t="s">
        <v>33</v>
      </c>
      <c r="I5460" s="7" t="n">
        <f aca="false">IF(AND(LEFT(A5460,1)&lt;&gt;"C",D5460&gt;0,F5460&gt;0),1,0)</f>
        <v>1</v>
      </c>
      <c r="J5460" s="7" t="n">
        <f aca="false">IF(I5460=1,D5460*F5460,0)</f>
        <v>12.75</v>
      </c>
      <c r="K5460" s="7" t="n">
        <f aca="false">YEAR(E5460)*100+MONTH(E5460)</f>
        <v>201111</v>
      </c>
      <c r="L5460" s="7" t="n">
        <f aca="false">IF(AND(A5460&lt;&gt;A5459,LEFT(A5460,1)&lt;&gt;"C"),1,0)</f>
        <v>0</v>
      </c>
    </row>
    <row r="5461" customFormat="false" ht="15" hidden="false" customHeight="false" outlineLevel="0" collapsed="false">
      <c r="A5461" s="0" t="s">
        <v>3050</v>
      </c>
      <c r="B5461" s="0" t="s">
        <v>162</v>
      </c>
      <c r="C5461" s="0" t="s">
        <v>163</v>
      </c>
      <c r="D5461" s="0" t="n">
        <v>12</v>
      </c>
      <c r="E5461" s="6" t="n">
        <v>40863.6708333333</v>
      </c>
      <c r="F5461" s="0" t="n">
        <v>0.85</v>
      </c>
      <c r="G5461" s="0" t="n">
        <v>12626</v>
      </c>
      <c r="H5461" s="0" t="s">
        <v>33</v>
      </c>
      <c r="I5461" s="7" t="n">
        <f aca="false">IF(AND(LEFT(A5461,1)&lt;&gt;"C",D5461&gt;0,F5461&gt;0),1,0)</f>
        <v>1</v>
      </c>
      <c r="J5461" s="7" t="n">
        <f aca="false">IF(I5461=1,D5461*F5461,0)</f>
        <v>10.2</v>
      </c>
      <c r="K5461" s="7" t="n">
        <f aca="false">YEAR(E5461)*100+MONTH(E5461)</f>
        <v>201111</v>
      </c>
      <c r="L5461" s="7" t="n">
        <f aca="false">IF(AND(A5461&lt;&gt;A5460,LEFT(A5461,1)&lt;&gt;"C"),1,0)</f>
        <v>0</v>
      </c>
    </row>
    <row r="5462" customFormat="false" ht="15" hidden="false" customHeight="false" outlineLevel="0" collapsed="false">
      <c r="A5462" s="0" t="s">
        <v>3050</v>
      </c>
      <c r="B5462" s="0" t="s">
        <v>3051</v>
      </c>
      <c r="C5462" s="0" t="s">
        <v>3052</v>
      </c>
      <c r="D5462" s="0" t="n">
        <v>12</v>
      </c>
      <c r="E5462" s="6" t="n">
        <v>40863.6708333333</v>
      </c>
      <c r="F5462" s="0" t="n">
        <v>0.85</v>
      </c>
      <c r="G5462" s="0" t="n">
        <v>12626</v>
      </c>
      <c r="H5462" s="0" t="s">
        <v>33</v>
      </c>
      <c r="I5462" s="7" t="n">
        <f aca="false">IF(AND(LEFT(A5462,1)&lt;&gt;"C",D5462&gt;0,F5462&gt;0),1,0)</f>
        <v>1</v>
      </c>
      <c r="J5462" s="7" t="n">
        <f aca="false">IF(I5462=1,D5462*F5462,0)</f>
        <v>10.2</v>
      </c>
      <c r="K5462" s="7" t="n">
        <f aca="false">YEAR(E5462)*100+MONTH(E5462)</f>
        <v>201111</v>
      </c>
      <c r="L5462" s="7" t="n">
        <f aca="false">IF(AND(A5462&lt;&gt;A5461,LEFT(A5462,1)&lt;&gt;"C"),1,0)</f>
        <v>0</v>
      </c>
    </row>
    <row r="5463" customFormat="false" ht="15" hidden="false" customHeight="false" outlineLevel="0" collapsed="false">
      <c r="A5463" s="0" t="s">
        <v>3050</v>
      </c>
      <c r="B5463" s="0" t="s">
        <v>84</v>
      </c>
      <c r="C5463" s="0" t="s">
        <v>85</v>
      </c>
      <c r="D5463" s="0" t="n">
        <v>2</v>
      </c>
      <c r="E5463" s="6" t="n">
        <v>40863.6708333333</v>
      </c>
      <c r="F5463" s="0" t="n">
        <v>18</v>
      </c>
      <c r="G5463" s="0" t="n">
        <v>12626</v>
      </c>
      <c r="H5463" s="0" t="s">
        <v>33</v>
      </c>
      <c r="I5463" s="7" t="n">
        <f aca="false">IF(AND(LEFT(A5463,1)&lt;&gt;"C",D5463&gt;0,F5463&gt;0),1,0)</f>
        <v>1</v>
      </c>
      <c r="J5463" s="7" t="n">
        <f aca="false">IF(I5463=1,D5463*F5463,0)</f>
        <v>36</v>
      </c>
      <c r="K5463" s="7" t="n">
        <f aca="false">YEAR(E5463)*100+MONTH(E5463)</f>
        <v>201111</v>
      </c>
      <c r="L5463" s="7" t="n">
        <f aca="false">IF(AND(A5463&lt;&gt;A5462,LEFT(A5463,1)&lt;&gt;"C"),1,0)</f>
        <v>0</v>
      </c>
    </row>
    <row r="5464" customFormat="false" ht="15" hidden="false" customHeight="false" outlineLevel="0" collapsed="false">
      <c r="A5464" s="0" t="s">
        <v>3053</v>
      </c>
      <c r="B5464" s="0" t="s">
        <v>2465</v>
      </c>
      <c r="C5464" s="0" t="s">
        <v>2466</v>
      </c>
      <c r="D5464" s="0" t="n">
        <v>144</v>
      </c>
      <c r="E5464" s="6" t="n">
        <v>40863.6805555556</v>
      </c>
      <c r="F5464" s="0" t="n">
        <v>1.04</v>
      </c>
      <c r="G5464" s="0" t="n">
        <v>12500</v>
      </c>
      <c r="H5464" s="0" t="s">
        <v>33</v>
      </c>
      <c r="I5464" s="7" t="n">
        <f aca="false">IF(AND(LEFT(A5464,1)&lt;&gt;"C",D5464&gt;0,F5464&gt;0),1,0)</f>
        <v>1</v>
      </c>
      <c r="J5464" s="7" t="n">
        <f aca="false">IF(I5464=1,D5464*F5464,0)</f>
        <v>149.76</v>
      </c>
      <c r="K5464" s="7" t="n">
        <f aca="false">YEAR(E5464)*100+MONTH(E5464)</f>
        <v>201111</v>
      </c>
      <c r="L5464" s="7" t="n">
        <f aca="false">IF(AND(A5464&lt;&gt;A5463,LEFT(A5464,1)&lt;&gt;"C"),1,0)</f>
        <v>1</v>
      </c>
    </row>
    <row r="5465" customFormat="false" ht="15" hidden="false" customHeight="false" outlineLevel="0" collapsed="false">
      <c r="A5465" s="0" t="s">
        <v>3053</v>
      </c>
      <c r="B5465" s="0" t="s">
        <v>2467</v>
      </c>
      <c r="C5465" s="0" t="s">
        <v>2468</v>
      </c>
      <c r="D5465" s="0" t="n">
        <v>144</v>
      </c>
      <c r="E5465" s="6" t="n">
        <v>40863.6805555556</v>
      </c>
      <c r="F5465" s="0" t="n">
        <v>1.04</v>
      </c>
      <c r="G5465" s="0" t="n">
        <v>12500</v>
      </c>
      <c r="H5465" s="0" t="s">
        <v>33</v>
      </c>
      <c r="I5465" s="7" t="n">
        <f aca="false">IF(AND(LEFT(A5465,1)&lt;&gt;"C",D5465&gt;0,F5465&gt;0),1,0)</f>
        <v>1</v>
      </c>
      <c r="J5465" s="7" t="n">
        <f aca="false">IF(I5465=1,D5465*F5465,0)</f>
        <v>149.76</v>
      </c>
      <c r="K5465" s="7" t="n">
        <f aca="false">YEAR(E5465)*100+MONTH(E5465)</f>
        <v>201111</v>
      </c>
      <c r="L5465" s="7" t="n">
        <f aca="false">IF(AND(A5465&lt;&gt;A5464,LEFT(A5465,1)&lt;&gt;"C"),1,0)</f>
        <v>0</v>
      </c>
    </row>
    <row r="5466" customFormat="false" ht="15" hidden="false" customHeight="false" outlineLevel="0" collapsed="false">
      <c r="A5466" s="0" t="s">
        <v>3053</v>
      </c>
      <c r="B5466" s="0" t="s">
        <v>699</v>
      </c>
      <c r="C5466" s="0" t="s">
        <v>700</v>
      </c>
      <c r="D5466" s="0" t="n">
        <v>144</v>
      </c>
      <c r="E5466" s="6" t="n">
        <v>40863.6805555556</v>
      </c>
      <c r="F5466" s="0" t="n">
        <v>1.04</v>
      </c>
      <c r="G5466" s="0" t="n">
        <v>12500</v>
      </c>
      <c r="H5466" s="0" t="s">
        <v>33</v>
      </c>
      <c r="I5466" s="7" t="n">
        <f aca="false">IF(AND(LEFT(A5466,1)&lt;&gt;"C",D5466&gt;0,F5466&gt;0),1,0)</f>
        <v>1</v>
      </c>
      <c r="J5466" s="7" t="n">
        <f aca="false">IF(I5466=1,D5466*F5466,0)</f>
        <v>149.76</v>
      </c>
      <c r="K5466" s="7" t="n">
        <f aca="false">YEAR(E5466)*100+MONTH(E5466)</f>
        <v>201111</v>
      </c>
      <c r="L5466" s="7" t="n">
        <f aca="false">IF(AND(A5466&lt;&gt;A5465,LEFT(A5466,1)&lt;&gt;"C"),1,0)</f>
        <v>0</v>
      </c>
    </row>
    <row r="5467" customFormat="false" ht="15" hidden="false" customHeight="false" outlineLevel="0" collapsed="false">
      <c r="A5467" s="0" t="s">
        <v>3053</v>
      </c>
      <c r="B5467" s="0" t="s">
        <v>2463</v>
      </c>
      <c r="C5467" s="0" t="s">
        <v>2464</v>
      </c>
      <c r="D5467" s="0" t="n">
        <v>144</v>
      </c>
      <c r="E5467" s="6" t="n">
        <v>40863.6805555556</v>
      </c>
      <c r="F5467" s="0" t="n">
        <v>1.04</v>
      </c>
      <c r="G5467" s="0" t="n">
        <v>12500</v>
      </c>
      <c r="H5467" s="0" t="s">
        <v>33</v>
      </c>
      <c r="I5467" s="7" t="n">
        <f aca="false">IF(AND(LEFT(A5467,1)&lt;&gt;"C",D5467&gt;0,F5467&gt;0),1,0)</f>
        <v>1</v>
      </c>
      <c r="J5467" s="7" t="n">
        <f aca="false">IF(I5467=1,D5467*F5467,0)</f>
        <v>149.76</v>
      </c>
      <c r="K5467" s="7" t="n">
        <f aca="false">YEAR(E5467)*100+MONTH(E5467)</f>
        <v>201111</v>
      </c>
      <c r="L5467" s="7" t="n">
        <f aca="false">IF(AND(A5467&lt;&gt;A5466,LEFT(A5467,1)&lt;&gt;"C"),1,0)</f>
        <v>0</v>
      </c>
    </row>
    <row r="5468" customFormat="false" ht="15" hidden="false" customHeight="false" outlineLevel="0" collapsed="false">
      <c r="A5468" s="0" t="s">
        <v>3053</v>
      </c>
      <c r="B5468" s="0" t="s">
        <v>84</v>
      </c>
      <c r="C5468" s="0" t="s">
        <v>85</v>
      </c>
      <c r="D5468" s="0" t="n">
        <v>1</v>
      </c>
      <c r="E5468" s="6" t="n">
        <v>40863.6805555556</v>
      </c>
      <c r="F5468" s="0" t="n">
        <v>18</v>
      </c>
      <c r="G5468" s="0" t="n">
        <v>12500</v>
      </c>
      <c r="H5468" s="0" t="s">
        <v>33</v>
      </c>
      <c r="I5468" s="7" t="n">
        <f aca="false">IF(AND(LEFT(A5468,1)&lt;&gt;"C",D5468&gt;0,F5468&gt;0),1,0)</f>
        <v>1</v>
      </c>
      <c r="J5468" s="7" t="n">
        <f aca="false">IF(I5468=1,D5468*F5468,0)</f>
        <v>18</v>
      </c>
      <c r="K5468" s="7" t="n">
        <f aca="false">YEAR(E5468)*100+MONTH(E5468)</f>
        <v>201111</v>
      </c>
      <c r="L5468" s="7" t="n">
        <f aca="false">IF(AND(A5468&lt;&gt;A5467,LEFT(A5468,1)&lt;&gt;"C"),1,0)</f>
        <v>0</v>
      </c>
    </row>
    <row r="5469" customFormat="false" ht="15" hidden="false" customHeight="false" outlineLevel="0" collapsed="false">
      <c r="A5469" s="0" t="s">
        <v>3054</v>
      </c>
      <c r="B5469" s="0" t="s">
        <v>598</v>
      </c>
      <c r="C5469" s="0" t="s">
        <v>599</v>
      </c>
      <c r="D5469" s="0" t="n">
        <v>8</v>
      </c>
      <c r="E5469" s="6" t="n">
        <v>40863.7256944445</v>
      </c>
      <c r="F5469" s="0" t="n">
        <v>1.95</v>
      </c>
      <c r="G5469" s="0" t="n">
        <v>12662</v>
      </c>
      <c r="H5469" s="0" t="s">
        <v>33</v>
      </c>
      <c r="I5469" s="7" t="n">
        <f aca="false">IF(AND(LEFT(A5469,1)&lt;&gt;"C",D5469&gt;0,F5469&gt;0),1,0)</f>
        <v>1</v>
      </c>
      <c r="J5469" s="7" t="n">
        <f aca="false">IF(I5469=1,D5469*F5469,0)</f>
        <v>15.6</v>
      </c>
      <c r="K5469" s="7" t="n">
        <f aca="false">YEAR(E5469)*100+MONTH(E5469)</f>
        <v>201111</v>
      </c>
      <c r="L5469" s="7" t="n">
        <f aca="false">IF(AND(A5469&lt;&gt;A5468,LEFT(A5469,1)&lt;&gt;"C"),1,0)</f>
        <v>1</v>
      </c>
    </row>
    <row r="5470" customFormat="false" ht="15" hidden="false" customHeight="false" outlineLevel="0" collapsed="false">
      <c r="A5470" s="0" t="s">
        <v>3054</v>
      </c>
      <c r="B5470" s="0" t="s">
        <v>3055</v>
      </c>
      <c r="C5470" s="0" t="s">
        <v>3056</v>
      </c>
      <c r="D5470" s="0" t="n">
        <v>4</v>
      </c>
      <c r="E5470" s="6" t="n">
        <v>40863.7256944445</v>
      </c>
      <c r="F5470" s="0" t="n">
        <v>4.95</v>
      </c>
      <c r="G5470" s="0" t="n">
        <v>12662</v>
      </c>
      <c r="H5470" s="0" t="s">
        <v>33</v>
      </c>
      <c r="I5470" s="7" t="n">
        <f aca="false">IF(AND(LEFT(A5470,1)&lt;&gt;"C",D5470&gt;0,F5470&gt;0),1,0)</f>
        <v>1</v>
      </c>
      <c r="J5470" s="7" t="n">
        <f aca="false">IF(I5470=1,D5470*F5470,0)</f>
        <v>19.8</v>
      </c>
      <c r="K5470" s="7" t="n">
        <f aca="false">YEAR(E5470)*100+MONTH(E5470)</f>
        <v>201111</v>
      </c>
      <c r="L5470" s="7" t="n">
        <f aca="false">IF(AND(A5470&lt;&gt;A5469,LEFT(A5470,1)&lt;&gt;"C"),1,0)</f>
        <v>0</v>
      </c>
    </row>
    <row r="5471" customFormat="false" ht="15" hidden="false" customHeight="false" outlineLevel="0" collapsed="false">
      <c r="A5471" s="0" t="s">
        <v>3054</v>
      </c>
      <c r="B5471" s="0" t="s">
        <v>794</v>
      </c>
      <c r="C5471" s="0" t="s">
        <v>795</v>
      </c>
      <c r="D5471" s="0" t="n">
        <v>10</v>
      </c>
      <c r="E5471" s="6" t="n">
        <v>40863.7256944445</v>
      </c>
      <c r="F5471" s="0" t="n">
        <v>0.85</v>
      </c>
      <c r="G5471" s="0" t="n">
        <v>12662</v>
      </c>
      <c r="H5471" s="0" t="s">
        <v>33</v>
      </c>
      <c r="I5471" s="7" t="n">
        <f aca="false">IF(AND(LEFT(A5471,1)&lt;&gt;"C",D5471&gt;0,F5471&gt;0),1,0)</f>
        <v>1</v>
      </c>
      <c r="J5471" s="7" t="n">
        <f aca="false">IF(I5471=1,D5471*F5471,0)</f>
        <v>8.5</v>
      </c>
      <c r="K5471" s="7" t="n">
        <f aca="false">YEAR(E5471)*100+MONTH(E5471)</f>
        <v>201111</v>
      </c>
      <c r="L5471" s="7" t="n">
        <f aca="false">IF(AND(A5471&lt;&gt;A5470,LEFT(A5471,1)&lt;&gt;"C"),1,0)</f>
        <v>0</v>
      </c>
    </row>
    <row r="5472" customFormat="false" ht="15" hidden="false" customHeight="false" outlineLevel="0" collapsed="false">
      <c r="A5472" s="0" t="s">
        <v>3054</v>
      </c>
      <c r="B5472" s="0" t="s">
        <v>1744</v>
      </c>
      <c r="C5472" s="0" t="s">
        <v>1745</v>
      </c>
      <c r="D5472" s="0" t="n">
        <v>10</v>
      </c>
      <c r="E5472" s="6" t="n">
        <v>40863.7256944445</v>
      </c>
      <c r="F5472" s="0" t="n">
        <v>0.85</v>
      </c>
      <c r="G5472" s="0" t="n">
        <v>12662</v>
      </c>
      <c r="H5472" s="0" t="s">
        <v>33</v>
      </c>
      <c r="I5472" s="7" t="n">
        <f aca="false">IF(AND(LEFT(A5472,1)&lt;&gt;"C",D5472&gt;0,F5472&gt;0),1,0)</f>
        <v>1</v>
      </c>
      <c r="J5472" s="7" t="n">
        <f aca="false">IF(I5472=1,D5472*F5472,0)</f>
        <v>8.5</v>
      </c>
      <c r="K5472" s="7" t="n">
        <f aca="false">YEAR(E5472)*100+MONTH(E5472)</f>
        <v>201111</v>
      </c>
      <c r="L5472" s="7" t="n">
        <f aca="false">IF(AND(A5472&lt;&gt;A5471,LEFT(A5472,1)&lt;&gt;"C"),1,0)</f>
        <v>0</v>
      </c>
    </row>
    <row r="5473" customFormat="false" ht="15" hidden="false" customHeight="false" outlineLevel="0" collapsed="false">
      <c r="A5473" s="0" t="s">
        <v>3054</v>
      </c>
      <c r="B5473" s="0" t="s">
        <v>339</v>
      </c>
      <c r="C5473" s="0" t="s">
        <v>340</v>
      </c>
      <c r="D5473" s="0" t="n">
        <v>8</v>
      </c>
      <c r="E5473" s="6" t="n">
        <v>40863.7256944445</v>
      </c>
      <c r="F5473" s="0" t="n">
        <v>1.95</v>
      </c>
      <c r="G5473" s="0" t="n">
        <v>12662</v>
      </c>
      <c r="H5473" s="0" t="s">
        <v>33</v>
      </c>
      <c r="I5473" s="7" t="n">
        <f aca="false">IF(AND(LEFT(A5473,1)&lt;&gt;"C",D5473&gt;0,F5473&gt;0),1,0)</f>
        <v>1</v>
      </c>
      <c r="J5473" s="7" t="n">
        <f aca="false">IF(I5473=1,D5473*F5473,0)</f>
        <v>15.6</v>
      </c>
      <c r="K5473" s="7" t="n">
        <f aca="false">YEAR(E5473)*100+MONTH(E5473)</f>
        <v>201111</v>
      </c>
      <c r="L5473" s="7" t="n">
        <f aca="false">IF(AND(A5473&lt;&gt;A5472,LEFT(A5473,1)&lt;&gt;"C"),1,0)</f>
        <v>0</v>
      </c>
    </row>
    <row r="5474" customFormat="false" ht="15" hidden="false" customHeight="false" outlineLevel="0" collapsed="false">
      <c r="A5474" s="0" t="s">
        <v>3054</v>
      </c>
      <c r="B5474" s="0" t="s">
        <v>2314</v>
      </c>
      <c r="C5474" s="0" t="s">
        <v>2315</v>
      </c>
      <c r="D5474" s="0" t="n">
        <v>4</v>
      </c>
      <c r="E5474" s="6" t="n">
        <v>40863.7256944445</v>
      </c>
      <c r="F5474" s="0" t="n">
        <v>3.75</v>
      </c>
      <c r="G5474" s="0" t="n">
        <v>12662</v>
      </c>
      <c r="H5474" s="0" t="s">
        <v>33</v>
      </c>
      <c r="I5474" s="7" t="n">
        <f aca="false">IF(AND(LEFT(A5474,1)&lt;&gt;"C",D5474&gt;0,F5474&gt;0),1,0)</f>
        <v>1</v>
      </c>
      <c r="J5474" s="7" t="n">
        <f aca="false">IF(I5474=1,D5474*F5474,0)</f>
        <v>15</v>
      </c>
      <c r="K5474" s="7" t="n">
        <f aca="false">YEAR(E5474)*100+MONTH(E5474)</f>
        <v>201111</v>
      </c>
      <c r="L5474" s="7" t="n">
        <f aca="false">IF(AND(A5474&lt;&gt;A5473,LEFT(A5474,1)&lt;&gt;"C"),1,0)</f>
        <v>0</v>
      </c>
    </row>
    <row r="5475" customFormat="false" ht="15" hidden="false" customHeight="false" outlineLevel="0" collapsed="false">
      <c r="A5475" s="0" t="s">
        <v>3054</v>
      </c>
      <c r="B5475" s="0" t="s">
        <v>2573</v>
      </c>
      <c r="C5475" s="0" t="s">
        <v>2574</v>
      </c>
      <c r="D5475" s="0" t="n">
        <v>4</v>
      </c>
      <c r="E5475" s="6" t="n">
        <v>40863.7256944445</v>
      </c>
      <c r="F5475" s="0" t="n">
        <v>3.75</v>
      </c>
      <c r="G5475" s="0" t="n">
        <v>12662</v>
      </c>
      <c r="H5475" s="0" t="s">
        <v>33</v>
      </c>
      <c r="I5475" s="7" t="n">
        <f aca="false">IF(AND(LEFT(A5475,1)&lt;&gt;"C",D5475&gt;0,F5475&gt;0),1,0)</f>
        <v>1</v>
      </c>
      <c r="J5475" s="7" t="n">
        <f aca="false">IF(I5475=1,D5475*F5475,0)</f>
        <v>15</v>
      </c>
      <c r="K5475" s="7" t="n">
        <f aca="false">YEAR(E5475)*100+MONTH(E5475)</f>
        <v>201111</v>
      </c>
      <c r="L5475" s="7" t="n">
        <f aca="false">IF(AND(A5475&lt;&gt;A5474,LEFT(A5475,1)&lt;&gt;"C"),1,0)</f>
        <v>0</v>
      </c>
    </row>
    <row r="5476" customFormat="false" ht="15" hidden="false" customHeight="false" outlineLevel="0" collapsed="false">
      <c r="A5476" s="0" t="s">
        <v>3054</v>
      </c>
      <c r="B5476" s="0" t="s">
        <v>490</v>
      </c>
      <c r="C5476" s="0" t="s">
        <v>491</v>
      </c>
      <c r="D5476" s="0" t="n">
        <v>6</v>
      </c>
      <c r="E5476" s="6" t="n">
        <v>40863.7256944445</v>
      </c>
      <c r="F5476" s="0" t="n">
        <v>2.08</v>
      </c>
      <c r="G5476" s="0" t="n">
        <v>12662</v>
      </c>
      <c r="H5476" s="0" t="s">
        <v>33</v>
      </c>
      <c r="I5476" s="7" t="n">
        <f aca="false">IF(AND(LEFT(A5476,1)&lt;&gt;"C",D5476&gt;0,F5476&gt;0),1,0)</f>
        <v>1</v>
      </c>
      <c r="J5476" s="7" t="n">
        <f aca="false">IF(I5476=1,D5476*F5476,0)</f>
        <v>12.48</v>
      </c>
      <c r="K5476" s="7" t="n">
        <f aca="false">YEAR(E5476)*100+MONTH(E5476)</f>
        <v>201111</v>
      </c>
      <c r="L5476" s="7" t="n">
        <f aca="false">IF(AND(A5476&lt;&gt;A5475,LEFT(A5476,1)&lt;&gt;"C"),1,0)</f>
        <v>0</v>
      </c>
    </row>
    <row r="5477" customFormat="false" ht="15" hidden="false" customHeight="false" outlineLevel="0" collapsed="false">
      <c r="A5477" s="0" t="s">
        <v>3054</v>
      </c>
      <c r="B5477" s="0" t="s">
        <v>1436</v>
      </c>
      <c r="C5477" s="0" t="s">
        <v>1437</v>
      </c>
      <c r="D5477" s="0" t="n">
        <v>3</v>
      </c>
      <c r="E5477" s="6" t="n">
        <v>40863.7256944445</v>
      </c>
      <c r="F5477" s="0" t="n">
        <v>4.95</v>
      </c>
      <c r="G5477" s="0" t="n">
        <v>12662</v>
      </c>
      <c r="H5477" s="0" t="s">
        <v>33</v>
      </c>
      <c r="I5477" s="7" t="n">
        <f aca="false">IF(AND(LEFT(A5477,1)&lt;&gt;"C",D5477&gt;0,F5477&gt;0),1,0)</f>
        <v>1</v>
      </c>
      <c r="J5477" s="7" t="n">
        <f aca="false">IF(I5477=1,D5477*F5477,0)</f>
        <v>14.85</v>
      </c>
      <c r="K5477" s="7" t="n">
        <f aca="false">YEAR(E5477)*100+MONTH(E5477)</f>
        <v>201111</v>
      </c>
      <c r="L5477" s="7" t="n">
        <f aca="false">IF(AND(A5477&lt;&gt;A5476,LEFT(A5477,1)&lt;&gt;"C"),1,0)</f>
        <v>0</v>
      </c>
    </row>
    <row r="5478" customFormat="false" ht="15" hidden="false" customHeight="false" outlineLevel="0" collapsed="false">
      <c r="A5478" s="0" t="s">
        <v>3054</v>
      </c>
      <c r="B5478" s="0" t="s">
        <v>667</v>
      </c>
      <c r="C5478" s="0" t="s">
        <v>668</v>
      </c>
      <c r="D5478" s="0" t="n">
        <v>10</v>
      </c>
      <c r="E5478" s="6" t="n">
        <v>40863.7256944445</v>
      </c>
      <c r="F5478" s="0" t="n">
        <v>0.85</v>
      </c>
      <c r="G5478" s="0" t="n">
        <v>12662</v>
      </c>
      <c r="H5478" s="0" t="s">
        <v>33</v>
      </c>
      <c r="I5478" s="7" t="n">
        <f aca="false">IF(AND(LEFT(A5478,1)&lt;&gt;"C",D5478&gt;0,F5478&gt;0),1,0)</f>
        <v>1</v>
      </c>
      <c r="J5478" s="7" t="n">
        <f aca="false">IF(I5478=1,D5478*F5478,0)</f>
        <v>8.5</v>
      </c>
      <c r="K5478" s="7" t="n">
        <f aca="false">YEAR(E5478)*100+MONTH(E5478)</f>
        <v>201111</v>
      </c>
      <c r="L5478" s="7" t="n">
        <f aca="false">IF(AND(A5478&lt;&gt;A5477,LEFT(A5478,1)&lt;&gt;"C"),1,0)</f>
        <v>0</v>
      </c>
    </row>
    <row r="5479" customFormat="false" ht="15" hidden="false" customHeight="false" outlineLevel="0" collapsed="false">
      <c r="A5479" s="0" t="s">
        <v>3054</v>
      </c>
      <c r="B5479" s="0" t="s">
        <v>2320</v>
      </c>
      <c r="C5479" s="0" t="s">
        <v>2321</v>
      </c>
      <c r="D5479" s="0" t="n">
        <v>6</v>
      </c>
      <c r="E5479" s="6" t="n">
        <v>40863.7256944445</v>
      </c>
      <c r="F5479" s="0" t="n">
        <v>2.1</v>
      </c>
      <c r="G5479" s="0" t="n">
        <v>12662</v>
      </c>
      <c r="H5479" s="0" t="s">
        <v>33</v>
      </c>
      <c r="I5479" s="7" t="n">
        <f aca="false">IF(AND(LEFT(A5479,1)&lt;&gt;"C",D5479&gt;0,F5479&gt;0),1,0)</f>
        <v>1</v>
      </c>
      <c r="J5479" s="7" t="n">
        <f aca="false">IF(I5479=1,D5479*F5479,0)</f>
        <v>12.6</v>
      </c>
      <c r="K5479" s="7" t="n">
        <f aca="false">YEAR(E5479)*100+MONTH(E5479)</f>
        <v>201111</v>
      </c>
      <c r="L5479" s="7" t="n">
        <f aca="false">IF(AND(A5479&lt;&gt;A5478,LEFT(A5479,1)&lt;&gt;"C"),1,0)</f>
        <v>0</v>
      </c>
    </row>
    <row r="5480" customFormat="false" ht="15" hidden="false" customHeight="false" outlineLevel="0" collapsed="false">
      <c r="A5480" s="0" t="s">
        <v>3054</v>
      </c>
      <c r="B5480" s="0" t="s">
        <v>1559</v>
      </c>
      <c r="C5480" s="0" t="s">
        <v>1560</v>
      </c>
      <c r="D5480" s="0" t="n">
        <v>6</v>
      </c>
      <c r="E5480" s="6" t="n">
        <v>40863.7256944445</v>
      </c>
      <c r="F5480" s="0" t="n">
        <v>2.1</v>
      </c>
      <c r="G5480" s="0" t="n">
        <v>12662</v>
      </c>
      <c r="H5480" s="0" t="s">
        <v>33</v>
      </c>
      <c r="I5480" s="7" t="n">
        <f aca="false">IF(AND(LEFT(A5480,1)&lt;&gt;"C",D5480&gt;0,F5480&gt;0),1,0)</f>
        <v>1</v>
      </c>
      <c r="J5480" s="7" t="n">
        <f aca="false">IF(I5480=1,D5480*F5480,0)</f>
        <v>12.6</v>
      </c>
      <c r="K5480" s="7" t="n">
        <f aca="false">YEAR(E5480)*100+MONTH(E5480)</f>
        <v>201111</v>
      </c>
      <c r="L5480" s="7" t="n">
        <f aca="false">IF(AND(A5480&lt;&gt;A5479,LEFT(A5480,1)&lt;&gt;"C"),1,0)</f>
        <v>0</v>
      </c>
    </row>
    <row r="5481" customFormat="false" ht="15" hidden="false" customHeight="false" outlineLevel="0" collapsed="false">
      <c r="A5481" s="0" t="s">
        <v>3054</v>
      </c>
      <c r="B5481" s="0" t="s">
        <v>337</v>
      </c>
      <c r="C5481" s="0" t="s">
        <v>338</v>
      </c>
      <c r="D5481" s="0" t="n">
        <v>6</v>
      </c>
      <c r="E5481" s="6" t="n">
        <v>40863.7256944445</v>
      </c>
      <c r="F5481" s="0" t="n">
        <v>2.95</v>
      </c>
      <c r="G5481" s="0" t="n">
        <v>12662</v>
      </c>
      <c r="H5481" s="0" t="s">
        <v>33</v>
      </c>
      <c r="I5481" s="7" t="n">
        <f aca="false">IF(AND(LEFT(A5481,1)&lt;&gt;"C",D5481&gt;0,F5481&gt;0),1,0)</f>
        <v>1</v>
      </c>
      <c r="J5481" s="7" t="n">
        <f aca="false">IF(I5481=1,D5481*F5481,0)</f>
        <v>17.7</v>
      </c>
      <c r="K5481" s="7" t="n">
        <f aca="false">YEAR(E5481)*100+MONTH(E5481)</f>
        <v>201111</v>
      </c>
      <c r="L5481" s="7" t="n">
        <f aca="false">IF(AND(A5481&lt;&gt;A5480,LEFT(A5481,1)&lt;&gt;"C"),1,0)</f>
        <v>0</v>
      </c>
    </row>
    <row r="5482" customFormat="false" ht="15" hidden="false" customHeight="false" outlineLevel="0" collapsed="false">
      <c r="A5482" s="0" t="s">
        <v>3054</v>
      </c>
      <c r="B5482" s="0" t="s">
        <v>207</v>
      </c>
      <c r="C5482" s="0" t="s">
        <v>208</v>
      </c>
      <c r="D5482" s="0" t="n">
        <v>24</v>
      </c>
      <c r="E5482" s="6" t="n">
        <v>40863.7256944445</v>
      </c>
      <c r="F5482" s="0" t="n">
        <v>0.39</v>
      </c>
      <c r="G5482" s="0" t="n">
        <v>12662</v>
      </c>
      <c r="H5482" s="0" t="s">
        <v>33</v>
      </c>
      <c r="I5482" s="7" t="n">
        <f aca="false">IF(AND(LEFT(A5482,1)&lt;&gt;"C",D5482&gt;0,F5482&gt;0),1,0)</f>
        <v>1</v>
      </c>
      <c r="J5482" s="7" t="n">
        <f aca="false">IF(I5482=1,D5482*F5482,0)</f>
        <v>9.36</v>
      </c>
      <c r="K5482" s="7" t="n">
        <f aca="false">YEAR(E5482)*100+MONTH(E5482)</f>
        <v>201111</v>
      </c>
      <c r="L5482" s="7" t="n">
        <f aca="false">IF(AND(A5482&lt;&gt;A5481,LEFT(A5482,1)&lt;&gt;"C"),1,0)</f>
        <v>0</v>
      </c>
    </row>
    <row r="5483" customFormat="false" ht="15" hidden="false" customHeight="false" outlineLevel="0" collapsed="false">
      <c r="A5483" s="0" t="s">
        <v>3054</v>
      </c>
      <c r="B5483" s="0" t="s">
        <v>1885</v>
      </c>
      <c r="C5483" s="0" t="s">
        <v>1886</v>
      </c>
      <c r="D5483" s="0" t="n">
        <v>24</v>
      </c>
      <c r="E5483" s="6" t="n">
        <v>40863.7256944445</v>
      </c>
      <c r="F5483" s="0" t="n">
        <v>0.39</v>
      </c>
      <c r="G5483" s="0" t="n">
        <v>12662</v>
      </c>
      <c r="H5483" s="0" t="s">
        <v>33</v>
      </c>
      <c r="I5483" s="7" t="n">
        <f aca="false">IF(AND(LEFT(A5483,1)&lt;&gt;"C",D5483&gt;0,F5483&gt;0),1,0)</f>
        <v>1</v>
      </c>
      <c r="J5483" s="7" t="n">
        <f aca="false">IF(I5483=1,D5483*F5483,0)</f>
        <v>9.36</v>
      </c>
      <c r="K5483" s="7" t="n">
        <f aca="false">YEAR(E5483)*100+MONTH(E5483)</f>
        <v>201111</v>
      </c>
      <c r="L5483" s="7" t="n">
        <f aca="false">IF(AND(A5483&lt;&gt;A5482,LEFT(A5483,1)&lt;&gt;"C"),1,0)</f>
        <v>0</v>
      </c>
    </row>
    <row r="5484" customFormat="false" ht="15" hidden="false" customHeight="false" outlineLevel="0" collapsed="false">
      <c r="A5484" s="0" t="s">
        <v>3054</v>
      </c>
      <c r="B5484" s="0" t="s">
        <v>2211</v>
      </c>
      <c r="C5484" s="0" t="s">
        <v>2212</v>
      </c>
      <c r="D5484" s="0" t="n">
        <v>12</v>
      </c>
      <c r="E5484" s="6" t="n">
        <v>40863.7256944445</v>
      </c>
      <c r="F5484" s="0" t="n">
        <v>1.25</v>
      </c>
      <c r="G5484" s="0" t="n">
        <v>12662</v>
      </c>
      <c r="H5484" s="0" t="s">
        <v>33</v>
      </c>
      <c r="I5484" s="7" t="n">
        <f aca="false">IF(AND(LEFT(A5484,1)&lt;&gt;"C",D5484&gt;0,F5484&gt;0),1,0)</f>
        <v>1</v>
      </c>
      <c r="J5484" s="7" t="n">
        <f aca="false">IF(I5484=1,D5484*F5484,0)</f>
        <v>15</v>
      </c>
      <c r="K5484" s="7" t="n">
        <f aca="false">YEAR(E5484)*100+MONTH(E5484)</f>
        <v>201111</v>
      </c>
      <c r="L5484" s="7" t="n">
        <f aca="false">IF(AND(A5484&lt;&gt;A5483,LEFT(A5484,1)&lt;&gt;"C"),1,0)</f>
        <v>0</v>
      </c>
    </row>
    <row r="5485" customFormat="false" ht="15" hidden="false" customHeight="false" outlineLevel="0" collapsed="false">
      <c r="A5485" s="0" t="s">
        <v>3054</v>
      </c>
      <c r="B5485" s="0" t="s">
        <v>1189</v>
      </c>
      <c r="C5485" s="0" t="s">
        <v>1190</v>
      </c>
      <c r="D5485" s="0" t="n">
        <v>6</v>
      </c>
      <c r="E5485" s="6" t="n">
        <v>40863.7256944445</v>
      </c>
      <c r="F5485" s="0" t="n">
        <v>2.89</v>
      </c>
      <c r="G5485" s="0" t="n">
        <v>12662</v>
      </c>
      <c r="H5485" s="0" t="s">
        <v>33</v>
      </c>
      <c r="I5485" s="7" t="n">
        <f aca="false">IF(AND(LEFT(A5485,1)&lt;&gt;"C",D5485&gt;0,F5485&gt;0),1,0)</f>
        <v>1</v>
      </c>
      <c r="J5485" s="7" t="n">
        <f aca="false">IF(I5485=1,D5485*F5485,0)</f>
        <v>17.34</v>
      </c>
      <c r="K5485" s="7" t="n">
        <f aca="false">YEAR(E5485)*100+MONTH(E5485)</f>
        <v>201111</v>
      </c>
      <c r="L5485" s="7" t="n">
        <f aca="false">IF(AND(A5485&lt;&gt;A5484,LEFT(A5485,1)&lt;&gt;"C"),1,0)</f>
        <v>0</v>
      </c>
    </row>
    <row r="5486" customFormat="false" ht="15" hidden="false" customHeight="false" outlineLevel="0" collapsed="false">
      <c r="A5486" s="0" t="s">
        <v>3054</v>
      </c>
      <c r="B5486" s="0" t="s">
        <v>970</v>
      </c>
      <c r="C5486" s="0" t="s">
        <v>971</v>
      </c>
      <c r="D5486" s="0" t="n">
        <v>10</v>
      </c>
      <c r="E5486" s="6" t="n">
        <v>40863.7256944445</v>
      </c>
      <c r="F5486" s="0" t="n">
        <v>1.65</v>
      </c>
      <c r="G5486" s="0" t="n">
        <v>12662</v>
      </c>
      <c r="H5486" s="0" t="s">
        <v>33</v>
      </c>
      <c r="I5486" s="7" t="n">
        <f aca="false">IF(AND(LEFT(A5486,1)&lt;&gt;"C",D5486&gt;0,F5486&gt;0),1,0)</f>
        <v>1</v>
      </c>
      <c r="J5486" s="7" t="n">
        <f aca="false">IF(I5486=1,D5486*F5486,0)</f>
        <v>16.5</v>
      </c>
      <c r="K5486" s="7" t="n">
        <f aca="false">YEAR(E5486)*100+MONTH(E5486)</f>
        <v>201111</v>
      </c>
      <c r="L5486" s="7" t="n">
        <f aca="false">IF(AND(A5486&lt;&gt;A5485,LEFT(A5486,1)&lt;&gt;"C"),1,0)</f>
        <v>0</v>
      </c>
    </row>
    <row r="5487" customFormat="false" ht="15" hidden="false" customHeight="false" outlineLevel="0" collapsed="false">
      <c r="A5487" s="0" t="s">
        <v>3054</v>
      </c>
      <c r="B5487" s="0" t="s">
        <v>1027</v>
      </c>
      <c r="C5487" s="0" t="s">
        <v>1028</v>
      </c>
      <c r="D5487" s="0" t="n">
        <v>12</v>
      </c>
      <c r="E5487" s="6" t="n">
        <v>40863.7256944445</v>
      </c>
      <c r="F5487" s="0" t="n">
        <v>1.25</v>
      </c>
      <c r="G5487" s="0" t="n">
        <v>12662</v>
      </c>
      <c r="H5487" s="0" t="s">
        <v>33</v>
      </c>
      <c r="I5487" s="7" t="n">
        <f aca="false">IF(AND(LEFT(A5487,1)&lt;&gt;"C",D5487&gt;0,F5487&gt;0),1,0)</f>
        <v>1</v>
      </c>
      <c r="J5487" s="7" t="n">
        <f aca="false">IF(I5487=1,D5487*F5487,0)</f>
        <v>15</v>
      </c>
      <c r="K5487" s="7" t="n">
        <f aca="false">YEAR(E5487)*100+MONTH(E5487)</f>
        <v>201111</v>
      </c>
      <c r="L5487" s="7" t="n">
        <f aca="false">IF(AND(A5487&lt;&gt;A5486,LEFT(A5487,1)&lt;&gt;"C"),1,0)</f>
        <v>0</v>
      </c>
    </row>
    <row r="5488" customFormat="false" ht="15" hidden="false" customHeight="false" outlineLevel="0" collapsed="false">
      <c r="A5488" s="0" t="s">
        <v>3054</v>
      </c>
      <c r="B5488" s="0" t="s">
        <v>873</v>
      </c>
      <c r="C5488" s="0" t="s">
        <v>874</v>
      </c>
      <c r="D5488" s="0" t="n">
        <v>12</v>
      </c>
      <c r="E5488" s="6" t="n">
        <v>40863.7256944445</v>
      </c>
      <c r="F5488" s="0" t="n">
        <v>0.83</v>
      </c>
      <c r="G5488" s="0" t="n">
        <v>12662</v>
      </c>
      <c r="H5488" s="0" t="s">
        <v>33</v>
      </c>
      <c r="I5488" s="7" t="n">
        <f aca="false">IF(AND(LEFT(A5488,1)&lt;&gt;"C",D5488&gt;0,F5488&gt;0),1,0)</f>
        <v>1</v>
      </c>
      <c r="J5488" s="7" t="n">
        <f aca="false">IF(I5488=1,D5488*F5488,0)</f>
        <v>9.96</v>
      </c>
      <c r="K5488" s="7" t="n">
        <f aca="false">YEAR(E5488)*100+MONTH(E5488)</f>
        <v>201111</v>
      </c>
      <c r="L5488" s="7" t="n">
        <f aca="false">IF(AND(A5488&lt;&gt;A5487,LEFT(A5488,1)&lt;&gt;"C"),1,0)</f>
        <v>0</v>
      </c>
    </row>
    <row r="5489" customFormat="false" ht="15" hidden="false" customHeight="false" outlineLevel="0" collapsed="false">
      <c r="A5489" s="0" t="s">
        <v>3054</v>
      </c>
      <c r="B5489" s="0" t="s">
        <v>1380</v>
      </c>
      <c r="C5489" s="0" t="s">
        <v>1381</v>
      </c>
      <c r="D5489" s="0" t="n">
        <v>24</v>
      </c>
      <c r="E5489" s="6" t="n">
        <v>40863.7256944445</v>
      </c>
      <c r="F5489" s="0" t="n">
        <v>0.55</v>
      </c>
      <c r="G5489" s="0" t="n">
        <v>12662</v>
      </c>
      <c r="H5489" s="0" t="s">
        <v>33</v>
      </c>
      <c r="I5489" s="7" t="n">
        <f aca="false">IF(AND(LEFT(A5489,1)&lt;&gt;"C",D5489&gt;0,F5489&gt;0),1,0)</f>
        <v>1</v>
      </c>
      <c r="J5489" s="7" t="n">
        <f aca="false">IF(I5489=1,D5489*F5489,0)</f>
        <v>13.2</v>
      </c>
      <c r="K5489" s="7" t="n">
        <f aca="false">YEAR(E5489)*100+MONTH(E5489)</f>
        <v>201111</v>
      </c>
      <c r="L5489" s="7" t="n">
        <f aca="false">IF(AND(A5489&lt;&gt;A5488,LEFT(A5489,1)&lt;&gt;"C"),1,0)</f>
        <v>0</v>
      </c>
    </row>
    <row r="5490" customFormat="false" ht="15" hidden="false" customHeight="false" outlineLevel="0" collapsed="false">
      <c r="A5490" s="0" t="s">
        <v>3054</v>
      </c>
      <c r="B5490" s="0" t="s">
        <v>2365</v>
      </c>
      <c r="C5490" s="0" t="s">
        <v>2366</v>
      </c>
      <c r="D5490" s="0" t="n">
        <v>12</v>
      </c>
      <c r="E5490" s="6" t="n">
        <v>40863.7256944445</v>
      </c>
      <c r="F5490" s="0" t="n">
        <v>0.85</v>
      </c>
      <c r="G5490" s="0" t="n">
        <v>12662</v>
      </c>
      <c r="H5490" s="0" t="s">
        <v>33</v>
      </c>
      <c r="I5490" s="7" t="n">
        <f aca="false">IF(AND(LEFT(A5490,1)&lt;&gt;"C",D5490&gt;0,F5490&gt;0),1,0)</f>
        <v>1</v>
      </c>
      <c r="J5490" s="7" t="n">
        <f aca="false">IF(I5490=1,D5490*F5490,0)</f>
        <v>10.2</v>
      </c>
      <c r="K5490" s="7" t="n">
        <f aca="false">YEAR(E5490)*100+MONTH(E5490)</f>
        <v>201111</v>
      </c>
      <c r="L5490" s="7" t="n">
        <f aca="false">IF(AND(A5490&lt;&gt;A5489,LEFT(A5490,1)&lt;&gt;"C"),1,0)</f>
        <v>0</v>
      </c>
    </row>
    <row r="5491" customFormat="false" ht="15" hidden="false" customHeight="false" outlineLevel="0" collapsed="false">
      <c r="A5491" s="0" t="s">
        <v>3054</v>
      </c>
      <c r="B5491" s="0" t="s">
        <v>84</v>
      </c>
      <c r="C5491" s="0" t="s">
        <v>85</v>
      </c>
      <c r="D5491" s="0" t="n">
        <v>2</v>
      </c>
      <c r="E5491" s="6" t="n">
        <v>40863.7256944445</v>
      </c>
      <c r="F5491" s="0" t="n">
        <v>18</v>
      </c>
      <c r="G5491" s="0" t="n">
        <v>12662</v>
      </c>
      <c r="H5491" s="0" t="s">
        <v>33</v>
      </c>
      <c r="I5491" s="7" t="n">
        <f aca="false">IF(AND(LEFT(A5491,1)&lt;&gt;"C",D5491&gt;0,F5491&gt;0),1,0)</f>
        <v>1</v>
      </c>
      <c r="J5491" s="7" t="n">
        <f aca="false">IF(I5491=1,D5491*F5491,0)</f>
        <v>36</v>
      </c>
      <c r="K5491" s="7" t="n">
        <f aca="false">YEAR(E5491)*100+MONTH(E5491)</f>
        <v>201111</v>
      </c>
      <c r="L5491" s="7" t="n">
        <f aca="false">IF(AND(A5491&lt;&gt;A5490,LEFT(A5491,1)&lt;&gt;"C"),1,0)</f>
        <v>0</v>
      </c>
    </row>
    <row r="5492" customFormat="false" ht="15" hidden="false" customHeight="false" outlineLevel="0" collapsed="false">
      <c r="A5492" s="0" t="s">
        <v>3057</v>
      </c>
      <c r="B5492" s="0" t="s">
        <v>2320</v>
      </c>
      <c r="C5492" s="0" t="s">
        <v>2321</v>
      </c>
      <c r="D5492" s="0" t="n">
        <v>12</v>
      </c>
      <c r="E5492" s="6" t="n">
        <v>40863.7263888889</v>
      </c>
      <c r="F5492" s="0" t="n">
        <v>2.1</v>
      </c>
      <c r="G5492" s="0" t="n">
        <v>12662</v>
      </c>
      <c r="H5492" s="0" t="s">
        <v>33</v>
      </c>
      <c r="I5492" s="7" t="n">
        <f aca="false">IF(AND(LEFT(A5492,1)&lt;&gt;"C",D5492&gt;0,F5492&gt;0),1,0)</f>
        <v>1</v>
      </c>
      <c r="J5492" s="7" t="n">
        <f aca="false">IF(I5492=1,D5492*F5492,0)</f>
        <v>25.2</v>
      </c>
      <c r="K5492" s="7" t="n">
        <f aca="false">YEAR(E5492)*100+MONTH(E5492)</f>
        <v>201111</v>
      </c>
      <c r="L5492" s="7" t="n">
        <f aca="false">IF(AND(A5492&lt;&gt;A5491,LEFT(A5492,1)&lt;&gt;"C"),1,0)</f>
        <v>1</v>
      </c>
    </row>
    <row r="5493" customFormat="false" ht="15" hidden="false" customHeight="false" outlineLevel="0" collapsed="false">
      <c r="A5493" s="0" t="s">
        <v>3057</v>
      </c>
      <c r="B5493" s="0" t="s">
        <v>1559</v>
      </c>
      <c r="C5493" s="0" t="s">
        <v>1560</v>
      </c>
      <c r="D5493" s="0" t="n">
        <v>12</v>
      </c>
      <c r="E5493" s="6" t="n">
        <v>40863.7263888889</v>
      </c>
      <c r="F5493" s="0" t="n">
        <v>2.1</v>
      </c>
      <c r="G5493" s="0" t="n">
        <v>12662</v>
      </c>
      <c r="H5493" s="0" t="s">
        <v>33</v>
      </c>
      <c r="I5493" s="7" t="n">
        <f aca="false">IF(AND(LEFT(A5493,1)&lt;&gt;"C",D5493&gt;0,F5493&gt;0),1,0)</f>
        <v>1</v>
      </c>
      <c r="J5493" s="7" t="n">
        <f aca="false">IF(I5493=1,D5493*F5493,0)</f>
        <v>25.2</v>
      </c>
      <c r="K5493" s="7" t="n">
        <f aca="false">YEAR(E5493)*100+MONTH(E5493)</f>
        <v>201111</v>
      </c>
      <c r="L5493" s="7" t="n">
        <f aca="false">IF(AND(A5493&lt;&gt;A5492,LEFT(A5493,1)&lt;&gt;"C"),1,0)</f>
        <v>0</v>
      </c>
    </row>
    <row r="5494" customFormat="false" ht="15" hidden="false" customHeight="false" outlineLevel="0" collapsed="false">
      <c r="A5494" s="0" t="s">
        <v>3057</v>
      </c>
      <c r="B5494" s="0" t="s">
        <v>655</v>
      </c>
      <c r="C5494" s="0" t="s">
        <v>656</v>
      </c>
      <c r="D5494" s="0" t="n">
        <v>4</v>
      </c>
      <c r="E5494" s="6" t="n">
        <v>40863.7263888889</v>
      </c>
      <c r="F5494" s="0" t="n">
        <v>3.75</v>
      </c>
      <c r="G5494" s="0" t="n">
        <v>12662</v>
      </c>
      <c r="H5494" s="0" t="s">
        <v>33</v>
      </c>
      <c r="I5494" s="7" t="n">
        <f aca="false">IF(AND(LEFT(A5494,1)&lt;&gt;"C",D5494&gt;0,F5494&gt;0),1,0)</f>
        <v>1</v>
      </c>
      <c r="J5494" s="7" t="n">
        <f aca="false">IF(I5494=1,D5494*F5494,0)</f>
        <v>15</v>
      </c>
      <c r="K5494" s="7" t="n">
        <f aca="false">YEAR(E5494)*100+MONTH(E5494)</f>
        <v>201111</v>
      </c>
      <c r="L5494" s="7" t="n">
        <f aca="false">IF(AND(A5494&lt;&gt;A5493,LEFT(A5494,1)&lt;&gt;"C"),1,0)</f>
        <v>0</v>
      </c>
    </row>
    <row r="5495" customFormat="false" ht="15" hidden="false" customHeight="false" outlineLevel="0" collapsed="false">
      <c r="A5495" s="0" t="s">
        <v>3057</v>
      </c>
      <c r="B5495" s="0" t="s">
        <v>1774</v>
      </c>
      <c r="C5495" s="0" t="s">
        <v>1775</v>
      </c>
      <c r="D5495" s="0" t="n">
        <v>4</v>
      </c>
      <c r="E5495" s="6" t="n">
        <v>40863.7263888889</v>
      </c>
      <c r="F5495" s="0" t="n">
        <v>3.75</v>
      </c>
      <c r="G5495" s="0" t="n">
        <v>12662</v>
      </c>
      <c r="H5495" s="0" t="s">
        <v>33</v>
      </c>
      <c r="I5495" s="7" t="n">
        <f aca="false">IF(AND(LEFT(A5495,1)&lt;&gt;"C",D5495&gt;0,F5495&gt;0),1,0)</f>
        <v>1</v>
      </c>
      <c r="J5495" s="7" t="n">
        <f aca="false">IF(I5495=1,D5495*F5495,0)</f>
        <v>15</v>
      </c>
      <c r="K5495" s="7" t="n">
        <f aca="false">YEAR(E5495)*100+MONTH(E5495)</f>
        <v>201111</v>
      </c>
      <c r="L5495" s="7" t="n">
        <f aca="false">IF(AND(A5495&lt;&gt;A5494,LEFT(A5495,1)&lt;&gt;"C"),1,0)</f>
        <v>0</v>
      </c>
    </row>
    <row r="5496" customFormat="false" ht="15" hidden="false" customHeight="false" outlineLevel="0" collapsed="false">
      <c r="A5496" s="0" t="s">
        <v>3057</v>
      </c>
      <c r="B5496" s="0" t="s">
        <v>2124</v>
      </c>
      <c r="C5496" s="0" t="s">
        <v>2125</v>
      </c>
      <c r="D5496" s="0" t="n">
        <v>4</v>
      </c>
      <c r="E5496" s="6" t="n">
        <v>40863.7263888889</v>
      </c>
      <c r="F5496" s="0" t="n">
        <v>3.75</v>
      </c>
      <c r="G5496" s="0" t="n">
        <v>12662</v>
      </c>
      <c r="H5496" s="0" t="s">
        <v>33</v>
      </c>
      <c r="I5496" s="7" t="n">
        <f aca="false">IF(AND(LEFT(A5496,1)&lt;&gt;"C",D5496&gt;0,F5496&gt;0),1,0)</f>
        <v>1</v>
      </c>
      <c r="J5496" s="7" t="n">
        <f aca="false">IF(I5496=1,D5496*F5496,0)</f>
        <v>15</v>
      </c>
      <c r="K5496" s="7" t="n">
        <f aca="false">YEAR(E5496)*100+MONTH(E5496)</f>
        <v>201111</v>
      </c>
      <c r="L5496" s="7" t="n">
        <f aca="false">IF(AND(A5496&lt;&gt;A5495,LEFT(A5496,1)&lt;&gt;"C"),1,0)</f>
        <v>0</v>
      </c>
    </row>
    <row r="5497" customFormat="false" ht="15" hidden="false" customHeight="false" outlineLevel="0" collapsed="false">
      <c r="A5497" s="0" t="s">
        <v>3057</v>
      </c>
      <c r="B5497" s="0" t="s">
        <v>760</v>
      </c>
      <c r="C5497" s="0" t="s">
        <v>761</v>
      </c>
      <c r="D5497" s="0" t="n">
        <v>6</v>
      </c>
      <c r="E5497" s="6" t="n">
        <v>40863.7263888889</v>
      </c>
      <c r="F5497" s="0" t="n">
        <v>4.25</v>
      </c>
      <c r="G5497" s="0" t="n">
        <v>12662</v>
      </c>
      <c r="H5497" s="0" t="s">
        <v>33</v>
      </c>
      <c r="I5497" s="7" t="n">
        <f aca="false">IF(AND(LEFT(A5497,1)&lt;&gt;"C",D5497&gt;0,F5497&gt;0),1,0)</f>
        <v>1</v>
      </c>
      <c r="J5497" s="7" t="n">
        <f aca="false">IF(I5497=1,D5497*F5497,0)</f>
        <v>25.5</v>
      </c>
      <c r="K5497" s="7" t="n">
        <f aca="false">YEAR(E5497)*100+MONTH(E5497)</f>
        <v>201111</v>
      </c>
      <c r="L5497" s="7" t="n">
        <f aca="false">IF(AND(A5497&lt;&gt;A5496,LEFT(A5497,1)&lt;&gt;"C"),1,0)</f>
        <v>0</v>
      </c>
    </row>
    <row r="5498" customFormat="false" ht="15" hidden="false" customHeight="false" outlineLevel="0" collapsed="false">
      <c r="A5498" s="0" t="s">
        <v>3058</v>
      </c>
      <c r="B5498" s="0" t="s">
        <v>177</v>
      </c>
      <c r="C5498" s="0" t="s">
        <v>178</v>
      </c>
      <c r="D5498" s="0" t="n">
        <v>8</v>
      </c>
      <c r="E5498" s="6" t="n">
        <v>40864.3534722222</v>
      </c>
      <c r="F5498" s="0" t="n">
        <v>1.25</v>
      </c>
      <c r="G5498" s="0" t="n">
        <v>12481</v>
      </c>
      <c r="H5498" s="0" t="s">
        <v>33</v>
      </c>
      <c r="I5498" s="7" t="n">
        <f aca="false">IF(AND(LEFT(A5498,1)&lt;&gt;"C",D5498&gt;0,F5498&gt;0),1,0)</f>
        <v>1</v>
      </c>
      <c r="J5498" s="7" t="n">
        <f aca="false">IF(I5498=1,D5498*F5498,0)</f>
        <v>10</v>
      </c>
      <c r="K5498" s="7" t="n">
        <f aca="false">YEAR(E5498)*100+MONTH(E5498)</f>
        <v>201111</v>
      </c>
      <c r="L5498" s="7" t="n">
        <f aca="false">IF(AND(A5498&lt;&gt;A5497,LEFT(A5498,1)&lt;&gt;"C"),1,0)</f>
        <v>1</v>
      </c>
    </row>
    <row r="5499" customFormat="false" ht="15" hidden="false" customHeight="false" outlineLevel="0" collapsed="false">
      <c r="A5499" s="0" t="s">
        <v>3058</v>
      </c>
      <c r="B5499" s="0" t="s">
        <v>175</v>
      </c>
      <c r="C5499" s="0" t="s">
        <v>176</v>
      </c>
      <c r="D5499" s="0" t="n">
        <v>8</v>
      </c>
      <c r="E5499" s="6" t="n">
        <v>40864.3534722222</v>
      </c>
      <c r="F5499" s="0" t="n">
        <v>1.25</v>
      </c>
      <c r="G5499" s="0" t="n">
        <v>12481</v>
      </c>
      <c r="H5499" s="0" t="s">
        <v>33</v>
      </c>
      <c r="I5499" s="7" t="n">
        <f aca="false">IF(AND(LEFT(A5499,1)&lt;&gt;"C",D5499&gt;0,F5499&gt;0),1,0)</f>
        <v>1</v>
      </c>
      <c r="J5499" s="7" t="n">
        <f aca="false">IF(I5499=1,D5499*F5499,0)</f>
        <v>10</v>
      </c>
      <c r="K5499" s="7" t="n">
        <f aca="false">YEAR(E5499)*100+MONTH(E5499)</f>
        <v>201111</v>
      </c>
      <c r="L5499" s="7" t="n">
        <f aca="false">IF(AND(A5499&lt;&gt;A5498,LEFT(A5499,1)&lt;&gt;"C"),1,0)</f>
        <v>0</v>
      </c>
    </row>
    <row r="5500" customFormat="false" ht="15" hidden="false" customHeight="false" outlineLevel="0" collapsed="false">
      <c r="A5500" s="0" t="s">
        <v>3058</v>
      </c>
      <c r="B5500" s="0" t="s">
        <v>471</v>
      </c>
      <c r="C5500" s="0" t="s">
        <v>472</v>
      </c>
      <c r="D5500" s="0" t="n">
        <v>12</v>
      </c>
      <c r="E5500" s="6" t="n">
        <v>40864.3534722222</v>
      </c>
      <c r="F5500" s="0" t="n">
        <v>1.65</v>
      </c>
      <c r="G5500" s="0" t="n">
        <v>12481</v>
      </c>
      <c r="H5500" s="0" t="s">
        <v>33</v>
      </c>
      <c r="I5500" s="7" t="n">
        <f aca="false">IF(AND(LEFT(A5500,1)&lt;&gt;"C",D5500&gt;0,F5500&gt;0),1,0)</f>
        <v>1</v>
      </c>
      <c r="J5500" s="7" t="n">
        <f aca="false">IF(I5500=1,D5500*F5500,0)</f>
        <v>19.8</v>
      </c>
      <c r="K5500" s="7" t="n">
        <f aca="false">YEAR(E5500)*100+MONTH(E5500)</f>
        <v>201111</v>
      </c>
      <c r="L5500" s="7" t="n">
        <f aca="false">IF(AND(A5500&lt;&gt;A5499,LEFT(A5500,1)&lt;&gt;"C"),1,0)</f>
        <v>0</v>
      </c>
    </row>
    <row r="5501" customFormat="false" ht="15" hidden="false" customHeight="false" outlineLevel="0" collapsed="false">
      <c r="A5501" s="0" t="s">
        <v>3058</v>
      </c>
      <c r="B5501" s="0" t="s">
        <v>97</v>
      </c>
      <c r="C5501" s="0" t="s">
        <v>98</v>
      </c>
      <c r="D5501" s="0" t="n">
        <v>12</v>
      </c>
      <c r="E5501" s="6" t="n">
        <v>40864.3534722222</v>
      </c>
      <c r="F5501" s="0" t="n">
        <v>1.65</v>
      </c>
      <c r="G5501" s="0" t="n">
        <v>12481</v>
      </c>
      <c r="H5501" s="0" t="s">
        <v>33</v>
      </c>
      <c r="I5501" s="7" t="n">
        <f aca="false">IF(AND(LEFT(A5501,1)&lt;&gt;"C",D5501&gt;0,F5501&gt;0),1,0)</f>
        <v>1</v>
      </c>
      <c r="J5501" s="7" t="n">
        <f aca="false">IF(I5501=1,D5501*F5501,0)</f>
        <v>19.8</v>
      </c>
      <c r="K5501" s="7" t="n">
        <f aca="false">YEAR(E5501)*100+MONTH(E5501)</f>
        <v>201111</v>
      </c>
      <c r="L5501" s="7" t="n">
        <f aca="false">IF(AND(A5501&lt;&gt;A5500,LEFT(A5501,1)&lt;&gt;"C"),1,0)</f>
        <v>0</v>
      </c>
    </row>
    <row r="5502" customFormat="false" ht="15" hidden="false" customHeight="false" outlineLevel="0" collapsed="false">
      <c r="A5502" s="0" t="s">
        <v>3058</v>
      </c>
      <c r="B5502" s="0" t="s">
        <v>1541</v>
      </c>
      <c r="C5502" s="0" t="s">
        <v>1542</v>
      </c>
      <c r="D5502" s="0" t="n">
        <v>48</v>
      </c>
      <c r="E5502" s="6" t="n">
        <v>40864.3534722222</v>
      </c>
      <c r="F5502" s="0" t="n">
        <v>0.29</v>
      </c>
      <c r="G5502" s="0" t="n">
        <v>12481</v>
      </c>
      <c r="H5502" s="0" t="s">
        <v>33</v>
      </c>
      <c r="I5502" s="7" t="n">
        <f aca="false">IF(AND(LEFT(A5502,1)&lt;&gt;"C",D5502&gt;0,F5502&gt;0),1,0)</f>
        <v>1</v>
      </c>
      <c r="J5502" s="7" t="n">
        <f aca="false">IF(I5502=1,D5502*F5502,0)</f>
        <v>13.92</v>
      </c>
      <c r="K5502" s="7" t="n">
        <f aca="false">YEAR(E5502)*100+MONTH(E5502)</f>
        <v>201111</v>
      </c>
      <c r="L5502" s="7" t="n">
        <f aca="false">IF(AND(A5502&lt;&gt;A5501,LEFT(A5502,1)&lt;&gt;"C"),1,0)</f>
        <v>0</v>
      </c>
    </row>
    <row r="5503" customFormat="false" ht="15" hidden="false" customHeight="false" outlineLevel="0" collapsed="false">
      <c r="A5503" s="0" t="s">
        <v>3058</v>
      </c>
      <c r="B5503" s="0" t="s">
        <v>263</v>
      </c>
      <c r="C5503" s="0" t="s">
        <v>264</v>
      </c>
      <c r="D5503" s="0" t="n">
        <v>24</v>
      </c>
      <c r="E5503" s="6" t="n">
        <v>40864.3534722222</v>
      </c>
      <c r="F5503" s="0" t="n">
        <v>0.42</v>
      </c>
      <c r="G5503" s="0" t="n">
        <v>12481</v>
      </c>
      <c r="H5503" s="0" t="s">
        <v>33</v>
      </c>
      <c r="I5503" s="7" t="n">
        <f aca="false">IF(AND(LEFT(A5503,1)&lt;&gt;"C",D5503&gt;0,F5503&gt;0),1,0)</f>
        <v>1</v>
      </c>
      <c r="J5503" s="7" t="n">
        <f aca="false">IF(I5503=1,D5503*F5503,0)</f>
        <v>10.08</v>
      </c>
      <c r="K5503" s="7" t="n">
        <f aca="false">YEAR(E5503)*100+MONTH(E5503)</f>
        <v>201111</v>
      </c>
      <c r="L5503" s="7" t="n">
        <f aca="false">IF(AND(A5503&lt;&gt;A5502,LEFT(A5503,1)&lt;&gt;"C"),1,0)</f>
        <v>0</v>
      </c>
    </row>
    <row r="5504" customFormat="false" ht="15" hidden="false" customHeight="false" outlineLevel="0" collapsed="false">
      <c r="A5504" s="0" t="s">
        <v>3058</v>
      </c>
      <c r="B5504" s="0" t="s">
        <v>339</v>
      </c>
      <c r="C5504" s="0" t="s">
        <v>340</v>
      </c>
      <c r="D5504" s="0" t="n">
        <v>8</v>
      </c>
      <c r="E5504" s="6" t="n">
        <v>40864.3534722222</v>
      </c>
      <c r="F5504" s="0" t="n">
        <v>1.95</v>
      </c>
      <c r="G5504" s="0" t="n">
        <v>12481</v>
      </c>
      <c r="H5504" s="0" t="s">
        <v>33</v>
      </c>
      <c r="I5504" s="7" t="n">
        <f aca="false">IF(AND(LEFT(A5504,1)&lt;&gt;"C",D5504&gt;0,F5504&gt;0),1,0)</f>
        <v>1</v>
      </c>
      <c r="J5504" s="7" t="n">
        <f aca="false">IF(I5504=1,D5504*F5504,0)</f>
        <v>15.6</v>
      </c>
      <c r="K5504" s="7" t="n">
        <f aca="false">YEAR(E5504)*100+MONTH(E5504)</f>
        <v>201111</v>
      </c>
      <c r="L5504" s="7" t="n">
        <f aca="false">IF(AND(A5504&lt;&gt;A5503,LEFT(A5504,1)&lt;&gt;"C"),1,0)</f>
        <v>0</v>
      </c>
    </row>
    <row r="5505" customFormat="false" ht="15" hidden="false" customHeight="false" outlineLevel="0" collapsed="false">
      <c r="A5505" s="0" t="s">
        <v>3058</v>
      </c>
      <c r="B5505" s="0" t="s">
        <v>241</v>
      </c>
      <c r="C5505" s="0" t="s">
        <v>242</v>
      </c>
      <c r="D5505" s="0" t="n">
        <v>12</v>
      </c>
      <c r="E5505" s="6" t="n">
        <v>40864.3534722222</v>
      </c>
      <c r="F5505" s="0" t="n">
        <v>1.45</v>
      </c>
      <c r="G5505" s="0" t="n">
        <v>12481</v>
      </c>
      <c r="H5505" s="0" t="s">
        <v>33</v>
      </c>
      <c r="I5505" s="7" t="n">
        <f aca="false">IF(AND(LEFT(A5505,1)&lt;&gt;"C",D5505&gt;0,F5505&gt;0),1,0)</f>
        <v>1</v>
      </c>
      <c r="J5505" s="7" t="n">
        <f aca="false">IF(I5505=1,D5505*F5505,0)</f>
        <v>17.4</v>
      </c>
      <c r="K5505" s="7" t="n">
        <f aca="false">YEAR(E5505)*100+MONTH(E5505)</f>
        <v>201111</v>
      </c>
      <c r="L5505" s="7" t="n">
        <f aca="false">IF(AND(A5505&lt;&gt;A5504,LEFT(A5505,1)&lt;&gt;"C"),1,0)</f>
        <v>0</v>
      </c>
    </row>
    <row r="5506" customFormat="false" ht="15" hidden="false" customHeight="false" outlineLevel="0" collapsed="false">
      <c r="A5506" s="0" t="s">
        <v>3058</v>
      </c>
      <c r="B5506" s="0" t="s">
        <v>461</v>
      </c>
      <c r="C5506" s="0" t="s">
        <v>462</v>
      </c>
      <c r="D5506" s="0" t="n">
        <v>12</v>
      </c>
      <c r="E5506" s="6" t="n">
        <v>40864.3534722222</v>
      </c>
      <c r="F5506" s="0" t="n">
        <v>1.45</v>
      </c>
      <c r="G5506" s="0" t="n">
        <v>12481</v>
      </c>
      <c r="H5506" s="0" t="s">
        <v>33</v>
      </c>
      <c r="I5506" s="7" t="n">
        <f aca="false">IF(AND(LEFT(A5506,1)&lt;&gt;"C",D5506&gt;0,F5506&gt;0),1,0)</f>
        <v>1</v>
      </c>
      <c r="J5506" s="7" t="n">
        <f aca="false">IF(I5506=1,D5506*F5506,0)</f>
        <v>17.4</v>
      </c>
      <c r="K5506" s="7" t="n">
        <f aca="false">YEAR(E5506)*100+MONTH(E5506)</f>
        <v>201111</v>
      </c>
      <c r="L5506" s="7" t="n">
        <f aca="false">IF(AND(A5506&lt;&gt;A5505,LEFT(A5506,1)&lt;&gt;"C"),1,0)</f>
        <v>0</v>
      </c>
    </row>
    <row r="5507" customFormat="false" ht="15" hidden="false" customHeight="false" outlineLevel="0" collapsed="false">
      <c r="A5507" s="0" t="s">
        <v>3058</v>
      </c>
      <c r="B5507" s="0" t="s">
        <v>84</v>
      </c>
      <c r="C5507" s="0" t="s">
        <v>85</v>
      </c>
      <c r="D5507" s="0" t="n">
        <v>1</v>
      </c>
      <c r="E5507" s="6" t="n">
        <v>40864.3534722222</v>
      </c>
      <c r="F5507" s="0" t="n">
        <v>18</v>
      </c>
      <c r="G5507" s="0" t="n">
        <v>12481</v>
      </c>
      <c r="H5507" s="0" t="s">
        <v>33</v>
      </c>
      <c r="I5507" s="7" t="n">
        <f aca="false">IF(AND(LEFT(A5507,1)&lt;&gt;"C",D5507&gt;0,F5507&gt;0),1,0)</f>
        <v>1</v>
      </c>
      <c r="J5507" s="7" t="n">
        <f aca="false">IF(I5507=1,D5507*F5507,0)</f>
        <v>18</v>
      </c>
      <c r="K5507" s="7" t="n">
        <f aca="false">YEAR(E5507)*100+MONTH(E5507)</f>
        <v>201111</v>
      </c>
      <c r="L5507" s="7" t="n">
        <f aca="false">IF(AND(A5507&lt;&gt;A5506,LEFT(A5507,1)&lt;&gt;"C"),1,0)</f>
        <v>0</v>
      </c>
    </row>
    <row r="5508" customFormat="false" ht="15" hidden="false" customHeight="false" outlineLevel="0" collapsed="false">
      <c r="A5508" s="0" t="s">
        <v>3058</v>
      </c>
      <c r="B5508" s="0" t="s">
        <v>2655</v>
      </c>
      <c r="C5508" s="0" t="s">
        <v>2656</v>
      </c>
      <c r="D5508" s="0" t="n">
        <v>4</v>
      </c>
      <c r="E5508" s="6" t="n">
        <v>40864.3534722222</v>
      </c>
      <c r="F5508" s="0" t="n">
        <v>4.95</v>
      </c>
      <c r="G5508" s="0" t="n">
        <v>12481</v>
      </c>
      <c r="H5508" s="0" t="s">
        <v>33</v>
      </c>
      <c r="I5508" s="7" t="n">
        <f aca="false">IF(AND(LEFT(A5508,1)&lt;&gt;"C",D5508&gt;0,F5508&gt;0),1,0)</f>
        <v>1</v>
      </c>
      <c r="J5508" s="7" t="n">
        <f aca="false">IF(I5508=1,D5508*F5508,0)</f>
        <v>19.8</v>
      </c>
      <c r="K5508" s="7" t="n">
        <f aca="false">YEAR(E5508)*100+MONTH(E5508)</f>
        <v>201111</v>
      </c>
      <c r="L5508" s="7" t="n">
        <f aca="false">IF(AND(A5508&lt;&gt;A5507,LEFT(A5508,1)&lt;&gt;"C"),1,0)</f>
        <v>0</v>
      </c>
    </row>
    <row r="5509" customFormat="false" ht="15" hidden="false" customHeight="false" outlineLevel="0" collapsed="false">
      <c r="A5509" s="0" t="s">
        <v>3058</v>
      </c>
      <c r="B5509" s="0" t="s">
        <v>1120</v>
      </c>
      <c r="C5509" s="0" t="s">
        <v>1121</v>
      </c>
      <c r="D5509" s="0" t="n">
        <v>4</v>
      </c>
      <c r="E5509" s="6" t="n">
        <v>40864.3534722222</v>
      </c>
      <c r="F5509" s="0" t="n">
        <v>3.75</v>
      </c>
      <c r="G5509" s="0" t="n">
        <v>12481</v>
      </c>
      <c r="H5509" s="0" t="s">
        <v>33</v>
      </c>
      <c r="I5509" s="7" t="n">
        <f aca="false">IF(AND(LEFT(A5509,1)&lt;&gt;"C",D5509&gt;0,F5509&gt;0),1,0)</f>
        <v>1</v>
      </c>
      <c r="J5509" s="7" t="n">
        <f aca="false">IF(I5509=1,D5509*F5509,0)</f>
        <v>15</v>
      </c>
      <c r="K5509" s="7" t="n">
        <f aca="false">YEAR(E5509)*100+MONTH(E5509)</f>
        <v>201111</v>
      </c>
      <c r="L5509" s="7" t="n">
        <f aca="false">IF(AND(A5509&lt;&gt;A5508,LEFT(A5509,1)&lt;&gt;"C"),1,0)</f>
        <v>0</v>
      </c>
    </row>
    <row r="5510" customFormat="false" ht="15" hidden="false" customHeight="false" outlineLevel="0" collapsed="false">
      <c r="A5510" s="0" t="s">
        <v>3059</v>
      </c>
      <c r="B5510" s="0" t="s">
        <v>629</v>
      </c>
      <c r="C5510" s="0" t="s">
        <v>630</v>
      </c>
      <c r="D5510" s="0" t="n">
        <v>6</v>
      </c>
      <c r="E5510" s="6" t="n">
        <v>40864.3576388889</v>
      </c>
      <c r="F5510" s="0" t="n">
        <v>8.5</v>
      </c>
      <c r="G5510" s="0" t="n">
        <v>12681</v>
      </c>
      <c r="H5510" s="0" t="s">
        <v>43</v>
      </c>
      <c r="I5510" s="7" t="n">
        <f aca="false">IF(AND(LEFT(A5510,1)&lt;&gt;"C",D5510&gt;0,F5510&gt;0),1,0)</f>
        <v>1</v>
      </c>
      <c r="J5510" s="7" t="n">
        <f aca="false">IF(I5510=1,D5510*F5510,0)</f>
        <v>51</v>
      </c>
      <c r="K5510" s="7" t="n">
        <f aca="false">YEAR(E5510)*100+MONTH(E5510)</f>
        <v>201111</v>
      </c>
      <c r="L5510" s="7" t="n">
        <f aca="false">IF(AND(A5510&lt;&gt;A5509,LEFT(A5510,1)&lt;&gt;"C"),1,0)</f>
        <v>1</v>
      </c>
    </row>
    <row r="5511" customFormat="false" ht="15" hidden="false" customHeight="false" outlineLevel="0" collapsed="false">
      <c r="A5511" s="0" t="s">
        <v>3059</v>
      </c>
      <c r="B5511" s="0" t="s">
        <v>2124</v>
      </c>
      <c r="C5511" s="0" t="s">
        <v>2125</v>
      </c>
      <c r="D5511" s="0" t="n">
        <v>4</v>
      </c>
      <c r="E5511" s="6" t="n">
        <v>40864.3576388889</v>
      </c>
      <c r="F5511" s="0" t="n">
        <v>3.75</v>
      </c>
      <c r="G5511" s="0" t="n">
        <v>12681</v>
      </c>
      <c r="H5511" s="0" t="s">
        <v>43</v>
      </c>
      <c r="I5511" s="7" t="n">
        <f aca="false">IF(AND(LEFT(A5511,1)&lt;&gt;"C",D5511&gt;0,F5511&gt;0),1,0)</f>
        <v>1</v>
      </c>
      <c r="J5511" s="7" t="n">
        <f aca="false">IF(I5511=1,D5511*F5511,0)</f>
        <v>15</v>
      </c>
      <c r="K5511" s="7" t="n">
        <f aca="false">YEAR(E5511)*100+MONTH(E5511)</f>
        <v>201111</v>
      </c>
      <c r="L5511" s="7" t="n">
        <f aca="false">IF(AND(A5511&lt;&gt;A5510,LEFT(A5511,1)&lt;&gt;"C"),1,0)</f>
        <v>0</v>
      </c>
    </row>
    <row r="5512" customFormat="false" ht="15" hidden="false" customHeight="false" outlineLevel="0" collapsed="false">
      <c r="A5512" s="0" t="s">
        <v>3059</v>
      </c>
      <c r="B5512" s="0" t="s">
        <v>1774</v>
      </c>
      <c r="C5512" s="0" t="s">
        <v>1775</v>
      </c>
      <c r="D5512" s="0" t="n">
        <v>4</v>
      </c>
      <c r="E5512" s="6" t="n">
        <v>40864.3576388889</v>
      </c>
      <c r="F5512" s="0" t="n">
        <v>3.75</v>
      </c>
      <c r="G5512" s="0" t="n">
        <v>12681</v>
      </c>
      <c r="H5512" s="0" t="s">
        <v>43</v>
      </c>
      <c r="I5512" s="7" t="n">
        <f aca="false">IF(AND(LEFT(A5512,1)&lt;&gt;"C",D5512&gt;0,F5512&gt;0),1,0)</f>
        <v>1</v>
      </c>
      <c r="J5512" s="7" t="n">
        <f aca="false">IF(I5512=1,D5512*F5512,0)</f>
        <v>15</v>
      </c>
      <c r="K5512" s="7" t="n">
        <f aca="false">YEAR(E5512)*100+MONTH(E5512)</f>
        <v>201111</v>
      </c>
      <c r="L5512" s="7" t="n">
        <f aca="false">IF(AND(A5512&lt;&gt;A5511,LEFT(A5512,1)&lt;&gt;"C"),1,0)</f>
        <v>0</v>
      </c>
    </row>
    <row r="5513" customFormat="false" ht="15" hidden="false" customHeight="false" outlineLevel="0" collapsed="false">
      <c r="A5513" s="0" t="s">
        <v>3059</v>
      </c>
      <c r="B5513" s="0" t="s">
        <v>527</v>
      </c>
      <c r="C5513" s="0" t="s">
        <v>528</v>
      </c>
      <c r="D5513" s="0" t="n">
        <v>6</v>
      </c>
      <c r="E5513" s="6" t="n">
        <v>40864.3576388889</v>
      </c>
      <c r="F5513" s="0" t="n">
        <v>2.95</v>
      </c>
      <c r="G5513" s="0" t="n">
        <v>12681</v>
      </c>
      <c r="H5513" s="0" t="s">
        <v>43</v>
      </c>
      <c r="I5513" s="7" t="n">
        <f aca="false">IF(AND(LEFT(A5513,1)&lt;&gt;"C",D5513&gt;0,F5513&gt;0),1,0)</f>
        <v>1</v>
      </c>
      <c r="J5513" s="7" t="n">
        <f aca="false">IF(I5513=1,D5513*F5513,0)</f>
        <v>17.7</v>
      </c>
      <c r="K5513" s="7" t="n">
        <f aca="false">YEAR(E5513)*100+MONTH(E5513)</f>
        <v>201111</v>
      </c>
      <c r="L5513" s="7" t="n">
        <f aca="false">IF(AND(A5513&lt;&gt;A5512,LEFT(A5513,1)&lt;&gt;"C"),1,0)</f>
        <v>0</v>
      </c>
    </row>
    <row r="5514" customFormat="false" ht="15" hidden="false" customHeight="false" outlineLevel="0" collapsed="false">
      <c r="A5514" s="0" t="s">
        <v>3059</v>
      </c>
      <c r="B5514" s="0" t="s">
        <v>1994</v>
      </c>
      <c r="C5514" s="0" t="s">
        <v>1995</v>
      </c>
      <c r="D5514" s="0" t="n">
        <v>3</v>
      </c>
      <c r="E5514" s="6" t="n">
        <v>40864.3576388889</v>
      </c>
      <c r="F5514" s="0" t="n">
        <v>5.95</v>
      </c>
      <c r="G5514" s="0" t="n">
        <v>12681</v>
      </c>
      <c r="H5514" s="0" t="s">
        <v>43</v>
      </c>
      <c r="I5514" s="7" t="n">
        <f aca="false">IF(AND(LEFT(A5514,1)&lt;&gt;"C",D5514&gt;0,F5514&gt;0),1,0)</f>
        <v>1</v>
      </c>
      <c r="J5514" s="7" t="n">
        <f aca="false">IF(I5514=1,D5514*F5514,0)</f>
        <v>17.85</v>
      </c>
      <c r="K5514" s="7" t="n">
        <f aca="false">YEAR(E5514)*100+MONTH(E5514)</f>
        <v>201111</v>
      </c>
      <c r="L5514" s="7" t="n">
        <f aca="false">IF(AND(A5514&lt;&gt;A5513,LEFT(A5514,1)&lt;&gt;"C"),1,0)</f>
        <v>0</v>
      </c>
    </row>
    <row r="5515" customFormat="false" ht="15" hidden="false" customHeight="false" outlineLevel="0" collapsed="false">
      <c r="A5515" s="0" t="s">
        <v>3059</v>
      </c>
      <c r="B5515" s="0" t="s">
        <v>679</v>
      </c>
      <c r="C5515" s="0" t="s">
        <v>680</v>
      </c>
      <c r="D5515" s="0" t="n">
        <v>6</v>
      </c>
      <c r="E5515" s="6" t="n">
        <v>40864.3576388889</v>
      </c>
      <c r="F5515" s="0" t="n">
        <v>2.1</v>
      </c>
      <c r="G5515" s="0" t="n">
        <v>12681</v>
      </c>
      <c r="H5515" s="0" t="s">
        <v>43</v>
      </c>
      <c r="I5515" s="7" t="n">
        <f aca="false">IF(AND(LEFT(A5515,1)&lt;&gt;"C",D5515&gt;0,F5515&gt;0),1,0)</f>
        <v>1</v>
      </c>
      <c r="J5515" s="7" t="n">
        <f aca="false">IF(I5515=1,D5515*F5515,0)</f>
        <v>12.6</v>
      </c>
      <c r="K5515" s="7" t="n">
        <f aca="false">YEAR(E5515)*100+MONTH(E5515)</f>
        <v>201111</v>
      </c>
      <c r="L5515" s="7" t="n">
        <f aca="false">IF(AND(A5515&lt;&gt;A5514,LEFT(A5515,1)&lt;&gt;"C"),1,0)</f>
        <v>0</v>
      </c>
    </row>
    <row r="5516" customFormat="false" ht="15" hidden="false" customHeight="false" outlineLevel="0" collapsed="false">
      <c r="A5516" s="0" t="s">
        <v>3059</v>
      </c>
      <c r="B5516" s="0" t="s">
        <v>1438</v>
      </c>
      <c r="C5516" s="0" t="s">
        <v>1439</v>
      </c>
      <c r="D5516" s="0" t="n">
        <v>6</v>
      </c>
      <c r="E5516" s="6" t="n">
        <v>40864.3576388889</v>
      </c>
      <c r="F5516" s="0" t="n">
        <v>2.1</v>
      </c>
      <c r="G5516" s="0" t="n">
        <v>12681</v>
      </c>
      <c r="H5516" s="0" t="s">
        <v>43</v>
      </c>
      <c r="I5516" s="7" t="n">
        <f aca="false">IF(AND(LEFT(A5516,1)&lt;&gt;"C",D5516&gt;0,F5516&gt;0),1,0)</f>
        <v>1</v>
      </c>
      <c r="J5516" s="7" t="n">
        <f aca="false">IF(I5516=1,D5516*F5516,0)</f>
        <v>12.6</v>
      </c>
      <c r="K5516" s="7" t="n">
        <f aca="false">YEAR(E5516)*100+MONTH(E5516)</f>
        <v>201111</v>
      </c>
      <c r="L5516" s="7" t="n">
        <f aca="false">IF(AND(A5516&lt;&gt;A5515,LEFT(A5516,1)&lt;&gt;"C"),1,0)</f>
        <v>0</v>
      </c>
    </row>
    <row r="5517" customFormat="false" ht="15" hidden="false" customHeight="false" outlineLevel="0" collapsed="false">
      <c r="A5517" s="0" t="s">
        <v>3059</v>
      </c>
      <c r="B5517" s="0" t="s">
        <v>1440</v>
      </c>
      <c r="C5517" s="0" t="s">
        <v>1441</v>
      </c>
      <c r="D5517" s="0" t="n">
        <v>6</v>
      </c>
      <c r="E5517" s="6" t="n">
        <v>40864.3576388889</v>
      </c>
      <c r="F5517" s="0" t="n">
        <v>2.1</v>
      </c>
      <c r="G5517" s="0" t="n">
        <v>12681</v>
      </c>
      <c r="H5517" s="0" t="s">
        <v>43</v>
      </c>
      <c r="I5517" s="7" t="n">
        <f aca="false">IF(AND(LEFT(A5517,1)&lt;&gt;"C",D5517&gt;0,F5517&gt;0),1,0)</f>
        <v>1</v>
      </c>
      <c r="J5517" s="7" t="n">
        <f aca="false">IF(I5517=1,D5517*F5517,0)</f>
        <v>12.6</v>
      </c>
      <c r="K5517" s="7" t="n">
        <f aca="false">YEAR(E5517)*100+MONTH(E5517)</f>
        <v>201111</v>
      </c>
      <c r="L5517" s="7" t="n">
        <f aca="false">IF(AND(A5517&lt;&gt;A5516,LEFT(A5517,1)&lt;&gt;"C"),1,0)</f>
        <v>0</v>
      </c>
    </row>
    <row r="5518" customFormat="false" ht="15" hidden="false" customHeight="false" outlineLevel="0" collapsed="false">
      <c r="A5518" s="0" t="s">
        <v>3059</v>
      </c>
      <c r="B5518" s="0" t="s">
        <v>677</v>
      </c>
      <c r="C5518" s="0" t="s">
        <v>678</v>
      </c>
      <c r="D5518" s="0" t="n">
        <v>6</v>
      </c>
      <c r="E5518" s="6" t="n">
        <v>40864.3576388889</v>
      </c>
      <c r="F5518" s="0" t="n">
        <v>2.1</v>
      </c>
      <c r="G5518" s="0" t="n">
        <v>12681</v>
      </c>
      <c r="H5518" s="0" t="s">
        <v>43</v>
      </c>
      <c r="I5518" s="7" t="n">
        <f aca="false">IF(AND(LEFT(A5518,1)&lt;&gt;"C",D5518&gt;0,F5518&gt;0),1,0)</f>
        <v>1</v>
      </c>
      <c r="J5518" s="7" t="n">
        <f aca="false">IF(I5518=1,D5518*F5518,0)</f>
        <v>12.6</v>
      </c>
      <c r="K5518" s="7" t="n">
        <f aca="false">YEAR(E5518)*100+MONTH(E5518)</f>
        <v>201111</v>
      </c>
      <c r="L5518" s="7" t="n">
        <f aca="false">IF(AND(A5518&lt;&gt;A5517,LEFT(A5518,1)&lt;&gt;"C"),1,0)</f>
        <v>0</v>
      </c>
    </row>
    <row r="5519" customFormat="false" ht="15" hidden="false" customHeight="false" outlineLevel="0" collapsed="false">
      <c r="A5519" s="0" t="s">
        <v>3059</v>
      </c>
      <c r="B5519" s="0" t="s">
        <v>711</v>
      </c>
      <c r="C5519" s="0" t="s">
        <v>712</v>
      </c>
      <c r="D5519" s="0" t="n">
        <v>12</v>
      </c>
      <c r="E5519" s="6" t="n">
        <v>40864.3576388889</v>
      </c>
      <c r="F5519" s="0" t="n">
        <v>1.45</v>
      </c>
      <c r="G5519" s="0" t="n">
        <v>12681</v>
      </c>
      <c r="H5519" s="0" t="s">
        <v>43</v>
      </c>
      <c r="I5519" s="7" t="n">
        <f aca="false">IF(AND(LEFT(A5519,1)&lt;&gt;"C",D5519&gt;0,F5519&gt;0),1,0)</f>
        <v>1</v>
      </c>
      <c r="J5519" s="7" t="n">
        <f aca="false">IF(I5519=1,D5519*F5519,0)</f>
        <v>17.4</v>
      </c>
      <c r="K5519" s="7" t="n">
        <f aca="false">YEAR(E5519)*100+MONTH(E5519)</f>
        <v>201111</v>
      </c>
      <c r="L5519" s="7" t="n">
        <f aca="false">IF(AND(A5519&lt;&gt;A5518,LEFT(A5519,1)&lt;&gt;"C"),1,0)</f>
        <v>0</v>
      </c>
    </row>
    <row r="5520" customFormat="false" ht="15" hidden="false" customHeight="false" outlineLevel="0" collapsed="false">
      <c r="A5520" s="0" t="s">
        <v>3059</v>
      </c>
      <c r="B5520" s="0" t="s">
        <v>647</v>
      </c>
      <c r="C5520" s="0" t="s">
        <v>648</v>
      </c>
      <c r="D5520" s="0" t="n">
        <v>4</v>
      </c>
      <c r="E5520" s="6" t="n">
        <v>40864.3576388889</v>
      </c>
      <c r="F5520" s="0" t="n">
        <v>4.25</v>
      </c>
      <c r="G5520" s="0" t="n">
        <v>12681</v>
      </c>
      <c r="H5520" s="0" t="s">
        <v>43</v>
      </c>
      <c r="I5520" s="7" t="n">
        <f aca="false">IF(AND(LEFT(A5520,1)&lt;&gt;"C",D5520&gt;0,F5520&gt;0),1,0)</f>
        <v>1</v>
      </c>
      <c r="J5520" s="7" t="n">
        <f aca="false">IF(I5520=1,D5520*F5520,0)</f>
        <v>17</v>
      </c>
      <c r="K5520" s="7" t="n">
        <f aca="false">YEAR(E5520)*100+MONTH(E5520)</f>
        <v>201111</v>
      </c>
      <c r="L5520" s="7" t="n">
        <f aca="false">IF(AND(A5520&lt;&gt;A5519,LEFT(A5520,1)&lt;&gt;"C"),1,0)</f>
        <v>0</v>
      </c>
    </row>
    <row r="5521" customFormat="false" ht="15" hidden="false" customHeight="false" outlineLevel="0" collapsed="false">
      <c r="A5521" s="0" t="s">
        <v>3059</v>
      </c>
      <c r="B5521" s="0" t="s">
        <v>2240</v>
      </c>
      <c r="C5521" s="0" t="s">
        <v>2241</v>
      </c>
      <c r="D5521" s="0" t="n">
        <v>3</v>
      </c>
      <c r="E5521" s="6" t="n">
        <v>40864.3576388889</v>
      </c>
      <c r="F5521" s="0" t="n">
        <v>4.95</v>
      </c>
      <c r="G5521" s="0" t="n">
        <v>12681</v>
      </c>
      <c r="H5521" s="0" t="s">
        <v>43</v>
      </c>
      <c r="I5521" s="7" t="n">
        <f aca="false">IF(AND(LEFT(A5521,1)&lt;&gt;"C",D5521&gt;0,F5521&gt;0),1,0)</f>
        <v>1</v>
      </c>
      <c r="J5521" s="7" t="n">
        <f aca="false">IF(I5521=1,D5521*F5521,0)</f>
        <v>14.85</v>
      </c>
      <c r="K5521" s="7" t="n">
        <f aca="false">YEAR(E5521)*100+MONTH(E5521)</f>
        <v>201111</v>
      </c>
      <c r="L5521" s="7" t="n">
        <f aca="false">IF(AND(A5521&lt;&gt;A5520,LEFT(A5521,1)&lt;&gt;"C"),1,0)</f>
        <v>0</v>
      </c>
    </row>
    <row r="5522" customFormat="false" ht="15" hidden="false" customHeight="false" outlineLevel="0" collapsed="false">
      <c r="A5522" s="0" t="s">
        <v>3059</v>
      </c>
      <c r="B5522" s="0" t="s">
        <v>189</v>
      </c>
      <c r="C5522" s="0" t="s">
        <v>190</v>
      </c>
      <c r="D5522" s="0" t="n">
        <v>6</v>
      </c>
      <c r="E5522" s="6" t="n">
        <v>40864.3576388889</v>
      </c>
      <c r="F5522" s="0" t="n">
        <v>2.95</v>
      </c>
      <c r="G5522" s="0" t="n">
        <v>12681</v>
      </c>
      <c r="H5522" s="0" t="s">
        <v>43</v>
      </c>
      <c r="I5522" s="7" t="n">
        <f aca="false">IF(AND(LEFT(A5522,1)&lt;&gt;"C",D5522&gt;0,F5522&gt;0),1,0)</f>
        <v>1</v>
      </c>
      <c r="J5522" s="7" t="n">
        <f aca="false">IF(I5522=1,D5522*F5522,0)</f>
        <v>17.7</v>
      </c>
      <c r="K5522" s="7" t="n">
        <f aca="false">YEAR(E5522)*100+MONTH(E5522)</f>
        <v>201111</v>
      </c>
      <c r="L5522" s="7" t="n">
        <f aca="false">IF(AND(A5522&lt;&gt;A5521,LEFT(A5522,1)&lt;&gt;"C"),1,0)</f>
        <v>0</v>
      </c>
    </row>
    <row r="5523" customFormat="false" ht="15" hidden="false" customHeight="false" outlineLevel="0" collapsed="false">
      <c r="A5523" s="0" t="s">
        <v>3059</v>
      </c>
      <c r="B5523" s="0" t="s">
        <v>2158</v>
      </c>
      <c r="C5523" s="0" t="s">
        <v>2159</v>
      </c>
      <c r="D5523" s="0" t="n">
        <v>12</v>
      </c>
      <c r="E5523" s="6" t="n">
        <v>40864.3576388889</v>
      </c>
      <c r="F5523" s="0" t="n">
        <v>1.25</v>
      </c>
      <c r="G5523" s="0" t="n">
        <v>12681</v>
      </c>
      <c r="H5523" s="0" t="s">
        <v>43</v>
      </c>
      <c r="I5523" s="7" t="n">
        <f aca="false">IF(AND(LEFT(A5523,1)&lt;&gt;"C",D5523&gt;0,F5523&gt;0),1,0)</f>
        <v>1</v>
      </c>
      <c r="J5523" s="7" t="n">
        <f aca="false">IF(I5523=1,D5523*F5523,0)</f>
        <v>15</v>
      </c>
      <c r="K5523" s="7" t="n">
        <f aca="false">YEAR(E5523)*100+MONTH(E5523)</f>
        <v>201111</v>
      </c>
      <c r="L5523" s="7" t="n">
        <f aca="false">IF(AND(A5523&lt;&gt;A5522,LEFT(A5523,1)&lt;&gt;"C"),1,0)</f>
        <v>0</v>
      </c>
    </row>
    <row r="5524" customFormat="false" ht="15" hidden="false" customHeight="false" outlineLevel="0" collapsed="false">
      <c r="A5524" s="0" t="s">
        <v>3059</v>
      </c>
      <c r="B5524" s="0" t="s">
        <v>1951</v>
      </c>
      <c r="C5524" s="0" t="s">
        <v>1952</v>
      </c>
      <c r="D5524" s="0" t="n">
        <v>24</v>
      </c>
      <c r="E5524" s="6" t="n">
        <v>40864.3576388889</v>
      </c>
      <c r="F5524" s="0" t="n">
        <v>0.29</v>
      </c>
      <c r="G5524" s="0" t="n">
        <v>12681</v>
      </c>
      <c r="H5524" s="0" t="s">
        <v>43</v>
      </c>
      <c r="I5524" s="7" t="n">
        <f aca="false">IF(AND(LEFT(A5524,1)&lt;&gt;"C",D5524&gt;0,F5524&gt;0),1,0)</f>
        <v>1</v>
      </c>
      <c r="J5524" s="7" t="n">
        <f aca="false">IF(I5524=1,D5524*F5524,0)</f>
        <v>6.96</v>
      </c>
      <c r="K5524" s="7" t="n">
        <f aca="false">YEAR(E5524)*100+MONTH(E5524)</f>
        <v>201111</v>
      </c>
      <c r="L5524" s="7" t="n">
        <f aca="false">IF(AND(A5524&lt;&gt;A5523,LEFT(A5524,1)&lt;&gt;"C"),1,0)</f>
        <v>0</v>
      </c>
    </row>
    <row r="5525" customFormat="false" ht="15" hidden="false" customHeight="false" outlineLevel="0" collapsed="false">
      <c r="A5525" s="0" t="s">
        <v>3059</v>
      </c>
      <c r="B5525" s="0" t="s">
        <v>84</v>
      </c>
      <c r="C5525" s="0" t="s">
        <v>85</v>
      </c>
      <c r="D5525" s="0" t="n">
        <v>2</v>
      </c>
      <c r="E5525" s="6" t="n">
        <v>40864.3576388889</v>
      </c>
      <c r="F5525" s="0" t="n">
        <v>18</v>
      </c>
      <c r="G5525" s="0" t="n">
        <v>12681</v>
      </c>
      <c r="H5525" s="0" t="s">
        <v>43</v>
      </c>
      <c r="I5525" s="7" t="n">
        <f aca="false">IF(AND(LEFT(A5525,1)&lt;&gt;"C",D5525&gt;0,F5525&gt;0),1,0)</f>
        <v>1</v>
      </c>
      <c r="J5525" s="7" t="n">
        <f aca="false">IF(I5525=1,D5525*F5525,0)</f>
        <v>36</v>
      </c>
      <c r="K5525" s="7" t="n">
        <f aca="false">YEAR(E5525)*100+MONTH(E5525)</f>
        <v>201111</v>
      </c>
      <c r="L5525" s="7" t="n">
        <f aca="false">IF(AND(A5525&lt;&gt;A5524,LEFT(A5525,1)&lt;&gt;"C"),1,0)</f>
        <v>0</v>
      </c>
    </row>
    <row r="5526" customFormat="false" ht="15" hidden="false" customHeight="false" outlineLevel="0" collapsed="false">
      <c r="A5526" s="0" t="s">
        <v>3060</v>
      </c>
      <c r="B5526" s="0" t="s">
        <v>2556</v>
      </c>
      <c r="C5526" s="0" t="s">
        <v>2557</v>
      </c>
      <c r="D5526" s="0" t="n">
        <v>-1</v>
      </c>
      <c r="E5526" s="6" t="n">
        <v>40864.3854166667</v>
      </c>
      <c r="F5526" s="0" t="n">
        <v>25</v>
      </c>
      <c r="G5526" s="0" t="n">
        <v>12712</v>
      </c>
      <c r="H5526" s="0" t="s">
        <v>33</v>
      </c>
      <c r="I5526" s="7" t="n">
        <f aca="false">IF(AND(LEFT(A5526,1)&lt;&gt;"C",D5526&gt;0,F5526&gt;0),1,0)</f>
        <v>0</v>
      </c>
      <c r="J5526" s="7" t="n">
        <f aca="false">IF(I5526=1,D5526*F5526,0)</f>
        <v>0</v>
      </c>
      <c r="K5526" s="7" t="n">
        <f aca="false">YEAR(E5526)*100+MONTH(E5526)</f>
        <v>201111</v>
      </c>
      <c r="L5526" s="7" t="n">
        <f aca="false">IF(AND(A5526&lt;&gt;A5525,LEFT(A5526,1)&lt;&gt;"C"),1,0)</f>
        <v>0</v>
      </c>
    </row>
    <row r="5527" customFormat="false" ht="15" hidden="false" customHeight="false" outlineLevel="0" collapsed="false">
      <c r="A5527" s="0" t="s">
        <v>3061</v>
      </c>
      <c r="B5527" s="0" t="s">
        <v>333</v>
      </c>
      <c r="C5527" s="0" t="s">
        <v>334</v>
      </c>
      <c r="D5527" s="0" t="n">
        <v>-1</v>
      </c>
      <c r="E5527" s="6" t="n">
        <v>40864.4020833333</v>
      </c>
      <c r="F5527" s="0" t="n">
        <v>1.65</v>
      </c>
      <c r="G5527" s="0" t="n">
        <v>12670</v>
      </c>
      <c r="H5527" s="0" t="s">
        <v>43</v>
      </c>
      <c r="I5527" s="7" t="n">
        <f aca="false">IF(AND(LEFT(A5527,1)&lt;&gt;"C",D5527&gt;0,F5527&gt;0),1,0)</f>
        <v>0</v>
      </c>
      <c r="J5527" s="7" t="n">
        <f aca="false">IF(I5527=1,D5527*F5527,0)</f>
        <v>0</v>
      </c>
      <c r="K5527" s="7" t="n">
        <f aca="false">YEAR(E5527)*100+MONTH(E5527)</f>
        <v>201111</v>
      </c>
      <c r="L5527" s="7" t="n">
        <f aca="false">IF(AND(A5527&lt;&gt;A5526,LEFT(A5527,1)&lt;&gt;"C"),1,0)</f>
        <v>0</v>
      </c>
    </row>
    <row r="5528" customFormat="false" ht="15" hidden="false" customHeight="false" outlineLevel="0" collapsed="false">
      <c r="A5528" s="0" t="s">
        <v>3061</v>
      </c>
      <c r="B5528" s="0" t="s">
        <v>471</v>
      </c>
      <c r="C5528" s="0" t="s">
        <v>472</v>
      </c>
      <c r="D5528" s="0" t="n">
        <v>-5</v>
      </c>
      <c r="E5528" s="6" t="n">
        <v>40864.4020833333</v>
      </c>
      <c r="F5528" s="0" t="n">
        <v>1.65</v>
      </c>
      <c r="G5528" s="0" t="n">
        <v>12670</v>
      </c>
      <c r="H5528" s="0" t="s">
        <v>43</v>
      </c>
      <c r="I5528" s="7" t="n">
        <f aca="false">IF(AND(LEFT(A5528,1)&lt;&gt;"C",D5528&gt;0,F5528&gt;0),1,0)</f>
        <v>0</v>
      </c>
      <c r="J5528" s="7" t="n">
        <f aca="false">IF(I5528=1,D5528*F5528,0)</f>
        <v>0</v>
      </c>
      <c r="K5528" s="7" t="n">
        <f aca="false">YEAR(E5528)*100+MONTH(E5528)</f>
        <v>201111</v>
      </c>
      <c r="L5528" s="7" t="n">
        <f aca="false">IF(AND(A5528&lt;&gt;A5527,LEFT(A5528,1)&lt;&gt;"C"),1,0)</f>
        <v>0</v>
      </c>
    </row>
    <row r="5529" customFormat="false" ht="15" hidden="false" customHeight="false" outlineLevel="0" collapsed="false">
      <c r="A5529" s="0" t="s">
        <v>3062</v>
      </c>
      <c r="B5529" s="0" t="s">
        <v>2439</v>
      </c>
      <c r="C5529" s="0" t="s">
        <v>2440</v>
      </c>
      <c r="D5529" s="0" t="n">
        <v>6</v>
      </c>
      <c r="E5529" s="6" t="n">
        <v>40864.4090277778</v>
      </c>
      <c r="F5529" s="0" t="n">
        <v>3.75</v>
      </c>
      <c r="G5529" s="0" t="n">
        <v>12471</v>
      </c>
      <c r="H5529" s="0" t="s">
        <v>33</v>
      </c>
      <c r="I5529" s="7" t="n">
        <f aca="false">IF(AND(LEFT(A5529,1)&lt;&gt;"C",D5529&gt;0,F5529&gt;0),1,0)</f>
        <v>1</v>
      </c>
      <c r="J5529" s="7" t="n">
        <f aca="false">IF(I5529=1,D5529*F5529,0)</f>
        <v>22.5</v>
      </c>
      <c r="K5529" s="7" t="n">
        <f aca="false">YEAR(E5529)*100+MONTH(E5529)</f>
        <v>201111</v>
      </c>
      <c r="L5529" s="7" t="n">
        <f aca="false">IF(AND(A5529&lt;&gt;A5528,LEFT(A5529,1)&lt;&gt;"C"),1,0)</f>
        <v>1</v>
      </c>
    </row>
    <row r="5530" customFormat="false" ht="15" hidden="false" customHeight="false" outlineLevel="0" collapsed="false">
      <c r="A5530" s="0" t="s">
        <v>3062</v>
      </c>
      <c r="B5530" s="0" t="s">
        <v>2573</v>
      </c>
      <c r="C5530" s="0" t="s">
        <v>2574</v>
      </c>
      <c r="D5530" s="0" t="n">
        <v>4</v>
      </c>
      <c r="E5530" s="6" t="n">
        <v>40864.4090277778</v>
      </c>
      <c r="F5530" s="0" t="n">
        <v>3.75</v>
      </c>
      <c r="G5530" s="0" t="n">
        <v>12471</v>
      </c>
      <c r="H5530" s="0" t="s">
        <v>33</v>
      </c>
      <c r="I5530" s="7" t="n">
        <f aca="false">IF(AND(LEFT(A5530,1)&lt;&gt;"C",D5530&gt;0,F5530&gt;0),1,0)</f>
        <v>1</v>
      </c>
      <c r="J5530" s="7" t="n">
        <f aca="false">IF(I5530=1,D5530*F5530,0)</f>
        <v>15</v>
      </c>
      <c r="K5530" s="7" t="n">
        <f aca="false">YEAR(E5530)*100+MONTH(E5530)</f>
        <v>201111</v>
      </c>
      <c r="L5530" s="7" t="n">
        <f aca="false">IF(AND(A5530&lt;&gt;A5529,LEFT(A5530,1)&lt;&gt;"C"),1,0)</f>
        <v>0</v>
      </c>
    </row>
    <row r="5531" customFormat="false" ht="15" hidden="false" customHeight="false" outlineLevel="0" collapsed="false">
      <c r="A5531" s="0" t="s">
        <v>3062</v>
      </c>
      <c r="B5531" s="0" t="s">
        <v>2655</v>
      </c>
      <c r="C5531" s="0" t="s">
        <v>2656</v>
      </c>
      <c r="D5531" s="0" t="n">
        <v>4</v>
      </c>
      <c r="E5531" s="6" t="n">
        <v>40864.4090277778</v>
      </c>
      <c r="F5531" s="0" t="n">
        <v>4.95</v>
      </c>
      <c r="G5531" s="0" t="n">
        <v>12471</v>
      </c>
      <c r="H5531" s="0" t="s">
        <v>33</v>
      </c>
      <c r="I5531" s="7" t="n">
        <f aca="false">IF(AND(LEFT(A5531,1)&lt;&gt;"C",D5531&gt;0,F5531&gt;0),1,0)</f>
        <v>1</v>
      </c>
      <c r="J5531" s="7" t="n">
        <f aca="false">IF(I5531=1,D5531*F5531,0)</f>
        <v>19.8</v>
      </c>
      <c r="K5531" s="7" t="n">
        <f aca="false">YEAR(E5531)*100+MONTH(E5531)</f>
        <v>201111</v>
      </c>
      <c r="L5531" s="7" t="n">
        <f aca="false">IF(AND(A5531&lt;&gt;A5530,LEFT(A5531,1)&lt;&gt;"C"),1,0)</f>
        <v>0</v>
      </c>
    </row>
    <row r="5532" customFormat="false" ht="15" hidden="false" customHeight="false" outlineLevel="0" collapsed="false">
      <c r="A5532" s="0" t="s">
        <v>3062</v>
      </c>
      <c r="B5532" s="0" t="s">
        <v>136</v>
      </c>
      <c r="C5532" s="0" t="s">
        <v>137</v>
      </c>
      <c r="D5532" s="0" t="n">
        <v>64</v>
      </c>
      <c r="E5532" s="6" t="n">
        <v>40864.4090277778</v>
      </c>
      <c r="F5532" s="0" t="n">
        <v>4.15</v>
      </c>
      <c r="G5532" s="0" t="n">
        <v>12471</v>
      </c>
      <c r="H5532" s="0" t="s">
        <v>33</v>
      </c>
      <c r="I5532" s="7" t="n">
        <f aca="false">IF(AND(LEFT(A5532,1)&lt;&gt;"C",D5532&gt;0,F5532&gt;0),1,0)</f>
        <v>1</v>
      </c>
      <c r="J5532" s="7" t="n">
        <f aca="false">IF(I5532=1,D5532*F5532,0)</f>
        <v>265.6</v>
      </c>
      <c r="K5532" s="7" t="n">
        <f aca="false">YEAR(E5532)*100+MONTH(E5532)</f>
        <v>201111</v>
      </c>
      <c r="L5532" s="7" t="n">
        <f aca="false">IF(AND(A5532&lt;&gt;A5531,LEFT(A5532,1)&lt;&gt;"C"),1,0)</f>
        <v>0</v>
      </c>
    </row>
    <row r="5533" customFormat="false" ht="15" hidden="false" customHeight="false" outlineLevel="0" collapsed="false">
      <c r="A5533" s="0" t="s">
        <v>3062</v>
      </c>
      <c r="B5533" s="0" t="s">
        <v>583</v>
      </c>
      <c r="C5533" s="0" t="s">
        <v>584</v>
      </c>
      <c r="D5533" s="0" t="n">
        <v>24</v>
      </c>
      <c r="E5533" s="6" t="n">
        <v>40864.4090277778</v>
      </c>
      <c r="F5533" s="0" t="n">
        <v>1.45</v>
      </c>
      <c r="G5533" s="0" t="n">
        <v>12471</v>
      </c>
      <c r="H5533" s="0" t="s">
        <v>33</v>
      </c>
      <c r="I5533" s="7" t="n">
        <f aca="false">IF(AND(LEFT(A5533,1)&lt;&gt;"C",D5533&gt;0,F5533&gt;0),1,0)</f>
        <v>1</v>
      </c>
      <c r="J5533" s="7" t="n">
        <f aca="false">IF(I5533=1,D5533*F5533,0)</f>
        <v>34.8</v>
      </c>
      <c r="K5533" s="7" t="n">
        <f aca="false">YEAR(E5533)*100+MONTH(E5533)</f>
        <v>201111</v>
      </c>
      <c r="L5533" s="7" t="n">
        <f aca="false">IF(AND(A5533&lt;&gt;A5532,LEFT(A5533,1)&lt;&gt;"C"),1,0)</f>
        <v>0</v>
      </c>
    </row>
    <row r="5534" customFormat="false" ht="15" hidden="false" customHeight="false" outlineLevel="0" collapsed="false">
      <c r="A5534" s="0" t="s">
        <v>3062</v>
      </c>
      <c r="B5534" s="0" t="s">
        <v>1364</v>
      </c>
      <c r="C5534" s="0" t="s">
        <v>1365</v>
      </c>
      <c r="D5534" s="0" t="n">
        <v>12</v>
      </c>
      <c r="E5534" s="6" t="n">
        <v>40864.4090277778</v>
      </c>
      <c r="F5534" s="0" t="n">
        <v>1.95</v>
      </c>
      <c r="G5534" s="0" t="n">
        <v>12471</v>
      </c>
      <c r="H5534" s="0" t="s">
        <v>33</v>
      </c>
      <c r="I5534" s="7" t="n">
        <f aca="false">IF(AND(LEFT(A5534,1)&lt;&gt;"C",D5534&gt;0,F5534&gt;0),1,0)</f>
        <v>1</v>
      </c>
      <c r="J5534" s="7" t="n">
        <f aca="false">IF(I5534=1,D5534*F5534,0)</f>
        <v>23.4</v>
      </c>
      <c r="K5534" s="7" t="n">
        <f aca="false">YEAR(E5534)*100+MONTH(E5534)</f>
        <v>201111</v>
      </c>
      <c r="L5534" s="7" t="n">
        <f aca="false">IF(AND(A5534&lt;&gt;A5533,LEFT(A5534,1)&lt;&gt;"C"),1,0)</f>
        <v>0</v>
      </c>
    </row>
    <row r="5535" customFormat="false" ht="15" hidden="false" customHeight="false" outlineLevel="0" collapsed="false">
      <c r="A5535" s="0" t="s">
        <v>3062</v>
      </c>
      <c r="B5535" s="0" t="s">
        <v>62</v>
      </c>
      <c r="C5535" s="0" t="s">
        <v>63</v>
      </c>
      <c r="D5535" s="0" t="n">
        <v>6</v>
      </c>
      <c r="E5535" s="6" t="n">
        <v>40864.4090277778</v>
      </c>
      <c r="F5535" s="0" t="n">
        <v>2.08</v>
      </c>
      <c r="G5535" s="0" t="n">
        <v>12471</v>
      </c>
      <c r="H5535" s="0" t="s">
        <v>33</v>
      </c>
      <c r="I5535" s="7" t="n">
        <f aca="false">IF(AND(LEFT(A5535,1)&lt;&gt;"C",D5535&gt;0,F5535&gt;0),1,0)</f>
        <v>1</v>
      </c>
      <c r="J5535" s="7" t="n">
        <f aca="false">IF(I5535=1,D5535*F5535,0)</f>
        <v>12.48</v>
      </c>
      <c r="K5535" s="7" t="n">
        <f aca="false">YEAR(E5535)*100+MONTH(E5535)</f>
        <v>201111</v>
      </c>
      <c r="L5535" s="7" t="n">
        <f aca="false">IF(AND(A5535&lt;&gt;A5534,LEFT(A5535,1)&lt;&gt;"C"),1,0)</f>
        <v>0</v>
      </c>
    </row>
    <row r="5536" customFormat="false" ht="15" hidden="false" customHeight="false" outlineLevel="0" collapsed="false">
      <c r="A5536" s="0" t="s">
        <v>3062</v>
      </c>
      <c r="B5536" s="0" t="s">
        <v>64</v>
      </c>
      <c r="C5536" s="0" t="s">
        <v>65</v>
      </c>
      <c r="D5536" s="0" t="n">
        <v>24</v>
      </c>
      <c r="E5536" s="6" t="n">
        <v>40864.4090277778</v>
      </c>
      <c r="F5536" s="0" t="n">
        <v>1.65</v>
      </c>
      <c r="G5536" s="0" t="n">
        <v>12471</v>
      </c>
      <c r="H5536" s="0" t="s">
        <v>33</v>
      </c>
      <c r="I5536" s="7" t="n">
        <f aca="false">IF(AND(LEFT(A5536,1)&lt;&gt;"C",D5536&gt;0,F5536&gt;0),1,0)</f>
        <v>1</v>
      </c>
      <c r="J5536" s="7" t="n">
        <f aca="false">IF(I5536=1,D5536*F5536,0)</f>
        <v>39.6</v>
      </c>
      <c r="K5536" s="7" t="n">
        <f aca="false">YEAR(E5536)*100+MONTH(E5536)</f>
        <v>201111</v>
      </c>
      <c r="L5536" s="7" t="n">
        <f aca="false">IF(AND(A5536&lt;&gt;A5535,LEFT(A5536,1)&lt;&gt;"C"),1,0)</f>
        <v>0</v>
      </c>
    </row>
    <row r="5537" customFormat="false" ht="15" hidden="false" customHeight="false" outlineLevel="0" collapsed="false">
      <c r="A5537" s="0" t="s">
        <v>3062</v>
      </c>
      <c r="B5537" s="0" t="s">
        <v>1059</v>
      </c>
      <c r="C5537" s="0" t="s">
        <v>1060</v>
      </c>
      <c r="D5537" s="0" t="n">
        <v>12</v>
      </c>
      <c r="E5537" s="6" t="n">
        <v>40864.4090277778</v>
      </c>
      <c r="F5537" s="0" t="n">
        <v>2.08</v>
      </c>
      <c r="G5537" s="0" t="n">
        <v>12471</v>
      </c>
      <c r="H5537" s="0" t="s">
        <v>33</v>
      </c>
      <c r="I5537" s="7" t="n">
        <f aca="false">IF(AND(LEFT(A5537,1)&lt;&gt;"C",D5537&gt;0,F5537&gt;0),1,0)</f>
        <v>1</v>
      </c>
      <c r="J5537" s="7" t="n">
        <f aca="false">IF(I5537=1,D5537*F5537,0)</f>
        <v>24.96</v>
      </c>
      <c r="K5537" s="7" t="n">
        <f aca="false">YEAR(E5537)*100+MONTH(E5537)</f>
        <v>201111</v>
      </c>
      <c r="L5537" s="7" t="n">
        <f aca="false">IF(AND(A5537&lt;&gt;A5536,LEFT(A5537,1)&lt;&gt;"C"),1,0)</f>
        <v>0</v>
      </c>
    </row>
    <row r="5538" customFormat="false" ht="15" hidden="false" customHeight="false" outlineLevel="0" collapsed="false">
      <c r="A5538" s="0" t="s">
        <v>3062</v>
      </c>
      <c r="B5538" s="0" t="s">
        <v>594</v>
      </c>
      <c r="C5538" s="0" t="s">
        <v>595</v>
      </c>
      <c r="D5538" s="0" t="n">
        <v>12</v>
      </c>
      <c r="E5538" s="6" t="n">
        <v>40864.4090277778</v>
      </c>
      <c r="F5538" s="0" t="n">
        <v>2.08</v>
      </c>
      <c r="G5538" s="0" t="n">
        <v>12471</v>
      </c>
      <c r="H5538" s="0" t="s">
        <v>33</v>
      </c>
      <c r="I5538" s="7" t="n">
        <f aca="false">IF(AND(LEFT(A5538,1)&lt;&gt;"C",D5538&gt;0,F5538&gt;0),1,0)</f>
        <v>1</v>
      </c>
      <c r="J5538" s="7" t="n">
        <f aca="false">IF(I5538=1,D5538*F5538,0)</f>
        <v>24.96</v>
      </c>
      <c r="K5538" s="7" t="n">
        <f aca="false">YEAR(E5538)*100+MONTH(E5538)</f>
        <v>201111</v>
      </c>
      <c r="L5538" s="7" t="n">
        <f aca="false">IF(AND(A5538&lt;&gt;A5537,LEFT(A5538,1)&lt;&gt;"C"),1,0)</f>
        <v>0</v>
      </c>
    </row>
    <row r="5539" customFormat="false" ht="15" hidden="false" customHeight="false" outlineLevel="0" collapsed="false">
      <c r="A5539" s="0" t="s">
        <v>3062</v>
      </c>
      <c r="B5539" s="0" t="s">
        <v>857</v>
      </c>
      <c r="C5539" s="0" t="s">
        <v>858</v>
      </c>
      <c r="D5539" s="0" t="n">
        <v>8</v>
      </c>
      <c r="E5539" s="6" t="n">
        <v>40864.4090277778</v>
      </c>
      <c r="F5539" s="0" t="n">
        <v>0.83</v>
      </c>
      <c r="G5539" s="0" t="n">
        <v>12471</v>
      </c>
      <c r="H5539" s="0" t="s">
        <v>33</v>
      </c>
      <c r="I5539" s="7" t="n">
        <f aca="false">IF(AND(LEFT(A5539,1)&lt;&gt;"C",D5539&gt;0,F5539&gt;0),1,0)</f>
        <v>1</v>
      </c>
      <c r="J5539" s="7" t="n">
        <f aca="false">IF(I5539=1,D5539*F5539,0)</f>
        <v>6.64</v>
      </c>
      <c r="K5539" s="7" t="n">
        <f aca="false">YEAR(E5539)*100+MONTH(E5539)</f>
        <v>201111</v>
      </c>
      <c r="L5539" s="7" t="n">
        <f aca="false">IF(AND(A5539&lt;&gt;A5538,LEFT(A5539,1)&lt;&gt;"C"),1,0)</f>
        <v>0</v>
      </c>
    </row>
    <row r="5540" customFormat="false" ht="15" hidden="false" customHeight="false" outlineLevel="0" collapsed="false">
      <c r="A5540" s="0" t="s">
        <v>3062</v>
      </c>
      <c r="B5540" s="0" t="s">
        <v>1110</v>
      </c>
      <c r="C5540" s="0" t="s">
        <v>1111</v>
      </c>
      <c r="D5540" s="0" t="n">
        <v>12</v>
      </c>
      <c r="E5540" s="6" t="n">
        <v>40864.4090277778</v>
      </c>
      <c r="F5540" s="0" t="n">
        <v>4.15</v>
      </c>
      <c r="G5540" s="0" t="n">
        <v>12471</v>
      </c>
      <c r="H5540" s="0" t="s">
        <v>33</v>
      </c>
      <c r="I5540" s="7" t="n">
        <f aca="false">IF(AND(LEFT(A5540,1)&lt;&gt;"C",D5540&gt;0,F5540&gt;0),1,0)</f>
        <v>1</v>
      </c>
      <c r="J5540" s="7" t="n">
        <f aca="false">IF(I5540=1,D5540*F5540,0)</f>
        <v>49.8</v>
      </c>
      <c r="K5540" s="7" t="n">
        <f aca="false">YEAR(E5540)*100+MONTH(E5540)</f>
        <v>201111</v>
      </c>
      <c r="L5540" s="7" t="n">
        <f aca="false">IF(AND(A5540&lt;&gt;A5539,LEFT(A5540,1)&lt;&gt;"C"),1,0)</f>
        <v>0</v>
      </c>
    </row>
    <row r="5541" customFormat="false" ht="15" hidden="false" customHeight="false" outlineLevel="0" collapsed="false">
      <c r="A5541" s="0" t="s">
        <v>3062</v>
      </c>
      <c r="B5541" s="0" t="s">
        <v>140</v>
      </c>
      <c r="C5541" s="0" t="s">
        <v>141</v>
      </c>
      <c r="D5541" s="0" t="n">
        <v>12</v>
      </c>
      <c r="E5541" s="6" t="n">
        <v>40864.4090277778</v>
      </c>
      <c r="F5541" s="0" t="n">
        <v>1.45</v>
      </c>
      <c r="G5541" s="0" t="n">
        <v>12471</v>
      </c>
      <c r="H5541" s="0" t="s">
        <v>33</v>
      </c>
      <c r="I5541" s="7" t="n">
        <f aca="false">IF(AND(LEFT(A5541,1)&lt;&gt;"C",D5541&gt;0,F5541&gt;0),1,0)</f>
        <v>1</v>
      </c>
      <c r="J5541" s="7" t="n">
        <f aca="false">IF(I5541=1,D5541*F5541,0)</f>
        <v>17.4</v>
      </c>
      <c r="K5541" s="7" t="n">
        <f aca="false">YEAR(E5541)*100+MONTH(E5541)</f>
        <v>201111</v>
      </c>
      <c r="L5541" s="7" t="n">
        <f aca="false">IF(AND(A5541&lt;&gt;A5540,LEFT(A5541,1)&lt;&gt;"C"),1,0)</f>
        <v>0</v>
      </c>
    </row>
    <row r="5542" customFormat="false" ht="15" hidden="false" customHeight="false" outlineLevel="0" collapsed="false">
      <c r="A5542" s="0" t="s">
        <v>3062</v>
      </c>
      <c r="B5542" s="0" t="s">
        <v>659</v>
      </c>
      <c r="C5542" s="0" t="s">
        <v>660</v>
      </c>
      <c r="D5542" s="0" t="n">
        <v>12</v>
      </c>
      <c r="E5542" s="6" t="n">
        <v>40864.4090277778</v>
      </c>
      <c r="F5542" s="0" t="n">
        <v>4.15</v>
      </c>
      <c r="G5542" s="0" t="n">
        <v>12471</v>
      </c>
      <c r="H5542" s="0" t="s">
        <v>33</v>
      </c>
      <c r="I5542" s="7" t="n">
        <f aca="false">IF(AND(LEFT(A5542,1)&lt;&gt;"C",D5542&gt;0,F5542&gt;0),1,0)</f>
        <v>1</v>
      </c>
      <c r="J5542" s="7" t="n">
        <f aca="false">IF(I5542=1,D5542*F5542,0)</f>
        <v>49.8</v>
      </c>
      <c r="K5542" s="7" t="n">
        <f aca="false">YEAR(E5542)*100+MONTH(E5542)</f>
        <v>201111</v>
      </c>
      <c r="L5542" s="7" t="n">
        <f aca="false">IF(AND(A5542&lt;&gt;A5541,LEFT(A5542,1)&lt;&gt;"C"),1,0)</f>
        <v>0</v>
      </c>
    </row>
    <row r="5543" customFormat="false" ht="15" hidden="false" customHeight="false" outlineLevel="0" collapsed="false">
      <c r="A5543" s="0" t="s">
        <v>3062</v>
      </c>
      <c r="B5543" s="0" t="s">
        <v>1684</v>
      </c>
      <c r="C5543" s="0" t="s">
        <v>1685</v>
      </c>
      <c r="D5543" s="0" t="n">
        <v>24</v>
      </c>
      <c r="E5543" s="6" t="n">
        <v>40864.4090277778</v>
      </c>
      <c r="F5543" s="0" t="n">
        <v>0.39</v>
      </c>
      <c r="G5543" s="0" t="n">
        <v>12471</v>
      </c>
      <c r="H5543" s="0" t="s">
        <v>33</v>
      </c>
      <c r="I5543" s="7" t="n">
        <f aca="false">IF(AND(LEFT(A5543,1)&lt;&gt;"C",D5543&gt;0,F5543&gt;0),1,0)</f>
        <v>1</v>
      </c>
      <c r="J5543" s="7" t="n">
        <f aca="false">IF(I5543=1,D5543*F5543,0)</f>
        <v>9.36</v>
      </c>
      <c r="K5543" s="7" t="n">
        <f aca="false">YEAR(E5543)*100+MONTH(E5543)</f>
        <v>201111</v>
      </c>
      <c r="L5543" s="7" t="n">
        <f aca="false">IF(AND(A5543&lt;&gt;A5542,LEFT(A5543,1)&lt;&gt;"C"),1,0)</f>
        <v>0</v>
      </c>
    </row>
    <row r="5544" customFormat="false" ht="15" hidden="false" customHeight="false" outlineLevel="0" collapsed="false">
      <c r="A5544" s="0" t="s">
        <v>3062</v>
      </c>
      <c r="B5544" s="0" t="s">
        <v>80</v>
      </c>
      <c r="C5544" s="0" t="s">
        <v>81</v>
      </c>
      <c r="D5544" s="0" t="n">
        <v>20</v>
      </c>
      <c r="E5544" s="6" t="n">
        <v>40864.4090277778</v>
      </c>
      <c r="F5544" s="0" t="n">
        <v>0.83</v>
      </c>
      <c r="G5544" s="0" t="n">
        <v>12471</v>
      </c>
      <c r="H5544" s="0" t="s">
        <v>33</v>
      </c>
      <c r="I5544" s="7" t="n">
        <f aca="false">IF(AND(LEFT(A5544,1)&lt;&gt;"C",D5544&gt;0,F5544&gt;0),1,0)</f>
        <v>1</v>
      </c>
      <c r="J5544" s="7" t="n">
        <f aca="false">IF(I5544=1,D5544*F5544,0)</f>
        <v>16.6</v>
      </c>
      <c r="K5544" s="7" t="n">
        <f aca="false">YEAR(E5544)*100+MONTH(E5544)</f>
        <v>201111</v>
      </c>
      <c r="L5544" s="7" t="n">
        <f aca="false">IF(AND(A5544&lt;&gt;A5543,LEFT(A5544,1)&lt;&gt;"C"),1,0)</f>
        <v>0</v>
      </c>
    </row>
    <row r="5545" customFormat="false" ht="15" hidden="false" customHeight="false" outlineLevel="0" collapsed="false">
      <c r="A5545" s="0" t="s">
        <v>3062</v>
      </c>
      <c r="B5545" s="0" t="s">
        <v>657</v>
      </c>
      <c r="C5545" s="0" t="s">
        <v>658</v>
      </c>
      <c r="D5545" s="0" t="n">
        <v>12</v>
      </c>
      <c r="E5545" s="6" t="n">
        <v>40864.4090277778</v>
      </c>
      <c r="F5545" s="0" t="n">
        <v>1.25</v>
      </c>
      <c r="G5545" s="0" t="n">
        <v>12471</v>
      </c>
      <c r="H5545" s="0" t="s">
        <v>33</v>
      </c>
      <c r="I5545" s="7" t="n">
        <f aca="false">IF(AND(LEFT(A5545,1)&lt;&gt;"C",D5545&gt;0,F5545&gt;0),1,0)</f>
        <v>1</v>
      </c>
      <c r="J5545" s="7" t="n">
        <f aca="false">IF(I5545=1,D5545*F5545,0)</f>
        <v>15</v>
      </c>
      <c r="K5545" s="7" t="n">
        <f aca="false">YEAR(E5545)*100+MONTH(E5545)</f>
        <v>201111</v>
      </c>
      <c r="L5545" s="7" t="n">
        <f aca="false">IF(AND(A5545&lt;&gt;A5544,LEFT(A5545,1)&lt;&gt;"C"),1,0)</f>
        <v>0</v>
      </c>
    </row>
    <row r="5546" customFormat="false" ht="15" hidden="false" customHeight="false" outlineLevel="0" collapsed="false">
      <c r="A5546" s="0" t="s">
        <v>3062</v>
      </c>
      <c r="B5546" s="0" t="s">
        <v>1006</v>
      </c>
      <c r="C5546" s="0" t="s">
        <v>1007</v>
      </c>
      <c r="D5546" s="0" t="n">
        <v>25</v>
      </c>
      <c r="E5546" s="6" t="n">
        <v>40864.4090277778</v>
      </c>
      <c r="F5546" s="0" t="n">
        <v>0.42</v>
      </c>
      <c r="G5546" s="0" t="n">
        <v>12471</v>
      </c>
      <c r="H5546" s="0" t="s">
        <v>33</v>
      </c>
      <c r="I5546" s="7" t="n">
        <f aca="false">IF(AND(LEFT(A5546,1)&lt;&gt;"C",D5546&gt;0,F5546&gt;0),1,0)</f>
        <v>1</v>
      </c>
      <c r="J5546" s="7" t="n">
        <f aca="false">IF(I5546=1,D5546*F5546,0)</f>
        <v>10.5</v>
      </c>
      <c r="K5546" s="7" t="n">
        <f aca="false">YEAR(E5546)*100+MONTH(E5546)</f>
        <v>201111</v>
      </c>
      <c r="L5546" s="7" t="n">
        <f aca="false">IF(AND(A5546&lt;&gt;A5545,LEFT(A5546,1)&lt;&gt;"C"),1,0)</f>
        <v>0</v>
      </c>
    </row>
    <row r="5547" customFormat="false" ht="15" hidden="false" customHeight="false" outlineLevel="0" collapsed="false">
      <c r="A5547" s="0" t="s">
        <v>3062</v>
      </c>
      <c r="B5547" s="0" t="s">
        <v>247</v>
      </c>
      <c r="C5547" s="0" t="s">
        <v>248</v>
      </c>
      <c r="D5547" s="0" t="n">
        <v>25</v>
      </c>
      <c r="E5547" s="6" t="n">
        <v>40864.4090277778</v>
      </c>
      <c r="F5547" s="0" t="n">
        <v>0.42</v>
      </c>
      <c r="G5547" s="0" t="n">
        <v>12471</v>
      </c>
      <c r="H5547" s="0" t="s">
        <v>33</v>
      </c>
      <c r="I5547" s="7" t="n">
        <f aca="false">IF(AND(LEFT(A5547,1)&lt;&gt;"C",D5547&gt;0,F5547&gt;0),1,0)</f>
        <v>1</v>
      </c>
      <c r="J5547" s="7" t="n">
        <f aca="false">IF(I5547=1,D5547*F5547,0)</f>
        <v>10.5</v>
      </c>
      <c r="K5547" s="7" t="n">
        <f aca="false">YEAR(E5547)*100+MONTH(E5547)</f>
        <v>201111</v>
      </c>
      <c r="L5547" s="7" t="n">
        <f aca="false">IF(AND(A5547&lt;&gt;A5546,LEFT(A5547,1)&lt;&gt;"C"),1,0)</f>
        <v>0</v>
      </c>
    </row>
    <row r="5548" customFormat="false" ht="15" hidden="false" customHeight="false" outlineLevel="0" collapsed="false">
      <c r="A5548" s="0" t="s">
        <v>3062</v>
      </c>
      <c r="B5548" s="0" t="s">
        <v>2209</v>
      </c>
      <c r="C5548" s="0" t="s">
        <v>2210</v>
      </c>
      <c r="D5548" s="0" t="n">
        <v>25</v>
      </c>
      <c r="E5548" s="6" t="n">
        <v>40864.4090277778</v>
      </c>
      <c r="F5548" s="0" t="n">
        <v>0.42</v>
      </c>
      <c r="G5548" s="0" t="n">
        <v>12471</v>
      </c>
      <c r="H5548" s="0" t="s">
        <v>33</v>
      </c>
      <c r="I5548" s="7" t="n">
        <f aca="false">IF(AND(LEFT(A5548,1)&lt;&gt;"C",D5548&gt;0,F5548&gt;0),1,0)</f>
        <v>1</v>
      </c>
      <c r="J5548" s="7" t="n">
        <f aca="false">IF(I5548=1,D5548*F5548,0)</f>
        <v>10.5</v>
      </c>
      <c r="K5548" s="7" t="n">
        <f aca="false">YEAR(E5548)*100+MONTH(E5548)</f>
        <v>201111</v>
      </c>
      <c r="L5548" s="7" t="n">
        <f aca="false">IF(AND(A5548&lt;&gt;A5547,LEFT(A5548,1)&lt;&gt;"C"),1,0)</f>
        <v>0</v>
      </c>
    </row>
    <row r="5549" customFormat="false" ht="15" hidden="false" customHeight="false" outlineLevel="0" collapsed="false">
      <c r="A5549" s="0" t="s">
        <v>3062</v>
      </c>
      <c r="B5549" s="0" t="s">
        <v>3063</v>
      </c>
      <c r="C5549" s="0" t="s">
        <v>3064</v>
      </c>
      <c r="D5549" s="0" t="n">
        <v>24</v>
      </c>
      <c r="E5549" s="6" t="n">
        <v>40864.4090277778</v>
      </c>
      <c r="F5549" s="0" t="n">
        <v>0.85</v>
      </c>
      <c r="G5549" s="0" t="n">
        <v>12471</v>
      </c>
      <c r="H5549" s="0" t="s">
        <v>33</v>
      </c>
      <c r="I5549" s="7" t="n">
        <f aca="false">IF(AND(LEFT(A5549,1)&lt;&gt;"C",D5549&gt;0,F5549&gt;0),1,0)</f>
        <v>1</v>
      </c>
      <c r="J5549" s="7" t="n">
        <f aca="false">IF(I5549=1,D5549*F5549,0)</f>
        <v>20.4</v>
      </c>
      <c r="K5549" s="7" t="n">
        <f aca="false">YEAR(E5549)*100+MONTH(E5549)</f>
        <v>201111</v>
      </c>
      <c r="L5549" s="7" t="n">
        <f aca="false">IF(AND(A5549&lt;&gt;A5548,LEFT(A5549,1)&lt;&gt;"C"),1,0)</f>
        <v>0</v>
      </c>
    </row>
    <row r="5550" customFormat="false" ht="15" hidden="false" customHeight="false" outlineLevel="0" collapsed="false">
      <c r="A5550" s="0" t="s">
        <v>3062</v>
      </c>
      <c r="B5550" s="0" t="s">
        <v>84</v>
      </c>
      <c r="C5550" s="0" t="s">
        <v>85</v>
      </c>
      <c r="D5550" s="0" t="n">
        <v>8</v>
      </c>
      <c r="E5550" s="6" t="n">
        <v>40864.4090277778</v>
      </c>
      <c r="F5550" s="0" t="n">
        <v>18</v>
      </c>
      <c r="G5550" s="0" t="n">
        <v>12471</v>
      </c>
      <c r="H5550" s="0" t="s">
        <v>33</v>
      </c>
      <c r="I5550" s="7" t="n">
        <f aca="false">IF(AND(LEFT(A5550,1)&lt;&gt;"C",D5550&gt;0,F5550&gt;0),1,0)</f>
        <v>1</v>
      </c>
      <c r="J5550" s="7" t="n">
        <f aca="false">IF(I5550=1,D5550*F5550,0)</f>
        <v>144</v>
      </c>
      <c r="K5550" s="7" t="n">
        <f aca="false">YEAR(E5550)*100+MONTH(E5550)</f>
        <v>201111</v>
      </c>
      <c r="L5550" s="7" t="n">
        <f aca="false">IF(AND(A5550&lt;&gt;A5549,LEFT(A5550,1)&lt;&gt;"C"),1,0)</f>
        <v>0</v>
      </c>
    </row>
    <row r="5551" customFormat="false" ht="15" hidden="false" customHeight="false" outlineLevel="0" collapsed="false">
      <c r="A5551" s="0" t="s">
        <v>3062</v>
      </c>
      <c r="B5551" s="0" t="s">
        <v>177</v>
      </c>
      <c r="C5551" s="0" t="s">
        <v>178</v>
      </c>
      <c r="D5551" s="0" t="n">
        <v>16</v>
      </c>
      <c r="E5551" s="6" t="n">
        <v>40864.4090277778</v>
      </c>
      <c r="F5551" s="0" t="n">
        <v>1.25</v>
      </c>
      <c r="G5551" s="0" t="n">
        <v>12471</v>
      </c>
      <c r="H5551" s="0" t="s">
        <v>33</v>
      </c>
      <c r="I5551" s="7" t="n">
        <f aca="false">IF(AND(LEFT(A5551,1)&lt;&gt;"C",D5551&gt;0,F5551&gt;0),1,0)</f>
        <v>1</v>
      </c>
      <c r="J5551" s="7" t="n">
        <f aca="false">IF(I5551=1,D5551*F5551,0)</f>
        <v>20</v>
      </c>
      <c r="K5551" s="7" t="n">
        <f aca="false">YEAR(E5551)*100+MONTH(E5551)</f>
        <v>201111</v>
      </c>
      <c r="L5551" s="7" t="n">
        <f aca="false">IF(AND(A5551&lt;&gt;A5550,LEFT(A5551,1)&lt;&gt;"C"),1,0)</f>
        <v>0</v>
      </c>
    </row>
    <row r="5552" customFormat="false" ht="15" hidden="false" customHeight="false" outlineLevel="0" collapsed="false">
      <c r="A5552" s="0" t="s">
        <v>3062</v>
      </c>
      <c r="B5552" s="0" t="s">
        <v>1175</v>
      </c>
      <c r="C5552" s="0" t="s">
        <v>1176</v>
      </c>
      <c r="D5552" s="0" t="n">
        <v>12</v>
      </c>
      <c r="E5552" s="6" t="n">
        <v>40864.4090277778</v>
      </c>
      <c r="F5552" s="0" t="n">
        <v>2.08</v>
      </c>
      <c r="G5552" s="0" t="n">
        <v>12471</v>
      </c>
      <c r="H5552" s="0" t="s">
        <v>33</v>
      </c>
      <c r="I5552" s="7" t="n">
        <f aca="false">IF(AND(LEFT(A5552,1)&lt;&gt;"C",D5552&gt;0,F5552&gt;0),1,0)</f>
        <v>1</v>
      </c>
      <c r="J5552" s="7" t="n">
        <f aca="false">IF(I5552=1,D5552*F5552,0)</f>
        <v>24.96</v>
      </c>
      <c r="K5552" s="7" t="n">
        <f aca="false">YEAR(E5552)*100+MONTH(E5552)</f>
        <v>201111</v>
      </c>
      <c r="L5552" s="7" t="n">
        <f aca="false">IF(AND(A5552&lt;&gt;A5551,LEFT(A5552,1)&lt;&gt;"C"),1,0)</f>
        <v>0</v>
      </c>
    </row>
    <row r="5553" customFormat="false" ht="15" hidden="false" customHeight="false" outlineLevel="0" collapsed="false">
      <c r="A5553" s="0" t="s">
        <v>3062</v>
      </c>
      <c r="B5553" s="0" t="s">
        <v>142</v>
      </c>
      <c r="C5553" s="0" t="s">
        <v>143</v>
      </c>
      <c r="D5553" s="0" t="n">
        <v>12</v>
      </c>
      <c r="E5553" s="6" t="n">
        <v>40864.4090277778</v>
      </c>
      <c r="F5553" s="0" t="n">
        <v>1.45</v>
      </c>
      <c r="G5553" s="0" t="n">
        <v>12471</v>
      </c>
      <c r="H5553" s="0" t="s">
        <v>33</v>
      </c>
      <c r="I5553" s="7" t="n">
        <f aca="false">IF(AND(LEFT(A5553,1)&lt;&gt;"C",D5553&gt;0,F5553&gt;0),1,0)</f>
        <v>1</v>
      </c>
      <c r="J5553" s="7" t="n">
        <f aca="false">IF(I5553=1,D5553*F5553,0)</f>
        <v>17.4</v>
      </c>
      <c r="K5553" s="7" t="n">
        <f aca="false">YEAR(E5553)*100+MONTH(E5553)</f>
        <v>201111</v>
      </c>
      <c r="L5553" s="7" t="n">
        <f aca="false">IF(AND(A5553&lt;&gt;A5552,LEFT(A5553,1)&lt;&gt;"C"),1,0)</f>
        <v>0</v>
      </c>
    </row>
    <row r="5554" customFormat="false" ht="15" hidden="false" customHeight="false" outlineLevel="0" collapsed="false">
      <c r="A5554" s="0" t="s">
        <v>3062</v>
      </c>
      <c r="B5554" s="0" t="s">
        <v>103</v>
      </c>
      <c r="C5554" s="0" t="s">
        <v>104</v>
      </c>
      <c r="D5554" s="0" t="n">
        <v>24</v>
      </c>
      <c r="E5554" s="6" t="n">
        <v>40864.4090277778</v>
      </c>
      <c r="F5554" s="0" t="n">
        <v>0.55</v>
      </c>
      <c r="G5554" s="0" t="n">
        <v>12471</v>
      </c>
      <c r="H5554" s="0" t="s">
        <v>33</v>
      </c>
      <c r="I5554" s="7" t="n">
        <f aca="false">IF(AND(LEFT(A5554,1)&lt;&gt;"C",D5554&gt;0,F5554&gt;0),1,0)</f>
        <v>1</v>
      </c>
      <c r="J5554" s="7" t="n">
        <f aca="false">IF(I5554=1,D5554*F5554,0)</f>
        <v>13.2</v>
      </c>
      <c r="K5554" s="7" t="n">
        <f aca="false">YEAR(E5554)*100+MONTH(E5554)</f>
        <v>201111</v>
      </c>
      <c r="L5554" s="7" t="n">
        <f aca="false">IF(AND(A5554&lt;&gt;A5553,LEFT(A5554,1)&lt;&gt;"C"),1,0)</f>
        <v>0</v>
      </c>
    </row>
    <row r="5555" customFormat="false" ht="15" hidden="false" customHeight="false" outlineLevel="0" collapsed="false">
      <c r="A5555" s="0" t="s">
        <v>3062</v>
      </c>
      <c r="B5555" s="0" t="s">
        <v>1300</v>
      </c>
      <c r="C5555" s="0" t="s">
        <v>1301</v>
      </c>
      <c r="D5555" s="0" t="n">
        <v>24</v>
      </c>
      <c r="E5555" s="6" t="n">
        <v>40864.4090277778</v>
      </c>
      <c r="F5555" s="0" t="n">
        <v>0.55</v>
      </c>
      <c r="G5555" s="0" t="n">
        <v>12471</v>
      </c>
      <c r="H5555" s="0" t="s">
        <v>33</v>
      </c>
      <c r="I5555" s="7" t="n">
        <f aca="false">IF(AND(LEFT(A5555,1)&lt;&gt;"C",D5555&gt;0,F5555&gt;0),1,0)</f>
        <v>1</v>
      </c>
      <c r="J5555" s="7" t="n">
        <f aca="false">IF(I5555=1,D5555*F5555,0)</f>
        <v>13.2</v>
      </c>
      <c r="K5555" s="7" t="n">
        <f aca="false">YEAR(E5555)*100+MONTH(E5555)</f>
        <v>201111</v>
      </c>
      <c r="L5555" s="7" t="n">
        <f aca="false">IF(AND(A5555&lt;&gt;A5554,LEFT(A5555,1)&lt;&gt;"C"),1,0)</f>
        <v>0</v>
      </c>
    </row>
    <row r="5556" customFormat="false" ht="15" hidden="false" customHeight="false" outlineLevel="0" collapsed="false">
      <c r="A5556" s="0" t="s">
        <v>3062</v>
      </c>
      <c r="B5556" s="0" t="s">
        <v>1221</v>
      </c>
      <c r="C5556" s="0" t="s">
        <v>1222</v>
      </c>
      <c r="D5556" s="0" t="n">
        <v>12</v>
      </c>
      <c r="E5556" s="6" t="n">
        <v>40864.4090277778</v>
      </c>
      <c r="F5556" s="0" t="n">
        <v>1.65</v>
      </c>
      <c r="G5556" s="0" t="n">
        <v>12471</v>
      </c>
      <c r="H5556" s="0" t="s">
        <v>33</v>
      </c>
      <c r="I5556" s="7" t="n">
        <f aca="false">IF(AND(LEFT(A5556,1)&lt;&gt;"C",D5556&gt;0,F5556&gt;0),1,0)</f>
        <v>1</v>
      </c>
      <c r="J5556" s="7" t="n">
        <f aca="false">IF(I5556=1,D5556*F5556,0)</f>
        <v>19.8</v>
      </c>
      <c r="K5556" s="7" t="n">
        <f aca="false">YEAR(E5556)*100+MONTH(E5556)</f>
        <v>201111</v>
      </c>
      <c r="L5556" s="7" t="n">
        <f aca="false">IF(AND(A5556&lt;&gt;A5555,LEFT(A5556,1)&lt;&gt;"C"),1,0)</f>
        <v>0</v>
      </c>
    </row>
    <row r="5557" customFormat="false" ht="15" hidden="false" customHeight="false" outlineLevel="0" collapsed="false">
      <c r="A5557" s="0" t="s">
        <v>3062</v>
      </c>
      <c r="B5557" s="0" t="s">
        <v>320</v>
      </c>
      <c r="C5557" s="0" t="s">
        <v>321</v>
      </c>
      <c r="D5557" s="0" t="n">
        <v>12</v>
      </c>
      <c r="E5557" s="6" t="n">
        <v>40864.4090277778</v>
      </c>
      <c r="F5557" s="0" t="n">
        <v>3.75</v>
      </c>
      <c r="G5557" s="0" t="n">
        <v>12471</v>
      </c>
      <c r="H5557" s="0" t="s">
        <v>33</v>
      </c>
      <c r="I5557" s="7" t="n">
        <f aca="false">IF(AND(LEFT(A5557,1)&lt;&gt;"C",D5557&gt;0,F5557&gt;0),1,0)</f>
        <v>1</v>
      </c>
      <c r="J5557" s="7" t="n">
        <f aca="false">IF(I5557=1,D5557*F5557,0)</f>
        <v>45</v>
      </c>
      <c r="K5557" s="7" t="n">
        <f aca="false">YEAR(E5557)*100+MONTH(E5557)</f>
        <v>201111</v>
      </c>
      <c r="L5557" s="7" t="n">
        <f aca="false">IF(AND(A5557&lt;&gt;A5556,LEFT(A5557,1)&lt;&gt;"C"),1,0)</f>
        <v>0</v>
      </c>
    </row>
    <row r="5558" customFormat="false" ht="15" hidden="false" customHeight="false" outlineLevel="0" collapsed="false">
      <c r="A5558" s="0" t="s">
        <v>3062</v>
      </c>
      <c r="B5558" s="0" t="s">
        <v>1122</v>
      </c>
      <c r="C5558" s="0" t="s">
        <v>1123</v>
      </c>
      <c r="D5558" s="0" t="n">
        <v>12</v>
      </c>
      <c r="E5558" s="6" t="n">
        <v>40864.4090277778</v>
      </c>
      <c r="F5558" s="0" t="n">
        <v>0.83</v>
      </c>
      <c r="G5558" s="0" t="n">
        <v>12471</v>
      </c>
      <c r="H5558" s="0" t="s">
        <v>33</v>
      </c>
      <c r="I5558" s="7" t="n">
        <f aca="false">IF(AND(LEFT(A5558,1)&lt;&gt;"C",D5558&gt;0,F5558&gt;0),1,0)</f>
        <v>1</v>
      </c>
      <c r="J5558" s="7" t="n">
        <f aca="false">IF(I5558=1,D5558*F5558,0)</f>
        <v>9.96</v>
      </c>
      <c r="K5558" s="7" t="n">
        <f aca="false">YEAR(E5558)*100+MONTH(E5558)</f>
        <v>201111</v>
      </c>
      <c r="L5558" s="7" t="n">
        <f aca="false">IF(AND(A5558&lt;&gt;A5557,LEFT(A5558,1)&lt;&gt;"C"),1,0)</f>
        <v>0</v>
      </c>
    </row>
    <row r="5559" customFormat="false" ht="15" hidden="false" customHeight="false" outlineLevel="0" collapsed="false">
      <c r="A5559" s="0" t="s">
        <v>3062</v>
      </c>
      <c r="B5559" s="0" t="s">
        <v>2701</v>
      </c>
      <c r="C5559" s="0" t="s">
        <v>2702</v>
      </c>
      <c r="D5559" s="0" t="n">
        <v>12</v>
      </c>
      <c r="E5559" s="6" t="n">
        <v>40864.4090277778</v>
      </c>
      <c r="F5559" s="0" t="n">
        <v>1.25</v>
      </c>
      <c r="G5559" s="0" t="n">
        <v>12471</v>
      </c>
      <c r="H5559" s="0" t="s">
        <v>33</v>
      </c>
      <c r="I5559" s="7" t="n">
        <f aca="false">IF(AND(LEFT(A5559,1)&lt;&gt;"C",D5559&gt;0,F5559&gt;0),1,0)</f>
        <v>1</v>
      </c>
      <c r="J5559" s="7" t="n">
        <f aca="false">IF(I5559=1,D5559*F5559,0)</f>
        <v>15</v>
      </c>
      <c r="K5559" s="7" t="n">
        <f aca="false">YEAR(E5559)*100+MONTH(E5559)</f>
        <v>201111</v>
      </c>
      <c r="L5559" s="7" t="n">
        <f aca="false">IF(AND(A5559&lt;&gt;A5558,LEFT(A5559,1)&lt;&gt;"C"),1,0)</f>
        <v>0</v>
      </c>
    </row>
    <row r="5560" customFormat="false" ht="15" hidden="false" customHeight="false" outlineLevel="0" collapsed="false">
      <c r="A5560" s="0" t="s">
        <v>3062</v>
      </c>
      <c r="B5560" s="0" t="s">
        <v>653</v>
      </c>
      <c r="C5560" s="0" t="s">
        <v>654</v>
      </c>
      <c r="D5560" s="0" t="n">
        <v>8</v>
      </c>
      <c r="E5560" s="6" t="n">
        <v>40864.4090277778</v>
      </c>
      <c r="F5560" s="0" t="n">
        <v>6.25</v>
      </c>
      <c r="G5560" s="0" t="n">
        <v>12471</v>
      </c>
      <c r="H5560" s="0" t="s">
        <v>33</v>
      </c>
      <c r="I5560" s="7" t="n">
        <f aca="false">IF(AND(LEFT(A5560,1)&lt;&gt;"C",D5560&gt;0,F5560&gt;0),1,0)</f>
        <v>1</v>
      </c>
      <c r="J5560" s="7" t="n">
        <f aca="false">IF(I5560=1,D5560*F5560,0)</f>
        <v>50</v>
      </c>
      <c r="K5560" s="7" t="n">
        <f aca="false">YEAR(E5560)*100+MONTH(E5560)</f>
        <v>201111</v>
      </c>
      <c r="L5560" s="7" t="n">
        <f aca="false">IF(AND(A5560&lt;&gt;A5559,LEFT(A5560,1)&lt;&gt;"C"),1,0)</f>
        <v>0</v>
      </c>
    </row>
    <row r="5561" customFormat="false" ht="15" hidden="false" customHeight="false" outlineLevel="0" collapsed="false">
      <c r="A5561" s="0" t="s">
        <v>3065</v>
      </c>
      <c r="B5561" s="0" t="s">
        <v>2305</v>
      </c>
      <c r="C5561" s="0" t="s">
        <v>2306</v>
      </c>
      <c r="D5561" s="0" t="n">
        <v>4</v>
      </c>
      <c r="E5561" s="6" t="n">
        <v>40864.4104166667</v>
      </c>
      <c r="F5561" s="0" t="n">
        <v>4.65</v>
      </c>
      <c r="G5561" s="0" t="n">
        <v>12477</v>
      </c>
      <c r="H5561" s="0" t="s">
        <v>33</v>
      </c>
      <c r="I5561" s="7" t="n">
        <f aca="false">IF(AND(LEFT(A5561,1)&lt;&gt;"C",D5561&gt;0,F5561&gt;0),1,0)</f>
        <v>1</v>
      </c>
      <c r="J5561" s="7" t="n">
        <f aca="false">IF(I5561=1,D5561*F5561,0)</f>
        <v>18.6</v>
      </c>
      <c r="K5561" s="7" t="n">
        <f aca="false">YEAR(E5561)*100+MONTH(E5561)</f>
        <v>201111</v>
      </c>
      <c r="L5561" s="7" t="n">
        <f aca="false">IF(AND(A5561&lt;&gt;A5560,LEFT(A5561,1)&lt;&gt;"C"),1,0)</f>
        <v>1</v>
      </c>
    </row>
    <row r="5562" customFormat="false" ht="15" hidden="false" customHeight="false" outlineLevel="0" collapsed="false">
      <c r="A5562" s="0" t="s">
        <v>3065</v>
      </c>
      <c r="B5562" s="0" t="s">
        <v>1144</v>
      </c>
      <c r="C5562" s="0" t="s">
        <v>1145</v>
      </c>
      <c r="D5562" s="0" t="n">
        <v>5</v>
      </c>
      <c r="E5562" s="6" t="n">
        <v>40864.4104166667</v>
      </c>
      <c r="F5562" s="0" t="n">
        <v>2.1</v>
      </c>
      <c r="G5562" s="0" t="n">
        <v>12477</v>
      </c>
      <c r="H5562" s="0" t="s">
        <v>33</v>
      </c>
      <c r="I5562" s="7" t="n">
        <f aca="false">IF(AND(LEFT(A5562,1)&lt;&gt;"C",D5562&gt;0,F5562&gt;0),1,0)</f>
        <v>1</v>
      </c>
      <c r="J5562" s="7" t="n">
        <f aca="false">IF(I5562=1,D5562*F5562,0)</f>
        <v>10.5</v>
      </c>
      <c r="K5562" s="7" t="n">
        <f aca="false">YEAR(E5562)*100+MONTH(E5562)</f>
        <v>201111</v>
      </c>
      <c r="L5562" s="7" t="n">
        <f aca="false">IF(AND(A5562&lt;&gt;A5561,LEFT(A5562,1)&lt;&gt;"C"),1,0)</f>
        <v>0</v>
      </c>
    </row>
    <row r="5563" customFormat="false" ht="15" hidden="false" customHeight="false" outlineLevel="0" collapsed="false">
      <c r="A5563" s="0" t="s">
        <v>3065</v>
      </c>
      <c r="B5563" s="0" t="s">
        <v>521</v>
      </c>
      <c r="C5563" s="0" t="s">
        <v>522</v>
      </c>
      <c r="D5563" s="0" t="n">
        <v>8</v>
      </c>
      <c r="E5563" s="6" t="n">
        <v>40864.4104166667</v>
      </c>
      <c r="F5563" s="0" t="n">
        <v>1.95</v>
      </c>
      <c r="G5563" s="0" t="n">
        <v>12477</v>
      </c>
      <c r="H5563" s="0" t="s">
        <v>33</v>
      </c>
      <c r="I5563" s="7" t="n">
        <f aca="false">IF(AND(LEFT(A5563,1)&lt;&gt;"C",D5563&gt;0,F5563&gt;0),1,0)</f>
        <v>1</v>
      </c>
      <c r="J5563" s="7" t="n">
        <f aca="false">IF(I5563=1,D5563*F5563,0)</f>
        <v>15.6</v>
      </c>
      <c r="K5563" s="7" t="n">
        <f aca="false">YEAR(E5563)*100+MONTH(E5563)</f>
        <v>201111</v>
      </c>
      <c r="L5563" s="7" t="n">
        <f aca="false">IF(AND(A5563&lt;&gt;A5562,LEFT(A5563,1)&lt;&gt;"C"),1,0)</f>
        <v>0</v>
      </c>
    </row>
    <row r="5564" customFormat="false" ht="15" hidden="false" customHeight="false" outlineLevel="0" collapsed="false">
      <c r="A5564" s="0" t="s">
        <v>3065</v>
      </c>
      <c r="B5564" s="0" t="s">
        <v>3066</v>
      </c>
      <c r="C5564" s="0" t="s">
        <v>3067</v>
      </c>
      <c r="D5564" s="0" t="n">
        <v>4</v>
      </c>
      <c r="E5564" s="6" t="n">
        <v>40864.4104166667</v>
      </c>
      <c r="F5564" s="0" t="n">
        <v>4.95</v>
      </c>
      <c r="G5564" s="0" t="n">
        <v>12477</v>
      </c>
      <c r="H5564" s="0" t="s">
        <v>33</v>
      </c>
      <c r="I5564" s="7" t="n">
        <f aca="false">IF(AND(LEFT(A5564,1)&lt;&gt;"C",D5564&gt;0,F5564&gt;0),1,0)</f>
        <v>1</v>
      </c>
      <c r="J5564" s="7" t="n">
        <f aca="false">IF(I5564=1,D5564*F5564,0)</f>
        <v>19.8</v>
      </c>
      <c r="K5564" s="7" t="n">
        <f aca="false">YEAR(E5564)*100+MONTH(E5564)</f>
        <v>201111</v>
      </c>
      <c r="L5564" s="7" t="n">
        <f aca="false">IF(AND(A5564&lt;&gt;A5563,LEFT(A5564,1)&lt;&gt;"C"),1,0)</f>
        <v>0</v>
      </c>
    </row>
    <row r="5565" customFormat="false" ht="15" hidden="false" customHeight="false" outlineLevel="0" collapsed="false">
      <c r="A5565" s="0" t="s">
        <v>3065</v>
      </c>
      <c r="B5565" s="0" t="s">
        <v>735</v>
      </c>
      <c r="C5565" s="0" t="s">
        <v>736</v>
      </c>
      <c r="D5565" s="0" t="n">
        <v>4</v>
      </c>
      <c r="E5565" s="6" t="n">
        <v>40864.4104166667</v>
      </c>
      <c r="F5565" s="0" t="n">
        <v>4.95</v>
      </c>
      <c r="G5565" s="0" t="n">
        <v>12477</v>
      </c>
      <c r="H5565" s="0" t="s">
        <v>33</v>
      </c>
      <c r="I5565" s="7" t="n">
        <f aca="false">IF(AND(LEFT(A5565,1)&lt;&gt;"C",D5565&gt;0,F5565&gt;0),1,0)</f>
        <v>1</v>
      </c>
      <c r="J5565" s="7" t="n">
        <f aca="false">IF(I5565=1,D5565*F5565,0)</f>
        <v>19.8</v>
      </c>
      <c r="K5565" s="7" t="n">
        <f aca="false">YEAR(E5565)*100+MONTH(E5565)</f>
        <v>201111</v>
      </c>
      <c r="L5565" s="7" t="n">
        <f aca="false">IF(AND(A5565&lt;&gt;A5564,LEFT(A5565,1)&lt;&gt;"C"),1,0)</f>
        <v>0</v>
      </c>
    </row>
    <row r="5566" customFormat="false" ht="15" hidden="false" customHeight="false" outlineLevel="0" collapsed="false">
      <c r="A5566" s="0" t="s">
        <v>3065</v>
      </c>
      <c r="B5566" s="0" t="s">
        <v>2244</v>
      </c>
      <c r="C5566" s="0" t="s">
        <v>2245</v>
      </c>
      <c r="D5566" s="0" t="n">
        <v>4</v>
      </c>
      <c r="E5566" s="6" t="n">
        <v>40864.4104166667</v>
      </c>
      <c r="F5566" s="0" t="n">
        <v>4.25</v>
      </c>
      <c r="G5566" s="0" t="n">
        <v>12477</v>
      </c>
      <c r="H5566" s="0" t="s">
        <v>33</v>
      </c>
      <c r="I5566" s="7" t="n">
        <f aca="false">IF(AND(LEFT(A5566,1)&lt;&gt;"C",D5566&gt;0,F5566&gt;0),1,0)</f>
        <v>1</v>
      </c>
      <c r="J5566" s="7" t="n">
        <f aca="false">IF(I5566=1,D5566*F5566,0)</f>
        <v>17</v>
      </c>
      <c r="K5566" s="7" t="n">
        <f aca="false">YEAR(E5566)*100+MONTH(E5566)</f>
        <v>201111</v>
      </c>
      <c r="L5566" s="7" t="n">
        <f aca="false">IF(AND(A5566&lt;&gt;A5565,LEFT(A5566,1)&lt;&gt;"C"),1,0)</f>
        <v>0</v>
      </c>
    </row>
    <row r="5567" customFormat="false" ht="15" hidden="false" customHeight="false" outlineLevel="0" collapsed="false">
      <c r="A5567" s="0" t="s">
        <v>3065</v>
      </c>
      <c r="B5567" s="0" t="s">
        <v>804</v>
      </c>
      <c r="C5567" s="0" t="s">
        <v>805</v>
      </c>
      <c r="D5567" s="0" t="n">
        <v>6</v>
      </c>
      <c r="E5567" s="6" t="n">
        <v>40864.4104166667</v>
      </c>
      <c r="F5567" s="0" t="n">
        <v>4.95</v>
      </c>
      <c r="G5567" s="0" t="n">
        <v>12477</v>
      </c>
      <c r="H5567" s="0" t="s">
        <v>33</v>
      </c>
      <c r="I5567" s="7" t="n">
        <f aca="false">IF(AND(LEFT(A5567,1)&lt;&gt;"C",D5567&gt;0,F5567&gt;0),1,0)</f>
        <v>1</v>
      </c>
      <c r="J5567" s="7" t="n">
        <f aca="false">IF(I5567=1,D5567*F5567,0)</f>
        <v>29.7</v>
      </c>
      <c r="K5567" s="7" t="n">
        <f aca="false">YEAR(E5567)*100+MONTH(E5567)</f>
        <v>201111</v>
      </c>
      <c r="L5567" s="7" t="n">
        <f aca="false">IF(AND(A5567&lt;&gt;A5566,LEFT(A5567,1)&lt;&gt;"C"),1,0)</f>
        <v>0</v>
      </c>
    </row>
    <row r="5568" customFormat="false" ht="15" hidden="false" customHeight="false" outlineLevel="0" collapsed="false">
      <c r="A5568" s="0" t="s">
        <v>3065</v>
      </c>
      <c r="B5568" s="0" t="s">
        <v>1033</v>
      </c>
      <c r="C5568" s="0" t="s">
        <v>1034</v>
      </c>
      <c r="D5568" s="0" t="n">
        <v>24</v>
      </c>
      <c r="E5568" s="6" t="n">
        <v>40864.4104166667</v>
      </c>
      <c r="F5568" s="0" t="n">
        <v>3.75</v>
      </c>
      <c r="G5568" s="0" t="n">
        <v>12477</v>
      </c>
      <c r="H5568" s="0" t="s">
        <v>33</v>
      </c>
      <c r="I5568" s="7" t="n">
        <f aca="false">IF(AND(LEFT(A5568,1)&lt;&gt;"C",D5568&gt;0,F5568&gt;0),1,0)</f>
        <v>1</v>
      </c>
      <c r="J5568" s="7" t="n">
        <f aca="false">IF(I5568=1,D5568*F5568,0)</f>
        <v>90</v>
      </c>
      <c r="K5568" s="7" t="n">
        <f aca="false">YEAR(E5568)*100+MONTH(E5568)</f>
        <v>201111</v>
      </c>
      <c r="L5568" s="7" t="n">
        <f aca="false">IF(AND(A5568&lt;&gt;A5567,LEFT(A5568,1)&lt;&gt;"C"),1,0)</f>
        <v>0</v>
      </c>
    </row>
    <row r="5569" customFormat="false" ht="15" hidden="false" customHeight="false" outlineLevel="0" collapsed="false">
      <c r="A5569" s="0" t="s">
        <v>3065</v>
      </c>
      <c r="B5569" s="0" t="s">
        <v>3068</v>
      </c>
      <c r="C5569" s="0" t="s">
        <v>3069</v>
      </c>
      <c r="D5569" s="0" t="n">
        <v>24</v>
      </c>
      <c r="E5569" s="6" t="n">
        <v>40864.4104166667</v>
      </c>
      <c r="F5569" s="0" t="n">
        <v>0.65</v>
      </c>
      <c r="G5569" s="0" t="n">
        <v>12477</v>
      </c>
      <c r="H5569" s="0" t="s">
        <v>33</v>
      </c>
      <c r="I5569" s="7" t="n">
        <f aca="false">IF(AND(LEFT(A5569,1)&lt;&gt;"C",D5569&gt;0,F5569&gt;0),1,0)</f>
        <v>1</v>
      </c>
      <c r="J5569" s="7" t="n">
        <f aca="false">IF(I5569=1,D5569*F5569,0)</f>
        <v>15.6</v>
      </c>
      <c r="K5569" s="7" t="n">
        <f aca="false">YEAR(E5569)*100+MONTH(E5569)</f>
        <v>201111</v>
      </c>
      <c r="L5569" s="7" t="n">
        <f aca="false">IF(AND(A5569&lt;&gt;A5568,LEFT(A5569,1)&lt;&gt;"C"),1,0)</f>
        <v>0</v>
      </c>
    </row>
    <row r="5570" customFormat="false" ht="15" hidden="false" customHeight="false" outlineLevel="0" collapsed="false">
      <c r="A5570" s="0" t="s">
        <v>3065</v>
      </c>
      <c r="B5570" s="0" t="s">
        <v>1051</v>
      </c>
      <c r="C5570" s="0" t="s">
        <v>1052</v>
      </c>
      <c r="D5570" s="0" t="n">
        <v>18</v>
      </c>
      <c r="E5570" s="6" t="n">
        <v>40864.4104166667</v>
      </c>
      <c r="F5570" s="0" t="n">
        <v>1.95</v>
      </c>
      <c r="G5570" s="0" t="n">
        <v>12477</v>
      </c>
      <c r="H5570" s="0" t="s">
        <v>33</v>
      </c>
      <c r="I5570" s="7" t="n">
        <f aca="false">IF(AND(LEFT(A5570,1)&lt;&gt;"C",D5570&gt;0,F5570&gt;0),1,0)</f>
        <v>1</v>
      </c>
      <c r="J5570" s="7" t="n">
        <f aca="false">IF(I5570=1,D5570*F5570,0)</f>
        <v>35.1</v>
      </c>
      <c r="K5570" s="7" t="n">
        <f aca="false">YEAR(E5570)*100+MONTH(E5570)</f>
        <v>201111</v>
      </c>
      <c r="L5570" s="7" t="n">
        <f aca="false">IF(AND(A5570&lt;&gt;A5569,LEFT(A5570,1)&lt;&gt;"C"),1,0)</f>
        <v>0</v>
      </c>
    </row>
    <row r="5571" customFormat="false" ht="15" hidden="false" customHeight="false" outlineLevel="0" collapsed="false">
      <c r="A5571" s="0" t="s">
        <v>3065</v>
      </c>
      <c r="B5571" s="0" t="s">
        <v>2361</v>
      </c>
      <c r="C5571" s="0" t="s">
        <v>2362</v>
      </c>
      <c r="D5571" s="0" t="n">
        <v>12</v>
      </c>
      <c r="E5571" s="6" t="n">
        <v>40864.4104166667</v>
      </c>
      <c r="F5571" s="0" t="n">
        <v>1.25</v>
      </c>
      <c r="G5571" s="0" t="n">
        <v>12477</v>
      </c>
      <c r="H5571" s="0" t="s">
        <v>33</v>
      </c>
      <c r="I5571" s="7" t="n">
        <f aca="false">IF(AND(LEFT(A5571,1)&lt;&gt;"C",D5571&gt;0,F5571&gt;0),1,0)</f>
        <v>1</v>
      </c>
      <c r="J5571" s="7" t="n">
        <f aca="false">IF(I5571=1,D5571*F5571,0)</f>
        <v>15</v>
      </c>
      <c r="K5571" s="7" t="n">
        <f aca="false">YEAR(E5571)*100+MONTH(E5571)</f>
        <v>201111</v>
      </c>
      <c r="L5571" s="7" t="n">
        <f aca="false">IF(AND(A5571&lt;&gt;A5570,LEFT(A5571,1)&lt;&gt;"C"),1,0)</f>
        <v>0</v>
      </c>
    </row>
    <row r="5572" customFormat="false" ht="15" hidden="false" customHeight="false" outlineLevel="0" collapsed="false">
      <c r="A5572" s="0" t="s">
        <v>3065</v>
      </c>
      <c r="B5572" s="0" t="s">
        <v>3032</v>
      </c>
      <c r="C5572" s="0" t="s">
        <v>3033</v>
      </c>
      <c r="D5572" s="0" t="n">
        <v>16</v>
      </c>
      <c r="E5572" s="6" t="n">
        <v>40864.4104166667</v>
      </c>
      <c r="F5572" s="0" t="n">
        <v>4.95</v>
      </c>
      <c r="G5572" s="0" t="n">
        <v>12477</v>
      </c>
      <c r="H5572" s="0" t="s">
        <v>33</v>
      </c>
      <c r="I5572" s="7" t="n">
        <f aca="false">IF(AND(LEFT(A5572,1)&lt;&gt;"C",D5572&gt;0,F5572&gt;0),1,0)</f>
        <v>1</v>
      </c>
      <c r="J5572" s="7" t="n">
        <f aca="false">IF(I5572=1,D5572*F5572,0)</f>
        <v>79.2</v>
      </c>
      <c r="K5572" s="7" t="n">
        <f aca="false">YEAR(E5572)*100+MONTH(E5572)</f>
        <v>201111</v>
      </c>
      <c r="L5572" s="7" t="n">
        <f aca="false">IF(AND(A5572&lt;&gt;A5571,LEFT(A5572,1)&lt;&gt;"C"),1,0)</f>
        <v>0</v>
      </c>
    </row>
    <row r="5573" customFormat="false" ht="15" hidden="false" customHeight="false" outlineLevel="0" collapsed="false">
      <c r="A5573" s="0" t="s">
        <v>3065</v>
      </c>
      <c r="B5573" s="0" t="s">
        <v>3070</v>
      </c>
      <c r="C5573" s="0" t="s">
        <v>3071</v>
      </c>
      <c r="D5573" s="0" t="n">
        <v>16</v>
      </c>
      <c r="E5573" s="6" t="n">
        <v>40864.4104166667</v>
      </c>
      <c r="F5573" s="0" t="n">
        <v>3.29</v>
      </c>
      <c r="G5573" s="0" t="n">
        <v>12477</v>
      </c>
      <c r="H5573" s="0" t="s">
        <v>33</v>
      </c>
      <c r="I5573" s="7" t="n">
        <f aca="false">IF(AND(LEFT(A5573,1)&lt;&gt;"C",D5573&gt;0,F5573&gt;0),1,0)</f>
        <v>1</v>
      </c>
      <c r="J5573" s="7" t="n">
        <f aca="false">IF(I5573=1,D5573*F5573,0)</f>
        <v>52.64</v>
      </c>
      <c r="K5573" s="7" t="n">
        <f aca="false">YEAR(E5573)*100+MONTH(E5573)</f>
        <v>201111</v>
      </c>
      <c r="L5573" s="7" t="n">
        <f aca="false">IF(AND(A5573&lt;&gt;A5572,LEFT(A5573,1)&lt;&gt;"C"),1,0)</f>
        <v>0</v>
      </c>
    </row>
    <row r="5574" customFormat="false" ht="15" hidden="false" customHeight="false" outlineLevel="0" collapsed="false">
      <c r="A5574" s="0" t="s">
        <v>3065</v>
      </c>
      <c r="B5574" s="0" t="s">
        <v>1903</v>
      </c>
      <c r="C5574" s="0" t="s">
        <v>1904</v>
      </c>
      <c r="D5574" s="0" t="n">
        <v>6</v>
      </c>
      <c r="E5574" s="6" t="n">
        <v>40864.4104166667</v>
      </c>
      <c r="F5574" s="0" t="n">
        <v>8.95</v>
      </c>
      <c r="G5574" s="0" t="n">
        <v>12477</v>
      </c>
      <c r="H5574" s="0" t="s">
        <v>33</v>
      </c>
      <c r="I5574" s="7" t="n">
        <f aca="false">IF(AND(LEFT(A5574,1)&lt;&gt;"C",D5574&gt;0,F5574&gt;0),1,0)</f>
        <v>1</v>
      </c>
      <c r="J5574" s="7" t="n">
        <f aca="false">IF(I5574=1,D5574*F5574,0)</f>
        <v>53.7</v>
      </c>
      <c r="K5574" s="7" t="n">
        <f aca="false">YEAR(E5574)*100+MONTH(E5574)</f>
        <v>201111</v>
      </c>
      <c r="L5574" s="7" t="n">
        <f aca="false">IF(AND(A5574&lt;&gt;A5573,LEFT(A5574,1)&lt;&gt;"C"),1,0)</f>
        <v>0</v>
      </c>
    </row>
    <row r="5575" customFormat="false" ht="15" hidden="false" customHeight="false" outlineLevel="0" collapsed="false">
      <c r="A5575" s="0" t="s">
        <v>3065</v>
      </c>
      <c r="B5575" s="0" t="s">
        <v>3072</v>
      </c>
      <c r="C5575" s="0" t="s">
        <v>3073</v>
      </c>
      <c r="D5575" s="0" t="n">
        <v>10</v>
      </c>
      <c r="E5575" s="6" t="n">
        <v>40864.4104166667</v>
      </c>
      <c r="F5575" s="0" t="n">
        <v>7.08</v>
      </c>
      <c r="G5575" s="0" t="n">
        <v>12477</v>
      </c>
      <c r="H5575" s="0" t="s">
        <v>33</v>
      </c>
      <c r="I5575" s="7" t="n">
        <f aca="false">IF(AND(LEFT(A5575,1)&lt;&gt;"C",D5575&gt;0,F5575&gt;0),1,0)</f>
        <v>1</v>
      </c>
      <c r="J5575" s="7" t="n">
        <f aca="false">IF(I5575=1,D5575*F5575,0)</f>
        <v>70.8</v>
      </c>
      <c r="K5575" s="7" t="n">
        <f aca="false">YEAR(E5575)*100+MONTH(E5575)</f>
        <v>201111</v>
      </c>
      <c r="L5575" s="7" t="n">
        <f aca="false">IF(AND(A5575&lt;&gt;A5574,LEFT(A5575,1)&lt;&gt;"C"),1,0)</f>
        <v>0</v>
      </c>
    </row>
    <row r="5576" customFormat="false" ht="15" hidden="false" customHeight="false" outlineLevel="0" collapsed="false">
      <c r="A5576" s="0" t="s">
        <v>3065</v>
      </c>
      <c r="B5576" s="0" t="s">
        <v>2289</v>
      </c>
      <c r="C5576" s="0" t="s">
        <v>2290</v>
      </c>
      <c r="D5576" s="0" t="n">
        <v>10</v>
      </c>
      <c r="E5576" s="6" t="n">
        <v>40864.4104166667</v>
      </c>
      <c r="F5576" s="0" t="n">
        <v>7.08</v>
      </c>
      <c r="G5576" s="0" t="n">
        <v>12477</v>
      </c>
      <c r="H5576" s="0" t="s">
        <v>33</v>
      </c>
      <c r="I5576" s="7" t="n">
        <f aca="false">IF(AND(LEFT(A5576,1)&lt;&gt;"C",D5576&gt;0,F5576&gt;0),1,0)</f>
        <v>1</v>
      </c>
      <c r="J5576" s="7" t="n">
        <f aca="false">IF(I5576=1,D5576*F5576,0)</f>
        <v>70.8</v>
      </c>
      <c r="K5576" s="7" t="n">
        <f aca="false">YEAR(E5576)*100+MONTH(E5576)</f>
        <v>201111</v>
      </c>
      <c r="L5576" s="7" t="n">
        <f aca="false">IF(AND(A5576&lt;&gt;A5575,LEFT(A5576,1)&lt;&gt;"C"),1,0)</f>
        <v>0</v>
      </c>
    </row>
    <row r="5577" customFormat="false" ht="15" hidden="false" customHeight="false" outlineLevel="0" collapsed="false">
      <c r="A5577" s="0" t="s">
        <v>3065</v>
      </c>
      <c r="B5577" s="0" t="s">
        <v>3074</v>
      </c>
      <c r="C5577" s="0" t="s">
        <v>3075</v>
      </c>
      <c r="D5577" s="0" t="n">
        <v>6</v>
      </c>
      <c r="E5577" s="6" t="n">
        <v>40864.4104166667</v>
      </c>
      <c r="F5577" s="0" t="n">
        <v>8.25</v>
      </c>
      <c r="G5577" s="0" t="n">
        <v>12477</v>
      </c>
      <c r="H5577" s="0" t="s">
        <v>33</v>
      </c>
      <c r="I5577" s="7" t="n">
        <f aca="false">IF(AND(LEFT(A5577,1)&lt;&gt;"C",D5577&gt;0,F5577&gt;0),1,0)</f>
        <v>1</v>
      </c>
      <c r="J5577" s="7" t="n">
        <f aca="false">IF(I5577=1,D5577*F5577,0)</f>
        <v>49.5</v>
      </c>
      <c r="K5577" s="7" t="n">
        <f aca="false">YEAR(E5577)*100+MONTH(E5577)</f>
        <v>201111</v>
      </c>
      <c r="L5577" s="7" t="n">
        <f aca="false">IF(AND(A5577&lt;&gt;A5576,LEFT(A5577,1)&lt;&gt;"C"),1,0)</f>
        <v>0</v>
      </c>
    </row>
    <row r="5578" customFormat="false" ht="15" hidden="false" customHeight="false" outlineLevel="0" collapsed="false">
      <c r="A5578" s="0" t="s">
        <v>3065</v>
      </c>
      <c r="B5578" s="0" t="s">
        <v>1053</v>
      </c>
      <c r="C5578" s="0" t="s">
        <v>1054</v>
      </c>
      <c r="D5578" s="0" t="n">
        <v>10</v>
      </c>
      <c r="E5578" s="6" t="n">
        <v>40864.4104166667</v>
      </c>
      <c r="F5578" s="0" t="n">
        <v>7.08</v>
      </c>
      <c r="G5578" s="0" t="n">
        <v>12477</v>
      </c>
      <c r="H5578" s="0" t="s">
        <v>33</v>
      </c>
      <c r="I5578" s="7" t="n">
        <f aca="false">IF(AND(LEFT(A5578,1)&lt;&gt;"C",D5578&gt;0,F5578&gt;0),1,0)</f>
        <v>1</v>
      </c>
      <c r="J5578" s="7" t="n">
        <f aca="false">IF(I5578=1,D5578*F5578,0)</f>
        <v>70.8</v>
      </c>
      <c r="K5578" s="7" t="n">
        <f aca="false">YEAR(E5578)*100+MONTH(E5578)</f>
        <v>201111</v>
      </c>
      <c r="L5578" s="7" t="n">
        <f aca="false">IF(AND(A5578&lt;&gt;A5577,LEFT(A5578,1)&lt;&gt;"C"),1,0)</f>
        <v>0</v>
      </c>
    </row>
    <row r="5579" customFormat="false" ht="15" hidden="false" customHeight="false" outlineLevel="0" collapsed="false">
      <c r="A5579" s="0" t="s">
        <v>3065</v>
      </c>
      <c r="B5579" s="0" t="s">
        <v>1964</v>
      </c>
      <c r="C5579" s="0" t="s">
        <v>1965</v>
      </c>
      <c r="D5579" s="0" t="n">
        <v>6</v>
      </c>
      <c r="E5579" s="6" t="n">
        <v>40864.4104166667</v>
      </c>
      <c r="F5579" s="0" t="n">
        <v>8.25</v>
      </c>
      <c r="G5579" s="0" t="n">
        <v>12477</v>
      </c>
      <c r="H5579" s="0" t="s">
        <v>33</v>
      </c>
      <c r="I5579" s="7" t="n">
        <f aca="false">IF(AND(LEFT(A5579,1)&lt;&gt;"C",D5579&gt;0,F5579&gt;0),1,0)</f>
        <v>1</v>
      </c>
      <c r="J5579" s="7" t="n">
        <f aca="false">IF(I5579=1,D5579*F5579,0)</f>
        <v>49.5</v>
      </c>
      <c r="K5579" s="7" t="n">
        <f aca="false">YEAR(E5579)*100+MONTH(E5579)</f>
        <v>201111</v>
      </c>
      <c r="L5579" s="7" t="n">
        <f aca="false">IF(AND(A5579&lt;&gt;A5578,LEFT(A5579,1)&lt;&gt;"C"),1,0)</f>
        <v>0</v>
      </c>
    </row>
    <row r="5580" customFormat="false" ht="15" hidden="false" customHeight="false" outlineLevel="0" collapsed="false">
      <c r="A5580" s="0" t="s">
        <v>3065</v>
      </c>
      <c r="B5580" s="0" t="s">
        <v>3076</v>
      </c>
      <c r="C5580" s="0" t="s">
        <v>3077</v>
      </c>
      <c r="D5580" s="0" t="n">
        <v>6</v>
      </c>
      <c r="E5580" s="6" t="n">
        <v>40864.4104166667</v>
      </c>
      <c r="F5580" s="0" t="n">
        <v>8.25</v>
      </c>
      <c r="G5580" s="0" t="n">
        <v>12477</v>
      </c>
      <c r="H5580" s="0" t="s">
        <v>33</v>
      </c>
      <c r="I5580" s="7" t="n">
        <f aca="false">IF(AND(LEFT(A5580,1)&lt;&gt;"C",D5580&gt;0,F5580&gt;0),1,0)</f>
        <v>1</v>
      </c>
      <c r="J5580" s="7" t="n">
        <f aca="false">IF(I5580=1,D5580*F5580,0)</f>
        <v>49.5</v>
      </c>
      <c r="K5580" s="7" t="n">
        <f aca="false">YEAR(E5580)*100+MONTH(E5580)</f>
        <v>201111</v>
      </c>
      <c r="L5580" s="7" t="n">
        <f aca="false">IF(AND(A5580&lt;&gt;A5579,LEFT(A5580,1)&lt;&gt;"C"),1,0)</f>
        <v>0</v>
      </c>
    </row>
    <row r="5581" customFormat="false" ht="15" hidden="false" customHeight="false" outlineLevel="0" collapsed="false">
      <c r="A5581" s="0" t="s">
        <v>3065</v>
      </c>
      <c r="B5581" s="0" t="s">
        <v>3078</v>
      </c>
      <c r="C5581" s="0" t="s">
        <v>3079</v>
      </c>
      <c r="D5581" s="0" t="n">
        <v>24</v>
      </c>
      <c r="E5581" s="6" t="n">
        <v>40864.4104166667</v>
      </c>
      <c r="F5581" s="0" t="n">
        <v>5.95</v>
      </c>
      <c r="G5581" s="0" t="n">
        <v>12477</v>
      </c>
      <c r="H5581" s="0" t="s">
        <v>33</v>
      </c>
      <c r="I5581" s="7" t="n">
        <f aca="false">IF(AND(LEFT(A5581,1)&lt;&gt;"C",D5581&gt;0,F5581&gt;0),1,0)</f>
        <v>1</v>
      </c>
      <c r="J5581" s="7" t="n">
        <f aca="false">IF(I5581=1,D5581*F5581,0)</f>
        <v>142.8</v>
      </c>
      <c r="K5581" s="7" t="n">
        <f aca="false">YEAR(E5581)*100+MONTH(E5581)</f>
        <v>201111</v>
      </c>
      <c r="L5581" s="7" t="n">
        <f aca="false">IF(AND(A5581&lt;&gt;A5580,LEFT(A5581,1)&lt;&gt;"C"),1,0)</f>
        <v>0</v>
      </c>
    </row>
    <row r="5582" customFormat="false" ht="15" hidden="false" customHeight="false" outlineLevel="0" collapsed="false">
      <c r="A5582" s="0" t="s">
        <v>3065</v>
      </c>
      <c r="B5582" s="0" t="s">
        <v>3080</v>
      </c>
      <c r="C5582" s="0" t="s">
        <v>3081</v>
      </c>
      <c r="D5582" s="0" t="n">
        <v>4</v>
      </c>
      <c r="E5582" s="6" t="n">
        <v>40864.4104166667</v>
      </c>
      <c r="F5582" s="0" t="n">
        <v>3.75</v>
      </c>
      <c r="G5582" s="0" t="n">
        <v>12477</v>
      </c>
      <c r="H5582" s="0" t="s">
        <v>33</v>
      </c>
      <c r="I5582" s="7" t="n">
        <f aca="false">IF(AND(LEFT(A5582,1)&lt;&gt;"C",D5582&gt;0,F5582&gt;0),1,0)</f>
        <v>1</v>
      </c>
      <c r="J5582" s="7" t="n">
        <f aca="false">IF(I5582=1,D5582*F5582,0)</f>
        <v>15</v>
      </c>
      <c r="K5582" s="7" t="n">
        <f aca="false">YEAR(E5582)*100+MONTH(E5582)</f>
        <v>201111</v>
      </c>
      <c r="L5582" s="7" t="n">
        <f aca="false">IF(AND(A5582&lt;&gt;A5581,LEFT(A5582,1)&lt;&gt;"C"),1,0)</f>
        <v>0</v>
      </c>
    </row>
    <row r="5583" customFormat="false" ht="15" hidden="false" customHeight="false" outlineLevel="0" collapsed="false">
      <c r="A5583" s="0" t="s">
        <v>3065</v>
      </c>
      <c r="B5583" s="0" t="s">
        <v>341</v>
      </c>
      <c r="C5583" s="0" t="s">
        <v>342</v>
      </c>
      <c r="D5583" s="0" t="n">
        <v>12</v>
      </c>
      <c r="E5583" s="6" t="n">
        <v>40864.4104166667</v>
      </c>
      <c r="F5583" s="0" t="n">
        <v>1.45</v>
      </c>
      <c r="G5583" s="0" t="n">
        <v>12477</v>
      </c>
      <c r="H5583" s="0" t="s">
        <v>33</v>
      </c>
      <c r="I5583" s="7" t="n">
        <f aca="false">IF(AND(LEFT(A5583,1)&lt;&gt;"C",D5583&gt;0,F5583&gt;0),1,0)</f>
        <v>1</v>
      </c>
      <c r="J5583" s="7" t="n">
        <f aca="false">IF(I5583=1,D5583*F5583,0)</f>
        <v>17.4</v>
      </c>
      <c r="K5583" s="7" t="n">
        <f aca="false">YEAR(E5583)*100+MONTH(E5583)</f>
        <v>201111</v>
      </c>
      <c r="L5583" s="7" t="n">
        <f aca="false">IF(AND(A5583&lt;&gt;A5582,LEFT(A5583,1)&lt;&gt;"C"),1,0)</f>
        <v>0</v>
      </c>
    </row>
    <row r="5584" customFormat="false" ht="15" hidden="false" customHeight="false" outlineLevel="0" collapsed="false">
      <c r="A5584" s="0" t="s">
        <v>3065</v>
      </c>
      <c r="B5584" s="0" t="s">
        <v>3082</v>
      </c>
      <c r="C5584" s="0" t="s">
        <v>3083</v>
      </c>
      <c r="D5584" s="0" t="n">
        <v>6</v>
      </c>
      <c r="E5584" s="6" t="n">
        <v>40864.4104166667</v>
      </c>
      <c r="F5584" s="0" t="n">
        <v>2.95</v>
      </c>
      <c r="G5584" s="0" t="n">
        <v>12477</v>
      </c>
      <c r="H5584" s="0" t="s">
        <v>33</v>
      </c>
      <c r="I5584" s="7" t="n">
        <f aca="false">IF(AND(LEFT(A5584,1)&lt;&gt;"C",D5584&gt;0,F5584&gt;0),1,0)</f>
        <v>1</v>
      </c>
      <c r="J5584" s="7" t="n">
        <f aca="false">IF(I5584=1,D5584*F5584,0)</f>
        <v>17.7</v>
      </c>
      <c r="K5584" s="7" t="n">
        <f aca="false">YEAR(E5584)*100+MONTH(E5584)</f>
        <v>201111</v>
      </c>
      <c r="L5584" s="7" t="n">
        <f aca="false">IF(AND(A5584&lt;&gt;A5583,LEFT(A5584,1)&lt;&gt;"C"),1,0)</f>
        <v>0</v>
      </c>
    </row>
    <row r="5585" customFormat="false" ht="15" hidden="false" customHeight="false" outlineLevel="0" collapsed="false">
      <c r="A5585" s="0" t="s">
        <v>3065</v>
      </c>
      <c r="B5585" s="0" t="s">
        <v>911</v>
      </c>
      <c r="C5585" s="0" t="s">
        <v>912</v>
      </c>
      <c r="D5585" s="0" t="n">
        <v>12</v>
      </c>
      <c r="E5585" s="6" t="n">
        <v>40864.4104166667</v>
      </c>
      <c r="F5585" s="0" t="n">
        <v>1.69</v>
      </c>
      <c r="G5585" s="0" t="n">
        <v>12477</v>
      </c>
      <c r="H5585" s="0" t="s">
        <v>33</v>
      </c>
      <c r="I5585" s="7" t="n">
        <f aca="false">IF(AND(LEFT(A5585,1)&lt;&gt;"C",D5585&gt;0,F5585&gt;0),1,0)</f>
        <v>1</v>
      </c>
      <c r="J5585" s="7" t="n">
        <f aca="false">IF(I5585=1,D5585*F5585,0)</f>
        <v>20.28</v>
      </c>
      <c r="K5585" s="7" t="n">
        <f aca="false">YEAR(E5585)*100+MONTH(E5585)</f>
        <v>201111</v>
      </c>
      <c r="L5585" s="7" t="n">
        <f aca="false">IF(AND(A5585&lt;&gt;A5584,LEFT(A5585,1)&lt;&gt;"C"),1,0)</f>
        <v>0</v>
      </c>
    </row>
    <row r="5586" customFormat="false" ht="15" hidden="false" customHeight="false" outlineLevel="0" collapsed="false">
      <c r="A5586" s="0" t="s">
        <v>3065</v>
      </c>
      <c r="B5586" s="0" t="s">
        <v>233</v>
      </c>
      <c r="C5586" s="0" t="s">
        <v>234</v>
      </c>
      <c r="D5586" s="0" t="n">
        <v>12</v>
      </c>
      <c r="E5586" s="6" t="n">
        <v>40864.4104166667</v>
      </c>
      <c r="F5586" s="0" t="n">
        <v>2.1</v>
      </c>
      <c r="G5586" s="0" t="n">
        <v>12477</v>
      </c>
      <c r="H5586" s="0" t="s">
        <v>33</v>
      </c>
      <c r="I5586" s="7" t="n">
        <f aca="false">IF(AND(LEFT(A5586,1)&lt;&gt;"C",D5586&gt;0,F5586&gt;0),1,0)</f>
        <v>1</v>
      </c>
      <c r="J5586" s="7" t="n">
        <f aca="false">IF(I5586=1,D5586*F5586,0)</f>
        <v>25.2</v>
      </c>
      <c r="K5586" s="7" t="n">
        <f aca="false">YEAR(E5586)*100+MONTH(E5586)</f>
        <v>201111</v>
      </c>
      <c r="L5586" s="7" t="n">
        <f aca="false">IF(AND(A5586&lt;&gt;A5585,LEFT(A5586,1)&lt;&gt;"C"),1,0)</f>
        <v>0</v>
      </c>
    </row>
    <row r="5587" customFormat="false" ht="15" hidden="false" customHeight="false" outlineLevel="0" collapsed="false">
      <c r="A5587" s="0" t="s">
        <v>3065</v>
      </c>
      <c r="B5587" s="0" t="s">
        <v>1126</v>
      </c>
      <c r="C5587" s="0" t="s">
        <v>1127</v>
      </c>
      <c r="D5587" s="0" t="n">
        <v>12</v>
      </c>
      <c r="E5587" s="6" t="n">
        <v>40864.4104166667</v>
      </c>
      <c r="F5587" s="0" t="n">
        <v>7.65</v>
      </c>
      <c r="G5587" s="0" t="n">
        <v>12477</v>
      </c>
      <c r="H5587" s="0" t="s">
        <v>33</v>
      </c>
      <c r="I5587" s="7" t="n">
        <f aca="false">IF(AND(LEFT(A5587,1)&lt;&gt;"C",D5587&gt;0,F5587&gt;0),1,0)</f>
        <v>1</v>
      </c>
      <c r="J5587" s="7" t="n">
        <f aca="false">IF(I5587=1,D5587*F5587,0)</f>
        <v>91.8</v>
      </c>
      <c r="K5587" s="7" t="n">
        <f aca="false">YEAR(E5587)*100+MONTH(E5587)</f>
        <v>201111</v>
      </c>
      <c r="L5587" s="7" t="n">
        <f aca="false">IF(AND(A5587&lt;&gt;A5586,LEFT(A5587,1)&lt;&gt;"C"),1,0)</f>
        <v>0</v>
      </c>
    </row>
    <row r="5588" customFormat="false" ht="15" hidden="false" customHeight="false" outlineLevel="0" collapsed="false">
      <c r="A5588" s="0" t="s">
        <v>3065</v>
      </c>
      <c r="B5588" s="0" t="s">
        <v>1128</v>
      </c>
      <c r="C5588" s="0" t="s">
        <v>1129</v>
      </c>
      <c r="D5588" s="0" t="n">
        <v>12</v>
      </c>
      <c r="E5588" s="6" t="n">
        <v>40864.4104166667</v>
      </c>
      <c r="F5588" s="0" t="n">
        <v>7.65</v>
      </c>
      <c r="G5588" s="0" t="n">
        <v>12477</v>
      </c>
      <c r="H5588" s="0" t="s">
        <v>33</v>
      </c>
      <c r="I5588" s="7" t="n">
        <f aca="false">IF(AND(LEFT(A5588,1)&lt;&gt;"C",D5588&gt;0,F5588&gt;0),1,0)</f>
        <v>1</v>
      </c>
      <c r="J5588" s="7" t="n">
        <f aca="false">IF(I5588=1,D5588*F5588,0)</f>
        <v>91.8</v>
      </c>
      <c r="K5588" s="7" t="n">
        <f aca="false">YEAR(E5588)*100+MONTH(E5588)</f>
        <v>201111</v>
      </c>
      <c r="L5588" s="7" t="n">
        <f aca="false">IF(AND(A5588&lt;&gt;A5587,LEFT(A5588,1)&lt;&gt;"C"),1,0)</f>
        <v>0</v>
      </c>
    </row>
    <row r="5589" customFormat="false" ht="15" hidden="false" customHeight="false" outlineLevel="0" collapsed="false">
      <c r="A5589" s="0" t="s">
        <v>3065</v>
      </c>
      <c r="B5589" s="0" t="s">
        <v>2303</v>
      </c>
      <c r="C5589" s="0" t="s">
        <v>2304</v>
      </c>
      <c r="D5589" s="0" t="n">
        <v>12</v>
      </c>
      <c r="E5589" s="6" t="n">
        <v>40864.4104166667</v>
      </c>
      <c r="F5589" s="0" t="n">
        <v>2.1</v>
      </c>
      <c r="G5589" s="0" t="n">
        <v>12477</v>
      </c>
      <c r="H5589" s="0" t="s">
        <v>33</v>
      </c>
      <c r="I5589" s="7" t="n">
        <f aca="false">IF(AND(LEFT(A5589,1)&lt;&gt;"C",D5589&gt;0,F5589&gt;0),1,0)</f>
        <v>1</v>
      </c>
      <c r="J5589" s="7" t="n">
        <f aca="false">IF(I5589=1,D5589*F5589,0)</f>
        <v>25.2</v>
      </c>
      <c r="K5589" s="7" t="n">
        <f aca="false">YEAR(E5589)*100+MONTH(E5589)</f>
        <v>201111</v>
      </c>
      <c r="L5589" s="7" t="n">
        <f aca="false">IF(AND(A5589&lt;&gt;A5588,LEFT(A5589,1)&lt;&gt;"C"),1,0)</f>
        <v>0</v>
      </c>
    </row>
    <row r="5590" customFormat="false" ht="15" hidden="false" customHeight="false" outlineLevel="0" collapsed="false">
      <c r="A5590" s="0" t="s">
        <v>3065</v>
      </c>
      <c r="B5590" s="0" t="s">
        <v>2222</v>
      </c>
      <c r="C5590" s="0" t="s">
        <v>2223</v>
      </c>
      <c r="D5590" s="0" t="n">
        <v>8</v>
      </c>
      <c r="E5590" s="6" t="n">
        <v>40864.4104166667</v>
      </c>
      <c r="F5590" s="0" t="n">
        <v>3.29</v>
      </c>
      <c r="G5590" s="0" t="n">
        <v>12477</v>
      </c>
      <c r="H5590" s="0" t="s">
        <v>33</v>
      </c>
      <c r="I5590" s="7" t="n">
        <f aca="false">IF(AND(LEFT(A5590,1)&lt;&gt;"C",D5590&gt;0,F5590&gt;0),1,0)</f>
        <v>1</v>
      </c>
      <c r="J5590" s="7" t="n">
        <f aca="false">IF(I5590=1,D5590*F5590,0)</f>
        <v>26.32</v>
      </c>
      <c r="K5590" s="7" t="n">
        <f aca="false">YEAR(E5590)*100+MONTH(E5590)</f>
        <v>201111</v>
      </c>
      <c r="L5590" s="7" t="n">
        <f aca="false">IF(AND(A5590&lt;&gt;A5589,LEFT(A5590,1)&lt;&gt;"C"),1,0)</f>
        <v>0</v>
      </c>
    </row>
    <row r="5591" customFormat="false" ht="15" hidden="false" customHeight="false" outlineLevel="0" collapsed="false">
      <c r="A5591" s="0" t="s">
        <v>3065</v>
      </c>
      <c r="B5591" s="0" t="s">
        <v>3084</v>
      </c>
      <c r="C5591" s="0" t="s">
        <v>3085</v>
      </c>
      <c r="D5591" s="0" t="n">
        <v>16</v>
      </c>
      <c r="E5591" s="6" t="n">
        <v>40864.4104166667</v>
      </c>
      <c r="F5591" s="0" t="n">
        <v>4.15</v>
      </c>
      <c r="G5591" s="0" t="n">
        <v>12477</v>
      </c>
      <c r="H5591" s="0" t="s">
        <v>33</v>
      </c>
      <c r="I5591" s="7" t="n">
        <f aca="false">IF(AND(LEFT(A5591,1)&lt;&gt;"C",D5591&gt;0,F5591&gt;0),1,0)</f>
        <v>1</v>
      </c>
      <c r="J5591" s="7" t="n">
        <f aca="false">IF(I5591=1,D5591*F5591,0)</f>
        <v>66.4</v>
      </c>
      <c r="K5591" s="7" t="n">
        <f aca="false">YEAR(E5591)*100+MONTH(E5591)</f>
        <v>201111</v>
      </c>
      <c r="L5591" s="7" t="n">
        <f aca="false">IF(AND(A5591&lt;&gt;A5590,LEFT(A5591,1)&lt;&gt;"C"),1,0)</f>
        <v>0</v>
      </c>
    </row>
    <row r="5592" customFormat="false" ht="15" hidden="false" customHeight="false" outlineLevel="0" collapsed="false">
      <c r="A5592" s="0" t="s">
        <v>3065</v>
      </c>
      <c r="B5592" s="0" t="s">
        <v>228</v>
      </c>
      <c r="C5592" s="0" t="s">
        <v>229</v>
      </c>
      <c r="D5592" s="0" t="n">
        <v>18</v>
      </c>
      <c r="E5592" s="6" t="n">
        <v>40864.4104166667</v>
      </c>
      <c r="F5592" s="0" t="n">
        <v>3.25</v>
      </c>
      <c r="G5592" s="0" t="n">
        <v>12477</v>
      </c>
      <c r="H5592" s="0" t="s">
        <v>33</v>
      </c>
      <c r="I5592" s="7" t="n">
        <f aca="false">IF(AND(LEFT(A5592,1)&lt;&gt;"C",D5592&gt;0,F5592&gt;0),1,0)</f>
        <v>1</v>
      </c>
      <c r="J5592" s="7" t="n">
        <f aca="false">IF(I5592=1,D5592*F5592,0)</f>
        <v>58.5</v>
      </c>
      <c r="K5592" s="7" t="n">
        <f aca="false">YEAR(E5592)*100+MONTH(E5592)</f>
        <v>201111</v>
      </c>
      <c r="L5592" s="7" t="n">
        <f aca="false">IF(AND(A5592&lt;&gt;A5591,LEFT(A5592,1)&lt;&gt;"C"),1,0)</f>
        <v>0</v>
      </c>
    </row>
    <row r="5593" customFormat="false" ht="15" hidden="false" customHeight="false" outlineLevel="0" collapsed="false">
      <c r="A5593" s="0" t="s">
        <v>3065</v>
      </c>
      <c r="B5593" s="0" t="s">
        <v>2076</v>
      </c>
      <c r="C5593" s="0" t="s">
        <v>2077</v>
      </c>
      <c r="D5593" s="0" t="n">
        <v>8</v>
      </c>
      <c r="E5593" s="6" t="n">
        <v>40864.4104166667</v>
      </c>
      <c r="F5593" s="0" t="n">
        <v>4.25</v>
      </c>
      <c r="G5593" s="0" t="n">
        <v>12477</v>
      </c>
      <c r="H5593" s="0" t="s">
        <v>33</v>
      </c>
      <c r="I5593" s="7" t="n">
        <f aca="false">IF(AND(LEFT(A5593,1)&lt;&gt;"C",D5593&gt;0,F5593&gt;0),1,0)</f>
        <v>1</v>
      </c>
      <c r="J5593" s="7" t="n">
        <f aca="false">IF(I5593=1,D5593*F5593,0)</f>
        <v>34</v>
      </c>
      <c r="K5593" s="7" t="n">
        <f aca="false">YEAR(E5593)*100+MONTH(E5593)</f>
        <v>201111</v>
      </c>
      <c r="L5593" s="7" t="n">
        <f aca="false">IF(AND(A5593&lt;&gt;A5592,LEFT(A5593,1)&lt;&gt;"C"),1,0)</f>
        <v>0</v>
      </c>
    </row>
    <row r="5594" customFormat="false" ht="15" hidden="false" customHeight="false" outlineLevel="0" collapsed="false">
      <c r="A5594" s="0" t="s">
        <v>3065</v>
      </c>
      <c r="B5594" s="0" t="s">
        <v>1707</v>
      </c>
      <c r="C5594" s="0" t="s">
        <v>1708</v>
      </c>
      <c r="D5594" s="0" t="n">
        <v>4</v>
      </c>
      <c r="E5594" s="6" t="n">
        <v>40864.4104166667</v>
      </c>
      <c r="F5594" s="0" t="n">
        <v>14.95</v>
      </c>
      <c r="G5594" s="0" t="n">
        <v>12477</v>
      </c>
      <c r="H5594" s="0" t="s">
        <v>33</v>
      </c>
      <c r="I5594" s="7" t="n">
        <f aca="false">IF(AND(LEFT(A5594,1)&lt;&gt;"C",D5594&gt;0,F5594&gt;0),1,0)</f>
        <v>1</v>
      </c>
      <c r="J5594" s="7" t="n">
        <f aca="false">IF(I5594=1,D5594*F5594,0)</f>
        <v>59.8</v>
      </c>
      <c r="K5594" s="7" t="n">
        <f aca="false">YEAR(E5594)*100+MONTH(E5594)</f>
        <v>201111</v>
      </c>
      <c r="L5594" s="7" t="n">
        <f aca="false">IF(AND(A5594&lt;&gt;A5593,LEFT(A5594,1)&lt;&gt;"C"),1,0)</f>
        <v>0</v>
      </c>
    </row>
    <row r="5595" customFormat="false" ht="15" hidden="false" customHeight="false" outlineLevel="0" collapsed="false">
      <c r="A5595" s="0" t="s">
        <v>3065</v>
      </c>
      <c r="B5595" s="0" t="s">
        <v>1523</v>
      </c>
      <c r="C5595" s="0" t="s">
        <v>1524</v>
      </c>
      <c r="D5595" s="0" t="n">
        <v>2</v>
      </c>
      <c r="E5595" s="6" t="n">
        <v>40864.4104166667</v>
      </c>
      <c r="F5595" s="0" t="n">
        <v>10.75</v>
      </c>
      <c r="G5595" s="0" t="n">
        <v>12477</v>
      </c>
      <c r="H5595" s="0" t="s">
        <v>33</v>
      </c>
      <c r="I5595" s="7" t="n">
        <f aca="false">IF(AND(LEFT(A5595,1)&lt;&gt;"C",D5595&gt;0,F5595&gt;0),1,0)</f>
        <v>1</v>
      </c>
      <c r="J5595" s="7" t="n">
        <f aca="false">IF(I5595=1,D5595*F5595,0)</f>
        <v>21.5</v>
      </c>
      <c r="K5595" s="7" t="n">
        <f aca="false">YEAR(E5595)*100+MONTH(E5595)</f>
        <v>201111</v>
      </c>
      <c r="L5595" s="7" t="n">
        <f aca="false">IF(AND(A5595&lt;&gt;A5594,LEFT(A5595,1)&lt;&gt;"C"),1,0)</f>
        <v>0</v>
      </c>
    </row>
    <row r="5596" customFormat="false" ht="15" hidden="false" customHeight="false" outlineLevel="0" collapsed="false">
      <c r="A5596" s="0" t="s">
        <v>3065</v>
      </c>
      <c r="B5596" s="0" t="s">
        <v>420</v>
      </c>
      <c r="C5596" s="0" t="s">
        <v>421</v>
      </c>
      <c r="D5596" s="0" t="n">
        <v>5</v>
      </c>
      <c r="E5596" s="6" t="n">
        <v>40864.4104166667</v>
      </c>
      <c r="F5596" s="0" t="n">
        <v>2.1</v>
      </c>
      <c r="G5596" s="0" t="n">
        <v>12477</v>
      </c>
      <c r="H5596" s="0" t="s">
        <v>33</v>
      </c>
      <c r="I5596" s="7" t="n">
        <f aca="false">IF(AND(LEFT(A5596,1)&lt;&gt;"C",D5596&gt;0,F5596&gt;0),1,0)</f>
        <v>1</v>
      </c>
      <c r="J5596" s="7" t="n">
        <f aca="false">IF(I5596=1,D5596*F5596,0)</f>
        <v>10.5</v>
      </c>
      <c r="K5596" s="7" t="n">
        <f aca="false">YEAR(E5596)*100+MONTH(E5596)</f>
        <v>201111</v>
      </c>
      <c r="L5596" s="7" t="n">
        <f aca="false">IF(AND(A5596&lt;&gt;A5595,LEFT(A5596,1)&lt;&gt;"C"),1,0)</f>
        <v>0</v>
      </c>
    </row>
    <row r="5597" customFormat="false" ht="15" hidden="false" customHeight="false" outlineLevel="0" collapsed="false">
      <c r="A5597" s="0" t="s">
        <v>3065</v>
      </c>
      <c r="B5597" s="0" t="s">
        <v>217</v>
      </c>
      <c r="C5597" s="0" t="s">
        <v>218</v>
      </c>
      <c r="D5597" s="0" t="n">
        <v>24</v>
      </c>
      <c r="E5597" s="6" t="n">
        <v>40864.4104166667</v>
      </c>
      <c r="F5597" s="0" t="n">
        <v>0.55</v>
      </c>
      <c r="G5597" s="0" t="n">
        <v>12477</v>
      </c>
      <c r="H5597" s="0" t="s">
        <v>33</v>
      </c>
      <c r="I5597" s="7" t="n">
        <f aca="false">IF(AND(LEFT(A5597,1)&lt;&gt;"C",D5597&gt;0,F5597&gt;0),1,0)</f>
        <v>1</v>
      </c>
      <c r="J5597" s="7" t="n">
        <f aca="false">IF(I5597=1,D5597*F5597,0)</f>
        <v>13.2</v>
      </c>
      <c r="K5597" s="7" t="n">
        <f aca="false">YEAR(E5597)*100+MONTH(E5597)</f>
        <v>201111</v>
      </c>
      <c r="L5597" s="7" t="n">
        <f aca="false">IF(AND(A5597&lt;&gt;A5596,LEFT(A5597,1)&lt;&gt;"C"),1,0)</f>
        <v>0</v>
      </c>
    </row>
    <row r="5598" customFormat="false" ht="15" hidden="false" customHeight="false" outlineLevel="0" collapsed="false">
      <c r="A5598" s="0" t="s">
        <v>3065</v>
      </c>
      <c r="B5598" s="0" t="s">
        <v>452</v>
      </c>
      <c r="C5598" s="0" t="s">
        <v>453</v>
      </c>
      <c r="D5598" s="0" t="n">
        <v>36</v>
      </c>
      <c r="E5598" s="6" t="n">
        <v>40864.4104166667</v>
      </c>
      <c r="F5598" s="0" t="n">
        <v>7.65</v>
      </c>
      <c r="G5598" s="0" t="n">
        <v>12477</v>
      </c>
      <c r="H5598" s="0" t="s">
        <v>33</v>
      </c>
      <c r="I5598" s="7" t="n">
        <f aca="false">IF(AND(LEFT(A5598,1)&lt;&gt;"C",D5598&gt;0,F5598&gt;0),1,0)</f>
        <v>1</v>
      </c>
      <c r="J5598" s="7" t="n">
        <f aca="false">IF(I5598=1,D5598*F5598,0)</f>
        <v>275.4</v>
      </c>
      <c r="K5598" s="7" t="n">
        <f aca="false">YEAR(E5598)*100+MONTH(E5598)</f>
        <v>201111</v>
      </c>
      <c r="L5598" s="7" t="n">
        <f aca="false">IF(AND(A5598&lt;&gt;A5597,LEFT(A5598,1)&lt;&gt;"C"),1,0)</f>
        <v>0</v>
      </c>
    </row>
    <row r="5599" customFormat="false" ht="15" hidden="false" customHeight="false" outlineLevel="0" collapsed="false">
      <c r="A5599" s="0" t="s">
        <v>3065</v>
      </c>
      <c r="B5599" s="0" t="s">
        <v>1204</v>
      </c>
      <c r="C5599" s="0" t="s">
        <v>1205</v>
      </c>
      <c r="D5599" s="0" t="n">
        <v>3</v>
      </c>
      <c r="E5599" s="6" t="n">
        <v>40864.4104166667</v>
      </c>
      <c r="F5599" s="0" t="n">
        <v>9.95</v>
      </c>
      <c r="G5599" s="0" t="n">
        <v>12477</v>
      </c>
      <c r="H5599" s="0" t="s">
        <v>33</v>
      </c>
      <c r="I5599" s="7" t="n">
        <f aca="false">IF(AND(LEFT(A5599,1)&lt;&gt;"C",D5599&gt;0,F5599&gt;0),1,0)</f>
        <v>1</v>
      </c>
      <c r="J5599" s="7" t="n">
        <f aca="false">IF(I5599=1,D5599*F5599,0)</f>
        <v>29.85</v>
      </c>
      <c r="K5599" s="7" t="n">
        <f aca="false">YEAR(E5599)*100+MONTH(E5599)</f>
        <v>201111</v>
      </c>
      <c r="L5599" s="7" t="n">
        <f aca="false">IF(AND(A5599&lt;&gt;A5598,LEFT(A5599,1)&lt;&gt;"C"),1,0)</f>
        <v>0</v>
      </c>
    </row>
    <row r="5600" customFormat="false" ht="15" hidden="false" customHeight="false" outlineLevel="0" collapsed="false">
      <c r="A5600" s="0" t="s">
        <v>3065</v>
      </c>
      <c r="B5600" s="0" t="s">
        <v>2130</v>
      </c>
      <c r="C5600" s="0" t="s">
        <v>2131</v>
      </c>
      <c r="D5600" s="0" t="n">
        <v>2</v>
      </c>
      <c r="E5600" s="6" t="n">
        <v>40864.4104166667</v>
      </c>
      <c r="F5600" s="0" t="n">
        <v>7.95</v>
      </c>
      <c r="G5600" s="0" t="n">
        <v>12477</v>
      </c>
      <c r="H5600" s="0" t="s">
        <v>33</v>
      </c>
      <c r="I5600" s="7" t="n">
        <f aca="false">IF(AND(LEFT(A5600,1)&lt;&gt;"C",D5600&gt;0,F5600&gt;0),1,0)</f>
        <v>1</v>
      </c>
      <c r="J5600" s="7" t="n">
        <f aca="false">IF(I5600=1,D5600*F5600,0)</f>
        <v>15.9</v>
      </c>
      <c r="K5600" s="7" t="n">
        <f aca="false">YEAR(E5600)*100+MONTH(E5600)</f>
        <v>201111</v>
      </c>
      <c r="L5600" s="7" t="n">
        <f aca="false">IF(AND(A5600&lt;&gt;A5599,LEFT(A5600,1)&lt;&gt;"C"),1,0)</f>
        <v>0</v>
      </c>
    </row>
    <row r="5601" customFormat="false" ht="15" hidden="false" customHeight="false" outlineLevel="0" collapsed="false">
      <c r="A5601" s="0" t="s">
        <v>3065</v>
      </c>
      <c r="B5601" s="0" t="s">
        <v>1459</v>
      </c>
      <c r="C5601" s="0" t="s">
        <v>1460</v>
      </c>
      <c r="D5601" s="0" t="n">
        <v>24</v>
      </c>
      <c r="E5601" s="6" t="n">
        <v>40864.4104166667</v>
      </c>
      <c r="F5601" s="0" t="n">
        <v>3.45</v>
      </c>
      <c r="G5601" s="0" t="n">
        <v>12477</v>
      </c>
      <c r="H5601" s="0" t="s">
        <v>33</v>
      </c>
      <c r="I5601" s="7" t="n">
        <f aca="false">IF(AND(LEFT(A5601,1)&lt;&gt;"C",D5601&gt;0,F5601&gt;0),1,0)</f>
        <v>1</v>
      </c>
      <c r="J5601" s="7" t="n">
        <f aca="false">IF(I5601=1,D5601*F5601,0)</f>
        <v>82.8</v>
      </c>
      <c r="K5601" s="7" t="n">
        <f aca="false">YEAR(E5601)*100+MONTH(E5601)</f>
        <v>201111</v>
      </c>
      <c r="L5601" s="7" t="n">
        <f aca="false">IF(AND(A5601&lt;&gt;A5600,LEFT(A5601,1)&lt;&gt;"C"),1,0)</f>
        <v>0</v>
      </c>
    </row>
    <row r="5602" customFormat="false" ht="15" hidden="false" customHeight="false" outlineLevel="0" collapsed="false">
      <c r="A5602" s="0" t="s">
        <v>3065</v>
      </c>
      <c r="B5602" s="0" t="s">
        <v>960</v>
      </c>
      <c r="C5602" s="0" t="s">
        <v>961</v>
      </c>
      <c r="D5602" s="0" t="n">
        <v>4</v>
      </c>
      <c r="E5602" s="6" t="n">
        <v>40864.4104166667</v>
      </c>
      <c r="F5602" s="0" t="n">
        <v>3.95</v>
      </c>
      <c r="G5602" s="0" t="n">
        <v>12477</v>
      </c>
      <c r="H5602" s="0" t="s">
        <v>33</v>
      </c>
      <c r="I5602" s="7" t="n">
        <f aca="false">IF(AND(LEFT(A5602,1)&lt;&gt;"C",D5602&gt;0,F5602&gt;0),1,0)</f>
        <v>1</v>
      </c>
      <c r="J5602" s="7" t="n">
        <f aca="false">IF(I5602=1,D5602*F5602,0)</f>
        <v>15.8</v>
      </c>
      <c r="K5602" s="7" t="n">
        <f aca="false">YEAR(E5602)*100+MONTH(E5602)</f>
        <v>201111</v>
      </c>
      <c r="L5602" s="7" t="n">
        <f aca="false">IF(AND(A5602&lt;&gt;A5601,LEFT(A5602,1)&lt;&gt;"C"),1,0)</f>
        <v>0</v>
      </c>
    </row>
    <row r="5603" customFormat="false" ht="15" hidden="false" customHeight="false" outlineLevel="0" collapsed="false">
      <c r="A5603" s="0" t="s">
        <v>3065</v>
      </c>
      <c r="B5603" s="0" t="s">
        <v>1323</v>
      </c>
      <c r="C5603" s="0" t="s">
        <v>1324</v>
      </c>
      <c r="D5603" s="0" t="n">
        <v>4</v>
      </c>
      <c r="E5603" s="6" t="n">
        <v>40864.4104166667</v>
      </c>
      <c r="F5603" s="0" t="n">
        <v>4.95</v>
      </c>
      <c r="G5603" s="0" t="n">
        <v>12477</v>
      </c>
      <c r="H5603" s="0" t="s">
        <v>33</v>
      </c>
      <c r="I5603" s="7" t="n">
        <f aca="false">IF(AND(LEFT(A5603,1)&lt;&gt;"C",D5603&gt;0,F5603&gt;0),1,0)</f>
        <v>1</v>
      </c>
      <c r="J5603" s="7" t="n">
        <f aca="false">IF(I5603=1,D5603*F5603,0)</f>
        <v>19.8</v>
      </c>
      <c r="K5603" s="7" t="n">
        <f aca="false">YEAR(E5603)*100+MONTH(E5603)</f>
        <v>201111</v>
      </c>
      <c r="L5603" s="7" t="n">
        <f aca="false">IF(AND(A5603&lt;&gt;A5602,LEFT(A5603,1)&lt;&gt;"C"),1,0)</f>
        <v>0</v>
      </c>
    </row>
    <row r="5604" customFormat="false" ht="15" hidden="false" customHeight="false" outlineLevel="0" collapsed="false">
      <c r="A5604" s="0" t="s">
        <v>3065</v>
      </c>
      <c r="B5604" s="0" t="s">
        <v>1825</v>
      </c>
      <c r="C5604" s="0" t="s">
        <v>1826</v>
      </c>
      <c r="D5604" s="0" t="n">
        <v>6</v>
      </c>
      <c r="E5604" s="6" t="n">
        <v>40864.4104166667</v>
      </c>
      <c r="F5604" s="0" t="n">
        <v>2.1</v>
      </c>
      <c r="G5604" s="0" t="n">
        <v>12477</v>
      </c>
      <c r="H5604" s="0" t="s">
        <v>33</v>
      </c>
      <c r="I5604" s="7" t="n">
        <f aca="false">IF(AND(LEFT(A5604,1)&lt;&gt;"C",D5604&gt;0,F5604&gt;0),1,0)</f>
        <v>1</v>
      </c>
      <c r="J5604" s="7" t="n">
        <f aca="false">IF(I5604=1,D5604*F5604,0)</f>
        <v>12.6</v>
      </c>
      <c r="K5604" s="7" t="n">
        <f aca="false">YEAR(E5604)*100+MONTH(E5604)</f>
        <v>201111</v>
      </c>
      <c r="L5604" s="7" t="n">
        <f aca="false">IF(AND(A5604&lt;&gt;A5603,LEFT(A5604,1)&lt;&gt;"C"),1,0)</f>
        <v>0</v>
      </c>
    </row>
    <row r="5605" customFormat="false" ht="15" hidden="false" customHeight="false" outlineLevel="0" collapsed="false">
      <c r="A5605" s="0" t="s">
        <v>3065</v>
      </c>
      <c r="B5605" s="0" t="s">
        <v>1827</v>
      </c>
      <c r="C5605" s="0" t="s">
        <v>1828</v>
      </c>
      <c r="D5605" s="0" t="n">
        <v>4</v>
      </c>
      <c r="E5605" s="6" t="n">
        <v>40864.4104166667</v>
      </c>
      <c r="F5605" s="0" t="n">
        <v>3.75</v>
      </c>
      <c r="G5605" s="0" t="n">
        <v>12477</v>
      </c>
      <c r="H5605" s="0" t="s">
        <v>33</v>
      </c>
      <c r="I5605" s="7" t="n">
        <f aca="false">IF(AND(LEFT(A5605,1)&lt;&gt;"C",D5605&gt;0,F5605&gt;0),1,0)</f>
        <v>1</v>
      </c>
      <c r="J5605" s="7" t="n">
        <f aca="false">IF(I5605=1,D5605*F5605,0)</f>
        <v>15</v>
      </c>
      <c r="K5605" s="7" t="n">
        <f aca="false">YEAR(E5605)*100+MONTH(E5605)</f>
        <v>201111</v>
      </c>
      <c r="L5605" s="7" t="n">
        <f aca="false">IF(AND(A5605&lt;&gt;A5604,LEFT(A5605,1)&lt;&gt;"C"),1,0)</f>
        <v>0</v>
      </c>
    </row>
    <row r="5606" customFormat="false" ht="15" hidden="false" customHeight="false" outlineLevel="0" collapsed="false">
      <c r="A5606" s="0" t="s">
        <v>3086</v>
      </c>
      <c r="B5606" s="0" t="s">
        <v>503</v>
      </c>
      <c r="C5606" s="0" t="s">
        <v>504</v>
      </c>
      <c r="D5606" s="0" t="n">
        <v>25</v>
      </c>
      <c r="E5606" s="6" t="n">
        <v>40864.4597222222</v>
      </c>
      <c r="F5606" s="0" t="n">
        <v>0.42</v>
      </c>
      <c r="G5606" s="0" t="n">
        <v>12567</v>
      </c>
      <c r="H5606" s="0" t="s">
        <v>43</v>
      </c>
      <c r="I5606" s="7" t="n">
        <f aca="false">IF(AND(LEFT(A5606,1)&lt;&gt;"C",D5606&gt;0,F5606&gt;0),1,0)</f>
        <v>1</v>
      </c>
      <c r="J5606" s="7" t="n">
        <f aca="false">IF(I5606=1,D5606*F5606,0)</f>
        <v>10.5</v>
      </c>
      <c r="K5606" s="7" t="n">
        <f aca="false">YEAR(E5606)*100+MONTH(E5606)</f>
        <v>201111</v>
      </c>
      <c r="L5606" s="7" t="n">
        <f aca="false">IF(AND(A5606&lt;&gt;A5605,LEFT(A5606,1)&lt;&gt;"C"),1,0)</f>
        <v>1</v>
      </c>
    </row>
    <row r="5607" customFormat="false" ht="15" hidden="false" customHeight="false" outlineLevel="0" collapsed="false">
      <c r="A5607" s="0" t="s">
        <v>3086</v>
      </c>
      <c r="B5607" s="0" t="s">
        <v>1187</v>
      </c>
      <c r="C5607" s="0" t="s">
        <v>1188</v>
      </c>
      <c r="D5607" s="0" t="n">
        <v>3</v>
      </c>
      <c r="E5607" s="6" t="n">
        <v>40864.4597222222</v>
      </c>
      <c r="F5607" s="0" t="n">
        <v>5.95</v>
      </c>
      <c r="G5607" s="0" t="n">
        <v>12567</v>
      </c>
      <c r="H5607" s="0" t="s">
        <v>43</v>
      </c>
      <c r="I5607" s="7" t="n">
        <f aca="false">IF(AND(LEFT(A5607,1)&lt;&gt;"C",D5607&gt;0,F5607&gt;0),1,0)</f>
        <v>1</v>
      </c>
      <c r="J5607" s="7" t="n">
        <f aca="false">IF(I5607=1,D5607*F5607,0)</f>
        <v>17.85</v>
      </c>
      <c r="K5607" s="7" t="n">
        <f aca="false">YEAR(E5607)*100+MONTH(E5607)</f>
        <v>201111</v>
      </c>
      <c r="L5607" s="7" t="n">
        <f aca="false">IF(AND(A5607&lt;&gt;A5606,LEFT(A5607,1)&lt;&gt;"C"),1,0)</f>
        <v>0</v>
      </c>
    </row>
    <row r="5608" customFormat="false" ht="15" hidden="false" customHeight="false" outlineLevel="0" collapsed="false">
      <c r="A5608" s="0" t="s">
        <v>3086</v>
      </c>
      <c r="B5608" s="0" t="s">
        <v>2450</v>
      </c>
      <c r="C5608" s="0" t="s">
        <v>2451</v>
      </c>
      <c r="D5608" s="0" t="n">
        <v>4</v>
      </c>
      <c r="E5608" s="6" t="n">
        <v>40864.4597222222</v>
      </c>
      <c r="F5608" s="0" t="n">
        <v>16.95</v>
      </c>
      <c r="G5608" s="0" t="n">
        <v>12567</v>
      </c>
      <c r="H5608" s="0" t="s">
        <v>43</v>
      </c>
      <c r="I5608" s="7" t="n">
        <f aca="false">IF(AND(LEFT(A5608,1)&lt;&gt;"C",D5608&gt;0,F5608&gt;0),1,0)</f>
        <v>1</v>
      </c>
      <c r="J5608" s="7" t="n">
        <f aca="false">IF(I5608=1,D5608*F5608,0)</f>
        <v>67.8</v>
      </c>
      <c r="K5608" s="7" t="n">
        <f aca="false">YEAR(E5608)*100+MONTH(E5608)</f>
        <v>201111</v>
      </c>
      <c r="L5608" s="7" t="n">
        <f aca="false">IF(AND(A5608&lt;&gt;A5607,LEFT(A5608,1)&lt;&gt;"C"),1,0)</f>
        <v>0</v>
      </c>
    </row>
    <row r="5609" customFormat="false" ht="15" hidden="false" customHeight="false" outlineLevel="0" collapsed="false">
      <c r="A5609" s="0" t="s">
        <v>3086</v>
      </c>
      <c r="B5609" s="0" t="s">
        <v>1794</v>
      </c>
      <c r="C5609" s="0" t="s">
        <v>1795</v>
      </c>
      <c r="D5609" s="0" t="n">
        <v>6</v>
      </c>
      <c r="E5609" s="6" t="n">
        <v>40864.4597222222</v>
      </c>
      <c r="F5609" s="0" t="n">
        <v>2.49</v>
      </c>
      <c r="G5609" s="0" t="n">
        <v>12567</v>
      </c>
      <c r="H5609" s="0" t="s">
        <v>43</v>
      </c>
      <c r="I5609" s="7" t="n">
        <f aca="false">IF(AND(LEFT(A5609,1)&lt;&gt;"C",D5609&gt;0,F5609&gt;0),1,0)</f>
        <v>1</v>
      </c>
      <c r="J5609" s="7" t="n">
        <f aca="false">IF(I5609=1,D5609*F5609,0)</f>
        <v>14.94</v>
      </c>
      <c r="K5609" s="7" t="n">
        <f aca="false">YEAR(E5609)*100+MONTH(E5609)</f>
        <v>201111</v>
      </c>
      <c r="L5609" s="7" t="n">
        <f aca="false">IF(AND(A5609&lt;&gt;A5608,LEFT(A5609,1)&lt;&gt;"C"),1,0)</f>
        <v>0</v>
      </c>
    </row>
    <row r="5610" customFormat="false" ht="15" hidden="false" customHeight="false" outlineLevel="0" collapsed="false">
      <c r="A5610" s="0" t="s">
        <v>3086</v>
      </c>
      <c r="B5610" s="0" t="s">
        <v>739</v>
      </c>
      <c r="C5610" s="0" t="s">
        <v>740</v>
      </c>
      <c r="D5610" s="0" t="n">
        <v>12</v>
      </c>
      <c r="E5610" s="6" t="n">
        <v>40864.4597222222</v>
      </c>
      <c r="F5610" s="0" t="n">
        <v>2.89</v>
      </c>
      <c r="G5610" s="0" t="n">
        <v>12567</v>
      </c>
      <c r="H5610" s="0" t="s">
        <v>43</v>
      </c>
      <c r="I5610" s="7" t="n">
        <f aca="false">IF(AND(LEFT(A5610,1)&lt;&gt;"C",D5610&gt;0,F5610&gt;0),1,0)</f>
        <v>1</v>
      </c>
      <c r="J5610" s="7" t="n">
        <f aca="false">IF(I5610=1,D5610*F5610,0)</f>
        <v>34.68</v>
      </c>
      <c r="K5610" s="7" t="n">
        <f aca="false">YEAR(E5610)*100+MONTH(E5610)</f>
        <v>201111</v>
      </c>
      <c r="L5610" s="7" t="n">
        <f aca="false">IF(AND(A5610&lt;&gt;A5609,LEFT(A5610,1)&lt;&gt;"C"),1,0)</f>
        <v>0</v>
      </c>
    </row>
    <row r="5611" customFormat="false" ht="15" hidden="false" customHeight="false" outlineLevel="0" collapsed="false">
      <c r="A5611" s="0" t="s">
        <v>3086</v>
      </c>
      <c r="B5611" s="0" t="s">
        <v>1173</v>
      </c>
      <c r="C5611" s="0" t="s">
        <v>1174</v>
      </c>
      <c r="D5611" s="0" t="n">
        <v>3</v>
      </c>
      <c r="E5611" s="6" t="n">
        <v>40864.4597222222</v>
      </c>
      <c r="F5611" s="0" t="n">
        <v>5.95</v>
      </c>
      <c r="G5611" s="0" t="n">
        <v>12567</v>
      </c>
      <c r="H5611" s="0" t="s">
        <v>43</v>
      </c>
      <c r="I5611" s="7" t="n">
        <f aca="false">IF(AND(LEFT(A5611,1)&lt;&gt;"C",D5611&gt;0,F5611&gt;0),1,0)</f>
        <v>1</v>
      </c>
      <c r="J5611" s="7" t="n">
        <f aca="false">IF(I5611=1,D5611*F5611,0)</f>
        <v>17.85</v>
      </c>
      <c r="K5611" s="7" t="n">
        <f aca="false">YEAR(E5611)*100+MONTH(E5611)</f>
        <v>201111</v>
      </c>
      <c r="L5611" s="7" t="n">
        <f aca="false">IF(AND(A5611&lt;&gt;A5610,LEFT(A5611,1)&lt;&gt;"C"),1,0)</f>
        <v>0</v>
      </c>
    </row>
    <row r="5612" customFormat="false" ht="15" hidden="false" customHeight="false" outlineLevel="0" collapsed="false">
      <c r="A5612" s="0" t="s">
        <v>3086</v>
      </c>
      <c r="B5612" s="0" t="s">
        <v>2708</v>
      </c>
      <c r="C5612" s="0" t="s">
        <v>2709</v>
      </c>
      <c r="D5612" s="0" t="n">
        <v>12</v>
      </c>
      <c r="E5612" s="6" t="n">
        <v>40864.4597222222</v>
      </c>
      <c r="F5612" s="0" t="n">
        <v>1.25</v>
      </c>
      <c r="G5612" s="0" t="n">
        <v>12567</v>
      </c>
      <c r="H5612" s="0" t="s">
        <v>43</v>
      </c>
      <c r="I5612" s="7" t="n">
        <f aca="false">IF(AND(LEFT(A5612,1)&lt;&gt;"C",D5612&gt;0,F5612&gt;0),1,0)</f>
        <v>1</v>
      </c>
      <c r="J5612" s="7" t="n">
        <f aca="false">IF(I5612=1,D5612*F5612,0)</f>
        <v>15</v>
      </c>
      <c r="K5612" s="7" t="n">
        <f aca="false">YEAR(E5612)*100+MONTH(E5612)</f>
        <v>201111</v>
      </c>
      <c r="L5612" s="7" t="n">
        <f aca="false">IF(AND(A5612&lt;&gt;A5611,LEFT(A5612,1)&lt;&gt;"C"),1,0)</f>
        <v>0</v>
      </c>
    </row>
    <row r="5613" customFormat="false" ht="15" hidden="false" customHeight="false" outlineLevel="0" collapsed="false">
      <c r="A5613" s="0" t="s">
        <v>3086</v>
      </c>
      <c r="B5613" s="0" t="s">
        <v>647</v>
      </c>
      <c r="C5613" s="0" t="s">
        <v>648</v>
      </c>
      <c r="D5613" s="0" t="n">
        <v>8</v>
      </c>
      <c r="E5613" s="6" t="n">
        <v>40864.4597222222</v>
      </c>
      <c r="F5613" s="0" t="n">
        <v>4.25</v>
      </c>
      <c r="G5613" s="0" t="n">
        <v>12567</v>
      </c>
      <c r="H5613" s="0" t="s">
        <v>43</v>
      </c>
      <c r="I5613" s="7" t="n">
        <f aca="false">IF(AND(LEFT(A5613,1)&lt;&gt;"C",D5613&gt;0,F5613&gt;0),1,0)</f>
        <v>1</v>
      </c>
      <c r="J5613" s="7" t="n">
        <f aca="false">IF(I5613=1,D5613*F5613,0)</f>
        <v>34</v>
      </c>
      <c r="K5613" s="7" t="n">
        <f aca="false">YEAR(E5613)*100+MONTH(E5613)</f>
        <v>201111</v>
      </c>
      <c r="L5613" s="7" t="n">
        <f aca="false">IF(AND(A5613&lt;&gt;A5612,LEFT(A5613,1)&lt;&gt;"C"),1,0)</f>
        <v>0</v>
      </c>
    </row>
    <row r="5614" customFormat="false" ht="15" hidden="false" customHeight="false" outlineLevel="0" collapsed="false">
      <c r="A5614" s="0" t="s">
        <v>3086</v>
      </c>
      <c r="B5614" s="0" t="s">
        <v>2320</v>
      </c>
      <c r="C5614" s="0" t="s">
        <v>2321</v>
      </c>
      <c r="D5614" s="0" t="n">
        <v>6</v>
      </c>
      <c r="E5614" s="6" t="n">
        <v>40864.4597222222</v>
      </c>
      <c r="F5614" s="0" t="n">
        <v>2.1</v>
      </c>
      <c r="G5614" s="0" t="n">
        <v>12567</v>
      </c>
      <c r="H5614" s="0" t="s">
        <v>43</v>
      </c>
      <c r="I5614" s="7" t="n">
        <f aca="false">IF(AND(LEFT(A5614,1)&lt;&gt;"C",D5614&gt;0,F5614&gt;0),1,0)</f>
        <v>1</v>
      </c>
      <c r="J5614" s="7" t="n">
        <f aca="false">IF(I5614=1,D5614*F5614,0)</f>
        <v>12.6</v>
      </c>
      <c r="K5614" s="7" t="n">
        <f aca="false">YEAR(E5614)*100+MONTH(E5614)</f>
        <v>201111</v>
      </c>
      <c r="L5614" s="7" t="n">
        <f aca="false">IF(AND(A5614&lt;&gt;A5613,LEFT(A5614,1)&lt;&gt;"C"),1,0)</f>
        <v>0</v>
      </c>
    </row>
    <row r="5615" customFormat="false" ht="15" hidden="false" customHeight="false" outlineLevel="0" collapsed="false">
      <c r="A5615" s="0" t="s">
        <v>3086</v>
      </c>
      <c r="B5615" s="0" t="s">
        <v>1559</v>
      </c>
      <c r="C5615" s="0" t="s">
        <v>1560</v>
      </c>
      <c r="D5615" s="0" t="n">
        <v>6</v>
      </c>
      <c r="E5615" s="6" t="n">
        <v>40864.4597222222</v>
      </c>
      <c r="F5615" s="0" t="n">
        <v>2.1</v>
      </c>
      <c r="G5615" s="0" t="n">
        <v>12567</v>
      </c>
      <c r="H5615" s="0" t="s">
        <v>43</v>
      </c>
      <c r="I5615" s="7" t="n">
        <f aca="false">IF(AND(LEFT(A5615,1)&lt;&gt;"C",D5615&gt;0,F5615&gt;0),1,0)</f>
        <v>1</v>
      </c>
      <c r="J5615" s="7" t="n">
        <f aca="false">IF(I5615=1,D5615*F5615,0)</f>
        <v>12.6</v>
      </c>
      <c r="K5615" s="7" t="n">
        <f aca="false">YEAR(E5615)*100+MONTH(E5615)</f>
        <v>201111</v>
      </c>
      <c r="L5615" s="7" t="n">
        <f aca="false">IF(AND(A5615&lt;&gt;A5614,LEFT(A5615,1)&lt;&gt;"C"),1,0)</f>
        <v>0</v>
      </c>
    </row>
    <row r="5616" customFormat="false" ht="15" hidden="false" customHeight="false" outlineLevel="0" collapsed="false">
      <c r="A5616" s="0" t="s">
        <v>3086</v>
      </c>
      <c r="B5616" s="0" t="s">
        <v>3087</v>
      </c>
      <c r="C5616" s="0" t="s">
        <v>3088</v>
      </c>
      <c r="D5616" s="0" t="n">
        <v>6</v>
      </c>
      <c r="E5616" s="6" t="n">
        <v>40864.4597222222</v>
      </c>
      <c r="F5616" s="0" t="n">
        <v>4.95</v>
      </c>
      <c r="G5616" s="0" t="n">
        <v>12567</v>
      </c>
      <c r="H5616" s="0" t="s">
        <v>43</v>
      </c>
      <c r="I5616" s="7" t="n">
        <f aca="false">IF(AND(LEFT(A5616,1)&lt;&gt;"C",D5616&gt;0,F5616&gt;0),1,0)</f>
        <v>1</v>
      </c>
      <c r="J5616" s="7" t="n">
        <f aca="false">IF(I5616=1,D5616*F5616,0)</f>
        <v>29.7</v>
      </c>
      <c r="K5616" s="7" t="n">
        <f aca="false">YEAR(E5616)*100+MONTH(E5616)</f>
        <v>201111</v>
      </c>
      <c r="L5616" s="7" t="n">
        <f aca="false">IF(AND(A5616&lt;&gt;A5615,LEFT(A5616,1)&lt;&gt;"C"),1,0)</f>
        <v>0</v>
      </c>
    </row>
    <row r="5617" customFormat="false" ht="15" hidden="false" customHeight="false" outlineLevel="0" collapsed="false">
      <c r="A5617" s="0" t="s">
        <v>3086</v>
      </c>
      <c r="B5617" s="0" t="s">
        <v>3089</v>
      </c>
      <c r="C5617" s="0" t="s">
        <v>3090</v>
      </c>
      <c r="D5617" s="0" t="n">
        <v>6</v>
      </c>
      <c r="E5617" s="6" t="n">
        <v>40864.4597222222</v>
      </c>
      <c r="F5617" s="0" t="n">
        <v>4.95</v>
      </c>
      <c r="G5617" s="0" t="n">
        <v>12567</v>
      </c>
      <c r="H5617" s="0" t="s">
        <v>43</v>
      </c>
      <c r="I5617" s="7" t="n">
        <f aca="false">IF(AND(LEFT(A5617,1)&lt;&gt;"C",D5617&gt;0,F5617&gt;0),1,0)</f>
        <v>1</v>
      </c>
      <c r="J5617" s="7" t="n">
        <f aca="false">IF(I5617=1,D5617*F5617,0)</f>
        <v>29.7</v>
      </c>
      <c r="K5617" s="7" t="n">
        <f aca="false">YEAR(E5617)*100+MONTH(E5617)</f>
        <v>201111</v>
      </c>
      <c r="L5617" s="7" t="n">
        <f aca="false">IF(AND(A5617&lt;&gt;A5616,LEFT(A5617,1)&lt;&gt;"C"),1,0)</f>
        <v>0</v>
      </c>
    </row>
    <row r="5618" customFormat="false" ht="15" hidden="false" customHeight="false" outlineLevel="0" collapsed="false">
      <c r="A5618" s="0" t="s">
        <v>3086</v>
      </c>
      <c r="B5618" s="0" t="s">
        <v>3091</v>
      </c>
      <c r="C5618" s="0" t="s">
        <v>3092</v>
      </c>
      <c r="D5618" s="0" t="n">
        <v>6</v>
      </c>
      <c r="E5618" s="6" t="n">
        <v>40864.4597222222</v>
      </c>
      <c r="F5618" s="0" t="n">
        <v>3.75</v>
      </c>
      <c r="G5618" s="0" t="n">
        <v>12567</v>
      </c>
      <c r="H5618" s="0" t="s">
        <v>43</v>
      </c>
      <c r="I5618" s="7" t="n">
        <f aca="false">IF(AND(LEFT(A5618,1)&lt;&gt;"C",D5618&gt;0,F5618&gt;0),1,0)</f>
        <v>1</v>
      </c>
      <c r="J5618" s="7" t="n">
        <f aca="false">IF(I5618=1,D5618*F5618,0)</f>
        <v>22.5</v>
      </c>
      <c r="K5618" s="7" t="n">
        <f aca="false">YEAR(E5618)*100+MONTH(E5618)</f>
        <v>201111</v>
      </c>
      <c r="L5618" s="7" t="n">
        <f aca="false">IF(AND(A5618&lt;&gt;A5617,LEFT(A5618,1)&lt;&gt;"C"),1,0)</f>
        <v>0</v>
      </c>
    </row>
    <row r="5619" customFormat="false" ht="15" hidden="false" customHeight="false" outlineLevel="0" collapsed="false">
      <c r="A5619" s="0" t="s">
        <v>3086</v>
      </c>
      <c r="B5619" s="0" t="s">
        <v>1282</v>
      </c>
      <c r="C5619" s="0" t="s">
        <v>1283</v>
      </c>
      <c r="D5619" s="0" t="n">
        <v>5</v>
      </c>
      <c r="E5619" s="6" t="n">
        <v>40864.4597222222</v>
      </c>
      <c r="F5619" s="0" t="n">
        <v>4.95</v>
      </c>
      <c r="G5619" s="0" t="n">
        <v>12567</v>
      </c>
      <c r="H5619" s="0" t="s">
        <v>43</v>
      </c>
      <c r="I5619" s="7" t="n">
        <f aca="false">IF(AND(LEFT(A5619,1)&lt;&gt;"C",D5619&gt;0,F5619&gt;0),1,0)</f>
        <v>1</v>
      </c>
      <c r="J5619" s="7" t="n">
        <f aca="false">IF(I5619=1,D5619*F5619,0)</f>
        <v>24.75</v>
      </c>
      <c r="K5619" s="7" t="n">
        <f aca="false">YEAR(E5619)*100+MONTH(E5619)</f>
        <v>201111</v>
      </c>
      <c r="L5619" s="7" t="n">
        <f aca="false">IF(AND(A5619&lt;&gt;A5618,LEFT(A5619,1)&lt;&gt;"C"),1,0)</f>
        <v>0</v>
      </c>
    </row>
    <row r="5620" customFormat="false" ht="15" hidden="false" customHeight="false" outlineLevel="0" collapsed="false">
      <c r="A5620" s="0" t="s">
        <v>3086</v>
      </c>
      <c r="B5620" s="0" t="s">
        <v>2168</v>
      </c>
      <c r="C5620" s="0" t="s">
        <v>2169</v>
      </c>
      <c r="D5620" s="0" t="n">
        <v>48</v>
      </c>
      <c r="E5620" s="6" t="n">
        <v>40864.4597222222</v>
      </c>
      <c r="F5620" s="0" t="n">
        <v>0.39</v>
      </c>
      <c r="G5620" s="0" t="n">
        <v>12567</v>
      </c>
      <c r="H5620" s="0" t="s">
        <v>43</v>
      </c>
      <c r="I5620" s="7" t="n">
        <f aca="false">IF(AND(LEFT(A5620,1)&lt;&gt;"C",D5620&gt;0,F5620&gt;0),1,0)</f>
        <v>1</v>
      </c>
      <c r="J5620" s="7" t="n">
        <f aca="false">IF(I5620=1,D5620*F5620,0)</f>
        <v>18.72</v>
      </c>
      <c r="K5620" s="7" t="n">
        <f aca="false">YEAR(E5620)*100+MONTH(E5620)</f>
        <v>201111</v>
      </c>
      <c r="L5620" s="7" t="n">
        <f aca="false">IF(AND(A5620&lt;&gt;A5619,LEFT(A5620,1)&lt;&gt;"C"),1,0)</f>
        <v>0</v>
      </c>
    </row>
    <row r="5621" customFormat="false" ht="15" hidden="false" customHeight="false" outlineLevel="0" collapsed="false">
      <c r="A5621" s="0" t="s">
        <v>3086</v>
      </c>
      <c r="B5621" s="0" t="s">
        <v>697</v>
      </c>
      <c r="C5621" s="0" t="s">
        <v>698</v>
      </c>
      <c r="D5621" s="0" t="n">
        <v>12</v>
      </c>
      <c r="E5621" s="6" t="n">
        <v>40864.4597222222</v>
      </c>
      <c r="F5621" s="0" t="n">
        <v>1.69</v>
      </c>
      <c r="G5621" s="0" t="n">
        <v>12567</v>
      </c>
      <c r="H5621" s="0" t="s">
        <v>43</v>
      </c>
      <c r="I5621" s="7" t="n">
        <f aca="false">IF(AND(LEFT(A5621,1)&lt;&gt;"C",D5621&gt;0,F5621&gt;0),1,0)</f>
        <v>1</v>
      </c>
      <c r="J5621" s="7" t="n">
        <f aca="false">IF(I5621=1,D5621*F5621,0)</f>
        <v>20.28</v>
      </c>
      <c r="K5621" s="7" t="n">
        <f aca="false">YEAR(E5621)*100+MONTH(E5621)</f>
        <v>201111</v>
      </c>
      <c r="L5621" s="7" t="n">
        <f aca="false">IF(AND(A5621&lt;&gt;A5620,LEFT(A5621,1)&lt;&gt;"C"),1,0)</f>
        <v>0</v>
      </c>
    </row>
    <row r="5622" customFormat="false" ht="15" hidden="false" customHeight="false" outlineLevel="0" collapsed="false">
      <c r="A5622" s="0" t="s">
        <v>3086</v>
      </c>
      <c r="B5622" s="0" t="s">
        <v>153</v>
      </c>
      <c r="C5622" s="0" t="s">
        <v>154</v>
      </c>
      <c r="D5622" s="0" t="n">
        <v>12</v>
      </c>
      <c r="E5622" s="6" t="n">
        <v>40864.4597222222</v>
      </c>
      <c r="F5622" s="0" t="n">
        <v>0.39</v>
      </c>
      <c r="G5622" s="0" t="n">
        <v>12567</v>
      </c>
      <c r="H5622" s="0" t="s">
        <v>43</v>
      </c>
      <c r="I5622" s="7" t="n">
        <f aca="false">IF(AND(LEFT(A5622,1)&lt;&gt;"C",D5622&gt;0,F5622&gt;0),1,0)</f>
        <v>1</v>
      </c>
      <c r="J5622" s="7" t="n">
        <f aca="false">IF(I5622=1,D5622*F5622,0)</f>
        <v>4.68</v>
      </c>
      <c r="K5622" s="7" t="n">
        <f aca="false">YEAR(E5622)*100+MONTH(E5622)</f>
        <v>201111</v>
      </c>
      <c r="L5622" s="7" t="n">
        <f aca="false">IF(AND(A5622&lt;&gt;A5621,LEFT(A5622,1)&lt;&gt;"C"),1,0)</f>
        <v>0</v>
      </c>
    </row>
    <row r="5623" customFormat="false" ht="15" hidden="false" customHeight="false" outlineLevel="0" collapsed="false">
      <c r="A5623" s="0" t="s">
        <v>3086</v>
      </c>
      <c r="B5623" s="0" t="s">
        <v>3093</v>
      </c>
      <c r="C5623" s="0" t="s">
        <v>3094</v>
      </c>
      <c r="D5623" s="0" t="n">
        <v>12</v>
      </c>
      <c r="E5623" s="6" t="n">
        <v>40864.4597222222</v>
      </c>
      <c r="F5623" s="0" t="n">
        <v>0.65</v>
      </c>
      <c r="G5623" s="0" t="n">
        <v>12567</v>
      </c>
      <c r="H5623" s="0" t="s">
        <v>43</v>
      </c>
      <c r="I5623" s="7" t="n">
        <f aca="false">IF(AND(LEFT(A5623,1)&lt;&gt;"C",D5623&gt;0,F5623&gt;0),1,0)</f>
        <v>1</v>
      </c>
      <c r="J5623" s="7" t="n">
        <f aca="false">IF(I5623=1,D5623*F5623,0)</f>
        <v>7.8</v>
      </c>
      <c r="K5623" s="7" t="n">
        <f aca="false">YEAR(E5623)*100+MONTH(E5623)</f>
        <v>201111</v>
      </c>
      <c r="L5623" s="7" t="n">
        <f aca="false">IF(AND(A5623&lt;&gt;A5622,LEFT(A5623,1)&lt;&gt;"C"),1,0)</f>
        <v>0</v>
      </c>
    </row>
    <row r="5624" customFormat="false" ht="15" hidden="false" customHeight="false" outlineLevel="0" collapsed="false">
      <c r="A5624" s="0" t="s">
        <v>3086</v>
      </c>
      <c r="B5624" s="0" t="s">
        <v>3095</v>
      </c>
      <c r="C5624" s="0" t="s">
        <v>3096</v>
      </c>
      <c r="D5624" s="0" t="n">
        <v>2</v>
      </c>
      <c r="E5624" s="6" t="n">
        <v>40864.4597222222</v>
      </c>
      <c r="F5624" s="0" t="n">
        <v>5.95</v>
      </c>
      <c r="G5624" s="0" t="n">
        <v>12567</v>
      </c>
      <c r="H5624" s="0" t="s">
        <v>43</v>
      </c>
      <c r="I5624" s="7" t="n">
        <f aca="false">IF(AND(LEFT(A5624,1)&lt;&gt;"C",D5624&gt;0,F5624&gt;0),1,0)</f>
        <v>1</v>
      </c>
      <c r="J5624" s="7" t="n">
        <f aca="false">IF(I5624=1,D5624*F5624,0)</f>
        <v>11.9</v>
      </c>
      <c r="K5624" s="7" t="n">
        <f aca="false">YEAR(E5624)*100+MONTH(E5624)</f>
        <v>201111</v>
      </c>
      <c r="L5624" s="7" t="n">
        <f aca="false">IF(AND(A5624&lt;&gt;A5623,LEFT(A5624,1)&lt;&gt;"C"),1,0)</f>
        <v>0</v>
      </c>
    </row>
    <row r="5625" customFormat="false" ht="15" hidden="false" customHeight="false" outlineLevel="0" collapsed="false">
      <c r="A5625" s="0" t="s">
        <v>3086</v>
      </c>
      <c r="B5625" s="0" t="s">
        <v>766</v>
      </c>
      <c r="C5625" s="0" t="s">
        <v>767</v>
      </c>
      <c r="D5625" s="0" t="n">
        <v>8</v>
      </c>
      <c r="E5625" s="6" t="n">
        <v>40864.4597222222</v>
      </c>
      <c r="F5625" s="0" t="n">
        <v>2.25</v>
      </c>
      <c r="G5625" s="0" t="n">
        <v>12567</v>
      </c>
      <c r="H5625" s="0" t="s">
        <v>43</v>
      </c>
      <c r="I5625" s="7" t="n">
        <f aca="false">IF(AND(LEFT(A5625,1)&lt;&gt;"C",D5625&gt;0,F5625&gt;0),1,0)</f>
        <v>1</v>
      </c>
      <c r="J5625" s="7" t="n">
        <f aca="false">IF(I5625=1,D5625*F5625,0)</f>
        <v>18</v>
      </c>
      <c r="K5625" s="7" t="n">
        <f aca="false">YEAR(E5625)*100+MONTH(E5625)</f>
        <v>201111</v>
      </c>
      <c r="L5625" s="7" t="n">
        <f aca="false">IF(AND(A5625&lt;&gt;A5624,LEFT(A5625,1)&lt;&gt;"C"),1,0)</f>
        <v>0</v>
      </c>
    </row>
    <row r="5626" customFormat="false" ht="15" hidden="false" customHeight="false" outlineLevel="0" collapsed="false">
      <c r="A5626" s="0" t="s">
        <v>3086</v>
      </c>
      <c r="B5626" s="0" t="s">
        <v>3097</v>
      </c>
      <c r="C5626" s="0" t="s">
        <v>3098</v>
      </c>
      <c r="D5626" s="0" t="n">
        <v>8</v>
      </c>
      <c r="E5626" s="6" t="n">
        <v>40864.4597222222</v>
      </c>
      <c r="F5626" s="0" t="n">
        <v>2.25</v>
      </c>
      <c r="G5626" s="0" t="n">
        <v>12567</v>
      </c>
      <c r="H5626" s="0" t="s">
        <v>43</v>
      </c>
      <c r="I5626" s="7" t="n">
        <f aca="false">IF(AND(LEFT(A5626,1)&lt;&gt;"C",D5626&gt;0,F5626&gt;0),1,0)</f>
        <v>1</v>
      </c>
      <c r="J5626" s="7" t="n">
        <f aca="false">IF(I5626=1,D5626*F5626,0)</f>
        <v>18</v>
      </c>
      <c r="K5626" s="7" t="n">
        <f aca="false">YEAR(E5626)*100+MONTH(E5626)</f>
        <v>201111</v>
      </c>
      <c r="L5626" s="7" t="n">
        <f aca="false">IF(AND(A5626&lt;&gt;A5625,LEFT(A5626,1)&lt;&gt;"C"),1,0)</f>
        <v>0</v>
      </c>
    </row>
    <row r="5627" customFormat="false" ht="15" hidden="false" customHeight="false" outlineLevel="0" collapsed="false">
      <c r="A5627" s="0" t="s">
        <v>3086</v>
      </c>
      <c r="B5627" s="0" t="s">
        <v>525</v>
      </c>
      <c r="C5627" s="0" t="s">
        <v>526</v>
      </c>
      <c r="D5627" s="0" t="n">
        <v>6</v>
      </c>
      <c r="E5627" s="6" t="n">
        <v>40864.4597222222</v>
      </c>
      <c r="F5627" s="0" t="n">
        <v>2.95</v>
      </c>
      <c r="G5627" s="0" t="n">
        <v>12567</v>
      </c>
      <c r="H5627" s="0" t="s">
        <v>43</v>
      </c>
      <c r="I5627" s="7" t="n">
        <f aca="false">IF(AND(LEFT(A5627,1)&lt;&gt;"C",D5627&gt;0,F5627&gt;0),1,0)</f>
        <v>1</v>
      </c>
      <c r="J5627" s="7" t="n">
        <f aca="false">IF(I5627=1,D5627*F5627,0)</f>
        <v>17.7</v>
      </c>
      <c r="K5627" s="7" t="n">
        <f aca="false">YEAR(E5627)*100+MONTH(E5627)</f>
        <v>201111</v>
      </c>
      <c r="L5627" s="7" t="n">
        <f aca="false">IF(AND(A5627&lt;&gt;A5626,LEFT(A5627,1)&lt;&gt;"C"),1,0)</f>
        <v>0</v>
      </c>
    </row>
    <row r="5628" customFormat="false" ht="15" hidden="false" customHeight="false" outlineLevel="0" collapsed="false">
      <c r="A5628" s="0" t="s">
        <v>3086</v>
      </c>
      <c r="B5628" s="0" t="s">
        <v>655</v>
      </c>
      <c r="C5628" s="0" t="s">
        <v>656</v>
      </c>
      <c r="D5628" s="0" t="n">
        <v>4</v>
      </c>
      <c r="E5628" s="6" t="n">
        <v>40864.4597222222</v>
      </c>
      <c r="F5628" s="0" t="n">
        <v>3.75</v>
      </c>
      <c r="G5628" s="0" t="n">
        <v>12567</v>
      </c>
      <c r="H5628" s="0" t="s">
        <v>43</v>
      </c>
      <c r="I5628" s="7" t="n">
        <f aca="false">IF(AND(LEFT(A5628,1)&lt;&gt;"C",D5628&gt;0,F5628&gt;0),1,0)</f>
        <v>1</v>
      </c>
      <c r="J5628" s="7" t="n">
        <f aca="false">IF(I5628=1,D5628*F5628,0)</f>
        <v>15</v>
      </c>
      <c r="K5628" s="7" t="n">
        <f aca="false">YEAR(E5628)*100+MONTH(E5628)</f>
        <v>201111</v>
      </c>
      <c r="L5628" s="7" t="n">
        <f aca="false">IF(AND(A5628&lt;&gt;A5627,LEFT(A5628,1)&lt;&gt;"C"),1,0)</f>
        <v>0</v>
      </c>
    </row>
    <row r="5629" customFormat="false" ht="15" hidden="false" customHeight="false" outlineLevel="0" collapsed="false">
      <c r="A5629" s="0" t="s">
        <v>3086</v>
      </c>
      <c r="B5629" s="0" t="s">
        <v>1774</v>
      </c>
      <c r="C5629" s="0" t="s">
        <v>1775</v>
      </c>
      <c r="D5629" s="0" t="n">
        <v>4</v>
      </c>
      <c r="E5629" s="6" t="n">
        <v>40864.4597222222</v>
      </c>
      <c r="F5629" s="0" t="n">
        <v>3.75</v>
      </c>
      <c r="G5629" s="0" t="n">
        <v>12567</v>
      </c>
      <c r="H5629" s="0" t="s">
        <v>43</v>
      </c>
      <c r="I5629" s="7" t="n">
        <f aca="false">IF(AND(LEFT(A5629,1)&lt;&gt;"C",D5629&gt;0,F5629&gt;0),1,0)</f>
        <v>1</v>
      </c>
      <c r="J5629" s="7" t="n">
        <f aca="false">IF(I5629=1,D5629*F5629,0)</f>
        <v>15</v>
      </c>
      <c r="K5629" s="7" t="n">
        <f aca="false">YEAR(E5629)*100+MONTH(E5629)</f>
        <v>201111</v>
      </c>
      <c r="L5629" s="7" t="n">
        <f aca="false">IF(AND(A5629&lt;&gt;A5628,LEFT(A5629,1)&lt;&gt;"C"),1,0)</f>
        <v>0</v>
      </c>
    </row>
    <row r="5630" customFormat="false" ht="15" hidden="false" customHeight="false" outlineLevel="0" collapsed="false">
      <c r="A5630" s="0" t="s">
        <v>3086</v>
      </c>
      <c r="B5630" s="0" t="s">
        <v>3099</v>
      </c>
      <c r="C5630" s="0" t="s">
        <v>3100</v>
      </c>
      <c r="D5630" s="0" t="n">
        <v>4</v>
      </c>
      <c r="E5630" s="6" t="n">
        <v>40864.4597222222</v>
      </c>
      <c r="F5630" s="0" t="n">
        <v>4.95</v>
      </c>
      <c r="G5630" s="0" t="n">
        <v>12567</v>
      </c>
      <c r="H5630" s="0" t="s">
        <v>43</v>
      </c>
      <c r="I5630" s="7" t="n">
        <f aca="false">IF(AND(LEFT(A5630,1)&lt;&gt;"C",D5630&gt;0,F5630&gt;0),1,0)</f>
        <v>1</v>
      </c>
      <c r="J5630" s="7" t="n">
        <f aca="false">IF(I5630=1,D5630*F5630,0)</f>
        <v>19.8</v>
      </c>
      <c r="K5630" s="7" t="n">
        <f aca="false">YEAR(E5630)*100+MONTH(E5630)</f>
        <v>201111</v>
      </c>
      <c r="L5630" s="7" t="n">
        <f aca="false">IF(AND(A5630&lt;&gt;A5629,LEFT(A5630,1)&lt;&gt;"C"),1,0)</f>
        <v>0</v>
      </c>
    </row>
    <row r="5631" customFormat="false" ht="15" hidden="false" customHeight="false" outlineLevel="0" collapsed="false">
      <c r="A5631" s="0" t="s">
        <v>3086</v>
      </c>
      <c r="B5631" s="0" t="s">
        <v>68</v>
      </c>
      <c r="C5631" s="0" t="s">
        <v>69</v>
      </c>
      <c r="D5631" s="0" t="n">
        <v>10</v>
      </c>
      <c r="E5631" s="6" t="n">
        <v>40864.4597222222</v>
      </c>
      <c r="F5631" s="0" t="n">
        <v>1.65</v>
      </c>
      <c r="G5631" s="0" t="n">
        <v>12567</v>
      </c>
      <c r="H5631" s="0" t="s">
        <v>43</v>
      </c>
      <c r="I5631" s="7" t="n">
        <f aca="false">IF(AND(LEFT(A5631,1)&lt;&gt;"C",D5631&gt;0,F5631&gt;0),1,0)</f>
        <v>1</v>
      </c>
      <c r="J5631" s="7" t="n">
        <f aca="false">IF(I5631=1,D5631*F5631,0)</f>
        <v>16.5</v>
      </c>
      <c r="K5631" s="7" t="n">
        <f aca="false">YEAR(E5631)*100+MONTH(E5631)</f>
        <v>201111</v>
      </c>
      <c r="L5631" s="7" t="n">
        <f aca="false">IF(AND(A5631&lt;&gt;A5630,LEFT(A5631,1)&lt;&gt;"C"),1,0)</f>
        <v>0</v>
      </c>
    </row>
    <row r="5632" customFormat="false" ht="15" hidden="false" customHeight="false" outlineLevel="0" collapsed="false">
      <c r="A5632" s="0" t="s">
        <v>3086</v>
      </c>
      <c r="B5632" s="0" t="s">
        <v>70</v>
      </c>
      <c r="C5632" s="0" t="s">
        <v>71</v>
      </c>
      <c r="D5632" s="0" t="n">
        <v>10</v>
      </c>
      <c r="E5632" s="6" t="n">
        <v>40864.4597222222</v>
      </c>
      <c r="F5632" s="0" t="n">
        <v>1.65</v>
      </c>
      <c r="G5632" s="0" t="n">
        <v>12567</v>
      </c>
      <c r="H5632" s="0" t="s">
        <v>43</v>
      </c>
      <c r="I5632" s="7" t="n">
        <f aca="false">IF(AND(LEFT(A5632,1)&lt;&gt;"C",D5632&gt;0,F5632&gt;0),1,0)</f>
        <v>1</v>
      </c>
      <c r="J5632" s="7" t="n">
        <f aca="false">IF(I5632=1,D5632*F5632,0)</f>
        <v>16.5</v>
      </c>
      <c r="K5632" s="7" t="n">
        <f aca="false">YEAR(E5632)*100+MONTH(E5632)</f>
        <v>201111</v>
      </c>
      <c r="L5632" s="7" t="n">
        <f aca="false">IF(AND(A5632&lt;&gt;A5631,LEFT(A5632,1)&lt;&gt;"C"),1,0)</f>
        <v>0</v>
      </c>
    </row>
    <row r="5633" customFormat="false" ht="15" hidden="false" customHeight="false" outlineLevel="0" collapsed="false">
      <c r="A5633" s="0" t="s">
        <v>3086</v>
      </c>
      <c r="B5633" s="0" t="s">
        <v>159</v>
      </c>
      <c r="C5633" s="0" t="s">
        <v>160</v>
      </c>
      <c r="D5633" s="0" t="n">
        <v>6</v>
      </c>
      <c r="E5633" s="6" t="n">
        <v>40864.4597222222</v>
      </c>
      <c r="F5633" s="0" t="n">
        <v>2.55</v>
      </c>
      <c r="G5633" s="0" t="n">
        <v>12567</v>
      </c>
      <c r="H5633" s="0" t="s">
        <v>43</v>
      </c>
      <c r="I5633" s="7" t="n">
        <f aca="false">IF(AND(LEFT(A5633,1)&lt;&gt;"C",D5633&gt;0,F5633&gt;0),1,0)</f>
        <v>1</v>
      </c>
      <c r="J5633" s="7" t="n">
        <f aca="false">IF(I5633=1,D5633*F5633,0)</f>
        <v>15.3</v>
      </c>
      <c r="K5633" s="7" t="n">
        <f aca="false">YEAR(E5633)*100+MONTH(E5633)</f>
        <v>201111</v>
      </c>
      <c r="L5633" s="7" t="n">
        <f aca="false">IF(AND(A5633&lt;&gt;A5632,LEFT(A5633,1)&lt;&gt;"C"),1,0)</f>
        <v>0</v>
      </c>
    </row>
    <row r="5634" customFormat="false" ht="15" hidden="false" customHeight="false" outlineLevel="0" collapsed="false">
      <c r="A5634" s="0" t="s">
        <v>3086</v>
      </c>
      <c r="B5634" s="0" t="s">
        <v>123</v>
      </c>
      <c r="C5634" s="0" t="s">
        <v>124</v>
      </c>
      <c r="D5634" s="0" t="n">
        <v>6</v>
      </c>
      <c r="E5634" s="6" t="n">
        <v>40864.4597222222</v>
      </c>
      <c r="F5634" s="0" t="n">
        <v>2.95</v>
      </c>
      <c r="G5634" s="0" t="n">
        <v>12567</v>
      </c>
      <c r="H5634" s="0" t="s">
        <v>43</v>
      </c>
      <c r="I5634" s="7" t="n">
        <f aca="false">IF(AND(LEFT(A5634,1)&lt;&gt;"C",D5634&gt;0,F5634&gt;0),1,0)</f>
        <v>1</v>
      </c>
      <c r="J5634" s="7" t="n">
        <f aca="false">IF(I5634=1,D5634*F5634,0)</f>
        <v>17.7</v>
      </c>
      <c r="K5634" s="7" t="n">
        <f aca="false">YEAR(E5634)*100+MONTH(E5634)</f>
        <v>201111</v>
      </c>
      <c r="L5634" s="7" t="n">
        <f aca="false">IF(AND(A5634&lt;&gt;A5633,LEFT(A5634,1)&lt;&gt;"C"),1,0)</f>
        <v>0</v>
      </c>
    </row>
    <row r="5635" customFormat="false" ht="15" hidden="false" customHeight="false" outlineLevel="0" collapsed="false">
      <c r="A5635" s="0" t="s">
        <v>3086</v>
      </c>
      <c r="B5635" s="0" t="s">
        <v>588</v>
      </c>
      <c r="C5635" s="0" t="s">
        <v>589</v>
      </c>
      <c r="D5635" s="0" t="n">
        <v>10</v>
      </c>
      <c r="E5635" s="6" t="n">
        <v>40864.4597222222</v>
      </c>
      <c r="F5635" s="0" t="n">
        <v>1.65</v>
      </c>
      <c r="G5635" s="0" t="n">
        <v>12567</v>
      </c>
      <c r="H5635" s="0" t="s">
        <v>43</v>
      </c>
      <c r="I5635" s="7" t="n">
        <f aca="false">IF(AND(LEFT(A5635,1)&lt;&gt;"C",D5635&gt;0,F5635&gt;0),1,0)</f>
        <v>1</v>
      </c>
      <c r="J5635" s="7" t="n">
        <f aca="false">IF(I5635=1,D5635*F5635,0)</f>
        <v>16.5</v>
      </c>
      <c r="K5635" s="7" t="n">
        <f aca="false">YEAR(E5635)*100+MONTH(E5635)</f>
        <v>201111</v>
      </c>
      <c r="L5635" s="7" t="n">
        <f aca="false">IF(AND(A5635&lt;&gt;A5634,LEFT(A5635,1)&lt;&gt;"C"),1,0)</f>
        <v>0</v>
      </c>
    </row>
    <row r="5636" customFormat="false" ht="15" hidden="false" customHeight="false" outlineLevel="0" collapsed="false">
      <c r="A5636" s="0" t="s">
        <v>3086</v>
      </c>
      <c r="B5636" s="0" t="s">
        <v>359</v>
      </c>
      <c r="C5636" s="0" t="s">
        <v>360</v>
      </c>
      <c r="D5636" s="0" t="n">
        <v>6</v>
      </c>
      <c r="E5636" s="6" t="n">
        <v>40864.4597222222</v>
      </c>
      <c r="F5636" s="0" t="n">
        <v>2.95</v>
      </c>
      <c r="G5636" s="0" t="n">
        <v>12567</v>
      </c>
      <c r="H5636" s="0" t="s">
        <v>43</v>
      </c>
      <c r="I5636" s="7" t="n">
        <f aca="false">IF(AND(LEFT(A5636,1)&lt;&gt;"C",D5636&gt;0,F5636&gt;0),1,0)</f>
        <v>1</v>
      </c>
      <c r="J5636" s="7" t="n">
        <f aca="false">IF(I5636=1,D5636*F5636,0)</f>
        <v>17.7</v>
      </c>
      <c r="K5636" s="7" t="n">
        <f aca="false">YEAR(E5636)*100+MONTH(E5636)</f>
        <v>201111</v>
      </c>
      <c r="L5636" s="7" t="n">
        <f aca="false">IF(AND(A5636&lt;&gt;A5635,LEFT(A5636,1)&lt;&gt;"C"),1,0)</f>
        <v>0</v>
      </c>
    </row>
    <row r="5637" customFormat="false" ht="15" hidden="false" customHeight="false" outlineLevel="0" collapsed="false">
      <c r="A5637" s="0" t="s">
        <v>3086</v>
      </c>
      <c r="B5637" s="0" t="s">
        <v>610</v>
      </c>
      <c r="C5637" s="0" t="s">
        <v>611</v>
      </c>
      <c r="D5637" s="0" t="n">
        <v>6</v>
      </c>
      <c r="E5637" s="6" t="n">
        <v>40864.4597222222</v>
      </c>
      <c r="F5637" s="0" t="n">
        <v>2.95</v>
      </c>
      <c r="G5637" s="0" t="n">
        <v>12567</v>
      </c>
      <c r="H5637" s="0" t="s">
        <v>43</v>
      </c>
      <c r="I5637" s="7" t="n">
        <f aca="false">IF(AND(LEFT(A5637,1)&lt;&gt;"C",D5637&gt;0,F5637&gt;0),1,0)</f>
        <v>1</v>
      </c>
      <c r="J5637" s="7" t="n">
        <f aca="false">IF(I5637=1,D5637*F5637,0)</f>
        <v>17.7</v>
      </c>
      <c r="K5637" s="7" t="n">
        <f aca="false">YEAR(E5637)*100+MONTH(E5637)</f>
        <v>201111</v>
      </c>
      <c r="L5637" s="7" t="n">
        <f aca="false">IF(AND(A5637&lt;&gt;A5636,LEFT(A5637,1)&lt;&gt;"C"),1,0)</f>
        <v>0</v>
      </c>
    </row>
    <row r="5638" customFormat="false" ht="15" hidden="false" customHeight="false" outlineLevel="0" collapsed="false">
      <c r="A5638" s="0" t="s">
        <v>3086</v>
      </c>
      <c r="B5638" s="0" t="s">
        <v>74</v>
      </c>
      <c r="C5638" s="0" t="s">
        <v>75</v>
      </c>
      <c r="D5638" s="0" t="n">
        <v>12</v>
      </c>
      <c r="E5638" s="6" t="n">
        <v>40864.4597222222</v>
      </c>
      <c r="F5638" s="0" t="n">
        <v>1.95</v>
      </c>
      <c r="G5638" s="0" t="n">
        <v>12567</v>
      </c>
      <c r="H5638" s="0" t="s">
        <v>43</v>
      </c>
      <c r="I5638" s="7" t="n">
        <f aca="false">IF(AND(LEFT(A5638,1)&lt;&gt;"C",D5638&gt;0,F5638&gt;0),1,0)</f>
        <v>1</v>
      </c>
      <c r="J5638" s="7" t="n">
        <f aca="false">IF(I5638=1,D5638*F5638,0)</f>
        <v>23.4</v>
      </c>
      <c r="K5638" s="7" t="n">
        <f aca="false">YEAR(E5638)*100+MONTH(E5638)</f>
        <v>201111</v>
      </c>
      <c r="L5638" s="7" t="n">
        <f aca="false">IF(AND(A5638&lt;&gt;A5637,LEFT(A5638,1)&lt;&gt;"C"),1,0)</f>
        <v>0</v>
      </c>
    </row>
    <row r="5639" customFormat="false" ht="15" hidden="false" customHeight="false" outlineLevel="0" collapsed="false">
      <c r="A5639" s="0" t="s">
        <v>3086</v>
      </c>
      <c r="B5639" s="0" t="s">
        <v>1000</v>
      </c>
      <c r="C5639" s="0" t="s">
        <v>1001</v>
      </c>
      <c r="D5639" s="0" t="n">
        <v>4</v>
      </c>
      <c r="E5639" s="6" t="n">
        <v>40864.4597222222</v>
      </c>
      <c r="F5639" s="0" t="n">
        <v>4.95</v>
      </c>
      <c r="G5639" s="0" t="n">
        <v>12567</v>
      </c>
      <c r="H5639" s="0" t="s">
        <v>43</v>
      </c>
      <c r="I5639" s="7" t="n">
        <f aca="false">IF(AND(LEFT(A5639,1)&lt;&gt;"C",D5639&gt;0,F5639&gt;0),1,0)</f>
        <v>1</v>
      </c>
      <c r="J5639" s="7" t="n">
        <f aca="false">IF(I5639=1,D5639*F5639,0)</f>
        <v>19.8</v>
      </c>
      <c r="K5639" s="7" t="n">
        <f aca="false">YEAR(E5639)*100+MONTH(E5639)</f>
        <v>201111</v>
      </c>
      <c r="L5639" s="7" t="n">
        <f aca="false">IF(AND(A5639&lt;&gt;A5638,LEFT(A5639,1)&lt;&gt;"C"),1,0)</f>
        <v>0</v>
      </c>
    </row>
    <row r="5640" customFormat="false" ht="15" hidden="false" customHeight="false" outlineLevel="0" collapsed="false">
      <c r="A5640" s="0" t="s">
        <v>3086</v>
      </c>
      <c r="B5640" s="0" t="s">
        <v>58</v>
      </c>
      <c r="C5640" s="0" t="s">
        <v>59</v>
      </c>
      <c r="D5640" s="0" t="n">
        <v>6</v>
      </c>
      <c r="E5640" s="6" t="n">
        <v>40864.4597222222</v>
      </c>
      <c r="F5640" s="0" t="n">
        <v>2.55</v>
      </c>
      <c r="G5640" s="0" t="n">
        <v>12567</v>
      </c>
      <c r="H5640" s="0" t="s">
        <v>43</v>
      </c>
      <c r="I5640" s="7" t="n">
        <f aca="false">IF(AND(LEFT(A5640,1)&lt;&gt;"C",D5640&gt;0,F5640&gt;0),1,0)</f>
        <v>1</v>
      </c>
      <c r="J5640" s="7" t="n">
        <f aca="false">IF(I5640=1,D5640*F5640,0)</f>
        <v>15.3</v>
      </c>
      <c r="K5640" s="7" t="n">
        <f aca="false">YEAR(E5640)*100+MONTH(E5640)</f>
        <v>201111</v>
      </c>
      <c r="L5640" s="7" t="n">
        <f aca="false">IF(AND(A5640&lt;&gt;A5639,LEFT(A5640,1)&lt;&gt;"C"),1,0)</f>
        <v>0</v>
      </c>
    </row>
    <row r="5641" customFormat="false" ht="15" hidden="false" customHeight="false" outlineLevel="0" collapsed="false">
      <c r="A5641" s="0" t="s">
        <v>3086</v>
      </c>
      <c r="B5641" s="0" t="s">
        <v>557</v>
      </c>
      <c r="C5641" s="0" t="s">
        <v>558</v>
      </c>
      <c r="D5641" s="0" t="n">
        <v>12</v>
      </c>
      <c r="E5641" s="6" t="n">
        <v>40864.4597222222</v>
      </c>
      <c r="F5641" s="0" t="n">
        <v>1.95</v>
      </c>
      <c r="G5641" s="0" t="n">
        <v>12567</v>
      </c>
      <c r="H5641" s="0" t="s">
        <v>43</v>
      </c>
      <c r="I5641" s="7" t="n">
        <f aca="false">IF(AND(LEFT(A5641,1)&lt;&gt;"C",D5641&gt;0,F5641&gt;0),1,0)</f>
        <v>1</v>
      </c>
      <c r="J5641" s="7" t="n">
        <f aca="false">IF(I5641=1,D5641*F5641,0)</f>
        <v>23.4</v>
      </c>
      <c r="K5641" s="7" t="n">
        <f aca="false">YEAR(E5641)*100+MONTH(E5641)</f>
        <v>201111</v>
      </c>
      <c r="L5641" s="7" t="n">
        <f aca="false">IF(AND(A5641&lt;&gt;A5640,LEFT(A5641,1)&lt;&gt;"C"),1,0)</f>
        <v>0</v>
      </c>
    </row>
    <row r="5642" customFormat="false" ht="15" hidden="false" customHeight="false" outlineLevel="0" collapsed="false">
      <c r="A5642" s="0" t="s">
        <v>3086</v>
      </c>
      <c r="B5642" s="0" t="s">
        <v>72</v>
      </c>
      <c r="C5642" s="0" t="s">
        <v>73</v>
      </c>
      <c r="D5642" s="0" t="n">
        <v>12</v>
      </c>
      <c r="E5642" s="6" t="n">
        <v>40864.4597222222</v>
      </c>
      <c r="F5642" s="0" t="n">
        <v>1.95</v>
      </c>
      <c r="G5642" s="0" t="n">
        <v>12567</v>
      </c>
      <c r="H5642" s="0" t="s">
        <v>43</v>
      </c>
      <c r="I5642" s="7" t="n">
        <f aca="false">IF(AND(LEFT(A5642,1)&lt;&gt;"C",D5642&gt;0,F5642&gt;0),1,0)</f>
        <v>1</v>
      </c>
      <c r="J5642" s="7" t="n">
        <f aca="false">IF(I5642=1,D5642*F5642,0)</f>
        <v>23.4</v>
      </c>
      <c r="K5642" s="7" t="n">
        <f aca="false">YEAR(E5642)*100+MONTH(E5642)</f>
        <v>201111</v>
      </c>
      <c r="L5642" s="7" t="n">
        <f aca="false">IF(AND(A5642&lt;&gt;A5641,LEFT(A5642,1)&lt;&gt;"C"),1,0)</f>
        <v>0</v>
      </c>
    </row>
    <row r="5643" customFormat="false" ht="15" hidden="false" customHeight="false" outlineLevel="0" collapsed="false">
      <c r="A5643" s="0" t="s">
        <v>3086</v>
      </c>
      <c r="B5643" s="0" t="s">
        <v>78</v>
      </c>
      <c r="C5643" s="0" t="s">
        <v>79</v>
      </c>
      <c r="D5643" s="0" t="n">
        <v>10</v>
      </c>
      <c r="E5643" s="6" t="n">
        <v>40864.4597222222</v>
      </c>
      <c r="F5643" s="0" t="n">
        <v>1.65</v>
      </c>
      <c r="G5643" s="0" t="n">
        <v>12567</v>
      </c>
      <c r="H5643" s="0" t="s">
        <v>43</v>
      </c>
      <c r="I5643" s="7" t="n">
        <f aca="false">IF(AND(LEFT(A5643,1)&lt;&gt;"C",D5643&gt;0,F5643&gt;0),1,0)</f>
        <v>1</v>
      </c>
      <c r="J5643" s="7" t="n">
        <f aca="false">IF(I5643=1,D5643*F5643,0)</f>
        <v>16.5</v>
      </c>
      <c r="K5643" s="7" t="n">
        <f aca="false">YEAR(E5643)*100+MONTH(E5643)</f>
        <v>201111</v>
      </c>
      <c r="L5643" s="7" t="n">
        <f aca="false">IF(AND(A5643&lt;&gt;A5642,LEFT(A5643,1)&lt;&gt;"C"),1,0)</f>
        <v>0</v>
      </c>
    </row>
    <row r="5644" customFormat="false" ht="15" hidden="false" customHeight="false" outlineLevel="0" collapsed="false">
      <c r="A5644" s="0" t="s">
        <v>3086</v>
      </c>
      <c r="B5644" s="0" t="s">
        <v>1652</v>
      </c>
      <c r="C5644" s="0" t="s">
        <v>1653</v>
      </c>
      <c r="D5644" s="0" t="n">
        <v>3</v>
      </c>
      <c r="E5644" s="6" t="n">
        <v>40864.4597222222</v>
      </c>
      <c r="F5644" s="0" t="n">
        <v>4.95</v>
      </c>
      <c r="G5644" s="0" t="n">
        <v>12567</v>
      </c>
      <c r="H5644" s="0" t="s">
        <v>43</v>
      </c>
      <c r="I5644" s="7" t="n">
        <f aca="false">IF(AND(LEFT(A5644,1)&lt;&gt;"C",D5644&gt;0,F5644&gt;0),1,0)</f>
        <v>1</v>
      </c>
      <c r="J5644" s="7" t="n">
        <f aca="false">IF(I5644=1,D5644*F5644,0)</f>
        <v>14.85</v>
      </c>
      <c r="K5644" s="7" t="n">
        <f aca="false">YEAR(E5644)*100+MONTH(E5644)</f>
        <v>201111</v>
      </c>
      <c r="L5644" s="7" t="n">
        <f aca="false">IF(AND(A5644&lt;&gt;A5643,LEFT(A5644,1)&lt;&gt;"C"),1,0)</f>
        <v>0</v>
      </c>
    </row>
    <row r="5645" customFormat="false" ht="15" hidden="false" customHeight="false" outlineLevel="0" collapsed="false">
      <c r="A5645" s="0" t="s">
        <v>3086</v>
      </c>
      <c r="B5645" s="0" t="s">
        <v>1501</v>
      </c>
      <c r="C5645" s="0" t="s">
        <v>1502</v>
      </c>
      <c r="D5645" s="0" t="n">
        <v>16</v>
      </c>
      <c r="E5645" s="6" t="n">
        <v>40864.4597222222</v>
      </c>
      <c r="F5645" s="0" t="n">
        <v>0.65</v>
      </c>
      <c r="G5645" s="0" t="n">
        <v>12567</v>
      </c>
      <c r="H5645" s="0" t="s">
        <v>43</v>
      </c>
      <c r="I5645" s="7" t="n">
        <f aca="false">IF(AND(LEFT(A5645,1)&lt;&gt;"C",D5645&gt;0,F5645&gt;0),1,0)</f>
        <v>1</v>
      </c>
      <c r="J5645" s="7" t="n">
        <f aca="false">IF(I5645=1,D5645*F5645,0)</f>
        <v>10.4</v>
      </c>
      <c r="K5645" s="7" t="n">
        <f aca="false">YEAR(E5645)*100+MONTH(E5645)</f>
        <v>201111</v>
      </c>
      <c r="L5645" s="7" t="n">
        <f aca="false">IF(AND(A5645&lt;&gt;A5644,LEFT(A5645,1)&lt;&gt;"C"),1,0)</f>
        <v>0</v>
      </c>
    </row>
    <row r="5646" customFormat="false" ht="15" hidden="false" customHeight="false" outlineLevel="0" collapsed="false">
      <c r="A5646" s="0" t="s">
        <v>3086</v>
      </c>
      <c r="B5646" s="0" t="s">
        <v>1620</v>
      </c>
      <c r="C5646" s="0" t="s">
        <v>1621</v>
      </c>
      <c r="D5646" s="0" t="n">
        <v>16</v>
      </c>
      <c r="E5646" s="6" t="n">
        <v>40864.4597222222</v>
      </c>
      <c r="F5646" s="0" t="n">
        <v>0.65</v>
      </c>
      <c r="G5646" s="0" t="n">
        <v>12567</v>
      </c>
      <c r="H5646" s="0" t="s">
        <v>43</v>
      </c>
      <c r="I5646" s="7" t="n">
        <f aca="false">IF(AND(LEFT(A5646,1)&lt;&gt;"C",D5646&gt;0,F5646&gt;0),1,0)</f>
        <v>1</v>
      </c>
      <c r="J5646" s="7" t="n">
        <f aca="false">IF(I5646=1,D5646*F5646,0)</f>
        <v>10.4</v>
      </c>
      <c r="K5646" s="7" t="n">
        <f aca="false">YEAR(E5646)*100+MONTH(E5646)</f>
        <v>201111</v>
      </c>
      <c r="L5646" s="7" t="n">
        <f aca="false">IF(AND(A5646&lt;&gt;A5645,LEFT(A5646,1)&lt;&gt;"C"),1,0)</f>
        <v>0</v>
      </c>
    </row>
    <row r="5647" customFormat="false" ht="15" hidden="false" customHeight="false" outlineLevel="0" collapsed="false">
      <c r="A5647" s="0" t="s">
        <v>3086</v>
      </c>
      <c r="B5647" s="0" t="s">
        <v>1786</v>
      </c>
      <c r="C5647" s="0" t="s">
        <v>1787</v>
      </c>
      <c r="D5647" s="0" t="n">
        <v>16</v>
      </c>
      <c r="E5647" s="6" t="n">
        <v>40864.4597222222</v>
      </c>
      <c r="F5647" s="0" t="n">
        <v>1.25</v>
      </c>
      <c r="G5647" s="0" t="n">
        <v>12567</v>
      </c>
      <c r="H5647" s="0" t="s">
        <v>43</v>
      </c>
      <c r="I5647" s="7" t="n">
        <f aca="false">IF(AND(LEFT(A5647,1)&lt;&gt;"C",D5647&gt;0,F5647&gt;0),1,0)</f>
        <v>1</v>
      </c>
      <c r="J5647" s="7" t="n">
        <f aca="false">IF(I5647=1,D5647*F5647,0)</f>
        <v>20</v>
      </c>
      <c r="K5647" s="7" t="n">
        <f aca="false">YEAR(E5647)*100+MONTH(E5647)</f>
        <v>201111</v>
      </c>
      <c r="L5647" s="7" t="n">
        <f aca="false">IF(AND(A5647&lt;&gt;A5646,LEFT(A5647,1)&lt;&gt;"C"),1,0)</f>
        <v>0</v>
      </c>
    </row>
    <row r="5648" customFormat="false" ht="15" hidden="false" customHeight="false" outlineLevel="0" collapsed="false">
      <c r="A5648" s="0" t="s">
        <v>3086</v>
      </c>
      <c r="B5648" s="0" t="s">
        <v>2309</v>
      </c>
      <c r="C5648" s="0" t="s">
        <v>2310</v>
      </c>
      <c r="D5648" s="0" t="n">
        <v>4</v>
      </c>
      <c r="E5648" s="6" t="n">
        <v>40864.4597222222</v>
      </c>
      <c r="F5648" s="0" t="n">
        <v>7.65</v>
      </c>
      <c r="G5648" s="0" t="n">
        <v>12567</v>
      </c>
      <c r="H5648" s="0" t="s">
        <v>43</v>
      </c>
      <c r="I5648" s="7" t="n">
        <f aca="false">IF(AND(LEFT(A5648,1)&lt;&gt;"C",D5648&gt;0,F5648&gt;0),1,0)</f>
        <v>1</v>
      </c>
      <c r="J5648" s="7" t="n">
        <f aca="false">IF(I5648=1,D5648*F5648,0)</f>
        <v>30.6</v>
      </c>
      <c r="K5648" s="7" t="n">
        <f aca="false">YEAR(E5648)*100+MONTH(E5648)</f>
        <v>201111</v>
      </c>
      <c r="L5648" s="7" t="n">
        <f aca="false">IF(AND(A5648&lt;&gt;A5647,LEFT(A5648,1)&lt;&gt;"C"),1,0)</f>
        <v>0</v>
      </c>
    </row>
    <row r="5649" customFormat="false" ht="15" hidden="false" customHeight="false" outlineLevel="0" collapsed="false">
      <c r="A5649" s="0" t="s">
        <v>3086</v>
      </c>
      <c r="B5649" s="0" t="s">
        <v>388</v>
      </c>
      <c r="C5649" s="0" t="s">
        <v>389</v>
      </c>
      <c r="D5649" s="0" t="n">
        <v>16</v>
      </c>
      <c r="E5649" s="6" t="n">
        <v>40864.4597222222</v>
      </c>
      <c r="F5649" s="0" t="n">
        <v>1.69</v>
      </c>
      <c r="G5649" s="0" t="n">
        <v>12567</v>
      </c>
      <c r="H5649" s="0" t="s">
        <v>43</v>
      </c>
      <c r="I5649" s="7" t="n">
        <f aca="false">IF(AND(LEFT(A5649,1)&lt;&gt;"C",D5649&gt;0,F5649&gt;0),1,0)</f>
        <v>1</v>
      </c>
      <c r="J5649" s="7" t="n">
        <f aca="false">IF(I5649=1,D5649*F5649,0)</f>
        <v>27.04</v>
      </c>
      <c r="K5649" s="7" t="n">
        <f aca="false">YEAR(E5649)*100+MONTH(E5649)</f>
        <v>201111</v>
      </c>
      <c r="L5649" s="7" t="n">
        <f aca="false">IF(AND(A5649&lt;&gt;A5648,LEFT(A5649,1)&lt;&gt;"C"),1,0)</f>
        <v>0</v>
      </c>
    </row>
    <row r="5650" customFormat="false" ht="15" hidden="false" customHeight="false" outlineLevel="0" collapsed="false">
      <c r="A5650" s="0" t="s">
        <v>3086</v>
      </c>
      <c r="B5650" s="0" t="s">
        <v>1961</v>
      </c>
      <c r="C5650" s="0" t="s">
        <v>1962</v>
      </c>
      <c r="D5650" s="0" t="n">
        <v>2</v>
      </c>
      <c r="E5650" s="6" t="n">
        <v>40864.4597222222</v>
      </c>
      <c r="F5650" s="0" t="n">
        <v>8.25</v>
      </c>
      <c r="G5650" s="0" t="n">
        <v>12567</v>
      </c>
      <c r="H5650" s="0" t="s">
        <v>43</v>
      </c>
      <c r="I5650" s="7" t="n">
        <f aca="false">IF(AND(LEFT(A5650,1)&lt;&gt;"C",D5650&gt;0,F5650&gt;0),1,0)</f>
        <v>1</v>
      </c>
      <c r="J5650" s="7" t="n">
        <f aca="false">IF(I5650=1,D5650*F5650,0)</f>
        <v>16.5</v>
      </c>
      <c r="K5650" s="7" t="n">
        <f aca="false">YEAR(E5650)*100+MONTH(E5650)</f>
        <v>201111</v>
      </c>
      <c r="L5650" s="7" t="n">
        <f aca="false">IF(AND(A5650&lt;&gt;A5649,LEFT(A5650,1)&lt;&gt;"C"),1,0)</f>
        <v>0</v>
      </c>
    </row>
    <row r="5651" customFormat="false" ht="15" hidden="false" customHeight="false" outlineLevel="0" collapsed="false">
      <c r="A5651" s="0" t="s">
        <v>3086</v>
      </c>
      <c r="B5651" s="0" t="s">
        <v>893</v>
      </c>
      <c r="C5651" s="0" t="s">
        <v>894</v>
      </c>
      <c r="D5651" s="0" t="n">
        <v>6</v>
      </c>
      <c r="E5651" s="6" t="n">
        <v>40864.4597222222</v>
      </c>
      <c r="F5651" s="0" t="n">
        <v>2.95</v>
      </c>
      <c r="G5651" s="0" t="n">
        <v>12567</v>
      </c>
      <c r="H5651" s="0" t="s">
        <v>43</v>
      </c>
      <c r="I5651" s="7" t="n">
        <f aca="false">IF(AND(LEFT(A5651,1)&lt;&gt;"C",D5651&gt;0,F5651&gt;0),1,0)</f>
        <v>1</v>
      </c>
      <c r="J5651" s="7" t="n">
        <f aca="false">IF(I5651=1,D5651*F5651,0)</f>
        <v>17.7</v>
      </c>
      <c r="K5651" s="7" t="n">
        <f aca="false">YEAR(E5651)*100+MONTH(E5651)</f>
        <v>201111</v>
      </c>
      <c r="L5651" s="7" t="n">
        <f aca="false">IF(AND(A5651&lt;&gt;A5650,LEFT(A5651,1)&lt;&gt;"C"),1,0)</f>
        <v>0</v>
      </c>
    </row>
    <row r="5652" customFormat="false" ht="15" hidden="false" customHeight="false" outlineLevel="0" collapsed="false">
      <c r="A5652" s="0" t="s">
        <v>3086</v>
      </c>
      <c r="B5652" s="0" t="s">
        <v>3101</v>
      </c>
      <c r="C5652" s="0" t="s">
        <v>3102</v>
      </c>
      <c r="D5652" s="0" t="n">
        <v>8</v>
      </c>
      <c r="E5652" s="6" t="n">
        <v>40864.4597222222</v>
      </c>
      <c r="F5652" s="0" t="n">
        <v>2.49</v>
      </c>
      <c r="G5652" s="0" t="n">
        <v>12567</v>
      </c>
      <c r="H5652" s="0" t="s">
        <v>43</v>
      </c>
      <c r="I5652" s="7" t="n">
        <f aca="false">IF(AND(LEFT(A5652,1)&lt;&gt;"C",D5652&gt;0,F5652&gt;0),1,0)</f>
        <v>1</v>
      </c>
      <c r="J5652" s="7" t="n">
        <f aca="false">IF(I5652=1,D5652*F5652,0)</f>
        <v>19.92</v>
      </c>
      <c r="K5652" s="7" t="n">
        <f aca="false">YEAR(E5652)*100+MONTH(E5652)</f>
        <v>201111</v>
      </c>
      <c r="L5652" s="7" t="n">
        <f aca="false">IF(AND(A5652&lt;&gt;A5651,LEFT(A5652,1)&lt;&gt;"C"),1,0)</f>
        <v>0</v>
      </c>
    </row>
    <row r="5653" customFormat="false" ht="15" hidden="false" customHeight="false" outlineLevel="0" collapsed="false">
      <c r="A5653" s="0" t="s">
        <v>3086</v>
      </c>
      <c r="B5653" s="0" t="s">
        <v>877</v>
      </c>
      <c r="C5653" s="0" t="s">
        <v>878</v>
      </c>
      <c r="D5653" s="0" t="n">
        <v>12</v>
      </c>
      <c r="E5653" s="6" t="n">
        <v>40864.4597222222</v>
      </c>
      <c r="F5653" s="0" t="n">
        <v>0.83</v>
      </c>
      <c r="G5653" s="0" t="n">
        <v>12567</v>
      </c>
      <c r="H5653" s="0" t="s">
        <v>43</v>
      </c>
      <c r="I5653" s="7" t="n">
        <f aca="false">IF(AND(LEFT(A5653,1)&lt;&gt;"C",D5653&gt;0,F5653&gt;0),1,0)</f>
        <v>1</v>
      </c>
      <c r="J5653" s="7" t="n">
        <f aca="false">IF(I5653=1,D5653*F5653,0)</f>
        <v>9.96</v>
      </c>
      <c r="K5653" s="7" t="n">
        <f aca="false">YEAR(E5653)*100+MONTH(E5653)</f>
        <v>201111</v>
      </c>
      <c r="L5653" s="7" t="n">
        <f aca="false">IF(AND(A5653&lt;&gt;A5652,LEFT(A5653,1)&lt;&gt;"C"),1,0)</f>
        <v>0</v>
      </c>
    </row>
    <row r="5654" customFormat="false" ht="15" hidden="false" customHeight="false" outlineLevel="0" collapsed="false">
      <c r="A5654" s="0" t="s">
        <v>3086</v>
      </c>
      <c r="B5654" s="0" t="s">
        <v>875</v>
      </c>
      <c r="C5654" s="0" t="s">
        <v>876</v>
      </c>
      <c r="D5654" s="0" t="n">
        <v>12</v>
      </c>
      <c r="E5654" s="6" t="n">
        <v>40864.4597222222</v>
      </c>
      <c r="F5654" s="0" t="n">
        <v>0.83</v>
      </c>
      <c r="G5654" s="0" t="n">
        <v>12567</v>
      </c>
      <c r="H5654" s="0" t="s">
        <v>43</v>
      </c>
      <c r="I5654" s="7" t="n">
        <f aca="false">IF(AND(LEFT(A5654,1)&lt;&gt;"C",D5654&gt;0,F5654&gt;0),1,0)</f>
        <v>1</v>
      </c>
      <c r="J5654" s="7" t="n">
        <f aca="false">IF(I5654=1,D5654*F5654,0)</f>
        <v>9.96</v>
      </c>
      <c r="K5654" s="7" t="n">
        <f aca="false">YEAR(E5654)*100+MONTH(E5654)</f>
        <v>201111</v>
      </c>
      <c r="L5654" s="7" t="n">
        <f aca="false">IF(AND(A5654&lt;&gt;A5653,LEFT(A5654,1)&lt;&gt;"C"),1,0)</f>
        <v>0</v>
      </c>
    </row>
    <row r="5655" customFormat="false" ht="15" hidden="false" customHeight="false" outlineLevel="0" collapsed="false">
      <c r="A5655" s="0" t="s">
        <v>3086</v>
      </c>
      <c r="B5655" s="0" t="s">
        <v>320</v>
      </c>
      <c r="C5655" s="0" t="s">
        <v>321</v>
      </c>
      <c r="D5655" s="0" t="n">
        <v>4</v>
      </c>
      <c r="E5655" s="6" t="n">
        <v>40864.4597222222</v>
      </c>
      <c r="F5655" s="0" t="n">
        <v>3.75</v>
      </c>
      <c r="G5655" s="0" t="n">
        <v>12567</v>
      </c>
      <c r="H5655" s="0" t="s">
        <v>43</v>
      </c>
      <c r="I5655" s="7" t="n">
        <f aca="false">IF(AND(LEFT(A5655,1)&lt;&gt;"C",D5655&gt;0,F5655&gt;0),1,0)</f>
        <v>1</v>
      </c>
      <c r="J5655" s="7" t="n">
        <f aca="false">IF(I5655=1,D5655*F5655,0)</f>
        <v>15</v>
      </c>
      <c r="K5655" s="7" t="n">
        <f aca="false">YEAR(E5655)*100+MONTH(E5655)</f>
        <v>201111</v>
      </c>
      <c r="L5655" s="7" t="n">
        <f aca="false">IF(AND(A5655&lt;&gt;A5654,LEFT(A5655,1)&lt;&gt;"C"),1,0)</f>
        <v>0</v>
      </c>
    </row>
    <row r="5656" customFormat="false" ht="15" hidden="false" customHeight="false" outlineLevel="0" collapsed="false">
      <c r="A5656" s="0" t="s">
        <v>3086</v>
      </c>
      <c r="B5656" s="0" t="s">
        <v>297</v>
      </c>
      <c r="C5656" s="0" t="s">
        <v>298</v>
      </c>
      <c r="D5656" s="0" t="n">
        <v>4</v>
      </c>
      <c r="E5656" s="6" t="n">
        <v>40864.4597222222</v>
      </c>
      <c r="F5656" s="0" t="n">
        <v>3.75</v>
      </c>
      <c r="G5656" s="0" t="n">
        <v>12567</v>
      </c>
      <c r="H5656" s="0" t="s">
        <v>43</v>
      </c>
      <c r="I5656" s="7" t="n">
        <f aca="false">IF(AND(LEFT(A5656,1)&lt;&gt;"C",D5656&gt;0,F5656&gt;0),1,0)</f>
        <v>1</v>
      </c>
      <c r="J5656" s="7" t="n">
        <f aca="false">IF(I5656=1,D5656*F5656,0)</f>
        <v>15</v>
      </c>
      <c r="K5656" s="7" t="n">
        <f aca="false">YEAR(E5656)*100+MONTH(E5656)</f>
        <v>201111</v>
      </c>
      <c r="L5656" s="7" t="n">
        <f aca="false">IF(AND(A5656&lt;&gt;A5655,LEFT(A5656,1)&lt;&gt;"C"),1,0)</f>
        <v>0</v>
      </c>
    </row>
    <row r="5657" customFormat="false" ht="15" hidden="false" customHeight="false" outlineLevel="0" collapsed="false">
      <c r="A5657" s="0" t="s">
        <v>3086</v>
      </c>
      <c r="B5657" s="0" t="s">
        <v>318</v>
      </c>
      <c r="C5657" s="0" t="s">
        <v>319</v>
      </c>
      <c r="D5657" s="0" t="n">
        <v>4</v>
      </c>
      <c r="E5657" s="6" t="n">
        <v>40864.4597222222</v>
      </c>
      <c r="F5657" s="0" t="n">
        <v>3.75</v>
      </c>
      <c r="G5657" s="0" t="n">
        <v>12567</v>
      </c>
      <c r="H5657" s="0" t="s">
        <v>43</v>
      </c>
      <c r="I5657" s="7" t="n">
        <f aca="false">IF(AND(LEFT(A5657,1)&lt;&gt;"C",D5657&gt;0,F5657&gt;0),1,0)</f>
        <v>1</v>
      </c>
      <c r="J5657" s="7" t="n">
        <f aca="false">IF(I5657=1,D5657*F5657,0)</f>
        <v>15</v>
      </c>
      <c r="K5657" s="7" t="n">
        <f aca="false">YEAR(E5657)*100+MONTH(E5657)</f>
        <v>201111</v>
      </c>
      <c r="L5657" s="7" t="n">
        <f aca="false">IF(AND(A5657&lt;&gt;A5656,LEFT(A5657,1)&lt;&gt;"C"),1,0)</f>
        <v>0</v>
      </c>
    </row>
    <row r="5658" customFormat="false" ht="15" hidden="false" customHeight="false" outlineLevel="0" collapsed="false">
      <c r="A5658" s="0" t="s">
        <v>3086</v>
      </c>
      <c r="B5658" s="0" t="s">
        <v>107</v>
      </c>
      <c r="C5658" s="0" t="s">
        <v>108</v>
      </c>
      <c r="D5658" s="0" t="n">
        <v>6</v>
      </c>
      <c r="E5658" s="6" t="n">
        <v>40864.4597222222</v>
      </c>
      <c r="F5658" s="0" t="n">
        <v>2.55</v>
      </c>
      <c r="G5658" s="0" t="n">
        <v>12567</v>
      </c>
      <c r="H5658" s="0" t="s">
        <v>43</v>
      </c>
      <c r="I5658" s="7" t="n">
        <f aca="false">IF(AND(LEFT(A5658,1)&lt;&gt;"C",D5658&gt;0,F5658&gt;0),1,0)</f>
        <v>1</v>
      </c>
      <c r="J5658" s="7" t="n">
        <f aca="false">IF(I5658=1,D5658*F5658,0)</f>
        <v>15.3</v>
      </c>
      <c r="K5658" s="7" t="n">
        <f aca="false">YEAR(E5658)*100+MONTH(E5658)</f>
        <v>201111</v>
      </c>
      <c r="L5658" s="7" t="n">
        <f aca="false">IF(AND(A5658&lt;&gt;A5657,LEFT(A5658,1)&lt;&gt;"C"),1,0)</f>
        <v>0</v>
      </c>
    </row>
    <row r="5659" customFormat="false" ht="15" hidden="false" customHeight="false" outlineLevel="0" collapsed="false">
      <c r="A5659" s="0" t="s">
        <v>3086</v>
      </c>
      <c r="B5659" s="0" t="s">
        <v>3103</v>
      </c>
      <c r="C5659" s="0" t="s">
        <v>3104</v>
      </c>
      <c r="D5659" s="0" t="n">
        <v>12</v>
      </c>
      <c r="E5659" s="6" t="n">
        <v>40864.4597222222</v>
      </c>
      <c r="F5659" s="0" t="n">
        <v>1.65</v>
      </c>
      <c r="G5659" s="0" t="n">
        <v>12567</v>
      </c>
      <c r="H5659" s="0" t="s">
        <v>43</v>
      </c>
      <c r="I5659" s="7" t="n">
        <f aca="false">IF(AND(LEFT(A5659,1)&lt;&gt;"C",D5659&gt;0,F5659&gt;0),1,0)</f>
        <v>1</v>
      </c>
      <c r="J5659" s="7" t="n">
        <f aca="false">IF(I5659=1,D5659*F5659,0)</f>
        <v>19.8</v>
      </c>
      <c r="K5659" s="7" t="n">
        <f aca="false">YEAR(E5659)*100+MONTH(E5659)</f>
        <v>201111</v>
      </c>
      <c r="L5659" s="7" t="n">
        <f aca="false">IF(AND(A5659&lt;&gt;A5658,LEFT(A5659,1)&lt;&gt;"C"),1,0)</f>
        <v>0</v>
      </c>
    </row>
    <row r="5660" customFormat="false" ht="15" hidden="false" customHeight="false" outlineLevel="0" collapsed="false">
      <c r="A5660" s="0" t="s">
        <v>3086</v>
      </c>
      <c r="B5660" s="0" t="s">
        <v>177</v>
      </c>
      <c r="C5660" s="0" t="s">
        <v>178</v>
      </c>
      <c r="D5660" s="0" t="n">
        <v>8</v>
      </c>
      <c r="E5660" s="6" t="n">
        <v>40864.4597222222</v>
      </c>
      <c r="F5660" s="0" t="n">
        <v>1.25</v>
      </c>
      <c r="G5660" s="0" t="n">
        <v>12567</v>
      </c>
      <c r="H5660" s="0" t="s">
        <v>43</v>
      </c>
      <c r="I5660" s="7" t="n">
        <f aca="false">IF(AND(LEFT(A5660,1)&lt;&gt;"C",D5660&gt;0,F5660&gt;0),1,0)</f>
        <v>1</v>
      </c>
      <c r="J5660" s="7" t="n">
        <f aca="false">IF(I5660=1,D5660*F5660,0)</f>
        <v>10</v>
      </c>
      <c r="K5660" s="7" t="n">
        <f aca="false">YEAR(E5660)*100+MONTH(E5660)</f>
        <v>201111</v>
      </c>
      <c r="L5660" s="7" t="n">
        <f aca="false">IF(AND(A5660&lt;&gt;A5659,LEFT(A5660,1)&lt;&gt;"C"),1,0)</f>
        <v>0</v>
      </c>
    </row>
    <row r="5661" customFormat="false" ht="15" hidden="false" customHeight="false" outlineLevel="0" collapsed="false">
      <c r="A5661" s="0" t="s">
        <v>3086</v>
      </c>
      <c r="B5661" s="0" t="s">
        <v>171</v>
      </c>
      <c r="C5661" s="0" t="s">
        <v>172</v>
      </c>
      <c r="D5661" s="0" t="n">
        <v>8</v>
      </c>
      <c r="E5661" s="6" t="n">
        <v>40864.4597222222</v>
      </c>
      <c r="F5661" s="0" t="n">
        <v>1.25</v>
      </c>
      <c r="G5661" s="0" t="n">
        <v>12567</v>
      </c>
      <c r="H5661" s="0" t="s">
        <v>43</v>
      </c>
      <c r="I5661" s="7" t="n">
        <f aca="false">IF(AND(LEFT(A5661,1)&lt;&gt;"C",D5661&gt;0,F5661&gt;0),1,0)</f>
        <v>1</v>
      </c>
      <c r="J5661" s="7" t="n">
        <f aca="false">IF(I5661=1,D5661*F5661,0)</f>
        <v>10</v>
      </c>
      <c r="K5661" s="7" t="n">
        <f aca="false">YEAR(E5661)*100+MONTH(E5661)</f>
        <v>201111</v>
      </c>
      <c r="L5661" s="7" t="n">
        <f aca="false">IF(AND(A5661&lt;&gt;A5660,LEFT(A5661,1)&lt;&gt;"C"),1,0)</f>
        <v>0</v>
      </c>
    </row>
    <row r="5662" customFormat="false" ht="15" hidden="false" customHeight="false" outlineLevel="0" collapsed="false">
      <c r="A5662" s="0" t="s">
        <v>3086</v>
      </c>
      <c r="B5662" s="0" t="s">
        <v>173</v>
      </c>
      <c r="C5662" s="0" t="s">
        <v>174</v>
      </c>
      <c r="D5662" s="0" t="n">
        <v>8</v>
      </c>
      <c r="E5662" s="6" t="n">
        <v>40864.4597222222</v>
      </c>
      <c r="F5662" s="0" t="n">
        <v>1.25</v>
      </c>
      <c r="G5662" s="0" t="n">
        <v>12567</v>
      </c>
      <c r="H5662" s="0" t="s">
        <v>43</v>
      </c>
      <c r="I5662" s="7" t="n">
        <f aca="false">IF(AND(LEFT(A5662,1)&lt;&gt;"C",D5662&gt;0,F5662&gt;0),1,0)</f>
        <v>1</v>
      </c>
      <c r="J5662" s="7" t="n">
        <f aca="false">IF(I5662=1,D5662*F5662,0)</f>
        <v>10</v>
      </c>
      <c r="K5662" s="7" t="n">
        <f aca="false">YEAR(E5662)*100+MONTH(E5662)</f>
        <v>201111</v>
      </c>
      <c r="L5662" s="7" t="n">
        <f aca="false">IF(AND(A5662&lt;&gt;A5661,LEFT(A5662,1)&lt;&gt;"C"),1,0)</f>
        <v>0</v>
      </c>
    </row>
    <row r="5663" customFormat="false" ht="15" hidden="false" customHeight="false" outlineLevel="0" collapsed="false">
      <c r="A5663" s="0" t="s">
        <v>3086</v>
      </c>
      <c r="B5663" s="0" t="s">
        <v>175</v>
      </c>
      <c r="C5663" s="0" t="s">
        <v>176</v>
      </c>
      <c r="D5663" s="0" t="n">
        <v>8</v>
      </c>
      <c r="E5663" s="6" t="n">
        <v>40864.4597222222</v>
      </c>
      <c r="F5663" s="0" t="n">
        <v>1.25</v>
      </c>
      <c r="G5663" s="0" t="n">
        <v>12567</v>
      </c>
      <c r="H5663" s="0" t="s">
        <v>43</v>
      </c>
      <c r="I5663" s="7" t="n">
        <f aca="false">IF(AND(LEFT(A5663,1)&lt;&gt;"C",D5663&gt;0,F5663&gt;0),1,0)</f>
        <v>1</v>
      </c>
      <c r="J5663" s="7" t="n">
        <f aca="false">IF(I5663=1,D5663*F5663,0)</f>
        <v>10</v>
      </c>
      <c r="K5663" s="7" t="n">
        <f aca="false">YEAR(E5663)*100+MONTH(E5663)</f>
        <v>201111</v>
      </c>
      <c r="L5663" s="7" t="n">
        <f aca="false">IF(AND(A5663&lt;&gt;A5662,LEFT(A5663,1)&lt;&gt;"C"),1,0)</f>
        <v>0</v>
      </c>
    </row>
    <row r="5664" customFormat="false" ht="15" hidden="false" customHeight="false" outlineLevel="0" collapsed="false">
      <c r="A5664" s="0" t="s">
        <v>3086</v>
      </c>
      <c r="B5664" s="0" t="s">
        <v>89</v>
      </c>
      <c r="C5664" s="0" t="s">
        <v>90</v>
      </c>
      <c r="D5664" s="0" t="n">
        <v>4</v>
      </c>
      <c r="E5664" s="6" t="n">
        <v>40864.4597222222</v>
      </c>
      <c r="F5664" s="0" t="n">
        <v>4.15</v>
      </c>
      <c r="G5664" s="0" t="n">
        <v>12567</v>
      </c>
      <c r="H5664" s="0" t="s">
        <v>43</v>
      </c>
      <c r="I5664" s="7" t="n">
        <f aca="false">IF(AND(LEFT(A5664,1)&lt;&gt;"C",D5664&gt;0,F5664&gt;0),1,0)</f>
        <v>1</v>
      </c>
      <c r="J5664" s="7" t="n">
        <f aca="false">IF(I5664=1,D5664*F5664,0)</f>
        <v>16.6</v>
      </c>
      <c r="K5664" s="7" t="n">
        <f aca="false">YEAR(E5664)*100+MONTH(E5664)</f>
        <v>201111</v>
      </c>
      <c r="L5664" s="7" t="n">
        <f aca="false">IF(AND(A5664&lt;&gt;A5663,LEFT(A5664,1)&lt;&gt;"C"),1,0)</f>
        <v>0</v>
      </c>
    </row>
    <row r="5665" customFormat="false" ht="15" hidden="false" customHeight="false" outlineLevel="0" collapsed="false">
      <c r="A5665" s="0" t="s">
        <v>3086</v>
      </c>
      <c r="B5665" s="0" t="s">
        <v>87</v>
      </c>
      <c r="C5665" s="0" t="s">
        <v>88</v>
      </c>
      <c r="D5665" s="0" t="n">
        <v>4</v>
      </c>
      <c r="E5665" s="6" t="n">
        <v>40864.4597222222</v>
      </c>
      <c r="F5665" s="0" t="n">
        <v>4.15</v>
      </c>
      <c r="G5665" s="0" t="n">
        <v>12567</v>
      </c>
      <c r="H5665" s="0" t="s">
        <v>43</v>
      </c>
      <c r="I5665" s="7" t="n">
        <f aca="false">IF(AND(LEFT(A5665,1)&lt;&gt;"C",D5665&gt;0,F5665&gt;0),1,0)</f>
        <v>1</v>
      </c>
      <c r="J5665" s="7" t="n">
        <f aca="false">IF(I5665=1,D5665*F5665,0)</f>
        <v>16.6</v>
      </c>
      <c r="K5665" s="7" t="n">
        <f aca="false">YEAR(E5665)*100+MONTH(E5665)</f>
        <v>201111</v>
      </c>
      <c r="L5665" s="7" t="n">
        <f aca="false">IF(AND(A5665&lt;&gt;A5664,LEFT(A5665,1)&lt;&gt;"C"),1,0)</f>
        <v>0</v>
      </c>
    </row>
    <row r="5666" customFormat="false" ht="15" hidden="false" customHeight="false" outlineLevel="0" collapsed="false">
      <c r="A5666" s="0" t="s">
        <v>3086</v>
      </c>
      <c r="B5666" s="0" t="s">
        <v>93</v>
      </c>
      <c r="C5666" s="0" t="s">
        <v>94</v>
      </c>
      <c r="D5666" s="0" t="n">
        <v>4</v>
      </c>
      <c r="E5666" s="6" t="n">
        <v>40864.4597222222</v>
      </c>
      <c r="F5666" s="0" t="n">
        <v>4.15</v>
      </c>
      <c r="G5666" s="0" t="n">
        <v>12567</v>
      </c>
      <c r="H5666" s="0" t="s">
        <v>43</v>
      </c>
      <c r="I5666" s="7" t="n">
        <f aca="false">IF(AND(LEFT(A5666,1)&lt;&gt;"C",D5666&gt;0,F5666&gt;0),1,0)</f>
        <v>1</v>
      </c>
      <c r="J5666" s="7" t="n">
        <f aca="false">IF(I5666=1,D5666*F5666,0)</f>
        <v>16.6</v>
      </c>
      <c r="K5666" s="7" t="n">
        <f aca="false">YEAR(E5666)*100+MONTH(E5666)</f>
        <v>201111</v>
      </c>
      <c r="L5666" s="7" t="n">
        <f aca="false">IF(AND(A5666&lt;&gt;A5665,LEFT(A5666,1)&lt;&gt;"C"),1,0)</f>
        <v>0</v>
      </c>
    </row>
    <row r="5667" customFormat="false" ht="15" hidden="false" customHeight="false" outlineLevel="0" collapsed="false">
      <c r="A5667" s="0" t="s">
        <v>3086</v>
      </c>
      <c r="B5667" s="0" t="s">
        <v>569</v>
      </c>
      <c r="C5667" s="0" t="s">
        <v>570</v>
      </c>
      <c r="D5667" s="0" t="n">
        <v>10</v>
      </c>
      <c r="E5667" s="6" t="n">
        <v>40864.4597222222</v>
      </c>
      <c r="F5667" s="0" t="n">
        <v>2.08</v>
      </c>
      <c r="G5667" s="0" t="n">
        <v>12567</v>
      </c>
      <c r="H5667" s="0" t="s">
        <v>43</v>
      </c>
      <c r="I5667" s="7" t="n">
        <f aca="false">IF(AND(LEFT(A5667,1)&lt;&gt;"C",D5667&gt;0,F5667&gt;0),1,0)</f>
        <v>1</v>
      </c>
      <c r="J5667" s="7" t="n">
        <f aca="false">IF(I5667=1,D5667*F5667,0)</f>
        <v>20.8</v>
      </c>
      <c r="K5667" s="7" t="n">
        <f aca="false">YEAR(E5667)*100+MONTH(E5667)</f>
        <v>201111</v>
      </c>
      <c r="L5667" s="7" t="n">
        <f aca="false">IF(AND(A5667&lt;&gt;A5666,LEFT(A5667,1)&lt;&gt;"C"),1,0)</f>
        <v>0</v>
      </c>
    </row>
    <row r="5668" customFormat="false" ht="15" hidden="false" customHeight="false" outlineLevel="0" collapsed="false">
      <c r="A5668" s="0" t="s">
        <v>3086</v>
      </c>
      <c r="B5668" s="0" t="s">
        <v>1505</v>
      </c>
      <c r="C5668" s="0" t="s">
        <v>1506</v>
      </c>
      <c r="D5668" s="0" t="n">
        <v>5</v>
      </c>
      <c r="E5668" s="6" t="n">
        <v>40864.4597222222</v>
      </c>
      <c r="F5668" s="0" t="n">
        <v>2.1</v>
      </c>
      <c r="G5668" s="0" t="n">
        <v>12567</v>
      </c>
      <c r="H5668" s="0" t="s">
        <v>43</v>
      </c>
      <c r="I5668" s="7" t="n">
        <f aca="false">IF(AND(LEFT(A5668,1)&lt;&gt;"C",D5668&gt;0,F5668&gt;0),1,0)</f>
        <v>1</v>
      </c>
      <c r="J5668" s="7" t="n">
        <f aca="false">IF(I5668=1,D5668*F5668,0)</f>
        <v>10.5</v>
      </c>
      <c r="K5668" s="7" t="n">
        <f aca="false">YEAR(E5668)*100+MONTH(E5668)</f>
        <v>201111</v>
      </c>
      <c r="L5668" s="7" t="n">
        <f aca="false">IF(AND(A5668&lt;&gt;A5667,LEFT(A5668,1)&lt;&gt;"C"),1,0)</f>
        <v>0</v>
      </c>
    </row>
    <row r="5669" customFormat="false" ht="15" hidden="false" customHeight="false" outlineLevel="0" collapsed="false">
      <c r="A5669" s="0" t="s">
        <v>3086</v>
      </c>
      <c r="B5669" s="0" t="s">
        <v>1144</v>
      </c>
      <c r="C5669" s="0" t="s">
        <v>1145</v>
      </c>
      <c r="D5669" s="0" t="n">
        <v>5</v>
      </c>
      <c r="E5669" s="6" t="n">
        <v>40864.4597222222</v>
      </c>
      <c r="F5669" s="0" t="n">
        <v>2.1</v>
      </c>
      <c r="G5669" s="0" t="n">
        <v>12567</v>
      </c>
      <c r="H5669" s="0" t="s">
        <v>43</v>
      </c>
      <c r="I5669" s="7" t="n">
        <f aca="false">IF(AND(LEFT(A5669,1)&lt;&gt;"C",D5669&gt;0,F5669&gt;0),1,0)</f>
        <v>1</v>
      </c>
      <c r="J5669" s="7" t="n">
        <f aca="false">IF(I5669=1,D5669*F5669,0)</f>
        <v>10.5</v>
      </c>
      <c r="K5669" s="7" t="n">
        <f aca="false">YEAR(E5669)*100+MONTH(E5669)</f>
        <v>201111</v>
      </c>
      <c r="L5669" s="7" t="n">
        <f aca="false">IF(AND(A5669&lt;&gt;A5668,LEFT(A5669,1)&lt;&gt;"C"),1,0)</f>
        <v>0</v>
      </c>
    </row>
    <row r="5670" customFormat="false" ht="15" hidden="false" customHeight="false" outlineLevel="0" collapsed="false">
      <c r="A5670" s="0" t="s">
        <v>3086</v>
      </c>
      <c r="B5670" s="0" t="s">
        <v>645</v>
      </c>
      <c r="C5670" s="0" t="s">
        <v>646</v>
      </c>
      <c r="D5670" s="0" t="n">
        <v>10</v>
      </c>
      <c r="E5670" s="6" t="n">
        <v>40864.4597222222</v>
      </c>
      <c r="F5670" s="0" t="n">
        <v>2.08</v>
      </c>
      <c r="G5670" s="0" t="n">
        <v>12567</v>
      </c>
      <c r="H5670" s="0" t="s">
        <v>43</v>
      </c>
      <c r="I5670" s="7" t="n">
        <f aca="false">IF(AND(LEFT(A5670,1)&lt;&gt;"C",D5670&gt;0,F5670&gt;0),1,0)</f>
        <v>1</v>
      </c>
      <c r="J5670" s="7" t="n">
        <f aca="false">IF(I5670=1,D5670*F5670,0)</f>
        <v>20.8</v>
      </c>
      <c r="K5670" s="7" t="n">
        <f aca="false">YEAR(E5670)*100+MONTH(E5670)</f>
        <v>201111</v>
      </c>
      <c r="L5670" s="7" t="n">
        <f aca="false">IF(AND(A5670&lt;&gt;A5669,LEFT(A5670,1)&lt;&gt;"C"),1,0)</f>
        <v>0</v>
      </c>
    </row>
    <row r="5671" customFormat="false" ht="15" hidden="false" customHeight="false" outlineLevel="0" collapsed="false">
      <c r="A5671" s="0" t="s">
        <v>3086</v>
      </c>
      <c r="B5671" s="0" t="s">
        <v>625</v>
      </c>
      <c r="C5671" s="0" t="s">
        <v>626</v>
      </c>
      <c r="D5671" s="0" t="n">
        <v>10</v>
      </c>
      <c r="E5671" s="6" t="n">
        <v>40864.4597222222</v>
      </c>
      <c r="F5671" s="0" t="n">
        <v>2.08</v>
      </c>
      <c r="G5671" s="0" t="n">
        <v>12567</v>
      </c>
      <c r="H5671" s="0" t="s">
        <v>43</v>
      </c>
      <c r="I5671" s="7" t="n">
        <f aca="false">IF(AND(LEFT(A5671,1)&lt;&gt;"C",D5671&gt;0,F5671&gt;0),1,0)</f>
        <v>1</v>
      </c>
      <c r="J5671" s="7" t="n">
        <f aca="false">IF(I5671=1,D5671*F5671,0)</f>
        <v>20.8</v>
      </c>
      <c r="K5671" s="7" t="n">
        <f aca="false">YEAR(E5671)*100+MONTH(E5671)</f>
        <v>201111</v>
      </c>
      <c r="L5671" s="7" t="n">
        <f aca="false">IF(AND(A5671&lt;&gt;A5670,LEFT(A5671,1)&lt;&gt;"C"),1,0)</f>
        <v>0</v>
      </c>
    </row>
    <row r="5672" customFormat="false" ht="15" hidden="false" customHeight="false" outlineLevel="0" collapsed="false">
      <c r="A5672" s="0" t="s">
        <v>3086</v>
      </c>
      <c r="B5672" s="0" t="s">
        <v>623</v>
      </c>
      <c r="C5672" s="0" t="s">
        <v>624</v>
      </c>
      <c r="D5672" s="0" t="n">
        <v>20</v>
      </c>
      <c r="E5672" s="6" t="n">
        <v>40864.4597222222</v>
      </c>
      <c r="F5672" s="0" t="n">
        <v>2.08</v>
      </c>
      <c r="G5672" s="0" t="n">
        <v>12567</v>
      </c>
      <c r="H5672" s="0" t="s">
        <v>43</v>
      </c>
      <c r="I5672" s="7" t="n">
        <f aca="false">IF(AND(LEFT(A5672,1)&lt;&gt;"C",D5672&gt;0,F5672&gt;0),1,0)</f>
        <v>1</v>
      </c>
      <c r="J5672" s="7" t="n">
        <f aca="false">IF(I5672=1,D5672*F5672,0)</f>
        <v>41.6</v>
      </c>
      <c r="K5672" s="7" t="n">
        <f aca="false">YEAR(E5672)*100+MONTH(E5672)</f>
        <v>201111</v>
      </c>
      <c r="L5672" s="7" t="n">
        <f aca="false">IF(AND(A5672&lt;&gt;A5671,LEFT(A5672,1)&lt;&gt;"C"),1,0)</f>
        <v>0</v>
      </c>
    </row>
    <row r="5673" customFormat="false" ht="15" hidden="false" customHeight="false" outlineLevel="0" collapsed="false">
      <c r="A5673" s="0" t="s">
        <v>3086</v>
      </c>
      <c r="B5673" s="0" t="s">
        <v>517</v>
      </c>
      <c r="C5673" s="0" t="s">
        <v>518</v>
      </c>
      <c r="D5673" s="0" t="n">
        <v>10</v>
      </c>
      <c r="E5673" s="6" t="n">
        <v>40864.4597222222</v>
      </c>
      <c r="F5673" s="0" t="n">
        <v>2.08</v>
      </c>
      <c r="G5673" s="0" t="n">
        <v>12567</v>
      </c>
      <c r="H5673" s="0" t="s">
        <v>43</v>
      </c>
      <c r="I5673" s="7" t="n">
        <f aca="false">IF(AND(LEFT(A5673,1)&lt;&gt;"C",D5673&gt;0,F5673&gt;0),1,0)</f>
        <v>1</v>
      </c>
      <c r="J5673" s="7" t="n">
        <f aca="false">IF(I5673=1,D5673*F5673,0)</f>
        <v>20.8</v>
      </c>
      <c r="K5673" s="7" t="n">
        <f aca="false">YEAR(E5673)*100+MONTH(E5673)</f>
        <v>201111</v>
      </c>
      <c r="L5673" s="7" t="n">
        <f aca="false">IF(AND(A5673&lt;&gt;A5672,LEFT(A5673,1)&lt;&gt;"C"),1,0)</f>
        <v>0</v>
      </c>
    </row>
    <row r="5674" customFormat="false" ht="15" hidden="false" customHeight="false" outlineLevel="0" collapsed="false">
      <c r="A5674" s="0" t="s">
        <v>3086</v>
      </c>
      <c r="B5674" s="0" t="s">
        <v>1146</v>
      </c>
      <c r="C5674" s="0" t="s">
        <v>1147</v>
      </c>
      <c r="D5674" s="0" t="n">
        <v>10</v>
      </c>
      <c r="E5674" s="6" t="n">
        <v>40864.4597222222</v>
      </c>
      <c r="F5674" s="0" t="n">
        <v>2.08</v>
      </c>
      <c r="G5674" s="0" t="n">
        <v>12567</v>
      </c>
      <c r="H5674" s="0" t="s">
        <v>43</v>
      </c>
      <c r="I5674" s="7" t="n">
        <f aca="false">IF(AND(LEFT(A5674,1)&lt;&gt;"C",D5674&gt;0,F5674&gt;0),1,0)</f>
        <v>1</v>
      </c>
      <c r="J5674" s="7" t="n">
        <f aca="false">IF(I5674=1,D5674*F5674,0)</f>
        <v>20.8</v>
      </c>
      <c r="K5674" s="7" t="n">
        <f aca="false">YEAR(E5674)*100+MONTH(E5674)</f>
        <v>201111</v>
      </c>
      <c r="L5674" s="7" t="n">
        <f aca="false">IF(AND(A5674&lt;&gt;A5673,LEFT(A5674,1)&lt;&gt;"C"),1,0)</f>
        <v>0</v>
      </c>
    </row>
    <row r="5675" customFormat="false" ht="15" hidden="false" customHeight="false" outlineLevel="0" collapsed="false">
      <c r="A5675" s="0" t="s">
        <v>3086</v>
      </c>
      <c r="B5675" s="0" t="s">
        <v>1048</v>
      </c>
      <c r="C5675" s="0" t="s">
        <v>1049</v>
      </c>
      <c r="D5675" s="0" t="n">
        <v>4</v>
      </c>
      <c r="E5675" s="6" t="n">
        <v>40864.4597222222</v>
      </c>
      <c r="F5675" s="0" t="n">
        <v>4.15</v>
      </c>
      <c r="G5675" s="0" t="n">
        <v>12567</v>
      </c>
      <c r="H5675" s="0" t="s">
        <v>43</v>
      </c>
      <c r="I5675" s="7" t="n">
        <f aca="false">IF(AND(LEFT(A5675,1)&lt;&gt;"C",D5675&gt;0,F5675&gt;0),1,0)</f>
        <v>1</v>
      </c>
      <c r="J5675" s="7" t="n">
        <f aca="false">IF(I5675=1,D5675*F5675,0)</f>
        <v>16.6</v>
      </c>
      <c r="K5675" s="7" t="n">
        <f aca="false">YEAR(E5675)*100+MONTH(E5675)</f>
        <v>201111</v>
      </c>
      <c r="L5675" s="7" t="n">
        <f aca="false">IF(AND(A5675&lt;&gt;A5674,LEFT(A5675,1)&lt;&gt;"C"),1,0)</f>
        <v>0</v>
      </c>
    </row>
    <row r="5676" customFormat="false" ht="15" hidden="false" customHeight="false" outlineLevel="0" collapsed="false">
      <c r="A5676" s="0" t="s">
        <v>3086</v>
      </c>
      <c r="B5676" s="0" t="s">
        <v>1046</v>
      </c>
      <c r="C5676" s="0" t="s">
        <v>1047</v>
      </c>
      <c r="D5676" s="0" t="n">
        <v>4</v>
      </c>
      <c r="E5676" s="6" t="n">
        <v>40864.4597222222</v>
      </c>
      <c r="F5676" s="0" t="n">
        <v>4.15</v>
      </c>
      <c r="G5676" s="0" t="n">
        <v>12567</v>
      </c>
      <c r="H5676" s="0" t="s">
        <v>43</v>
      </c>
      <c r="I5676" s="7" t="n">
        <f aca="false">IF(AND(LEFT(A5676,1)&lt;&gt;"C",D5676&gt;0,F5676&gt;0),1,0)</f>
        <v>1</v>
      </c>
      <c r="J5676" s="7" t="n">
        <f aca="false">IF(I5676=1,D5676*F5676,0)</f>
        <v>16.6</v>
      </c>
      <c r="K5676" s="7" t="n">
        <f aca="false">YEAR(E5676)*100+MONTH(E5676)</f>
        <v>201111</v>
      </c>
      <c r="L5676" s="7" t="n">
        <f aca="false">IF(AND(A5676&lt;&gt;A5675,LEFT(A5676,1)&lt;&gt;"C"),1,0)</f>
        <v>0</v>
      </c>
    </row>
    <row r="5677" customFormat="false" ht="15" hidden="false" customHeight="false" outlineLevel="0" collapsed="false">
      <c r="A5677" s="0" t="s">
        <v>3086</v>
      </c>
      <c r="B5677" s="0" t="s">
        <v>1042</v>
      </c>
      <c r="C5677" s="0" t="s">
        <v>1043</v>
      </c>
      <c r="D5677" s="0" t="n">
        <v>4</v>
      </c>
      <c r="E5677" s="6" t="n">
        <v>40864.4597222222</v>
      </c>
      <c r="F5677" s="0" t="n">
        <v>4.15</v>
      </c>
      <c r="G5677" s="0" t="n">
        <v>12567</v>
      </c>
      <c r="H5677" s="0" t="s">
        <v>43</v>
      </c>
      <c r="I5677" s="7" t="n">
        <f aca="false">IF(AND(LEFT(A5677,1)&lt;&gt;"C",D5677&gt;0,F5677&gt;0),1,0)</f>
        <v>1</v>
      </c>
      <c r="J5677" s="7" t="n">
        <f aca="false">IF(I5677=1,D5677*F5677,0)</f>
        <v>16.6</v>
      </c>
      <c r="K5677" s="7" t="n">
        <f aca="false">YEAR(E5677)*100+MONTH(E5677)</f>
        <v>201111</v>
      </c>
      <c r="L5677" s="7" t="n">
        <f aca="false">IF(AND(A5677&lt;&gt;A5676,LEFT(A5677,1)&lt;&gt;"C"),1,0)</f>
        <v>0</v>
      </c>
    </row>
    <row r="5678" customFormat="false" ht="15" hidden="false" customHeight="false" outlineLevel="0" collapsed="false">
      <c r="A5678" s="0" t="s">
        <v>3086</v>
      </c>
      <c r="B5678" s="0" t="s">
        <v>2136</v>
      </c>
      <c r="C5678" s="0" t="s">
        <v>2137</v>
      </c>
      <c r="D5678" s="0" t="n">
        <v>12</v>
      </c>
      <c r="E5678" s="6" t="n">
        <v>40864.4597222222</v>
      </c>
      <c r="F5678" s="0" t="n">
        <v>2.1</v>
      </c>
      <c r="G5678" s="0" t="n">
        <v>12567</v>
      </c>
      <c r="H5678" s="0" t="s">
        <v>43</v>
      </c>
      <c r="I5678" s="7" t="n">
        <f aca="false">IF(AND(LEFT(A5678,1)&lt;&gt;"C",D5678&gt;0,F5678&gt;0),1,0)</f>
        <v>1</v>
      </c>
      <c r="J5678" s="7" t="n">
        <f aca="false">IF(I5678=1,D5678*F5678,0)</f>
        <v>25.2</v>
      </c>
      <c r="K5678" s="7" t="n">
        <f aca="false">YEAR(E5678)*100+MONTH(E5678)</f>
        <v>201111</v>
      </c>
      <c r="L5678" s="7" t="n">
        <f aca="false">IF(AND(A5678&lt;&gt;A5677,LEFT(A5678,1)&lt;&gt;"C"),1,0)</f>
        <v>0</v>
      </c>
    </row>
    <row r="5679" customFormat="false" ht="15" hidden="false" customHeight="false" outlineLevel="0" collapsed="false">
      <c r="A5679" s="0" t="s">
        <v>3086</v>
      </c>
      <c r="B5679" s="0" t="s">
        <v>1159</v>
      </c>
      <c r="C5679" s="0" t="s">
        <v>1160</v>
      </c>
      <c r="D5679" s="0" t="n">
        <v>24</v>
      </c>
      <c r="E5679" s="6" t="n">
        <v>40864.4597222222</v>
      </c>
      <c r="F5679" s="0" t="n">
        <v>0.42</v>
      </c>
      <c r="G5679" s="0" t="n">
        <v>12567</v>
      </c>
      <c r="H5679" s="0" t="s">
        <v>43</v>
      </c>
      <c r="I5679" s="7" t="n">
        <f aca="false">IF(AND(LEFT(A5679,1)&lt;&gt;"C",D5679&gt;0,F5679&gt;0),1,0)</f>
        <v>1</v>
      </c>
      <c r="J5679" s="7" t="n">
        <f aca="false">IF(I5679=1,D5679*F5679,0)</f>
        <v>10.08</v>
      </c>
      <c r="K5679" s="7" t="n">
        <f aca="false">YEAR(E5679)*100+MONTH(E5679)</f>
        <v>201111</v>
      </c>
      <c r="L5679" s="7" t="n">
        <f aca="false">IF(AND(A5679&lt;&gt;A5678,LEFT(A5679,1)&lt;&gt;"C"),1,0)</f>
        <v>0</v>
      </c>
    </row>
    <row r="5680" customFormat="false" ht="15" hidden="false" customHeight="false" outlineLevel="0" collapsed="false">
      <c r="A5680" s="0" t="s">
        <v>3086</v>
      </c>
      <c r="B5680" s="0" t="s">
        <v>2144</v>
      </c>
      <c r="C5680" s="0" t="s">
        <v>2145</v>
      </c>
      <c r="D5680" s="0" t="n">
        <v>24</v>
      </c>
      <c r="E5680" s="6" t="n">
        <v>40864.4597222222</v>
      </c>
      <c r="F5680" s="0" t="n">
        <v>0.42</v>
      </c>
      <c r="G5680" s="0" t="n">
        <v>12567</v>
      </c>
      <c r="H5680" s="0" t="s">
        <v>43</v>
      </c>
      <c r="I5680" s="7" t="n">
        <f aca="false">IF(AND(LEFT(A5680,1)&lt;&gt;"C",D5680&gt;0,F5680&gt;0),1,0)</f>
        <v>1</v>
      </c>
      <c r="J5680" s="7" t="n">
        <f aca="false">IF(I5680=1,D5680*F5680,0)</f>
        <v>10.08</v>
      </c>
      <c r="K5680" s="7" t="n">
        <f aca="false">YEAR(E5680)*100+MONTH(E5680)</f>
        <v>201111</v>
      </c>
      <c r="L5680" s="7" t="n">
        <f aca="false">IF(AND(A5680&lt;&gt;A5679,LEFT(A5680,1)&lt;&gt;"C"),1,0)</f>
        <v>0</v>
      </c>
    </row>
    <row r="5681" customFormat="false" ht="15" hidden="false" customHeight="false" outlineLevel="0" collapsed="false">
      <c r="A5681" s="0" t="s">
        <v>3086</v>
      </c>
      <c r="B5681" s="0" t="s">
        <v>693</v>
      </c>
      <c r="C5681" s="0" t="s">
        <v>694</v>
      </c>
      <c r="D5681" s="0" t="n">
        <v>12</v>
      </c>
      <c r="E5681" s="6" t="n">
        <v>40864.4597222222</v>
      </c>
      <c r="F5681" s="0" t="n">
        <v>0.83</v>
      </c>
      <c r="G5681" s="0" t="n">
        <v>12567</v>
      </c>
      <c r="H5681" s="0" t="s">
        <v>43</v>
      </c>
      <c r="I5681" s="7" t="n">
        <f aca="false">IF(AND(LEFT(A5681,1)&lt;&gt;"C",D5681&gt;0,F5681&gt;0),1,0)</f>
        <v>1</v>
      </c>
      <c r="J5681" s="7" t="n">
        <f aca="false">IF(I5681=1,D5681*F5681,0)</f>
        <v>9.96</v>
      </c>
      <c r="K5681" s="7" t="n">
        <f aca="false">YEAR(E5681)*100+MONTH(E5681)</f>
        <v>201111</v>
      </c>
      <c r="L5681" s="7" t="n">
        <f aca="false">IF(AND(A5681&lt;&gt;A5680,LEFT(A5681,1)&lt;&gt;"C"),1,0)</f>
        <v>0</v>
      </c>
    </row>
    <row r="5682" customFormat="false" ht="15" hidden="false" customHeight="false" outlineLevel="0" collapsed="false">
      <c r="A5682" s="0" t="s">
        <v>3086</v>
      </c>
      <c r="B5682" s="0" t="s">
        <v>463</v>
      </c>
      <c r="C5682" s="0" t="s">
        <v>464</v>
      </c>
      <c r="D5682" s="0" t="n">
        <v>4</v>
      </c>
      <c r="E5682" s="6" t="n">
        <v>40864.4597222222</v>
      </c>
      <c r="F5682" s="0" t="n">
        <v>7.95</v>
      </c>
      <c r="G5682" s="0" t="n">
        <v>12567</v>
      </c>
      <c r="H5682" s="0" t="s">
        <v>43</v>
      </c>
      <c r="I5682" s="7" t="n">
        <f aca="false">IF(AND(LEFT(A5682,1)&lt;&gt;"C",D5682&gt;0,F5682&gt;0),1,0)</f>
        <v>1</v>
      </c>
      <c r="J5682" s="7" t="n">
        <f aca="false">IF(I5682=1,D5682*F5682,0)</f>
        <v>31.8</v>
      </c>
      <c r="K5682" s="7" t="n">
        <f aca="false">YEAR(E5682)*100+MONTH(E5682)</f>
        <v>201111</v>
      </c>
      <c r="L5682" s="7" t="n">
        <f aca="false">IF(AND(A5682&lt;&gt;A5681,LEFT(A5682,1)&lt;&gt;"C"),1,0)</f>
        <v>0</v>
      </c>
    </row>
    <row r="5683" customFormat="false" ht="15" hidden="false" customHeight="false" outlineLevel="0" collapsed="false">
      <c r="A5683" s="0" t="s">
        <v>3086</v>
      </c>
      <c r="B5683" s="0" t="s">
        <v>247</v>
      </c>
      <c r="C5683" s="0" t="s">
        <v>248</v>
      </c>
      <c r="D5683" s="0" t="n">
        <v>25</v>
      </c>
      <c r="E5683" s="6" t="n">
        <v>40864.4597222222</v>
      </c>
      <c r="F5683" s="0" t="n">
        <v>0.42</v>
      </c>
      <c r="G5683" s="0" t="n">
        <v>12567</v>
      </c>
      <c r="H5683" s="0" t="s">
        <v>43</v>
      </c>
      <c r="I5683" s="7" t="n">
        <f aca="false">IF(AND(LEFT(A5683,1)&lt;&gt;"C",D5683&gt;0,F5683&gt;0),1,0)</f>
        <v>1</v>
      </c>
      <c r="J5683" s="7" t="n">
        <f aca="false">IF(I5683=1,D5683*F5683,0)</f>
        <v>10.5</v>
      </c>
      <c r="K5683" s="7" t="n">
        <f aca="false">YEAR(E5683)*100+MONTH(E5683)</f>
        <v>201111</v>
      </c>
      <c r="L5683" s="7" t="n">
        <f aca="false">IF(AND(A5683&lt;&gt;A5682,LEFT(A5683,1)&lt;&gt;"C"),1,0)</f>
        <v>0</v>
      </c>
    </row>
    <row r="5684" customFormat="false" ht="15" hidden="false" customHeight="false" outlineLevel="0" collapsed="false">
      <c r="A5684" s="0" t="s">
        <v>3086</v>
      </c>
      <c r="B5684" s="0" t="s">
        <v>1006</v>
      </c>
      <c r="C5684" s="0" t="s">
        <v>1007</v>
      </c>
      <c r="D5684" s="0" t="n">
        <v>25</v>
      </c>
      <c r="E5684" s="6" t="n">
        <v>40864.4597222222</v>
      </c>
      <c r="F5684" s="0" t="n">
        <v>0.42</v>
      </c>
      <c r="G5684" s="0" t="n">
        <v>12567</v>
      </c>
      <c r="H5684" s="0" t="s">
        <v>43</v>
      </c>
      <c r="I5684" s="7" t="n">
        <f aca="false">IF(AND(LEFT(A5684,1)&lt;&gt;"C",D5684&gt;0,F5684&gt;0),1,0)</f>
        <v>1</v>
      </c>
      <c r="J5684" s="7" t="n">
        <f aca="false">IF(I5684=1,D5684*F5684,0)</f>
        <v>10.5</v>
      </c>
      <c r="K5684" s="7" t="n">
        <f aca="false">YEAR(E5684)*100+MONTH(E5684)</f>
        <v>201111</v>
      </c>
      <c r="L5684" s="7" t="n">
        <f aca="false">IF(AND(A5684&lt;&gt;A5683,LEFT(A5684,1)&lt;&gt;"C"),1,0)</f>
        <v>0</v>
      </c>
    </row>
    <row r="5685" customFormat="false" ht="15" hidden="false" customHeight="false" outlineLevel="0" collapsed="false">
      <c r="A5685" s="0" t="s">
        <v>3086</v>
      </c>
      <c r="B5685" s="0" t="s">
        <v>2209</v>
      </c>
      <c r="C5685" s="0" t="s">
        <v>2210</v>
      </c>
      <c r="D5685" s="0" t="n">
        <v>25</v>
      </c>
      <c r="E5685" s="6" t="n">
        <v>40864.4597222222</v>
      </c>
      <c r="F5685" s="0" t="n">
        <v>0.42</v>
      </c>
      <c r="G5685" s="0" t="n">
        <v>12567</v>
      </c>
      <c r="H5685" s="0" t="s">
        <v>43</v>
      </c>
      <c r="I5685" s="7" t="n">
        <f aca="false">IF(AND(LEFT(A5685,1)&lt;&gt;"C",D5685&gt;0,F5685&gt;0),1,0)</f>
        <v>1</v>
      </c>
      <c r="J5685" s="7" t="n">
        <f aca="false">IF(I5685=1,D5685*F5685,0)</f>
        <v>10.5</v>
      </c>
      <c r="K5685" s="7" t="n">
        <f aca="false">YEAR(E5685)*100+MONTH(E5685)</f>
        <v>201111</v>
      </c>
      <c r="L5685" s="7" t="n">
        <f aca="false">IF(AND(A5685&lt;&gt;A5684,LEFT(A5685,1)&lt;&gt;"C"),1,0)</f>
        <v>0</v>
      </c>
    </row>
    <row r="5686" customFormat="false" ht="15" hidden="false" customHeight="false" outlineLevel="0" collapsed="false">
      <c r="A5686" s="0" t="s">
        <v>3086</v>
      </c>
      <c r="B5686" s="0" t="s">
        <v>84</v>
      </c>
      <c r="C5686" s="0" t="s">
        <v>85</v>
      </c>
      <c r="D5686" s="0" t="n">
        <v>6</v>
      </c>
      <c r="E5686" s="6" t="n">
        <v>40864.4597222222</v>
      </c>
      <c r="F5686" s="0" t="n">
        <v>18</v>
      </c>
      <c r="G5686" s="0" t="n">
        <v>12567</v>
      </c>
      <c r="H5686" s="0" t="s">
        <v>43</v>
      </c>
      <c r="I5686" s="7" t="n">
        <f aca="false">IF(AND(LEFT(A5686,1)&lt;&gt;"C",D5686&gt;0,F5686&gt;0),1,0)</f>
        <v>1</v>
      </c>
      <c r="J5686" s="7" t="n">
        <f aca="false">IF(I5686=1,D5686*F5686,0)</f>
        <v>108</v>
      </c>
      <c r="K5686" s="7" t="n">
        <f aca="false">YEAR(E5686)*100+MONTH(E5686)</f>
        <v>201111</v>
      </c>
      <c r="L5686" s="7" t="n">
        <f aca="false">IF(AND(A5686&lt;&gt;A5685,LEFT(A5686,1)&lt;&gt;"C"),1,0)</f>
        <v>0</v>
      </c>
    </row>
    <row r="5687" customFormat="false" ht="15" hidden="false" customHeight="false" outlineLevel="0" collapsed="false">
      <c r="A5687" s="0" t="s">
        <v>3105</v>
      </c>
      <c r="B5687" s="0" t="s">
        <v>2573</v>
      </c>
      <c r="C5687" s="0" t="s">
        <v>2574</v>
      </c>
      <c r="D5687" s="0" t="n">
        <v>4</v>
      </c>
      <c r="E5687" s="6" t="n">
        <v>40864.4819444444</v>
      </c>
      <c r="F5687" s="0" t="n">
        <v>3.75</v>
      </c>
      <c r="G5687" s="0" t="n">
        <v>12562</v>
      </c>
      <c r="H5687" s="0" t="s">
        <v>43</v>
      </c>
      <c r="I5687" s="7" t="n">
        <f aca="false">IF(AND(LEFT(A5687,1)&lt;&gt;"C",D5687&gt;0,F5687&gt;0),1,0)</f>
        <v>1</v>
      </c>
      <c r="J5687" s="7" t="n">
        <f aca="false">IF(I5687=1,D5687*F5687,0)</f>
        <v>15</v>
      </c>
      <c r="K5687" s="7" t="n">
        <f aca="false">YEAR(E5687)*100+MONTH(E5687)</f>
        <v>201111</v>
      </c>
      <c r="L5687" s="7" t="n">
        <f aca="false">IF(AND(A5687&lt;&gt;A5686,LEFT(A5687,1)&lt;&gt;"C"),1,0)</f>
        <v>1</v>
      </c>
    </row>
    <row r="5688" customFormat="false" ht="15" hidden="false" customHeight="false" outlineLevel="0" collapsed="false">
      <c r="A5688" s="0" t="s">
        <v>3105</v>
      </c>
      <c r="B5688" s="0" t="s">
        <v>2804</v>
      </c>
      <c r="C5688" s="0" t="s">
        <v>2805</v>
      </c>
      <c r="D5688" s="0" t="n">
        <v>20</v>
      </c>
      <c r="E5688" s="6" t="n">
        <v>40864.4819444444</v>
      </c>
      <c r="F5688" s="0" t="n">
        <v>2.08</v>
      </c>
      <c r="G5688" s="0" t="n">
        <v>12562</v>
      </c>
      <c r="H5688" s="0" t="s">
        <v>43</v>
      </c>
      <c r="I5688" s="7" t="n">
        <f aca="false">IF(AND(LEFT(A5688,1)&lt;&gt;"C",D5688&gt;0,F5688&gt;0),1,0)</f>
        <v>1</v>
      </c>
      <c r="J5688" s="7" t="n">
        <f aca="false">IF(I5688=1,D5688*F5688,0)</f>
        <v>41.6</v>
      </c>
      <c r="K5688" s="7" t="n">
        <f aca="false">YEAR(E5688)*100+MONTH(E5688)</f>
        <v>201111</v>
      </c>
      <c r="L5688" s="7" t="n">
        <f aca="false">IF(AND(A5688&lt;&gt;A5687,LEFT(A5688,1)&lt;&gt;"C"),1,0)</f>
        <v>0</v>
      </c>
    </row>
    <row r="5689" customFormat="false" ht="15" hidden="false" customHeight="false" outlineLevel="0" collapsed="false">
      <c r="A5689" s="0" t="s">
        <v>3105</v>
      </c>
      <c r="B5689" s="0" t="s">
        <v>2450</v>
      </c>
      <c r="C5689" s="0" t="s">
        <v>2451</v>
      </c>
      <c r="D5689" s="0" t="n">
        <v>6</v>
      </c>
      <c r="E5689" s="6" t="n">
        <v>40864.4819444444</v>
      </c>
      <c r="F5689" s="0" t="n">
        <v>16.95</v>
      </c>
      <c r="G5689" s="0" t="n">
        <v>12562</v>
      </c>
      <c r="H5689" s="0" t="s">
        <v>43</v>
      </c>
      <c r="I5689" s="7" t="n">
        <f aca="false">IF(AND(LEFT(A5689,1)&lt;&gt;"C",D5689&gt;0,F5689&gt;0),1,0)</f>
        <v>1</v>
      </c>
      <c r="J5689" s="7" t="n">
        <f aca="false">IF(I5689=1,D5689*F5689,0)</f>
        <v>101.7</v>
      </c>
      <c r="K5689" s="7" t="n">
        <f aca="false">YEAR(E5689)*100+MONTH(E5689)</f>
        <v>201111</v>
      </c>
      <c r="L5689" s="7" t="n">
        <f aca="false">IF(AND(A5689&lt;&gt;A5688,LEFT(A5689,1)&lt;&gt;"C"),1,0)</f>
        <v>0</v>
      </c>
    </row>
    <row r="5690" customFormat="false" ht="15" hidden="false" customHeight="false" outlineLevel="0" collapsed="false">
      <c r="A5690" s="0" t="s">
        <v>3105</v>
      </c>
      <c r="B5690" s="0" t="s">
        <v>2282</v>
      </c>
      <c r="C5690" s="0" t="s">
        <v>2283</v>
      </c>
      <c r="D5690" s="0" t="n">
        <v>6</v>
      </c>
      <c r="E5690" s="6" t="n">
        <v>40864.4819444444</v>
      </c>
      <c r="F5690" s="0" t="n">
        <v>7.95</v>
      </c>
      <c r="G5690" s="0" t="n">
        <v>12562</v>
      </c>
      <c r="H5690" s="0" t="s">
        <v>43</v>
      </c>
      <c r="I5690" s="7" t="n">
        <f aca="false">IF(AND(LEFT(A5690,1)&lt;&gt;"C",D5690&gt;0,F5690&gt;0),1,0)</f>
        <v>1</v>
      </c>
      <c r="J5690" s="7" t="n">
        <f aca="false">IF(I5690=1,D5690*F5690,0)</f>
        <v>47.7</v>
      </c>
      <c r="K5690" s="7" t="n">
        <f aca="false">YEAR(E5690)*100+MONTH(E5690)</f>
        <v>201111</v>
      </c>
      <c r="L5690" s="7" t="n">
        <f aca="false">IF(AND(A5690&lt;&gt;A5689,LEFT(A5690,1)&lt;&gt;"C"),1,0)</f>
        <v>0</v>
      </c>
    </row>
    <row r="5691" customFormat="false" ht="15" hidden="false" customHeight="false" outlineLevel="0" collapsed="false">
      <c r="A5691" s="0" t="s">
        <v>3105</v>
      </c>
      <c r="B5691" s="0" t="s">
        <v>1099</v>
      </c>
      <c r="C5691" s="0" t="s">
        <v>1100</v>
      </c>
      <c r="D5691" s="0" t="n">
        <v>6</v>
      </c>
      <c r="E5691" s="6" t="n">
        <v>40864.4819444444</v>
      </c>
      <c r="F5691" s="0" t="n">
        <v>2.49</v>
      </c>
      <c r="G5691" s="0" t="n">
        <v>12562</v>
      </c>
      <c r="H5691" s="0" t="s">
        <v>43</v>
      </c>
      <c r="I5691" s="7" t="n">
        <f aca="false">IF(AND(LEFT(A5691,1)&lt;&gt;"C",D5691&gt;0,F5691&gt;0),1,0)</f>
        <v>1</v>
      </c>
      <c r="J5691" s="7" t="n">
        <f aca="false">IF(I5691=1,D5691*F5691,0)</f>
        <v>14.94</v>
      </c>
      <c r="K5691" s="7" t="n">
        <f aca="false">YEAR(E5691)*100+MONTH(E5691)</f>
        <v>201111</v>
      </c>
      <c r="L5691" s="7" t="n">
        <f aca="false">IF(AND(A5691&lt;&gt;A5690,LEFT(A5691,1)&lt;&gt;"C"),1,0)</f>
        <v>0</v>
      </c>
    </row>
    <row r="5692" customFormat="false" ht="15" hidden="false" customHeight="false" outlineLevel="0" collapsed="false">
      <c r="A5692" s="0" t="s">
        <v>3105</v>
      </c>
      <c r="B5692" s="0" t="s">
        <v>1794</v>
      </c>
      <c r="C5692" s="0" t="s">
        <v>1795</v>
      </c>
      <c r="D5692" s="0" t="n">
        <v>6</v>
      </c>
      <c r="E5692" s="6" t="n">
        <v>40864.4819444444</v>
      </c>
      <c r="F5692" s="0" t="n">
        <v>2.49</v>
      </c>
      <c r="G5692" s="0" t="n">
        <v>12562</v>
      </c>
      <c r="H5692" s="0" t="s">
        <v>43</v>
      </c>
      <c r="I5692" s="7" t="n">
        <f aca="false">IF(AND(LEFT(A5692,1)&lt;&gt;"C",D5692&gt;0,F5692&gt;0),1,0)</f>
        <v>1</v>
      </c>
      <c r="J5692" s="7" t="n">
        <f aca="false">IF(I5692=1,D5692*F5692,0)</f>
        <v>14.94</v>
      </c>
      <c r="K5692" s="7" t="n">
        <f aca="false">YEAR(E5692)*100+MONTH(E5692)</f>
        <v>201111</v>
      </c>
      <c r="L5692" s="7" t="n">
        <f aca="false">IF(AND(A5692&lt;&gt;A5691,LEFT(A5692,1)&lt;&gt;"C"),1,0)</f>
        <v>0</v>
      </c>
    </row>
    <row r="5693" customFormat="false" ht="15" hidden="false" customHeight="false" outlineLevel="0" collapsed="false">
      <c r="A5693" s="0" t="s">
        <v>3105</v>
      </c>
      <c r="B5693" s="0" t="s">
        <v>699</v>
      </c>
      <c r="C5693" s="0" t="s">
        <v>700</v>
      </c>
      <c r="D5693" s="0" t="n">
        <v>12</v>
      </c>
      <c r="E5693" s="6" t="n">
        <v>40864.4819444444</v>
      </c>
      <c r="F5693" s="0" t="n">
        <v>1.25</v>
      </c>
      <c r="G5693" s="0" t="n">
        <v>12562</v>
      </c>
      <c r="H5693" s="0" t="s">
        <v>43</v>
      </c>
      <c r="I5693" s="7" t="n">
        <f aca="false">IF(AND(LEFT(A5693,1)&lt;&gt;"C",D5693&gt;0,F5693&gt;0),1,0)</f>
        <v>1</v>
      </c>
      <c r="J5693" s="7" t="n">
        <f aca="false">IF(I5693=1,D5693*F5693,0)</f>
        <v>15</v>
      </c>
      <c r="K5693" s="7" t="n">
        <f aca="false">YEAR(E5693)*100+MONTH(E5693)</f>
        <v>201111</v>
      </c>
      <c r="L5693" s="7" t="n">
        <f aca="false">IF(AND(A5693&lt;&gt;A5692,LEFT(A5693,1)&lt;&gt;"C"),1,0)</f>
        <v>0</v>
      </c>
    </row>
    <row r="5694" customFormat="false" ht="15" hidden="false" customHeight="false" outlineLevel="0" collapsed="false">
      <c r="A5694" s="0" t="s">
        <v>3105</v>
      </c>
      <c r="B5694" s="0" t="s">
        <v>2465</v>
      </c>
      <c r="C5694" s="0" t="s">
        <v>2466</v>
      </c>
      <c r="D5694" s="0" t="n">
        <v>24</v>
      </c>
      <c r="E5694" s="6" t="n">
        <v>40864.4819444444</v>
      </c>
      <c r="F5694" s="0" t="n">
        <v>1.25</v>
      </c>
      <c r="G5694" s="0" t="n">
        <v>12562</v>
      </c>
      <c r="H5694" s="0" t="s">
        <v>43</v>
      </c>
      <c r="I5694" s="7" t="n">
        <f aca="false">IF(AND(LEFT(A5694,1)&lt;&gt;"C",D5694&gt;0,F5694&gt;0),1,0)</f>
        <v>1</v>
      </c>
      <c r="J5694" s="7" t="n">
        <f aca="false">IF(I5694=1,D5694*F5694,0)</f>
        <v>30</v>
      </c>
      <c r="K5694" s="7" t="n">
        <f aca="false">YEAR(E5694)*100+MONTH(E5694)</f>
        <v>201111</v>
      </c>
      <c r="L5694" s="7" t="n">
        <f aca="false">IF(AND(A5694&lt;&gt;A5693,LEFT(A5694,1)&lt;&gt;"C"),1,0)</f>
        <v>0</v>
      </c>
    </row>
    <row r="5695" customFormat="false" ht="15" hidden="false" customHeight="false" outlineLevel="0" collapsed="false">
      <c r="A5695" s="0" t="s">
        <v>3105</v>
      </c>
      <c r="B5695" s="0" t="s">
        <v>625</v>
      </c>
      <c r="C5695" s="0" t="s">
        <v>626</v>
      </c>
      <c r="D5695" s="0" t="n">
        <v>10</v>
      </c>
      <c r="E5695" s="6" t="n">
        <v>40864.4819444444</v>
      </c>
      <c r="F5695" s="0" t="n">
        <v>2.08</v>
      </c>
      <c r="G5695" s="0" t="n">
        <v>12562</v>
      </c>
      <c r="H5695" s="0" t="s">
        <v>43</v>
      </c>
      <c r="I5695" s="7" t="n">
        <f aca="false">IF(AND(LEFT(A5695,1)&lt;&gt;"C",D5695&gt;0,F5695&gt;0),1,0)</f>
        <v>1</v>
      </c>
      <c r="J5695" s="7" t="n">
        <f aca="false">IF(I5695=1,D5695*F5695,0)</f>
        <v>20.8</v>
      </c>
      <c r="K5695" s="7" t="n">
        <f aca="false">YEAR(E5695)*100+MONTH(E5695)</f>
        <v>201111</v>
      </c>
      <c r="L5695" s="7" t="n">
        <f aca="false">IF(AND(A5695&lt;&gt;A5694,LEFT(A5695,1)&lt;&gt;"C"),1,0)</f>
        <v>0</v>
      </c>
    </row>
    <row r="5696" customFormat="false" ht="15" hidden="false" customHeight="false" outlineLevel="0" collapsed="false">
      <c r="A5696" s="0" t="s">
        <v>3105</v>
      </c>
      <c r="B5696" s="0" t="s">
        <v>517</v>
      </c>
      <c r="C5696" s="0" t="s">
        <v>518</v>
      </c>
      <c r="D5696" s="0" t="n">
        <v>10</v>
      </c>
      <c r="E5696" s="6" t="n">
        <v>40864.4819444444</v>
      </c>
      <c r="F5696" s="0" t="n">
        <v>2.08</v>
      </c>
      <c r="G5696" s="0" t="n">
        <v>12562</v>
      </c>
      <c r="H5696" s="0" t="s">
        <v>43</v>
      </c>
      <c r="I5696" s="7" t="n">
        <f aca="false">IF(AND(LEFT(A5696,1)&lt;&gt;"C",D5696&gt;0,F5696&gt;0),1,0)</f>
        <v>1</v>
      </c>
      <c r="J5696" s="7" t="n">
        <f aca="false">IF(I5696=1,D5696*F5696,0)</f>
        <v>20.8</v>
      </c>
      <c r="K5696" s="7" t="n">
        <f aca="false">YEAR(E5696)*100+MONTH(E5696)</f>
        <v>201111</v>
      </c>
      <c r="L5696" s="7" t="n">
        <f aca="false">IF(AND(A5696&lt;&gt;A5695,LEFT(A5696,1)&lt;&gt;"C"),1,0)</f>
        <v>0</v>
      </c>
    </row>
    <row r="5697" customFormat="false" ht="15" hidden="false" customHeight="false" outlineLevel="0" collapsed="false">
      <c r="A5697" s="0" t="s">
        <v>3105</v>
      </c>
      <c r="B5697" s="0" t="s">
        <v>537</v>
      </c>
      <c r="C5697" s="0" t="s">
        <v>538</v>
      </c>
      <c r="D5697" s="0" t="n">
        <v>6</v>
      </c>
      <c r="E5697" s="6" t="n">
        <v>40864.4819444444</v>
      </c>
      <c r="F5697" s="0" t="n">
        <v>4.15</v>
      </c>
      <c r="G5697" s="0" t="n">
        <v>12562</v>
      </c>
      <c r="H5697" s="0" t="s">
        <v>43</v>
      </c>
      <c r="I5697" s="7" t="n">
        <f aca="false">IF(AND(LEFT(A5697,1)&lt;&gt;"C",D5697&gt;0,F5697&gt;0),1,0)</f>
        <v>1</v>
      </c>
      <c r="J5697" s="7" t="n">
        <f aca="false">IF(I5697=1,D5697*F5697,0)</f>
        <v>24.9</v>
      </c>
      <c r="K5697" s="7" t="n">
        <f aca="false">YEAR(E5697)*100+MONTH(E5697)</f>
        <v>201111</v>
      </c>
      <c r="L5697" s="7" t="n">
        <f aca="false">IF(AND(A5697&lt;&gt;A5696,LEFT(A5697,1)&lt;&gt;"C"),1,0)</f>
        <v>0</v>
      </c>
    </row>
    <row r="5698" customFormat="false" ht="15" hidden="false" customHeight="false" outlineLevel="0" collapsed="false">
      <c r="A5698" s="0" t="s">
        <v>3105</v>
      </c>
      <c r="B5698" s="0" t="s">
        <v>68</v>
      </c>
      <c r="C5698" s="0" t="s">
        <v>69</v>
      </c>
      <c r="D5698" s="0" t="n">
        <v>10</v>
      </c>
      <c r="E5698" s="6" t="n">
        <v>40864.4819444444</v>
      </c>
      <c r="F5698" s="0" t="n">
        <v>1.65</v>
      </c>
      <c r="G5698" s="0" t="n">
        <v>12562</v>
      </c>
      <c r="H5698" s="0" t="s">
        <v>43</v>
      </c>
      <c r="I5698" s="7" t="n">
        <f aca="false">IF(AND(LEFT(A5698,1)&lt;&gt;"C",D5698&gt;0,F5698&gt;0),1,0)</f>
        <v>1</v>
      </c>
      <c r="J5698" s="7" t="n">
        <f aca="false">IF(I5698=1,D5698*F5698,0)</f>
        <v>16.5</v>
      </c>
      <c r="K5698" s="7" t="n">
        <f aca="false">YEAR(E5698)*100+MONTH(E5698)</f>
        <v>201111</v>
      </c>
      <c r="L5698" s="7" t="n">
        <f aca="false">IF(AND(A5698&lt;&gt;A5697,LEFT(A5698,1)&lt;&gt;"C"),1,0)</f>
        <v>0</v>
      </c>
    </row>
    <row r="5699" customFormat="false" ht="15" hidden="false" customHeight="false" outlineLevel="0" collapsed="false">
      <c r="A5699" s="0" t="s">
        <v>3105</v>
      </c>
      <c r="B5699" s="0" t="s">
        <v>3028</v>
      </c>
      <c r="C5699" s="0" t="s">
        <v>3029</v>
      </c>
      <c r="D5699" s="0" t="n">
        <v>10</v>
      </c>
      <c r="E5699" s="6" t="n">
        <v>40864.4819444444</v>
      </c>
      <c r="F5699" s="0" t="n">
        <v>1.65</v>
      </c>
      <c r="G5699" s="0" t="n">
        <v>12562</v>
      </c>
      <c r="H5699" s="0" t="s">
        <v>43</v>
      </c>
      <c r="I5699" s="7" t="n">
        <f aca="false">IF(AND(LEFT(A5699,1)&lt;&gt;"C",D5699&gt;0,F5699&gt;0),1,0)</f>
        <v>1</v>
      </c>
      <c r="J5699" s="7" t="n">
        <f aca="false">IF(I5699=1,D5699*F5699,0)</f>
        <v>16.5</v>
      </c>
      <c r="K5699" s="7" t="n">
        <f aca="false">YEAR(E5699)*100+MONTH(E5699)</f>
        <v>201111</v>
      </c>
      <c r="L5699" s="7" t="n">
        <f aca="false">IF(AND(A5699&lt;&gt;A5698,LEFT(A5699,1)&lt;&gt;"C"),1,0)</f>
        <v>0</v>
      </c>
    </row>
    <row r="5700" customFormat="false" ht="15" hidden="false" customHeight="false" outlineLevel="0" collapsed="false">
      <c r="A5700" s="0" t="s">
        <v>3105</v>
      </c>
      <c r="B5700" s="0" t="s">
        <v>78</v>
      </c>
      <c r="C5700" s="0" t="s">
        <v>79</v>
      </c>
      <c r="D5700" s="0" t="n">
        <v>10</v>
      </c>
      <c r="E5700" s="6" t="n">
        <v>40864.4819444444</v>
      </c>
      <c r="F5700" s="0" t="n">
        <v>1.65</v>
      </c>
      <c r="G5700" s="0" t="n">
        <v>12562</v>
      </c>
      <c r="H5700" s="0" t="s">
        <v>43</v>
      </c>
      <c r="I5700" s="7" t="n">
        <f aca="false">IF(AND(LEFT(A5700,1)&lt;&gt;"C",D5700&gt;0,F5700&gt;0),1,0)</f>
        <v>1</v>
      </c>
      <c r="J5700" s="7" t="n">
        <f aca="false">IF(I5700=1,D5700*F5700,0)</f>
        <v>16.5</v>
      </c>
      <c r="K5700" s="7" t="n">
        <f aca="false">YEAR(E5700)*100+MONTH(E5700)</f>
        <v>201111</v>
      </c>
      <c r="L5700" s="7" t="n">
        <f aca="false">IF(AND(A5700&lt;&gt;A5699,LEFT(A5700,1)&lt;&gt;"C"),1,0)</f>
        <v>0</v>
      </c>
    </row>
    <row r="5701" customFormat="false" ht="15" hidden="false" customHeight="false" outlineLevel="0" collapsed="false">
      <c r="A5701" s="0" t="s">
        <v>3105</v>
      </c>
      <c r="B5701" s="0" t="s">
        <v>2780</v>
      </c>
      <c r="C5701" s="0" t="s">
        <v>2781</v>
      </c>
      <c r="D5701" s="0" t="n">
        <v>10</v>
      </c>
      <c r="E5701" s="6" t="n">
        <v>40864.4819444444</v>
      </c>
      <c r="F5701" s="0" t="n">
        <v>1.65</v>
      </c>
      <c r="G5701" s="0" t="n">
        <v>12562</v>
      </c>
      <c r="H5701" s="0" t="s">
        <v>43</v>
      </c>
      <c r="I5701" s="7" t="n">
        <f aca="false">IF(AND(LEFT(A5701,1)&lt;&gt;"C",D5701&gt;0,F5701&gt;0),1,0)</f>
        <v>1</v>
      </c>
      <c r="J5701" s="7" t="n">
        <f aca="false">IF(I5701=1,D5701*F5701,0)</f>
        <v>16.5</v>
      </c>
      <c r="K5701" s="7" t="n">
        <f aca="false">YEAR(E5701)*100+MONTH(E5701)</f>
        <v>201111</v>
      </c>
      <c r="L5701" s="7" t="n">
        <f aca="false">IF(AND(A5701&lt;&gt;A5700,LEFT(A5701,1)&lt;&gt;"C"),1,0)</f>
        <v>0</v>
      </c>
    </row>
    <row r="5702" customFormat="false" ht="15" hidden="false" customHeight="false" outlineLevel="0" collapsed="false">
      <c r="A5702" s="0" t="s">
        <v>3105</v>
      </c>
      <c r="B5702" s="0" t="s">
        <v>2090</v>
      </c>
      <c r="C5702" s="0" t="s">
        <v>2091</v>
      </c>
      <c r="D5702" s="0" t="n">
        <v>6</v>
      </c>
      <c r="E5702" s="6" t="n">
        <v>40864.4819444444</v>
      </c>
      <c r="F5702" s="0" t="n">
        <v>2.55</v>
      </c>
      <c r="G5702" s="0" t="n">
        <v>12562</v>
      </c>
      <c r="H5702" s="0" t="s">
        <v>43</v>
      </c>
      <c r="I5702" s="7" t="n">
        <f aca="false">IF(AND(LEFT(A5702,1)&lt;&gt;"C",D5702&gt;0,F5702&gt;0),1,0)</f>
        <v>1</v>
      </c>
      <c r="J5702" s="7" t="n">
        <f aca="false">IF(I5702=1,D5702*F5702,0)</f>
        <v>15.3</v>
      </c>
      <c r="K5702" s="7" t="n">
        <f aca="false">YEAR(E5702)*100+MONTH(E5702)</f>
        <v>201111</v>
      </c>
      <c r="L5702" s="7" t="n">
        <f aca="false">IF(AND(A5702&lt;&gt;A5701,LEFT(A5702,1)&lt;&gt;"C"),1,0)</f>
        <v>0</v>
      </c>
    </row>
    <row r="5703" customFormat="false" ht="15" hidden="false" customHeight="false" outlineLevel="0" collapsed="false">
      <c r="A5703" s="0" t="s">
        <v>3105</v>
      </c>
      <c r="B5703" s="0" t="s">
        <v>2092</v>
      </c>
      <c r="C5703" s="0" t="s">
        <v>2093</v>
      </c>
      <c r="D5703" s="0" t="n">
        <v>6</v>
      </c>
      <c r="E5703" s="6" t="n">
        <v>40864.4819444444</v>
      </c>
      <c r="F5703" s="0" t="n">
        <v>2.55</v>
      </c>
      <c r="G5703" s="0" t="n">
        <v>12562</v>
      </c>
      <c r="H5703" s="0" t="s">
        <v>43</v>
      </c>
      <c r="I5703" s="7" t="n">
        <f aca="false">IF(AND(LEFT(A5703,1)&lt;&gt;"C",D5703&gt;0,F5703&gt;0),1,0)</f>
        <v>1</v>
      </c>
      <c r="J5703" s="7" t="n">
        <f aca="false">IF(I5703=1,D5703*F5703,0)</f>
        <v>15.3</v>
      </c>
      <c r="K5703" s="7" t="n">
        <f aca="false">YEAR(E5703)*100+MONTH(E5703)</f>
        <v>201111</v>
      </c>
      <c r="L5703" s="7" t="n">
        <f aca="false">IF(AND(A5703&lt;&gt;A5702,LEFT(A5703,1)&lt;&gt;"C"),1,0)</f>
        <v>0</v>
      </c>
    </row>
    <row r="5704" customFormat="false" ht="15" hidden="false" customHeight="false" outlineLevel="0" collapsed="false">
      <c r="A5704" s="0" t="s">
        <v>3105</v>
      </c>
      <c r="B5704" s="0" t="s">
        <v>62</v>
      </c>
      <c r="C5704" s="0" t="s">
        <v>63</v>
      </c>
      <c r="D5704" s="0" t="n">
        <v>48</v>
      </c>
      <c r="E5704" s="6" t="n">
        <v>40864.4819444444</v>
      </c>
      <c r="F5704" s="0" t="n">
        <v>1.79</v>
      </c>
      <c r="G5704" s="0" t="n">
        <v>12562</v>
      </c>
      <c r="H5704" s="0" t="s">
        <v>43</v>
      </c>
      <c r="I5704" s="7" t="n">
        <f aca="false">IF(AND(LEFT(A5704,1)&lt;&gt;"C",D5704&gt;0,F5704&gt;0),1,0)</f>
        <v>1</v>
      </c>
      <c r="J5704" s="7" t="n">
        <f aca="false">IF(I5704=1,D5704*F5704,0)</f>
        <v>85.92</v>
      </c>
      <c r="K5704" s="7" t="n">
        <f aca="false">YEAR(E5704)*100+MONTH(E5704)</f>
        <v>201111</v>
      </c>
      <c r="L5704" s="7" t="n">
        <f aca="false">IF(AND(A5704&lt;&gt;A5703,LEFT(A5704,1)&lt;&gt;"C"),1,0)</f>
        <v>0</v>
      </c>
    </row>
    <row r="5705" customFormat="false" ht="15" hidden="false" customHeight="false" outlineLevel="0" collapsed="false">
      <c r="A5705" s="0" t="s">
        <v>3105</v>
      </c>
      <c r="B5705" s="0" t="s">
        <v>84</v>
      </c>
      <c r="C5705" s="0" t="s">
        <v>85</v>
      </c>
      <c r="D5705" s="0" t="n">
        <v>5</v>
      </c>
      <c r="E5705" s="6" t="n">
        <v>40864.4819444444</v>
      </c>
      <c r="F5705" s="0" t="n">
        <v>18</v>
      </c>
      <c r="G5705" s="0" t="n">
        <v>12562</v>
      </c>
      <c r="H5705" s="0" t="s">
        <v>43</v>
      </c>
      <c r="I5705" s="7" t="n">
        <f aca="false">IF(AND(LEFT(A5705,1)&lt;&gt;"C",D5705&gt;0,F5705&gt;0),1,0)</f>
        <v>1</v>
      </c>
      <c r="J5705" s="7" t="n">
        <f aca="false">IF(I5705=1,D5705*F5705,0)</f>
        <v>90</v>
      </c>
      <c r="K5705" s="7" t="n">
        <f aca="false">YEAR(E5705)*100+MONTH(E5705)</f>
        <v>201111</v>
      </c>
      <c r="L5705" s="7" t="n">
        <f aca="false">IF(AND(A5705&lt;&gt;A5704,LEFT(A5705,1)&lt;&gt;"C"),1,0)</f>
        <v>0</v>
      </c>
    </row>
    <row r="5706" customFormat="false" ht="15" hidden="false" customHeight="false" outlineLevel="0" collapsed="false">
      <c r="A5706" s="0" t="s">
        <v>3106</v>
      </c>
      <c r="B5706" s="0" t="s">
        <v>1450</v>
      </c>
      <c r="C5706" s="0" t="s">
        <v>1451</v>
      </c>
      <c r="D5706" s="0" t="n">
        <v>-2</v>
      </c>
      <c r="E5706" s="6" t="n">
        <v>40864.4944444444</v>
      </c>
      <c r="F5706" s="0" t="n">
        <v>4.25</v>
      </c>
      <c r="G5706" s="0" t="n">
        <v>12474</v>
      </c>
      <c r="H5706" s="0" t="s">
        <v>33</v>
      </c>
      <c r="I5706" s="7" t="n">
        <f aca="false">IF(AND(LEFT(A5706,1)&lt;&gt;"C",D5706&gt;0,F5706&gt;0),1,0)</f>
        <v>0</v>
      </c>
      <c r="J5706" s="7" t="n">
        <f aca="false">IF(I5706=1,D5706*F5706,0)</f>
        <v>0</v>
      </c>
      <c r="K5706" s="7" t="n">
        <f aca="false">YEAR(E5706)*100+MONTH(E5706)</f>
        <v>201111</v>
      </c>
      <c r="L5706" s="7" t="n">
        <f aca="false">IF(AND(A5706&lt;&gt;A5705,LEFT(A5706,1)&lt;&gt;"C"),1,0)</f>
        <v>0</v>
      </c>
    </row>
    <row r="5707" customFormat="false" ht="15" hidden="false" customHeight="false" outlineLevel="0" collapsed="false">
      <c r="A5707" s="0" t="s">
        <v>3106</v>
      </c>
      <c r="B5707" s="0" t="s">
        <v>107</v>
      </c>
      <c r="C5707" s="0" t="s">
        <v>108</v>
      </c>
      <c r="D5707" s="0" t="n">
        <v>-1</v>
      </c>
      <c r="E5707" s="6" t="n">
        <v>40864.4944444444</v>
      </c>
      <c r="F5707" s="0" t="n">
        <v>2.55</v>
      </c>
      <c r="G5707" s="0" t="n">
        <v>12474</v>
      </c>
      <c r="H5707" s="0" t="s">
        <v>33</v>
      </c>
      <c r="I5707" s="7" t="n">
        <f aca="false">IF(AND(LEFT(A5707,1)&lt;&gt;"C",D5707&gt;0,F5707&gt;0),1,0)</f>
        <v>0</v>
      </c>
      <c r="J5707" s="7" t="n">
        <f aca="false">IF(I5707=1,D5707*F5707,0)</f>
        <v>0</v>
      </c>
      <c r="K5707" s="7" t="n">
        <f aca="false">YEAR(E5707)*100+MONTH(E5707)</f>
        <v>201111</v>
      </c>
      <c r="L5707" s="7" t="n">
        <f aca="false">IF(AND(A5707&lt;&gt;A5706,LEFT(A5707,1)&lt;&gt;"C"),1,0)</f>
        <v>0</v>
      </c>
    </row>
    <row r="5708" customFormat="false" ht="15" hidden="false" customHeight="false" outlineLevel="0" collapsed="false">
      <c r="A5708" s="0" t="s">
        <v>3107</v>
      </c>
      <c r="B5708" s="0" t="s">
        <v>947</v>
      </c>
      <c r="C5708" s="0" t="s">
        <v>948</v>
      </c>
      <c r="D5708" s="0" t="n">
        <v>1</v>
      </c>
      <c r="E5708" s="6" t="n">
        <v>40864.5388888889</v>
      </c>
      <c r="F5708" s="0" t="n">
        <v>21.95</v>
      </c>
      <c r="G5708" s="0" t="n">
        <v>12647</v>
      </c>
      <c r="H5708" s="0" t="s">
        <v>33</v>
      </c>
      <c r="I5708" s="7" t="n">
        <f aca="false">IF(AND(LEFT(A5708,1)&lt;&gt;"C",D5708&gt;0,F5708&gt;0),1,0)</f>
        <v>1</v>
      </c>
      <c r="J5708" s="7" t="n">
        <f aca="false">IF(I5708=1,D5708*F5708,0)</f>
        <v>21.95</v>
      </c>
      <c r="K5708" s="7" t="n">
        <f aca="false">YEAR(E5708)*100+MONTH(E5708)</f>
        <v>201111</v>
      </c>
      <c r="L5708" s="7" t="n">
        <f aca="false">IF(AND(A5708&lt;&gt;A5707,LEFT(A5708,1)&lt;&gt;"C"),1,0)</f>
        <v>1</v>
      </c>
    </row>
    <row r="5709" customFormat="false" ht="15" hidden="false" customHeight="false" outlineLevel="0" collapsed="false">
      <c r="A5709" s="0" t="s">
        <v>3107</v>
      </c>
      <c r="B5709" s="0" t="s">
        <v>1323</v>
      </c>
      <c r="C5709" s="0" t="s">
        <v>1324</v>
      </c>
      <c r="D5709" s="0" t="n">
        <v>8</v>
      </c>
      <c r="E5709" s="6" t="n">
        <v>40864.5388888889</v>
      </c>
      <c r="F5709" s="0" t="n">
        <v>4.95</v>
      </c>
      <c r="G5709" s="0" t="n">
        <v>12647</v>
      </c>
      <c r="H5709" s="0" t="s">
        <v>33</v>
      </c>
      <c r="I5709" s="7" t="n">
        <f aca="false">IF(AND(LEFT(A5709,1)&lt;&gt;"C",D5709&gt;0,F5709&gt;0),1,0)</f>
        <v>1</v>
      </c>
      <c r="J5709" s="7" t="n">
        <f aca="false">IF(I5709=1,D5709*F5709,0)</f>
        <v>39.6</v>
      </c>
      <c r="K5709" s="7" t="n">
        <f aca="false">YEAR(E5709)*100+MONTH(E5709)</f>
        <v>201111</v>
      </c>
      <c r="L5709" s="7" t="n">
        <f aca="false">IF(AND(A5709&lt;&gt;A5708,LEFT(A5709,1)&lt;&gt;"C"),1,0)</f>
        <v>0</v>
      </c>
    </row>
    <row r="5710" customFormat="false" ht="15" hidden="false" customHeight="false" outlineLevel="0" collapsed="false">
      <c r="A5710" s="0" t="s">
        <v>3107</v>
      </c>
      <c r="B5710" s="0" t="s">
        <v>273</v>
      </c>
      <c r="C5710" s="0" t="s">
        <v>274</v>
      </c>
      <c r="D5710" s="0" t="n">
        <v>4</v>
      </c>
      <c r="E5710" s="6" t="n">
        <v>40864.5388888889</v>
      </c>
      <c r="F5710" s="0" t="n">
        <v>4.95</v>
      </c>
      <c r="G5710" s="0" t="n">
        <v>12647</v>
      </c>
      <c r="H5710" s="0" t="s">
        <v>33</v>
      </c>
      <c r="I5710" s="7" t="n">
        <f aca="false">IF(AND(LEFT(A5710,1)&lt;&gt;"C",D5710&gt;0,F5710&gt;0),1,0)</f>
        <v>1</v>
      </c>
      <c r="J5710" s="7" t="n">
        <f aca="false">IF(I5710=1,D5710*F5710,0)</f>
        <v>19.8</v>
      </c>
      <c r="K5710" s="7" t="n">
        <f aca="false">YEAR(E5710)*100+MONTH(E5710)</f>
        <v>201111</v>
      </c>
      <c r="L5710" s="7" t="n">
        <f aca="false">IF(AND(A5710&lt;&gt;A5709,LEFT(A5710,1)&lt;&gt;"C"),1,0)</f>
        <v>0</v>
      </c>
    </row>
    <row r="5711" customFormat="false" ht="15" hidden="false" customHeight="false" outlineLevel="0" collapsed="false">
      <c r="A5711" s="0" t="s">
        <v>3107</v>
      </c>
      <c r="B5711" s="0" t="s">
        <v>1284</v>
      </c>
      <c r="C5711" s="0" t="s">
        <v>1285</v>
      </c>
      <c r="D5711" s="0" t="n">
        <v>24</v>
      </c>
      <c r="E5711" s="6" t="n">
        <v>40864.5388888889</v>
      </c>
      <c r="F5711" s="0" t="n">
        <v>1.95</v>
      </c>
      <c r="G5711" s="0" t="n">
        <v>12647</v>
      </c>
      <c r="H5711" s="0" t="s">
        <v>33</v>
      </c>
      <c r="I5711" s="7" t="n">
        <f aca="false">IF(AND(LEFT(A5711,1)&lt;&gt;"C",D5711&gt;0,F5711&gt;0),1,0)</f>
        <v>1</v>
      </c>
      <c r="J5711" s="7" t="n">
        <f aca="false">IF(I5711=1,D5711*F5711,0)</f>
        <v>46.8</v>
      </c>
      <c r="K5711" s="7" t="n">
        <f aca="false">YEAR(E5711)*100+MONTH(E5711)</f>
        <v>201111</v>
      </c>
      <c r="L5711" s="7" t="n">
        <f aca="false">IF(AND(A5711&lt;&gt;A5710,LEFT(A5711,1)&lt;&gt;"C"),1,0)</f>
        <v>0</v>
      </c>
    </row>
    <row r="5712" customFormat="false" ht="15" hidden="false" customHeight="false" outlineLevel="0" collapsed="false">
      <c r="A5712" s="0" t="s">
        <v>3107</v>
      </c>
      <c r="B5712" s="0" t="s">
        <v>951</v>
      </c>
      <c r="C5712" s="0" t="s">
        <v>952</v>
      </c>
      <c r="D5712" s="0" t="n">
        <v>50</v>
      </c>
      <c r="E5712" s="6" t="n">
        <v>40864.5388888889</v>
      </c>
      <c r="F5712" s="0" t="n">
        <v>1.06</v>
      </c>
      <c r="G5712" s="0" t="n">
        <v>12647</v>
      </c>
      <c r="H5712" s="0" t="s">
        <v>33</v>
      </c>
      <c r="I5712" s="7" t="n">
        <f aca="false">IF(AND(LEFT(A5712,1)&lt;&gt;"C",D5712&gt;0,F5712&gt;0),1,0)</f>
        <v>1</v>
      </c>
      <c r="J5712" s="7" t="n">
        <f aca="false">IF(I5712=1,D5712*F5712,0)</f>
        <v>53</v>
      </c>
      <c r="K5712" s="7" t="n">
        <f aca="false">YEAR(E5712)*100+MONTH(E5712)</f>
        <v>201111</v>
      </c>
      <c r="L5712" s="7" t="n">
        <f aca="false">IF(AND(A5712&lt;&gt;A5711,LEFT(A5712,1)&lt;&gt;"C"),1,0)</f>
        <v>0</v>
      </c>
    </row>
    <row r="5713" customFormat="false" ht="15" hidden="false" customHeight="false" outlineLevel="0" collapsed="false">
      <c r="A5713" s="0" t="s">
        <v>3107</v>
      </c>
      <c r="B5713" s="0" t="s">
        <v>953</v>
      </c>
      <c r="C5713" s="0" t="s">
        <v>954</v>
      </c>
      <c r="D5713" s="0" t="n">
        <v>40</v>
      </c>
      <c r="E5713" s="6" t="n">
        <v>40864.5388888889</v>
      </c>
      <c r="F5713" s="0" t="n">
        <v>1.25</v>
      </c>
      <c r="G5713" s="0" t="n">
        <v>12647</v>
      </c>
      <c r="H5713" s="0" t="s">
        <v>33</v>
      </c>
      <c r="I5713" s="7" t="n">
        <f aca="false">IF(AND(LEFT(A5713,1)&lt;&gt;"C",D5713&gt;0,F5713&gt;0),1,0)</f>
        <v>1</v>
      </c>
      <c r="J5713" s="7" t="n">
        <f aca="false">IF(I5713=1,D5713*F5713,0)</f>
        <v>50</v>
      </c>
      <c r="K5713" s="7" t="n">
        <f aca="false">YEAR(E5713)*100+MONTH(E5713)</f>
        <v>201111</v>
      </c>
      <c r="L5713" s="7" t="n">
        <f aca="false">IF(AND(A5713&lt;&gt;A5712,LEFT(A5713,1)&lt;&gt;"C"),1,0)</f>
        <v>0</v>
      </c>
    </row>
    <row r="5714" customFormat="false" ht="15" hidden="false" customHeight="false" outlineLevel="0" collapsed="false">
      <c r="A5714" s="0" t="s">
        <v>3107</v>
      </c>
      <c r="B5714" s="0" t="s">
        <v>84</v>
      </c>
      <c r="C5714" s="0" t="s">
        <v>85</v>
      </c>
      <c r="D5714" s="0" t="n">
        <v>5</v>
      </c>
      <c r="E5714" s="6" t="n">
        <v>40864.5388888889</v>
      </c>
      <c r="F5714" s="0" t="n">
        <v>18</v>
      </c>
      <c r="G5714" s="0" t="n">
        <v>12647</v>
      </c>
      <c r="H5714" s="0" t="s">
        <v>33</v>
      </c>
      <c r="I5714" s="7" t="n">
        <f aca="false">IF(AND(LEFT(A5714,1)&lt;&gt;"C",D5714&gt;0,F5714&gt;0),1,0)</f>
        <v>1</v>
      </c>
      <c r="J5714" s="7" t="n">
        <f aca="false">IF(I5714=1,D5714*F5714,0)</f>
        <v>90</v>
      </c>
      <c r="K5714" s="7" t="n">
        <f aca="false">YEAR(E5714)*100+MONTH(E5714)</f>
        <v>201111</v>
      </c>
      <c r="L5714" s="7" t="n">
        <f aca="false">IF(AND(A5714&lt;&gt;A5713,LEFT(A5714,1)&lt;&gt;"C"),1,0)</f>
        <v>0</v>
      </c>
    </row>
    <row r="5715" customFormat="false" ht="15" hidden="false" customHeight="false" outlineLevel="0" collapsed="false">
      <c r="A5715" s="0" t="s">
        <v>3108</v>
      </c>
      <c r="B5715" s="0" t="s">
        <v>2513</v>
      </c>
      <c r="C5715" s="0" t="s">
        <v>2514</v>
      </c>
      <c r="D5715" s="0" t="n">
        <v>24</v>
      </c>
      <c r="E5715" s="6" t="n">
        <v>40864.5965277778</v>
      </c>
      <c r="F5715" s="0" t="n">
        <v>1.25</v>
      </c>
      <c r="G5715" s="0" t="n">
        <v>13815</v>
      </c>
      <c r="H5715" s="0" t="s">
        <v>33</v>
      </c>
      <c r="I5715" s="7" t="n">
        <f aca="false">IF(AND(LEFT(A5715,1)&lt;&gt;"C",D5715&gt;0,F5715&gt;0),1,0)</f>
        <v>1</v>
      </c>
      <c r="J5715" s="7" t="n">
        <f aca="false">IF(I5715=1,D5715*F5715,0)</f>
        <v>30</v>
      </c>
      <c r="K5715" s="7" t="n">
        <f aca="false">YEAR(E5715)*100+MONTH(E5715)</f>
        <v>201111</v>
      </c>
      <c r="L5715" s="7" t="n">
        <f aca="false">IF(AND(A5715&lt;&gt;A5714,LEFT(A5715,1)&lt;&gt;"C"),1,0)</f>
        <v>1</v>
      </c>
    </row>
    <row r="5716" customFormat="false" ht="15" hidden="false" customHeight="false" outlineLevel="0" collapsed="false">
      <c r="A5716" s="0" t="s">
        <v>3108</v>
      </c>
      <c r="B5716" s="0" t="s">
        <v>586</v>
      </c>
      <c r="C5716" s="0" t="s">
        <v>587</v>
      </c>
      <c r="D5716" s="0" t="n">
        <v>24</v>
      </c>
      <c r="E5716" s="6" t="n">
        <v>40864.5965277778</v>
      </c>
      <c r="F5716" s="0" t="n">
        <v>1.25</v>
      </c>
      <c r="G5716" s="0" t="n">
        <v>13815</v>
      </c>
      <c r="H5716" s="0" t="s">
        <v>33</v>
      </c>
      <c r="I5716" s="7" t="n">
        <f aca="false">IF(AND(LEFT(A5716,1)&lt;&gt;"C",D5716&gt;0,F5716&gt;0),1,0)</f>
        <v>1</v>
      </c>
      <c r="J5716" s="7" t="n">
        <f aca="false">IF(I5716=1,D5716*F5716,0)</f>
        <v>30</v>
      </c>
      <c r="K5716" s="7" t="n">
        <f aca="false">YEAR(E5716)*100+MONTH(E5716)</f>
        <v>201111</v>
      </c>
      <c r="L5716" s="7" t="n">
        <f aca="false">IF(AND(A5716&lt;&gt;A5715,LEFT(A5716,1)&lt;&gt;"C"),1,0)</f>
        <v>0</v>
      </c>
    </row>
    <row r="5717" customFormat="false" ht="15" hidden="false" customHeight="false" outlineLevel="0" collapsed="false">
      <c r="A5717" s="0" t="s">
        <v>3108</v>
      </c>
      <c r="B5717" s="0" t="s">
        <v>125</v>
      </c>
      <c r="C5717" s="0" t="s">
        <v>126</v>
      </c>
      <c r="D5717" s="0" t="n">
        <v>24</v>
      </c>
      <c r="E5717" s="6" t="n">
        <v>40864.5965277778</v>
      </c>
      <c r="F5717" s="0" t="n">
        <v>1.25</v>
      </c>
      <c r="G5717" s="0" t="n">
        <v>13815</v>
      </c>
      <c r="H5717" s="0" t="s">
        <v>33</v>
      </c>
      <c r="I5717" s="7" t="n">
        <f aca="false">IF(AND(LEFT(A5717,1)&lt;&gt;"C",D5717&gt;0,F5717&gt;0),1,0)</f>
        <v>1</v>
      </c>
      <c r="J5717" s="7" t="n">
        <f aca="false">IF(I5717=1,D5717*F5717,0)</f>
        <v>30</v>
      </c>
      <c r="K5717" s="7" t="n">
        <f aca="false">YEAR(E5717)*100+MONTH(E5717)</f>
        <v>201111</v>
      </c>
      <c r="L5717" s="7" t="n">
        <f aca="false">IF(AND(A5717&lt;&gt;A5716,LEFT(A5717,1)&lt;&gt;"C"),1,0)</f>
        <v>0</v>
      </c>
    </row>
    <row r="5718" customFormat="false" ht="15" hidden="false" customHeight="false" outlineLevel="0" collapsed="false">
      <c r="A5718" s="0" t="s">
        <v>3108</v>
      </c>
      <c r="B5718" s="0" t="s">
        <v>217</v>
      </c>
      <c r="C5718" s="0" t="s">
        <v>218</v>
      </c>
      <c r="D5718" s="0" t="n">
        <v>24</v>
      </c>
      <c r="E5718" s="6" t="n">
        <v>40864.5965277778</v>
      </c>
      <c r="F5718" s="0" t="n">
        <v>0.55</v>
      </c>
      <c r="G5718" s="0" t="n">
        <v>13815</v>
      </c>
      <c r="H5718" s="0" t="s">
        <v>33</v>
      </c>
      <c r="I5718" s="7" t="n">
        <f aca="false">IF(AND(LEFT(A5718,1)&lt;&gt;"C",D5718&gt;0,F5718&gt;0),1,0)</f>
        <v>1</v>
      </c>
      <c r="J5718" s="7" t="n">
        <f aca="false">IF(I5718=1,D5718*F5718,0)</f>
        <v>13.2</v>
      </c>
      <c r="K5718" s="7" t="n">
        <f aca="false">YEAR(E5718)*100+MONTH(E5718)</f>
        <v>201111</v>
      </c>
      <c r="L5718" s="7" t="n">
        <f aca="false">IF(AND(A5718&lt;&gt;A5717,LEFT(A5718,1)&lt;&gt;"C"),1,0)</f>
        <v>0</v>
      </c>
    </row>
    <row r="5719" customFormat="false" ht="15" hidden="false" customHeight="false" outlineLevel="0" collapsed="false">
      <c r="A5719" s="0" t="s">
        <v>3109</v>
      </c>
      <c r="B5719" s="0" t="s">
        <v>2894</v>
      </c>
      <c r="C5719" s="0" t="s">
        <v>2895</v>
      </c>
      <c r="D5719" s="0" t="n">
        <v>36</v>
      </c>
      <c r="E5719" s="6" t="n">
        <v>40864.7701388889</v>
      </c>
      <c r="F5719" s="0" t="n">
        <v>0.39</v>
      </c>
      <c r="G5719" s="0" t="n">
        <v>12681</v>
      </c>
      <c r="H5719" s="0" t="s">
        <v>43</v>
      </c>
      <c r="I5719" s="7" t="n">
        <f aca="false">IF(AND(LEFT(A5719,1)&lt;&gt;"C",D5719&gt;0,F5719&gt;0),1,0)</f>
        <v>1</v>
      </c>
      <c r="J5719" s="7" t="n">
        <f aca="false">IF(I5719=1,D5719*F5719,0)</f>
        <v>14.04</v>
      </c>
      <c r="K5719" s="7" t="n">
        <f aca="false">YEAR(E5719)*100+MONTH(E5719)</f>
        <v>201111</v>
      </c>
      <c r="L5719" s="7" t="n">
        <f aca="false">IF(AND(A5719&lt;&gt;A5718,LEFT(A5719,1)&lt;&gt;"C"),1,0)</f>
        <v>1</v>
      </c>
    </row>
    <row r="5720" customFormat="false" ht="15" hidden="false" customHeight="false" outlineLevel="0" collapsed="false">
      <c r="A5720" s="0" t="s">
        <v>3109</v>
      </c>
      <c r="B5720" s="0" t="s">
        <v>1122</v>
      </c>
      <c r="C5720" s="0" t="s">
        <v>1123</v>
      </c>
      <c r="D5720" s="0" t="n">
        <v>24</v>
      </c>
      <c r="E5720" s="6" t="n">
        <v>40864.7701388889</v>
      </c>
      <c r="F5720" s="0" t="n">
        <v>0.83</v>
      </c>
      <c r="G5720" s="0" t="n">
        <v>12681</v>
      </c>
      <c r="H5720" s="0" t="s">
        <v>43</v>
      </c>
      <c r="I5720" s="7" t="n">
        <f aca="false">IF(AND(LEFT(A5720,1)&lt;&gt;"C",D5720&gt;0,F5720&gt;0),1,0)</f>
        <v>1</v>
      </c>
      <c r="J5720" s="7" t="n">
        <f aca="false">IF(I5720=1,D5720*F5720,0)</f>
        <v>19.92</v>
      </c>
      <c r="K5720" s="7" t="n">
        <f aca="false">YEAR(E5720)*100+MONTH(E5720)</f>
        <v>201111</v>
      </c>
      <c r="L5720" s="7" t="n">
        <f aca="false">IF(AND(A5720&lt;&gt;A5719,LEFT(A5720,1)&lt;&gt;"C"),1,0)</f>
        <v>0</v>
      </c>
    </row>
    <row r="5721" customFormat="false" ht="15" hidden="false" customHeight="false" outlineLevel="0" collapsed="false">
      <c r="A5721" s="0" t="s">
        <v>3109</v>
      </c>
      <c r="B5721" s="0" t="s">
        <v>697</v>
      </c>
      <c r="C5721" s="0" t="s">
        <v>698</v>
      </c>
      <c r="D5721" s="0" t="n">
        <v>12</v>
      </c>
      <c r="E5721" s="6" t="n">
        <v>40864.7701388889</v>
      </c>
      <c r="F5721" s="0" t="n">
        <v>1.69</v>
      </c>
      <c r="G5721" s="0" t="n">
        <v>12681</v>
      </c>
      <c r="H5721" s="0" t="s">
        <v>43</v>
      </c>
      <c r="I5721" s="7" t="n">
        <f aca="false">IF(AND(LEFT(A5721,1)&lt;&gt;"C",D5721&gt;0,F5721&gt;0),1,0)</f>
        <v>1</v>
      </c>
      <c r="J5721" s="7" t="n">
        <f aca="false">IF(I5721=1,D5721*F5721,0)</f>
        <v>20.28</v>
      </c>
      <c r="K5721" s="7" t="n">
        <f aca="false">YEAR(E5721)*100+MONTH(E5721)</f>
        <v>201111</v>
      </c>
      <c r="L5721" s="7" t="n">
        <f aca="false">IF(AND(A5721&lt;&gt;A5720,LEFT(A5721,1)&lt;&gt;"C"),1,0)</f>
        <v>0</v>
      </c>
    </row>
    <row r="5722" customFormat="false" ht="15" hidden="false" customHeight="false" outlineLevel="0" collapsed="false">
      <c r="A5722" s="0" t="s">
        <v>3109</v>
      </c>
      <c r="B5722" s="0" t="s">
        <v>3110</v>
      </c>
      <c r="C5722" s="0" t="s">
        <v>3111</v>
      </c>
      <c r="D5722" s="0" t="n">
        <v>72</v>
      </c>
      <c r="E5722" s="6" t="n">
        <v>40864.7701388889</v>
      </c>
      <c r="F5722" s="0" t="n">
        <v>0.12</v>
      </c>
      <c r="G5722" s="0" t="n">
        <v>12681</v>
      </c>
      <c r="H5722" s="0" t="s">
        <v>43</v>
      </c>
      <c r="I5722" s="7" t="n">
        <f aca="false">IF(AND(LEFT(A5722,1)&lt;&gt;"C",D5722&gt;0,F5722&gt;0),1,0)</f>
        <v>1</v>
      </c>
      <c r="J5722" s="7" t="n">
        <f aca="false">IF(I5722=1,D5722*F5722,0)</f>
        <v>8.64</v>
      </c>
      <c r="K5722" s="7" t="n">
        <f aca="false">YEAR(E5722)*100+MONTH(E5722)</f>
        <v>201111</v>
      </c>
      <c r="L5722" s="7" t="n">
        <f aca="false">IF(AND(A5722&lt;&gt;A5721,LEFT(A5722,1)&lt;&gt;"C"),1,0)</f>
        <v>0</v>
      </c>
    </row>
    <row r="5723" customFormat="false" ht="15" hidden="false" customHeight="false" outlineLevel="0" collapsed="false">
      <c r="A5723" s="0" t="s">
        <v>3109</v>
      </c>
      <c r="B5723" s="0" t="s">
        <v>62</v>
      </c>
      <c r="C5723" s="0" t="s">
        <v>63</v>
      </c>
      <c r="D5723" s="0" t="n">
        <v>96</v>
      </c>
      <c r="E5723" s="6" t="n">
        <v>40864.7701388889</v>
      </c>
      <c r="F5723" s="0" t="n">
        <v>1.79</v>
      </c>
      <c r="G5723" s="0" t="n">
        <v>12681</v>
      </c>
      <c r="H5723" s="0" t="s">
        <v>43</v>
      </c>
      <c r="I5723" s="7" t="n">
        <f aca="false">IF(AND(LEFT(A5723,1)&lt;&gt;"C",D5723&gt;0,F5723&gt;0),1,0)</f>
        <v>1</v>
      </c>
      <c r="J5723" s="7" t="n">
        <f aca="false">IF(I5723=1,D5723*F5723,0)</f>
        <v>171.84</v>
      </c>
      <c r="K5723" s="7" t="n">
        <f aca="false">YEAR(E5723)*100+MONTH(E5723)</f>
        <v>201111</v>
      </c>
      <c r="L5723" s="7" t="n">
        <f aca="false">IF(AND(A5723&lt;&gt;A5722,LEFT(A5723,1)&lt;&gt;"C"),1,0)</f>
        <v>0</v>
      </c>
    </row>
    <row r="5724" customFormat="false" ht="15" hidden="false" customHeight="false" outlineLevel="0" collapsed="false">
      <c r="A5724" s="0" t="s">
        <v>3109</v>
      </c>
      <c r="B5724" s="0" t="s">
        <v>326</v>
      </c>
      <c r="C5724" s="0" t="s">
        <v>327</v>
      </c>
      <c r="D5724" s="0" t="n">
        <v>2</v>
      </c>
      <c r="E5724" s="6" t="n">
        <v>40864.7701388889</v>
      </c>
      <c r="F5724" s="0" t="n">
        <v>8.5</v>
      </c>
      <c r="G5724" s="0" t="n">
        <v>12681</v>
      </c>
      <c r="H5724" s="0" t="s">
        <v>43</v>
      </c>
      <c r="I5724" s="7" t="n">
        <f aca="false">IF(AND(LEFT(A5724,1)&lt;&gt;"C",D5724&gt;0,F5724&gt;0),1,0)</f>
        <v>1</v>
      </c>
      <c r="J5724" s="7" t="n">
        <f aca="false">IF(I5724=1,D5724*F5724,0)</f>
        <v>17</v>
      </c>
      <c r="K5724" s="7" t="n">
        <f aca="false">YEAR(E5724)*100+MONTH(E5724)</f>
        <v>201111</v>
      </c>
      <c r="L5724" s="7" t="n">
        <f aca="false">IF(AND(A5724&lt;&gt;A5723,LEFT(A5724,1)&lt;&gt;"C"),1,0)</f>
        <v>0</v>
      </c>
    </row>
    <row r="5725" customFormat="false" ht="15" hidden="false" customHeight="false" outlineLevel="0" collapsed="false">
      <c r="A5725" s="0" t="s">
        <v>3109</v>
      </c>
      <c r="B5725" s="0" t="s">
        <v>847</v>
      </c>
      <c r="C5725" s="0" t="s">
        <v>848</v>
      </c>
      <c r="D5725" s="0" t="n">
        <v>12</v>
      </c>
      <c r="E5725" s="6" t="n">
        <v>40864.7701388889</v>
      </c>
      <c r="F5725" s="0" t="n">
        <v>1.45</v>
      </c>
      <c r="G5725" s="0" t="n">
        <v>12681</v>
      </c>
      <c r="H5725" s="0" t="s">
        <v>43</v>
      </c>
      <c r="I5725" s="7" t="n">
        <f aca="false">IF(AND(LEFT(A5725,1)&lt;&gt;"C",D5725&gt;0,F5725&gt;0),1,0)</f>
        <v>1</v>
      </c>
      <c r="J5725" s="7" t="n">
        <f aca="false">IF(I5725=1,D5725*F5725,0)</f>
        <v>17.4</v>
      </c>
      <c r="K5725" s="7" t="n">
        <f aca="false">YEAR(E5725)*100+MONTH(E5725)</f>
        <v>201111</v>
      </c>
      <c r="L5725" s="7" t="n">
        <f aca="false">IF(AND(A5725&lt;&gt;A5724,LEFT(A5725,1)&lt;&gt;"C"),1,0)</f>
        <v>0</v>
      </c>
    </row>
    <row r="5726" customFormat="false" ht="15" hidden="false" customHeight="false" outlineLevel="0" collapsed="false">
      <c r="A5726" s="0" t="s">
        <v>3109</v>
      </c>
      <c r="B5726" s="0" t="s">
        <v>123</v>
      </c>
      <c r="C5726" s="0" t="s">
        <v>124</v>
      </c>
      <c r="D5726" s="0" t="n">
        <v>6</v>
      </c>
      <c r="E5726" s="6" t="n">
        <v>40864.7701388889</v>
      </c>
      <c r="F5726" s="0" t="n">
        <v>2.95</v>
      </c>
      <c r="G5726" s="0" t="n">
        <v>12681</v>
      </c>
      <c r="H5726" s="0" t="s">
        <v>43</v>
      </c>
      <c r="I5726" s="7" t="n">
        <f aca="false">IF(AND(LEFT(A5726,1)&lt;&gt;"C",D5726&gt;0,F5726&gt;0),1,0)</f>
        <v>1</v>
      </c>
      <c r="J5726" s="7" t="n">
        <f aca="false">IF(I5726=1,D5726*F5726,0)</f>
        <v>17.7</v>
      </c>
      <c r="K5726" s="7" t="n">
        <f aca="false">YEAR(E5726)*100+MONTH(E5726)</f>
        <v>201111</v>
      </c>
      <c r="L5726" s="7" t="n">
        <f aca="false">IF(AND(A5726&lt;&gt;A5725,LEFT(A5726,1)&lt;&gt;"C"),1,0)</f>
        <v>0</v>
      </c>
    </row>
    <row r="5727" customFormat="false" ht="15" hidden="false" customHeight="false" outlineLevel="0" collapsed="false">
      <c r="A5727" s="0" t="s">
        <v>3109</v>
      </c>
      <c r="B5727" s="0" t="s">
        <v>125</v>
      </c>
      <c r="C5727" s="0" t="s">
        <v>126</v>
      </c>
      <c r="D5727" s="0" t="n">
        <v>24</v>
      </c>
      <c r="E5727" s="6" t="n">
        <v>40864.7701388889</v>
      </c>
      <c r="F5727" s="0" t="n">
        <v>1.25</v>
      </c>
      <c r="G5727" s="0" t="n">
        <v>12681</v>
      </c>
      <c r="H5727" s="0" t="s">
        <v>43</v>
      </c>
      <c r="I5727" s="7" t="n">
        <f aca="false">IF(AND(LEFT(A5727,1)&lt;&gt;"C",D5727&gt;0,F5727&gt;0),1,0)</f>
        <v>1</v>
      </c>
      <c r="J5727" s="7" t="n">
        <f aca="false">IF(I5727=1,D5727*F5727,0)</f>
        <v>30</v>
      </c>
      <c r="K5727" s="7" t="n">
        <f aca="false">YEAR(E5727)*100+MONTH(E5727)</f>
        <v>201111</v>
      </c>
      <c r="L5727" s="7" t="n">
        <f aca="false">IF(AND(A5727&lt;&gt;A5726,LEFT(A5727,1)&lt;&gt;"C"),1,0)</f>
        <v>0</v>
      </c>
    </row>
    <row r="5728" customFormat="false" ht="15" hidden="false" customHeight="false" outlineLevel="0" collapsed="false">
      <c r="A5728" s="0" t="s">
        <v>3109</v>
      </c>
      <c r="B5728" s="0" t="s">
        <v>667</v>
      </c>
      <c r="C5728" s="0" t="s">
        <v>668</v>
      </c>
      <c r="D5728" s="0" t="n">
        <v>10</v>
      </c>
      <c r="E5728" s="6" t="n">
        <v>40864.7701388889</v>
      </c>
      <c r="F5728" s="0" t="n">
        <v>0.85</v>
      </c>
      <c r="G5728" s="0" t="n">
        <v>12681</v>
      </c>
      <c r="H5728" s="0" t="s">
        <v>43</v>
      </c>
      <c r="I5728" s="7" t="n">
        <f aca="false">IF(AND(LEFT(A5728,1)&lt;&gt;"C",D5728&gt;0,F5728&gt;0),1,0)</f>
        <v>1</v>
      </c>
      <c r="J5728" s="7" t="n">
        <f aca="false">IF(I5728=1,D5728*F5728,0)</f>
        <v>8.5</v>
      </c>
      <c r="K5728" s="7" t="n">
        <f aca="false">YEAR(E5728)*100+MONTH(E5728)</f>
        <v>201111</v>
      </c>
      <c r="L5728" s="7" t="n">
        <f aca="false">IF(AND(A5728&lt;&gt;A5727,LEFT(A5728,1)&lt;&gt;"C"),1,0)</f>
        <v>0</v>
      </c>
    </row>
    <row r="5729" customFormat="false" ht="15" hidden="false" customHeight="false" outlineLevel="0" collapsed="false">
      <c r="A5729" s="0" t="s">
        <v>3109</v>
      </c>
      <c r="B5729" s="0" t="s">
        <v>2563</v>
      </c>
      <c r="C5729" s="0" t="s">
        <v>2564</v>
      </c>
      <c r="D5729" s="0" t="n">
        <v>3</v>
      </c>
      <c r="E5729" s="6" t="n">
        <v>40864.7701388889</v>
      </c>
      <c r="F5729" s="0" t="n">
        <v>5.95</v>
      </c>
      <c r="G5729" s="0" t="n">
        <v>12681</v>
      </c>
      <c r="H5729" s="0" t="s">
        <v>43</v>
      </c>
      <c r="I5729" s="7" t="n">
        <f aca="false">IF(AND(LEFT(A5729,1)&lt;&gt;"C",D5729&gt;0,F5729&gt;0),1,0)</f>
        <v>1</v>
      </c>
      <c r="J5729" s="7" t="n">
        <f aca="false">IF(I5729=1,D5729*F5729,0)</f>
        <v>17.85</v>
      </c>
      <c r="K5729" s="7" t="n">
        <f aca="false">YEAR(E5729)*100+MONTH(E5729)</f>
        <v>201111</v>
      </c>
      <c r="L5729" s="7" t="n">
        <f aca="false">IF(AND(A5729&lt;&gt;A5728,LEFT(A5729,1)&lt;&gt;"C"),1,0)</f>
        <v>0</v>
      </c>
    </row>
    <row r="5730" customFormat="false" ht="15" hidden="false" customHeight="false" outlineLevel="0" collapsed="false">
      <c r="A5730" s="0" t="s">
        <v>3109</v>
      </c>
      <c r="B5730" s="0" t="s">
        <v>606</v>
      </c>
      <c r="C5730" s="0" t="s">
        <v>607</v>
      </c>
      <c r="D5730" s="0" t="n">
        <v>12</v>
      </c>
      <c r="E5730" s="6" t="n">
        <v>40864.7701388889</v>
      </c>
      <c r="F5730" s="0" t="n">
        <v>0.42</v>
      </c>
      <c r="G5730" s="0" t="n">
        <v>12681</v>
      </c>
      <c r="H5730" s="0" t="s">
        <v>43</v>
      </c>
      <c r="I5730" s="7" t="n">
        <f aca="false">IF(AND(LEFT(A5730,1)&lt;&gt;"C",D5730&gt;0,F5730&gt;0),1,0)</f>
        <v>1</v>
      </c>
      <c r="J5730" s="7" t="n">
        <f aca="false">IF(I5730=1,D5730*F5730,0)</f>
        <v>5.04</v>
      </c>
      <c r="K5730" s="7" t="n">
        <f aca="false">YEAR(E5730)*100+MONTH(E5730)</f>
        <v>201111</v>
      </c>
      <c r="L5730" s="7" t="n">
        <f aca="false">IF(AND(A5730&lt;&gt;A5729,LEFT(A5730,1)&lt;&gt;"C"),1,0)</f>
        <v>0</v>
      </c>
    </row>
    <row r="5731" customFormat="false" ht="15" hidden="false" customHeight="false" outlineLevel="0" collapsed="false">
      <c r="A5731" s="0" t="s">
        <v>3109</v>
      </c>
      <c r="B5731" s="0" t="s">
        <v>482</v>
      </c>
      <c r="C5731" s="0" t="s">
        <v>483</v>
      </c>
      <c r="D5731" s="0" t="n">
        <v>12</v>
      </c>
      <c r="E5731" s="6" t="n">
        <v>40864.7701388889</v>
      </c>
      <c r="F5731" s="0" t="n">
        <v>1.25</v>
      </c>
      <c r="G5731" s="0" t="n">
        <v>12681</v>
      </c>
      <c r="H5731" s="0" t="s">
        <v>43</v>
      </c>
      <c r="I5731" s="7" t="n">
        <f aca="false">IF(AND(LEFT(A5731,1)&lt;&gt;"C",D5731&gt;0,F5731&gt;0),1,0)</f>
        <v>1</v>
      </c>
      <c r="J5731" s="7" t="n">
        <f aca="false">IF(I5731=1,D5731*F5731,0)</f>
        <v>15</v>
      </c>
      <c r="K5731" s="7" t="n">
        <f aca="false">YEAR(E5731)*100+MONTH(E5731)</f>
        <v>201111</v>
      </c>
      <c r="L5731" s="7" t="n">
        <f aca="false">IF(AND(A5731&lt;&gt;A5730,LEFT(A5731,1)&lt;&gt;"C"),1,0)</f>
        <v>0</v>
      </c>
    </row>
    <row r="5732" customFormat="false" ht="15" hidden="false" customHeight="false" outlineLevel="0" collapsed="false">
      <c r="A5732" s="0" t="s">
        <v>3109</v>
      </c>
      <c r="B5732" s="0" t="s">
        <v>308</v>
      </c>
      <c r="C5732" s="0" t="s">
        <v>309</v>
      </c>
      <c r="D5732" s="0" t="n">
        <v>12</v>
      </c>
      <c r="E5732" s="6" t="n">
        <v>40864.7701388889</v>
      </c>
      <c r="F5732" s="0" t="n">
        <v>1.25</v>
      </c>
      <c r="G5732" s="0" t="n">
        <v>12681</v>
      </c>
      <c r="H5732" s="0" t="s">
        <v>43</v>
      </c>
      <c r="I5732" s="7" t="n">
        <f aca="false">IF(AND(LEFT(A5732,1)&lt;&gt;"C",D5732&gt;0,F5732&gt;0),1,0)</f>
        <v>1</v>
      </c>
      <c r="J5732" s="7" t="n">
        <f aca="false">IF(I5732=1,D5732*F5732,0)</f>
        <v>15</v>
      </c>
      <c r="K5732" s="7" t="n">
        <f aca="false">YEAR(E5732)*100+MONTH(E5732)</f>
        <v>201111</v>
      </c>
      <c r="L5732" s="7" t="n">
        <f aca="false">IF(AND(A5732&lt;&gt;A5731,LEFT(A5732,1)&lt;&gt;"C"),1,0)</f>
        <v>0</v>
      </c>
    </row>
    <row r="5733" customFormat="false" ht="15" hidden="false" customHeight="false" outlineLevel="0" collapsed="false">
      <c r="A5733" s="0" t="s">
        <v>3109</v>
      </c>
      <c r="B5733" s="0" t="s">
        <v>493</v>
      </c>
      <c r="C5733" s="0" t="s">
        <v>494</v>
      </c>
      <c r="D5733" s="0" t="n">
        <v>8</v>
      </c>
      <c r="E5733" s="6" t="n">
        <v>40864.7701388889</v>
      </c>
      <c r="F5733" s="0" t="n">
        <v>0.85</v>
      </c>
      <c r="G5733" s="0" t="n">
        <v>12681</v>
      </c>
      <c r="H5733" s="0" t="s">
        <v>43</v>
      </c>
      <c r="I5733" s="7" t="n">
        <f aca="false">IF(AND(LEFT(A5733,1)&lt;&gt;"C",D5733&gt;0,F5733&gt;0),1,0)</f>
        <v>1</v>
      </c>
      <c r="J5733" s="7" t="n">
        <f aca="false">IF(I5733=1,D5733*F5733,0)</f>
        <v>6.8</v>
      </c>
      <c r="K5733" s="7" t="n">
        <f aca="false">YEAR(E5733)*100+MONTH(E5733)</f>
        <v>201111</v>
      </c>
      <c r="L5733" s="7" t="n">
        <f aca="false">IF(AND(A5733&lt;&gt;A5732,LEFT(A5733,1)&lt;&gt;"C"),1,0)</f>
        <v>0</v>
      </c>
    </row>
    <row r="5734" customFormat="false" ht="15" hidden="false" customHeight="false" outlineLevel="0" collapsed="false">
      <c r="A5734" s="0" t="s">
        <v>3109</v>
      </c>
      <c r="B5734" s="0" t="s">
        <v>1705</v>
      </c>
      <c r="C5734" s="0" t="s">
        <v>1706</v>
      </c>
      <c r="D5734" s="0" t="n">
        <v>4</v>
      </c>
      <c r="E5734" s="6" t="n">
        <v>40864.7701388889</v>
      </c>
      <c r="F5734" s="0" t="n">
        <v>8.5</v>
      </c>
      <c r="G5734" s="0" t="n">
        <v>12681</v>
      </c>
      <c r="H5734" s="0" t="s">
        <v>43</v>
      </c>
      <c r="I5734" s="7" t="n">
        <f aca="false">IF(AND(LEFT(A5734,1)&lt;&gt;"C",D5734&gt;0,F5734&gt;0),1,0)</f>
        <v>1</v>
      </c>
      <c r="J5734" s="7" t="n">
        <f aca="false">IF(I5734=1,D5734*F5734,0)</f>
        <v>34</v>
      </c>
      <c r="K5734" s="7" t="n">
        <f aca="false">YEAR(E5734)*100+MONTH(E5734)</f>
        <v>201111</v>
      </c>
      <c r="L5734" s="7" t="n">
        <f aca="false">IF(AND(A5734&lt;&gt;A5733,LEFT(A5734,1)&lt;&gt;"C"),1,0)</f>
        <v>0</v>
      </c>
    </row>
    <row r="5735" customFormat="false" ht="15" hidden="false" customHeight="false" outlineLevel="0" collapsed="false">
      <c r="A5735" s="0" t="s">
        <v>3109</v>
      </c>
      <c r="B5735" s="0" t="s">
        <v>58</v>
      </c>
      <c r="C5735" s="0" t="s">
        <v>59</v>
      </c>
      <c r="D5735" s="0" t="n">
        <v>6</v>
      </c>
      <c r="E5735" s="6" t="n">
        <v>40864.7701388889</v>
      </c>
      <c r="F5735" s="0" t="n">
        <v>2.55</v>
      </c>
      <c r="G5735" s="0" t="n">
        <v>12681</v>
      </c>
      <c r="H5735" s="0" t="s">
        <v>43</v>
      </c>
      <c r="I5735" s="7" t="n">
        <f aca="false">IF(AND(LEFT(A5735,1)&lt;&gt;"C",D5735&gt;0,F5735&gt;0),1,0)</f>
        <v>1</v>
      </c>
      <c r="J5735" s="7" t="n">
        <f aca="false">IF(I5735=1,D5735*F5735,0)</f>
        <v>15.3</v>
      </c>
      <c r="K5735" s="7" t="n">
        <f aca="false">YEAR(E5735)*100+MONTH(E5735)</f>
        <v>201111</v>
      </c>
      <c r="L5735" s="7" t="n">
        <f aca="false">IF(AND(A5735&lt;&gt;A5734,LEFT(A5735,1)&lt;&gt;"C"),1,0)</f>
        <v>0</v>
      </c>
    </row>
    <row r="5736" customFormat="false" ht="15" hidden="false" customHeight="false" outlineLevel="0" collapsed="false">
      <c r="A5736" s="0" t="s">
        <v>3109</v>
      </c>
      <c r="B5736" s="0" t="s">
        <v>60</v>
      </c>
      <c r="C5736" s="0" t="s">
        <v>61</v>
      </c>
      <c r="D5736" s="0" t="n">
        <v>6</v>
      </c>
      <c r="E5736" s="6" t="n">
        <v>40864.7701388889</v>
      </c>
      <c r="F5736" s="0" t="n">
        <v>2.55</v>
      </c>
      <c r="G5736" s="0" t="n">
        <v>12681</v>
      </c>
      <c r="H5736" s="0" t="s">
        <v>43</v>
      </c>
      <c r="I5736" s="7" t="n">
        <f aca="false">IF(AND(LEFT(A5736,1)&lt;&gt;"C",D5736&gt;0,F5736&gt;0),1,0)</f>
        <v>1</v>
      </c>
      <c r="J5736" s="7" t="n">
        <f aca="false">IF(I5736=1,D5736*F5736,0)</f>
        <v>15.3</v>
      </c>
      <c r="K5736" s="7" t="n">
        <f aca="false">YEAR(E5736)*100+MONTH(E5736)</f>
        <v>201111</v>
      </c>
      <c r="L5736" s="7" t="n">
        <f aca="false">IF(AND(A5736&lt;&gt;A5735,LEFT(A5736,1)&lt;&gt;"C"),1,0)</f>
        <v>0</v>
      </c>
    </row>
    <row r="5737" customFormat="false" ht="15" hidden="false" customHeight="false" outlineLevel="0" collapsed="false">
      <c r="A5737" s="0" t="s">
        <v>3109</v>
      </c>
      <c r="B5737" s="0" t="s">
        <v>217</v>
      </c>
      <c r="C5737" s="0" t="s">
        <v>218</v>
      </c>
      <c r="D5737" s="0" t="n">
        <v>24</v>
      </c>
      <c r="E5737" s="6" t="n">
        <v>40864.7701388889</v>
      </c>
      <c r="F5737" s="0" t="n">
        <v>0.55</v>
      </c>
      <c r="G5737" s="0" t="n">
        <v>12681</v>
      </c>
      <c r="H5737" s="0" t="s">
        <v>43</v>
      </c>
      <c r="I5737" s="7" t="n">
        <f aca="false">IF(AND(LEFT(A5737,1)&lt;&gt;"C",D5737&gt;0,F5737&gt;0),1,0)</f>
        <v>1</v>
      </c>
      <c r="J5737" s="7" t="n">
        <f aca="false">IF(I5737=1,D5737*F5737,0)</f>
        <v>13.2</v>
      </c>
      <c r="K5737" s="7" t="n">
        <f aca="false">YEAR(E5737)*100+MONTH(E5737)</f>
        <v>201111</v>
      </c>
      <c r="L5737" s="7" t="n">
        <f aca="false">IF(AND(A5737&lt;&gt;A5736,LEFT(A5737,1)&lt;&gt;"C"),1,0)</f>
        <v>0</v>
      </c>
    </row>
    <row r="5738" customFormat="false" ht="15" hidden="false" customHeight="false" outlineLevel="0" collapsed="false">
      <c r="A5738" s="0" t="s">
        <v>3109</v>
      </c>
      <c r="B5738" s="0" t="s">
        <v>1397</v>
      </c>
      <c r="C5738" s="0" t="s">
        <v>1398</v>
      </c>
      <c r="D5738" s="0" t="n">
        <v>6</v>
      </c>
      <c r="E5738" s="6" t="n">
        <v>40864.7701388889</v>
      </c>
      <c r="F5738" s="0" t="n">
        <v>2.95</v>
      </c>
      <c r="G5738" s="0" t="n">
        <v>12681</v>
      </c>
      <c r="H5738" s="0" t="s">
        <v>43</v>
      </c>
      <c r="I5738" s="7" t="n">
        <f aca="false">IF(AND(LEFT(A5738,1)&lt;&gt;"C",D5738&gt;0,F5738&gt;0),1,0)</f>
        <v>1</v>
      </c>
      <c r="J5738" s="7" t="n">
        <f aca="false">IF(I5738=1,D5738*F5738,0)</f>
        <v>17.7</v>
      </c>
      <c r="K5738" s="7" t="n">
        <f aca="false">YEAR(E5738)*100+MONTH(E5738)</f>
        <v>201111</v>
      </c>
      <c r="L5738" s="7" t="n">
        <f aca="false">IF(AND(A5738&lt;&gt;A5737,LEFT(A5738,1)&lt;&gt;"C"),1,0)</f>
        <v>0</v>
      </c>
    </row>
    <row r="5739" customFormat="false" ht="15" hidden="false" customHeight="false" outlineLevel="0" collapsed="false">
      <c r="A5739" s="0" t="s">
        <v>3109</v>
      </c>
      <c r="B5739" s="0" t="s">
        <v>430</v>
      </c>
      <c r="C5739" s="0" t="s">
        <v>431</v>
      </c>
      <c r="D5739" s="0" t="n">
        <v>12</v>
      </c>
      <c r="E5739" s="6" t="n">
        <v>40864.7701388889</v>
      </c>
      <c r="F5739" s="0" t="n">
        <v>1.65</v>
      </c>
      <c r="G5739" s="0" t="n">
        <v>12681</v>
      </c>
      <c r="H5739" s="0" t="s">
        <v>43</v>
      </c>
      <c r="I5739" s="7" t="n">
        <f aca="false">IF(AND(LEFT(A5739,1)&lt;&gt;"C",D5739&gt;0,F5739&gt;0),1,0)</f>
        <v>1</v>
      </c>
      <c r="J5739" s="7" t="n">
        <f aca="false">IF(I5739=1,D5739*F5739,0)</f>
        <v>19.8</v>
      </c>
      <c r="K5739" s="7" t="n">
        <f aca="false">YEAR(E5739)*100+MONTH(E5739)</f>
        <v>201111</v>
      </c>
      <c r="L5739" s="7" t="n">
        <f aca="false">IF(AND(A5739&lt;&gt;A5738,LEFT(A5739,1)&lt;&gt;"C"),1,0)</f>
        <v>0</v>
      </c>
    </row>
    <row r="5740" customFormat="false" ht="15" hidden="false" customHeight="false" outlineLevel="0" collapsed="false">
      <c r="A5740" s="0" t="s">
        <v>3109</v>
      </c>
      <c r="B5740" s="0" t="s">
        <v>97</v>
      </c>
      <c r="C5740" s="0" t="s">
        <v>98</v>
      </c>
      <c r="D5740" s="0" t="n">
        <v>12</v>
      </c>
      <c r="E5740" s="6" t="n">
        <v>40864.7701388889</v>
      </c>
      <c r="F5740" s="0" t="n">
        <v>1.65</v>
      </c>
      <c r="G5740" s="0" t="n">
        <v>12681</v>
      </c>
      <c r="H5740" s="0" t="s">
        <v>43</v>
      </c>
      <c r="I5740" s="7" t="n">
        <f aca="false">IF(AND(LEFT(A5740,1)&lt;&gt;"C",D5740&gt;0,F5740&gt;0),1,0)</f>
        <v>1</v>
      </c>
      <c r="J5740" s="7" t="n">
        <f aca="false">IF(I5740=1,D5740*F5740,0)</f>
        <v>19.8</v>
      </c>
      <c r="K5740" s="7" t="n">
        <f aca="false">YEAR(E5740)*100+MONTH(E5740)</f>
        <v>201111</v>
      </c>
      <c r="L5740" s="7" t="n">
        <f aca="false">IF(AND(A5740&lt;&gt;A5739,LEFT(A5740,1)&lt;&gt;"C"),1,0)</f>
        <v>0</v>
      </c>
    </row>
    <row r="5741" customFormat="false" ht="15" hidden="false" customHeight="false" outlineLevel="0" collapsed="false">
      <c r="A5741" s="0" t="s">
        <v>3109</v>
      </c>
      <c r="B5741" s="0" t="s">
        <v>471</v>
      </c>
      <c r="C5741" s="0" t="s">
        <v>472</v>
      </c>
      <c r="D5741" s="0" t="n">
        <v>24</v>
      </c>
      <c r="E5741" s="6" t="n">
        <v>40864.7701388889</v>
      </c>
      <c r="F5741" s="0" t="n">
        <v>1.65</v>
      </c>
      <c r="G5741" s="0" t="n">
        <v>12681</v>
      </c>
      <c r="H5741" s="0" t="s">
        <v>43</v>
      </c>
      <c r="I5741" s="7" t="n">
        <f aca="false">IF(AND(LEFT(A5741,1)&lt;&gt;"C",D5741&gt;0,F5741&gt;0),1,0)</f>
        <v>1</v>
      </c>
      <c r="J5741" s="7" t="n">
        <f aca="false">IF(I5741=1,D5741*F5741,0)</f>
        <v>39.6</v>
      </c>
      <c r="K5741" s="7" t="n">
        <f aca="false">YEAR(E5741)*100+MONTH(E5741)</f>
        <v>201111</v>
      </c>
      <c r="L5741" s="7" t="n">
        <f aca="false">IF(AND(A5741&lt;&gt;A5740,LEFT(A5741,1)&lt;&gt;"C"),1,0)</f>
        <v>0</v>
      </c>
    </row>
    <row r="5742" customFormat="false" ht="15" hidden="false" customHeight="false" outlineLevel="0" collapsed="false">
      <c r="A5742" s="0" t="s">
        <v>3109</v>
      </c>
      <c r="B5742" s="0" t="s">
        <v>133</v>
      </c>
      <c r="C5742" s="0" t="s">
        <v>134</v>
      </c>
      <c r="D5742" s="0" t="n">
        <v>6</v>
      </c>
      <c r="E5742" s="6" t="n">
        <v>40864.7701388889</v>
      </c>
      <c r="F5742" s="0" t="n">
        <v>3.25</v>
      </c>
      <c r="G5742" s="0" t="n">
        <v>12681</v>
      </c>
      <c r="H5742" s="0" t="s">
        <v>43</v>
      </c>
      <c r="I5742" s="7" t="n">
        <f aca="false">IF(AND(LEFT(A5742,1)&lt;&gt;"C",D5742&gt;0,F5742&gt;0),1,0)</f>
        <v>1</v>
      </c>
      <c r="J5742" s="7" t="n">
        <f aca="false">IF(I5742=1,D5742*F5742,0)</f>
        <v>19.5</v>
      </c>
      <c r="K5742" s="7" t="n">
        <f aca="false">YEAR(E5742)*100+MONTH(E5742)</f>
        <v>201111</v>
      </c>
      <c r="L5742" s="7" t="n">
        <f aca="false">IF(AND(A5742&lt;&gt;A5741,LEFT(A5742,1)&lt;&gt;"C"),1,0)</f>
        <v>0</v>
      </c>
    </row>
    <row r="5743" customFormat="false" ht="15" hidden="false" customHeight="false" outlineLevel="0" collapsed="false">
      <c r="A5743" s="0" t="s">
        <v>3109</v>
      </c>
      <c r="B5743" s="0" t="s">
        <v>213</v>
      </c>
      <c r="C5743" s="0" t="s">
        <v>214</v>
      </c>
      <c r="D5743" s="0" t="n">
        <v>12</v>
      </c>
      <c r="E5743" s="6" t="n">
        <v>40864.7701388889</v>
      </c>
      <c r="F5743" s="0" t="n">
        <v>0.85</v>
      </c>
      <c r="G5743" s="0" t="n">
        <v>12681</v>
      </c>
      <c r="H5743" s="0" t="s">
        <v>43</v>
      </c>
      <c r="I5743" s="7" t="n">
        <f aca="false">IF(AND(LEFT(A5743,1)&lt;&gt;"C",D5743&gt;0,F5743&gt;0),1,0)</f>
        <v>1</v>
      </c>
      <c r="J5743" s="7" t="n">
        <f aca="false">IF(I5743=1,D5743*F5743,0)</f>
        <v>10.2</v>
      </c>
      <c r="K5743" s="7" t="n">
        <f aca="false">YEAR(E5743)*100+MONTH(E5743)</f>
        <v>201111</v>
      </c>
      <c r="L5743" s="7" t="n">
        <f aca="false">IF(AND(A5743&lt;&gt;A5742,LEFT(A5743,1)&lt;&gt;"C"),1,0)</f>
        <v>0</v>
      </c>
    </row>
    <row r="5744" customFormat="false" ht="15" hidden="false" customHeight="false" outlineLevel="0" collapsed="false">
      <c r="A5744" s="0" t="s">
        <v>3109</v>
      </c>
      <c r="B5744" s="0" t="s">
        <v>52</v>
      </c>
      <c r="C5744" s="0" t="s">
        <v>53</v>
      </c>
      <c r="D5744" s="0" t="n">
        <v>24</v>
      </c>
      <c r="E5744" s="6" t="n">
        <v>40864.7701388889</v>
      </c>
      <c r="F5744" s="0" t="n">
        <v>1.95</v>
      </c>
      <c r="G5744" s="0" t="n">
        <v>12681</v>
      </c>
      <c r="H5744" s="0" t="s">
        <v>43</v>
      </c>
      <c r="I5744" s="7" t="n">
        <f aca="false">IF(AND(LEFT(A5744,1)&lt;&gt;"C",D5744&gt;0,F5744&gt;0),1,0)</f>
        <v>1</v>
      </c>
      <c r="J5744" s="7" t="n">
        <f aca="false">IF(I5744=1,D5744*F5744,0)</f>
        <v>46.8</v>
      </c>
      <c r="K5744" s="7" t="n">
        <f aca="false">YEAR(E5744)*100+MONTH(E5744)</f>
        <v>201111</v>
      </c>
      <c r="L5744" s="7" t="n">
        <f aca="false">IF(AND(A5744&lt;&gt;A5743,LEFT(A5744,1)&lt;&gt;"C"),1,0)</f>
        <v>0</v>
      </c>
    </row>
    <row r="5745" customFormat="false" ht="15" hidden="false" customHeight="false" outlineLevel="0" collapsed="false">
      <c r="A5745" s="0" t="s">
        <v>3109</v>
      </c>
      <c r="B5745" s="0" t="s">
        <v>148</v>
      </c>
      <c r="C5745" s="0" t="s">
        <v>149</v>
      </c>
      <c r="D5745" s="0" t="n">
        <v>3</v>
      </c>
      <c r="E5745" s="6" t="n">
        <v>40864.7701388889</v>
      </c>
      <c r="F5745" s="0" t="n">
        <v>12.75</v>
      </c>
      <c r="G5745" s="0" t="n">
        <v>12681</v>
      </c>
      <c r="H5745" s="0" t="s">
        <v>43</v>
      </c>
      <c r="I5745" s="7" t="n">
        <f aca="false">IF(AND(LEFT(A5745,1)&lt;&gt;"C",D5745&gt;0,F5745&gt;0),1,0)</f>
        <v>1</v>
      </c>
      <c r="J5745" s="7" t="n">
        <f aca="false">IF(I5745=1,D5745*F5745,0)</f>
        <v>38.25</v>
      </c>
      <c r="K5745" s="7" t="n">
        <f aca="false">YEAR(E5745)*100+MONTH(E5745)</f>
        <v>201111</v>
      </c>
      <c r="L5745" s="7" t="n">
        <f aca="false">IF(AND(A5745&lt;&gt;A5744,LEFT(A5745,1)&lt;&gt;"C"),1,0)</f>
        <v>0</v>
      </c>
    </row>
    <row r="5746" customFormat="false" ht="15" hidden="false" customHeight="false" outlineLevel="0" collapsed="false">
      <c r="A5746" s="0" t="s">
        <v>3109</v>
      </c>
      <c r="B5746" s="0" t="s">
        <v>151</v>
      </c>
      <c r="C5746" s="0" t="s">
        <v>152</v>
      </c>
      <c r="D5746" s="0" t="n">
        <v>12</v>
      </c>
      <c r="E5746" s="6" t="n">
        <v>40864.7701388889</v>
      </c>
      <c r="F5746" s="0" t="n">
        <v>0.85</v>
      </c>
      <c r="G5746" s="0" t="n">
        <v>12681</v>
      </c>
      <c r="H5746" s="0" t="s">
        <v>43</v>
      </c>
      <c r="I5746" s="7" t="n">
        <f aca="false">IF(AND(LEFT(A5746,1)&lt;&gt;"C",D5746&gt;0,F5746&gt;0),1,0)</f>
        <v>1</v>
      </c>
      <c r="J5746" s="7" t="n">
        <f aca="false">IF(I5746=1,D5746*F5746,0)</f>
        <v>10.2</v>
      </c>
      <c r="K5746" s="7" t="n">
        <f aca="false">YEAR(E5746)*100+MONTH(E5746)</f>
        <v>201111</v>
      </c>
      <c r="L5746" s="7" t="n">
        <f aca="false">IF(AND(A5746&lt;&gt;A5745,LEFT(A5746,1)&lt;&gt;"C"),1,0)</f>
        <v>0</v>
      </c>
    </row>
    <row r="5747" customFormat="false" ht="15" hidden="false" customHeight="false" outlineLevel="0" collapsed="false">
      <c r="A5747" s="0" t="s">
        <v>3109</v>
      </c>
      <c r="B5747" s="0" t="s">
        <v>111</v>
      </c>
      <c r="C5747" s="0" t="s">
        <v>112</v>
      </c>
      <c r="D5747" s="0" t="n">
        <v>6</v>
      </c>
      <c r="E5747" s="6" t="n">
        <v>40864.7701388889</v>
      </c>
      <c r="F5747" s="0" t="n">
        <v>2.55</v>
      </c>
      <c r="G5747" s="0" t="n">
        <v>12681</v>
      </c>
      <c r="H5747" s="0" t="s">
        <v>43</v>
      </c>
      <c r="I5747" s="7" t="n">
        <f aca="false">IF(AND(LEFT(A5747,1)&lt;&gt;"C",D5747&gt;0,F5747&gt;0),1,0)</f>
        <v>1</v>
      </c>
      <c r="J5747" s="7" t="n">
        <f aca="false">IF(I5747=1,D5747*F5747,0)</f>
        <v>15.3</v>
      </c>
      <c r="K5747" s="7" t="n">
        <f aca="false">YEAR(E5747)*100+MONTH(E5747)</f>
        <v>201111</v>
      </c>
      <c r="L5747" s="7" t="n">
        <f aca="false">IF(AND(A5747&lt;&gt;A5746,LEFT(A5747,1)&lt;&gt;"C"),1,0)</f>
        <v>0</v>
      </c>
    </row>
    <row r="5748" customFormat="false" ht="15" hidden="false" customHeight="false" outlineLevel="0" collapsed="false">
      <c r="A5748" s="0" t="s">
        <v>3109</v>
      </c>
      <c r="B5748" s="0" t="s">
        <v>2289</v>
      </c>
      <c r="C5748" s="0" t="s">
        <v>2290</v>
      </c>
      <c r="D5748" s="0" t="n">
        <v>2</v>
      </c>
      <c r="E5748" s="6" t="n">
        <v>40864.7701388889</v>
      </c>
      <c r="F5748" s="0" t="n">
        <v>8.25</v>
      </c>
      <c r="G5748" s="0" t="n">
        <v>12681</v>
      </c>
      <c r="H5748" s="0" t="s">
        <v>43</v>
      </c>
      <c r="I5748" s="7" t="n">
        <f aca="false">IF(AND(LEFT(A5748,1)&lt;&gt;"C",D5748&gt;0,F5748&gt;0),1,0)</f>
        <v>1</v>
      </c>
      <c r="J5748" s="7" t="n">
        <f aca="false">IF(I5748=1,D5748*F5748,0)</f>
        <v>16.5</v>
      </c>
      <c r="K5748" s="7" t="n">
        <f aca="false">YEAR(E5748)*100+MONTH(E5748)</f>
        <v>201111</v>
      </c>
      <c r="L5748" s="7" t="n">
        <f aca="false">IF(AND(A5748&lt;&gt;A5747,LEFT(A5748,1)&lt;&gt;"C"),1,0)</f>
        <v>0</v>
      </c>
    </row>
    <row r="5749" customFormat="false" ht="15" hidden="false" customHeight="false" outlineLevel="0" collapsed="false">
      <c r="A5749" s="0" t="s">
        <v>3109</v>
      </c>
      <c r="B5749" s="0" t="s">
        <v>2028</v>
      </c>
      <c r="C5749" s="0" t="s">
        <v>2029</v>
      </c>
      <c r="D5749" s="0" t="n">
        <v>10</v>
      </c>
      <c r="E5749" s="6" t="n">
        <v>40864.7701388889</v>
      </c>
      <c r="F5749" s="0" t="n">
        <v>1.25</v>
      </c>
      <c r="G5749" s="0" t="n">
        <v>12681</v>
      </c>
      <c r="H5749" s="0" t="s">
        <v>43</v>
      </c>
      <c r="I5749" s="7" t="n">
        <f aca="false">IF(AND(LEFT(A5749,1)&lt;&gt;"C",D5749&gt;0,F5749&gt;0),1,0)</f>
        <v>1</v>
      </c>
      <c r="J5749" s="7" t="n">
        <f aca="false">IF(I5749=1,D5749*F5749,0)</f>
        <v>12.5</v>
      </c>
      <c r="K5749" s="7" t="n">
        <f aca="false">YEAR(E5749)*100+MONTH(E5749)</f>
        <v>201111</v>
      </c>
      <c r="L5749" s="7" t="n">
        <f aca="false">IF(AND(A5749&lt;&gt;A5748,LEFT(A5749,1)&lt;&gt;"C"),1,0)</f>
        <v>0</v>
      </c>
    </row>
    <row r="5750" customFormat="false" ht="15" hidden="false" customHeight="false" outlineLevel="0" collapsed="false">
      <c r="A5750" s="0" t="s">
        <v>3109</v>
      </c>
      <c r="B5750" s="0" t="s">
        <v>84</v>
      </c>
      <c r="C5750" s="0" t="s">
        <v>85</v>
      </c>
      <c r="D5750" s="0" t="n">
        <v>4</v>
      </c>
      <c r="E5750" s="6" t="n">
        <v>40864.7701388889</v>
      </c>
      <c r="F5750" s="0" t="n">
        <v>18</v>
      </c>
      <c r="G5750" s="0" t="n">
        <v>12681</v>
      </c>
      <c r="H5750" s="0" t="s">
        <v>43</v>
      </c>
      <c r="I5750" s="7" t="n">
        <f aca="false">IF(AND(LEFT(A5750,1)&lt;&gt;"C",D5750&gt;0,F5750&gt;0),1,0)</f>
        <v>1</v>
      </c>
      <c r="J5750" s="7" t="n">
        <f aca="false">IF(I5750=1,D5750*F5750,0)</f>
        <v>72</v>
      </c>
      <c r="K5750" s="7" t="n">
        <f aca="false">YEAR(E5750)*100+MONTH(E5750)</f>
        <v>201111</v>
      </c>
      <c r="L5750" s="7" t="n">
        <f aca="false">IF(AND(A5750&lt;&gt;A5749,LEFT(A5750,1)&lt;&gt;"C"),1,0)</f>
        <v>0</v>
      </c>
    </row>
    <row r="5751" customFormat="false" ht="15" hidden="false" customHeight="false" outlineLevel="0" collapsed="false">
      <c r="A5751" s="0" t="s">
        <v>3112</v>
      </c>
      <c r="B5751" s="0" t="s">
        <v>62</v>
      </c>
      <c r="C5751" s="0" t="s">
        <v>63</v>
      </c>
      <c r="D5751" s="0" t="n">
        <v>24</v>
      </c>
      <c r="E5751" s="6" t="n">
        <v>40865.3722222222</v>
      </c>
      <c r="F5751" s="0" t="n">
        <v>1.79</v>
      </c>
      <c r="G5751" s="0" t="n">
        <v>12427</v>
      </c>
      <c r="H5751" s="0" t="s">
        <v>33</v>
      </c>
      <c r="I5751" s="7" t="n">
        <f aca="false">IF(AND(LEFT(A5751,1)&lt;&gt;"C",D5751&gt;0,F5751&gt;0),1,0)</f>
        <v>1</v>
      </c>
      <c r="J5751" s="7" t="n">
        <f aca="false">IF(I5751=1,D5751*F5751,0)</f>
        <v>42.96</v>
      </c>
      <c r="K5751" s="7" t="n">
        <f aca="false">YEAR(E5751)*100+MONTH(E5751)</f>
        <v>201111</v>
      </c>
      <c r="L5751" s="7" t="n">
        <f aca="false">IF(AND(A5751&lt;&gt;A5750,LEFT(A5751,1)&lt;&gt;"C"),1,0)</f>
        <v>1</v>
      </c>
    </row>
    <row r="5752" customFormat="false" ht="15" hidden="false" customHeight="false" outlineLevel="0" collapsed="false">
      <c r="A5752" s="0" t="s">
        <v>3112</v>
      </c>
      <c r="B5752" s="0" t="s">
        <v>473</v>
      </c>
      <c r="C5752" s="0" t="s">
        <v>474</v>
      </c>
      <c r="D5752" s="0" t="n">
        <v>8</v>
      </c>
      <c r="E5752" s="6" t="n">
        <v>40865.3722222222</v>
      </c>
      <c r="F5752" s="0" t="n">
        <v>8.5</v>
      </c>
      <c r="G5752" s="0" t="n">
        <v>12427</v>
      </c>
      <c r="H5752" s="0" t="s">
        <v>33</v>
      </c>
      <c r="I5752" s="7" t="n">
        <f aca="false">IF(AND(LEFT(A5752,1)&lt;&gt;"C",D5752&gt;0,F5752&gt;0),1,0)</f>
        <v>1</v>
      </c>
      <c r="J5752" s="7" t="n">
        <f aca="false">IF(I5752=1,D5752*F5752,0)</f>
        <v>68</v>
      </c>
      <c r="K5752" s="7" t="n">
        <f aca="false">YEAR(E5752)*100+MONTH(E5752)</f>
        <v>201111</v>
      </c>
      <c r="L5752" s="7" t="n">
        <f aca="false">IF(AND(A5752&lt;&gt;A5751,LEFT(A5752,1)&lt;&gt;"C"),1,0)</f>
        <v>0</v>
      </c>
    </row>
    <row r="5753" customFormat="false" ht="15" hidden="false" customHeight="false" outlineLevel="0" collapsed="false">
      <c r="A5753" s="0" t="s">
        <v>3112</v>
      </c>
      <c r="B5753" s="0" t="s">
        <v>635</v>
      </c>
      <c r="C5753" s="0" t="s">
        <v>636</v>
      </c>
      <c r="D5753" s="0" t="n">
        <v>12</v>
      </c>
      <c r="E5753" s="6" t="n">
        <v>40865.3722222222</v>
      </c>
      <c r="F5753" s="0" t="n">
        <v>1.65</v>
      </c>
      <c r="G5753" s="0" t="n">
        <v>12427</v>
      </c>
      <c r="H5753" s="0" t="s">
        <v>33</v>
      </c>
      <c r="I5753" s="7" t="n">
        <f aca="false">IF(AND(LEFT(A5753,1)&lt;&gt;"C",D5753&gt;0,F5753&gt;0),1,0)</f>
        <v>1</v>
      </c>
      <c r="J5753" s="7" t="n">
        <f aca="false">IF(I5753=1,D5753*F5753,0)</f>
        <v>19.8</v>
      </c>
      <c r="K5753" s="7" t="n">
        <f aca="false">YEAR(E5753)*100+MONTH(E5753)</f>
        <v>201111</v>
      </c>
      <c r="L5753" s="7" t="n">
        <f aca="false">IF(AND(A5753&lt;&gt;A5752,LEFT(A5753,1)&lt;&gt;"C"),1,0)</f>
        <v>0</v>
      </c>
    </row>
    <row r="5754" customFormat="false" ht="15" hidden="false" customHeight="false" outlineLevel="0" collapsed="false">
      <c r="A5754" s="0" t="s">
        <v>3112</v>
      </c>
      <c r="B5754" s="0" t="s">
        <v>3113</v>
      </c>
      <c r="C5754" s="0" t="s">
        <v>3114</v>
      </c>
      <c r="D5754" s="0" t="n">
        <v>288</v>
      </c>
      <c r="E5754" s="6" t="n">
        <v>40865.3722222222</v>
      </c>
      <c r="F5754" s="0" t="n">
        <v>0.21</v>
      </c>
      <c r="G5754" s="0" t="n">
        <v>12427</v>
      </c>
      <c r="H5754" s="0" t="s">
        <v>33</v>
      </c>
      <c r="I5754" s="7" t="n">
        <f aca="false">IF(AND(LEFT(A5754,1)&lt;&gt;"C",D5754&gt;0,F5754&gt;0),1,0)</f>
        <v>1</v>
      </c>
      <c r="J5754" s="7" t="n">
        <f aca="false">IF(I5754=1,D5754*F5754,0)</f>
        <v>60.48</v>
      </c>
      <c r="K5754" s="7" t="n">
        <f aca="false">YEAR(E5754)*100+MONTH(E5754)</f>
        <v>201111</v>
      </c>
      <c r="L5754" s="7" t="n">
        <f aca="false">IF(AND(A5754&lt;&gt;A5753,LEFT(A5754,1)&lt;&gt;"C"),1,0)</f>
        <v>0</v>
      </c>
    </row>
    <row r="5755" customFormat="false" ht="15" hidden="false" customHeight="false" outlineLevel="0" collapsed="false">
      <c r="A5755" s="0" t="s">
        <v>3112</v>
      </c>
      <c r="B5755" s="0" t="s">
        <v>490</v>
      </c>
      <c r="C5755" s="0" t="s">
        <v>491</v>
      </c>
      <c r="D5755" s="0" t="n">
        <v>6</v>
      </c>
      <c r="E5755" s="6" t="n">
        <v>40865.3722222222</v>
      </c>
      <c r="F5755" s="0" t="n">
        <v>2.08</v>
      </c>
      <c r="G5755" s="0" t="n">
        <v>12427</v>
      </c>
      <c r="H5755" s="0" t="s">
        <v>33</v>
      </c>
      <c r="I5755" s="7" t="n">
        <f aca="false">IF(AND(LEFT(A5755,1)&lt;&gt;"C",D5755&gt;0,F5755&gt;0),1,0)</f>
        <v>1</v>
      </c>
      <c r="J5755" s="7" t="n">
        <f aca="false">IF(I5755=1,D5755*F5755,0)</f>
        <v>12.48</v>
      </c>
      <c r="K5755" s="7" t="n">
        <f aca="false">YEAR(E5755)*100+MONTH(E5755)</f>
        <v>201111</v>
      </c>
      <c r="L5755" s="7" t="n">
        <f aca="false">IF(AND(A5755&lt;&gt;A5754,LEFT(A5755,1)&lt;&gt;"C"),1,0)</f>
        <v>0</v>
      </c>
    </row>
    <row r="5756" customFormat="false" ht="15" hidden="false" customHeight="false" outlineLevel="0" collapsed="false">
      <c r="A5756" s="0" t="s">
        <v>3112</v>
      </c>
      <c r="B5756" s="0" t="s">
        <v>84</v>
      </c>
      <c r="C5756" s="0" t="s">
        <v>85</v>
      </c>
      <c r="D5756" s="0" t="n">
        <v>2</v>
      </c>
      <c r="E5756" s="6" t="n">
        <v>40865.3722222222</v>
      </c>
      <c r="F5756" s="0" t="n">
        <v>18</v>
      </c>
      <c r="G5756" s="0" t="n">
        <v>12427</v>
      </c>
      <c r="H5756" s="0" t="s">
        <v>33</v>
      </c>
      <c r="I5756" s="7" t="n">
        <f aca="false">IF(AND(LEFT(A5756,1)&lt;&gt;"C",D5756&gt;0,F5756&gt;0),1,0)</f>
        <v>1</v>
      </c>
      <c r="J5756" s="7" t="n">
        <f aca="false">IF(I5756=1,D5756*F5756,0)</f>
        <v>36</v>
      </c>
      <c r="K5756" s="7" t="n">
        <f aca="false">YEAR(E5756)*100+MONTH(E5756)</f>
        <v>201111</v>
      </c>
      <c r="L5756" s="7" t="n">
        <f aca="false">IF(AND(A5756&lt;&gt;A5755,LEFT(A5756,1)&lt;&gt;"C"),1,0)</f>
        <v>0</v>
      </c>
    </row>
    <row r="5757" customFormat="false" ht="15" hidden="false" customHeight="false" outlineLevel="0" collapsed="false">
      <c r="A5757" s="0" t="s">
        <v>3115</v>
      </c>
      <c r="B5757" s="0" t="s">
        <v>125</v>
      </c>
      <c r="C5757" s="0" t="s">
        <v>126</v>
      </c>
      <c r="D5757" s="0" t="n">
        <v>24</v>
      </c>
      <c r="E5757" s="6" t="n">
        <v>40865.4118055556</v>
      </c>
      <c r="F5757" s="0" t="n">
        <v>1.25</v>
      </c>
      <c r="G5757" s="0" t="n">
        <v>14277</v>
      </c>
      <c r="H5757" s="0" t="s">
        <v>43</v>
      </c>
      <c r="I5757" s="7" t="n">
        <f aca="false">IF(AND(LEFT(A5757,1)&lt;&gt;"C",D5757&gt;0,F5757&gt;0),1,0)</f>
        <v>1</v>
      </c>
      <c r="J5757" s="7" t="n">
        <f aca="false">IF(I5757=1,D5757*F5757,0)</f>
        <v>30</v>
      </c>
      <c r="K5757" s="7" t="n">
        <f aca="false">YEAR(E5757)*100+MONTH(E5757)</f>
        <v>201111</v>
      </c>
      <c r="L5757" s="7" t="n">
        <f aca="false">IF(AND(A5757&lt;&gt;A5756,LEFT(A5757,1)&lt;&gt;"C"),1,0)</f>
        <v>1</v>
      </c>
    </row>
    <row r="5758" customFormat="false" ht="15" hidden="false" customHeight="false" outlineLevel="0" collapsed="false">
      <c r="A5758" s="0" t="s">
        <v>3115</v>
      </c>
      <c r="B5758" s="0" t="s">
        <v>469</v>
      </c>
      <c r="C5758" s="0" t="s">
        <v>470</v>
      </c>
      <c r="D5758" s="0" t="n">
        <v>6</v>
      </c>
      <c r="E5758" s="6" t="n">
        <v>40865.4118055556</v>
      </c>
      <c r="F5758" s="0" t="n">
        <v>2.1</v>
      </c>
      <c r="G5758" s="0" t="n">
        <v>14277</v>
      </c>
      <c r="H5758" s="0" t="s">
        <v>43</v>
      </c>
      <c r="I5758" s="7" t="n">
        <f aca="false">IF(AND(LEFT(A5758,1)&lt;&gt;"C",D5758&gt;0,F5758&gt;0),1,0)</f>
        <v>1</v>
      </c>
      <c r="J5758" s="7" t="n">
        <f aca="false">IF(I5758=1,D5758*F5758,0)</f>
        <v>12.6</v>
      </c>
      <c r="K5758" s="7" t="n">
        <f aca="false">YEAR(E5758)*100+MONTH(E5758)</f>
        <v>201111</v>
      </c>
      <c r="L5758" s="7" t="n">
        <f aca="false">IF(AND(A5758&lt;&gt;A5757,LEFT(A5758,1)&lt;&gt;"C"),1,0)</f>
        <v>0</v>
      </c>
    </row>
    <row r="5759" customFormat="false" ht="15" hidden="false" customHeight="false" outlineLevel="0" collapsed="false">
      <c r="A5759" s="0" t="s">
        <v>3115</v>
      </c>
      <c r="B5759" s="0" t="s">
        <v>60</v>
      </c>
      <c r="C5759" s="0" t="s">
        <v>61</v>
      </c>
      <c r="D5759" s="0" t="n">
        <v>6</v>
      </c>
      <c r="E5759" s="6" t="n">
        <v>40865.4118055556</v>
      </c>
      <c r="F5759" s="0" t="n">
        <v>2.55</v>
      </c>
      <c r="G5759" s="0" t="n">
        <v>14277</v>
      </c>
      <c r="H5759" s="0" t="s">
        <v>43</v>
      </c>
      <c r="I5759" s="7" t="n">
        <f aca="false">IF(AND(LEFT(A5759,1)&lt;&gt;"C",D5759&gt;0,F5759&gt;0),1,0)</f>
        <v>1</v>
      </c>
      <c r="J5759" s="7" t="n">
        <f aca="false">IF(I5759=1,D5759*F5759,0)</f>
        <v>15.3</v>
      </c>
      <c r="K5759" s="7" t="n">
        <f aca="false">YEAR(E5759)*100+MONTH(E5759)</f>
        <v>201111</v>
      </c>
      <c r="L5759" s="7" t="n">
        <f aca="false">IF(AND(A5759&lt;&gt;A5758,LEFT(A5759,1)&lt;&gt;"C"),1,0)</f>
        <v>0</v>
      </c>
    </row>
    <row r="5760" customFormat="false" ht="15" hidden="false" customHeight="false" outlineLevel="0" collapsed="false">
      <c r="A5760" s="0" t="s">
        <v>3115</v>
      </c>
      <c r="B5760" s="0" t="s">
        <v>87</v>
      </c>
      <c r="C5760" s="0" t="s">
        <v>88</v>
      </c>
      <c r="D5760" s="0" t="n">
        <v>8</v>
      </c>
      <c r="E5760" s="6" t="n">
        <v>40865.4118055556</v>
      </c>
      <c r="F5760" s="0" t="n">
        <v>4.15</v>
      </c>
      <c r="G5760" s="0" t="n">
        <v>14277</v>
      </c>
      <c r="H5760" s="0" t="s">
        <v>43</v>
      </c>
      <c r="I5760" s="7" t="n">
        <f aca="false">IF(AND(LEFT(A5760,1)&lt;&gt;"C",D5760&gt;0,F5760&gt;0),1,0)</f>
        <v>1</v>
      </c>
      <c r="J5760" s="7" t="n">
        <f aca="false">IF(I5760=1,D5760*F5760,0)</f>
        <v>33.2</v>
      </c>
      <c r="K5760" s="7" t="n">
        <f aca="false">YEAR(E5760)*100+MONTH(E5760)</f>
        <v>201111</v>
      </c>
      <c r="L5760" s="7" t="n">
        <f aca="false">IF(AND(A5760&lt;&gt;A5759,LEFT(A5760,1)&lt;&gt;"C"),1,0)</f>
        <v>0</v>
      </c>
    </row>
    <row r="5761" customFormat="false" ht="15" hidden="false" customHeight="false" outlineLevel="0" collapsed="false">
      <c r="A5761" s="0" t="s">
        <v>3115</v>
      </c>
      <c r="B5761" s="0" t="s">
        <v>2437</v>
      </c>
      <c r="C5761" s="0" t="s">
        <v>2438</v>
      </c>
      <c r="D5761" s="0" t="n">
        <v>8</v>
      </c>
      <c r="E5761" s="6" t="n">
        <v>40865.4118055556</v>
      </c>
      <c r="F5761" s="0" t="n">
        <v>4.15</v>
      </c>
      <c r="G5761" s="0" t="n">
        <v>14277</v>
      </c>
      <c r="H5761" s="0" t="s">
        <v>43</v>
      </c>
      <c r="I5761" s="7" t="n">
        <f aca="false">IF(AND(LEFT(A5761,1)&lt;&gt;"C",D5761&gt;0,F5761&gt;0),1,0)</f>
        <v>1</v>
      </c>
      <c r="J5761" s="7" t="n">
        <f aca="false">IF(I5761=1,D5761*F5761,0)</f>
        <v>33.2</v>
      </c>
      <c r="K5761" s="7" t="n">
        <f aca="false">YEAR(E5761)*100+MONTH(E5761)</f>
        <v>201111</v>
      </c>
      <c r="L5761" s="7" t="n">
        <f aca="false">IF(AND(A5761&lt;&gt;A5760,LEFT(A5761,1)&lt;&gt;"C"),1,0)</f>
        <v>0</v>
      </c>
    </row>
    <row r="5762" customFormat="false" ht="15" hidden="false" customHeight="false" outlineLevel="0" collapsed="false">
      <c r="A5762" s="0" t="s">
        <v>3115</v>
      </c>
      <c r="B5762" s="0" t="s">
        <v>620</v>
      </c>
      <c r="C5762" s="0" t="s">
        <v>621</v>
      </c>
      <c r="D5762" s="0" t="n">
        <v>8</v>
      </c>
      <c r="E5762" s="6" t="n">
        <v>40865.4118055556</v>
      </c>
      <c r="F5762" s="0" t="n">
        <v>4.15</v>
      </c>
      <c r="G5762" s="0" t="n">
        <v>14277</v>
      </c>
      <c r="H5762" s="0" t="s">
        <v>43</v>
      </c>
      <c r="I5762" s="7" t="n">
        <f aca="false">IF(AND(LEFT(A5762,1)&lt;&gt;"C",D5762&gt;0,F5762&gt;0),1,0)</f>
        <v>1</v>
      </c>
      <c r="J5762" s="7" t="n">
        <f aca="false">IF(I5762=1,D5762*F5762,0)</f>
        <v>33.2</v>
      </c>
      <c r="K5762" s="7" t="n">
        <f aca="false">YEAR(E5762)*100+MONTH(E5762)</f>
        <v>201111</v>
      </c>
      <c r="L5762" s="7" t="n">
        <f aca="false">IF(AND(A5762&lt;&gt;A5761,LEFT(A5762,1)&lt;&gt;"C"),1,0)</f>
        <v>0</v>
      </c>
    </row>
    <row r="5763" customFormat="false" ht="15" hidden="false" customHeight="false" outlineLevel="0" collapsed="false">
      <c r="A5763" s="0" t="s">
        <v>3115</v>
      </c>
      <c r="B5763" s="0" t="s">
        <v>577</v>
      </c>
      <c r="C5763" s="0" t="s">
        <v>578</v>
      </c>
      <c r="D5763" s="0" t="n">
        <v>8</v>
      </c>
      <c r="E5763" s="6" t="n">
        <v>40865.4118055556</v>
      </c>
      <c r="F5763" s="0" t="n">
        <v>4.15</v>
      </c>
      <c r="G5763" s="0" t="n">
        <v>14277</v>
      </c>
      <c r="H5763" s="0" t="s">
        <v>43</v>
      </c>
      <c r="I5763" s="7" t="n">
        <f aca="false">IF(AND(LEFT(A5763,1)&lt;&gt;"C",D5763&gt;0,F5763&gt;0),1,0)</f>
        <v>1</v>
      </c>
      <c r="J5763" s="7" t="n">
        <f aca="false">IF(I5763=1,D5763*F5763,0)</f>
        <v>33.2</v>
      </c>
      <c r="K5763" s="7" t="n">
        <f aca="false">YEAR(E5763)*100+MONTH(E5763)</f>
        <v>201111</v>
      </c>
      <c r="L5763" s="7" t="n">
        <f aca="false">IF(AND(A5763&lt;&gt;A5762,LEFT(A5763,1)&lt;&gt;"C"),1,0)</f>
        <v>0</v>
      </c>
    </row>
    <row r="5764" customFormat="false" ht="15" hidden="false" customHeight="false" outlineLevel="0" collapsed="false">
      <c r="A5764" s="0" t="s">
        <v>3115</v>
      </c>
      <c r="B5764" s="0" t="s">
        <v>641</v>
      </c>
      <c r="C5764" s="0" t="s">
        <v>642</v>
      </c>
      <c r="D5764" s="0" t="n">
        <v>12</v>
      </c>
      <c r="E5764" s="6" t="n">
        <v>40865.4118055556</v>
      </c>
      <c r="F5764" s="0" t="n">
        <v>1.65</v>
      </c>
      <c r="G5764" s="0" t="n">
        <v>14277</v>
      </c>
      <c r="H5764" s="0" t="s">
        <v>43</v>
      </c>
      <c r="I5764" s="7" t="n">
        <f aca="false">IF(AND(LEFT(A5764,1)&lt;&gt;"C",D5764&gt;0,F5764&gt;0),1,0)</f>
        <v>1</v>
      </c>
      <c r="J5764" s="7" t="n">
        <f aca="false">IF(I5764=1,D5764*F5764,0)</f>
        <v>19.8</v>
      </c>
      <c r="K5764" s="7" t="n">
        <f aca="false">YEAR(E5764)*100+MONTH(E5764)</f>
        <v>201111</v>
      </c>
      <c r="L5764" s="7" t="n">
        <f aca="false">IF(AND(A5764&lt;&gt;A5763,LEFT(A5764,1)&lt;&gt;"C"),1,0)</f>
        <v>0</v>
      </c>
    </row>
    <row r="5765" customFormat="false" ht="15" hidden="false" customHeight="false" outlineLevel="0" collapsed="false">
      <c r="A5765" s="0" t="s">
        <v>3115</v>
      </c>
      <c r="B5765" s="0" t="s">
        <v>1366</v>
      </c>
      <c r="C5765" s="0" t="s">
        <v>1367</v>
      </c>
      <c r="D5765" s="0" t="n">
        <v>48</v>
      </c>
      <c r="E5765" s="6" t="n">
        <v>40865.4118055556</v>
      </c>
      <c r="F5765" s="0" t="n">
        <v>0.85</v>
      </c>
      <c r="G5765" s="0" t="n">
        <v>14277</v>
      </c>
      <c r="H5765" s="0" t="s">
        <v>43</v>
      </c>
      <c r="I5765" s="7" t="n">
        <f aca="false">IF(AND(LEFT(A5765,1)&lt;&gt;"C",D5765&gt;0,F5765&gt;0),1,0)</f>
        <v>1</v>
      </c>
      <c r="J5765" s="7" t="n">
        <f aca="false">IF(I5765=1,D5765*F5765,0)</f>
        <v>40.8</v>
      </c>
      <c r="K5765" s="7" t="n">
        <f aca="false">YEAR(E5765)*100+MONTH(E5765)</f>
        <v>201111</v>
      </c>
      <c r="L5765" s="7" t="n">
        <f aca="false">IF(AND(A5765&lt;&gt;A5764,LEFT(A5765,1)&lt;&gt;"C"),1,0)</f>
        <v>0</v>
      </c>
    </row>
    <row r="5766" customFormat="false" ht="15" hidden="false" customHeight="false" outlineLevel="0" collapsed="false">
      <c r="A5766" s="0" t="s">
        <v>3115</v>
      </c>
      <c r="B5766" s="0" t="s">
        <v>3116</v>
      </c>
      <c r="C5766" s="0" t="s">
        <v>3117</v>
      </c>
      <c r="D5766" s="0" t="n">
        <v>12</v>
      </c>
      <c r="E5766" s="6" t="n">
        <v>40865.4118055556</v>
      </c>
      <c r="F5766" s="0" t="n">
        <v>0.85</v>
      </c>
      <c r="G5766" s="0" t="n">
        <v>14277</v>
      </c>
      <c r="H5766" s="0" t="s">
        <v>43</v>
      </c>
      <c r="I5766" s="7" t="n">
        <f aca="false">IF(AND(LEFT(A5766,1)&lt;&gt;"C",D5766&gt;0,F5766&gt;0),1,0)</f>
        <v>1</v>
      </c>
      <c r="J5766" s="7" t="n">
        <f aca="false">IF(I5766=1,D5766*F5766,0)</f>
        <v>10.2</v>
      </c>
      <c r="K5766" s="7" t="n">
        <f aca="false">YEAR(E5766)*100+MONTH(E5766)</f>
        <v>201111</v>
      </c>
      <c r="L5766" s="7" t="n">
        <f aca="false">IF(AND(A5766&lt;&gt;A5765,LEFT(A5766,1)&lt;&gt;"C"),1,0)</f>
        <v>0</v>
      </c>
    </row>
    <row r="5767" customFormat="false" ht="15" hidden="false" customHeight="false" outlineLevel="0" collapsed="false">
      <c r="A5767" s="0" t="s">
        <v>3115</v>
      </c>
      <c r="B5767" s="0" t="s">
        <v>839</v>
      </c>
      <c r="C5767" s="0" t="s">
        <v>840</v>
      </c>
      <c r="D5767" s="0" t="n">
        <v>12</v>
      </c>
      <c r="E5767" s="6" t="n">
        <v>40865.4118055556</v>
      </c>
      <c r="F5767" s="0" t="n">
        <v>0.85</v>
      </c>
      <c r="G5767" s="0" t="n">
        <v>14277</v>
      </c>
      <c r="H5767" s="0" t="s">
        <v>43</v>
      </c>
      <c r="I5767" s="7" t="n">
        <f aca="false">IF(AND(LEFT(A5767,1)&lt;&gt;"C",D5767&gt;0,F5767&gt;0),1,0)</f>
        <v>1</v>
      </c>
      <c r="J5767" s="7" t="n">
        <f aca="false">IF(I5767=1,D5767*F5767,0)</f>
        <v>10.2</v>
      </c>
      <c r="K5767" s="7" t="n">
        <f aca="false">YEAR(E5767)*100+MONTH(E5767)</f>
        <v>201111</v>
      </c>
      <c r="L5767" s="7" t="n">
        <f aca="false">IF(AND(A5767&lt;&gt;A5766,LEFT(A5767,1)&lt;&gt;"C"),1,0)</f>
        <v>0</v>
      </c>
    </row>
    <row r="5768" customFormat="false" ht="15" hidden="false" customHeight="false" outlineLevel="0" collapsed="false">
      <c r="A5768" s="0" t="s">
        <v>3115</v>
      </c>
      <c r="B5768" s="0" t="s">
        <v>2240</v>
      </c>
      <c r="C5768" s="0" t="s">
        <v>2241</v>
      </c>
      <c r="D5768" s="0" t="n">
        <v>6</v>
      </c>
      <c r="E5768" s="6" t="n">
        <v>40865.4118055556</v>
      </c>
      <c r="F5768" s="0" t="n">
        <v>4.95</v>
      </c>
      <c r="G5768" s="0" t="n">
        <v>14277</v>
      </c>
      <c r="H5768" s="0" t="s">
        <v>43</v>
      </c>
      <c r="I5768" s="7" t="n">
        <f aca="false">IF(AND(LEFT(A5768,1)&lt;&gt;"C",D5768&gt;0,F5768&gt;0),1,0)</f>
        <v>1</v>
      </c>
      <c r="J5768" s="7" t="n">
        <f aca="false">IF(I5768=1,D5768*F5768,0)</f>
        <v>29.7</v>
      </c>
      <c r="K5768" s="7" t="n">
        <f aca="false">YEAR(E5768)*100+MONTH(E5768)</f>
        <v>201111</v>
      </c>
      <c r="L5768" s="7" t="n">
        <f aca="false">IF(AND(A5768&lt;&gt;A5767,LEFT(A5768,1)&lt;&gt;"C"),1,0)</f>
        <v>0</v>
      </c>
    </row>
    <row r="5769" customFormat="false" ht="15" hidden="false" customHeight="false" outlineLevel="0" collapsed="false">
      <c r="A5769" s="0" t="s">
        <v>3115</v>
      </c>
      <c r="B5769" s="0" t="s">
        <v>151</v>
      </c>
      <c r="C5769" s="0" t="s">
        <v>152</v>
      </c>
      <c r="D5769" s="0" t="n">
        <v>12</v>
      </c>
      <c r="E5769" s="6" t="n">
        <v>40865.4118055556</v>
      </c>
      <c r="F5769" s="0" t="n">
        <v>0.85</v>
      </c>
      <c r="G5769" s="0" t="n">
        <v>14277</v>
      </c>
      <c r="H5769" s="0" t="s">
        <v>43</v>
      </c>
      <c r="I5769" s="7" t="n">
        <f aca="false">IF(AND(LEFT(A5769,1)&lt;&gt;"C",D5769&gt;0,F5769&gt;0),1,0)</f>
        <v>1</v>
      </c>
      <c r="J5769" s="7" t="n">
        <f aca="false">IF(I5769=1,D5769*F5769,0)</f>
        <v>10.2</v>
      </c>
      <c r="K5769" s="7" t="n">
        <f aca="false">YEAR(E5769)*100+MONTH(E5769)</f>
        <v>201111</v>
      </c>
      <c r="L5769" s="7" t="n">
        <f aca="false">IF(AND(A5769&lt;&gt;A5768,LEFT(A5769,1)&lt;&gt;"C"),1,0)</f>
        <v>0</v>
      </c>
    </row>
    <row r="5770" customFormat="false" ht="15" hidden="false" customHeight="false" outlineLevel="0" collapsed="false">
      <c r="A5770" s="0" t="s">
        <v>3115</v>
      </c>
      <c r="B5770" s="0" t="s">
        <v>966</v>
      </c>
      <c r="C5770" s="0" t="s">
        <v>967</v>
      </c>
      <c r="D5770" s="0" t="n">
        <v>24</v>
      </c>
      <c r="E5770" s="6" t="n">
        <v>40865.4118055556</v>
      </c>
      <c r="F5770" s="0" t="n">
        <v>0.55</v>
      </c>
      <c r="G5770" s="0" t="n">
        <v>14277</v>
      </c>
      <c r="H5770" s="0" t="s">
        <v>43</v>
      </c>
      <c r="I5770" s="7" t="n">
        <f aca="false">IF(AND(LEFT(A5770,1)&lt;&gt;"C",D5770&gt;0,F5770&gt;0),1,0)</f>
        <v>1</v>
      </c>
      <c r="J5770" s="7" t="n">
        <f aca="false">IF(I5770=1,D5770*F5770,0)</f>
        <v>13.2</v>
      </c>
      <c r="K5770" s="7" t="n">
        <f aca="false">YEAR(E5770)*100+MONTH(E5770)</f>
        <v>201111</v>
      </c>
      <c r="L5770" s="7" t="n">
        <f aca="false">IF(AND(A5770&lt;&gt;A5769,LEFT(A5770,1)&lt;&gt;"C"),1,0)</f>
        <v>0</v>
      </c>
    </row>
    <row r="5771" customFormat="false" ht="15" hidden="false" customHeight="false" outlineLevel="0" collapsed="false">
      <c r="A5771" s="0" t="s">
        <v>3115</v>
      </c>
      <c r="B5771" s="0" t="s">
        <v>217</v>
      </c>
      <c r="C5771" s="0" t="s">
        <v>218</v>
      </c>
      <c r="D5771" s="0" t="n">
        <v>24</v>
      </c>
      <c r="E5771" s="6" t="n">
        <v>40865.4118055556</v>
      </c>
      <c r="F5771" s="0" t="n">
        <v>0.55</v>
      </c>
      <c r="G5771" s="0" t="n">
        <v>14277</v>
      </c>
      <c r="H5771" s="0" t="s">
        <v>43</v>
      </c>
      <c r="I5771" s="7" t="n">
        <f aca="false">IF(AND(LEFT(A5771,1)&lt;&gt;"C",D5771&gt;0,F5771&gt;0),1,0)</f>
        <v>1</v>
      </c>
      <c r="J5771" s="7" t="n">
        <f aca="false">IF(I5771=1,D5771*F5771,0)</f>
        <v>13.2</v>
      </c>
      <c r="K5771" s="7" t="n">
        <f aca="false">YEAR(E5771)*100+MONTH(E5771)</f>
        <v>201111</v>
      </c>
      <c r="L5771" s="7" t="n">
        <f aca="false">IF(AND(A5771&lt;&gt;A5770,LEFT(A5771,1)&lt;&gt;"C"),1,0)</f>
        <v>0</v>
      </c>
    </row>
    <row r="5772" customFormat="false" ht="15" hidden="false" customHeight="false" outlineLevel="0" collapsed="false">
      <c r="A5772" s="0" t="s">
        <v>3115</v>
      </c>
      <c r="B5772" s="0" t="s">
        <v>115</v>
      </c>
      <c r="C5772" s="0" t="s">
        <v>116</v>
      </c>
      <c r="D5772" s="0" t="n">
        <v>12</v>
      </c>
      <c r="E5772" s="6" t="n">
        <v>40865.4118055556</v>
      </c>
      <c r="F5772" s="0" t="n">
        <v>0.85</v>
      </c>
      <c r="G5772" s="0" t="n">
        <v>14277</v>
      </c>
      <c r="H5772" s="0" t="s">
        <v>43</v>
      </c>
      <c r="I5772" s="7" t="n">
        <f aca="false">IF(AND(LEFT(A5772,1)&lt;&gt;"C",D5772&gt;0,F5772&gt;0),1,0)</f>
        <v>1</v>
      </c>
      <c r="J5772" s="7" t="n">
        <f aca="false">IF(I5772=1,D5772*F5772,0)</f>
        <v>10.2</v>
      </c>
      <c r="K5772" s="7" t="n">
        <f aca="false">YEAR(E5772)*100+MONTH(E5772)</f>
        <v>201111</v>
      </c>
      <c r="L5772" s="7" t="n">
        <f aca="false">IF(AND(A5772&lt;&gt;A5771,LEFT(A5772,1)&lt;&gt;"C"),1,0)</f>
        <v>0</v>
      </c>
    </row>
    <row r="5773" customFormat="false" ht="15" hidden="false" customHeight="false" outlineLevel="0" collapsed="false">
      <c r="A5773" s="0" t="s">
        <v>3115</v>
      </c>
      <c r="B5773" s="0" t="s">
        <v>598</v>
      </c>
      <c r="C5773" s="0" t="s">
        <v>599</v>
      </c>
      <c r="D5773" s="0" t="n">
        <v>8</v>
      </c>
      <c r="E5773" s="6" t="n">
        <v>40865.4118055556</v>
      </c>
      <c r="F5773" s="0" t="n">
        <v>1.95</v>
      </c>
      <c r="G5773" s="0" t="n">
        <v>14277</v>
      </c>
      <c r="H5773" s="0" t="s">
        <v>43</v>
      </c>
      <c r="I5773" s="7" t="n">
        <f aca="false">IF(AND(LEFT(A5773,1)&lt;&gt;"C",D5773&gt;0,F5773&gt;0),1,0)</f>
        <v>1</v>
      </c>
      <c r="J5773" s="7" t="n">
        <f aca="false">IF(I5773=1,D5773*F5773,0)</f>
        <v>15.6</v>
      </c>
      <c r="K5773" s="7" t="n">
        <f aca="false">YEAR(E5773)*100+MONTH(E5773)</f>
        <v>201111</v>
      </c>
      <c r="L5773" s="7" t="n">
        <f aca="false">IF(AND(A5773&lt;&gt;A5772,LEFT(A5773,1)&lt;&gt;"C"),1,0)</f>
        <v>0</v>
      </c>
    </row>
    <row r="5774" customFormat="false" ht="15" hidden="false" customHeight="false" outlineLevel="0" collapsed="false">
      <c r="A5774" s="0" t="s">
        <v>3115</v>
      </c>
      <c r="B5774" s="0" t="s">
        <v>84</v>
      </c>
      <c r="C5774" s="0" t="s">
        <v>85</v>
      </c>
      <c r="D5774" s="0" t="n">
        <v>2</v>
      </c>
      <c r="E5774" s="6" t="n">
        <v>40865.4118055556</v>
      </c>
      <c r="F5774" s="0" t="n">
        <v>18</v>
      </c>
      <c r="G5774" s="0" t="n">
        <v>14277</v>
      </c>
      <c r="H5774" s="0" t="s">
        <v>43</v>
      </c>
      <c r="I5774" s="7" t="n">
        <f aca="false">IF(AND(LEFT(A5774,1)&lt;&gt;"C",D5774&gt;0,F5774&gt;0),1,0)</f>
        <v>1</v>
      </c>
      <c r="J5774" s="7" t="n">
        <f aca="false">IF(I5774=1,D5774*F5774,0)</f>
        <v>36</v>
      </c>
      <c r="K5774" s="7" t="n">
        <f aca="false">YEAR(E5774)*100+MONTH(E5774)</f>
        <v>201111</v>
      </c>
      <c r="L5774" s="7" t="n">
        <f aca="false">IF(AND(A5774&lt;&gt;A5773,LEFT(A5774,1)&lt;&gt;"C"),1,0)</f>
        <v>0</v>
      </c>
    </row>
    <row r="5775" customFormat="false" ht="15" hidden="false" customHeight="false" outlineLevel="0" collapsed="false">
      <c r="A5775" s="0" t="s">
        <v>3115</v>
      </c>
      <c r="B5775" s="0" t="s">
        <v>68</v>
      </c>
      <c r="C5775" s="0" t="s">
        <v>69</v>
      </c>
      <c r="D5775" s="0" t="n">
        <v>10</v>
      </c>
      <c r="E5775" s="6" t="n">
        <v>40865.4118055556</v>
      </c>
      <c r="F5775" s="0" t="n">
        <v>1.65</v>
      </c>
      <c r="G5775" s="0" t="n">
        <v>14277</v>
      </c>
      <c r="H5775" s="0" t="s">
        <v>43</v>
      </c>
      <c r="I5775" s="7" t="n">
        <f aca="false">IF(AND(LEFT(A5775,1)&lt;&gt;"C",D5775&gt;0,F5775&gt;0),1,0)</f>
        <v>1</v>
      </c>
      <c r="J5775" s="7" t="n">
        <f aca="false">IF(I5775=1,D5775*F5775,0)</f>
        <v>16.5</v>
      </c>
      <c r="K5775" s="7" t="n">
        <f aca="false">YEAR(E5775)*100+MONTH(E5775)</f>
        <v>201111</v>
      </c>
      <c r="L5775" s="7" t="n">
        <f aca="false">IF(AND(A5775&lt;&gt;A5774,LEFT(A5775,1)&lt;&gt;"C"),1,0)</f>
        <v>0</v>
      </c>
    </row>
    <row r="5776" customFormat="false" ht="15" hidden="false" customHeight="false" outlineLevel="0" collapsed="false">
      <c r="A5776" s="0" t="s">
        <v>3115</v>
      </c>
      <c r="B5776" s="0" t="s">
        <v>651</v>
      </c>
      <c r="C5776" s="0" t="s">
        <v>652</v>
      </c>
      <c r="D5776" s="0" t="n">
        <v>10</v>
      </c>
      <c r="E5776" s="6" t="n">
        <v>40865.4118055556</v>
      </c>
      <c r="F5776" s="0" t="n">
        <v>1.65</v>
      </c>
      <c r="G5776" s="0" t="n">
        <v>14277</v>
      </c>
      <c r="H5776" s="0" t="s">
        <v>43</v>
      </c>
      <c r="I5776" s="7" t="n">
        <f aca="false">IF(AND(LEFT(A5776,1)&lt;&gt;"C",D5776&gt;0,F5776&gt;0),1,0)</f>
        <v>1</v>
      </c>
      <c r="J5776" s="7" t="n">
        <f aca="false">IF(I5776=1,D5776*F5776,0)</f>
        <v>16.5</v>
      </c>
      <c r="K5776" s="7" t="n">
        <f aca="false">YEAR(E5776)*100+MONTH(E5776)</f>
        <v>201111</v>
      </c>
      <c r="L5776" s="7" t="n">
        <f aca="false">IF(AND(A5776&lt;&gt;A5775,LEFT(A5776,1)&lt;&gt;"C"),1,0)</f>
        <v>0</v>
      </c>
    </row>
    <row r="5777" customFormat="false" ht="15" hidden="false" customHeight="false" outlineLevel="0" collapsed="false">
      <c r="A5777" s="0" t="s">
        <v>3115</v>
      </c>
      <c r="B5777" s="0" t="s">
        <v>58</v>
      </c>
      <c r="C5777" s="0" t="s">
        <v>59</v>
      </c>
      <c r="D5777" s="0" t="n">
        <v>6</v>
      </c>
      <c r="E5777" s="6" t="n">
        <v>40865.4118055556</v>
      </c>
      <c r="F5777" s="0" t="n">
        <v>2.55</v>
      </c>
      <c r="G5777" s="0" t="n">
        <v>14277</v>
      </c>
      <c r="H5777" s="0" t="s">
        <v>43</v>
      </c>
      <c r="I5777" s="7" t="n">
        <f aca="false">IF(AND(LEFT(A5777,1)&lt;&gt;"C",D5777&gt;0,F5777&gt;0),1,0)</f>
        <v>1</v>
      </c>
      <c r="J5777" s="7" t="n">
        <f aca="false">IF(I5777=1,D5777*F5777,0)</f>
        <v>15.3</v>
      </c>
      <c r="K5777" s="7" t="n">
        <f aca="false">YEAR(E5777)*100+MONTH(E5777)</f>
        <v>201111</v>
      </c>
      <c r="L5777" s="7" t="n">
        <f aca="false">IF(AND(A5777&lt;&gt;A5776,LEFT(A5777,1)&lt;&gt;"C"),1,0)</f>
        <v>0</v>
      </c>
    </row>
    <row r="5778" customFormat="false" ht="15" hidden="false" customHeight="false" outlineLevel="0" collapsed="false">
      <c r="A5778" s="0" t="s">
        <v>3115</v>
      </c>
      <c r="B5778" s="0" t="s">
        <v>561</v>
      </c>
      <c r="C5778" s="0" t="s">
        <v>562</v>
      </c>
      <c r="D5778" s="0" t="n">
        <v>12</v>
      </c>
      <c r="E5778" s="6" t="n">
        <v>40865.4118055556</v>
      </c>
      <c r="F5778" s="0" t="n">
        <v>1.45</v>
      </c>
      <c r="G5778" s="0" t="n">
        <v>14277</v>
      </c>
      <c r="H5778" s="0" t="s">
        <v>43</v>
      </c>
      <c r="I5778" s="7" t="n">
        <f aca="false">IF(AND(LEFT(A5778,1)&lt;&gt;"C",D5778&gt;0,F5778&gt;0),1,0)</f>
        <v>1</v>
      </c>
      <c r="J5778" s="7" t="n">
        <f aca="false">IF(I5778=1,D5778*F5778,0)</f>
        <v>17.4</v>
      </c>
      <c r="K5778" s="7" t="n">
        <f aca="false">YEAR(E5778)*100+MONTH(E5778)</f>
        <v>201111</v>
      </c>
      <c r="L5778" s="7" t="n">
        <f aca="false">IF(AND(A5778&lt;&gt;A5777,LEFT(A5778,1)&lt;&gt;"C"),1,0)</f>
        <v>0</v>
      </c>
    </row>
    <row r="5779" customFormat="false" ht="15" hidden="false" customHeight="false" outlineLevel="0" collapsed="false">
      <c r="A5779" s="0" t="s">
        <v>3115</v>
      </c>
      <c r="B5779" s="0" t="s">
        <v>769</v>
      </c>
      <c r="C5779" s="0" t="s">
        <v>770</v>
      </c>
      <c r="D5779" s="0" t="n">
        <v>12</v>
      </c>
      <c r="E5779" s="6" t="n">
        <v>40865.4118055556</v>
      </c>
      <c r="F5779" s="0" t="n">
        <v>1.45</v>
      </c>
      <c r="G5779" s="0" t="n">
        <v>14277</v>
      </c>
      <c r="H5779" s="0" t="s">
        <v>43</v>
      </c>
      <c r="I5779" s="7" t="n">
        <f aca="false">IF(AND(LEFT(A5779,1)&lt;&gt;"C",D5779&gt;0,F5779&gt;0),1,0)</f>
        <v>1</v>
      </c>
      <c r="J5779" s="7" t="n">
        <f aca="false">IF(I5779=1,D5779*F5779,0)</f>
        <v>17.4</v>
      </c>
      <c r="K5779" s="7" t="n">
        <f aca="false">YEAR(E5779)*100+MONTH(E5779)</f>
        <v>201111</v>
      </c>
      <c r="L5779" s="7" t="n">
        <f aca="false">IF(AND(A5779&lt;&gt;A5778,LEFT(A5779,1)&lt;&gt;"C"),1,0)</f>
        <v>0</v>
      </c>
    </row>
    <row r="5780" customFormat="false" ht="15" hidden="false" customHeight="false" outlineLevel="0" collapsed="false">
      <c r="A5780" s="0" t="s">
        <v>3115</v>
      </c>
      <c r="B5780" s="0" t="s">
        <v>78</v>
      </c>
      <c r="C5780" s="0" t="s">
        <v>79</v>
      </c>
      <c r="D5780" s="0" t="n">
        <v>10</v>
      </c>
      <c r="E5780" s="6" t="n">
        <v>40865.4118055556</v>
      </c>
      <c r="F5780" s="0" t="n">
        <v>1.65</v>
      </c>
      <c r="G5780" s="0" t="n">
        <v>14277</v>
      </c>
      <c r="H5780" s="0" t="s">
        <v>43</v>
      </c>
      <c r="I5780" s="7" t="n">
        <f aca="false">IF(AND(LEFT(A5780,1)&lt;&gt;"C",D5780&gt;0,F5780&gt;0),1,0)</f>
        <v>1</v>
      </c>
      <c r="J5780" s="7" t="n">
        <f aca="false">IF(I5780=1,D5780*F5780,0)</f>
        <v>16.5</v>
      </c>
      <c r="K5780" s="7" t="n">
        <f aca="false">YEAR(E5780)*100+MONTH(E5780)</f>
        <v>201111</v>
      </c>
      <c r="L5780" s="7" t="n">
        <f aca="false">IF(AND(A5780&lt;&gt;A5779,LEFT(A5780,1)&lt;&gt;"C"),1,0)</f>
        <v>0</v>
      </c>
    </row>
    <row r="5781" customFormat="false" ht="15" hidden="false" customHeight="false" outlineLevel="0" collapsed="false">
      <c r="A5781" s="0" t="s">
        <v>3118</v>
      </c>
      <c r="B5781" s="0" t="s">
        <v>148</v>
      </c>
      <c r="C5781" s="0" t="s">
        <v>149</v>
      </c>
      <c r="D5781" s="0" t="n">
        <v>56</v>
      </c>
      <c r="E5781" s="6" t="n">
        <v>40865.4458333333</v>
      </c>
      <c r="F5781" s="0" t="n">
        <v>10.95</v>
      </c>
      <c r="G5781" s="0" t="n">
        <v>12603</v>
      </c>
      <c r="H5781" s="0" t="s">
        <v>33</v>
      </c>
      <c r="I5781" s="7" t="n">
        <f aca="false">IF(AND(LEFT(A5781,1)&lt;&gt;"C",D5781&gt;0,F5781&gt;0),1,0)</f>
        <v>1</v>
      </c>
      <c r="J5781" s="7" t="n">
        <f aca="false">IF(I5781=1,D5781*F5781,0)</f>
        <v>613.2</v>
      </c>
      <c r="K5781" s="7" t="n">
        <f aca="false">YEAR(E5781)*100+MONTH(E5781)</f>
        <v>201111</v>
      </c>
      <c r="L5781" s="7" t="n">
        <f aca="false">IF(AND(A5781&lt;&gt;A5780,LEFT(A5781,1)&lt;&gt;"C"),1,0)</f>
        <v>1</v>
      </c>
    </row>
    <row r="5782" customFormat="false" ht="15" hidden="false" customHeight="false" outlineLevel="0" collapsed="false">
      <c r="A5782" s="0" t="s">
        <v>3118</v>
      </c>
      <c r="B5782" s="0" t="s">
        <v>84</v>
      </c>
      <c r="C5782" s="0" t="s">
        <v>85</v>
      </c>
      <c r="D5782" s="0" t="n">
        <v>7</v>
      </c>
      <c r="E5782" s="6" t="n">
        <v>40865.4458333333</v>
      </c>
      <c r="F5782" s="0" t="n">
        <v>18</v>
      </c>
      <c r="G5782" s="0" t="n">
        <v>12603</v>
      </c>
      <c r="H5782" s="0" t="s">
        <v>33</v>
      </c>
      <c r="I5782" s="7" t="n">
        <f aca="false">IF(AND(LEFT(A5782,1)&lt;&gt;"C",D5782&gt;0,F5782&gt;0),1,0)</f>
        <v>1</v>
      </c>
      <c r="J5782" s="7" t="n">
        <f aca="false">IF(I5782=1,D5782*F5782,0)</f>
        <v>126</v>
      </c>
      <c r="K5782" s="7" t="n">
        <f aca="false">YEAR(E5782)*100+MONTH(E5782)</f>
        <v>201111</v>
      </c>
      <c r="L5782" s="7" t="n">
        <f aca="false">IF(AND(A5782&lt;&gt;A5781,LEFT(A5782,1)&lt;&gt;"C"),1,0)</f>
        <v>0</v>
      </c>
    </row>
    <row r="5783" customFormat="false" ht="15" hidden="false" customHeight="false" outlineLevel="0" collapsed="false">
      <c r="A5783" s="0" t="s">
        <v>3118</v>
      </c>
      <c r="B5783" s="0" t="s">
        <v>2285</v>
      </c>
      <c r="C5783" s="0" t="s">
        <v>2286</v>
      </c>
      <c r="D5783" s="0" t="n">
        <v>1</v>
      </c>
      <c r="E5783" s="6" t="n">
        <v>40865.4458333333</v>
      </c>
      <c r="F5783" s="0" t="n">
        <v>0</v>
      </c>
      <c r="G5783" s="0" t="n">
        <v>12603</v>
      </c>
      <c r="H5783" s="0" t="s">
        <v>33</v>
      </c>
      <c r="I5783" s="7" t="n">
        <f aca="false">IF(AND(LEFT(A5783,1)&lt;&gt;"C",D5783&gt;0,F5783&gt;0),1,0)</f>
        <v>0</v>
      </c>
      <c r="J5783" s="7" t="n">
        <f aca="false">IF(I5783=1,D5783*F5783,0)</f>
        <v>0</v>
      </c>
      <c r="K5783" s="7" t="n">
        <f aca="false">YEAR(E5783)*100+MONTH(E5783)</f>
        <v>201111</v>
      </c>
      <c r="L5783" s="7" t="n">
        <f aca="false">IF(AND(A5783&lt;&gt;A5782,LEFT(A5783,1)&lt;&gt;"C"),1,0)</f>
        <v>0</v>
      </c>
    </row>
    <row r="5784" customFormat="false" ht="15" hidden="false" customHeight="false" outlineLevel="0" collapsed="false">
      <c r="A5784" s="0" t="s">
        <v>3119</v>
      </c>
      <c r="B5784" s="0" t="s">
        <v>941</v>
      </c>
      <c r="C5784" s="0" t="s">
        <v>942</v>
      </c>
      <c r="D5784" s="0" t="n">
        <v>24</v>
      </c>
      <c r="E5784" s="6" t="n">
        <v>40865.5319444445</v>
      </c>
      <c r="F5784" s="0" t="n">
        <v>0.55</v>
      </c>
      <c r="G5784" s="0" t="n">
        <v>12682</v>
      </c>
      <c r="H5784" s="0" t="s">
        <v>43</v>
      </c>
      <c r="I5784" s="7" t="n">
        <f aca="false">IF(AND(LEFT(A5784,1)&lt;&gt;"C",D5784&gt;0,F5784&gt;0),1,0)</f>
        <v>1</v>
      </c>
      <c r="J5784" s="7" t="n">
        <f aca="false">IF(I5784=1,D5784*F5784,0)</f>
        <v>13.2</v>
      </c>
      <c r="K5784" s="7" t="n">
        <f aca="false">YEAR(E5784)*100+MONTH(E5784)</f>
        <v>201111</v>
      </c>
      <c r="L5784" s="7" t="n">
        <f aca="false">IF(AND(A5784&lt;&gt;A5783,LEFT(A5784,1)&lt;&gt;"C"),1,0)</f>
        <v>1</v>
      </c>
    </row>
    <row r="5785" customFormat="false" ht="15" hidden="false" customHeight="false" outlineLevel="0" collapsed="false">
      <c r="A5785" s="0" t="s">
        <v>3119</v>
      </c>
      <c r="B5785" s="0" t="s">
        <v>517</v>
      </c>
      <c r="C5785" s="0" t="s">
        <v>518</v>
      </c>
      <c r="D5785" s="0" t="n">
        <v>10</v>
      </c>
      <c r="E5785" s="6" t="n">
        <v>40865.5319444445</v>
      </c>
      <c r="F5785" s="0" t="n">
        <v>2.08</v>
      </c>
      <c r="G5785" s="0" t="n">
        <v>12682</v>
      </c>
      <c r="H5785" s="0" t="s">
        <v>43</v>
      </c>
      <c r="I5785" s="7" t="n">
        <f aca="false">IF(AND(LEFT(A5785,1)&lt;&gt;"C",D5785&gt;0,F5785&gt;0),1,0)</f>
        <v>1</v>
      </c>
      <c r="J5785" s="7" t="n">
        <f aca="false">IF(I5785=1,D5785*F5785,0)</f>
        <v>20.8</v>
      </c>
      <c r="K5785" s="7" t="n">
        <f aca="false">YEAR(E5785)*100+MONTH(E5785)</f>
        <v>201111</v>
      </c>
      <c r="L5785" s="7" t="n">
        <f aca="false">IF(AND(A5785&lt;&gt;A5784,LEFT(A5785,1)&lt;&gt;"C"),1,0)</f>
        <v>0</v>
      </c>
    </row>
    <row r="5786" customFormat="false" ht="15" hidden="false" customHeight="false" outlineLevel="0" collapsed="false">
      <c r="A5786" s="0" t="s">
        <v>3119</v>
      </c>
      <c r="B5786" s="0" t="s">
        <v>64</v>
      </c>
      <c r="C5786" s="0" t="s">
        <v>65</v>
      </c>
      <c r="D5786" s="0" t="n">
        <v>24</v>
      </c>
      <c r="E5786" s="6" t="n">
        <v>40865.5319444445</v>
      </c>
      <c r="F5786" s="0" t="n">
        <v>1.65</v>
      </c>
      <c r="G5786" s="0" t="n">
        <v>12682</v>
      </c>
      <c r="H5786" s="0" t="s">
        <v>43</v>
      </c>
      <c r="I5786" s="7" t="n">
        <f aca="false">IF(AND(LEFT(A5786,1)&lt;&gt;"C",D5786&gt;0,F5786&gt;0),1,0)</f>
        <v>1</v>
      </c>
      <c r="J5786" s="7" t="n">
        <f aca="false">IF(I5786=1,D5786*F5786,0)</f>
        <v>39.6</v>
      </c>
      <c r="K5786" s="7" t="n">
        <f aca="false">YEAR(E5786)*100+MONTH(E5786)</f>
        <v>201111</v>
      </c>
      <c r="L5786" s="7" t="n">
        <f aca="false">IF(AND(A5786&lt;&gt;A5785,LEFT(A5786,1)&lt;&gt;"C"),1,0)</f>
        <v>0</v>
      </c>
    </row>
    <row r="5787" customFormat="false" ht="15" hidden="false" customHeight="false" outlineLevel="0" collapsed="false">
      <c r="A5787" s="0" t="s">
        <v>3119</v>
      </c>
      <c r="B5787" s="0" t="s">
        <v>316</v>
      </c>
      <c r="C5787" s="0" t="s">
        <v>317</v>
      </c>
      <c r="D5787" s="0" t="n">
        <v>3</v>
      </c>
      <c r="E5787" s="6" t="n">
        <v>40865.5319444445</v>
      </c>
      <c r="F5787" s="0" t="n">
        <v>4.95</v>
      </c>
      <c r="G5787" s="0" t="n">
        <v>12682</v>
      </c>
      <c r="H5787" s="0" t="s">
        <v>43</v>
      </c>
      <c r="I5787" s="7" t="n">
        <f aca="false">IF(AND(LEFT(A5787,1)&lt;&gt;"C",D5787&gt;0,F5787&gt;0),1,0)</f>
        <v>1</v>
      </c>
      <c r="J5787" s="7" t="n">
        <f aca="false">IF(I5787=1,D5787*F5787,0)</f>
        <v>14.85</v>
      </c>
      <c r="K5787" s="7" t="n">
        <f aca="false">YEAR(E5787)*100+MONTH(E5787)</f>
        <v>201111</v>
      </c>
      <c r="L5787" s="7" t="n">
        <f aca="false">IF(AND(A5787&lt;&gt;A5786,LEFT(A5787,1)&lt;&gt;"C"),1,0)</f>
        <v>0</v>
      </c>
    </row>
    <row r="5788" customFormat="false" ht="15" hidden="false" customHeight="false" outlineLevel="0" collapsed="false">
      <c r="A5788" s="0" t="s">
        <v>3119</v>
      </c>
      <c r="B5788" s="0" t="s">
        <v>324</v>
      </c>
      <c r="C5788" s="0" t="s">
        <v>325</v>
      </c>
      <c r="D5788" s="0" t="n">
        <v>4</v>
      </c>
      <c r="E5788" s="6" t="n">
        <v>40865.5319444445</v>
      </c>
      <c r="F5788" s="0" t="n">
        <v>4.95</v>
      </c>
      <c r="G5788" s="0" t="n">
        <v>12682</v>
      </c>
      <c r="H5788" s="0" t="s">
        <v>43</v>
      </c>
      <c r="I5788" s="7" t="n">
        <f aca="false">IF(AND(LEFT(A5788,1)&lt;&gt;"C",D5788&gt;0,F5788&gt;0),1,0)</f>
        <v>1</v>
      </c>
      <c r="J5788" s="7" t="n">
        <f aca="false">IF(I5788=1,D5788*F5788,0)</f>
        <v>19.8</v>
      </c>
      <c r="K5788" s="7" t="n">
        <f aca="false">YEAR(E5788)*100+MONTH(E5788)</f>
        <v>201111</v>
      </c>
      <c r="L5788" s="7" t="n">
        <f aca="false">IF(AND(A5788&lt;&gt;A5787,LEFT(A5788,1)&lt;&gt;"C"),1,0)</f>
        <v>0</v>
      </c>
    </row>
    <row r="5789" customFormat="false" ht="15" hidden="false" customHeight="false" outlineLevel="0" collapsed="false">
      <c r="A5789" s="0" t="s">
        <v>3119</v>
      </c>
      <c r="B5789" s="0" t="s">
        <v>1149</v>
      </c>
      <c r="C5789" s="0" t="s">
        <v>1150</v>
      </c>
      <c r="D5789" s="0" t="n">
        <v>6</v>
      </c>
      <c r="E5789" s="6" t="n">
        <v>40865.5319444445</v>
      </c>
      <c r="F5789" s="0" t="n">
        <v>5.95</v>
      </c>
      <c r="G5789" s="0" t="n">
        <v>12682</v>
      </c>
      <c r="H5789" s="0" t="s">
        <v>43</v>
      </c>
      <c r="I5789" s="7" t="n">
        <f aca="false">IF(AND(LEFT(A5789,1)&lt;&gt;"C",D5789&gt;0,F5789&gt;0),1,0)</f>
        <v>1</v>
      </c>
      <c r="J5789" s="7" t="n">
        <f aca="false">IF(I5789=1,D5789*F5789,0)</f>
        <v>35.7</v>
      </c>
      <c r="K5789" s="7" t="n">
        <f aca="false">YEAR(E5789)*100+MONTH(E5789)</f>
        <v>201111</v>
      </c>
      <c r="L5789" s="7" t="n">
        <f aca="false">IF(AND(A5789&lt;&gt;A5788,LEFT(A5789,1)&lt;&gt;"C"),1,0)</f>
        <v>0</v>
      </c>
    </row>
    <row r="5790" customFormat="false" ht="15" hidden="false" customHeight="false" outlineLevel="0" collapsed="false">
      <c r="A5790" s="0" t="s">
        <v>3119</v>
      </c>
      <c r="B5790" s="0" t="s">
        <v>958</v>
      </c>
      <c r="C5790" s="0" t="s">
        <v>959</v>
      </c>
      <c r="D5790" s="0" t="n">
        <v>3</v>
      </c>
      <c r="E5790" s="6" t="n">
        <v>40865.5319444445</v>
      </c>
      <c r="F5790" s="0" t="n">
        <v>5.95</v>
      </c>
      <c r="G5790" s="0" t="n">
        <v>12682</v>
      </c>
      <c r="H5790" s="0" t="s">
        <v>43</v>
      </c>
      <c r="I5790" s="7" t="n">
        <f aca="false">IF(AND(LEFT(A5790,1)&lt;&gt;"C",D5790&gt;0,F5790&gt;0),1,0)</f>
        <v>1</v>
      </c>
      <c r="J5790" s="7" t="n">
        <f aca="false">IF(I5790=1,D5790*F5790,0)</f>
        <v>17.85</v>
      </c>
      <c r="K5790" s="7" t="n">
        <f aca="false">YEAR(E5790)*100+MONTH(E5790)</f>
        <v>201111</v>
      </c>
      <c r="L5790" s="7" t="n">
        <f aca="false">IF(AND(A5790&lt;&gt;A5789,LEFT(A5790,1)&lt;&gt;"C"),1,0)</f>
        <v>0</v>
      </c>
    </row>
    <row r="5791" customFormat="false" ht="15" hidden="false" customHeight="false" outlineLevel="0" collapsed="false">
      <c r="A5791" s="0" t="s">
        <v>3119</v>
      </c>
      <c r="B5791" s="0" t="s">
        <v>2573</v>
      </c>
      <c r="C5791" s="0" t="s">
        <v>2574</v>
      </c>
      <c r="D5791" s="0" t="n">
        <v>8</v>
      </c>
      <c r="E5791" s="6" t="n">
        <v>40865.5319444445</v>
      </c>
      <c r="F5791" s="0" t="n">
        <v>3.75</v>
      </c>
      <c r="G5791" s="0" t="n">
        <v>12682</v>
      </c>
      <c r="H5791" s="0" t="s">
        <v>43</v>
      </c>
      <c r="I5791" s="7" t="n">
        <f aca="false">IF(AND(LEFT(A5791,1)&lt;&gt;"C",D5791&gt;0,F5791&gt;0),1,0)</f>
        <v>1</v>
      </c>
      <c r="J5791" s="7" t="n">
        <f aca="false">IF(I5791=1,D5791*F5791,0)</f>
        <v>30</v>
      </c>
      <c r="K5791" s="7" t="n">
        <f aca="false">YEAR(E5791)*100+MONTH(E5791)</f>
        <v>201111</v>
      </c>
      <c r="L5791" s="7" t="n">
        <f aca="false">IF(AND(A5791&lt;&gt;A5790,LEFT(A5791,1)&lt;&gt;"C"),1,0)</f>
        <v>0</v>
      </c>
    </row>
    <row r="5792" customFormat="false" ht="15" hidden="false" customHeight="false" outlineLevel="0" collapsed="false">
      <c r="A5792" s="0" t="s">
        <v>3119</v>
      </c>
      <c r="B5792" s="0" t="s">
        <v>62</v>
      </c>
      <c r="C5792" s="0" t="s">
        <v>63</v>
      </c>
      <c r="D5792" s="0" t="n">
        <v>72</v>
      </c>
      <c r="E5792" s="6" t="n">
        <v>40865.5319444445</v>
      </c>
      <c r="F5792" s="0" t="n">
        <v>1.79</v>
      </c>
      <c r="G5792" s="0" t="n">
        <v>12682</v>
      </c>
      <c r="H5792" s="0" t="s">
        <v>43</v>
      </c>
      <c r="I5792" s="7" t="n">
        <f aca="false">IF(AND(LEFT(A5792,1)&lt;&gt;"C",D5792&gt;0,F5792&gt;0),1,0)</f>
        <v>1</v>
      </c>
      <c r="J5792" s="7" t="n">
        <f aca="false">IF(I5792=1,D5792*F5792,0)</f>
        <v>128.88</v>
      </c>
      <c r="K5792" s="7" t="n">
        <f aca="false">YEAR(E5792)*100+MONTH(E5792)</f>
        <v>201111</v>
      </c>
      <c r="L5792" s="7" t="n">
        <f aca="false">IF(AND(A5792&lt;&gt;A5791,LEFT(A5792,1)&lt;&gt;"C"),1,0)</f>
        <v>0</v>
      </c>
    </row>
    <row r="5793" customFormat="false" ht="15" hidden="false" customHeight="false" outlineLevel="0" collapsed="false">
      <c r="A5793" s="0" t="s">
        <v>3119</v>
      </c>
      <c r="B5793" s="0" t="s">
        <v>84</v>
      </c>
      <c r="C5793" s="0" t="s">
        <v>85</v>
      </c>
      <c r="D5793" s="0" t="n">
        <v>3</v>
      </c>
      <c r="E5793" s="6" t="n">
        <v>40865.5319444445</v>
      </c>
      <c r="F5793" s="0" t="n">
        <v>18</v>
      </c>
      <c r="G5793" s="0" t="n">
        <v>12682</v>
      </c>
      <c r="H5793" s="0" t="s">
        <v>43</v>
      </c>
      <c r="I5793" s="7" t="n">
        <f aca="false">IF(AND(LEFT(A5793,1)&lt;&gt;"C",D5793&gt;0,F5793&gt;0),1,0)</f>
        <v>1</v>
      </c>
      <c r="J5793" s="7" t="n">
        <f aca="false">IF(I5793=1,D5793*F5793,0)</f>
        <v>54</v>
      </c>
      <c r="K5793" s="7" t="n">
        <f aca="false">YEAR(E5793)*100+MONTH(E5793)</f>
        <v>201111</v>
      </c>
      <c r="L5793" s="7" t="n">
        <f aca="false">IF(AND(A5793&lt;&gt;A5792,LEFT(A5793,1)&lt;&gt;"C"),1,0)</f>
        <v>0</v>
      </c>
    </row>
    <row r="5794" customFormat="false" ht="15" hidden="false" customHeight="false" outlineLevel="0" collapsed="false">
      <c r="A5794" s="0" t="s">
        <v>3120</v>
      </c>
      <c r="B5794" s="0" t="s">
        <v>794</v>
      </c>
      <c r="C5794" s="0" t="s">
        <v>795</v>
      </c>
      <c r="D5794" s="0" t="n">
        <v>10</v>
      </c>
      <c r="E5794" s="6" t="n">
        <v>40865.5361111111</v>
      </c>
      <c r="F5794" s="0" t="n">
        <v>0.85</v>
      </c>
      <c r="G5794" s="0" t="n">
        <v>12498</v>
      </c>
      <c r="H5794" s="0" t="s">
        <v>33</v>
      </c>
      <c r="I5794" s="7" t="n">
        <f aca="false">IF(AND(LEFT(A5794,1)&lt;&gt;"C",D5794&gt;0,F5794&gt;0),1,0)</f>
        <v>1</v>
      </c>
      <c r="J5794" s="7" t="n">
        <f aca="false">IF(I5794=1,D5794*F5794,0)</f>
        <v>8.5</v>
      </c>
      <c r="K5794" s="7" t="n">
        <f aca="false">YEAR(E5794)*100+MONTH(E5794)</f>
        <v>201111</v>
      </c>
      <c r="L5794" s="7" t="n">
        <f aca="false">IF(AND(A5794&lt;&gt;A5793,LEFT(A5794,1)&lt;&gt;"C"),1,0)</f>
        <v>1</v>
      </c>
    </row>
    <row r="5795" customFormat="false" ht="15" hidden="false" customHeight="false" outlineLevel="0" collapsed="false">
      <c r="A5795" s="0" t="s">
        <v>3120</v>
      </c>
      <c r="B5795" s="0" t="s">
        <v>627</v>
      </c>
      <c r="C5795" s="0" t="s">
        <v>628</v>
      </c>
      <c r="D5795" s="0" t="n">
        <v>10</v>
      </c>
      <c r="E5795" s="6" t="n">
        <v>40865.5361111111</v>
      </c>
      <c r="F5795" s="0" t="n">
        <v>0.85</v>
      </c>
      <c r="G5795" s="0" t="n">
        <v>12498</v>
      </c>
      <c r="H5795" s="0" t="s">
        <v>33</v>
      </c>
      <c r="I5795" s="7" t="n">
        <f aca="false">IF(AND(LEFT(A5795,1)&lt;&gt;"C",D5795&gt;0,F5795&gt;0),1,0)</f>
        <v>1</v>
      </c>
      <c r="J5795" s="7" t="n">
        <f aca="false">IF(I5795=1,D5795*F5795,0)</f>
        <v>8.5</v>
      </c>
      <c r="K5795" s="7" t="n">
        <f aca="false">YEAR(E5795)*100+MONTH(E5795)</f>
        <v>201111</v>
      </c>
      <c r="L5795" s="7" t="n">
        <f aca="false">IF(AND(A5795&lt;&gt;A5794,LEFT(A5795,1)&lt;&gt;"C"),1,0)</f>
        <v>0</v>
      </c>
    </row>
    <row r="5796" customFormat="false" ht="15" hidden="false" customHeight="false" outlineLevel="0" collapsed="false">
      <c r="A5796" s="0" t="s">
        <v>3120</v>
      </c>
      <c r="B5796" s="0" t="s">
        <v>1090</v>
      </c>
      <c r="C5796" s="0" t="s">
        <v>1091</v>
      </c>
      <c r="D5796" s="0" t="n">
        <v>10</v>
      </c>
      <c r="E5796" s="6" t="n">
        <v>40865.5361111111</v>
      </c>
      <c r="F5796" s="0" t="n">
        <v>0.85</v>
      </c>
      <c r="G5796" s="0" t="n">
        <v>12498</v>
      </c>
      <c r="H5796" s="0" t="s">
        <v>33</v>
      </c>
      <c r="I5796" s="7" t="n">
        <f aca="false">IF(AND(LEFT(A5796,1)&lt;&gt;"C",D5796&gt;0,F5796&gt;0),1,0)</f>
        <v>1</v>
      </c>
      <c r="J5796" s="7" t="n">
        <f aca="false">IF(I5796=1,D5796*F5796,0)</f>
        <v>8.5</v>
      </c>
      <c r="K5796" s="7" t="n">
        <f aca="false">YEAR(E5796)*100+MONTH(E5796)</f>
        <v>201111</v>
      </c>
      <c r="L5796" s="7" t="n">
        <f aca="false">IF(AND(A5796&lt;&gt;A5795,LEFT(A5796,1)&lt;&gt;"C"),1,0)</f>
        <v>0</v>
      </c>
    </row>
    <row r="5797" customFormat="false" ht="15" hidden="false" customHeight="false" outlineLevel="0" collapsed="false">
      <c r="A5797" s="0" t="s">
        <v>3120</v>
      </c>
      <c r="B5797" s="0" t="s">
        <v>78</v>
      </c>
      <c r="C5797" s="0" t="s">
        <v>79</v>
      </c>
      <c r="D5797" s="0" t="n">
        <v>10</v>
      </c>
      <c r="E5797" s="6" t="n">
        <v>40865.5361111111</v>
      </c>
      <c r="F5797" s="0" t="n">
        <v>1.65</v>
      </c>
      <c r="G5797" s="0" t="n">
        <v>12498</v>
      </c>
      <c r="H5797" s="0" t="s">
        <v>33</v>
      </c>
      <c r="I5797" s="7" t="n">
        <f aca="false">IF(AND(LEFT(A5797,1)&lt;&gt;"C",D5797&gt;0,F5797&gt;0),1,0)</f>
        <v>1</v>
      </c>
      <c r="J5797" s="7" t="n">
        <f aca="false">IF(I5797=1,D5797*F5797,0)</f>
        <v>16.5</v>
      </c>
      <c r="K5797" s="7" t="n">
        <f aca="false">YEAR(E5797)*100+MONTH(E5797)</f>
        <v>201111</v>
      </c>
      <c r="L5797" s="7" t="n">
        <f aca="false">IF(AND(A5797&lt;&gt;A5796,LEFT(A5797,1)&lt;&gt;"C"),1,0)</f>
        <v>0</v>
      </c>
    </row>
    <row r="5798" customFormat="false" ht="15" hidden="false" customHeight="false" outlineLevel="0" collapsed="false">
      <c r="A5798" s="0" t="s">
        <v>3120</v>
      </c>
      <c r="B5798" s="0" t="s">
        <v>70</v>
      </c>
      <c r="C5798" s="0" t="s">
        <v>71</v>
      </c>
      <c r="D5798" s="0" t="n">
        <v>10</v>
      </c>
      <c r="E5798" s="6" t="n">
        <v>40865.5361111111</v>
      </c>
      <c r="F5798" s="0" t="n">
        <v>1.65</v>
      </c>
      <c r="G5798" s="0" t="n">
        <v>12498</v>
      </c>
      <c r="H5798" s="0" t="s">
        <v>33</v>
      </c>
      <c r="I5798" s="7" t="n">
        <f aca="false">IF(AND(LEFT(A5798,1)&lt;&gt;"C",D5798&gt;0,F5798&gt;0),1,0)</f>
        <v>1</v>
      </c>
      <c r="J5798" s="7" t="n">
        <f aca="false">IF(I5798=1,D5798*F5798,0)</f>
        <v>16.5</v>
      </c>
      <c r="K5798" s="7" t="n">
        <f aca="false">YEAR(E5798)*100+MONTH(E5798)</f>
        <v>201111</v>
      </c>
      <c r="L5798" s="7" t="n">
        <f aca="false">IF(AND(A5798&lt;&gt;A5797,LEFT(A5798,1)&lt;&gt;"C"),1,0)</f>
        <v>0</v>
      </c>
    </row>
    <row r="5799" customFormat="false" ht="15" hidden="false" customHeight="false" outlineLevel="0" collapsed="false">
      <c r="A5799" s="0" t="s">
        <v>3120</v>
      </c>
      <c r="B5799" s="0" t="s">
        <v>121</v>
      </c>
      <c r="C5799" s="0" t="s">
        <v>122</v>
      </c>
      <c r="D5799" s="0" t="n">
        <v>10</v>
      </c>
      <c r="E5799" s="6" t="n">
        <v>40865.5361111111</v>
      </c>
      <c r="F5799" s="0" t="n">
        <v>1.65</v>
      </c>
      <c r="G5799" s="0" t="n">
        <v>12498</v>
      </c>
      <c r="H5799" s="0" t="s">
        <v>33</v>
      </c>
      <c r="I5799" s="7" t="n">
        <f aca="false">IF(AND(LEFT(A5799,1)&lt;&gt;"C",D5799&gt;0,F5799&gt;0),1,0)</f>
        <v>1</v>
      </c>
      <c r="J5799" s="7" t="n">
        <f aca="false">IF(I5799=1,D5799*F5799,0)</f>
        <v>16.5</v>
      </c>
      <c r="K5799" s="7" t="n">
        <f aca="false">YEAR(E5799)*100+MONTH(E5799)</f>
        <v>201111</v>
      </c>
      <c r="L5799" s="7" t="n">
        <f aca="false">IF(AND(A5799&lt;&gt;A5798,LEFT(A5799,1)&lt;&gt;"C"),1,0)</f>
        <v>0</v>
      </c>
    </row>
    <row r="5800" customFormat="false" ht="15" hidden="false" customHeight="false" outlineLevel="0" collapsed="false">
      <c r="A5800" s="0" t="s">
        <v>3120</v>
      </c>
      <c r="B5800" s="0" t="s">
        <v>1210</v>
      </c>
      <c r="C5800" s="0" t="s">
        <v>1211</v>
      </c>
      <c r="D5800" s="0" t="n">
        <v>20</v>
      </c>
      <c r="E5800" s="6" t="n">
        <v>40865.5361111111</v>
      </c>
      <c r="F5800" s="0" t="n">
        <v>1.65</v>
      </c>
      <c r="G5800" s="0" t="n">
        <v>12498</v>
      </c>
      <c r="H5800" s="0" t="s">
        <v>33</v>
      </c>
      <c r="I5800" s="7" t="n">
        <f aca="false">IF(AND(LEFT(A5800,1)&lt;&gt;"C",D5800&gt;0,F5800&gt;0),1,0)</f>
        <v>1</v>
      </c>
      <c r="J5800" s="7" t="n">
        <f aca="false">IF(I5800=1,D5800*F5800,0)</f>
        <v>33</v>
      </c>
      <c r="K5800" s="7" t="n">
        <f aca="false">YEAR(E5800)*100+MONTH(E5800)</f>
        <v>201111</v>
      </c>
      <c r="L5800" s="7" t="n">
        <f aca="false">IF(AND(A5800&lt;&gt;A5799,LEFT(A5800,1)&lt;&gt;"C"),1,0)</f>
        <v>0</v>
      </c>
    </row>
    <row r="5801" customFormat="false" ht="15" hidden="false" customHeight="false" outlineLevel="0" collapsed="false">
      <c r="A5801" s="0" t="s">
        <v>3120</v>
      </c>
      <c r="B5801" s="0" t="s">
        <v>84</v>
      </c>
      <c r="C5801" s="0" t="s">
        <v>85</v>
      </c>
      <c r="D5801" s="0" t="n">
        <v>1</v>
      </c>
      <c r="E5801" s="6" t="n">
        <v>40865.5361111111</v>
      </c>
      <c r="F5801" s="0" t="n">
        <v>18</v>
      </c>
      <c r="G5801" s="0" t="n">
        <v>12498</v>
      </c>
      <c r="H5801" s="0" t="s">
        <v>33</v>
      </c>
      <c r="I5801" s="7" t="n">
        <f aca="false">IF(AND(LEFT(A5801,1)&lt;&gt;"C",D5801&gt;0,F5801&gt;0),1,0)</f>
        <v>1</v>
      </c>
      <c r="J5801" s="7" t="n">
        <f aca="false">IF(I5801=1,D5801*F5801,0)</f>
        <v>18</v>
      </c>
      <c r="K5801" s="7" t="n">
        <f aca="false">YEAR(E5801)*100+MONTH(E5801)</f>
        <v>201111</v>
      </c>
      <c r="L5801" s="7" t="n">
        <f aca="false">IF(AND(A5801&lt;&gt;A5800,LEFT(A5801,1)&lt;&gt;"C"),1,0)</f>
        <v>0</v>
      </c>
    </row>
    <row r="5802" customFormat="false" ht="15" hidden="false" customHeight="false" outlineLevel="0" collapsed="false">
      <c r="A5802" s="0" t="s">
        <v>3121</v>
      </c>
      <c r="B5802" s="0" t="s">
        <v>1432</v>
      </c>
      <c r="C5802" s="0" t="s">
        <v>1433</v>
      </c>
      <c r="D5802" s="0" t="n">
        <v>6</v>
      </c>
      <c r="E5802" s="6" t="n">
        <v>40865.5368055556</v>
      </c>
      <c r="F5802" s="0" t="n">
        <v>2.95</v>
      </c>
      <c r="G5802" s="0" t="n">
        <v>12498</v>
      </c>
      <c r="H5802" s="0" t="s">
        <v>33</v>
      </c>
      <c r="I5802" s="7" t="n">
        <f aca="false">IF(AND(LEFT(A5802,1)&lt;&gt;"C",D5802&gt;0,F5802&gt;0),1,0)</f>
        <v>1</v>
      </c>
      <c r="J5802" s="7" t="n">
        <f aca="false">IF(I5802=1,D5802*F5802,0)</f>
        <v>17.7</v>
      </c>
      <c r="K5802" s="7" t="n">
        <f aca="false">YEAR(E5802)*100+MONTH(E5802)</f>
        <v>201111</v>
      </c>
      <c r="L5802" s="7" t="n">
        <f aca="false">IF(AND(A5802&lt;&gt;A5801,LEFT(A5802,1)&lt;&gt;"C"),1,0)</f>
        <v>1</v>
      </c>
    </row>
    <row r="5803" customFormat="false" ht="15" hidden="false" customHeight="false" outlineLevel="0" collapsed="false">
      <c r="A5803" s="0" t="s">
        <v>3121</v>
      </c>
      <c r="B5803" s="0" t="s">
        <v>3122</v>
      </c>
      <c r="C5803" s="0" t="s">
        <v>3123</v>
      </c>
      <c r="D5803" s="0" t="n">
        <v>3</v>
      </c>
      <c r="E5803" s="6" t="n">
        <v>40865.5368055556</v>
      </c>
      <c r="F5803" s="0" t="n">
        <v>4.25</v>
      </c>
      <c r="G5803" s="0" t="n">
        <v>12498</v>
      </c>
      <c r="H5803" s="0" t="s">
        <v>33</v>
      </c>
      <c r="I5803" s="7" t="n">
        <f aca="false">IF(AND(LEFT(A5803,1)&lt;&gt;"C",D5803&gt;0,F5803&gt;0),1,0)</f>
        <v>1</v>
      </c>
      <c r="J5803" s="7" t="n">
        <f aca="false">IF(I5803=1,D5803*F5803,0)</f>
        <v>12.75</v>
      </c>
      <c r="K5803" s="7" t="n">
        <f aca="false">YEAR(E5803)*100+MONTH(E5803)</f>
        <v>201111</v>
      </c>
      <c r="L5803" s="7" t="n">
        <f aca="false">IF(AND(A5803&lt;&gt;A5802,LEFT(A5803,1)&lt;&gt;"C"),1,0)</f>
        <v>0</v>
      </c>
    </row>
    <row r="5804" customFormat="false" ht="15" hidden="false" customHeight="false" outlineLevel="0" collapsed="false">
      <c r="A5804" s="0" t="s">
        <v>3124</v>
      </c>
      <c r="B5804" s="0" t="s">
        <v>1629</v>
      </c>
      <c r="C5804" s="0" t="s">
        <v>1630</v>
      </c>
      <c r="D5804" s="0" t="n">
        <v>3</v>
      </c>
      <c r="E5804" s="6" t="n">
        <v>40865.6347222222</v>
      </c>
      <c r="F5804" s="0" t="n">
        <v>12.75</v>
      </c>
      <c r="G5804" s="0" t="n">
        <v>12437</v>
      </c>
      <c r="H5804" s="0" t="s">
        <v>43</v>
      </c>
      <c r="I5804" s="7" t="n">
        <f aca="false">IF(AND(LEFT(A5804,1)&lt;&gt;"C",D5804&gt;0,F5804&gt;0),1,0)</f>
        <v>1</v>
      </c>
      <c r="J5804" s="7" t="n">
        <f aca="false">IF(I5804=1,D5804*F5804,0)</f>
        <v>38.25</v>
      </c>
      <c r="K5804" s="7" t="n">
        <f aca="false">YEAR(E5804)*100+MONTH(E5804)</f>
        <v>201111</v>
      </c>
      <c r="L5804" s="7" t="n">
        <f aca="false">IF(AND(A5804&lt;&gt;A5803,LEFT(A5804,1)&lt;&gt;"C"),1,0)</f>
        <v>1</v>
      </c>
    </row>
    <row r="5805" customFormat="false" ht="15" hidden="false" customHeight="false" outlineLevel="0" collapsed="false">
      <c r="A5805" s="0" t="s">
        <v>3124</v>
      </c>
      <c r="B5805" s="0" t="s">
        <v>151</v>
      </c>
      <c r="C5805" s="0" t="s">
        <v>152</v>
      </c>
      <c r="D5805" s="0" t="n">
        <v>12</v>
      </c>
      <c r="E5805" s="6" t="n">
        <v>40865.6347222222</v>
      </c>
      <c r="F5805" s="0" t="n">
        <v>0.85</v>
      </c>
      <c r="G5805" s="0" t="n">
        <v>12437</v>
      </c>
      <c r="H5805" s="0" t="s">
        <v>43</v>
      </c>
      <c r="I5805" s="7" t="n">
        <f aca="false">IF(AND(LEFT(A5805,1)&lt;&gt;"C",D5805&gt;0,F5805&gt;0),1,0)</f>
        <v>1</v>
      </c>
      <c r="J5805" s="7" t="n">
        <f aca="false">IF(I5805=1,D5805*F5805,0)</f>
        <v>10.2</v>
      </c>
      <c r="K5805" s="7" t="n">
        <f aca="false">YEAR(E5805)*100+MONTH(E5805)</f>
        <v>201111</v>
      </c>
      <c r="L5805" s="7" t="n">
        <f aca="false">IF(AND(A5805&lt;&gt;A5804,LEFT(A5805,1)&lt;&gt;"C"),1,0)</f>
        <v>0</v>
      </c>
    </row>
    <row r="5806" customFormat="false" ht="15" hidden="false" customHeight="false" outlineLevel="0" collapsed="false">
      <c r="A5806" s="0" t="s">
        <v>3124</v>
      </c>
      <c r="B5806" s="0" t="s">
        <v>1686</v>
      </c>
      <c r="C5806" s="0" t="s">
        <v>1687</v>
      </c>
      <c r="D5806" s="0" t="n">
        <v>12</v>
      </c>
      <c r="E5806" s="6" t="n">
        <v>40865.6347222222</v>
      </c>
      <c r="F5806" s="0" t="n">
        <v>0.85</v>
      </c>
      <c r="G5806" s="0" t="n">
        <v>12437</v>
      </c>
      <c r="H5806" s="0" t="s">
        <v>43</v>
      </c>
      <c r="I5806" s="7" t="n">
        <f aca="false">IF(AND(LEFT(A5806,1)&lt;&gt;"C",D5806&gt;0,F5806&gt;0),1,0)</f>
        <v>1</v>
      </c>
      <c r="J5806" s="7" t="n">
        <f aca="false">IF(I5806=1,D5806*F5806,0)</f>
        <v>10.2</v>
      </c>
      <c r="K5806" s="7" t="n">
        <f aca="false">YEAR(E5806)*100+MONTH(E5806)</f>
        <v>201111</v>
      </c>
      <c r="L5806" s="7" t="n">
        <f aca="false">IF(AND(A5806&lt;&gt;A5805,LEFT(A5806,1)&lt;&gt;"C"),1,0)</f>
        <v>0</v>
      </c>
    </row>
    <row r="5807" customFormat="false" ht="15" hidden="false" customHeight="false" outlineLevel="0" collapsed="false">
      <c r="A5807" s="0" t="s">
        <v>3124</v>
      </c>
      <c r="B5807" s="0" t="s">
        <v>131</v>
      </c>
      <c r="C5807" s="0" t="s">
        <v>132</v>
      </c>
      <c r="D5807" s="0" t="n">
        <v>8</v>
      </c>
      <c r="E5807" s="6" t="n">
        <v>40865.6347222222</v>
      </c>
      <c r="F5807" s="0" t="n">
        <v>1.65</v>
      </c>
      <c r="G5807" s="0" t="n">
        <v>12437</v>
      </c>
      <c r="H5807" s="0" t="s">
        <v>43</v>
      </c>
      <c r="I5807" s="7" t="n">
        <f aca="false">IF(AND(LEFT(A5807,1)&lt;&gt;"C",D5807&gt;0,F5807&gt;0),1,0)</f>
        <v>1</v>
      </c>
      <c r="J5807" s="7" t="n">
        <f aca="false">IF(I5807=1,D5807*F5807,0)</f>
        <v>13.2</v>
      </c>
      <c r="K5807" s="7" t="n">
        <f aca="false">YEAR(E5807)*100+MONTH(E5807)</f>
        <v>201111</v>
      </c>
      <c r="L5807" s="7" t="n">
        <f aca="false">IF(AND(A5807&lt;&gt;A5806,LEFT(A5807,1)&lt;&gt;"C"),1,0)</f>
        <v>0</v>
      </c>
    </row>
    <row r="5808" customFormat="false" ht="15" hidden="false" customHeight="false" outlineLevel="0" collapsed="false">
      <c r="A5808" s="0" t="s">
        <v>3124</v>
      </c>
      <c r="B5808" s="0" t="s">
        <v>643</v>
      </c>
      <c r="C5808" s="0" t="s">
        <v>644</v>
      </c>
      <c r="D5808" s="0" t="n">
        <v>6</v>
      </c>
      <c r="E5808" s="6" t="n">
        <v>40865.6347222222</v>
      </c>
      <c r="F5808" s="0" t="n">
        <v>3.75</v>
      </c>
      <c r="G5808" s="0" t="n">
        <v>12437</v>
      </c>
      <c r="H5808" s="0" t="s">
        <v>43</v>
      </c>
      <c r="I5808" s="7" t="n">
        <f aca="false">IF(AND(LEFT(A5808,1)&lt;&gt;"C",D5808&gt;0,F5808&gt;0),1,0)</f>
        <v>1</v>
      </c>
      <c r="J5808" s="7" t="n">
        <f aca="false">IF(I5808=1,D5808*F5808,0)</f>
        <v>22.5</v>
      </c>
      <c r="K5808" s="7" t="n">
        <f aca="false">YEAR(E5808)*100+MONTH(E5808)</f>
        <v>201111</v>
      </c>
      <c r="L5808" s="7" t="n">
        <f aca="false">IF(AND(A5808&lt;&gt;A5807,LEFT(A5808,1)&lt;&gt;"C"),1,0)</f>
        <v>0</v>
      </c>
    </row>
    <row r="5809" customFormat="false" ht="15" hidden="false" customHeight="false" outlineLevel="0" collapsed="false">
      <c r="A5809" s="0" t="s">
        <v>3124</v>
      </c>
      <c r="B5809" s="0" t="s">
        <v>1336</v>
      </c>
      <c r="C5809" s="0" t="s">
        <v>1337</v>
      </c>
      <c r="D5809" s="0" t="n">
        <v>24</v>
      </c>
      <c r="E5809" s="6" t="n">
        <v>40865.6347222222</v>
      </c>
      <c r="F5809" s="0" t="n">
        <v>1.25</v>
      </c>
      <c r="G5809" s="0" t="n">
        <v>12437</v>
      </c>
      <c r="H5809" s="0" t="s">
        <v>43</v>
      </c>
      <c r="I5809" s="7" t="n">
        <f aca="false">IF(AND(LEFT(A5809,1)&lt;&gt;"C",D5809&gt;0,F5809&gt;0),1,0)</f>
        <v>1</v>
      </c>
      <c r="J5809" s="7" t="n">
        <f aca="false">IF(I5809=1,D5809*F5809,0)</f>
        <v>30</v>
      </c>
      <c r="K5809" s="7" t="n">
        <f aca="false">YEAR(E5809)*100+MONTH(E5809)</f>
        <v>201111</v>
      </c>
      <c r="L5809" s="7" t="n">
        <f aca="false">IF(AND(A5809&lt;&gt;A5808,LEFT(A5809,1)&lt;&gt;"C"),1,0)</f>
        <v>0</v>
      </c>
    </row>
    <row r="5810" customFormat="false" ht="15" hidden="false" customHeight="false" outlineLevel="0" collapsed="false">
      <c r="A5810" s="0" t="s">
        <v>3124</v>
      </c>
      <c r="B5810" s="0" t="s">
        <v>157</v>
      </c>
      <c r="C5810" s="0" t="s">
        <v>158</v>
      </c>
      <c r="D5810" s="0" t="n">
        <v>12</v>
      </c>
      <c r="E5810" s="6" t="n">
        <v>40865.6347222222</v>
      </c>
      <c r="F5810" s="0" t="n">
        <v>0.65</v>
      </c>
      <c r="G5810" s="0" t="n">
        <v>12437</v>
      </c>
      <c r="H5810" s="0" t="s">
        <v>43</v>
      </c>
      <c r="I5810" s="7" t="n">
        <f aca="false">IF(AND(LEFT(A5810,1)&lt;&gt;"C",D5810&gt;0,F5810&gt;0),1,0)</f>
        <v>1</v>
      </c>
      <c r="J5810" s="7" t="n">
        <f aca="false">IF(I5810=1,D5810*F5810,0)</f>
        <v>7.8</v>
      </c>
      <c r="K5810" s="7" t="n">
        <f aca="false">YEAR(E5810)*100+MONTH(E5810)</f>
        <v>201111</v>
      </c>
      <c r="L5810" s="7" t="n">
        <f aca="false">IF(AND(A5810&lt;&gt;A5809,LEFT(A5810,1)&lt;&gt;"C"),1,0)</f>
        <v>0</v>
      </c>
    </row>
    <row r="5811" customFormat="false" ht="15" hidden="false" customHeight="false" outlineLevel="0" collapsed="false">
      <c r="A5811" s="0" t="s">
        <v>3124</v>
      </c>
      <c r="B5811" s="0" t="s">
        <v>199</v>
      </c>
      <c r="C5811" s="0" t="s">
        <v>200</v>
      </c>
      <c r="D5811" s="0" t="n">
        <v>12</v>
      </c>
      <c r="E5811" s="6" t="n">
        <v>40865.6347222222</v>
      </c>
      <c r="F5811" s="0" t="n">
        <v>0.85</v>
      </c>
      <c r="G5811" s="0" t="n">
        <v>12437</v>
      </c>
      <c r="H5811" s="0" t="s">
        <v>43</v>
      </c>
      <c r="I5811" s="7" t="n">
        <f aca="false">IF(AND(LEFT(A5811,1)&lt;&gt;"C",D5811&gt;0,F5811&gt;0),1,0)</f>
        <v>1</v>
      </c>
      <c r="J5811" s="7" t="n">
        <f aca="false">IF(I5811=1,D5811*F5811,0)</f>
        <v>10.2</v>
      </c>
      <c r="K5811" s="7" t="n">
        <f aca="false">YEAR(E5811)*100+MONTH(E5811)</f>
        <v>201111</v>
      </c>
      <c r="L5811" s="7" t="n">
        <f aca="false">IF(AND(A5811&lt;&gt;A5810,LEFT(A5811,1)&lt;&gt;"C"),1,0)</f>
        <v>0</v>
      </c>
    </row>
    <row r="5812" customFormat="false" ht="15" hidden="false" customHeight="false" outlineLevel="0" collapsed="false">
      <c r="A5812" s="0" t="s">
        <v>3124</v>
      </c>
      <c r="B5812" s="0" t="s">
        <v>148</v>
      </c>
      <c r="C5812" s="0" t="s">
        <v>149</v>
      </c>
      <c r="D5812" s="0" t="n">
        <v>3</v>
      </c>
      <c r="E5812" s="6" t="n">
        <v>40865.6347222222</v>
      </c>
      <c r="F5812" s="0" t="n">
        <v>12.75</v>
      </c>
      <c r="G5812" s="0" t="n">
        <v>12437</v>
      </c>
      <c r="H5812" s="0" t="s">
        <v>43</v>
      </c>
      <c r="I5812" s="7" t="n">
        <f aca="false">IF(AND(LEFT(A5812,1)&lt;&gt;"C",D5812&gt;0,F5812&gt;0),1,0)</f>
        <v>1</v>
      </c>
      <c r="J5812" s="7" t="n">
        <f aca="false">IF(I5812=1,D5812*F5812,0)</f>
        <v>38.25</v>
      </c>
      <c r="K5812" s="7" t="n">
        <f aca="false">YEAR(E5812)*100+MONTH(E5812)</f>
        <v>201111</v>
      </c>
      <c r="L5812" s="7" t="n">
        <f aca="false">IF(AND(A5812&lt;&gt;A5811,LEFT(A5812,1)&lt;&gt;"C"),1,0)</f>
        <v>0</v>
      </c>
    </row>
    <row r="5813" customFormat="false" ht="15" hidden="false" customHeight="false" outlineLevel="0" collapsed="false">
      <c r="A5813" s="0" t="s">
        <v>3124</v>
      </c>
      <c r="B5813" s="0" t="s">
        <v>84</v>
      </c>
      <c r="C5813" s="0" t="s">
        <v>85</v>
      </c>
      <c r="D5813" s="0" t="n">
        <v>1</v>
      </c>
      <c r="E5813" s="6" t="n">
        <v>40865.6347222222</v>
      </c>
      <c r="F5813" s="0" t="n">
        <v>18</v>
      </c>
      <c r="G5813" s="0" t="n">
        <v>12437</v>
      </c>
      <c r="H5813" s="0" t="s">
        <v>43</v>
      </c>
      <c r="I5813" s="7" t="n">
        <f aca="false">IF(AND(LEFT(A5813,1)&lt;&gt;"C",D5813&gt;0,F5813&gt;0),1,0)</f>
        <v>1</v>
      </c>
      <c r="J5813" s="7" t="n">
        <f aca="false">IF(I5813=1,D5813*F5813,0)</f>
        <v>18</v>
      </c>
      <c r="K5813" s="7" t="n">
        <f aca="false">YEAR(E5813)*100+MONTH(E5813)</f>
        <v>201111</v>
      </c>
      <c r="L5813" s="7" t="n">
        <f aca="false">IF(AND(A5813&lt;&gt;A5812,LEFT(A5813,1)&lt;&gt;"C"),1,0)</f>
        <v>0</v>
      </c>
    </row>
    <row r="5814" customFormat="false" ht="15" hidden="false" customHeight="false" outlineLevel="0" collapsed="false">
      <c r="A5814" s="0" t="s">
        <v>3125</v>
      </c>
      <c r="B5814" s="0" t="s">
        <v>1423</v>
      </c>
      <c r="C5814" s="0" t="s">
        <v>1424</v>
      </c>
      <c r="D5814" s="0" t="n">
        <v>-1</v>
      </c>
      <c r="E5814" s="6" t="n">
        <v>40865.7166666667</v>
      </c>
      <c r="F5814" s="0" t="n">
        <v>9.95</v>
      </c>
      <c r="G5814" s="0" t="n">
        <v>12504</v>
      </c>
      <c r="H5814" s="0" t="s">
        <v>33</v>
      </c>
      <c r="I5814" s="7" t="n">
        <f aca="false">IF(AND(LEFT(A5814,1)&lt;&gt;"C",D5814&gt;0,F5814&gt;0),1,0)</f>
        <v>0</v>
      </c>
      <c r="J5814" s="7" t="n">
        <f aca="false">IF(I5814=1,D5814*F5814,0)</f>
        <v>0</v>
      </c>
      <c r="K5814" s="7" t="n">
        <f aca="false">YEAR(E5814)*100+MONTH(E5814)</f>
        <v>201111</v>
      </c>
      <c r="L5814" s="7" t="n">
        <f aca="false">IF(AND(A5814&lt;&gt;A5813,LEFT(A5814,1)&lt;&gt;"C"),1,0)</f>
        <v>0</v>
      </c>
    </row>
    <row r="5815" customFormat="false" ht="15" hidden="false" customHeight="false" outlineLevel="0" collapsed="false">
      <c r="A5815" s="0" t="s">
        <v>3125</v>
      </c>
      <c r="B5815" s="0" t="s">
        <v>1271</v>
      </c>
      <c r="C5815" s="0" t="s">
        <v>1272</v>
      </c>
      <c r="D5815" s="0" t="n">
        <v>-1</v>
      </c>
      <c r="E5815" s="6" t="n">
        <v>40865.7166666667</v>
      </c>
      <c r="F5815" s="0" t="n">
        <v>9.95</v>
      </c>
      <c r="G5815" s="0" t="n">
        <v>12504</v>
      </c>
      <c r="H5815" s="0" t="s">
        <v>33</v>
      </c>
      <c r="I5815" s="7" t="n">
        <f aca="false">IF(AND(LEFT(A5815,1)&lt;&gt;"C",D5815&gt;0,F5815&gt;0),1,0)</f>
        <v>0</v>
      </c>
      <c r="J5815" s="7" t="n">
        <f aca="false">IF(I5815=1,D5815*F5815,0)</f>
        <v>0</v>
      </c>
      <c r="K5815" s="7" t="n">
        <f aca="false">YEAR(E5815)*100+MONTH(E5815)</f>
        <v>201111</v>
      </c>
      <c r="L5815" s="7" t="n">
        <f aca="false">IF(AND(A5815&lt;&gt;A5814,LEFT(A5815,1)&lt;&gt;"C"),1,0)</f>
        <v>0</v>
      </c>
    </row>
    <row r="5816" customFormat="false" ht="15" hidden="false" customHeight="false" outlineLevel="0" collapsed="false">
      <c r="A5816" s="0" t="s">
        <v>3125</v>
      </c>
      <c r="B5816" s="0" t="s">
        <v>1629</v>
      </c>
      <c r="C5816" s="0" t="s">
        <v>1630</v>
      </c>
      <c r="D5816" s="0" t="n">
        <v>-1</v>
      </c>
      <c r="E5816" s="6" t="n">
        <v>40865.7166666667</v>
      </c>
      <c r="F5816" s="0" t="n">
        <v>12.75</v>
      </c>
      <c r="G5816" s="0" t="n">
        <v>12504</v>
      </c>
      <c r="H5816" s="0" t="s">
        <v>33</v>
      </c>
      <c r="I5816" s="7" t="n">
        <f aca="false">IF(AND(LEFT(A5816,1)&lt;&gt;"C",D5816&gt;0,F5816&gt;0),1,0)</f>
        <v>0</v>
      </c>
      <c r="J5816" s="7" t="n">
        <f aca="false">IF(I5816=1,D5816*F5816,0)</f>
        <v>0</v>
      </c>
      <c r="K5816" s="7" t="n">
        <f aca="false">YEAR(E5816)*100+MONTH(E5816)</f>
        <v>201111</v>
      </c>
      <c r="L5816" s="7" t="n">
        <f aca="false">IF(AND(A5816&lt;&gt;A5815,LEFT(A5816,1)&lt;&gt;"C"),1,0)</f>
        <v>0</v>
      </c>
    </row>
    <row r="5817" customFormat="false" ht="15" hidden="false" customHeight="false" outlineLevel="0" collapsed="false">
      <c r="A5817" s="0" t="s">
        <v>3126</v>
      </c>
      <c r="B5817" s="0" t="s">
        <v>2674</v>
      </c>
      <c r="C5817" s="0" t="s">
        <v>2675</v>
      </c>
      <c r="D5817" s="0" t="n">
        <v>12</v>
      </c>
      <c r="E5817" s="6" t="n">
        <v>40867.4416666667</v>
      </c>
      <c r="F5817" s="0" t="n">
        <v>2.1</v>
      </c>
      <c r="G5817" s="0" t="n">
        <v>12702</v>
      </c>
      <c r="H5817" s="0" t="s">
        <v>33</v>
      </c>
      <c r="I5817" s="7" t="n">
        <f aca="false">IF(AND(LEFT(A5817,1)&lt;&gt;"C",D5817&gt;0,F5817&gt;0),1,0)</f>
        <v>1</v>
      </c>
      <c r="J5817" s="7" t="n">
        <f aca="false">IF(I5817=1,D5817*F5817,0)</f>
        <v>25.2</v>
      </c>
      <c r="K5817" s="7" t="n">
        <f aca="false">YEAR(E5817)*100+MONTH(E5817)</f>
        <v>201111</v>
      </c>
      <c r="L5817" s="7" t="n">
        <f aca="false">IF(AND(A5817&lt;&gt;A5816,LEFT(A5817,1)&lt;&gt;"C"),1,0)</f>
        <v>1</v>
      </c>
    </row>
    <row r="5818" customFormat="false" ht="15" hidden="false" customHeight="false" outlineLevel="0" collapsed="false">
      <c r="A5818" s="0" t="s">
        <v>3126</v>
      </c>
      <c r="B5818" s="0" t="s">
        <v>1035</v>
      </c>
      <c r="C5818" s="0" t="s">
        <v>1036</v>
      </c>
      <c r="D5818" s="0" t="n">
        <v>4</v>
      </c>
      <c r="E5818" s="6" t="n">
        <v>40867.4416666667</v>
      </c>
      <c r="F5818" s="0" t="n">
        <v>4.25</v>
      </c>
      <c r="G5818" s="0" t="n">
        <v>12702</v>
      </c>
      <c r="H5818" s="0" t="s">
        <v>33</v>
      </c>
      <c r="I5818" s="7" t="n">
        <f aca="false">IF(AND(LEFT(A5818,1)&lt;&gt;"C",D5818&gt;0,F5818&gt;0),1,0)</f>
        <v>1</v>
      </c>
      <c r="J5818" s="7" t="n">
        <f aca="false">IF(I5818=1,D5818*F5818,0)</f>
        <v>17</v>
      </c>
      <c r="K5818" s="7" t="n">
        <f aca="false">YEAR(E5818)*100+MONTH(E5818)</f>
        <v>201111</v>
      </c>
      <c r="L5818" s="7" t="n">
        <f aca="false">IF(AND(A5818&lt;&gt;A5817,LEFT(A5818,1)&lt;&gt;"C"),1,0)</f>
        <v>0</v>
      </c>
    </row>
    <row r="5819" customFormat="false" ht="15" hidden="false" customHeight="false" outlineLevel="0" collapsed="false">
      <c r="A5819" s="0" t="s">
        <v>3126</v>
      </c>
      <c r="B5819" s="0" t="s">
        <v>756</v>
      </c>
      <c r="C5819" s="0" t="s">
        <v>757</v>
      </c>
      <c r="D5819" s="0" t="n">
        <v>4</v>
      </c>
      <c r="E5819" s="6" t="n">
        <v>40867.4416666667</v>
      </c>
      <c r="F5819" s="0" t="n">
        <v>3.75</v>
      </c>
      <c r="G5819" s="0" t="n">
        <v>12702</v>
      </c>
      <c r="H5819" s="0" t="s">
        <v>33</v>
      </c>
      <c r="I5819" s="7" t="n">
        <f aca="false">IF(AND(LEFT(A5819,1)&lt;&gt;"C",D5819&gt;0,F5819&gt;0),1,0)</f>
        <v>1</v>
      </c>
      <c r="J5819" s="7" t="n">
        <f aca="false">IF(I5819=1,D5819*F5819,0)</f>
        <v>15</v>
      </c>
      <c r="K5819" s="7" t="n">
        <f aca="false">YEAR(E5819)*100+MONTH(E5819)</f>
        <v>201111</v>
      </c>
      <c r="L5819" s="7" t="n">
        <f aca="false">IF(AND(A5819&lt;&gt;A5818,LEFT(A5819,1)&lt;&gt;"C"),1,0)</f>
        <v>0</v>
      </c>
    </row>
    <row r="5820" customFormat="false" ht="15" hidden="false" customHeight="false" outlineLevel="0" collapsed="false">
      <c r="A5820" s="0" t="s">
        <v>3126</v>
      </c>
      <c r="B5820" s="0" t="s">
        <v>2611</v>
      </c>
      <c r="C5820" s="0" t="s">
        <v>2612</v>
      </c>
      <c r="D5820" s="0" t="n">
        <v>4</v>
      </c>
      <c r="E5820" s="6" t="n">
        <v>40867.4416666667</v>
      </c>
      <c r="F5820" s="0" t="n">
        <v>4.25</v>
      </c>
      <c r="G5820" s="0" t="n">
        <v>12702</v>
      </c>
      <c r="H5820" s="0" t="s">
        <v>33</v>
      </c>
      <c r="I5820" s="7" t="n">
        <f aca="false">IF(AND(LEFT(A5820,1)&lt;&gt;"C",D5820&gt;0,F5820&gt;0),1,0)</f>
        <v>1</v>
      </c>
      <c r="J5820" s="7" t="n">
        <f aca="false">IF(I5820=1,D5820*F5820,0)</f>
        <v>17</v>
      </c>
      <c r="K5820" s="7" t="n">
        <f aca="false">YEAR(E5820)*100+MONTH(E5820)</f>
        <v>201111</v>
      </c>
      <c r="L5820" s="7" t="n">
        <f aca="false">IF(AND(A5820&lt;&gt;A5819,LEFT(A5820,1)&lt;&gt;"C"),1,0)</f>
        <v>0</v>
      </c>
    </row>
    <row r="5821" customFormat="false" ht="15" hidden="false" customHeight="false" outlineLevel="0" collapsed="false">
      <c r="A5821" s="0" t="s">
        <v>3126</v>
      </c>
      <c r="B5821" s="0" t="s">
        <v>804</v>
      </c>
      <c r="C5821" s="0" t="s">
        <v>805</v>
      </c>
      <c r="D5821" s="0" t="n">
        <v>3</v>
      </c>
      <c r="E5821" s="6" t="n">
        <v>40867.4416666667</v>
      </c>
      <c r="F5821" s="0" t="n">
        <v>4.95</v>
      </c>
      <c r="G5821" s="0" t="n">
        <v>12702</v>
      </c>
      <c r="H5821" s="0" t="s">
        <v>33</v>
      </c>
      <c r="I5821" s="7" t="n">
        <f aca="false">IF(AND(LEFT(A5821,1)&lt;&gt;"C",D5821&gt;0,F5821&gt;0),1,0)</f>
        <v>1</v>
      </c>
      <c r="J5821" s="7" t="n">
        <f aca="false">IF(I5821=1,D5821*F5821,0)</f>
        <v>14.85</v>
      </c>
      <c r="K5821" s="7" t="n">
        <f aca="false">YEAR(E5821)*100+MONTH(E5821)</f>
        <v>201111</v>
      </c>
      <c r="L5821" s="7" t="n">
        <f aca="false">IF(AND(A5821&lt;&gt;A5820,LEFT(A5821,1)&lt;&gt;"C"),1,0)</f>
        <v>0</v>
      </c>
    </row>
    <row r="5822" customFormat="false" ht="15" hidden="false" customHeight="false" outlineLevel="0" collapsed="false">
      <c r="A5822" s="0" t="s">
        <v>3126</v>
      </c>
      <c r="B5822" s="0" t="s">
        <v>2531</v>
      </c>
      <c r="C5822" s="0" t="s">
        <v>2532</v>
      </c>
      <c r="D5822" s="0" t="n">
        <v>4</v>
      </c>
      <c r="E5822" s="6" t="n">
        <v>40867.4416666667</v>
      </c>
      <c r="F5822" s="0" t="n">
        <v>4.25</v>
      </c>
      <c r="G5822" s="0" t="n">
        <v>12702</v>
      </c>
      <c r="H5822" s="0" t="s">
        <v>33</v>
      </c>
      <c r="I5822" s="7" t="n">
        <f aca="false">IF(AND(LEFT(A5822,1)&lt;&gt;"C",D5822&gt;0,F5822&gt;0),1,0)</f>
        <v>1</v>
      </c>
      <c r="J5822" s="7" t="n">
        <f aca="false">IF(I5822=1,D5822*F5822,0)</f>
        <v>17</v>
      </c>
      <c r="K5822" s="7" t="n">
        <f aca="false">YEAR(E5822)*100+MONTH(E5822)</f>
        <v>201111</v>
      </c>
      <c r="L5822" s="7" t="n">
        <f aca="false">IF(AND(A5822&lt;&gt;A5821,LEFT(A5822,1)&lt;&gt;"C"),1,0)</f>
        <v>0</v>
      </c>
    </row>
    <row r="5823" customFormat="false" ht="15" hidden="false" customHeight="false" outlineLevel="0" collapsed="false">
      <c r="A5823" s="0" t="s">
        <v>3126</v>
      </c>
      <c r="B5823" s="0" t="s">
        <v>3127</v>
      </c>
      <c r="C5823" s="0" t="s">
        <v>3128</v>
      </c>
      <c r="D5823" s="0" t="n">
        <v>4</v>
      </c>
      <c r="E5823" s="6" t="n">
        <v>40867.4416666667</v>
      </c>
      <c r="F5823" s="0" t="n">
        <v>4.95</v>
      </c>
      <c r="G5823" s="0" t="n">
        <v>12702</v>
      </c>
      <c r="H5823" s="0" t="s">
        <v>33</v>
      </c>
      <c r="I5823" s="7" t="n">
        <f aca="false">IF(AND(LEFT(A5823,1)&lt;&gt;"C",D5823&gt;0,F5823&gt;0),1,0)</f>
        <v>1</v>
      </c>
      <c r="J5823" s="7" t="n">
        <f aca="false">IF(I5823=1,D5823*F5823,0)</f>
        <v>19.8</v>
      </c>
      <c r="K5823" s="7" t="n">
        <f aca="false">YEAR(E5823)*100+MONTH(E5823)</f>
        <v>201111</v>
      </c>
      <c r="L5823" s="7" t="n">
        <f aca="false">IF(AND(A5823&lt;&gt;A5822,LEFT(A5823,1)&lt;&gt;"C"),1,0)</f>
        <v>0</v>
      </c>
    </row>
    <row r="5824" customFormat="false" ht="15" hidden="false" customHeight="false" outlineLevel="0" collapsed="false">
      <c r="A5824" s="0" t="s">
        <v>3126</v>
      </c>
      <c r="B5824" s="0" t="s">
        <v>3129</v>
      </c>
      <c r="C5824" s="0" t="s">
        <v>3130</v>
      </c>
      <c r="D5824" s="0" t="n">
        <v>4</v>
      </c>
      <c r="E5824" s="6" t="n">
        <v>40867.4416666667</v>
      </c>
      <c r="F5824" s="0" t="n">
        <v>4.95</v>
      </c>
      <c r="G5824" s="0" t="n">
        <v>12702</v>
      </c>
      <c r="H5824" s="0" t="s">
        <v>33</v>
      </c>
      <c r="I5824" s="7" t="n">
        <f aca="false">IF(AND(LEFT(A5824,1)&lt;&gt;"C",D5824&gt;0,F5824&gt;0),1,0)</f>
        <v>1</v>
      </c>
      <c r="J5824" s="7" t="n">
        <f aca="false">IF(I5824=1,D5824*F5824,0)</f>
        <v>19.8</v>
      </c>
      <c r="K5824" s="7" t="n">
        <f aca="false">YEAR(E5824)*100+MONTH(E5824)</f>
        <v>201111</v>
      </c>
      <c r="L5824" s="7" t="n">
        <f aca="false">IF(AND(A5824&lt;&gt;A5823,LEFT(A5824,1)&lt;&gt;"C"),1,0)</f>
        <v>0</v>
      </c>
    </row>
    <row r="5825" customFormat="false" ht="15" hidden="false" customHeight="false" outlineLevel="0" collapsed="false">
      <c r="A5825" s="0" t="s">
        <v>3126</v>
      </c>
      <c r="B5825" s="0" t="s">
        <v>2542</v>
      </c>
      <c r="C5825" s="0" t="s">
        <v>2543</v>
      </c>
      <c r="D5825" s="0" t="n">
        <v>3</v>
      </c>
      <c r="E5825" s="6" t="n">
        <v>40867.4416666667</v>
      </c>
      <c r="F5825" s="0" t="n">
        <v>5.95</v>
      </c>
      <c r="G5825" s="0" t="n">
        <v>12702</v>
      </c>
      <c r="H5825" s="0" t="s">
        <v>33</v>
      </c>
      <c r="I5825" s="7" t="n">
        <f aca="false">IF(AND(LEFT(A5825,1)&lt;&gt;"C",D5825&gt;0,F5825&gt;0),1,0)</f>
        <v>1</v>
      </c>
      <c r="J5825" s="7" t="n">
        <f aca="false">IF(I5825=1,D5825*F5825,0)</f>
        <v>17.85</v>
      </c>
      <c r="K5825" s="7" t="n">
        <f aca="false">YEAR(E5825)*100+MONTH(E5825)</f>
        <v>201111</v>
      </c>
      <c r="L5825" s="7" t="n">
        <f aca="false">IF(AND(A5825&lt;&gt;A5824,LEFT(A5825,1)&lt;&gt;"C"),1,0)</f>
        <v>0</v>
      </c>
    </row>
    <row r="5826" customFormat="false" ht="15" hidden="false" customHeight="false" outlineLevel="0" collapsed="false">
      <c r="A5826" s="0" t="s">
        <v>3126</v>
      </c>
      <c r="B5826" s="0" t="s">
        <v>1420</v>
      </c>
      <c r="C5826" s="0" t="s">
        <v>1421</v>
      </c>
      <c r="D5826" s="0" t="n">
        <v>4</v>
      </c>
      <c r="E5826" s="6" t="n">
        <v>40867.4416666667</v>
      </c>
      <c r="F5826" s="0" t="n">
        <v>4.95</v>
      </c>
      <c r="G5826" s="0" t="n">
        <v>12702</v>
      </c>
      <c r="H5826" s="0" t="s">
        <v>33</v>
      </c>
      <c r="I5826" s="7" t="n">
        <f aca="false">IF(AND(LEFT(A5826,1)&lt;&gt;"C",D5826&gt;0,F5826&gt;0),1,0)</f>
        <v>1</v>
      </c>
      <c r="J5826" s="7" t="n">
        <f aca="false">IF(I5826=1,D5826*F5826,0)</f>
        <v>19.8</v>
      </c>
      <c r="K5826" s="7" t="n">
        <f aca="false">YEAR(E5826)*100+MONTH(E5826)</f>
        <v>201111</v>
      </c>
      <c r="L5826" s="7" t="n">
        <f aca="false">IF(AND(A5826&lt;&gt;A5825,LEFT(A5826,1)&lt;&gt;"C"),1,0)</f>
        <v>0</v>
      </c>
    </row>
    <row r="5827" customFormat="false" ht="15" hidden="false" customHeight="false" outlineLevel="0" collapsed="false">
      <c r="A5827" s="0" t="s">
        <v>3126</v>
      </c>
      <c r="B5827" s="0" t="s">
        <v>3025</v>
      </c>
      <c r="C5827" s="0" t="s">
        <v>3026</v>
      </c>
      <c r="D5827" s="0" t="n">
        <v>6</v>
      </c>
      <c r="E5827" s="6" t="n">
        <v>40867.4416666667</v>
      </c>
      <c r="F5827" s="0" t="n">
        <v>2.95</v>
      </c>
      <c r="G5827" s="0" t="n">
        <v>12702</v>
      </c>
      <c r="H5827" s="0" t="s">
        <v>33</v>
      </c>
      <c r="I5827" s="7" t="n">
        <f aca="false">IF(AND(LEFT(A5827,1)&lt;&gt;"C",D5827&gt;0,F5827&gt;0),1,0)</f>
        <v>1</v>
      </c>
      <c r="J5827" s="7" t="n">
        <f aca="false">IF(I5827=1,D5827*F5827,0)</f>
        <v>17.7</v>
      </c>
      <c r="K5827" s="7" t="n">
        <f aca="false">YEAR(E5827)*100+MONTH(E5827)</f>
        <v>201111</v>
      </c>
      <c r="L5827" s="7" t="n">
        <f aca="false">IF(AND(A5827&lt;&gt;A5826,LEFT(A5827,1)&lt;&gt;"C"),1,0)</f>
        <v>0</v>
      </c>
    </row>
    <row r="5828" customFormat="false" ht="15" hidden="false" customHeight="false" outlineLevel="0" collapsed="false">
      <c r="A5828" s="0" t="s">
        <v>3126</v>
      </c>
      <c r="B5828" s="0" t="s">
        <v>84</v>
      </c>
      <c r="C5828" s="0" t="s">
        <v>85</v>
      </c>
      <c r="D5828" s="0" t="n">
        <v>1</v>
      </c>
      <c r="E5828" s="6" t="n">
        <v>40867.4416666667</v>
      </c>
      <c r="F5828" s="0" t="n">
        <v>18</v>
      </c>
      <c r="G5828" s="0" t="n">
        <v>12702</v>
      </c>
      <c r="H5828" s="0" t="s">
        <v>33</v>
      </c>
      <c r="I5828" s="7" t="n">
        <f aca="false">IF(AND(LEFT(A5828,1)&lt;&gt;"C",D5828&gt;0,F5828&gt;0),1,0)</f>
        <v>1</v>
      </c>
      <c r="J5828" s="7" t="n">
        <f aca="false">IF(I5828=1,D5828*F5828,0)</f>
        <v>18</v>
      </c>
      <c r="K5828" s="7" t="n">
        <f aca="false">YEAR(E5828)*100+MONTH(E5828)</f>
        <v>201111</v>
      </c>
      <c r="L5828" s="7" t="n">
        <f aca="false">IF(AND(A5828&lt;&gt;A5827,LEFT(A5828,1)&lt;&gt;"C"),1,0)</f>
        <v>0</v>
      </c>
    </row>
    <row r="5829" customFormat="false" ht="15" hidden="false" customHeight="false" outlineLevel="0" collapsed="false">
      <c r="A5829" s="0" t="s">
        <v>3131</v>
      </c>
      <c r="B5829" s="0" t="s">
        <v>475</v>
      </c>
      <c r="C5829" s="0" t="s">
        <v>476</v>
      </c>
      <c r="D5829" s="0" t="n">
        <v>4</v>
      </c>
      <c r="E5829" s="6" t="n">
        <v>40867.5236111111</v>
      </c>
      <c r="F5829" s="0" t="n">
        <v>9.95</v>
      </c>
      <c r="G5829" s="0" t="n">
        <v>12598</v>
      </c>
      <c r="H5829" s="0" t="s">
        <v>43</v>
      </c>
      <c r="I5829" s="7" t="n">
        <f aca="false">IF(AND(LEFT(A5829,1)&lt;&gt;"C",D5829&gt;0,F5829&gt;0),1,0)</f>
        <v>1</v>
      </c>
      <c r="J5829" s="7" t="n">
        <f aca="false">IF(I5829=1,D5829*F5829,0)</f>
        <v>39.8</v>
      </c>
      <c r="K5829" s="7" t="n">
        <f aca="false">YEAR(E5829)*100+MONTH(E5829)</f>
        <v>201111</v>
      </c>
      <c r="L5829" s="7" t="n">
        <f aca="false">IF(AND(A5829&lt;&gt;A5828,LEFT(A5829,1)&lt;&gt;"C"),1,0)</f>
        <v>1</v>
      </c>
    </row>
    <row r="5830" customFormat="false" ht="15" hidden="false" customHeight="false" outlineLevel="0" collapsed="false">
      <c r="A5830" s="0" t="s">
        <v>3131</v>
      </c>
      <c r="B5830" s="0" t="s">
        <v>547</v>
      </c>
      <c r="C5830" s="0" t="s">
        <v>548</v>
      </c>
      <c r="D5830" s="0" t="n">
        <v>3</v>
      </c>
      <c r="E5830" s="6" t="n">
        <v>40867.5236111111</v>
      </c>
      <c r="F5830" s="0" t="n">
        <v>4.95</v>
      </c>
      <c r="G5830" s="0" t="n">
        <v>12598</v>
      </c>
      <c r="H5830" s="0" t="s">
        <v>43</v>
      </c>
      <c r="I5830" s="7" t="n">
        <f aca="false">IF(AND(LEFT(A5830,1)&lt;&gt;"C",D5830&gt;0,F5830&gt;0),1,0)</f>
        <v>1</v>
      </c>
      <c r="J5830" s="7" t="n">
        <f aca="false">IF(I5830=1,D5830*F5830,0)</f>
        <v>14.85</v>
      </c>
      <c r="K5830" s="7" t="n">
        <f aca="false">YEAR(E5830)*100+MONTH(E5830)</f>
        <v>201111</v>
      </c>
      <c r="L5830" s="7" t="n">
        <f aca="false">IF(AND(A5830&lt;&gt;A5829,LEFT(A5830,1)&lt;&gt;"C"),1,0)</f>
        <v>0</v>
      </c>
    </row>
    <row r="5831" customFormat="false" ht="15" hidden="false" customHeight="false" outlineLevel="0" collapsed="false">
      <c r="A5831" s="0" t="s">
        <v>3131</v>
      </c>
      <c r="B5831" s="0" t="s">
        <v>1568</v>
      </c>
      <c r="C5831" s="0" t="s">
        <v>1569</v>
      </c>
      <c r="D5831" s="0" t="n">
        <v>16</v>
      </c>
      <c r="E5831" s="6" t="n">
        <v>40867.5236111111</v>
      </c>
      <c r="F5831" s="0" t="n">
        <v>1.25</v>
      </c>
      <c r="G5831" s="0" t="n">
        <v>12598</v>
      </c>
      <c r="H5831" s="0" t="s">
        <v>43</v>
      </c>
      <c r="I5831" s="7" t="n">
        <f aca="false">IF(AND(LEFT(A5831,1)&lt;&gt;"C",D5831&gt;0,F5831&gt;0),1,0)</f>
        <v>1</v>
      </c>
      <c r="J5831" s="7" t="n">
        <f aca="false">IF(I5831=1,D5831*F5831,0)</f>
        <v>20</v>
      </c>
      <c r="K5831" s="7" t="n">
        <f aca="false">YEAR(E5831)*100+MONTH(E5831)</f>
        <v>201111</v>
      </c>
      <c r="L5831" s="7" t="n">
        <f aca="false">IF(AND(A5831&lt;&gt;A5830,LEFT(A5831,1)&lt;&gt;"C"),1,0)</f>
        <v>0</v>
      </c>
    </row>
    <row r="5832" customFormat="false" ht="15" hidden="false" customHeight="false" outlineLevel="0" collapsed="false">
      <c r="A5832" s="0" t="s">
        <v>3131</v>
      </c>
      <c r="B5832" s="0" t="s">
        <v>93</v>
      </c>
      <c r="C5832" s="0" t="s">
        <v>94</v>
      </c>
      <c r="D5832" s="0" t="n">
        <v>4</v>
      </c>
      <c r="E5832" s="6" t="n">
        <v>40867.5236111111</v>
      </c>
      <c r="F5832" s="0" t="n">
        <v>4.15</v>
      </c>
      <c r="G5832" s="0" t="n">
        <v>12598</v>
      </c>
      <c r="H5832" s="0" t="s">
        <v>43</v>
      </c>
      <c r="I5832" s="7" t="n">
        <f aca="false">IF(AND(LEFT(A5832,1)&lt;&gt;"C",D5832&gt;0,F5832&gt;0),1,0)</f>
        <v>1</v>
      </c>
      <c r="J5832" s="7" t="n">
        <f aca="false">IF(I5832=1,D5832*F5832,0)</f>
        <v>16.6</v>
      </c>
      <c r="K5832" s="7" t="n">
        <f aca="false">YEAR(E5832)*100+MONTH(E5832)</f>
        <v>201111</v>
      </c>
      <c r="L5832" s="7" t="n">
        <f aca="false">IF(AND(A5832&lt;&gt;A5831,LEFT(A5832,1)&lt;&gt;"C"),1,0)</f>
        <v>0</v>
      </c>
    </row>
    <row r="5833" customFormat="false" ht="15" hidden="false" customHeight="false" outlineLevel="0" collapsed="false">
      <c r="A5833" s="0" t="s">
        <v>3131</v>
      </c>
      <c r="B5833" s="0" t="s">
        <v>1042</v>
      </c>
      <c r="C5833" s="0" t="s">
        <v>1043</v>
      </c>
      <c r="D5833" s="0" t="n">
        <v>4</v>
      </c>
      <c r="E5833" s="6" t="n">
        <v>40867.5236111111</v>
      </c>
      <c r="F5833" s="0" t="n">
        <v>4.15</v>
      </c>
      <c r="G5833" s="0" t="n">
        <v>12598</v>
      </c>
      <c r="H5833" s="0" t="s">
        <v>43</v>
      </c>
      <c r="I5833" s="7" t="n">
        <f aca="false">IF(AND(LEFT(A5833,1)&lt;&gt;"C",D5833&gt;0,F5833&gt;0),1,0)</f>
        <v>1</v>
      </c>
      <c r="J5833" s="7" t="n">
        <f aca="false">IF(I5833=1,D5833*F5833,0)</f>
        <v>16.6</v>
      </c>
      <c r="K5833" s="7" t="n">
        <f aca="false">YEAR(E5833)*100+MONTH(E5833)</f>
        <v>201111</v>
      </c>
      <c r="L5833" s="7" t="n">
        <f aca="false">IF(AND(A5833&lt;&gt;A5832,LEFT(A5833,1)&lt;&gt;"C"),1,0)</f>
        <v>0</v>
      </c>
    </row>
    <row r="5834" customFormat="false" ht="15" hidden="false" customHeight="false" outlineLevel="0" collapsed="false">
      <c r="A5834" s="0" t="s">
        <v>3131</v>
      </c>
      <c r="B5834" s="0" t="s">
        <v>1425</v>
      </c>
      <c r="C5834" s="0" t="s">
        <v>1426</v>
      </c>
      <c r="D5834" s="0" t="n">
        <v>4</v>
      </c>
      <c r="E5834" s="6" t="n">
        <v>40867.5236111111</v>
      </c>
      <c r="F5834" s="0" t="n">
        <v>8.5</v>
      </c>
      <c r="G5834" s="0" t="n">
        <v>12598</v>
      </c>
      <c r="H5834" s="0" t="s">
        <v>43</v>
      </c>
      <c r="I5834" s="7" t="n">
        <f aca="false">IF(AND(LEFT(A5834,1)&lt;&gt;"C",D5834&gt;0,F5834&gt;0),1,0)</f>
        <v>1</v>
      </c>
      <c r="J5834" s="7" t="n">
        <f aca="false">IF(I5834=1,D5834*F5834,0)</f>
        <v>34</v>
      </c>
      <c r="K5834" s="7" t="n">
        <f aca="false">YEAR(E5834)*100+MONTH(E5834)</f>
        <v>201111</v>
      </c>
      <c r="L5834" s="7" t="n">
        <f aca="false">IF(AND(A5834&lt;&gt;A5833,LEFT(A5834,1)&lt;&gt;"C"),1,0)</f>
        <v>0</v>
      </c>
    </row>
    <row r="5835" customFormat="false" ht="15" hidden="false" customHeight="false" outlineLevel="0" collapsed="false">
      <c r="A5835" s="0" t="s">
        <v>3131</v>
      </c>
      <c r="B5835" s="0" t="s">
        <v>653</v>
      </c>
      <c r="C5835" s="0" t="s">
        <v>654</v>
      </c>
      <c r="D5835" s="0" t="n">
        <v>10</v>
      </c>
      <c r="E5835" s="6" t="n">
        <v>40867.5236111111</v>
      </c>
      <c r="F5835" s="0" t="n">
        <v>6.25</v>
      </c>
      <c r="G5835" s="0" t="n">
        <v>12598</v>
      </c>
      <c r="H5835" s="0" t="s">
        <v>43</v>
      </c>
      <c r="I5835" s="7" t="n">
        <f aca="false">IF(AND(LEFT(A5835,1)&lt;&gt;"C",D5835&gt;0,F5835&gt;0),1,0)</f>
        <v>1</v>
      </c>
      <c r="J5835" s="7" t="n">
        <f aca="false">IF(I5835=1,D5835*F5835,0)</f>
        <v>62.5</v>
      </c>
      <c r="K5835" s="7" t="n">
        <f aca="false">YEAR(E5835)*100+MONTH(E5835)</f>
        <v>201111</v>
      </c>
      <c r="L5835" s="7" t="n">
        <f aca="false">IF(AND(A5835&lt;&gt;A5834,LEFT(A5835,1)&lt;&gt;"C"),1,0)</f>
        <v>0</v>
      </c>
    </row>
    <row r="5836" customFormat="false" ht="15" hidden="false" customHeight="false" outlineLevel="0" collapsed="false">
      <c r="A5836" s="0" t="s">
        <v>3131</v>
      </c>
      <c r="B5836" s="0" t="s">
        <v>1044</v>
      </c>
      <c r="C5836" s="0" t="s">
        <v>1045</v>
      </c>
      <c r="D5836" s="0" t="n">
        <v>4</v>
      </c>
      <c r="E5836" s="6" t="n">
        <v>40867.5236111111</v>
      </c>
      <c r="F5836" s="0" t="n">
        <v>4.15</v>
      </c>
      <c r="G5836" s="0" t="n">
        <v>12598</v>
      </c>
      <c r="H5836" s="0" t="s">
        <v>43</v>
      </c>
      <c r="I5836" s="7" t="n">
        <f aca="false">IF(AND(LEFT(A5836,1)&lt;&gt;"C",D5836&gt;0,F5836&gt;0),1,0)</f>
        <v>1</v>
      </c>
      <c r="J5836" s="7" t="n">
        <f aca="false">IF(I5836=1,D5836*F5836,0)</f>
        <v>16.6</v>
      </c>
      <c r="K5836" s="7" t="n">
        <f aca="false">YEAR(E5836)*100+MONTH(E5836)</f>
        <v>201111</v>
      </c>
      <c r="L5836" s="7" t="n">
        <f aca="false">IF(AND(A5836&lt;&gt;A5835,LEFT(A5836,1)&lt;&gt;"C"),1,0)</f>
        <v>0</v>
      </c>
    </row>
    <row r="5837" customFormat="false" ht="15" hidden="false" customHeight="false" outlineLevel="0" collapsed="false">
      <c r="A5837" s="0" t="s">
        <v>3131</v>
      </c>
      <c r="B5837" s="0" t="s">
        <v>1453</v>
      </c>
      <c r="C5837" s="0" t="s">
        <v>1454</v>
      </c>
      <c r="D5837" s="0" t="n">
        <v>16</v>
      </c>
      <c r="E5837" s="6" t="n">
        <v>40867.5236111111</v>
      </c>
      <c r="F5837" s="0" t="n">
        <v>1.25</v>
      </c>
      <c r="G5837" s="0" t="n">
        <v>12598</v>
      </c>
      <c r="H5837" s="0" t="s">
        <v>43</v>
      </c>
      <c r="I5837" s="7" t="n">
        <f aca="false">IF(AND(LEFT(A5837,1)&lt;&gt;"C",D5837&gt;0,F5837&gt;0),1,0)</f>
        <v>1</v>
      </c>
      <c r="J5837" s="7" t="n">
        <f aca="false">IF(I5837=1,D5837*F5837,0)</f>
        <v>20</v>
      </c>
      <c r="K5837" s="7" t="n">
        <f aca="false">YEAR(E5837)*100+MONTH(E5837)</f>
        <v>201111</v>
      </c>
      <c r="L5837" s="7" t="n">
        <f aca="false">IF(AND(A5837&lt;&gt;A5836,LEFT(A5837,1)&lt;&gt;"C"),1,0)</f>
        <v>0</v>
      </c>
    </row>
    <row r="5838" customFormat="false" ht="15" hidden="false" customHeight="false" outlineLevel="0" collapsed="false">
      <c r="A5838" s="0" t="s">
        <v>3131</v>
      </c>
      <c r="B5838" s="0" t="s">
        <v>89</v>
      </c>
      <c r="C5838" s="0" t="s">
        <v>90</v>
      </c>
      <c r="D5838" s="0" t="n">
        <v>4</v>
      </c>
      <c r="E5838" s="6" t="n">
        <v>40867.5236111111</v>
      </c>
      <c r="F5838" s="0" t="n">
        <v>4.15</v>
      </c>
      <c r="G5838" s="0" t="n">
        <v>12598</v>
      </c>
      <c r="H5838" s="0" t="s">
        <v>43</v>
      </c>
      <c r="I5838" s="7" t="n">
        <f aca="false">IF(AND(LEFT(A5838,1)&lt;&gt;"C",D5838&gt;0,F5838&gt;0),1,0)</f>
        <v>1</v>
      </c>
      <c r="J5838" s="7" t="n">
        <f aca="false">IF(I5838=1,D5838*F5838,0)</f>
        <v>16.6</v>
      </c>
      <c r="K5838" s="7" t="n">
        <f aca="false">YEAR(E5838)*100+MONTH(E5838)</f>
        <v>201111</v>
      </c>
      <c r="L5838" s="7" t="n">
        <f aca="false">IF(AND(A5838&lt;&gt;A5837,LEFT(A5838,1)&lt;&gt;"C"),1,0)</f>
        <v>0</v>
      </c>
    </row>
    <row r="5839" customFormat="false" ht="15" hidden="false" customHeight="false" outlineLevel="0" collapsed="false">
      <c r="A5839" s="0" t="s">
        <v>3131</v>
      </c>
      <c r="B5839" s="0" t="s">
        <v>545</v>
      </c>
      <c r="C5839" s="0" t="s">
        <v>546</v>
      </c>
      <c r="D5839" s="0" t="n">
        <v>6</v>
      </c>
      <c r="E5839" s="6" t="n">
        <v>40867.5236111111</v>
      </c>
      <c r="F5839" s="0" t="n">
        <v>4.95</v>
      </c>
      <c r="G5839" s="0" t="n">
        <v>12598</v>
      </c>
      <c r="H5839" s="0" t="s">
        <v>43</v>
      </c>
      <c r="I5839" s="7" t="n">
        <f aca="false">IF(AND(LEFT(A5839,1)&lt;&gt;"C",D5839&gt;0,F5839&gt;0),1,0)</f>
        <v>1</v>
      </c>
      <c r="J5839" s="7" t="n">
        <f aca="false">IF(I5839=1,D5839*F5839,0)</f>
        <v>29.7</v>
      </c>
      <c r="K5839" s="7" t="n">
        <f aca="false">YEAR(E5839)*100+MONTH(E5839)</f>
        <v>201111</v>
      </c>
      <c r="L5839" s="7" t="n">
        <f aca="false">IF(AND(A5839&lt;&gt;A5838,LEFT(A5839,1)&lt;&gt;"C"),1,0)</f>
        <v>0</v>
      </c>
    </row>
    <row r="5840" customFormat="false" ht="15" hidden="false" customHeight="false" outlineLevel="0" collapsed="false">
      <c r="A5840" s="0" t="s">
        <v>3131</v>
      </c>
      <c r="B5840" s="0" t="s">
        <v>463</v>
      </c>
      <c r="C5840" s="0" t="s">
        <v>464</v>
      </c>
      <c r="D5840" s="0" t="n">
        <v>6</v>
      </c>
      <c r="E5840" s="6" t="n">
        <v>40867.5236111111</v>
      </c>
      <c r="F5840" s="0" t="n">
        <v>7.95</v>
      </c>
      <c r="G5840" s="0" t="n">
        <v>12598</v>
      </c>
      <c r="H5840" s="0" t="s">
        <v>43</v>
      </c>
      <c r="I5840" s="7" t="n">
        <f aca="false">IF(AND(LEFT(A5840,1)&lt;&gt;"C",D5840&gt;0,F5840&gt;0),1,0)</f>
        <v>1</v>
      </c>
      <c r="J5840" s="7" t="n">
        <f aca="false">IF(I5840=1,D5840*F5840,0)</f>
        <v>47.7</v>
      </c>
      <c r="K5840" s="7" t="n">
        <f aca="false">YEAR(E5840)*100+MONTH(E5840)</f>
        <v>201111</v>
      </c>
      <c r="L5840" s="7" t="n">
        <f aca="false">IF(AND(A5840&lt;&gt;A5839,LEFT(A5840,1)&lt;&gt;"C"),1,0)</f>
        <v>0</v>
      </c>
    </row>
    <row r="5841" customFormat="false" ht="15" hidden="false" customHeight="false" outlineLevel="0" collapsed="false">
      <c r="A5841" s="0" t="s">
        <v>3131</v>
      </c>
      <c r="B5841" s="0" t="s">
        <v>400</v>
      </c>
      <c r="C5841" s="0" t="s">
        <v>401</v>
      </c>
      <c r="D5841" s="0" t="n">
        <v>12</v>
      </c>
      <c r="E5841" s="6" t="n">
        <v>40867.5236111111</v>
      </c>
      <c r="F5841" s="0" t="n">
        <v>0.85</v>
      </c>
      <c r="G5841" s="0" t="n">
        <v>12598</v>
      </c>
      <c r="H5841" s="0" t="s">
        <v>43</v>
      </c>
      <c r="I5841" s="7" t="n">
        <f aca="false">IF(AND(LEFT(A5841,1)&lt;&gt;"C",D5841&gt;0,F5841&gt;0),1,0)</f>
        <v>1</v>
      </c>
      <c r="J5841" s="7" t="n">
        <f aca="false">IF(I5841=1,D5841*F5841,0)</f>
        <v>10.2</v>
      </c>
      <c r="K5841" s="7" t="n">
        <f aca="false">YEAR(E5841)*100+MONTH(E5841)</f>
        <v>201111</v>
      </c>
      <c r="L5841" s="7" t="n">
        <f aca="false">IF(AND(A5841&lt;&gt;A5840,LEFT(A5841,1)&lt;&gt;"C"),1,0)</f>
        <v>0</v>
      </c>
    </row>
    <row r="5842" customFormat="false" ht="15" hidden="false" customHeight="false" outlineLevel="0" collapsed="false">
      <c r="A5842" s="0" t="s">
        <v>3131</v>
      </c>
      <c r="B5842" s="0" t="s">
        <v>62</v>
      </c>
      <c r="C5842" s="0" t="s">
        <v>63</v>
      </c>
      <c r="D5842" s="0" t="n">
        <v>18</v>
      </c>
      <c r="E5842" s="6" t="n">
        <v>40867.5236111111</v>
      </c>
      <c r="F5842" s="0" t="n">
        <v>2.08</v>
      </c>
      <c r="G5842" s="0" t="n">
        <v>12598</v>
      </c>
      <c r="H5842" s="0" t="s">
        <v>43</v>
      </c>
      <c r="I5842" s="7" t="n">
        <f aca="false">IF(AND(LEFT(A5842,1)&lt;&gt;"C",D5842&gt;0,F5842&gt;0),1,0)</f>
        <v>1</v>
      </c>
      <c r="J5842" s="7" t="n">
        <f aca="false">IF(I5842=1,D5842*F5842,0)</f>
        <v>37.44</v>
      </c>
      <c r="K5842" s="7" t="n">
        <f aca="false">YEAR(E5842)*100+MONTH(E5842)</f>
        <v>201111</v>
      </c>
      <c r="L5842" s="7" t="n">
        <f aca="false">IF(AND(A5842&lt;&gt;A5841,LEFT(A5842,1)&lt;&gt;"C"),1,0)</f>
        <v>0</v>
      </c>
    </row>
    <row r="5843" customFormat="false" ht="15" hidden="false" customHeight="false" outlineLevel="0" collapsed="false">
      <c r="A5843" s="0" t="s">
        <v>3131</v>
      </c>
      <c r="B5843" s="0" t="s">
        <v>64</v>
      </c>
      <c r="C5843" s="0" t="s">
        <v>65</v>
      </c>
      <c r="D5843" s="0" t="n">
        <v>12</v>
      </c>
      <c r="E5843" s="6" t="n">
        <v>40867.5236111111</v>
      </c>
      <c r="F5843" s="0" t="n">
        <v>1.65</v>
      </c>
      <c r="G5843" s="0" t="n">
        <v>12598</v>
      </c>
      <c r="H5843" s="0" t="s">
        <v>43</v>
      </c>
      <c r="I5843" s="7" t="n">
        <f aca="false">IF(AND(LEFT(A5843,1)&lt;&gt;"C",D5843&gt;0,F5843&gt;0),1,0)</f>
        <v>1</v>
      </c>
      <c r="J5843" s="7" t="n">
        <f aca="false">IF(I5843=1,D5843*F5843,0)</f>
        <v>19.8</v>
      </c>
      <c r="K5843" s="7" t="n">
        <f aca="false">YEAR(E5843)*100+MONTH(E5843)</f>
        <v>201111</v>
      </c>
      <c r="L5843" s="7" t="n">
        <f aca="false">IF(AND(A5843&lt;&gt;A5842,LEFT(A5843,1)&lt;&gt;"C"),1,0)</f>
        <v>0</v>
      </c>
    </row>
    <row r="5844" customFormat="false" ht="15" hidden="false" customHeight="false" outlineLevel="0" collapsed="false">
      <c r="A5844" s="0" t="s">
        <v>3131</v>
      </c>
      <c r="B5844" s="0" t="s">
        <v>2573</v>
      </c>
      <c r="C5844" s="0" t="s">
        <v>2574</v>
      </c>
      <c r="D5844" s="0" t="n">
        <v>4</v>
      </c>
      <c r="E5844" s="6" t="n">
        <v>40867.5236111111</v>
      </c>
      <c r="F5844" s="0" t="n">
        <v>3.75</v>
      </c>
      <c r="G5844" s="0" t="n">
        <v>12598</v>
      </c>
      <c r="H5844" s="0" t="s">
        <v>43</v>
      </c>
      <c r="I5844" s="7" t="n">
        <f aca="false">IF(AND(LEFT(A5844,1)&lt;&gt;"C",D5844&gt;0,F5844&gt;0),1,0)</f>
        <v>1</v>
      </c>
      <c r="J5844" s="7" t="n">
        <f aca="false">IF(I5844=1,D5844*F5844,0)</f>
        <v>15</v>
      </c>
      <c r="K5844" s="7" t="n">
        <f aca="false">YEAR(E5844)*100+MONTH(E5844)</f>
        <v>201111</v>
      </c>
      <c r="L5844" s="7" t="n">
        <f aca="false">IF(AND(A5844&lt;&gt;A5843,LEFT(A5844,1)&lt;&gt;"C"),1,0)</f>
        <v>0</v>
      </c>
    </row>
    <row r="5845" customFormat="false" ht="15" hidden="false" customHeight="false" outlineLevel="0" collapsed="false">
      <c r="A5845" s="0" t="s">
        <v>3131</v>
      </c>
      <c r="B5845" s="0" t="s">
        <v>2042</v>
      </c>
      <c r="C5845" s="0" t="s">
        <v>2043</v>
      </c>
      <c r="D5845" s="0" t="n">
        <v>12</v>
      </c>
      <c r="E5845" s="6" t="n">
        <v>40867.5236111111</v>
      </c>
      <c r="F5845" s="0" t="n">
        <v>0.85</v>
      </c>
      <c r="G5845" s="0" t="n">
        <v>12598</v>
      </c>
      <c r="H5845" s="0" t="s">
        <v>43</v>
      </c>
      <c r="I5845" s="7" t="n">
        <f aca="false">IF(AND(LEFT(A5845,1)&lt;&gt;"C",D5845&gt;0,F5845&gt;0),1,0)</f>
        <v>1</v>
      </c>
      <c r="J5845" s="7" t="n">
        <f aca="false">IF(I5845=1,D5845*F5845,0)</f>
        <v>10.2</v>
      </c>
      <c r="K5845" s="7" t="n">
        <f aca="false">YEAR(E5845)*100+MONTH(E5845)</f>
        <v>201111</v>
      </c>
      <c r="L5845" s="7" t="n">
        <f aca="false">IF(AND(A5845&lt;&gt;A5844,LEFT(A5845,1)&lt;&gt;"C"),1,0)</f>
        <v>0</v>
      </c>
    </row>
    <row r="5846" customFormat="false" ht="15" hidden="false" customHeight="false" outlineLevel="0" collapsed="false">
      <c r="A5846" s="0" t="s">
        <v>3131</v>
      </c>
      <c r="B5846" s="0" t="s">
        <v>457</v>
      </c>
      <c r="C5846" s="0" t="s">
        <v>458</v>
      </c>
      <c r="D5846" s="0" t="n">
        <v>12</v>
      </c>
      <c r="E5846" s="6" t="n">
        <v>40867.5236111111</v>
      </c>
      <c r="F5846" s="0" t="n">
        <v>1.25</v>
      </c>
      <c r="G5846" s="0" t="n">
        <v>12598</v>
      </c>
      <c r="H5846" s="0" t="s">
        <v>43</v>
      </c>
      <c r="I5846" s="7" t="n">
        <f aca="false">IF(AND(LEFT(A5846,1)&lt;&gt;"C",D5846&gt;0,F5846&gt;0),1,0)</f>
        <v>1</v>
      </c>
      <c r="J5846" s="7" t="n">
        <f aca="false">IF(I5846=1,D5846*F5846,0)</f>
        <v>15</v>
      </c>
      <c r="K5846" s="7" t="n">
        <f aca="false">YEAR(E5846)*100+MONTH(E5846)</f>
        <v>201111</v>
      </c>
      <c r="L5846" s="7" t="n">
        <f aca="false">IF(AND(A5846&lt;&gt;A5845,LEFT(A5846,1)&lt;&gt;"C"),1,0)</f>
        <v>0</v>
      </c>
    </row>
    <row r="5847" customFormat="false" ht="15" hidden="false" customHeight="false" outlineLevel="0" collapsed="false">
      <c r="A5847" s="0" t="s">
        <v>3131</v>
      </c>
      <c r="B5847" s="0" t="s">
        <v>113</v>
      </c>
      <c r="C5847" s="0" t="s">
        <v>114</v>
      </c>
      <c r="D5847" s="0" t="n">
        <v>12</v>
      </c>
      <c r="E5847" s="6" t="n">
        <v>40867.5236111111</v>
      </c>
      <c r="F5847" s="0" t="n">
        <v>1.25</v>
      </c>
      <c r="G5847" s="0" t="n">
        <v>12598</v>
      </c>
      <c r="H5847" s="0" t="s">
        <v>43</v>
      </c>
      <c r="I5847" s="7" t="n">
        <f aca="false">IF(AND(LEFT(A5847,1)&lt;&gt;"C",D5847&gt;0,F5847&gt;0),1,0)</f>
        <v>1</v>
      </c>
      <c r="J5847" s="7" t="n">
        <f aca="false">IF(I5847=1,D5847*F5847,0)</f>
        <v>15</v>
      </c>
      <c r="K5847" s="7" t="n">
        <f aca="false">YEAR(E5847)*100+MONTH(E5847)</f>
        <v>201111</v>
      </c>
      <c r="L5847" s="7" t="n">
        <f aca="false">IF(AND(A5847&lt;&gt;A5846,LEFT(A5847,1)&lt;&gt;"C"),1,0)</f>
        <v>0</v>
      </c>
    </row>
    <row r="5848" customFormat="false" ht="15" hidden="false" customHeight="false" outlineLevel="0" collapsed="false">
      <c r="A5848" s="0" t="s">
        <v>3131</v>
      </c>
      <c r="B5848" s="0" t="s">
        <v>241</v>
      </c>
      <c r="C5848" s="0" t="s">
        <v>242</v>
      </c>
      <c r="D5848" s="0" t="n">
        <v>12</v>
      </c>
      <c r="E5848" s="6" t="n">
        <v>40867.5236111111</v>
      </c>
      <c r="F5848" s="0" t="n">
        <v>1.45</v>
      </c>
      <c r="G5848" s="0" t="n">
        <v>12598</v>
      </c>
      <c r="H5848" s="0" t="s">
        <v>43</v>
      </c>
      <c r="I5848" s="7" t="n">
        <f aca="false">IF(AND(LEFT(A5848,1)&lt;&gt;"C",D5848&gt;0,F5848&gt;0),1,0)</f>
        <v>1</v>
      </c>
      <c r="J5848" s="7" t="n">
        <f aca="false">IF(I5848=1,D5848*F5848,0)</f>
        <v>17.4</v>
      </c>
      <c r="K5848" s="7" t="n">
        <f aca="false">YEAR(E5848)*100+MONTH(E5848)</f>
        <v>201111</v>
      </c>
      <c r="L5848" s="7" t="n">
        <f aca="false">IF(AND(A5848&lt;&gt;A5847,LEFT(A5848,1)&lt;&gt;"C"),1,0)</f>
        <v>0</v>
      </c>
    </row>
    <row r="5849" customFormat="false" ht="15" hidden="false" customHeight="false" outlineLevel="0" collapsed="false">
      <c r="A5849" s="0" t="s">
        <v>3131</v>
      </c>
      <c r="B5849" s="0" t="s">
        <v>2655</v>
      </c>
      <c r="C5849" s="0" t="s">
        <v>2656</v>
      </c>
      <c r="D5849" s="0" t="n">
        <v>4</v>
      </c>
      <c r="E5849" s="6" t="n">
        <v>40867.5236111111</v>
      </c>
      <c r="F5849" s="0" t="n">
        <v>4.95</v>
      </c>
      <c r="G5849" s="0" t="n">
        <v>12598</v>
      </c>
      <c r="H5849" s="0" t="s">
        <v>43</v>
      </c>
      <c r="I5849" s="7" t="n">
        <f aca="false">IF(AND(LEFT(A5849,1)&lt;&gt;"C",D5849&gt;0,F5849&gt;0),1,0)</f>
        <v>1</v>
      </c>
      <c r="J5849" s="7" t="n">
        <f aca="false">IF(I5849=1,D5849*F5849,0)</f>
        <v>19.8</v>
      </c>
      <c r="K5849" s="7" t="n">
        <f aca="false">YEAR(E5849)*100+MONTH(E5849)</f>
        <v>201111</v>
      </c>
      <c r="L5849" s="7" t="n">
        <f aca="false">IF(AND(A5849&lt;&gt;A5848,LEFT(A5849,1)&lt;&gt;"C"),1,0)</f>
        <v>0</v>
      </c>
    </row>
    <row r="5850" customFormat="false" ht="15" hidden="false" customHeight="false" outlineLevel="0" collapsed="false">
      <c r="A5850" s="0" t="s">
        <v>3131</v>
      </c>
      <c r="B5850" s="0" t="s">
        <v>2544</v>
      </c>
      <c r="C5850" s="0" t="s">
        <v>2545</v>
      </c>
      <c r="D5850" s="0" t="n">
        <v>12</v>
      </c>
      <c r="E5850" s="6" t="n">
        <v>40867.5236111111</v>
      </c>
      <c r="F5850" s="0" t="n">
        <v>1.65</v>
      </c>
      <c r="G5850" s="0" t="n">
        <v>12598</v>
      </c>
      <c r="H5850" s="0" t="s">
        <v>43</v>
      </c>
      <c r="I5850" s="7" t="n">
        <f aca="false">IF(AND(LEFT(A5850,1)&lt;&gt;"C",D5850&gt;0,F5850&gt;0),1,0)</f>
        <v>1</v>
      </c>
      <c r="J5850" s="7" t="n">
        <f aca="false">IF(I5850=1,D5850*F5850,0)</f>
        <v>19.8</v>
      </c>
      <c r="K5850" s="7" t="n">
        <f aca="false">YEAR(E5850)*100+MONTH(E5850)</f>
        <v>201111</v>
      </c>
      <c r="L5850" s="7" t="n">
        <f aca="false">IF(AND(A5850&lt;&gt;A5849,LEFT(A5850,1)&lt;&gt;"C"),1,0)</f>
        <v>0</v>
      </c>
    </row>
    <row r="5851" customFormat="false" ht="15" hidden="false" customHeight="false" outlineLevel="0" collapsed="false">
      <c r="A5851" s="0" t="s">
        <v>3131</v>
      </c>
      <c r="B5851" s="0" t="s">
        <v>2593</v>
      </c>
      <c r="C5851" s="0" t="s">
        <v>2594</v>
      </c>
      <c r="D5851" s="0" t="n">
        <v>12</v>
      </c>
      <c r="E5851" s="6" t="n">
        <v>40867.5236111111</v>
      </c>
      <c r="F5851" s="0" t="n">
        <v>1.25</v>
      </c>
      <c r="G5851" s="0" t="n">
        <v>12598</v>
      </c>
      <c r="H5851" s="0" t="s">
        <v>43</v>
      </c>
      <c r="I5851" s="7" t="n">
        <f aca="false">IF(AND(LEFT(A5851,1)&lt;&gt;"C",D5851&gt;0,F5851&gt;0),1,0)</f>
        <v>1</v>
      </c>
      <c r="J5851" s="7" t="n">
        <f aca="false">IF(I5851=1,D5851*F5851,0)</f>
        <v>15</v>
      </c>
      <c r="K5851" s="7" t="n">
        <f aca="false">YEAR(E5851)*100+MONTH(E5851)</f>
        <v>201111</v>
      </c>
      <c r="L5851" s="7" t="n">
        <f aca="false">IF(AND(A5851&lt;&gt;A5850,LEFT(A5851,1)&lt;&gt;"C"),1,0)</f>
        <v>0</v>
      </c>
    </row>
    <row r="5852" customFormat="false" ht="15" hidden="false" customHeight="false" outlineLevel="0" collapsed="false">
      <c r="A5852" s="0" t="s">
        <v>3131</v>
      </c>
      <c r="B5852" s="0" t="s">
        <v>402</v>
      </c>
      <c r="C5852" s="0" t="s">
        <v>403</v>
      </c>
      <c r="D5852" s="0" t="n">
        <v>12</v>
      </c>
      <c r="E5852" s="6" t="n">
        <v>40867.5236111111</v>
      </c>
      <c r="F5852" s="0" t="n">
        <v>0.85</v>
      </c>
      <c r="G5852" s="0" t="n">
        <v>12598</v>
      </c>
      <c r="H5852" s="0" t="s">
        <v>43</v>
      </c>
      <c r="I5852" s="7" t="n">
        <f aca="false">IF(AND(LEFT(A5852,1)&lt;&gt;"C",D5852&gt;0,F5852&gt;0),1,0)</f>
        <v>1</v>
      </c>
      <c r="J5852" s="7" t="n">
        <f aca="false">IF(I5852=1,D5852*F5852,0)</f>
        <v>10.2</v>
      </c>
      <c r="K5852" s="7" t="n">
        <f aca="false">YEAR(E5852)*100+MONTH(E5852)</f>
        <v>201111</v>
      </c>
      <c r="L5852" s="7" t="n">
        <f aca="false">IF(AND(A5852&lt;&gt;A5851,LEFT(A5852,1)&lt;&gt;"C"),1,0)</f>
        <v>0</v>
      </c>
    </row>
    <row r="5853" customFormat="false" ht="15" hidden="false" customHeight="false" outlineLevel="0" collapsed="false">
      <c r="A5853" s="0" t="s">
        <v>3131</v>
      </c>
      <c r="B5853" s="0" t="s">
        <v>1048</v>
      </c>
      <c r="C5853" s="0" t="s">
        <v>1049</v>
      </c>
      <c r="D5853" s="0" t="n">
        <v>4</v>
      </c>
      <c r="E5853" s="6" t="n">
        <v>40867.5236111111</v>
      </c>
      <c r="F5853" s="0" t="n">
        <v>4.15</v>
      </c>
      <c r="G5853" s="0" t="n">
        <v>12598</v>
      </c>
      <c r="H5853" s="0" t="s">
        <v>43</v>
      </c>
      <c r="I5853" s="7" t="n">
        <f aca="false">IF(AND(LEFT(A5853,1)&lt;&gt;"C",D5853&gt;0,F5853&gt;0),1,0)</f>
        <v>1</v>
      </c>
      <c r="J5853" s="7" t="n">
        <f aca="false">IF(I5853=1,D5853*F5853,0)</f>
        <v>16.6</v>
      </c>
      <c r="K5853" s="7" t="n">
        <f aca="false">YEAR(E5853)*100+MONTH(E5853)</f>
        <v>201111</v>
      </c>
      <c r="L5853" s="7" t="n">
        <f aca="false">IF(AND(A5853&lt;&gt;A5852,LEFT(A5853,1)&lt;&gt;"C"),1,0)</f>
        <v>0</v>
      </c>
    </row>
    <row r="5854" customFormat="false" ht="15" hidden="false" customHeight="false" outlineLevel="0" collapsed="false">
      <c r="A5854" s="0" t="s">
        <v>3131</v>
      </c>
      <c r="B5854" s="0" t="s">
        <v>473</v>
      </c>
      <c r="C5854" s="0" t="s">
        <v>474</v>
      </c>
      <c r="D5854" s="0" t="n">
        <v>2</v>
      </c>
      <c r="E5854" s="6" t="n">
        <v>40867.5236111111</v>
      </c>
      <c r="F5854" s="0" t="n">
        <v>9.95</v>
      </c>
      <c r="G5854" s="0" t="n">
        <v>12598</v>
      </c>
      <c r="H5854" s="0" t="s">
        <v>43</v>
      </c>
      <c r="I5854" s="7" t="n">
        <f aca="false">IF(AND(LEFT(A5854,1)&lt;&gt;"C",D5854&gt;0,F5854&gt;0),1,0)</f>
        <v>1</v>
      </c>
      <c r="J5854" s="7" t="n">
        <f aca="false">IF(I5854=1,D5854*F5854,0)</f>
        <v>19.9</v>
      </c>
      <c r="K5854" s="7" t="n">
        <f aca="false">YEAR(E5854)*100+MONTH(E5854)</f>
        <v>201111</v>
      </c>
      <c r="L5854" s="7" t="n">
        <f aca="false">IF(AND(A5854&lt;&gt;A5853,LEFT(A5854,1)&lt;&gt;"C"),1,0)</f>
        <v>0</v>
      </c>
    </row>
    <row r="5855" customFormat="false" ht="15" hidden="false" customHeight="false" outlineLevel="0" collapsed="false">
      <c r="A5855" s="0" t="s">
        <v>3132</v>
      </c>
      <c r="B5855" s="0" t="s">
        <v>1302</v>
      </c>
      <c r="C5855" s="0" t="s">
        <v>1303</v>
      </c>
      <c r="D5855" s="0" t="n">
        <v>8</v>
      </c>
      <c r="E5855" s="6" t="n">
        <v>40867.5381944445</v>
      </c>
      <c r="F5855" s="0" t="n">
        <v>2.49</v>
      </c>
      <c r="G5855" s="0" t="n">
        <v>12523</v>
      </c>
      <c r="H5855" s="0" t="s">
        <v>43</v>
      </c>
      <c r="I5855" s="7" t="n">
        <f aca="false">IF(AND(LEFT(A5855,1)&lt;&gt;"C",D5855&gt;0,F5855&gt;0),1,0)</f>
        <v>1</v>
      </c>
      <c r="J5855" s="7" t="n">
        <f aca="false">IF(I5855=1,D5855*F5855,0)</f>
        <v>19.92</v>
      </c>
      <c r="K5855" s="7" t="n">
        <f aca="false">YEAR(E5855)*100+MONTH(E5855)</f>
        <v>201111</v>
      </c>
      <c r="L5855" s="7" t="n">
        <f aca="false">IF(AND(A5855&lt;&gt;A5854,LEFT(A5855,1)&lt;&gt;"C"),1,0)</f>
        <v>1</v>
      </c>
    </row>
    <row r="5856" customFormat="false" ht="15" hidden="false" customHeight="false" outlineLevel="0" collapsed="false">
      <c r="A5856" s="0" t="s">
        <v>3132</v>
      </c>
      <c r="B5856" s="0" t="s">
        <v>2046</v>
      </c>
      <c r="C5856" s="0" t="s">
        <v>2047</v>
      </c>
      <c r="D5856" s="0" t="n">
        <v>6</v>
      </c>
      <c r="E5856" s="6" t="n">
        <v>40867.5381944445</v>
      </c>
      <c r="F5856" s="0" t="n">
        <v>2.95</v>
      </c>
      <c r="G5856" s="0" t="n">
        <v>12523</v>
      </c>
      <c r="H5856" s="0" t="s">
        <v>43</v>
      </c>
      <c r="I5856" s="7" t="n">
        <f aca="false">IF(AND(LEFT(A5856,1)&lt;&gt;"C",D5856&gt;0,F5856&gt;0),1,0)</f>
        <v>1</v>
      </c>
      <c r="J5856" s="7" t="n">
        <f aca="false">IF(I5856=1,D5856*F5856,0)</f>
        <v>17.7</v>
      </c>
      <c r="K5856" s="7" t="n">
        <f aca="false">YEAR(E5856)*100+MONTH(E5856)</f>
        <v>201111</v>
      </c>
      <c r="L5856" s="7" t="n">
        <f aca="false">IF(AND(A5856&lt;&gt;A5855,LEFT(A5856,1)&lt;&gt;"C"),1,0)</f>
        <v>0</v>
      </c>
    </row>
    <row r="5857" customFormat="false" ht="15" hidden="false" customHeight="false" outlineLevel="0" collapsed="false">
      <c r="A5857" s="0" t="s">
        <v>3132</v>
      </c>
      <c r="B5857" s="0" t="s">
        <v>3133</v>
      </c>
      <c r="C5857" s="0" t="s">
        <v>3134</v>
      </c>
      <c r="D5857" s="0" t="n">
        <v>2</v>
      </c>
      <c r="E5857" s="6" t="n">
        <v>40867.5381944445</v>
      </c>
      <c r="F5857" s="0" t="n">
        <v>9.95</v>
      </c>
      <c r="G5857" s="0" t="n">
        <v>12523</v>
      </c>
      <c r="H5857" s="0" t="s">
        <v>43</v>
      </c>
      <c r="I5857" s="7" t="n">
        <f aca="false">IF(AND(LEFT(A5857,1)&lt;&gt;"C",D5857&gt;0,F5857&gt;0),1,0)</f>
        <v>1</v>
      </c>
      <c r="J5857" s="7" t="n">
        <f aca="false">IF(I5857=1,D5857*F5857,0)</f>
        <v>19.9</v>
      </c>
      <c r="K5857" s="7" t="n">
        <f aca="false">YEAR(E5857)*100+MONTH(E5857)</f>
        <v>201111</v>
      </c>
      <c r="L5857" s="7" t="n">
        <f aca="false">IF(AND(A5857&lt;&gt;A5856,LEFT(A5857,1)&lt;&gt;"C"),1,0)</f>
        <v>0</v>
      </c>
    </row>
    <row r="5858" customFormat="false" ht="15" hidden="false" customHeight="false" outlineLevel="0" collapsed="false">
      <c r="A5858" s="0" t="s">
        <v>3132</v>
      </c>
      <c r="B5858" s="0" t="s">
        <v>1061</v>
      </c>
      <c r="C5858" s="0" t="s">
        <v>1062</v>
      </c>
      <c r="D5858" s="0" t="n">
        <v>6</v>
      </c>
      <c r="E5858" s="6" t="n">
        <v>40867.5381944445</v>
      </c>
      <c r="F5858" s="0" t="n">
        <v>3.25</v>
      </c>
      <c r="G5858" s="0" t="n">
        <v>12523</v>
      </c>
      <c r="H5858" s="0" t="s">
        <v>43</v>
      </c>
      <c r="I5858" s="7" t="n">
        <f aca="false">IF(AND(LEFT(A5858,1)&lt;&gt;"C",D5858&gt;0,F5858&gt;0),1,0)</f>
        <v>1</v>
      </c>
      <c r="J5858" s="7" t="n">
        <f aca="false">IF(I5858=1,D5858*F5858,0)</f>
        <v>19.5</v>
      </c>
      <c r="K5858" s="7" t="n">
        <f aca="false">YEAR(E5858)*100+MONTH(E5858)</f>
        <v>201111</v>
      </c>
      <c r="L5858" s="7" t="n">
        <f aca="false">IF(AND(A5858&lt;&gt;A5857,LEFT(A5858,1)&lt;&gt;"C"),1,0)</f>
        <v>0</v>
      </c>
    </row>
    <row r="5859" customFormat="false" ht="15" hidden="false" customHeight="false" outlineLevel="0" collapsed="false">
      <c r="A5859" s="0" t="s">
        <v>3132</v>
      </c>
      <c r="B5859" s="0" t="s">
        <v>1110</v>
      </c>
      <c r="C5859" s="0" t="s">
        <v>1111</v>
      </c>
      <c r="D5859" s="0" t="n">
        <v>6</v>
      </c>
      <c r="E5859" s="6" t="n">
        <v>40867.5381944445</v>
      </c>
      <c r="F5859" s="0" t="n">
        <v>4.15</v>
      </c>
      <c r="G5859" s="0" t="n">
        <v>12523</v>
      </c>
      <c r="H5859" s="0" t="s">
        <v>43</v>
      </c>
      <c r="I5859" s="7" t="n">
        <f aca="false">IF(AND(LEFT(A5859,1)&lt;&gt;"C",D5859&gt;0,F5859&gt;0),1,0)</f>
        <v>1</v>
      </c>
      <c r="J5859" s="7" t="n">
        <f aca="false">IF(I5859=1,D5859*F5859,0)</f>
        <v>24.9</v>
      </c>
      <c r="K5859" s="7" t="n">
        <f aca="false">YEAR(E5859)*100+MONTH(E5859)</f>
        <v>201111</v>
      </c>
      <c r="L5859" s="7" t="n">
        <f aca="false">IF(AND(A5859&lt;&gt;A5858,LEFT(A5859,1)&lt;&gt;"C"),1,0)</f>
        <v>0</v>
      </c>
    </row>
    <row r="5860" customFormat="false" ht="15" hidden="false" customHeight="false" outlineLevel="0" collapsed="false">
      <c r="A5860" s="0" t="s">
        <v>3132</v>
      </c>
      <c r="B5860" s="0" t="s">
        <v>148</v>
      </c>
      <c r="C5860" s="0" t="s">
        <v>149</v>
      </c>
      <c r="D5860" s="0" t="n">
        <v>2</v>
      </c>
      <c r="E5860" s="6" t="n">
        <v>40867.5381944445</v>
      </c>
      <c r="F5860" s="0" t="n">
        <v>12.75</v>
      </c>
      <c r="G5860" s="0" t="n">
        <v>12523</v>
      </c>
      <c r="H5860" s="0" t="s">
        <v>43</v>
      </c>
      <c r="I5860" s="7" t="n">
        <f aca="false">IF(AND(LEFT(A5860,1)&lt;&gt;"C",D5860&gt;0,F5860&gt;0),1,0)</f>
        <v>1</v>
      </c>
      <c r="J5860" s="7" t="n">
        <f aca="false">IF(I5860=1,D5860*F5860,0)</f>
        <v>25.5</v>
      </c>
      <c r="K5860" s="7" t="n">
        <f aca="false">YEAR(E5860)*100+MONTH(E5860)</f>
        <v>201111</v>
      </c>
      <c r="L5860" s="7" t="n">
        <f aca="false">IF(AND(A5860&lt;&gt;A5859,LEFT(A5860,1)&lt;&gt;"C"),1,0)</f>
        <v>0</v>
      </c>
    </row>
    <row r="5861" customFormat="false" ht="15" hidden="false" customHeight="false" outlineLevel="0" collapsed="false">
      <c r="A5861" s="0" t="s">
        <v>3132</v>
      </c>
      <c r="B5861" s="0" t="s">
        <v>823</v>
      </c>
      <c r="C5861" s="0" t="s">
        <v>824</v>
      </c>
      <c r="D5861" s="0" t="n">
        <v>6</v>
      </c>
      <c r="E5861" s="6" t="n">
        <v>40867.5381944445</v>
      </c>
      <c r="F5861" s="0" t="n">
        <v>2.95</v>
      </c>
      <c r="G5861" s="0" t="n">
        <v>12523</v>
      </c>
      <c r="H5861" s="0" t="s">
        <v>43</v>
      </c>
      <c r="I5861" s="7" t="n">
        <f aca="false">IF(AND(LEFT(A5861,1)&lt;&gt;"C",D5861&gt;0,F5861&gt;0),1,0)</f>
        <v>1</v>
      </c>
      <c r="J5861" s="7" t="n">
        <f aca="false">IF(I5861=1,D5861*F5861,0)</f>
        <v>17.7</v>
      </c>
      <c r="K5861" s="7" t="n">
        <f aca="false">YEAR(E5861)*100+MONTH(E5861)</f>
        <v>201111</v>
      </c>
      <c r="L5861" s="7" t="n">
        <f aca="false">IF(AND(A5861&lt;&gt;A5860,LEFT(A5861,1)&lt;&gt;"C"),1,0)</f>
        <v>0</v>
      </c>
    </row>
    <row r="5862" customFormat="false" ht="15" hidden="false" customHeight="false" outlineLevel="0" collapsed="false">
      <c r="A5862" s="0" t="s">
        <v>3132</v>
      </c>
      <c r="B5862" s="0" t="s">
        <v>661</v>
      </c>
      <c r="C5862" s="0" t="s">
        <v>662</v>
      </c>
      <c r="D5862" s="0" t="n">
        <v>2</v>
      </c>
      <c r="E5862" s="6" t="n">
        <v>40867.5381944445</v>
      </c>
      <c r="F5862" s="0" t="n">
        <v>9.95</v>
      </c>
      <c r="G5862" s="0" t="n">
        <v>12523</v>
      </c>
      <c r="H5862" s="0" t="s">
        <v>43</v>
      </c>
      <c r="I5862" s="7" t="n">
        <f aca="false">IF(AND(LEFT(A5862,1)&lt;&gt;"C",D5862&gt;0,F5862&gt;0),1,0)</f>
        <v>1</v>
      </c>
      <c r="J5862" s="7" t="n">
        <f aca="false">IF(I5862=1,D5862*F5862,0)</f>
        <v>19.9</v>
      </c>
      <c r="K5862" s="7" t="n">
        <f aca="false">YEAR(E5862)*100+MONTH(E5862)</f>
        <v>201111</v>
      </c>
      <c r="L5862" s="7" t="n">
        <f aca="false">IF(AND(A5862&lt;&gt;A5861,LEFT(A5862,1)&lt;&gt;"C"),1,0)</f>
        <v>0</v>
      </c>
    </row>
    <row r="5863" customFormat="false" ht="15" hidden="false" customHeight="false" outlineLevel="0" collapsed="false">
      <c r="A5863" s="0" t="s">
        <v>3132</v>
      </c>
      <c r="B5863" s="0" t="s">
        <v>3135</v>
      </c>
      <c r="C5863" s="0" t="s">
        <v>3136</v>
      </c>
      <c r="D5863" s="0" t="n">
        <v>1</v>
      </c>
      <c r="E5863" s="6" t="n">
        <v>40867.5381944445</v>
      </c>
      <c r="F5863" s="0" t="n">
        <v>12.5</v>
      </c>
      <c r="G5863" s="0" t="n">
        <v>12523</v>
      </c>
      <c r="H5863" s="0" t="s">
        <v>43</v>
      </c>
      <c r="I5863" s="7" t="n">
        <f aca="false">IF(AND(LEFT(A5863,1)&lt;&gt;"C",D5863&gt;0,F5863&gt;0),1,0)</f>
        <v>1</v>
      </c>
      <c r="J5863" s="7" t="n">
        <f aca="false">IF(I5863=1,D5863*F5863,0)</f>
        <v>12.5</v>
      </c>
      <c r="K5863" s="7" t="n">
        <f aca="false">YEAR(E5863)*100+MONTH(E5863)</f>
        <v>201111</v>
      </c>
      <c r="L5863" s="7" t="n">
        <f aca="false">IF(AND(A5863&lt;&gt;A5862,LEFT(A5863,1)&lt;&gt;"C"),1,0)</f>
        <v>0</v>
      </c>
    </row>
    <row r="5864" customFormat="false" ht="15" hidden="false" customHeight="false" outlineLevel="0" collapsed="false">
      <c r="A5864" s="0" t="s">
        <v>3132</v>
      </c>
      <c r="B5864" s="0" t="s">
        <v>3137</v>
      </c>
      <c r="C5864" s="0" t="s">
        <v>3138</v>
      </c>
      <c r="D5864" s="0" t="n">
        <v>24</v>
      </c>
      <c r="E5864" s="6" t="n">
        <v>40867.5381944445</v>
      </c>
      <c r="F5864" s="0" t="n">
        <v>1.25</v>
      </c>
      <c r="G5864" s="0" t="n">
        <v>12523</v>
      </c>
      <c r="H5864" s="0" t="s">
        <v>43</v>
      </c>
      <c r="I5864" s="7" t="n">
        <f aca="false">IF(AND(LEFT(A5864,1)&lt;&gt;"C",D5864&gt;0,F5864&gt;0),1,0)</f>
        <v>1</v>
      </c>
      <c r="J5864" s="7" t="n">
        <f aca="false">IF(I5864=1,D5864*F5864,0)</f>
        <v>30</v>
      </c>
      <c r="K5864" s="7" t="n">
        <f aca="false">YEAR(E5864)*100+MONTH(E5864)</f>
        <v>201111</v>
      </c>
      <c r="L5864" s="7" t="n">
        <f aca="false">IF(AND(A5864&lt;&gt;A5863,LEFT(A5864,1)&lt;&gt;"C"),1,0)</f>
        <v>0</v>
      </c>
    </row>
    <row r="5865" customFormat="false" ht="15" hidden="false" customHeight="false" outlineLevel="0" collapsed="false">
      <c r="A5865" s="0" t="s">
        <v>3132</v>
      </c>
      <c r="B5865" s="0" t="s">
        <v>1104</v>
      </c>
      <c r="C5865" s="0" t="s">
        <v>1105</v>
      </c>
      <c r="D5865" s="0" t="n">
        <v>6</v>
      </c>
      <c r="E5865" s="6" t="n">
        <v>40867.5381944445</v>
      </c>
      <c r="F5865" s="0" t="n">
        <v>2.55</v>
      </c>
      <c r="G5865" s="0" t="n">
        <v>12523</v>
      </c>
      <c r="H5865" s="0" t="s">
        <v>43</v>
      </c>
      <c r="I5865" s="7" t="n">
        <f aca="false">IF(AND(LEFT(A5865,1)&lt;&gt;"C",D5865&gt;0,F5865&gt;0),1,0)</f>
        <v>1</v>
      </c>
      <c r="J5865" s="7" t="n">
        <f aca="false">IF(I5865=1,D5865*F5865,0)</f>
        <v>15.3</v>
      </c>
      <c r="K5865" s="7" t="n">
        <f aca="false">YEAR(E5865)*100+MONTH(E5865)</f>
        <v>201111</v>
      </c>
      <c r="L5865" s="7" t="n">
        <f aca="false">IF(AND(A5865&lt;&gt;A5864,LEFT(A5865,1)&lt;&gt;"C"),1,0)</f>
        <v>0</v>
      </c>
    </row>
    <row r="5866" customFormat="false" ht="15" hidden="false" customHeight="false" outlineLevel="0" collapsed="false">
      <c r="A5866" s="0" t="s">
        <v>3132</v>
      </c>
      <c r="B5866" s="0" t="s">
        <v>136</v>
      </c>
      <c r="C5866" s="0" t="s">
        <v>137</v>
      </c>
      <c r="D5866" s="0" t="n">
        <v>4</v>
      </c>
      <c r="E5866" s="6" t="n">
        <v>40867.5381944445</v>
      </c>
      <c r="F5866" s="0" t="n">
        <v>4.95</v>
      </c>
      <c r="G5866" s="0" t="n">
        <v>12523</v>
      </c>
      <c r="H5866" s="0" t="s">
        <v>43</v>
      </c>
      <c r="I5866" s="7" t="n">
        <f aca="false">IF(AND(LEFT(A5866,1)&lt;&gt;"C",D5866&gt;0,F5866&gt;0),1,0)</f>
        <v>1</v>
      </c>
      <c r="J5866" s="7" t="n">
        <f aca="false">IF(I5866=1,D5866*F5866,0)</f>
        <v>19.8</v>
      </c>
      <c r="K5866" s="7" t="n">
        <f aca="false">YEAR(E5866)*100+MONTH(E5866)</f>
        <v>201111</v>
      </c>
      <c r="L5866" s="7" t="n">
        <f aca="false">IF(AND(A5866&lt;&gt;A5865,LEFT(A5866,1)&lt;&gt;"C"),1,0)</f>
        <v>0</v>
      </c>
    </row>
    <row r="5867" customFormat="false" ht="15" hidden="false" customHeight="false" outlineLevel="0" collapsed="false">
      <c r="A5867" s="0" t="s">
        <v>3132</v>
      </c>
      <c r="B5867" s="0" t="s">
        <v>1134</v>
      </c>
      <c r="C5867" s="0" t="s">
        <v>1135</v>
      </c>
      <c r="D5867" s="0" t="n">
        <v>4</v>
      </c>
      <c r="E5867" s="6" t="n">
        <v>40867.5381944445</v>
      </c>
      <c r="F5867" s="0" t="n">
        <v>4.95</v>
      </c>
      <c r="G5867" s="0" t="n">
        <v>12523</v>
      </c>
      <c r="H5867" s="0" t="s">
        <v>43</v>
      </c>
      <c r="I5867" s="7" t="n">
        <f aca="false">IF(AND(LEFT(A5867,1)&lt;&gt;"C",D5867&gt;0,F5867&gt;0),1,0)</f>
        <v>1</v>
      </c>
      <c r="J5867" s="7" t="n">
        <f aca="false">IF(I5867=1,D5867*F5867,0)</f>
        <v>19.8</v>
      </c>
      <c r="K5867" s="7" t="n">
        <f aca="false">YEAR(E5867)*100+MONTH(E5867)</f>
        <v>201111</v>
      </c>
      <c r="L5867" s="7" t="n">
        <f aca="false">IF(AND(A5867&lt;&gt;A5866,LEFT(A5867,1)&lt;&gt;"C"),1,0)</f>
        <v>0</v>
      </c>
    </row>
    <row r="5868" customFormat="false" ht="15" hidden="false" customHeight="false" outlineLevel="0" collapsed="false">
      <c r="A5868" s="0" t="s">
        <v>3139</v>
      </c>
      <c r="B5868" s="0" t="s">
        <v>1380</v>
      </c>
      <c r="C5868" s="0" t="s">
        <v>1381</v>
      </c>
      <c r="D5868" s="0" t="n">
        <v>24</v>
      </c>
      <c r="E5868" s="6" t="n">
        <v>40868.4319444444</v>
      </c>
      <c r="F5868" s="0" t="n">
        <v>0.55</v>
      </c>
      <c r="G5868" s="0" t="n">
        <v>12658</v>
      </c>
      <c r="H5868" s="0" t="s">
        <v>33</v>
      </c>
      <c r="I5868" s="7" t="n">
        <f aca="false">IF(AND(LEFT(A5868,1)&lt;&gt;"C",D5868&gt;0,F5868&gt;0),1,0)</f>
        <v>1</v>
      </c>
      <c r="J5868" s="7" t="n">
        <f aca="false">IF(I5868=1,D5868*F5868,0)</f>
        <v>13.2</v>
      </c>
      <c r="K5868" s="7" t="n">
        <f aca="false">YEAR(E5868)*100+MONTH(E5868)</f>
        <v>201111</v>
      </c>
      <c r="L5868" s="7" t="n">
        <f aca="false">IF(AND(A5868&lt;&gt;A5867,LEFT(A5868,1)&lt;&gt;"C"),1,0)</f>
        <v>1</v>
      </c>
    </row>
    <row r="5869" customFormat="false" ht="15" hidden="false" customHeight="false" outlineLevel="0" collapsed="false">
      <c r="A5869" s="0" t="s">
        <v>3139</v>
      </c>
      <c r="B5869" s="0" t="s">
        <v>1122</v>
      </c>
      <c r="C5869" s="0" t="s">
        <v>1123</v>
      </c>
      <c r="D5869" s="0" t="n">
        <v>12</v>
      </c>
      <c r="E5869" s="6" t="n">
        <v>40868.4319444444</v>
      </c>
      <c r="F5869" s="0" t="n">
        <v>0.83</v>
      </c>
      <c r="G5869" s="0" t="n">
        <v>12658</v>
      </c>
      <c r="H5869" s="0" t="s">
        <v>33</v>
      </c>
      <c r="I5869" s="7" t="n">
        <f aca="false">IF(AND(LEFT(A5869,1)&lt;&gt;"C",D5869&gt;0,F5869&gt;0),1,0)</f>
        <v>1</v>
      </c>
      <c r="J5869" s="7" t="n">
        <f aca="false">IF(I5869=1,D5869*F5869,0)</f>
        <v>9.96</v>
      </c>
      <c r="K5869" s="7" t="n">
        <f aca="false">YEAR(E5869)*100+MONTH(E5869)</f>
        <v>201111</v>
      </c>
      <c r="L5869" s="7" t="n">
        <f aca="false">IF(AND(A5869&lt;&gt;A5868,LEFT(A5869,1)&lt;&gt;"C"),1,0)</f>
        <v>0</v>
      </c>
    </row>
    <row r="5870" customFormat="false" ht="15" hidden="false" customHeight="false" outlineLevel="0" collapsed="false">
      <c r="A5870" s="0" t="s">
        <v>3139</v>
      </c>
      <c r="B5870" s="0" t="s">
        <v>2701</v>
      </c>
      <c r="C5870" s="0" t="s">
        <v>2702</v>
      </c>
      <c r="D5870" s="0" t="n">
        <v>12</v>
      </c>
      <c r="E5870" s="6" t="n">
        <v>40868.4319444444</v>
      </c>
      <c r="F5870" s="0" t="n">
        <v>1.25</v>
      </c>
      <c r="G5870" s="0" t="n">
        <v>12658</v>
      </c>
      <c r="H5870" s="0" t="s">
        <v>33</v>
      </c>
      <c r="I5870" s="7" t="n">
        <f aca="false">IF(AND(LEFT(A5870,1)&lt;&gt;"C",D5870&gt;0,F5870&gt;0),1,0)</f>
        <v>1</v>
      </c>
      <c r="J5870" s="7" t="n">
        <f aca="false">IF(I5870=1,D5870*F5870,0)</f>
        <v>15</v>
      </c>
      <c r="K5870" s="7" t="n">
        <f aca="false">YEAR(E5870)*100+MONTH(E5870)</f>
        <v>201111</v>
      </c>
      <c r="L5870" s="7" t="n">
        <f aca="false">IF(AND(A5870&lt;&gt;A5869,LEFT(A5870,1)&lt;&gt;"C"),1,0)</f>
        <v>0</v>
      </c>
    </row>
    <row r="5871" customFormat="false" ht="15" hidden="false" customHeight="false" outlineLevel="0" collapsed="false">
      <c r="A5871" s="0" t="s">
        <v>3139</v>
      </c>
      <c r="B5871" s="0" t="s">
        <v>2613</v>
      </c>
      <c r="C5871" s="0" t="s">
        <v>2614</v>
      </c>
      <c r="D5871" s="0" t="n">
        <v>12</v>
      </c>
      <c r="E5871" s="6" t="n">
        <v>40868.4319444444</v>
      </c>
      <c r="F5871" s="0" t="n">
        <v>1.65</v>
      </c>
      <c r="G5871" s="0" t="n">
        <v>12658</v>
      </c>
      <c r="H5871" s="0" t="s">
        <v>33</v>
      </c>
      <c r="I5871" s="7" t="n">
        <f aca="false">IF(AND(LEFT(A5871,1)&lt;&gt;"C",D5871&gt;0,F5871&gt;0),1,0)</f>
        <v>1</v>
      </c>
      <c r="J5871" s="7" t="n">
        <f aca="false">IF(I5871=1,D5871*F5871,0)</f>
        <v>19.8</v>
      </c>
      <c r="K5871" s="7" t="n">
        <f aca="false">YEAR(E5871)*100+MONTH(E5871)</f>
        <v>201111</v>
      </c>
      <c r="L5871" s="7" t="n">
        <f aca="false">IF(AND(A5871&lt;&gt;A5870,LEFT(A5871,1)&lt;&gt;"C"),1,0)</f>
        <v>0</v>
      </c>
    </row>
    <row r="5872" customFormat="false" ht="15" hidden="false" customHeight="false" outlineLevel="0" collapsed="false">
      <c r="A5872" s="0" t="s">
        <v>3139</v>
      </c>
      <c r="B5872" s="0" t="s">
        <v>943</v>
      </c>
      <c r="C5872" s="0" t="s">
        <v>944</v>
      </c>
      <c r="D5872" s="0" t="n">
        <v>12</v>
      </c>
      <c r="E5872" s="6" t="n">
        <v>40868.4319444444</v>
      </c>
      <c r="F5872" s="0" t="n">
        <v>1.95</v>
      </c>
      <c r="G5872" s="0" t="n">
        <v>12658</v>
      </c>
      <c r="H5872" s="0" t="s">
        <v>33</v>
      </c>
      <c r="I5872" s="7" t="n">
        <f aca="false">IF(AND(LEFT(A5872,1)&lt;&gt;"C",D5872&gt;0,F5872&gt;0),1,0)</f>
        <v>1</v>
      </c>
      <c r="J5872" s="7" t="n">
        <f aca="false">IF(I5872=1,D5872*F5872,0)</f>
        <v>23.4</v>
      </c>
      <c r="K5872" s="7" t="n">
        <f aca="false">YEAR(E5872)*100+MONTH(E5872)</f>
        <v>201111</v>
      </c>
      <c r="L5872" s="7" t="n">
        <f aca="false">IF(AND(A5872&lt;&gt;A5871,LEFT(A5872,1)&lt;&gt;"C"),1,0)</f>
        <v>0</v>
      </c>
    </row>
    <row r="5873" customFormat="false" ht="15" hidden="false" customHeight="false" outlineLevel="0" collapsed="false">
      <c r="A5873" s="0" t="s">
        <v>3139</v>
      </c>
      <c r="B5873" s="0" t="s">
        <v>2393</v>
      </c>
      <c r="C5873" s="0" t="s">
        <v>2394</v>
      </c>
      <c r="D5873" s="0" t="n">
        <v>12</v>
      </c>
      <c r="E5873" s="6" t="n">
        <v>40868.4319444444</v>
      </c>
      <c r="F5873" s="0" t="n">
        <v>1.25</v>
      </c>
      <c r="G5873" s="0" t="n">
        <v>12658</v>
      </c>
      <c r="H5873" s="0" t="s">
        <v>33</v>
      </c>
      <c r="I5873" s="7" t="n">
        <f aca="false">IF(AND(LEFT(A5873,1)&lt;&gt;"C",D5873&gt;0,F5873&gt;0),1,0)</f>
        <v>1</v>
      </c>
      <c r="J5873" s="7" t="n">
        <f aca="false">IF(I5873=1,D5873*F5873,0)</f>
        <v>15</v>
      </c>
      <c r="K5873" s="7" t="n">
        <f aca="false">YEAR(E5873)*100+MONTH(E5873)</f>
        <v>201111</v>
      </c>
      <c r="L5873" s="7" t="n">
        <f aca="false">IF(AND(A5873&lt;&gt;A5872,LEFT(A5873,1)&lt;&gt;"C"),1,0)</f>
        <v>0</v>
      </c>
    </row>
    <row r="5874" customFormat="false" ht="15" hidden="false" customHeight="false" outlineLevel="0" collapsed="false">
      <c r="A5874" s="0" t="s">
        <v>3139</v>
      </c>
      <c r="B5874" s="0" t="s">
        <v>1418</v>
      </c>
      <c r="C5874" s="0" t="s">
        <v>1419</v>
      </c>
      <c r="D5874" s="0" t="n">
        <v>12</v>
      </c>
      <c r="E5874" s="6" t="n">
        <v>40868.4319444444</v>
      </c>
      <c r="F5874" s="0" t="n">
        <v>1.25</v>
      </c>
      <c r="G5874" s="0" t="n">
        <v>12658</v>
      </c>
      <c r="H5874" s="0" t="s">
        <v>33</v>
      </c>
      <c r="I5874" s="7" t="n">
        <f aca="false">IF(AND(LEFT(A5874,1)&lt;&gt;"C",D5874&gt;0,F5874&gt;0),1,0)</f>
        <v>1</v>
      </c>
      <c r="J5874" s="7" t="n">
        <f aca="false">IF(I5874=1,D5874*F5874,0)</f>
        <v>15</v>
      </c>
      <c r="K5874" s="7" t="n">
        <f aca="false">YEAR(E5874)*100+MONTH(E5874)</f>
        <v>201111</v>
      </c>
      <c r="L5874" s="7" t="n">
        <f aca="false">IF(AND(A5874&lt;&gt;A5873,LEFT(A5874,1)&lt;&gt;"C"),1,0)</f>
        <v>0</v>
      </c>
    </row>
    <row r="5875" customFormat="false" ht="15" hidden="false" customHeight="false" outlineLevel="0" collapsed="false">
      <c r="A5875" s="0" t="s">
        <v>3139</v>
      </c>
      <c r="B5875" s="0" t="s">
        <v>2615</v>
      </c>
      <c r="C5875" s="0" t="s">
        <v>2616</v>
      </c>
      <c r="D5875" s="0" t="n">
        <v>12</v>
      </c>
      <c r="E5875" s="6" t="n">
        <v>40868.4319444444</v>
      </c>
      <c r="F5875" s="0" t="n">
        <v>1.25</v>
      </c>
      <c r="G5875" s="0" t="n">
        <v>12658</v>
      </c>
      <c r="H5875" s="0" t="s">
        <v>33</v>
      </c>
      <c r="I5875" s="7" t="n">
        <f aca="false">IF(AND(LEFT(A5875,1)&lt;&gt;"C",D5875&gt;0,F5875&gt;0),1,0)</f>
        <v>1</v>
      </c>
      <c r="J5875" s="7" t="n">
        <f aca="false">IF(I5875=1,D5875*F5875,0)</f>
        <v>15</v>
      </c>
      <c r="K5875" s="7" t="n">
        <f aca="false">YEAR(E5875)*100+MONTH(E5875)</f>
        <v>201111</v>
      </c>
      <c r="L5875" s="7" t="n">
        <f aca="false">IF(AND(A5875&lt;&gt;A5874,LEFT(A5875,1)&lt;&gt;"C"),1,0)</f>
        <v>0</v>
      </c>
    </row>
    <row r="5876" customFormat="false" ht="15" hidden="false" customHeight="false" outlineLevel="0" collapsed="false">
      <c r="A5876" s="0" t="s">
        <v>3139</v>
      </c>
      <c r="B5876" s="0" t="s">
        <v>320</v>
      </c>
      <c r="C5876" s="0" t="s">
        <v>321</v>
      </c>
      <c r="D5876" s="0" t="n">
        <v>4</v>
      </c>
      <c r="E5876" s="6" t="n">
        <v>40868.4319444444</v>
      </c>
      <c r="F5876" s="0" t="n">
        <v>3.75</v>
      </c>
      <c r="G5876" s="0" t="n">
        <v>12658</v>
      </c>
      <c r="H5876" s="0" t="s">
        <v>33</v>
      </c>
      <c r="I5876" s="7" t="n">
        <f aca="false">IF(AND(LEFT(A5876,1)&lt;&gt;"C",D5876&gt;0,F5876&gt;0),1,0)</f>
        <v>1</v>
      </c>
      <c r="J5876" s="7" t="n">
        <f aca="false">IF(I5876=1,D5876*F5876,0)</f>
        <v>15</v>
      </c>
      <c r="K5876" s="7" t="n">
        <f aca="false">YEAR(E5876)*100+MONTH(E5876)</f>
        <v>201111</v>
      </c>
      <c r="L5876" s="7" t="n">
        <f aca="false">IF(AND(A5876&lt;&gt;A5875,LEFT(A5876,1)&lt;&gt;"C"),1,0)</f>
        <v>0</v>
      </c>
    </row>
    <row r="5877" customFormat="false" ht="15" hidden="false" customHeight="false" outlineLevel="0" collapsed="false">
      <c r="A5877" s="0" t="s">
        <v>3139</v>
      </c>
      <c r="B5877" s="0" t="s">
        <v>322</v>
      </c>
      <c r="C5877" s="0" t="s">
        <v>323</v>
      </c>
      <c r="D5877" s="0" t="n">
        <v>4</v>
      </c>
      <c r="E5877" s="6" t="n">
        <v>40868.4319444444</v>
      </c>
      <c r="F5877" s="0" t="n">
        <v>3.75</v>
      </c>
      <c r="G5877" s="0" t="n">
        <v>12658</v>
      </c>
      <c r="H5877" s="0" t="s">
        <v>33</v>
      </c>
      <c r="I5877" s="7" t="n">
        <f aca="false">IF(AND(LEFT(A5877,1)&lt;&gt;"C",D5877&gt;0,F5877&gt;0),1,0)</f>
        <v>1</v>
      </c>
      <c r="J5877" s="7" t="n">
        <f aca="false">IF(I5877=1,D5877*F5877,0)</f>
        <v>15</v>
      </c>
      <c r="K5877" s="7" t="n">
        <f aca="false">YEAR(E5877)*100+MONTH(E5877)</f>
        <v>201111</v>
      </c>
      <c r="L5877" s="7" t="n">
        <f aca="false">IF(AND(A5877&lt;&gt;A5876,LEFT(A5877,1)&lt;&gt;"C"),1,0)</f>
        <v>0</v>
      </c>
    </row>
    <row r="5878" customFormat="false" ht="15" hidden="false" customHeight="false" outlineLevel="0" collapsed="false">
      <c r="A5878" s="0" t="s">
        <v>3139</v>
      </c>
      <c r="B5878" s="0" t="s">
        <v>3140</v>
      </c>
      <c r="C5878" s="0" t="s">
        <v>3141</v>
      </c>
      <c r="D5878" s="0" t="n">
        <v>1</v>
      </c>
      <c r="E5878" s="6" t="n">
        <v>40868.4319444444</v>
      </c>
      <c r="F5878" s="0" t="n">
        <v>12.75</v>
      </c>
      <c r="G5878" s="0" t="n">
        <v>12658</v>
      </c>
      <c r="H5878" s="0" t="s">
        <v>33</v>
      </c>
      <c r="I5878" s="7" t="n">
        <f aca="false">IF(AND(LEFT(A5878,1)&lt;&gt;"C",D5878&gt;0,F5878&gt;0),1,0)</f>
        <v>1</v>
      </c>
      <c r="J5878" s="7" t="n">
        <f aca="false">IF(I5878=1,D5878*F5878,0)</f>
        <v>12.75</v>
      </c>
      <c r="K5878" s="7" t="n">
        <f aca="false">YEAR(E5878)*100+MONTH(E5878)</f>
        <v>201111</v>
      </c>
      <c r="L5878" s="7" t="n">
        <f aca="false">IF(AND(A5878&lt;&gt;A5877,LEFT(A5878,1)&lt;&gt;"C"),1,0)</f>
        <v>0</v>
      </c>
    </row>
    <row r="5879" customFormat="false" ht="15" hidden="false" customHeight="false" outlineLevel="0" collapsed="false">
      <c r="A5879" s="0" t="s">
        <v>3139</v>
      </c>
      <c r="B5879" s="0" t="s">
        <v>1124</v>
      </c>
      <c r="C5879" s="0" t="s">
        <v>1125</v>
      </c>
      <c r="D5879" s="0" t="n">
        <v>2</v>
      </c>
      <c r="E5879" s="6" t="n">
        <v>40868.4319444444</v>
      </c>
      <c r="F5879" s="0" t="n">
        <v>8.5</v>
      </c>
      <c r="G5879" s="0" t="n">
        <v>12658</v>
      </c>
      <c r="H5879" s="0" t="s">
        <v>33</v>
      </c>
      <c r="I5879" s="7" t="n">
        <f aca="false">IF(AND(LEFT(A5879,1)&lt;&gt;"C",D5879&gt;0,F5879&gt;0),1,0)</f>
        <v>1</v>
      </c>
      <c r="J5879" s="7" t="n">
        <f aca="false">IF(I5879=1,D5879*F5879,0)</f>
        <v>17</v>
      </c>
      <c r="K5879" s="7" t="n">
        <f aca="false">YEAR(E5879)*100+MONTH(E5879)</f>
        <v>201111</v>
      </c>
      <c r="L5879" s="7" t="n">
        <f aca="false">IF(AND(A5879&lt;&gt;A5878,LEFT(A5879,1)&lt;&gt;"C"),1,0)</f>
        <v>0</v>
      </c>
    </row>
    <row r="5880" customFormat="false" ht="15" hidden="false" customHeight="false" outlineLevel="0" collapsed="false">
      <c r="A5880" s="0" t="s">
        <v>3139</v>
      </c>
      <c r="B5880" s="0" t="s">
        <v>1126</v>
      </c>
      <c r="C5880" s="0" t="s">
        <v>1127</v>
      </c>
      <c r="D5880" s="0" t="n">
        <v>2</v>
      </c>
      <c r="E5880" s="6" t="n">
        <v>40868.4319444444</v>
      </c>
      <c r="F5880" s="0" t="n">
        <v>8.5</v>
      </c>
      <c r="G5880" s="0" t="n">
        <v>12658</v>
      </c>
      <c r="H5880" s="0" t="s">
        <v>33</v>
      </c>
      <c r="I5880" s="7" t="n">
        <f aca="false">IF(AND(LEFT(A5880,1)&lt;&gt;"C",D5880&gt;0,F5880&gt;0),1,0)</f>
        <v>1</v>
      </c>
      <c r="J5880" s="7" t="n">
        <f aca="false">IF(I5880=1,D5880*F5880,0)</f>
        <v>17</v>
      </c>
      <c r="K5880" s="7" t="n">
        <f aca="false">YEAR(E5880)*100+MONTH(E5880)</f>
        <v>201111</v>
      </c>
      <c r="L5880" s="7" t="n">
        <f aca="false">IF(AND(A5880&lt;&gt;A5879,LEFT(A5880,1)&lt;&gt;"C"),1,0)</f>
        <v>0</v>
      </c>
    </row>
    <row r="5881" customFormat="false" ht="15" hidden="false" customHeight="false" outlineLevel="0" collapsed="false">
      <c r="A5881" s="0" t="s">
        <v>3139</v>
      </c>
      <c r="B5881" s="0" t="s">
        <v>1705</v>
      </c>
      <c r="C5881" s="0" t="s">
        <v>1706</v>
      </c>
      <c r="D5881" s="0" t="n">
        <v>2</v>
      </c>
      <c r="E5881" s="6" t="n">
        <v>40868.4319444444</v>
      </c>
      <c r="F5881" s="0" t="n">
        <v>8.5</v>
      </c>
      <c r="G5881" s="0" t="n">
        <v>12658</v>
      </c>
      <c r="H5881" s="0" t="s">
        <v>33</v>
      </c>
      <c r="I5881" s="7" t="n">
        <f aca="false">IF(AND(LEFT(A5881,1)&lt;&gt;"C",D5881&gt;0,F5881&gt;0),1,0)</f>
        <v>1</v>
      </c>
      <c r="J5881" s="7" t="n">
        <f aca="false">IF(I5881=1,D5881*F5881,0)</f>
        <v>17</v>
      </c>
      <c r="K5881" s="7" t="n">
        <f aca="false">YEAR(E5881)*100+MONTH(E5881)</f>
        <v>201111</v>
      </c>
      <c r="L5881" s="7" t="n">
        <f aca="false">IF(AND(A5881&lt;&gt;A5880,LEFT(A5881,1)&lt;&gt;"C"),1,0)</f>
        <v>0</v>
      </c>
    </row>
    <row r="5882" customFormat="false" ht="15" hidden="false" customHeight="false" outlineLevel="0" collapsed="false">
      <c r="A5882" s="0" t="s">
        <v>3139</v>
      </c>
      <c r="B5882" s="0" t="s">
        <v>3142</v>
      </c>
      <c r="C5882" s="0" t="s">
        <v>3143</v>
      </c>
      <c r="D5882" s="0" t="n">
        <v>4</v>
      </c>
      <c r="E5882" s="6" t="n">
        <v>40868.4319444444</v>
      </c>
      <c r="F5882" s="0" t="n">
        <v>4.95</v>
      </c>
      <c r="G5882" s="0" t="n">
        <v>12658</v>
      </c>
      <c r="H5882" s="0" t="s">
        <v>33</v>
      </c>
      <c r="I5882" s="7" t="n">
        <f aca="false">IF(AND(LEFT(A5882,1)&lt;&gt;"C",D5882&gt;0,F5882&gt;0),1,0)</f>
        <v>1</v>
      </c>
      <c r="J5882" s="7" t="n">
        <f aca="false">IF(I5882=1,D5882*F5882,0)</f>
        <v>19.8</v>
      </c>
      <c r="K5882" s="7" t="n">
        <f aca="false">YEAR(E5882)*100+MONTH(E5882)</f>
        <v>201111</v>
      </c>
      <c r="L5882" s="7" t="n">
        <f aca="false">IF(AND(A5882&lt;&gt;A5881,LEFT(A5882,1)&lt;&gt;"C"),1,0)</f>
        <v>0</v>
      </c>
    </row>
    <row r="5883" customFormat="false" ht="15" hidden="false" customHeight="false" outlineLevel="0" collapsed="false">
      <c r="A5883" s="0" t="s">
        <v>3139</v>
      </c>
      <c r="B5883" s="0" t="s">
        <v>3144</v>
      </c>
      <c r="C5883" s="0" t="s">
        <v>3145</v>
      </c>
      <c r="D5883" s="0" t="n">
        <v>2</v>
      </c>
      <c r="E5883" s="6" t="n">
        <v>40868.4319444444</v>
      </c>
      <c r="F5883" s="0" t="n">
        <v>5.95</v>
      </c>
      <c r="G5883" s="0" t="n">
        <v>12658</v>
      </c>
      <c r="H5883" s="0" t="s">
        <v>33</v>
      </c>
      <c r="I5883" s="7" t="n">
        <f aca="false">IF(AND(LEFT(A5883,1)&lt;&gt;"C",D5883&gt;0,F5883&gt;0),1,0)</f>
        <v>1</v>
      </c>
      <c r="J5883" s="7" t="n">
        <f aca="false">IF(I5883=1,D5883*F5883,0)</f>
        <v>11.9</v>
      </c>
      <c r="K5883" s="7" t="n">
        <f aca="false">YEAR(E5883)*100+MONTH(E5883)</f>
        <v>201111</v>
      </c>
      <c r="L5883" s="7" t="n">
        <f aca="false">IF(AND(A5883&lt;&gt;A5882,LEFT(A5883,1)&lt;&gt;"C"),1,0)</f>
        <v>0</v>
      </c>
    </row>
    <row r="5884" customFormat="false" ht="15" hidden="false" customHeight="false" outlineLevel="0" collapsed="false">
      <c r="A5884" s="0" t="s">
        <v>3139</v>
      </c>
      <c r="B5884" s="0" t="s">
        <v>1835</v>
      </c>
      <c r="C5884" s="0" t="s">
        <v>1836</v>
      </c>
      <c r="D5884" s="0" t="n">
        <v>4</v>
      </c>
      <c r="E5884" s="6" t="n">
        <v>40868.4319444444</v>
      </c>
      <c r="F5884" s="0" t="n">
        <v>3.75</v>
      </c>
      <c r="G5884" s="0" t="n">
        <v>12658</v>
      </c>
      <c r="H5884" s="0" t="s">
        <v>33</v>
      </c>
      <c r="I5884" s="7" t="n">
        <f aca="false">IF(AND(LEFT(A5884,1)&lt;&gt;"C",D5884&gt;0,F5884&gt;0),1,0)</f>
        <v>1</v>
      </c>
      <c r="J5884" s="7" t="n">
        <f aca="false">IF(I5884=1,D5884*F5884,0)</f>
        <v>15</v>
      </c>
      <c r="K5884" s="7" t="n">
        <f aca="false">YEAR(E5884)*100+MONTH(E5884)</f>
        <v>201111</v>
      </c>
      <c r="L5884" s="7" t="n">
        <f aca="false">IF(AND(A5884&lt;&gt;A5883,LEFT(A5884,1)&lt;&gt;"C"),1,0)</f>
        <v>0</v>
      </c>
    </row>
    <row r="5885" customFormat="false" ht="15" hidden="false" customHeight="false" outlineLevel="0" collapsed="false">
      <c r="A5885" s="0" t="s">
        <v>3139</v>
      </c>
      <c r="B5885" s="0" t="s">
        <v>1833</v>
      </c>
      <c r="C5885" s="0" t="s">
        <v>1834</v>
      </c>
      <c r="D5885" s="0" t="n">
        <v>4</v>
      </c>
      <c r="E5885" s="6" t="n">
        <v>40868.4319444444</v>
      </c>
      <c r="F5885" s="0" t="n">
        <v>3.75</v>
      </c>
      <c r="G5885" s="0" t="n">
        <v>12658</v>
      </c>
      <c r="H5885" s="0" t="s">
        <v>33</v>
      </c>
      <c r="I5885" s="7" t="n">
        <f aca="false">IF(AND(LEFT(A5885,1)&lt;&gt;"C",D5885&gt;0,F5885&gt;0),1,0)</f>
        <v>1</v>
      </c>
      <c r="J5885" s="7" t="n">
        <f aca="false">IF(I5885=1,D5885*F5885,0)</f>
        <v>15</v>
      </c>
      <c r="K5885" s="7" t="n">
        <f aca="false">YEAR(E5885)*100+MONTH(E5885)</f>
        <v>201111</v>
      </c>
      <c r="L5885" s="7" t="n">
        <f aca="false">IF(AND(A5885&lt;&gt;A5884,LEFT(A5885,1)&lt;&gt;"C"),1,0)</f>
        <v>0</v>
      </c>
    </row>
    <row r="5886" customFormat="false" ht="15" hidden="false" customHeight="false" outlineLevel="0" collapsed="false">
      <c r="A5886" s="0" t="s">
        <v>3139</v>
      </c>
      <c r="B5886" s="0" t="s">
        <v>1375</v>
      </c>
      <c r="C5886" s="0" t="s">
        <v>1376</v>
      </c>
      <c r="D5886" s="0" t="n">
        <v>12</v>
      </c>
      <c r="E5886" s="6" t="n">
        <v>40868.4319444444</v>
      </c>
      <c r="F5886" s="0" t="n">
        <v>1.45</v>
      </c>
      <c r="G5886" s="0" t="n">
        <v>12658</v>
      </c>
      <c r="H5886" s="0" t="s">
        <v>33</v>
      </c>
      <c r="I5886" s="7" t="n">
        <f aca="false">IF(AND(LEFT(A5886,1)&lt;&gt;"C",D5886&gt;0,F5886&gt;0),1,0)</f>
        <v>1</v>
      </c>
      <c r="J5886" s="7" t="n">
        <f aca="false">IF(I5886=1,D5886*F5886,0)</f>
        <v>17.4</v>
      </c>
      <c r="K5886" s="7" t="n">
        <f aca="false">YEAR(E5886)*100+MONTH(E5886)</f>
        <v>201111</v>
      </c>
      <c r="L5886" s="7" t="n">
        <f aca="false">IF(AND(A5886&lt;&gt;A5885,LEFT(A5886,1)&lt;&gt;"C"),1,0)</f>
        <v>0</v>
      </c>
    </row>
    <row r="5887" customFormat="false" ht="15" hidden="false" customHeight="false" outlineLevel="0" collapsed="false">
      <c r="A5887" s="0" t="s">
        <v>3139</v>
      </c>
      <c r="B5887" s="0" t="s">
        <v>480</v>
      </c>
      <c r="C5887" s="0" t="s">
        <v>481</v>
      </c>
      <c r="D5887" s="0" t="n">
        <v>12</v>
      </c>
      <c r="E5887" s="6" t="n">
        <v>40868.4319444444</v>
      </c>
      <c r="F5887" s="0" t="n">
        <v>1.65</v>
      </c>
      <c r="G5887" s="0" t="n">
        <v>12658</v>
      </c>
      <c r="H5887" s="0" t="s">
        <v>33</v>
      </c>
      <c r="I5887" s="7" t="n">
        <f aca="false">IF(AND(LEFT(A5887,1)&lt;&gt;"C",D5887&gt;0,F5887&gt;0),1,0)</f>
        <v>1</v>
      </c>
      <c r="J5887" s="7" t="n">
        <f aca="false">IF(I5887=1,D5887*F5887,0)</f>
        <v>19.8</v>
      </c>
      <c r="K5887" s="7" t="n">
        <f aca="false">YEAR(E5887)*100+MONTH(E5887)</f>
        <v>201111</v>
      </c>
      <c r="L5887" s="7" t="n">
        <f aca="false">IF(AND(A5887&lt;&gt;A5886,LEFT(A5887,1)&lt;&gt;"C"),1,0)</f>
        <v>0</v>
      </c>
    </row>
    <row r="5888" customFormat="false" ht="15" hidden="false" customHeight="false" outlineLevel="0" collapsed="false">
      <c r="A5888" s="0" t="s">
        <v>3139</v>
      </c>
      <c r="B5888" s="0" t="s">
        <v>537</v>
      </c>
      <c r="C5888" s="0" t="s">
        <v>538</v>
      </c>
      <c r="D5888" s="0" t="n">
        <v>6</v>
      </c>
      <c r="E5888" s="6" t="n">
        <v>40868.4319444444</v>
      </c>
      <c r="F5888" s="0" t="n">
        <v>4.15</v>
      </c>
      <c r="G5888" s="0" t="n">
        <v>12658</v>
      </c>
      <c r="H5888" s="0" t="s">
        <v>33</v>
      </c>
      <c r="I5888" s="7" t="n">
        <f aca="false">IF(AND(LEFT(A5888,1)&lt;&gt;"C",D5888&gt;0,F5888&gt;0),1,0)</f>
        <v>1</v>
      </c>
      <c r="J5888" s="7" t="n">
        <f aca="false">IF(I5888=1,D5888*F5888,0)</f>
        <v>24.9</v>
      </c>
      <c r="K5888" s="7" t="n">
        <f aca="false">YEAR(E5888)*100+MONTH(E5888)</f>
        <v>201111</v>
      </c>
      <c r="L5888" s="7" t="n">
        <f aca="false">IF(AND(A5888&lt;&gt;A5887,LEFT(A5888,1)&lt;&gt;"C"),1,0)</f>
        <v>0</v>
      </c>
    </row>
    <row r="5889" customFormat="false" ht="15" hidden="false" customHeight="false" outlineLevel="0" collapsed="false">
      <c r="A5889" s="0" t="s">
        <v>3139</v>
      </c>
      <c r="B5889" s="0" t="s">
        <v>1678</v>
      </c>
      <c r="C5889" s="0" t="s">
        <v>1679</v>
      </c>
      <c r="D5889" s="0" t="n">
        <v>16</v>
      </c>
      <c r="E5889" s="6" t="n">
        <v>40868.4319444444</v>
      </c>
      <c r="F5889" s="0" t="n">
        <v>0.65</v>
      </c>
      <c r="G5889" s="0" t="n">
        <v>12658</v>
      </c>
      <c r="H5889" s="0" t="s">
        <v>33</v>
      </c>
      <c r="I5889" s="7" t="n">
        <f aca="false">IF(AND(LEFT(A5889,1)&lt;&gt;"C",D5889&gt;0,F5889&gt;0),1,0)</f>
        <v>1</v>
      </c>
      <c r="J5889" s="7" t="n">
        <f aca="false">IF(I5889=1,D5889*F5889,0)</f>
        <v>10.4</v>
      </c>
      <c r="K5889" s="7" t="n">
        <f aca="false">YEAR(E5889)*100+MONTH(E5889)</f>
        <v>201111</v>
      </c>
      <c r="L5889" s="7" t="n">
        <f aca="false">IF(AND(A5889&lt;&gt;A5888,LEFT(A5889,1)&lt;&gt;"C"),1,0)</f>
        <v>0</v>
      </c>
    </row>
    <row r="5890" customFormat="false" ht="15" hidden="false" customHeight="false" outlineLevel="0" collapsed="false">
      <c r="A5890" s="0" t="s">
        <v>3139</v>
      </c>
      <c r="B5890" s="0" t="s">
        <v>465</v>
      </c>
      <c r="C5890" s="0" t="s">
        <v>466</v>
      </c>
      <c r="D5890" s="0" t="n">
        <v>2</v>
      </c>
      <c r="E5890" s="6" t="n">
        <v>40868.4319444444</v>
      </c>
      <c r="F5890" s="0" t="n">
        <v>7.95</v>
      </c>
      <c r="G5890" s="0" t="n">
        <v>12658</v>
      </c>
      <c r="H5890" s="0" t="s">
        <v>33</v>
      </c>
      <c r="I5890" s="7" t="n">
        <f aca="false">IF(AND(LEFT(A5890,1)&lt;&gt;"C",D5890&gt;0,F5890&gt;0),1,0)</f>
        <v>1</v>
      </c>
      <c r="J5890" s="7" t="n">
        <f aca="false">IF(I5890=1,D5890*F5890,0)</f>
        <v>15.9</v>
      </c>
      <c r="K5890" s="7" t="n">
        <f aca="false">YEAR(E5890)*100+MONTH(E5890)</f>
        <v>201111</v>
      </c>
      <c r="L5890" s="7" t="n">
        <f aca="false">IF(AND(A5890&lt;&gt;A5889,LEFT(A5890,1)&lt;&gt;"C"),1,0)</f>
        <v>0</v>
      </c>
    </row>
    <row r="5891" customFormat="false" ht="15" hidden="false" customHeight="false" outlineLevel="0" collapsed="false">
      <c r="A5891" s="0" t="s">
        <v>3139</v>
      </c>
      <c r="B5891" s="0" t="s">
        <v>958</v>
      </c>
      <c r="C5891" s="0" t="s">
        <v>959</v>
      </c>
      <c r="D5891" s="0" t="n">
        <v>3</v>
      </c>
      <c r="E5891" s="6" t="n">
        <v>40868.4319444444</v>
      </c>
      <c r="F5891" s="0" t="n">
        <v>5.95</v>
      </c>
      <c r="G5891" s="0" t="n">
        <v>12658</v>
      </c>
      <c r="H5891" s="0" t="s">
        <v>33</v>
      </c>
      <c r="I5891" s="7" t="n">
        <f aca="false">IF(AND(LEFT(A5891,1)&lt;&gt;"C",D5891&gt;0,F5891&gt;0),1,0)</f>
        <v>1</v>
      </c>
      <c r="J5891" s="7" t="n">
        <f aca="false">IF(I5891=1,D5891*F5891,0)</f>
        <v>17.85</v>
      </c>
      <c r="K5891" s="7" t="n">
        <f aca="false">YEAR(E5891)*100+MONTH(E5891)</f>
        <v>201111</v>
      </c>
      <c r="L5891" s="7" t="n">
        <f aca="false">IF(AND(A5891&lt;&gt;A5890,LEFT(A5891,1)&lt;&gt;"C"),1,0)</f>
        <v>0</v>
      </c>
    </row>
    <row r="5892" customFormat="false" ht="15" hidden="false" customHeight="false" outlineLevel="0" collapsed="false">
      <c r="A5892" s="0" t="s">
        <v>3139</v>
      </c>
      <c r="B5892" s="0" t="s">
        <v>956</v>
      </c>
      <c r="C5892" s="0" t="s">
        <v>957</v>
      </c>
      <c r="D5892" s="0" t="n">
        <v>3</v>
      </c>
      <c r="E5892" s="6" t="n">
        <v>40868.4319444444</v>
      </c>
      <c r="F5892" s="0" t="n">
        <v>5.95</v>
      </c>
      <c r="G5892" s="0" t="n">
        <v>12658</v>
      </c>
      <c r="H5892" s="0" t="s">
        <v>33</v>
      </c>
      <c r="I5892" s="7" t="n">
        <f aca="false">IF(AND(LEFT(A5892,1)&lt;&gt;"C",D5892&gt;0,F5892&gt;0),1,0)</f>
        <v>1</v>
      </c>
      <c r="J5892" s="7" t="n">
        <f aca="false">IF(I5892=1,D5892*F5892,0)</f>
        <v>17.85</v>
      </c>
      <c r="K5892" s="7" t="n">
        <f aca="false">YEAR(E5892)*100+MONTH(E5892)</f>
        <v>201111</v>
      </c>
      <c r="L5892" s="7" t="n">
        <f aca="false">IF(AND(A5892&lt;&gt;A5891,LEFT(A5892,1)&lt;&gt;"C"),1,0)</f>
        <v>0</v>
      </c>
    </row>
    <row r="5893" customFormat="false" ht="15" hidden="false" customHeight="false" outlineLevel="0" collapsed="false">
      <c r="A5893" s="0" t="s">
        <v>3139</v>
      </c>
      <c r="B5893" s="0" t="s">
        <v>1149</v>
      </c>
      <c r="C5893" s="0" t="s">
        <v>1150</v>
      </c>
      <c r="D5893" s="0" t="n">
        <v>6</v>
      </c>
      <c r="E5893" s="6" t="n">
        <v>40868.4319444444</v>
      </c>
      <c r="F5893" s="0" t="n">
        <v>5.95</v>
      </c>
      <c r="G5893" s="0" t="n">
        <v>12658</v>
      </c>
      <c r="H5893" s="0" t="s">
        <v>33</v>
      </c>
      <c r="I5893" s="7" t="n">
        <f aca="false">IF(AND(LEFT(A5893,1)&lt;&gt;"C",D5893&gt;0,F5893&gt;0),1,0)</f>
        <v>1</v>
      </c>
      <c r="J5893" s="7" t="n">
        <f aca="false">IF(I5893=1,D5893*F5893,0)</f>
        <v>35.7</v>
      </c>
      <c r="K5893" s="7" t="n">
        <f aca="false">YEAR(E5893)*100+MONTH(E5893)</f>
        <v>201111</v>
      </c>
      <c r="L5893" s="7" t="n">
        <f aca="false">IF(AND(A5893&lt;&gt;A5892,LEFT(A5893,1)&lt;&gt;"C"),1,0)</f>
        <v>0</v>
      </c>
    </row>
    <row r="5894" customFormat="false" ht="15" hidden="false" customHeight="false" outlineLevel="0" collapsed="false">
      <c r="A5894" s="0" t="s">
        <v>3139</v>
      </c>
      <c r="B5894" s="0" t="s">
        <v>3146</v>
      </c>
      <c r="C5894" s="0" t="s">
        <v>3147</v>
      </c>
      <c r="D5894" s="0" t="n">
        <v>6</v>
      </c>
      <c r="E5894" s="6" t="n">
        <v>40868.4319444444</v>
      </c>
      <c r="F5894" s="0" t="n">
        <v>2.1</v>
      </c>
      <c r="G5894" s="0" t="n">
        <v>12658</v>
      </c>
      <c r="H5894" s="0" t="s">
        <v>33</v>
      </c>
      <c r="I5894" s="7" t="n">
        <f aca="false">IF(AND(LEFT(A5894,1)&lt;&gt;"C",D5894&gt;0,F5894&gt;0),1,0)</f>
        <v>1</v>
      </c>
      <c r="J5894" s="7" t="n">
        <f aca="false">IF(I5894=1,D5894*F5894,0)</f>
        <v>12.6</v>
      </c>
      <c r="K5894" s="7" t="n">
        <f aca="false">YEAR(E5894)*100+MONTH(E5894)</f>
        <v>201111</v>
      </c>
      <c r="L5894" s="7" t="n">
        <f aca="false">IF(AND(A5894&lt;&gt;A5893,LEFT(A5894,1)&lt;&gt;"C"),1,0)</f>
        <v>0</v>
      </c>
    </row>
    <row r="5895" customFormat="false" ht="15" hidden="false" customHeight="false" outlineLevel="0" collapsed="false">
      <c r="A5895" s="0" t="s">
        <v>3139</v>
      </c>
      <c r="B5895" s="0" t="s">
        <v>3148</v>
      </c>
      <c r="C5895" s="0" t="s">
        <v>3149</v>
      </c>
      <c r="D5895" s="0" t="n">
        <v>16</v>
      </c>
      <c r="E5895" s="6" t="n">
        <v>40868.4319444444</v>
      </c>
      <c r="F5895" s="0" t="n">
        <v>0.85</v>
      </c>
      <c r="G5895" s="0" t="n">
        <v>12658</v>
      </c>
      <c r="H5895" s="0" t="s">
        <v>33</v>
      </c>
      <c r="I5895" s="7" t="n">
        <f aca="false">IF(AND(LEFT(A5895,1)&lt;&gt;"C",D5895&gt;0,F5895&gt;0),1,0)</f>
        <v>1</v>
      </c>
      <c r="J5895" s="7" t="n">
        <f aca="false">IF(I5895=1,D5895*F5895,0)</f>
        <v>13.6</v>
      </c>
      <c r="K5895" s="7" t="n">
        <f aca="false">YEAR(E5895)*100+MONTH(E5895)</f>
        <v>201111</v>
      </c>
      <c r="L5895" s="7" t="n">
        <f aca="false">IF(AND(A5895&lt;&gt;A5894,LEFT(A5895,1)&lt;&gt;"C"),1,0)</f>
        <v>0</v>
      </c>
    </row>
    <row r="5896" customFormat="false" ht="15" hidden="false" customHeight="false" outlineLevel="0" collapsed="false">
      <c r="A5896" s="0" t="s">
        <v>3139</v>
      </c>
      <c r="B5896" s="0" t="s">
        <v>2391</v>
      </c>
      <c r="C5896" s="0" t="s">
        <v>3150</v>
      </c>
      <c r="D5896" s="0" t="n">
        <v>6</v>
      </c>
      <c r="E5896" s="6" t="n">
        <v>40868.4319444444</v>
      </c>
      <c r="F5896" s="0" t="n">
        <v>2.55</v>
      </c>
      <c r="G5896" s="0" t="n">
        <v>12658</v>
      </c>
      <c r="H5896" s="0" t="s">
        <v>33</v>
      </c>
      <c r="I5896" s="7" t="n">
        <f aca="false">IF(AND(LEFT(A5896,1)&lt;&gt;"C",D5896&gt;0,F5896&gt;0),1,0)</f>
        <v>1</v>
      </c>
      <c r="J5896" s="7" t="n">
        <f aca="false">IF(I5896=1,D5896*F5896,0)</f>
        <v>15.3</v>
      </c>
      <c r="K5896" s="7" t="n">
        <f aca="false">YEAR(E5896)*100+MONTH(E5896)</f>
        <v>201111</v>
      </c>
      <c r="L5896" s="7" t="n">
        <f aca="false">IF(AND(A5896&lt;&gt;A5895,LEFT(A5896,1)&lt;&gt;"C"),1,0)</f>
        <v>0</v>
      </c>
    </row>
    <row r="5897" customFormat="false" ht="15" hidden="false" customHeight="false" outlineLevel="0" collapsed="false">
      <c r="A5897" s="0" t="s">
        <v>3139</v>
      </c>
      <c r="B5897" s="0" t="s">
        <v>629</v>
      </c>
      <c r="C5897" s="0" t="s">
        <v>630</v>
      </c>
      <c r="D5897" s="0" t="n">
        <v>2</v>
      </c>
      <c r="E5897" s="6" t="n">
        <v>40868.4319444444</v>
      </c>
      <c r="F5897" s="0" t="n">
        <v>8.5</v>
      </c>
      <c r="G5897" s="0" t="n">
        <v>12658</v>
      </c>
      <c r="H5897" s="0" t="s">
        <v>33</v>
      </c>
      <c r="I5897" s="7" t="n">
        <f aca="false">IF(AND(LEFT(A5897,1)&lt;&gt;"C",D5897&gt;0,F5897&gt;0),1,0)</f>
        <v>1</v>
      </c>
      <c r="J5897" s="7" t="n">
        <f aca="false">IF(I5897=1,D5897*F5897,0)</f>
        <v>17</v>
      </c>
      <c r="K5897" s="7" t="n">
        <f aca="false">YEAR(E5897)*100+MONTH(E5897)</f>
        <v>201111</v>
      </c>
      <c r="L5897" s="7" t="n">
        <f aca="false">IF(AND(A5897&lt;&gt;A5896,LEFT(A5897,1)&lt;&gt;"C"),1,0)</f>
        <v>0</v>
      </c>
    </row>
    <row r="5898" customFormat="false" ht="15" hidden="false" customHeight="false" outlineLevel="0" collapsed="false">
      <c r="A5898" s="0" t="s">
        <v>3139</v>
      </c>
      <c r="B5898" s="0" t="s">
        <v>2419</v>
      </c>
      <c r="C5898" s="0" t="s">
        <v>2420</v>
      </c>
      <c r="D5898" s="0" t="n">
        <v>18</v>
      </c>
      <c r="E5898" s="6" t="n">
        <v>40868.4319444444</v>
      </c>
      <c r="F5898" s="0" t="n">
        <v>1.25</v>
      </c>
      <c r="G5898" s="0" t="n">
        <v>12658</v>
      </c>
      <c r="H5898" s="0" t="s">
        <v>33</v>
      </c>
      <c r="I5898" s="7" t="n">
        <f aca="false">IF(AND(LEFT(A5898,1)&lt;&gt;"C",D5898&gt;0,F5898&gt;0),1,0)</f>
        <v>1</v>
      </c>
      <c r="J5898" s="7" t="n">
        <f aca="false">IF(I5898=1,D5898*F5898,0)</f>
        <v>22.5</v>
      </c>
      <c r="K5898" s="7" t="n">
        <f aca="false">YEAR(E5898)*100+MONTH(E5898)</f>
        <v>201111</v>
      </c>
      <c r="L5898" s="7" t="n">
        <f aca="false">IF(AND(A5898&lt;&gt;A5897,LEFT(A5898,1)&lt;&gt;"C"),1,0)</f>
        <v>0</v>
      </c>
    </row>
    <row r="5899" customFormat="false" ht="15" hidden="false" customHeight="false" outlineLevel="0" collapsed="false">
      <c r="A5899" s="0" t="s">
        <v>3139</v>
      </c>
      <c r="B5899" s="0" t="s">
        <v>2421</v>
      </c>
      <c r="C5899" s="0" t="s">
        <v>2422</v>
      </c>
      <c r="D5899" s="0" t="n">
        <v>18</v>
      </c>
      <c r="E5899" s="6" t="n">
        <v>40868.4319444444</v>
      </c>
      <c r="F5899" s="0" t="n">
        <v>1.25</v>
      </c>
      <c r="G5899" s="0" t="n">
        <v>12658</v>
      </c>
      <c r="H5899" s="0" t="s">
        <v>33</v>
      </c>
      <c r="I5899" s="7" t="n">
        <f aca="false">IF(AND(LEFT(A5899,1)&lt;&gt;"C",D5899&gt;0,F5899&gt;0),1,0)</f>
        <v>1</v>
      </c>
      <c r="J5899" s="7" t="n">
        <f aca="false">IF(I5899=1,D5899*F5899,0)</f>
        <v>22.5</v>
      </c>
      <c r="K5899" s="7" t="n">
        <f aca="false">YEAR(E5899)*100+MONTH(E5899)</f>
        <v>201111</v>
      </c>
      <c r="L5899" s="7" t="n">
        <f aca="false">IF(AND(A5899&lt;&gt;A5898,LEFT(A5899,1)&lt;&gt;"C"),1,0)</f>
        <v>0</v>
      </c>
    </row>
    <row r="5900" customFormat="false" ht="15" hidden="false" customHeight="false" outlineLevel="0" collapsed="false">
      <c r="A5900" s="0" t="s">
        <v>3139</v>
      </c>
      <c r="B5900" s="0" t="s">
        <v>1189</v>
      </c>
      <c r="C5900" s="0" t="s">
        <v>1190</v>
      </c>
      <c r="D5900" s="0" t="n">
        <v>6</v>
      </c>
      <c r="E5900" s="6" t="n">
        <v>40868.4319444444</v>
      </c>
      <c r="F5900" s="0" t="n">
        <v>2.89</v>
      </c>
      <c r="G5900" s="0" t="n">
        <v>12658</v>
      </c>
      <c r="H5900" s="0" t="s">
        <v>33</v>
      </c>
      <c r="I5900" s="7" t="n">
        <f aca="false">IF(AND(LEFT(A5900,1)&lt;&gt;"C",D5900&gt;0,F5900&gt;0),1,0)</f>
        <v>1</v>
      </c>
      <c r="J5900" s="7" t="n">
        <f aca="false">IF(I5900=1,D5900*F5900,0)</f>
        <v>17.34</v>
      </c>
      <c r="K5900" s="7" t="n">
        <f aca="false">YEAR(E5900)*100+MONTH(E5900)</f>
        <v>201111</v>
      </c>
      <c r="L5900" s="7" t="n">
        <f aca="false">IF(AND(A5900&lt;&gt;A5899,LEFT(A5900,1)&lt;&gt;"C"),1,0)</f>
        <v>0</v>
      </c>
    </row>
    <row r="5901" customFormat="false" ht="15" hidden="false" customHeight="false" outlineLevel="0" collapsed="false">
      <c r="A5901" s="0" t="s">
        <v>3139</v>
      </c>
      <c r="B5901" s="0" t="s">
        <v>3039</v>
      </c>
      <c r="C5901" s="0" t="s">
        <v>3040</v>
      </c>
      <c r="D5901" s="0" t="n">
        <v>24</v>
      </c>
      <c r="E5901" s="6" t="n">
        <v>40868.4319444444</v>
      </c>
      <c r="F5901" s="0" t="n">
        <v>1.65</v>
      </c>
      <c r="G5901" s="0" t="n">
        <v>12658</v>
      </c>
      <c r="H5901" s="0" t="s">
        <v>33</v>
      </c>
      <c r="I5901" s="7" t="n">
        <f aca="false">IF(AND(LEFT(A5901,1)&lt;&gt;"C",D5901&gt;0,F5901&gt;0),1,0)</f>
        <v>1</v>
      </c>
      <c r="J5901" s="7" t="n">
        <f aca="false">IF(I5901=1,D5901*F5901,0)</f>
        <v>39.6</v>
      </c>
      <c r="K5901" s="7" t="n">
        <f aca="false">YEAR(E5901)*100+MONTH(E5901)</f>
        <v>201111</v>
      </c>
      <c r="L5901" s="7" t="n">
        <f aca="false">IF(AND(A5901&lt;&gt;A5900,LEFT(A5901,1)&lt;&gt;"C"),1,0)</f>
        <v>0</v>
      </c>
    </row>
    <row r="5902" customFormat="false" ht="15" hidden="false" customHeight="false" outlineLevel="0" collapsed="false">
      <c r="A5902" s="0" t="s">
        <v>3139</v>
      </c>
      <c r="B5902" s="0" t="s">
        <v>2417</v>
      </c>
      <c r="C5902" s="0" t="s">
        <v>2418</v>
      </c>
      <c r="D5902" s="0" t="n">
        <v>24</v>
      </c>
      <c r="E5902" s="6" t="n">
        <v>40868.4319444444</v>
      </c>
      <c r="F5902" s="0" t="n">
        <v>1.25</v>
      </c>
      <c r="G5902" s="0" t="n">
        <v>12658</v>
      </c>
      <c r="H5902" s="0" t="s">
        <v>33</v>
      </c>
      <c r="I5902" s="7" t="n">
        <f aca="false">IF(AND(LEFT(A5902,1)&lt;&gt;"C",D5902&gt;0,F5902&gt;0),1,0)</f>
        <v>1</v>
      </c>
      <c r="J5902" s="7" t="n">
        <f aca="false">IF(I5902=1,D5902*F5902,0)</f>
        <v>30</v>
      </c>
      <c r="K5902" s="7" t="n">
        <f aca="false">YEAR(E5902)*100+MONTH(E5902)</f>
        <v>201111</v>
      </c>
      <c r="L5902" s="7" t="n">
        <f aca="false">IF(AND(A5902&lt;&gt;A5901,LEFT(A5902,1)&lt;&gt;"C"),1,0)</f>
        <v>0</v>
      </c>
    </row>
    <row r="5903" customFormat="false" ht="15" hidden="false" customHeight="false" outlineLevel="0" collapsed="false">
      <c r="A5903" s="0" t="s">
        <v>3139</v>
      </c>
      <c r="B5903" s="0" t="s">
        <v>84</v>
      </c>
      <c r="C5903" s="0" t="s">
        <v>85</v>
      </c>
      <c r="D5903" s="0" t="n">
        <v>3</v>
      </c>
      <c r="E5903" s="6" t="n">
        <v>40868.4319444444</v>
      </c>
      <c r="F5903" s="0" t="n">
        <v>18</v>
      </c>
      <c r="G5903" s="0" t="n">
        <v>12658</v>
      </c>
      <c r="H5903" s="0" t="s">
        <v>33</v>
      </c>
      <c r="I5903" s="7" t="n">
        <f aca="false">IF(AND(LEFT(A5903,1)&lt;&gt;"C",D5903&gt;0,F5903&gt;0),1,0)</f>
        <v>1</v>
      </c>
      <c r="J5903" s="7" t="n">
        <f aca="false">IF(I5903=1,D5903*F5903,0)</f>
        <v>54</v>
      </c>
      <c r="K5903" s="7" t="n">
        <f aca="false">YEAR(E5903)*100+MONTH(E5903)</f>
        <v>201111</v>
      </c>
      <c r="L5903" s="7" t="n">
        <f aca="false">IF(AND(A5903&lt;&gt;A5902,LEFT(A5903,1)&lt;&gt;"C"),1,0)</f>
        <v>0</v>
      </c>
    </row>
    <row r="5904" customFormat="false" ht="15" hidden="false" customHeight="false" outlineLevel="0" collapsed="false">
      <c r="A5904" s="0" t="s">
        <v>3151</v>
      </c>
      <c r="B5904" s="0" t="s">
        <v>217</v>
      </c>
      <c r="C5904" s="0" t="s">
        <v>218</v>
      </c>
      <c r="D5904" s="0" t="n">
        <v>24</v>
      </c>
      <c r="E5904" s="6" t="n">
        <v>40868.4694444445</v>
      </c>
      <c r="F5904" s="0" t="n">
        <v>0.55</v>
      </c>
      <c r="G5904" s="0" t="n">
        <v>12583</v>
      </c>
      <c r="H5904" s="0" t="s">
        <v>43</v>
      </c>
      <c r="I5904" s="7" t="n">
        <f aca="false">IF(AND(LEFT(A5904,1)&lt;&gt;"C",D5904&gt;0,F5904&gt;0),1,0)</f>
        <v>1</v>
      </c>
      <c r="J5904" s="7" t="n">
        <f aca="false">IF(I5904=1,D5904*F5904,0)</f>
        <v>13.2</v>
      </c>
      <c r="K5904" s="7" t="n">
        <f aca="false">YEAR(E5904)*100+MONTH(E5904)</f>
        <v>201111</v>
      </c>
      <c r="L5904" s="7" t="n">
        <f aca="false">IF(AND(A5904&lt;&gt;A5903,LEFT(A5904,1)&lt;&gt;"C"),1,0)</f>
        <v>1</v>
      </c>
    </row>
    <row r="5905" customFormat="false" ht="15" hidden="false" customHeight="false" outlineLevel="0" collapsed="false">
      <c r="A5905" s="0" t="s">
        <v>3151</v>
      </c>
      <c r="B5905" s="0" t="s">
        <v>1501</v>
      </c>
      <c r="C5905" s="0" t="s">
        <v>1502</v>
      </c>
      <c r="D5905" s="0" t="n">
        <v>16</v>
      </c>
      <c r="E5905" s="6" t="n">
        <v>40868.4694444445</v>
      </c>
      <c r="F5905" s="0" t="n">
        <v>0.65</v>
      </c>
      <c r="G5905" s="0" t="n">
        <v>12583</v>
      </c>
      <c r="H5905" s="0" t="s">
        <v>43</v>
      </c>
      <c r="I5905" s="7" t="n">
        <f aca="false">IF(AND(LEFT(A5905,1)&lt;&gt;"C",D5905&gt;0,F5905&gt;0),1,0)</f>
        <v>1</v>
      </c>
      <c r="J5905" s="7" t="n">
        <f aca="false">IF(I5905=1,D5905*F5905,0)</f>
        <v>10.4</v>
      </c>
      <c r="K5905" s="7" t="n">
        <f aca="false">YEAR(E5905)*100+MONTH(E5905)</f>
        <v>201111</v>
      </c>
      <c r="L5905" s="7" t="n">
        <f aca="false">IF(AND(A5905&lt;&gt;A5904,LEFT(A5905,1)&lt;&gt;"C"),1,0)</f>
        <v>0</v>
      </c>
    </row>
    <row r="5906" customFormat="false" ht="15" hidden="false" customHeight="false" outlineLevel="0" collapsed="false">
      <c r="A5906" s="0" t="s">
        <v>3151</v>
      </c>
      <c r="B5906" s="0" t="s">
        <v>1620</v>
      </c>
      <c r="C5906" s="0" t="s">
        <v>1621</v>
      </c>
      <c r="D5906" s="0" t="n">
        <v>16</v>
      </c>
      <c r="E5906" s="6" t="n">
        <v>40868.4694444445</v>
      </c>
      <c r="F5906" s="0" t="n">
        <v>0.65</v>
      </c>
      <c r="G5906" s="0" t="n">
        <v>12583</v>
      </c>
      <c r="H5906" s="0" t="s">
        <v>43</v>
      </c>
      <c r="I5906" s="7" t="n">
        <f aca="false">IF(AND(LEFT(A5906,1)&lt;&gt;"C",D5906&gt;0,F5906&gt;0),1,0)</f>
        <v>1</v>
      </c>
      <c r="J5906" s="7" t="n">
        <f aca="false">IF(I5906=1,D5906*F5906,0)</f>
        <v>10.4</v>
      </c>
      <c r="K5906" s="7" t="n">
        <f aca="false">YEAR(E5906)*100+MONTH(E5906)</f>
        <v>201111</v>
      </c>
      <c r="L5906" s="7" t="n">
        <f aca="false">IF(AND(A5906&lt;&gt;A5905,LEFT(A5906,1)&lt;&gt;"C"),1,0)</f>
        <v>0</v>
      </c>
    </row>
    <row r="5907" customFormat="false" ht="15" hidden="false" customHeight="false" outlineLevel="0" collapsed="false">
      <c r="A5907" s="0" t="s">
        <v>3151</v>
      </c>
      <c r="B5907" s="0" t="s">
        <v>131</v>
      </c>
      <c r="C5907" s="0" t="s">
        <v>132</v>
      </c>
      <c r="D5907" s="0" t="n">
        <v>16</v>
      </c>
      <c r="E5907" s="6" t="n">
        <v>40868.4694444445</v>
      </c>
      <c r="F5907" s="0" t="n">
        <v>1.65</v>
      </c>
      <c r="G5907" s="0" t="n">
        <v>12583</v>
      </c>
      <c r="H5907" s="0" t="s">
        <v>43</v>
      </c>
      <c r="I5907" s="7" t="n">
        <f aca="false">IF(AND(LEFT(A5907,1)&lt;&gt;"C",D5907&gt;0,F5907&gt;0),1,0)</f>
        <v>1</v>
      </c>
      <c r="J5907" s="7" t="n">
        <f aca="false">IF(I5907=1,D5907*F5907,0)</f>
        <v>26.4</v>
      </c>
      <c r="K5907" s="7" t="n">
        <f aca="false">YEAR(E5907)*100+MONTH(E5907)</f>
        <v>201111</v>
      </c>
      <c r="L5907" s="7" t="n">
        <f aca="false">IF(AND(A5907&lt;&gt;A5906,LEFT(A5907,1)&lt;&gt;"C"),1,0)</f>
        <v>0</v>
      </c>
    </row>
    <row r="5908" customFormat="false" ht="15" hidden="false" customHeight="false" outlineLevel="0" collapsed="false">
      <c r="A5908" s="0" t="s">
        <v>3151</v>
      </c>
      <c r="B5908" s="0" t="s">
        <v>50</v>
      </c>
      <c r="C5908" s="0" t="s">
        <v>51</v>
      </c>
      <c r="D5908" s="0" t="n">
        <v>12</v>
      </c>
      <c r="E5908" s="6" t="n">
        <v>40868.4694444445</v>
      </c>
      <c r="F5908" s="0" t="n">
        <v>1.95</v>
      </c>
      <c r="G5908" s="0" t="n">
        <v>12583</v>
      </c>
      <c r="H5908" s="0" t="s">
        <v>43</v>
      </c>
      <c r="I5908" s="7" t="n">
        <f aca="false">IF(AND(LEFT(A5908,1)&lt;&gt;"C",D5908&gt;0,F5908&gt;0),1,0)</f>
        <v>1</v>
      </c>
      <c r="J5908" s="7" t="n">
        <f aca="false">IF(I5908=1,D5908*F5908,0)</f>
        <v>23.4</v>
      </c>
      <c r="K5908" s="7" t="n">
        <f aca="false">YEAR(E5908)*100+MONTH(E5908)</f>
        <v>201111</v>
      </c>
      <c r="L5908" s="7" t="n">
        <f aca="false">IF(AND(A5908&lt;&gt;A5907,LEFT(A5908,1)&lt;&gt;"C"),1,0)</f>
        <v>0</v>
      </c>
    </row>
    <row r="5909" customFormat="false" ht="15" hidden="false" customHeight="false" outlineLevel="0" collapsed="false">
      <c r="A5909" s="0" t="s">
        <v>3151</v>
      </c>
      <c r="B5909" s="0" t="s">
        <v>197</v>
      </c>
      <c r="C5909" s="0" t="s">
        <v>198</v>
      </c>
      <c r="D5909" s="0" t="n">
        <v>12</v>
      </c>
      <c r="E5909" s="6" t="n">
        <v>40868.4694444445</v>
      </c>
      <c r="F5909" s="0" t="n">
        <v>0.85</v>
      </c>
      <c r="G5909" s="0" t="n">
        <v>12583</v>
      </c>
      <c r="H5909" s="0" t="s">
        <v>43</v>
      </c>
      <c r="I5909" s="7" t="n">
        <f aca="false">IF(AND(LEFT(A5909,1)&lt;&gt;"C",D5909&gt;0,F5909&gt;0),1,0)</f>
        <v>1</v>
      </c>
      <c r="J5909" s="7" t="n">
        <f aca="false">IF(I5909=1,D5909*F5909,0)</f>
        <v>10.2</v>
      </c>
      <c r="K5909" s="7" t="n">
        <f aca="false">YEAR(E5909)*100+MONTH(E5909)</f>
        <v>201111</v>
      </c>
      <c r="L5909" s="7" t="n">
        <f aca="false">IF(AND(A5909&lt;&gt;A5908,LEFT(A5909,1)&lt;&gt;"C"),1,0)</f>
        <v>0</v>
      </c>
    </row>
    <row r="5910" customFormat="false" ht="15" hidden="false" customHeight="false" outlineLevel="0" collapsed="false">
      <c r="A5910" s="0" t="s">
        <v>3151</v>
      </c>
      <c r="B5910" s="0" t="s">
        <v>193</v>
      </c>
      <c r="C5910" s="0" t="s">
        <v>194</v>
      </c>
      <c r="D5910" s="0" t="n">
        <v>12</v>
      </c>
      <c r="E5910" s="6" t="n">
        <v>40868.4694444445</v>
      </c>
      <c r="F5910" s="0" t="n">
        <v>0.65</v>
      </c>
      <c r="G5910" s="0" t="n">
        <v>12583</v>
      </c>
      <c r="H5910" s="0" t="s">
        <v>43</v>
      </c>
      <c r="I5910" s="7" t="n">
        <f aca="false">IF(AND(LEFT(A5910,1)&lt;&gt;"C",D5910&gt;0,F5910&gt;0),1,0)</f>
        <v>1</v>
      </c>
      <c r="J5910" s="7" t="n">
        <f aca="false">IF(I5910=1,D5910*F5910,0)</f>
        <v>7.8</v>
      </c>
      <c r="K5910" s="7" t="n">
        <f aca="false">YEAR(E5910)*100+MONTH(E5910)</f>
        <v>201111</v>
      </c>
      <c r="L5910" s="7" t="n">
        <f aca="false">IF(AND(A5910&lt;&gt;A5909,LEFT(A5910,1)&lt;&gt;"C"),1,0)</f>
        <v>0</v>
      </c>
    </row>
    <row r="5911" customFormat="false" ht="15" hidden="false" customHeight="false" outlineLevel="0" collapsed="false">
      <c r="A5911" s="0" t="s">
        <v>3151</v>
      </c>
      <c r="B5911" s="0" t="s">
        <v>151</v>
      </c>
      <c r="C5911" s="0" t="s">
        <v>152</v>
      </c>
      <c r="D5911" s="0" t="n">
        <v>12</v>
      </c>
      <c r="E5911" s="6" t="n">
        <v>40868.4694444445</v>
      </c>
      <c r="F5911" s="0" t="n">
        <v>0.85</v>
      </c>
      <c r="G5911" s="0" t="n">
        <v>12583</v>
      </c>
      <c r="H5911" s="0" t="s">
        <v>43</v>
      </c>
      <c r="I5911" s="7" t="n">
        <f aca="false">IF(AND(LEFT(A5911,1)&lt;&gt;"C",D5911&gt;0,F5911&gt;0),1,0)</f>
        <v>1</v>
      </c>
      <c r="J5911" s="7" t="n">
        <f aca="false">IF(I5911=1,D5911*F5911,0)</f>
        <v>10.2</v>
      </c>
      <c r="K5911" s="7" t="n">
        <f aca="false">YEAR(E5911)*100+MONTH(E5911)</f>
        <v>201111</v>
      </c>
      <c r="L5911" s="7" t="n">
        <f aca="false">IF(AND(A5911&lt;&gt;A5910,LEFT(A5911,1)&lt;&gt;"C"),1,0)</f>
        <v>0</v>
      </c>
    </row>
    <row r="5912" customFormat="false" ht="15" hidden="false" customHeight="false" outlineLevel="0" collapsed="false">
      <c r="A5912" s="0" t="s">
        <v>3151</v>
      </c>
      <c r="B5912" s="0" t="s">
        <v>195</v>
      </c>
      <c r="C5912" s="0" t="s">
        <v>196</v>
      </c>
      <c r="D5912" s="0" t="n">
        <v>12</v>
      </c>
      <c r="E5912" s="6" t="n">
        <v>40868.4694444445</v>
      </c>
      <c r="F5912" s="0" t="n">
        <v>0.85</v>
      </c>
      <c r="G5912" s="0" t="n">
        <v>12583</v>
      </c>
      <c r="H5912" s="0" t="s">
        <v>43</v>
      </c>
      <c r="I5912" s="7" t="n">
        <f aca="false">IF(AND(LEFT(A5912,1)&lt;&gt;"C",D5912&gt;0,F5912&gt;0),1,0)</f>
        <v>1</v>
      </c>
      <c r="J5912" s="7" t="n">
        <f aca="false">IF(I5912=1,D5912*F5912,0)</f>
        <v>10.2</v>
      </c>
      <c r="K5912" s="7" t="n">
        <f aca="false">YEAR(E5912)*100+MONTH(E5912)</f>
        <v>201111</v>
      </c>
      <c r="L5912" s="7" t="n">
        <f aca="false">IF(AND(A5912&lt;&gt;A5911,LEFT(A5912,1)&lt;&gt;"C"),1,0)</f>
        <v>0</v>
      </c>
    </row>
    <row r="5913" customFormat="false" ht="15" hidden="false" customHeight="false" outlineLevel="0" collapsed="false">
      <c r="A5913" s="0" t="s">
        <v>3151</v>
      </c>
      <c r="B5913" s="0" t="s">
        <v>199</v>
      </c>
      <c r="C5913" s="0" t="s">
        <v>200</v>
      </c>
      <c r="D5913" s="0" t="n">
        <v>12</v>
      </c>
      <c r="E5913" s="6" t="n">
        <v>40868.4694444445</v>
      </c>
      <c r="F5913" s="0" t="n">
        <v>0.85</v>
      </c>
      <c r="G5913" s="0" t="n">
        <v>12583</v>
      </c>
      <c r="H5913" s="0" t="s">
        <v>43</v>
      </c>
      <c r="I5913" s="7" t="n">
        <f aca="false">IF(AND(LEFT(A5913,1)&lt;&gt;"C",D5913&gt;0,F5913&gt;0),1,0)</f>
        <v>1</v>
      </c>
      <c r="J5913" s="7" t="n">
        <f aca="false">IF(I5913=1,D5913*F5913,0)</f>
        <v>10.2</v>
      </c>
      <c r="K5913" s="7" t="n">
        <f aca="false">YEAR(E5913)*100+MONTH(E5913)</f>
        <v>201111</v>
      </c>
      <c r="L5913" s="7" t="n">
        <f aca="false">IF(AND(A5913&lt;&gt;A5912,LEFT(A5913,1)&lt;&gt;"C"),1,0)</f>
        <v>0</v>
      </c>
    </row>
    <row r="5914" customFormat="false" ht="15" hidden="false" customHeight="false" outlineLevel="0" collapsed="false">
      <c r="A5914" s="0" t="s">
        <v>3151</v>
      </c>
      <c r="B5914" s="0" t="s">
        <v>157</v>
      </c>
      <c r="C5914" s="0" t="s">
        <v>158</v>
      </c>
      <c r="D5914" s="0" t="n">
        <v>12</v>
      </c>
      <c r="E5914" s="6" t="n">
        <v>40868.4694444445</v>
      </c>
      <c r="F5914" s="0" t="n">
        <v>0.65</v>
      </c>
      <c r="G5914" s="0" t="n">
        <v>12583</v>
      </c>
      <c r="H5914" s="0" t="s">
        <v>43</v>
      </c>
      <c r="I5914" s="7" t="n">
        <f aca="false">IF(AND(LEFT(A5914,1)&lt;&gt;"C",D5914&gt;0,F5914&gt;0),1,0)</f>
        <v>1</v>
      </c>
      <c r="J5914" s="7" t="n">
        <f aca="false">IF(I5914=1,D5914*F5914,0)</f>
        <v>7.8</v>
      </c>
      <c r="K5914" s="7" t="n">
        <f aca="false">YEAR(E5914)*100+MONTH(E5914)</f>
        <v>201111</v>
      </c>
      <c r="L5914" s="7" t="n">
        <f aca="false">IF(AND(A5914&lt;&gt;A5913,LEFT(A5914,1)&lt;&gt;"C"),1,0)</f>
        <v>0</v>
      </c>
    </row>
    <row r="5915" customFormat="false" ht="15" hidden="false" customHeight="false" outlineLevel="0" collapsed="false">
      <c r="A5915" s="0" t="s">
        <v>3151</v>
      </c>
      <c r="B5915" s="0" t="s">
        <v>671</v>
      </c>
      <c r="C5915" s="0" t="s">
        <v>672</v>
      </c>
      <c r="D5915" s="0" t="n">
        <v>24</v>
      </c>
      <c r="E5915" s="6" t="n">
        <v>40868.4694444445</v>
      </c>
      <c r="F5915" s="0" t="n">
        <v>0.85</v>
      </c>
      <c r="G5915" s="0" t="n">
        <v>12583</v>
      </c>
      <c r="H5915" s="0" t="s">
        <v>43</v>
      </c>
      <c r="I5915" s="7" t="n">
        <f aca="false">IF(AND(LEFT(A5915,1)&lt;&gt;"C",D5915&gt;0,F5915&gt;0),1,0)</f>
        <v>1</v>
      </c>
      <c r="J5915" s="7" t="n">
        <f aca="false">IF(I5915=1,D5915*F5915,0)</f>
        <v>20.4</v>
      </c>
      <c r="K5915" s="7" t="n">
        <f aca="false">YEAR(E5915)*100+MONTH(E5915)</f>
        <v>201111</v>
      </c>
      <c r="L5915" s="7" t="n">
        <f aca="false">IF(AND(A5915&lt;&gt;A5914,LEFT(A5915,1)&lt;&gt;"C"),1,0)</f>
        <v>0</v>
      </c>
    </row>
    <row r="5916" customFormat="false" ht="15" hidden="false" customHeight="false" outlineLevel="0" collapsed="false">
      <c r="A5916" s="0" t="s">
        <v>3151</v>
      </c>
      <c r="B5916" s="0" t="s">
        <v>2261</v>
      </c>
      <c r="C5916" s="0" t="s">
        <v>2262</v>
      </c>
      <c r="D5916" s="0" t="n">
        <v>16</v>
      </c>
      <c r="E5916" s="6" t="n">
        <v>40868.4694444445</v>
      </c>
      <c r="F5916" s="0" t="n">
        <v>1.65</v>
      </c>
      <c r="G5916" s="0" t="n">
        <v>12583</v>
      </c>
      <c r="H5916" s="0" t="s">
        <v>43</v>
      </c>
      <c r="I5916" s="7" t="n">
        <f aca="false">IF(AND(LEFT(A5916,1)&lt;&gt;"C",D5916&gt;0,F5916&gt;0),1,0)</f>
        <v>1</v>
      </c>
      <c r="J5916" s="7" t="n">
        <f aca="false">IF(I5916=1,D5916*F5916,0)</f>
        <v>26.4</v>
      </c>
      <c r="K5916" s="7" t="n">
        <f aca="false">YEAR(E5916)*100+MONTH(E5916)</f>
        <v>201111</v>
      </c>
      <c r="L5916" s="7" t="n">
        <f aca="false">IF(AND(A5916&lt;&gt;A5915,LEFT(A5916,1)&lt;&gt;"C"),1,0)</f>
        <v>0</v>
      </c>
    </row>
    <row r="5917" customFormat="false" ht="15" hidden="false" customHeight="false" outlineLevel="0" collapsed="false">
      <c r="A5917" s="0" t="s">
        <v>3151</v>
      </c>
      <c r="B5917" s="0" t="s">
        <v>3152</v>
      </c>
      <c r="C5917" s="0" t="s">
        <v>3153</v>
      </c>
      <c r="D5917" s="0" t="n">
        <v>24</v>
      </c>
      <c r="E5917" s="6" t="n">
        <v>40868.4694444445</v>
      </c>
      <c r="F5917" s="0" t="n">
        <v>2.95</v>
      </c>
      <c r="G5917" s="0" t="n">
        <v>12583</v>
      </c>
      <c r="H5917" s="0" t="s">
        <v>43</v>
      </c>
      <c r="I5917" s="7" t="n">
        <f aca="false">IF(AND(LEFT(A5917,1)&lt;&gt;"C",D5917&gt;0,F5917&gt;0),1,0)</f>
        <v>1</v>
      </c>
      <c r="J5917" s="7" t="n">
        <f aca="false">IF(I5917=1,D5917*F5917,0)</f>
        <v>70.8</v>
      </c>
      <c r="K5917" s="7" t="n">
        <f aca="false">YEAR(E5917)*100+MONTH(E5917)</f>
        <v>201111</v>
      </c>
      <c r="L5917" s="7" t="n">
        <f aca="false">IF(AND(A5917&lt;&gt;A5916,LEFT(A5917,1)&lt;&gt;"C"),1,0)</f>
        <v>0</v>
      </c>
    </row>
    <row r="5918" customFormat="false" ht="15" hidden="false" customHeight="false" outlineLevel="0" collapsed="false">
      <c r="A5918" s="0" t="s">
        <v>3151</v>
      </c>
      <c r="B5918" s="0" t="s">
        <v>84</v>
      </c>
      <c r="C5918" s="0" t="s">
        <v>85</v>
      </c>
      <c r="D5918" s="0" t="n">
        <v>3</v>
      </c>
      <c r="E5918" s="6" t="n">
        <v>40868.4694444445</v>
      </c>
      <c r="F5918" s="0" t="n">
        <v>18</v>
      </c>
      <c r="G5918" s="0" t="n">
        <v>12583</v>
      </c>
      <c r="H5918" s="0" t="s">
        <v>43</v>
      </c>
      <c r="I5918" s="7" t="n">
        <f aca="false">IF(AND(LEFT(A5918,1)&lt;&gt;"C",D5918&gt;0,F5918&gt;0),1,0)</f>
        <v>1</v>
      </c>
      <c r="J5918" s="7" t="n">
        <f aca="false">IF(I5918=1,D5918*F5918,0)</f>
        <v>54</v>
      </c>
      <c r="K5918" s="7" t="n">
        <f aca="false">YEAR(E5918)*100+MONTH(E5918)</f>
        <v>201111</v>
      </c>
      <c r="L5918" s="7" t="n">
        <f aca="false">IF(AND(A5918&lt;&gt;A5917,LEFT(A5918,1)&lt;&gt;"C"),1,0)</f>
        <v>0</v>
      </c>
    </row>
    <row r="5919" customFormat="false" ht="15" hidden="false" customHeight="false" outlineLevel="0" collapsed="false">
      <c r="A5919" s="0" t="s">
        <v>3151</v>
      </c>
      <c r="B5919" s="0" t="s">
        <v>62</v>
      </c>
      <c r="C5919" s="0" t="s">
        <v>63</v>
      </c>
      <c r="D5919" s="0" t="n">
        <v>48</v>
      </c>
      <c r="E5919" s="6" t="n">
        <v>40868.4694444445</v>
      </c>
      <c r="F5919" s="0" t="n">
        <v>1.79</v>
      </c>
      <c r="G5919" s="0" t="n">
        <v>12583</v>
      </c>
      <c r="H5919" s="0" t="s">
        <v>43</v>
      </c>
      <c r="I5919" s="7" t="n">
        <f aca="false">IF(AND(LEFT(A5919,1)&lt;&gt;"C",D5919&gt;0,F5919&gt;0),1,0)</f>
        <v>1</v>
      </c>
      <c r="J5919" s="7" t="n">
        <f aca="false">IF(I5919=1,D5919*F5919,0)</f>
        <v>85.92</v>
      </c>
      <c r="K5919" s="7" t="n">
        <f aca="false">YEAR(E5919)*100+MONTH(E5919)</f>
        <v>201111</v>
      </c>
      <c r="L5919" s="7" t="n">
        <f aca="false">IF(AND(A5919&lt;&gt;A5918,LEFT(A5919,1)&lt;&gt;"C"),1,0)</f>
        <v>0</v>
      </c>
    </row>
    <row r="5920" customFormat="false" ht="15" hidden="false" customHeight="false" outlineLevel="0" collapsed="false">
      <c r="A5920" s="0" t="s">
        <v>3154</v>
      </c>
      <c r="B5920" s="0" t="s">
        <v>2806</v>
      </c>
      <c r="C5920" s="0" t="s">
        <v>2807</v>
      </c>
      <c r="D5920" s="0" t="n">
        <v>-2</v>
      </c>
      <c r="E5920" s="6" t="n">
        <v>40868.4916666667</v>
      </c>
      <c r="F5920" s="0" t="n">
        <v>5.95</v>
      </c>
      <c r="G5920" s="0" t="n">
        <v>12628</v>
      </c>
      <c r="H5920" s="0" t="s">
        <v>33</v>
      </c>
      <c r="I5920" s="7" t="n">
        <f aca="false">IF(AND(LEFT(A5920,1)&lt;&gt;"C",D5920&gt;0,F5920&gt;0),1,0)</f>
        <v>0</v>
      </c>
      <c r="J5920" s="7" t="n">
        <f aca="false">IF(I5920=1,D5920*F5920,0)</f>
        <v>0</v>
      </c>
      <c r="K5920" s="7" t="n">
        <f aca="false">YEAR(E5920)*100+MONTH(E5920)</f>
        <v>201111</v>
      </c>
      <c r="L5920" s="7" t="n">
        <f aca="false">IF(AND(A5920&lt;&gt;A5919,LEFT(A5920,1)&lt;&gt;"C"),1,0)</f>
        <v>0</v>
      </c>
    </row>
    <row r="5921" customFormat="false" ht="15" hidden="false" customHeight="false" outlineLevel="0" collapsed="false">
      <c r="A5921" s="0" t="s">
        <v>3154</v>
      </c>
      <c r="B5921" s="0" t="s">
        <v>136</v>
      </c>
      <c r="C5921" s="0" t="s">
        <v>137</v>
      </c>
      <c r="D5921" s="0" t="n">
        <v>-1</v>
      </c>
      <c r="E5921" s="6" t="n">
        <v>40868.4916666667</v>
      </c>
      <c r="F5921" s="0" t="n">
        <v>4.95</v>
      </c>
      <c r="G5921" s="0" t="n">
        <v>12628</v>
      </c>
      <c r="H5921" s="0" t="s">
        <v>33</v>
      </c>
      <c r="I5921" s="7" t="n">
        <f aca="false">IF(AND(LEFT(A5921,1)&lt;&gt;"C",D5921&gt;0,F5921&gt;0),1,0)</f>
        <v>0</v>
      </c>
      <c r="J5921" s="7" t="n">
        <f aca="false">IF(I5921=1,D5921*F5921,0)</f>
        <v>0</v>
      </c>
      <c r="K5921" s="7" t="n">
        <f aca="false">YEAR(E5921)*100+MONTH(E5921)</f>
        <v>201111</v>
      </c>
      <c r="L5921" s="7" t="n">
        <f aca="false">IF(AND(A5921&lt;&gt;A5920,LEFT(A5921,1)&lt;&gt;"C"),1,0)</f>
        <v>0</v>
      </c>
    </row>
    <row r="5922" customFormat="false" ht="15" hidden="false" customHeight="false" outlineLevel="0" collapsed="false">
      <c r="A5922" s="0" t="s">
        <v>3155</v>
      </c>
      <c r="B5922" s="0" t="s">
        <v>1629</v>
      </c>
      <c r="C5922" s="0" t="s">
        <v>1630</v>
      </c>
      <c r="D5922" s="0" t="n">
        <v>-12</v>
      </c>
      <c r="E5922" s="6" t="n">
        <v>40868.6666666667</v>
      </c>
      <c r="F5922" s="0" t="n">
        <v>10.95</v>
      </c>
      <c r="G5922" s="0" t="n">
        <v>12504</v>
      </c>
      <c r="H5922" s="0" t="s">
        <v>33</v>
      </c>
      <c r="I5922" s="7" t="n">
        <f aca="false">IF(AND(LEFT(A5922,1)&lt;&gt;"C",D5922&gt;0,F5922&gt;0),1,0)</f>
        <v>0</v>
      </c>
      <c r="J5922" s="7" t="n">
        <f aca="false">IF(I5922=1,D5922*F5922,0)</f>
        <v>0</v>
      </c>
      <c r="K5922" s="7" t="n">
        <f aca="false">YEAR(E5922)*100+MONTH(E5922)</f>
        <v>201111</v>
      </c>
      <c r="L5922" s="7" t="n">
        <f aca="false">IF(AND(A5922&lt;&gt;A5921,LEFT(A5922,1)&lt;&gt;"C"),1,0)</f>
        <v>0</v>
      </c>
    </row>
    <row r="5923" customFormat="false" ht="15" hidden="false" customHeight="false" outlineLevel="0" collapsed="false">
      <c r="A5923" s="0" t="s">
        <v>3155</v>
      </c>
      <c r="B5923" s="0" t="s">
        <v>1271</v>
      </c>
      <c r="C5923" s="0" t="s">
        <v>1272</v>
      </c>
      <c r="D5923" s="0" t="n">
        <v>-12</v>
      </c>
      <c r="E5923" s="6" t="n">
        <v>40868.6666666667</v>
      </c>
      <c r="F5923" s="0" t="n">
        <v>8.5</v>
      </c>
      <c r="G5923" s="0" t="n">
        <v>12504</v>
      </c>
      <c r="H5923" s="0" t="s">
        <v>33</v>
      </c>
      <c r="I5923" s="7" t="n">
        <f aca="false">IF(AND(LEFT(A5923,1)&lt;&gt;"C",D5923&gt;0,F5923&gt;0),1,0)</f>
        <v>0</v>
      </c>
      <c r="J5923" s="7" t="n">
        <f aca="false">IF(I5923=1,D5923*F5923,0)</f>
        <v>0</v>
      </c>
      <c r="K5923" s="7" t="n">
        <f aca="false">YEAR(E5923)*100+MONTH(E5923)</f>
        <v>201111</v>
      </c>
      <c r="L5923" s="7" t="n">
        <f aca="false">IF(AND(A5923&lt;&gt;A5922,LEFT(A5923,1)&lt;&gt;"C"),1,0)</f>
        <v>0</v>
      </c>
    </row>
    <row r="5924" customFormat="false" ht="15" hidden="false" customHeight="false" outlineLevel="0" collapsed="false">
      <c r="A5924" s="0" t="s">
        <v>3155</v>
      </c>
      <c r="B5924" s="0" t="s">
        <v>1423</v>
      </c>
      <c r="C5924" s="0" t="s">
        <v>1424</v>
      </c>
      <c r="D5924" s="0" t="n">
        <v>-12</v>
      </c>
      <c r="E5924" s="6" t="n">
        <v>40868.6666666667</v>
      </c>
      <c r="F5924" s="0" t="n">
        <v>8.5</v>
      </c>
      <c r="G5924" s="0" t="n">
        <v>12504</v>
      </c>
      <c r="H5924" s="0" t="s">
        <v>33</v>
      </c>
      <c r="I5924" s="7" t="n">
        <f aca="false">IF(AND(LEFT(A5924,1)&lt;&gt;"C",D5924&gt;0,F5924&gt;0),1,0)</f>
        <v>0</v>
      </c>
      <c r="J5924" s="7" t="n">
        <f aca="false">IF(I5924=1,D5924*F5924,0)</f>
        <v>0</v>
      </c>
      <c r="K5924" s="7" t="n">
        <f aca="false">YEAR(E5924)*100+MONTH(E5924)</f>
        <v>201111</v>
      </c>
      <c r="L5924" s="7" t="n">
        <f aca="false">IF(AND(A5924&lt;&gt;A5923,LEFT(A5924,1)&lt;&gt;"C"),1,0)</f>
        <v>0</v>
      </c>
    </row>
    <row r="5925" customFormat="false" ht="15" hidden="false" customHeight="false" outlineLevel="0" collapsed="false">
      <c r="A5925" s="0" t="s">
        <v>3156</v>
      </c>
      <c r="B5925" s="0" t="s">
        <v>1629</v>
      </c>
      <c r="C5925" s="0" t="s">
        <v>1630</v>
      </c>
      <c r="D5925" s="0" t="n">
        <v>1</v>
      </c>
      <c r="E5925" s="6" t="n">
        <v>40868.6680555556</v>
      </c>
      <c r="F5925" s="0" t="n">
        <v>12.75</v>
      </c>
      <c r="G5925" s="0" t="n">
        <v>12504</v>
      </c>
      <c r="H5925" s="0" t="s">
        <v>33</v>
      </c>
      <c r="I5925" s="7" t="n">
        <f aca="false">IF(AND(LEFT(A5925,1)&lt;&gt;"C",D5925&gt;0,F5925&gt;0),1,0)</f>
        <v>1</v>
      </c>
      <c r="J5925" s="7" t="n">
        <f aca="false">IF(I5925=1,D5925*F5925,0)</f>
        <v>12.75</v>
      </c>
      <c r="K5925" s="7" t="n">
        <f aca="false">YEAR(E5925)*100+MONTH(E5925)</f>
        <v>201111</v>
      </c>
      <c r="L5925" s="7" t="n">
        <f aca="false">IF(AND(A5925&lt;&gt;A5924,LEFT(A5925,1)&lt;&gt;"C"),1,0)</f>
        <v>1</v>
      </c>
    </row>
    <row r="5926" customFormat="false" ht="15" hidden="false" customHeight="false" outlineLevel="0" collapsed="false">
      <c r="A5926" s="0" t="s">
        <v>3156</v>
      </c>
      <c r="B5926" s="0" t="s">
        <v>1271</v>
      </c>
      <c r="C5926" s="0" t="s">
        <v>1272</v>
      </c>
      <c r="D5926" s="0" t="n">
        <v>1</v>
      </c>
      <c r="E5926" s="6" t="n">
        <v>40868.6680555556</v>
      </c>
      <c r="F5926" s="0" t="n">
        <v>9.95</v>
      </c>
      <c r="G5926" s="0" t="n">
        <v>12504</v>
      </c>
      <c r="H5926" s="0" t="s">
        <v>33</v>
      </c>
      <c r="I5926" s="7" t="n">
        <f aca="false">IF(AND(LEFT(A5926,1)&lt;&gt;"C",D5926&gt;0,F5926&gt;0),1,0)</f>
        <v>1</v>
      </c>
      <c r="J5926" s="7" t="n">
        <f aca="false">IF(I5926=1,D5926*F5926,0)</f>
        <v>9.95</v>
      </c>
      <c r="K5926" s="7" t="n">
        <f aca="false">YEAR(E5926)*100+MONTH(E5926)</f>
        <v>201111</v>
      </c>
      <c r="L5926" s="7" t="n">
        <f aca="false">IF(AND(A5926&lt;&gt;A5925,LEFT(A5926,1)&lt;&gt;"C"),1,0)</f>
        <v>0</v>
      </c>
    </row>
    <row r="5927" customFormat="false" ht="15" hidden="false" customHeight="false" outlineLevel="0" collapsed="false">
      <c r="A5927" s="0" t="s">
        <v>3156</v>
      </c>
      <c r="B5927" s="0" t="s">
        <v>1423</v>
      </c>
      <c r="C5927" s="0" t="s">
        <v>1424</v>
      </c>
      <c r="D5927" s="0" t="n">
        <v>1</v>
      </c>
      <c r="E5927" s="6" t="n">
        <v>40868.6680555556</v>
      </c>
      <c r="F5927" s="0" t="n">
        <v>9.95</v>
      </c>
      <c r="G5927" s="0" t="n">
        <v>12504</v>
      </c>
      <c r="H5927" s="0" t="s">
        <v>33</v>
      </c>
      <c r="I5927" s="7" t="n">
        <f aca="false">IF(AND(LEFT(A5927,1)&lt;&gt;"C",D5927&gt;0,F5927&gt;0),1,0)</f>
        <v>1</v>
      </c>
      <c r="J5927" s="7" t="n">
        <f aca="false">IF(I5927=1,D5927*F5927,0)</f>
        <v>9.95</v>
      </c>
      <c r="K5927" s="7" t="n">
        <f aca="false">YEAR(E5927)*100+MONTH(E5927)</f>
        <v>201111</v>
      </c>
      <c r="L5927" s="7" t="n">
        <f aca="false">IF(AND(A5927&lt;&gt;A5926,LEFT(A5927,1)&lt;&gt;"C"),1,0)</f>
        <v>0</v>
      </c>
    </row>
    <row r="5928" customFormat="false" ht="15" hidden="false" customHeight="false" outlineLevel="0" collapsed="false">
      <c r="A5928" s="0" t="s">
        <v>3157</v>
      </c>
      <c r="B5928" s="0" t="s">
        <v>62</v>
      </c>
      <c r="C5928" s="0" t="s">
        <v>63</v>
      </c>
      <c r="D5928" s="0" t="n">
        <v>72</v>
      </c>
      <c r="E5928" s="6" t="n">
        <v>40869.4715277778</v>
      </c>
      <c r="F5928" s="0" t="n">
        <v>1.79</v>
      </c>
      <c r="G5928" s="0" t="n">
        <v>12490</v>
      </c>
      <c r="H5928" s="0" t="s">
        <v>43</v>
      </c>
      <c r="I5928" s="7" t="n">
        <f aca="false">IF(AND(LEFT(A5928,1)&lt;&gt;"C",D5928&gt;0,F5928&gt;0),1,0)</f>
        <v>1</v>
      </c>
      <c r="J5928" s="7" t="n">
        <f aca="false">IF(I5928=1,D5928*F5928,0)</f>
        <v>128.88</v>
      </c>
      <c r="K5928" s="7" t="n">
        <f aca="false">YEAR(E5928)*100+MONTH(E5928)</f>
        <v>201111</v>
      </c>
      <c r="L5928" s="7" t="n">
        <f aca="false">IF(AND(A5928&lt;&gt;A5927,LEFT(A5928,1)&lt;&gt;"C"),1,0)</f>
        <v>1</v>
      </c>
    </row>
    <row r="5929" customFormat="false" ht="15" hidden="false" customHeight="false" outlineLevel="0" collapsed="false">
      <c r="A5929" s="0" t="s">
        <v>3157</v>
      </c>
      <c r="B5929" s="0" t="s">
        <v>667</v>
      </c>
      <c r="C5929" s="0" t="s">
        <v>668</v>
      </c>
      <c r="D5929" s="0" t="n">
        <v>10</v>
      </c>
      <c r="E5929" s="6" t="n">
        <v>40869.4715277778</v>
      </c>
      <c r="F5929" s="0" t="n">
        <v>0.85</v>
      </c>
      <c r="G5929" s="0" t="n">
        <v>12490</v>
      </c>
      <c r="H5929" s="0" t="s">
        <v>43</v>
      </c>
      <c r="I5929" s="7" t="n">
        <f aca="false">IF(AND(LEFT(A5929,1)&lt;&gt;"C",D5929&gt;0,F5929&gt;0),1,0)</f>
        <v>1</v>
      </c>
      <c r="J5929" s="7" t="n">
        <f aca="false">IF(I5929=1,D5929*F5929,0)</f>
        <v>8.5</v>
      </c>
      <c r="K5929" s="7" t="n">
        <f aca="false">YEAR(E5929)*100+MONTH(E5929)</f>
        <v>201111</v>
      </c>
      <c r="L5929" s="7" t="n">
        <f aca="false">IF(AND(A5929&lt;&gt;A5928,LEFT(A5929,1)&lt;&gt;"C"),1,0)</f>
        <v>0</v>
      </c>
    </row>
    <row r="5930" customFormat="false" ht="15" hidden="false" customHeight="false" outlineLevel="0" collapsed="false">
      <c r="A5930" s="0" t="s">
        <v>3157</v>
      </c>
      <c r="B5930" s="0" t="s">
        <v>68</v>
      </c>
      <c r="C5930" s="0" t="s">
        <v>69</v>
      </c>
      <c r="D5930" s="0" t="n">
        <v>10</v>
      </c>
      <c r="E5930" s="6" t="n">
        <v>40869.4715277778</v>
      </c>
      <c r="F5930" s="0" t="n">
        <v>1.65</v>
      </c>
      <c r="G5930" s="0" t="n">
        <v>12490</v>
      </c>
      <c r="H5930" s="0" t="s">
        <v>43</v>
      </c>
      <c r="I5930" s="7" t="n">
        <f aca="false">IF(AND(LEFT(A5930,1)&lt;&gt;"C",D5930&gt;0,F5930&gt;0),1,0)</f>
        <v>1</v>
      </c>
      <c r="J5930" s="7" t="n">
        <f aca="false">IF(I5930=1,D5930*F5930,0)</f>
        <v>16.5</v>
      </c>
      <c r="K5930" s="7" t="n">
        <f aca="false">YEAR(E5930)*100+MONTH(E5930)</f>
        <v>201111</v>
      </c>
      <c r="L5930" s="7" t="n">
        <f aca="false">IF(AND(A5930&lt;&gt;A5929,LEFT(A5930,1)&lt;&gt;"C"),1,0)</f>
        <v>0</v>
      </c>
    </row>
    <row r="5931" customFormat="false" ht="15" hidden="false" customHeight="false" outlineLevel="0" collapsed="false">
      <c r="A5931" s="0" t="s">
        <v>3157</v>
      </c>
      <c r="B5931" s="0" t="s">
        <v>193</v>
      </c>
      <c r="C5931" s="0" t="s">
        <v>194</v>
      </c>
      <c r="D5931" s="0" t="n">
        <v>12</v>
      </c>
      <c r="E5931" s="6" t="n">
        <v>40869.4715277778</v>
      </c>
      <c r="F5931" s="0" t="n">
        <v>0.65</v>
      </c>
      <c r="G5931" s="0" t="n">
        <v>12490</v>
      </c>
      <c r="H5931" s="0" t="s">
        <v>43</v>
      </c>
      <c r="I5931" s="7" t="n">
        <f aca="false">IF(AND(LEFT(A5931,1)&lt;&gt;"C",D5931&gt;0,F5931&gt;0),1,0)</f>
        <v>1</v>
      </c>
      <c r="J5931" s="7" t="n">
        <f aca="false">IF(I5931=1,D5931*F5931,0)</f>
        <v>7.8</v>
      </c>
      <c r="K5931" s="7" t="n">
        <f aca="false">YEAR(E5931)*100+MONTH(E5931)</f>
        <v>201111</v>
      </c>
      <c r="L5931" s="7" t="n">
        <f aca="false">IF(AND(A5931&lt;&gt;A5930,LEFT(A5931,1)&lt;&gt;"C"),1,0)</f>
        <v>0</v>
      </c>
    </row>
    <row r="5932" customFormat="false" ht="15" hidden="false" customHeight="false" outlineLevel="0" collapsed="false">
      <c r="A5932" s="0" t="s">
        <v>3157</v>
      </c>
      <c r="B5932" s="0" t="s">
        <v>131</v>
      </c>
      <c r="C5932" s="0" t="s">
        <v>132</v>
      </c>
      <c r="D5932" s="0" t="n">
        <v>8</v>
      </c>
      <c r="E5932" s="6" t="n">
        <v>40869.4715277778</v>
      </c>
      <c r="F5932" s="0" t="n">
        <v>1.65</v>
      </c>
      <c r="G5932" s="0" t="n">
        <v>12490</v>
      </c>
      <c r="H5932" s="0" t="s">
        <v>43</v>
      </c>
      <c r="I5932" s="7" t="n">
        <f aca="false">IF(AND(LEFT(A5932,1)&lt;&gt;"C",D5932&gt;0,F5932&gt;0),1,0)</f>
        <v>1</v>
      </c>
      <c r="J5932" s="7" t="n">
        <f aca="false">IF(I5932=1,D5932*F5932,0)</f>
        <v>13.2</v>
      </c>
      <c r="K5932" s="7" t="n">
        <f aca="false">YEAR(E5932)*100+MONTH(E5932)</f>
        <v>201111</v>
      </c>
      <c r="L5932" s="7" t="n">
        <f aca="false">IF(AND(A5932&lt;&gt;A5931,LEFT(A5932,1)&lt;&gt;"C"),1,0)</f>
        <v>0</v>
      </c>
    </row>
    <row r="5933" customFormat="false" ht="15" hidden="false" customHeight="false" outlineLevel="0" collapsed="false">
      <c r="A5933" s="0" t="s">
        <v>3157</v>
      </c>
      <c r="B5933" s="0" t="s">
        <v>569</v>
      </c>
      <c r="C5933" s="0" t="s">
        <v>570</v>
      </c>
      <c r="D5933" s="0" t="n">
        <v>10</v>
      </c>
      <c r="E5933" s="6" t="n">
        <v>40869.4715277778</v>
      </c>
      <c r="F5933" s="0" t="n">
        <v>2.08</v>
      </c>
      <c r="G5933" s="0" t="n">
        <v>12490</v>
      </c>
      <c r="H5933" s="0" t="s">
        <v>43</v>
      </c>
      <c r="I5933" s="7" t="n">
        <f aca="false">IF(AND(LEFT(A5933,1)&lt;&gt;"C",D5933&gt;0,F5933&gt;0),1,0)</f>
        <v>1</v>
      </c>
      <c r="J5933" s="7" t="n">
        <f aca="false">IF(I5933=1,D5933*F5933,0)</f>
        <v>20.8</v>
      </c>
      <c r="K5933" s="7" t="n">
        <f aca="false">YEAR(E5933)*100+MONTH(E5933)</f>
        <v>201111</v>
      </c>
      <c r="L5933" s="7" t="n">
        <f aca="false">IF(AND(A5933&lt;&gt;A5932,LEFT(A5933,1)&lt;&gt;"C"),1,0)</f>
        <v>0</v>
      </c>
    </row>
    <row r="5934" customFormat="false" ht="15" hidden="false" customHeight="false" outlineLevel="0" collapsed="false">
      <c r="A5934" s="0" t="s">
        <v>3157</v>
      </c>
      <c r="B5934" s="0" t="s">
        <v>70</v>
      </c>
      <c r="C5934" s="0" t="s">
        <v>71</v>
      </c>
      <c r="D5934" s="0" t="n">
        <v>10</v>
      </c>
      <c r="E5934" s="6" t="n">
        <v>40869.4715277778</v>
      </c>
      <c r="F5934" s="0" t="n">
        <v>1.65</v>
      </c>
      <c r="G5934" s="0" t="n">
        <v>12490</v>
      </c>
      <c r="H5934" s="0" t="s">
        <v>43</v>
      </c>
      <c r="I5934" s="7" t="n">
        <f aca="false">IF(AND(LEFT(A5934,1)&lt;&gt;"C",D5934&gt;0,F5934&gt;0),1,0)</f>
        <v>1</v>
      </c>
      <c r="J5934" s="7" t="n">
        <f aca="false">IF(I5934=1,D5934*F5934,0)</f>
        <v>16.5</v>
      </c>
      <c r="K5934" s="7" t="n">
        <f aca="false">YEAR(E5934)*100+MONTH(E5934)</f>
        <v>201111</v>
      </c>
      <c r="L5934" s="7" t="n">
        <f aca="false">IF(AND(A5934&lt;&gt;A5933,LEFT(A5934,1)&lt;&gt;"C"),1,0)</f>
        <v>0</v>
      </c>
    </row>
    <row r="5935" customFormat="false" ht="15" hidden="false" customHeight="false" outlineLevel="0" collapsed="false">
      <c r="A5935" s="0" t="s">
        <v>3157</v>
      </c>
      <c r="B5935" s="0" t="s">
        <v>794</v>
      </c>
      <c r="C5935" s="0" t="s">
        <v>795</v>
      </c>
      <c r="D5935" s="0" t="n">
        <v>10</v>
      </c>
      <c r="E5935" s="6" t="n">
        <v>40869.4715277778</v>
      </c>
      <c r="F5935" s="0" t="n">
        <v>0.85</v>
      </c>
      <c r="G5935" s="0" t="n">
        <v>12490</v>
      </c>
      <c r="H5935" s="0" t="s">
        <v>43</v>
      </c>
      <c r="I5935" s="7" t="n">
        <f aca="false">IF(AND(LEFT(A5935,1)&lt;&gt;"C",D5935&gt;0,F5935&gt;0),1,0)</f>
        <v>1</v>
      </c>
      <c r="J5935" s="7" t="n">
        <f aca="false">IF(I5935=1,D5935*F5935,0)</f>
        <v>8.5</v>
      </c>
      <c r="K5935" s="7" t="n">
        <f aca="false">YEAR(E5935)*100+MONTH(E5935)</f>
        <v>201111</v>
      </c>
      <c r="L5935" s="7" t="n">
        <f aca="false">IF(AND(A5935&lt;&gt;A5934,LEFT(A5935,1)&lt;&gt;"C"),1,0)</f>
        <v>0</v>
      </c>
    </row>
    <row r="5936" customFormat="false" ht="15" hidden="false" customHeight="false" outlineLevel="0" collapsed="false">
      <c r="A5936" s="0" t="s">
        <v>3157</v>
      </c>
      <c r="B5936" s="0" t="s">
        <v>123</v>
      </c>
      <c r="C5936" s="0" t="s">
        <v>124</v>
      </c>
      <c r="D5936" s="0" t="n">
        <v>6</v>
      </c>
      <c r="E5936" s="6" t="n">
        <v>40869.4715277778</v>
      </c>
      <c r="F5936" s="0" t="n">
        <v>2.95</v>
      </c>
      <c r="G5936" s="0" t="n">
        <v>12490</v>
      </c>
      <c r="H5936" s="0" t="s">
        <v>43</v>
      </c>
      <c r="I5936" s="7" t="n">
        <f aca="false">IF(AND(LEFT(A5936,1)&lt;&gt;"C",D5936&gt;0,F5936&gt;0),1,0)</f>
        <v>1</v>
      </c>
      <c r="J5936" s="7" t="n">
        <f aca="false">IF(I5936=1,D5936*F5936,0)</f>
        <v>17.7</v>
      </c>
      <c r="K5936" s="7" t="n">
        <f aca="false">YEAR(E5936)*100+MONTH(E5936)</f>
        <v>201111</v>
      </c>
      <c r="L5936" s="7" t="n">
        <f aca="false">IF(AND(A5936&lt;&gt;A5935,LEFT(A5936,1)&lt;&gt;"C"),1,0)</f>
        <v>0</v>
      </c>
    </row>
    <row r="5937" customFormat="false" ht="15" hidden="false" customHeight="false" outlineLevel="0" collapsed="false">
      <c r="A5937" s="0" t="s">
        <v>3157</v>
      </c>
      <c r="B5937" s="0" t="s">
        <v>127</v>
      </c>
      <c r="C5937" s="0" t="s">
        <v>128</v>
      </c>
      <c r="D5937" s="0" t="n">
        <v>8</v>
      </c>
      <c r="E5937" s="6" t="n">
        <v>40869.4715277778</v>
      </c>
      <c r="F5937" s="0" t="n">
        <v>1.65</v>
      </c>
      <c r="G5937" s="0" t="n">
        <v>12490</v>
      </c>
      <c r="H5937" s="0" t="s">
        <v>43</v>
      </c>
      <c r="I5937" s="7" t="n">
        <f aca="false">IF(AND(LEFT(A5937,1)&lt;&gt;"C",D5937&gt;0,F5937&gt;0),1,0)</f>
        <v>1</v>
      </c>
      <c r="J5937" s="7" t="n">
        <f aca="false">IF(I5937=1,D5937*F5937,0)</f>
        <v>13.2</v>
      </c>
      <c r="K5937" s="7" t="n">
        <f aca="false">YEAR(E5937)*100+MONTH(E5937)</f>
        <v>201111</v>
      </c>
      <c r="L5937" s="7" t="n">
        <f aca="false">IF(AND(A5937&lt;&gt;A5936,LEFT(A5937,1)&lt;&gt;"C"),1,0)</f>
        <v>0</v>
      </c>
    </row>
    <row r="5938" customFormat="false" ht="15" hidden="false" customHeight="false" outlineLevel="0" collapsed="false">
      <c r="A5938" s="0" t="s">
        <v>3157</v>
      </c>
      <c r="B5938" s="0" t="s">
        <v>80</v>
      </c>
      <c r="C5938" s="0" t="s">
        <v>81</v>
      </c>
      <c r="D5938" s="0" t="n">
        <v>20</v>
      </c>
      <c r="E5938" s="6" t="n">
        <v>40869.4715277778</v>
      </c>
      <c r="F5938" s="0" t="n">
        <v>0.83</v>
      </c>
      <c r="G5938" s="0" t="n">
        <v>12490</v>
      </c>
      <c r="H5938" s="0" t="s">
        <v>43</v>
      </c>
      <c r="I5938" s="7" t="n">
        <f aca="false">IF(AND(LEFT(A5938,1)&lt;&gt;"C",D5938&gt;0,F5938&gt;0),1,0)</f>
        <v>1</v>
      </c>
      <c r="J5938" s="7" t="n">
        <f aca="false">IF(I5938=1,D5938*F5938,0)</f>
        <v>16.6</v>
      </c>
      <c r="K5938" s="7" t="n">
        <f aca="false">YEAR(E5938)*100+MONTH(E5938)</f>
        <v>201111</v>
      </c>
      <c r="L5938" s="7" t="n">
        <f aca="false">IF(AND(A5938&lt;&gt;A5937,LEFT(A5938,1)&lt;&gt;"C"),1,0)</f>
        <v>0</v>
      </c>
    </row>
    <row r="5939" customFormat="false" ht="15" hidden="false" customHeight="false" outlineLevel="0" collapsed="false">
      <c r="A5939" s="0" t="s">
        <v>3157</v>
      </c>
      <c r="B5939" s="0" t="s">
        <v>618</v>
      </c>
      <c r="C5939" s="0" t="s">
        <v>619</v>
      </c>
      <c r="D5939" s="0" t="n">
        <v>6</v>
      </c>
      <c r="E5939" s="6" t="n">
        <v>40869.4715277778</v>
      </c>
      <c r="F5939" s="0" t="n">
        <v>2.95</v>
      </c>
      <c r="G5939" s="0" t="n">
        <v>12490</v>
      </c>
      <c r="H5939" s="0" t="s">
        <v>43</v>
      </c>
      <c r="I5939" s="7" t="n">
        <f aca="false">IF(AND(LEFT(A5939,1)&lt;&gt;"C",D5939&gt;0,F5939&gt;0),1,0)</f>
        <v>1</v>
      </c>
      <c r="J5939" s="7" t="n">
        <f aca="false">IF(I5939=1,D5939*F5939,0)</f>
        <v>17.7</v>
      </c>
      <c r="K5939" s="7" t="n">
        <f aca="false">YEAR(E5939)*100+MONTH(E5939)</f>
        <v>201111</v>
      </c>
      <c r="L5939" s="7" t="n">
        <f aca="false">IF(AND(A5939&lt;&gt;A5938,LEFT(A5939,1)&lt;&gt;"C"),1,0)</f>
        <v>0</v>
      </c>
    </row>
    <row r="5940" customFormat="false" ht="15" hidden="false" customHeight="false" outlineLevel="0" collapsed="false">
      <c r="A5940" s="0" t="s">
        <v>3157</v>
      </c>
      <c r="B5940" s="0" t="s">
        <v>84</v>
      </c>
      <c r="C5940" s="0" t="s">
        <v>85</v>
      </c>
      <c r="D5940" s="0" t="n">
        <v>4</v>
      </c>
      <c r="E5940" s="6" t="n">
        <v>40869.4715277778</v>
      </c>
      <c r="F5940" s="0" t="n">
        <v>18</v>
      </c>
      <c r="G5940" s="0" t="n">
        <v>12490</v>
      </c>
      <c r="H5940" s="0" t="s">
        <v>43</v>
      </c>
      <c r="I5940" s="7" t="n">
        <f aca="false">IF(AND(LEFT(A5940,1)&lt;&gt;"C",D5940&gt;0,F5940&gt;0),1,0)</f>
        <v>1</v>
      </c>
      <c r="J5940" s="7" t="n">
        <f aca="false">IF(I5940=1,D5940*F5940,0)</f>
        <v>72</v>
      </c>
      <c r="K5940" s="7" t="n">
        <f aca="false">YEAR(E5940)*100+MONTH(E5940)</f>
        <v>201111</v>
      </c>
      <c r="L5940" s="7" t="n">
        <f aca="false">IF(AND(A5940&lt;&gt;A5939,LEFT(A5940,1)&lt;&gt;"C"),1,0)</f>
        <v>0</v>
      </c>
    </row>
    <row r="5941" customFormat="false" ht="15" hidden="false" customHeight="false" outlineLevel="0" collapsed="false">
      <c r="A5941" s="0" t="s">
        <v>3158</v>
      </c>
      <c r="B5941" s="0" t="s">
        <v>339</v>
      </c>
      <c r="C5941" s="0" t="s">
        <v>340</v>
      </c>
      <c r="D5941" s="0" t="n">
        <v>8</v>
      </c>
      <c r="E5941" s="6" t="n">
        <v>40869.5604166667</v>
      </c>
      <c r="F5941" s="0" t="n">
        <v>1.95</v>
      </c>
      <c r="G5941" s="0" t="n">
        <v>12705</v>
      </c>
      <c r="H5941" s="0" t="s">
        <v>33</v>
      </c>
      <c r="I5941" s="7" t="n">
        <f aca="false">IF(AND(LEFT(A5941,1)&lt;&gt;"C",D5941&gt;0,F5941&gt;0),1,0)</f>
        <v>1</v>
      </c>
      <c r="J5941" s="7" t="n">
        <f aca="false">IF(I5941=1,D5941*F5941,0)</f>
        <v>15.6</v>
      </c>
      <c r="K5941" s="7" t="n">
        <f aca="false">YEAR(E5941)*100+MONTH(E5941)</f>
        <v>201111</v>
      </c>
      <c r="L5941" s="7" t="n">
        <f aca="false">IF(AND(A5941&lt;&gt;A5940,LEFT(A5941,1)&lt;&gt;"C"),1,0)</f>
        <v>1</v>
      </c>
    </row>
    <row r="5942" customFormat="false" ht="15" hidden="false" customHeight="false" outlineLevel="0" collapsed="false">
      <c r="A5942" s="0" t="s">
        <v>3158</v>
      </c>
      <c r="B5942" s="0" t="s">
        <v>598</v>
      </c>
      <c r="C5942" s="0" t="s">
        <v>599</v>
      </c>
      <c r="D5942" s="0" t="n">
        <v>8</v>
      </c>
      <c r="E5942" s="6" t="n">
        <v>40869.5604166667</v>
      </c>
      <c r="F5942" s="0" t="n">
        <v>1.95</v>
      </c>
      <c r="G5942" s="0" t="n">
        <v>12705</v>
      </c>
      <c r="H5942" s="0" t="s">
        <v>33</v>
      </c>
      <c r="I5942" s="7" t="n">
        <f aca="false">IF(AND(LEFT(A5942,1)&lt;&gt;"C",D5942&gt;0,F5942&gt;0),1,0)</f>
        <v>1</v>
      </c>
      <c r="J5942" s="7" t="n">
        <f aca="false">IF(I5942=1,D5942*F5942,0)</f>
        <v>15.6</v>
      </c>
      <c r="K5942" s="7" t="n">
        <f aca="false">YEAR(E5942)*100+MONTH(E5942)</f>
        <v>201111</v>
      </c>
      <c r="L5942" s="7" t="n">
        <f aca="false">IF(AND(A5942&lt;&gt;A5941,LEFT(A5942,1)&lt;&gt;"C"),1,0)</f>
        <v>0</v>
      </c>
    </row>
    <row r="5943" customFormat="false" ht="15" hidden="false" customHeight="false" outlineLevel="0" collapsed="false">
      <c r="A5943" s="0" t="s">
        <v>3158</v>
      </c>
      <c r="B5943" s="0" t="s">
        <v>103</v>
      </c>
      <c r="C5943" s="0" t="s">
        <v>104</v>
      </c>
      <c r="D5943" s="0" t="n">
        <v>24</v>
      </c>
      <c r="E5943" s="6" t="n">
        <v>40869.5604166667</v>
      </c>
      <c r="F5943" s="0" t="n">
        <v>0.55</v>
      </c>
      <c r="G5943" s="0" t="n">
        <v>12705</v>
      </c>
      <c r="H5943" s="0" t="s">
        <v>33</v>
      </c>
      <c r="I5943" s="7" t="n">
        <f aca="false">IF(AND(LEFT(A5943,1)&lt;&gt;"C",D5943&gt;0,F5943&gt;0),1,0)</f>
        <v>1</v>
      </c>
      <c r="J5943" s="7" t="n">
        <f aca="false">IF(I5943=1,D5943*F5943,0)</f>
        <v>13.2</v>
      </c>
      <c r="K5943" s="7" t="n">
        <f aca="false">YEAR(E5943)*100+MONTH(E5943)</f>
        <v>201111</v>
      </c>
      <c r="L5943" s="7" t="n">
        <f aca="false">IF(AND(A5943&lt;&gt;A5942,LEFT(A5943,1)&lt;&gt;"C"),1,0)</f>
        <v>0</v>
      </c>
    </row>
    <row r="5944" customFormat="false" ht="15" hidden="false" customHeight="false" outlineLevel="0" collapsed="false">
      <c r="A5944" s="0" t="s">
        <v>3158</v>
      </c>
      <c r="B5944" s="0" t="s">
        <v>136</v>
      </c>
      <c r="C5944" s="0" t="s">
        <v>137</v>
      </c>
      <c r="D5944" s="0" t="n">
        <v>4</v>
      </c>
      <c r="E5944" s="6" t="n">
        <v>40869.5604166667</v>
      </c>
      <c r="F5944" s="0" t="n">
        <v>4.95</v>
      </c>
      <c r="G5944" s="0" t="n">
        <v>12705</v>
      </c>
      <c r="H5944" s="0" t="s">
        <v>33</v>
      </c>
      <c r="I5944" s="7" t="n">
        <f aca="false">IF(AND(LEFT(A5944,1)&lt;&gt;"C",D5944&gt;0,F5944&gt;0),1,0)</f>
        <v>1</v>
      </c>
      <c r="J5944" s="7" t="n">
        <f aca="false">IF(I5944=1,D5944*F5944,0)</f>
        <v>19.8</v>
      </c>
      <c r="K5944" s="7" t="n">
        <f aca="false">YEAR(E5944)*100+MONTH(E5944)</f>
        <v>201111</v>
      </c>
      <c r="L5944" s="7" t="n">
        <f aca="false">IF(AND(A5944&lt;&gt;A5943,LEFT(A5944,1)&lt;&gt;"C"),1,0)</f>
        <v>0</v>
      </c>
    </row>
    <row r="5945" customFormat="false" ht="15" hidden="false" customHeight="false" outlineLevel="0" collapsed="false">
      <c r="A5945" s="0" t="s">
        <v>3158</v>
      </c>
      <c r="B5945" s="0" t="s">
        <v>750</v>
      </c>
      <c r="C5945" s="0" t="s">
        <v>751</v>
      </c>
      <c r="D5945" s="0" t="n">
        <v>8</v>
      </c>
      <c r="E5945" s="6" t="n">
        <v>40869.5604166667</v>
      </c>
      <c r="F5945" s="0" t="n">
        <v>1.69</v>
      </c>
      <c r="G5945" s="0" t="n">
        <v>12705</v>
      </c>
      <c r="H5945" s="0" t="s">
        <v>33</v>
      </c>
      <c r="I5945" s="7" t="n">
        <f aca="false">IF(AND(LEFT(A5945,1)&lt;&gt;"C",D5945&gt;0,F5945&gt;0),1,0)</f>
        <v>1</v>
      </c>
      <c r="J5945" s="7" t="n">
        <f aca="false">IF(I5945=1,D5945*F5945,0)</f>
        <v>13.52</v>
      </c>
      <c r="K5945" s="7" t="n">
        <f aca="false">YEAR(E5945)*100+MONTH(E5945)</f>
        <v>201111</v>
      </c>
      <c r="L5945" s="7" t="n">
        <f aca="false">IF(AND(A5945&lt;&gt;A5944,LEFT(A5945,1)&lt;&gt;"C"),1,0)</f>
        <v>0</v>
      </c>
    </row>
    <row r="5946" customFormat="false" ht="15" hidden="false" customHeight="false" outlineLevel="0" collapsed="false">
      <c r="A5946" s="0" t="s">
        <v>3158</v>
      </c>
      <c r="B5946" s="0" t="s">
        <v>493</v>
      </c>
      <c r="C5946" s="0" t="s">
        <v>494</v>
      </c>
      <c r="D5946" s="0" t="n">
        <v>8</v>
      </c>
      <c r="E5946" s="6" t="n">
        <v>40869.5604166667</v>
      </c>
      <c r="F5946" s="0" t="n">
        <v>0.85</v>
      </c>
      <c r="G5946" s="0" t="n">
        <v>12705</v>
      </c>
      <c r="H5946" s="0" t="s">
        <v>33</v>
      </c>
      <c r="I5946" s="7" t="n">
        <f aca="false">IF(AND(LEFT(A5946,1)&lt;&gt;"C",D5946&gt;0,F5946&gt;0),1,0)</f>
        <v>1</v>
      </c>
      <c r="J5946" s="7" t="n">
        <f aca="false">IF(I5946=1,D5946*F5946,0)</f>
        <v>6.8</v>
      </c>
      <c r="K5946" s="7" t="n">
        <f aca="false">YEAR(E5946)*100+MONTH(E5946)</f>
        <v>201111</v>
      </c>
      <c r="L5946" s="7" t="n">
        <f aca="false">IF(AND(A5946&lt;&gt;A5945,LEFT(A5946,1)&lt;&gt;"C"),1,0)</f>
        <v>0</v>
      </c>
    </row>
    <row r="5947" customFormat="false" ht="15" hidden="false" customHeight="false" outlineLevel="0" collapsed="false">
      <c r="A5947" s="0" t="s">
        <v>3158</v>
      </c>
      <c r="B5947" s="0" t="s">
        <v>107</v>
      </c>
      <c r="C5947" s="0" t="s">
        <v>108</v>
      </c>
      <c r="D5947" s="0" t="n">
        <v>12</v>
      </c>
      <c r="E5947" s="6" t="n">
        <v>40869.5604166667</v>
      </c>
      <c r="F5947" s="0" t="n">
        <v>2.55</v>
      </c>
      <c r="G5947" s="0" t="n">
        <v>12705</v>
      </c>
      <c r="H5947" s="0" t="s">
        <v>33</v>
      </c>
      <c r="I5947" s="7" t="n">
        <f aca="false">IF(AND(LEFT(A5947,1)&lt;&gt;"C",D5947&gt;0,F5947&gt;0),1,0)</f>
        <v>1</v>
      </c>
      <c r="J5947" s="7" t="n">
        <f aca="false">IF(I5947=1,D5947*F5947,0)</f>
        <v>30.6</v>
      </c>
      <c r="K5947" s="7" t="n">
        <f aca="false">YEAR(E5947)*100+MONTH(E5947)</f>
        <v>201111</v>
      </c>
      <c r="L5947" s="7" t="n">
        <f aca="false">IF(AND(A5947&lt;&gt;A5946,LEFT(A5947,1)&lt;&gt;"C"),1,0)</f>
        <v>0</v>
      </c>
    </row>
    <row r="5948" customFormat="false" ht="15" hidden="false" customHeight="false" outlineLevel="0" collapsed="false">
      <c r="A5948" s="0" t="s">
        <v>3158</v>
      </c>
      <c r="B5948" s="0" t="s">
        <v>2224</v>
      </c>
      <c r="C5948" s="0" t="s">
        <v>2225</v>
      </c>
      <c r="D5948" s="0" t="n">
        <v>12</v>
      </c>
      <c r="E5948" s="6" t="n">
        <v>40869.5604166667</v>
      </c>
      <c r="F5948" s="0" t="n">
        <v>0.83</v>
      </c>
      <c r="G5948" s="0" t="n">
        <v>12705</v>
      </c>
      <c r="H5948" s="0" t="s">
        <v>33</v>
      </c>
      <c r="I5948" s="7" t="n">
        <f aca="false">IF(AND(LEFT(A5948,1)&lt;&gt;"C",D5948&gt;0,F5948&gt;0),1,0)</f>
        <v>1</v>
      </c>
      <c r="J5948" s="7" t="n">
        <f aca="false">IF(I5948=1,D5948*F5948,0)</f>
        <v>9.96</v>
      </c>
      <c r="K5948" s="7" t="n">
        <f aca="false">YEAR(E5948)*100+MONTH(E5948)</f>
        <v>201111</v>
      </c>
      <c r="L5948" s="7" t="n">
        <f aca="false">IF(AND(A5948&lt;&gt;A5947,LEFT(A5948,1)&lt;&gt;"C"),1,0)</f>
        <v>0</v>
      </c>
    </row>
    <row r="5949" customFormat="false" ht="15" hidden="false" customHeight="false" outlineLevel="0" collapsed="false">
      <c r="A5949" s="0" t="s">
        <v>3158</v>
      </c>
      <c r="B5949" s="0" t="s">
        <v>318</v>
      </c>
      <c r="C5949" s="0" t="s">
        <v>319</v>
      </c>
      <c r="D5949" s="0" t="n">
        <v>4</v>
      </c>
      <c r="E5949" s="6" t="n">
        <v>40869.5604166667</v>
      </c>
      <c r="F5949" s="0" t="n">
        <v>3.75</v>
      </c>
      <c r="G5949" s="0" t="n">
        <v>12705</v>
      </c>
      <c r="H5949" s="0" t="s">
        <v>33</v>
      </c>
      <c r="I5949" s="7" t="n">
        <f aca="false">IF(AND(LEFT(A5949,1)&lt;&gt;"C",D5949&gt;0,F5949&gt;0),1,0)</f>
        <v>1</v>
      </c>
      <c r="J5949" s="7" t="n">
        <f aca="false">IF(I5949=1,D5949*F5949,0)</f>
        <v>15</v>
      </c>
      <c r="K5949" s="7" t="n">
        <f aca="false">YEAR(E5949)*100+MONTH(E5949)</f>
        <v>201111</v>
      </c>
      <c r="L5949" s="7" t="n">
        <f aca="false">IF(AND(A5949&lt;&gt;A5948,LEFT(A5949,1)&lt;&gt;"C"),1,0)</f>
        <v>0</v>
      </c>
    </row>
    <row r="5950" customFormat="false" ht="15" hidden="false" customHeight="false" outlineLevel="0" collapsed="false">
      <c r="A5950" s="0" t="s">
        <v>3158</v>
      </c>
      <c r="B5950" s="0" t="s">
        <v>62</v>
      </c>
      <c r="C5950" s="0" t="s">
        <v>63</v>
      </c>
      <c r="D5950" s="0" t="n">
        <v>24</v>
      </c>
      <c r="E5950" s="6" t="n">
        <v>40869.5604166667</v>
      </c>
      <c r="F5950" s="0" t="n">
        <v>1.79</v>
      </c>
      <c r="G5950" s="0" t="n">
        <v>12705</v>
      </c>
      <c r="H5950" s="0" t="s">
        <v>33</v>
      </c>
      <c r="I5950" s="7" t="n">
        <f aca="false">IF(AND(LEFT(A5950,1)&lt;&gt;"C",D5950&gt;0,F5950&gt;0),1,0)</f>
        <v>1</v>
      </c>
      <c r="J5950" s="7" t="n">
        <f aca="false">IF(I5950=1,D5950*F5950,0)</f>
        <v>42.96</v>
      </c>
      <c r="K5950" s="7" t="n">
        <f aca="false">YEAR(E5950)*100+MONTH(E5950)</f>
        <v>201111</v>
      </c>
      <c r="L5950" s="7" t="n">
        <f aca="false">IF(AND(A5950&lt;&gt;A5949,LEFT(A5950,1)&lt;&gt;"C"),1,0)</f>
        <v>0</v>
      </c>
    </row>
    <row r="5951" customFormat="false" ht="15" hidden="false" customHeight="false" outlineLevel="0" collapsed="false">
      <c r="A5951" s="0" t="s">
        <v>3158</v>
      </c>
      <c r="B5951" s="0" t="s">
        <v>569</v>
      </c>
      <c r="C5951" s="0" t="s">
        <v>570</v>
      </c>
      <c r="D5951" s="0" t="n">
        <v>10</v>
      </c>
      <c r="E5951" s="6" t="n">
        <v>40869.5604166667</v>
      </c>
      <c r="F5951" s="0" t="n">
        <v>2.08</v>
      </c>
      <c r="G5951" s="0" t="n">
        <v>12705</v>
      </c>
      <c r="H5951" s="0" t="s">
        <v>33</v>
      </c>
      <c r="I5951" s="7" t="n">
        <f aca="false">IF(AND(LEFT(A5951,1)&lt;&gt;"C",D5951&gt;0,F5951&gt;0),1,0)</f>
        <v>1</v>
      </c>
      <c r="J5951" s="7" t="n">
        <f aca="false">IF(I5951=1,D5951*F5951,0)</f>
        <v>20.8</v>
      </c>
      <c r="K5951" s="7" t="n">
        <f aca="false">YEAR(E5951)*100+MONTH(E5951)</f>
        <v>201111</v>
      </c>
      <c r="L5951" s="7" t="n">
        <f aca="false">IF(AND(A5951&lt;&gt;A5950,LEFT(A5951,1)&lt;&gt;"C"),1,0)</f>
        <v>0</v>
      </c>
    </row>
    <row r="5952" customFormat="false" ht="15" hidden="false" customHeight="false" outlineLevel="0" collapsed="false">
      <c r="A5952" s="0" t="s">
        <v>3158</v>
      </c>
      <c r="B5952" s="0" t="s">
        <v>1360</v>
      </c>
      <c r="C5952" s="0" t="s">
        <v>1361</v>
      </c>
      <c r="D5952" s="0" t="n">
        <v>8</v>
      </c>
      <c r="E5952" s="6" t="n">
        <v>40869.5604166667</v>
      </c>
      <c r="F5952" s="0" t="n">
        <v>0.85</v>
      </c>
      <c r="G5952" s="0" t="n">
        <v>12705</v>
      </c>
      <c r="H5952" s="0" t="s">
        <v>33</v>
      </c>
      <c r="I5952" s="7" t="n">
        <f aca="false">IF(AND(LEFT(A5952,1)&lt;&gt;"C",D5952&gt;0,F5952&gt;0),1,0)</f>
        <v>1</v>
      </c>
      <c r="J5952" s="7" t="n">
        <f aca="false">IF(I5952=1,D5952*F5952,0)</f>
        <v>6.8</v>
      </c>
      <c r="K5952" s="7" t="n">
        <f aca="false">YEAR(E5952)*100+MONTH(E5952)</f>
        <v>201111</v>
      </c>
      <c r="L5952" s="7" t="n">
        <f aca="false">IF(AND(A5952&lt;&gt;A5951,LEFT(A5952,1)&lt;&gt;"C"),1,0)</f>
        <v>0</v>
      </c>
    </row>
    <row r="5953" customFormat="false" ht="15" hidden="false" customHeight="false" outlineLevel="0" collapsed="false">
      <c r="A5953" s="0" t="s">
        <v>3158</v>
      </c>
      <c r="B5953" s="0" t="s">
        <v>756</v>
      </c>
      <c r="C5953" s="0" t="s">
        <v>757</v>
      </c>
      <c r="D5953" s="0" t="n">
        <v>12</v>
      </c>
      <c r="E5953" s="6" t="n">
        <v>40869.5604166667</v>
      </c>
      <c r="F5953" s="0" t="n">
        <v>3.75</v>
      </c>
      <c r="G5953" s="0" t="n">
        <v>12705</v>
      </c>
      <c r="H5953" s="0" t="s">
        <v>33</v>
      </c>
      <c r="I5953" s="7" t="n">
        <f aca="false">IF(AND(LEFT(A5953,1)&lt;&gt;"C",D5953&gt;0,F5953&gt;0),1,0)</f>
        <v>1</v>
      </c>
      <c r="J5953" s="7" t="n">
        <f aca="false">IF(I5953=1,D5953*F5953,0)</f>
        <v>45</v>
      </c>
      <c r="K5953" s="7" t="n">
        <f aca="false">YEAR(E5953)*100+MONTH(E5953)</f>
        <v>201111</v>
      </c>
      <c r="L5953" s="7" t="n">
        <f aca="false">IF(AND(A5953&lt;&gt;A5952,LEFT(A5953,1)&lt;&gt;"C"),1,0)</f>
        <v>0</v>
      </c>
    </row>
    <row r="5954" customFormat="false" ht="15" hidden="false" customHeight="false" outlineLevel="0" collapsed="false">
      <c r="A5954" s="0" t="s">
        <v>3158</v>
      </c>
      <c r="B5954" s="0" t="s">
        <v>1420</v>
      </c>
      <c r="C5954" s="0" t="s">
        <v>1421</v>
      </c>
      <c r="D5954" s="0" t="n">
        <v>4</v>
      </c>
      <c r="E5954" s="6" t="n">
        <v>40869.5604166667</v>
      </c>
      <c r="F5954" s="0" t="n">
        <v>4.95</v>
      </c>
      <c r="G5954" s="0" t="n">
        <v>12705</v>
      </c>
      <c r="H5954" s="0" t="s">
        <v>33</v>
      </c>
      <c r="I5954" s="7" t="n">
        <f aca="false">IF(AND(LEFT(A5954,1)&lt;&gt;"C",D5954&gt;0,F5954&gt;0),1,0)</f>
        <v>1</v>
      </c>
      <c r="J5954" s="7" t="n">
        <f aca="false">IF(I5954=1,D5954*F5954,0)</f>
        <v>19.8</v>
      </c>
      <c r="K5954" s="7" t="n">
        <f aca="false">YEAR(E5954)*100+MONTH(E5954)</f>
        <v>201111</v>
      </c>
      <c r="L5954" s="7" t="n">
        <f aca="false">IF(AND(A5954&lt;&gt;A5953,LEFT(A5954,1)&lt;&gt;"C"),1,0)</f>
        <v>0</v>
      </c>
    </row>
    <row r="5955" customFormat="false" ht="15" hidden="false" customHeight="false" outlineLevel="0" collapsed="false">
      <c r="A5955" s="0" t="s">
        <v>3158</v>
      </c>
      <c r="B5955" s="0" t="s">
        <v>1031</v>
      </c>
      <c r="C5955" s="0" t="s">
        <v>1032</v>
      </c>
      <c r="D5955" s="0" t="n">
        <v>4</v>
      </c>
      <c r="E5955" s="6" t="n">
        <v>40869.5604166667</v>
      </c>
      <c r="F5955" s="0" t="n">
        <v>4.25</v>
      </c>
      <c r="G5955" s="0" t="n">
        <v>12705</v>
      </c>
      <c r="H5955" s="0" t="s">
        <v>33</v>
      </c>
      <c r="I5955" s="7" t="n">
        <f aca="false">IF(AND(LEFT(A5955,1)&lt;&gt;"C",D5955&gt;0,F5955&gt;0),1,0)</f>
        <v>1</v>
      </c>
      <c r="J5955" s="7" t="n">
        <f aca="false">IF(I5955=1,D5955*F5955,0)</f>
        <v>17</v>
      </c>
      <c r="K5955" s="7" t="n">
        <f aca="false">YEAR(E5955)*100+MONTH(E5955)</f>
        <v>201111</v>
      </c>
      <c r="L5955" s="7" t="n">
        <f aca="false">IF(AND(A5955&lt;&gt;A5954,LEFT(A5955,1)&lt;&gt;"C"),1,0)</f>
        <v>0</v>
      </c>
    </row>
    <row r="5956" customFormat="false" ht="15" hidden="false" customHeight="false" outlineLevel="0" collapsed="false">
      <c r="A5956" s="0" t="s">
        <v>3158</v>
      </c>
      <c r="B5956" s="0" t="s">
        <v>1671</v>
      </c>
      <c r="C5956" s="0" t="s">
        <v>1672</v>
      </c>
      <c r="D5956" s="0" t="n">
        <v>4</v>
      </c>
      <c r="E5956" s="6" t="n">
        <v>40869.5604166667</v>
      </c>
      <c r="F5956" s="0" t="n">
        <v>8.25</v>
      </c>
      <c r="G5956" s="0" t="n">
        <v>12705</v>
      </c>
      <c r="H5956" s="0" t="s">
        <v>33</v>
      </c>
      <c r="I5956" s="7" t="n">
        <f aca="false">IF(AND(LEFT(A5956,1)&lt;&gt;"C",D5956&gt;0,F5956&gt;0),1,0)</f>
        <v>1</v>
      </c>
      <c r="J5956" s="7" t="n">
        <f aca="false">IF(I5956=1,D5956*F5956,0)</f>
        <v>33</v>
      </c>
      <c r="K5956" s="7" t="n">
        <f aca="false">YEAR(E5956)*100+MONTH(E5956)</f>
        <v>201111</v>
      </c>
      <c r="L5956" s="7" t="n">
        <f aca="false">IF(AND(A5956&lt;&gt;A5955,LEFT(A5956,1)&lt;&gt;"C"),1,0)</f>
        <v>0</v>
      </c>
    </row>
    <row r="5957" customFormat="false" ht="15" hidden="false" customHeight="false" outlineLevel="0" collapsed="false">
      <c r="A5957" s="0" t="s">
        <v>3158</v>
      </c>
      <c r="B5957" s="0" t="s">
        <v>1187</v>
      </c>
      <c r="C5957" s="0" t="s">
        <v>1188</v>
      </c>
      <c r="D5957" s="0" t="n">
        <v>6</v>
      </c>
      <c r="E5957" s="6" t="n">
        <v>40869.5604166667</v>
      </c>
      <c r="F5957" s="0" t="n">
        <v>5.95</v>
      </c>
      <c r="G5957" s="0" t="n">
        <v>12705</v>
      </c>
      <c r="H5957" s="0" t="s">
        <v>33</v>
      </c>
      <c r="I5957" s="7" t="n">
        <f aca="false">IF(AND(LEFT(A5957,1)&lt;&gt;"C",D5957&gt;0,F5957&gt;0),1,0)</f>
        <v>1</v>
      </c>
      <c r="J5957" s="7" t="n">
        <f aca="false">IF(I5957=1,D5957*F5957,0)</f>
        <v>35.7</v>
      </c>
      <c r="K5957" s="7" t="n">
        <f aca="false">YEAR(E5957)*100+MONTH(E5957)</f>
        <v>201111</v>
      </c>
      <c r="L5957" s="7" t="n">
        <f aca="false">IF(AND(A5957&lt;&gt;A5956,LEFT(A5957,1)&lt;&gt;"C"),1,0)</f>
        <v>0</v>
      </c>
    </row>
    <row r="5958" customFormat="false" ht="15" hidden="false" customHeight="false" outlineLevel="0" collapsed="false">
      <c r="A5958" s="0" t="s">
        <v>3158</v>
      </c>
      <c r="B5958" s="0" t="s">
        <v>2393</v>
      </c>
      <c r="C5958" s="0" t="s">
        <v>2394</v>
      </c>
      <c r="D5958" s="0" t="n">
        <v>12</v>
      </c>
      <c r="E5958" s="6" t="n">
        <v>40869.5604166667</v>
      </c>
      <c r="F5958" s="0" t="n">
        <v>1.25</v>
      </c>
      <c r="G5958" s="0" t="n">
        <v>12705</v>
      </c>
      <c r="H5958" s="0" t="s">
        <v>33</v>
      </c>
      <c r="I5958" s="7" t="n">
        <f aca="false">IF(AND(LEFT(A5958,1)&lt;&gt;"C",D5958&gt;0,F5958&gt;0),1,0)</f>
        <v>1</v>
      </c>
      <c r="J5958" s="7" t="n">
        <f aca="false">IF(I5958=1,D5958*F5958,0)</f>
        <v>15</v>
      </c>
      <c r="K5958" s="7" t="n">
        <f aca="false">YEAR(E5958)*100+MONTH(E5958)</f>
        <v>201111</v>
      </c>
      <c r="L5958" s="7" t="n">
        <f aca="false">IF(AND(A5958&lt;&gt;A5957,LEFT(A5958,1)&lt;&gt;"C"),1,0)</f>
        <v>0</v>
      </c>
    </row>
    <row r="5959" customFormat="false" ht="15" hidden="false" customHeight="false" outlineLevel="0" collapsed="false">
      <c r="A5959" s="0" t="s">
        <v>3158</v>
      </c>
      <c r="B5959" s="0" t="s">
        <v>1418</v>
      </c>
      <c r="C5959" s="0" t="s">
        <v>1419</v>
      </c>
      <c r="D5959" s="0" t="n">
        <v>12</v>
      </c>
      <c r="E5959" s="6" t="n">
        <v>40869.5604166667</v>
      </c>
      <c r="F5959" s="0" t="n">
        <v>1.25</v>
      </c>
      <c r="G5959" s="0" t="n">
        <v>12705</v>
      </c>
      <c r="H5959" s="0" t="s">
        <v>33</v>
      </c>
      <c r="I5959" s="7" t="n">
        <f aca="false">IF(AND(LEFT(A5959,1)&lt;&gt;"C",D5959&gt;0,F5959&gt;0),1,0)</f>
        <v>1</v>
      </c>
      <c r="J5959" s="7" t="n">
        <f aca="false">IF(I5959=1,D5959*F5959,0)</f>
        <v>15</v>
      </c>
      <c r="K5959" s="7" t="n">
        <f aca="false">YEAR(E5959)*100+MONTH(E5959)</f>
        <v>201111</v>
      </c>
      <c r="L5959" s="7" t="n">
        <f aca="false">IF(AND(A5959&lt;&gt;A5958,LEFT(A5959,1)&lt;&gt;"C"),1,0)</f>
        <v>0</v>
      </c>
    </row>
    <row r="5960" customFormat="false" ht="15" hidden="false" customHeight="false" outlineLevel="0" collapsed="false">
      <c r="A5960" s="0" t="s">
        <v>3158</v>
      </c>
      <c r="B5960" s="0" t="s">
        <v>665</v>
      </c>
      <c r="C5960" s="0" t="s">
        <v>666</v>
      </c>
      <c r="D5960" s="0" t="n">
        <v>25</v>
      </c>
      <c r="E5960" s="6" t="n">
        <v>40869.5604166667</v>
      </c>
      <c r="F5960" s="0" t="n">
        <v>0.42</v>
      </c>
      <c r="G5960" s="0" t="n">
        <v>12705</v>
      </c>
      <c r="H5960" s="0" t="s">
        <v>33</v>
      </c>
      <c r="I5960" s="7" t="n">
        <f aca="false">IF(AND(LEFT(A5960,1)&lt;&gt;"C",D5960&gt;0,F5960&gt;0),1,0)</f>
        <v>1</v>
      </c>
      <c r="J5960" s="7" t="n">
        <f aca="false">IF(I5960=1,D5960*F5960,0)</f>
        <v>10.5</v>
      </c>
      <c r="K5960" s="7" t="n">
        <f aca="false">YEAR(E5960)*100+MONTH(E5960)</f>
        <v>201111</v>
      </c>
      <c r="L5960" s="7" t="n">
        <f aca="false">IF(AND(A5960&lt;&gt;A5959,LEFT(A5960,1)&lt;&gt;"C"),1,0)</f>
        <v>0</v>
      </c>
    </row>
    <row r="5961" customFormat="false" ht="15" hidden="false" customHeight="false" outlineLevel="0" collapsed="false">
      <c r="A5961" s="0" t="s">
        <v>3158</v>
      </c>
      <c r="B5961" s="0" t="s">
        <v>1425</v>
      </c>
      <c r="C5961" s="0" t="s">
        <v>1426</v>
      </c>
      <c r="D5961" s="0" t="n">
        <v>2</v>
      </c>
      <c r="E5961" s="6" t="n">
        <v>40869.5604166667</v>
      </c>
      <c r="F5961" s="0" t="n">
        <v>8.5</v>
      </c>
      <c r="G5961" s="0" t="n">
        <v>12705</v>
      </c>
      <c r="H5961" s="0" t="s">
        <v>33</v>
      </c>
      <c r="I5961" s="7" t="n">
        <f aca="false">IF(AND(LEFT(A5961,1)&lt;&gt;"C",D5961&gt;0,F5961&gt;0),1,0)</f>
        <v>1</v>
      </c>
      <c r="J5961" s="7" t="n">
        <f aca="false">IF(I5961=1,D5961*F5961,0)</f>
        <v>17</v>
      </c>
      <c r="K5961" s="7" t="n">
        <f aca="false">YEAR(E5961)*100+MONTH(E5961)</f>
        <v>201111</v>
      </c>
      <c r="L5961" s="7" t="n">
        <f aca="false">IF(AND(A5961&lt;&gt;A5960,LEFT(A5961,1)&lt;&gt;"C"),1,0)</f>
        <v>0</v>
      </c>
    </row>
    <row r="5962" customFormat="false" ht="15" hidden="false" customHeight="false" outlineLevel="0" collapsed="false">
      <c r="A5962" s="0" t="s">
        <v>3158</v>
      </c>
      <c r="B5962" s="0" t="s">
        <v>3152</v>
      </c>
      <c r="C5962" s="0" t="s">
        <v>3153</v>
      </c>
      <c r="D5962" s="0" t="n">
        <v>6</v>
      </c>
      <c r="E5962" s="6" t="n">
        <v>40869.5604166667</v>
      </c>
      <c r="F5962" s="0" t="n">
        <v>2.95</v>
      </c>
      <c r="G5962" s="0" t="n">
        <v>12705</v>
      </c>
      <c r="H5962" s="0" t="s">
        <v>33</v>
      </c>
      <c r="I5962" s="7" t="n">
        <f aca="false">IF(AND(LEFT(A5962,1)&lt;&gt;"C",D5962&gt;0,F5962&gt;0),1,0)</f>
        <v>1</v>
      </c>
      <c r="J5962" s="7" t="n">
        <f aca="false">IF(I5962=1,D5962*F5962,0)</f>
        <v>17.7</v>
      </c>
      <c r="K5962" s="7" t="n">
        <f aca="false">YEAR(E5962)*100+MONTH(E5962)</f>
        <v>201111</v>
      </c>
      <c r="L5962" s="7" t="n">
        <f aca="false">IF(AND(A5962&lt;&gt;A5961,LEFT(A5962,1)&lt;&gt;"C"),1,0)</f>
        <v>0</v>
      </c>
    </row>
    <row r="5963" customFormat="false" ht="15" hidden="false" customHeight="false" outlineLevel="0" collapsed="false">
      <c r="A5963" s="0" t="s">
        <v>3158</v>
      </c>
      <c r="B5963" s="0" t="s">
        <v>883</v>
      </c>
      <c r="C5963" s="0" t="s">
        <v>884</v>
      </c>
      <c r="D5963" s="0" t="n">
        <v>24</v>
      </c>
      <c r="E5963" s="6" t="n">
        <v>40869.5604166667</v>
      </c>
      <c r="F5963" s="0" t="n">
        <v>0.12</v>
      </c>
      <c r="G5963" s="0" t="n">
        <v>12705</v>
      </c>
      <c r="H5963" s="0" t="s">
        <v>33</v>
      </c>
      <c r="I5963" s="7" t="n">
        <f aca="false">IF(AND(LEFT(A5963,1)&lt;&gt;"C",D5963&gt;0,F5963&gt;0),1,0)</f>
        <v>1</v>
      </c>
      <c r="J5963" s="7" t="n">
        <f aca="false">IF(I5963=1,D5963*F5963,0)</f>
        <v>2.88</v>
      </c>
      <c r="K5963" s="7" t="n">
        <f aca="false">YEAR(E5963)*100+MONTH(E5963)</f>
        <v>201111</v>
      </c>
      <c r="L5963" s="7" t="n">
        <f aca="false">IF(AND(A5963&lt;&gt;A5962,LEFT(A5963,1)&lt;&gt;"C"),1,0)</f>
        <v>0</v>
      </c>
    </row>
    <row r="5964" customFormat="false" ht="15" hidden="false" customHeight="false" outlineLevel="0" collapsed="false">
      <c r="A5964" s="0" t="s">
        <v>3158</v>
      </c>
      <c r="B5964" s="0" t="s">
        <v>885</v>
      </c>
      <c r="C5964" s="0" t="s">
        <v>886</v>
      </c>
      <c r="D5964" s="0" t="n">
        <v>24</v>
      </c>
      <c r="E5964" s="6" t="n">
        <v>40869.5604166667</v>
      </c>
      <c r="F5964" s="0" t="n">
        <v>0.12</v>
      </c>
      <c r="G5964" s="0" t="n">
        <v>12705</v>
      </c>
      <c r="H5964" s="0" t="s">
        <v>33</v>
      </c>
      <c r="I5964" s="7" t="n">
        <f aca="false">IF(AND(LEFT(A5964,1)&lt;&gt;"C",D5964&gt;0,F5964&gt;0),1,0)</f>
        <v>1</v>
      </c>
      <c r="J5964" s="7" t="n">
        <f aca="false">IF(I5964=1,D5964*F5964,0)</f>
        <v>2.88</v>
      </c>
      <c r="K5964" s="7" t="n">
        <f aca="false">YEAR(E5964)*100+MONTH(E5964)</f>
        <v>201111</v>
      </c>
      <c r="L5964" s="7" t="n">
        <f aca="false">IF(AND(A5964&lt;&gt;A5963,LEFT(A5964,1)&lt;&gt;"C"),1,0)</f>
        <v>0</v>
      </c>
    </row>
    <row r="5965" customFormat="false" ht="15" hidden="false" customHeight="false" outlineLevel="0" collapsed="false">
      <c r="A5965" s="0" t="s">
        <v>3158</v>
      </c>
      <c r="B5965" s="0" t="s">
        <v>3159</v>
      </c>
      <c r="C5965" s="0" t="s">
        <v>3160</v>
      </c>
      <c r="D5965" s="0" t="n">
        <v>2</v>
      </c>
      <c r="E5965" s="6" t="n">
        <v>40869.5604166667</v>
      </c>
      <c r="F5965" s="0" t="n">
        <v>8.15</v>
      </c>
      <c r="G5965" s="0" t="n">
        <v>12705</v>
      </c>
      <c r="H5965" s="0" t="s">
        <v>33</v>
      </c>
      <c r="I5965" s="7" t="n">
        <f aca="false">IF(AND(LEFT(A5965,1)&lt;&gt;"C",D5965&gt;0,F5965&gt;0),1,0)</f>
        <v>1</v>
      </c>
      <c r="J5965" s="7" t="n">
        <f aca="false">IF(I5965=1,D5965*F5965,0)</f>
        <v>16.3</v>
      </c>
      <c r="K5965" s="7" t="n">
        <f aca="false">YEAR(E5965)*100+MONTH(E5965)</f>
        <v>201111</v>
      </c>
      <c r="L5965" s="7" t="n">
        <f aca="false">IF(AND(A5965&lt;&gt;A5964,LEFT(A5965,1)&lt;&gt;"C"),1,0)</f>
        <v>0</v>
      </c>
    </row>
    <row r="5966" customFormat="false" ht="15" hidden="false" customHeight="false" outlineLevel="0" collapsed="false">
      <c r="A5966" s="0" t="s">
        <v>3158</v>
      </c>
      <c r="B5966" s="0" t="s">
        <v>3161</v>
      </c>
      <c r="C5966" s="0" t="s">
        <v>3162</v>
      </c>
      <c r="D5966" s="0" t="n">
        <v>2</v>
      </c>
      <c r="E5966" s="6" t="n">
        <v>40869.5604166667</v>
      </c>
      <c r="F5966" s="0" t="n">
        <v>8.15</v>
      </c>
      <c r="G5966" s="0" t="n">
        <v>12705</v>
      </c>
      <c r="H5966" s="0" t="s">
        <v>33</v>
      </c>
      <c r="I5966" s="7" t="n">
        <f aca="false">IF(AND(LEFT(A5966,1)&lt;&gt;"C",D5966&gt;0,F5966&gt;0),1,0)</f>
        <v>1</v>
      </c>
      <c r="J5966" s="7" t="n">
        <f aca="false">IF(I5966=1,D5966*F5966,0)</f>
        <v>16.3</v>
      </c>
      <c r="K5966" s="7" t="n">
        <f aca="false">YEAR(E5966)*100+MONTH(E5966)</f>
        <v>201111</v>
      </c>
      <c r="L5966" s="7" t="n">
        <f aca="false">IF(AND(A5966&lt;&gt;A5965,LEFT(A5966,1)&lt;&gt;"C"),1,0)</f>
        <v>0</v>
      </c>
    </row>
    <row r="5967" customFormat="false" ht="15" hidden="false" customHeight="false" outlineLevel="0" collapsed="false">
      <c r="A5967" s="0" t="s">
        <v>3158</v>
      </c>
      <c r="B5967" s="0" t="s">
        <v>3163</v>
      </c>
      <c r="C5967" s="0" t="s">
        <v>3164</v>
      </c>
      <c r="D5967" s="0" t="n">
        <v>2</v>
      </c>
      <c r="E5967" s="6" t="n">
        <v>40869.5604166667</v>
      </c>
      <c r="F5967" s="0" t="n">
        <v>8.15</v>
      </c>
      <c r="G5967" s="0" t="n">
        <v>12705</v>
      </c>
      <c r="H5967" s="0" t="s">
        <v>33</v>
      </c>
      <c r="I5967" s="7" t="n">
        <f aca="false">IF(AND(LEFT(A5967,1)&lt;&gt;"C",D5967&gt;0,F5967&gt;0),1,0)</f>
        <v>1</v>
      </c>
      <c r="J5967" s="7" t="n">
        <f aca="false">IF(I5967=1,D5967*F5967,0)</f>
        <v>16.3</v>
      </c>
      <c r="K5967" s="7" t="n">
        <f aca="false">YEAR(E5967)*100+MONTH(E5967)</f>
        <v>201111</v>
      </c>
      <c r="L5967" s="7" t="n">
        <f aca="false">IF(AND(A5967&lt;&gt;A5966,LEFT(A5967,1)&lt;&gt;"C"),1,0)</f>
        <v>0</v>
      </c>
    </row>
    <row r="5968" customFormat="false" ht="15" hidden="false" customHeight="false" outlineLevel="0" collapsed="false">
      <c r="A5968" s="0" t="s">
        <v>3158</v>
      </c>
      <c r="B5968" s="0" t="s">
        <v>2603</v>
      </c>
      <c r="C5968" s="0" t="s">
        <v>2604</v>
      </c>
      <c r="D5968" s="0" t="n">
        <v>12</v>
      </c>
      <c r="E5968" s="6" t="n">
        <v>40869.5604166667</v>
      </c>
      <c r="F5968" s="0" t="n">
        <v>1.45</v>
      </c>
      <c r="G5968" s="0" t="n">
        <v>12705</v>
      </c>
      <c r="H5968" s="0" t="s">
        <v>33</v>
      </c>
      <c r="I5968" s="7" t="n">
        <f aca="false">IF(AND(LEFT(A5968,1)&lt;&gt;"C",D5968&gt;0,F5968&gt;0),1,0)</f>
        <v>1</v>
      </c>
      <c r="J5968" s="7" t="n">
        <f aca="false">IF(I5968=1,D5968*F5968,0)</f>
        <v>17.4</v>
      </c>
      <c r="K5968" s="7" t="n">
        <f aca="false">YEAR(E5968)*100+MONTH(E5968)</f>
        <v>201111</v>
      </c>
      <c r="L5968" s="7" t="n">
        <f aca="false">IF(AND(A5968&lt;&gt;A5967,LEFT(A5968,1)&lt;&gt;"C"),1,0)</f>
        <v>0</v>
      </c>
    </row>
    <row r="5969" customFormat="false" ht="15" hidden="false" customHeight="false" outlineLevel="0" collapsed="false">
      <c r="A5969" s="0" t="s">
        <v>3158</v>
      </c>
      <c r="B5969" s="0" t="s">
        <v>2619</v>
      </c>
      <c r="C5969" s="0" t="s">
        <v>2620</v>
      </c>
      <c r="D5969" s="0" t="n">
        <v>12</v>
      </c>
      <c r="E5969" s="6" t="n">
        <v>40869.5604166667</v>
      </c>
      <c r="F5969" s="0" t="n">
        <v>1.25</v>
      </c>
      <c r="G5969" s="0" t="n">
        <v>12705</v>
      </c>
      <c r="H5969" s="0" t="s">
        <v>33</v>
      </c>
      <c r="I5969" s="7" t="n">
        <f aca="false">IF(AND(LEFT(A5969,1)&lt;&gt;"C",D5969&gt;0,F5969&gt;0),1,0)</f>
        <v>1</v>
      </c>
      <c r="J5969" s="7" t="n">
        <f aca="false">IF(I5969=1,D5969*F5969,0)</f>
        <v>15</v>
      </c>
      <c r="K5969" s="7" t="n">
        <f aca="false">YEAR(E5969)*100+MONTH(E5969)</f>
        <v>201111</v>
      </c>
      <c r="L5969" s="7" t="n">
        <f aca="false">IF(AND(A5969&lt;&gt;A5968,LEFT(A5969,1)&lt;&gt;"C"),1,0)</f>
        <v>0</v>
      </c>
    </row>
    <row r="5970" customFormat="false" ht="15" hidden="false" customHeight="false" outlineLevel="0" collapsed="false">
      <c r="A5970" s="0" t="s">
        <v>3158</v>
      </c>
      <c r="B5970" s="0" t="s">
        <v>2617</v>
      </c>
      <c r="C5970" s="0" t="s">
        <v>2618</v>
      </c>
      <c r="D5970" s="0" t="n">
        <v>12</v>
      </c>
      <c r="E5970" s="6" t="n">
        <v>40869.5604166667</v>
      </c>
      <c r="F5970" s="0" t="n">
        <v>1.25</v>
      </c>
      <c r="G5970" s="0" t="n">
        <v>12705</v>
      </c>
      <c r="H5970" s="0" t="s">
        <v>33</v>
      </c>
      <c r="I5970" s="7" t="n">
        <f aca="false">IF(AND(LEFT(A5970,1)&lt;&gt;"C",D5970&gt;0,F5970&gt;0),1,0)</f>
        <v>1</v>
      </c>
      <c r="J5970" s="7" t="n">
        <f aca="false">IF(I5970=1,D5970*F5970,0)</f>
        <v>15</v>
      </c>
      <c r="K5970" s="7" t="n">
        <f aca="false">YEAR(E5970)*100+MONTH(E5970)</f>
        <v>201111</v>
      </c>
      <c r="L5970" s="7" t="n">
        <f aca="false">IF(AND(A5970&lt;&gt;A5969,LEFT(A5970,1)&lt;&gt;"C"),1,0)</f>
        <v>0</v>
      </c>
    </row>
    <row r="5971" customFormat="false" ht="15" hidden="false" customHeight="false" outlineLevel="0" collapsed="false">
      <c r="A5971" s="0" t="s">
        <v>3158</v>
      </c>
      <c r="B5971" s="0" t="s">
        <v>2846</v>
      </c>
      <c r="C5971" s="0" t="s">
        <v>2847</v>
      </c>
      <c r="D5971" s="0" t="n">
        <v>12</v>
      </c>
      <c r="E5971" s="6" t="n">
        <v>40869.5604166667</v>
      </c>
      <c r="F5971" s="0" t="n">
        <v>1.25</v>
      </c>
      <c r="G5971" s="0" t="n">
        <v>12705</v>
      </c>
      <c r="H5971" s="0" t="s">
        <v>33</v>
      </c>
      <c r="I5971" s="7" t="n">
        <f aca="false">IF(AND(LEFT(A5971,1)&lt;&gt;"C",D5971&gt;0,F5971&gt;0),1,0)</f>
        <v>1</v>
      </c>
      <c r="J5971" s="7" t="n">
        <f aca="false">IF(I5971=1,D5971*F5971,0)</f>
        <v>15</v>
      </c>
      <c r="K5971" s="7" t="n">
        <f aca="false">YEAR(E5971)*100+MONTH(E5971)</f>
        <v>201111</v>
      </c>
      <c r="L5971" s="7" t="n">
        <f aca="false">IF(AND(A5971&lt;&gt;A5970,LEFT(A5971,1)&lt;&gt;"C"),1,0)</f>
        <v>0</v>
      </c>
    </row>
    <row r="5972" customFormat="false" ht="15" hidden="false" customHeight="false" outlineLevel="0" collapsed="false">
      <c r="A5972" s="0" t="s">
        <v>3158</v>
      </c>
      <c r="B5972" s="0" t="s">
        <v>3165</v>
      </c>
      <c r="C5972" s="0" t="s">
        <v>3166</v>
      </c>
      <c r="D5972" s="0" t="n">
        <v>12</v>
      </c>
      <c r="E5972" s="6" t="n">
        <v>40869.5604166667</v>
      </c>
      <c r="F5972" s="0" t="n">
        <v>1.25</v>
      </c>
      <c r="G5972" s="0" t="n">
        <v>12705</v>
      </c>
      <c r="H5972" s="0" t="s">
        <v>33</v>
      </c>
      <c r="I5972" s="7" t="n">
        <f aca="false">IF(AND(LEFT(A5972,1)&lt;&gt;"C",D5972&gt;0,F5972&gt;0),1,0)</f>
        <v>1</v>
      </c>
      <c r="J5972" s="7" t="n">
        <f aca="false">IF(I5972=1,D5972*F5972,0)</f>
        <v>15</v>
      </c>
      <c r="K5972" s="7" t="n">
        <f aca="false">YEAR(E5972)*100+MONTH(E5972)</f>
        <v>201111</v>
      </c>
      <c r="L5972" s="7" t="n">
        <f aca="false">IF(AND(A5972&lt;&gt;A5971,LEFT(A5972,1)&lt;&gt;"C"),1,0)</f>
        <v>0</v>
      </c>
    </row>
    <row r="5973" customFormat="false" ht="15" hidden="false" customHeight="false" outlineLevel="0" collapsed="false">
      <c r="A5973" s="0" t="s">
        <v>3158</v>
      </c>
      <c r="B5973" s="0" t="s">
        <v>310</v>
      </c>
      <c r="C5973" s="0" t="s">
        <v>311</v>
      </c>
      <c r="D5973" s="0" t="n">
        <v>4</v>
      </c>
      <c r="E5973" s="6" t="n">
        <v>40869.5604166667</v>
      </c>
      <c r="F5973" s="0" t="n">
        <v>4.95</v>
      </c>
      <c r="G5973" s="0" t="n">
        <v>12705</v>
      </c>
      <c r="H5973" s="0" t="s">
        <v>33</v>
      </c>
      <c r="I5973" s="7" t="n">
        <f aca="false">IF(AND(LEFT(A5973,1)&lt;&gt;"C",D5973&gt;0,F5973&gt;0),1,0)</f>
        <v>1</v>
      </c>
      <c r="J5973" s="7" t="n">
        <f aca="false">IF(I5973=1,D5973*F5973,0)</f>
        <v>19.8</v>
      </c>
      <c r="K5973" s="7" t="n">
        <f aca="false">YEAR(E5973)*100+MONTH(E5973)</f>
        <v>201111</v>
      </c>
      <c r="L5973" s="7" t="n">
        <f aca="false">IF(AND(A5973&lt;&gt;A5972,LEFT(A5973,1)&lt;&gt;"C"),1,0)</f>
        <v>0</v>
      </c>
    </row>
    <row r="5974" customFormat="false" ht="15" hidden="false" customHeight="false" outlineLevel="0" collapsed="false">
      <c r="A5974" s="0" t="s">
        <v>3158</v>
      </c>
      <c r="B5974" s="0" t="s">
        <v>452</v>
      </c>
      <c r="C5974" s="0" t="s">
        <v>453</v>
      </c>
      <c r="D5974" s="0" t="n">
        <v>2</v>
      </c>
      <c r="E5974" s="6" t="n">
        <v>40869.5604166667</v>
      </c>
      <c r="F5974" s="0" t="n">
        <v>8.5</v>
      </c>
      <c r="G5974" s="0" t="n">
        <v>12705</v>
      </c>
      <c r="H5974" s="0" t="s">
        <v>33</v>
      </c>
      <c r="I5974" s="7" t="n">
        <f aca="false">IF(AND(LEFT(A5974,1)&lt;&gt;"C",D5974&gt;0,F5974&gt;0),1,0)</f>
        <v>1</v>
      </c>
      <c r="J5974" s="7" t="n">
        <f aca="false">IF(I5974=1,D5974*F5974,0)</f>
        <v>17</v>
      </c>
      <c r="K5974" s="7" t="n">
        <f aca="false">YEAR(E5974)*100+MONTH(E5974)</f>
        <v>201111</v>
      </c>
      <c r="L5974" s="7" t="n">
        <f aca="false">IF(AND(A5974&lt;&gt;A5973,LEFT(A5974,1)&lt;&gt;"C"),1,0)</f>
        <v>0</v>
      </c>
    </row>
    <row r="5975" customFormat="false" ht="15" hidden="false" customHeight="false" outlineLevel="0" collapsed="false">
      <c r="A5975" s="0" t="s">
        <v>3158</v>
      </c>
      <c r="B5975" s="0" t="s">
        <v>326</v>
      </c>
      <c r="C5975" s="0" t="s">
        <v>327</v>
      </c>
      <c r="D5975" s="0" t="n">
        <v>2</v>
      </c>
      <c r="E5975" s="6" t="n">
        <v>40869.5604166667</v>
      </c>
      <c r="F5975" s="0" t="n">
        <v>8.5</v>
      </c>
      <c r="G5975" s="0" t="n">
        <v>12705</v>
      </c>
      <c r="H5975" s="0" t="s">
        <v>33</v>
      </c>
      <c r="I5975" s="7" t="n">
        <f aca="false">IF(AND(LEFT(A5975,1)&lt;&gt;"C",D5975&gt;0,F5975&gt;0),1,0)</f>
        <v>1</v>
      </c>
      <c r="J5975" s="7" t="n">
        <f aca="false">IF(I5975=1,D5975*F5975,0)</f>
        <v>17</v>
      </c>
      <c r="K5975" s="7" t="n">
        <f aca="false">YEAR(E5975)*100+MONTH(E5975)</f>
        <v>201111</v>
      </c>
      <c r="L5975" s="7" t="n">
        <f aca="false">IF(AND(A5975&lt;&gt;A5974,LEFT(A5975,1)&lt;&gt;"C"),1,0)</f>
        <v>0</v>
      </c>
    </row>
    <row r="5976" customFormat="false" ht="15" hidden="false" customHeight="false" outlineLevel="0" collapsed="false">
      <c r="A5976" s="0" t="s">
        <v>3158</v>
      </c>
      <c r="B5976" s="0" t="s">
        <v>293</v>
      </c>
      <c r="C5976" s="0" t="s">
        <v>294</v>
      </c>
      <c r="D5976" s="0" t="n">
        <v>2</v>
      </c>
      <c r="E5976" s="6" t="n">
        <v>40869.5604166667</v>
      </c>
      <c r="F5976" s="0" t="n">
        <v>8.5</v>
      </c>
      <c r="G5976" s="0" t="n">
        <v>12705</v>
      </c>
      <c r="H5976" s="0" t="s">
        <v>33</v>
      </c>
      <c r="I5976" s="7" t="n">
        <f aca="false">IF(AND(LEFT(A5976,1)&lt;&gt;"C",D5976&gt;0,F5976&gt;0),1,0)</f>
        <v>1</v>
      </c>
      <c r="J5976" s="7" t="n">
        <f aca="false">IF(I5976=1,D5976*F5976,0)</f>
        <v>17</v>
      </c>
      <c r="K5976" s="7" t="n">
        <f aca="false">YEAR(E5976)*100+MONTH(E5976)</f>
        <v>201111</v>
      </c>
      <c r="L5976" s="7" t="n">
        <f aca="false">IF(AND(A5976&lt;&gt;A5975,LEFT(A5976,1)&lt;&gt;"C"),1,0)</f>
        <v>0</v>
      </c>
    </row>
    <row r="5977" customFormat="false" ht="15" hidden="false" customHeight="false" outlineLevel="0" collapsed="false">
      <c r="A5977" s="0" t="s">
        <v>3167</v>
      </c>
      <c r="B5977" s="0" t="s">
        <v>2082</v>
      </c>
      <c r="C5977" s="0" t="s">
        <v>2083</v>
      </c>
      <c r="D5977" s="0" t="n">
        <v>16</v>
      </c>
      <c r="E5977" s="6" t="n">
        <v>40869.5708333333</v>
      </c>
      <c r="F5977" s="0" t="n">
        <v>0.59</v>
      </c>
      <c r="G5977" s="0" t="n">
        <v>12656</v>
      </c>
      <c r="H5977" s="0" t="s">
        <v>43</v>
      </c>
      <c r="I5977" s="7" t="n">
        <f aca="false">IF(AND(LEFT(A5977,1)&lt;&gt;"C",D5977&gt;0,F5977&gt;0),1,0)</f>
        <v>1</v>
      </c>
      <c r="J5977" s="7" t="n">
        <f aca="false">IF(I5977=1,D5977*F5977,0)</f>
        <v>9.44</v>
      </c>
      <c r="K5977" s="7" t="n">
        <f aca="false">YEAR(E5977)*100+MONTH(E5977)</f>
        <v>201111</v>
      </c>
      <c r="L5977" s="7" t="n">
        <f aca="false">IF(AND(A5977&lt;&gt;A5976,LEFT(A5977,1)&lt;&gt;"C"),1,0)</f>
        <v>1</v>
      </c>
    </row>
    <row r="5978" customFormat="false" ht="15" hidden="false" customHeight="false" outlineLevel="0" collapsed="false">
      <c r="A5978" s="0" t="s">
        <v>3167</v>
      </c>
      <c r="B5978" s="0" t="s">
        <v>123</v>
      </c>
      <c r="C5978" s="0" t="s">
        <v>124</v>
      </c>
      <c r="D5978" s="0" t="n">
        <v>6</v>
      </c>
      <c r="E5978" s="6" t="n">
        <v>40869.5708333333</v>
      </c>
      <c r="F5978" s="0" t="n">
        <v>2.95</v>
      </c>
      <c r="G5978" s="0" t="n">
        <v>12656</v>
      </c>
      <c r="H5978" s="0" t="s">
        <v>43</v>
      </c>
      <c r="I5978" s="7" t="n">
        <f aca="false">IF(AND(LEFT(A5978,1)&lt;&gt;"C",D5978&gt;0,F5978&gt;0),1,0)</f>
        <v>1</v>
      </c>
      <c r="J5978" s="7" t="n">
        <f aca="false">IF(I5978=1,D5978*F5978,0)</f>
        <v>17.7</v>
      </c>
      <c r="K5978" s="7" t="n">
        <f aca="false">YEAR(E5978)*100+MONTH(E5978)</f>
        <v>201111</v>
      </c>
      <c r="L5978" s="7" t="n">
        <f aca="false">IF(AND(A5978&lt;&gt;A5977,LEFT(A5978,1)&lt;&gt;"C"),1,0)</f>
        <v>0</v>
      </c>
    </row>
    <row r="5979" customFormat="false" ht="15" hidden="false" customHeight="false" outlineLevel="0" collapsed="false">
      <c r="A5979" s="0" t="s">
        <v>3167</v>
      </c>
      <c r="B5979" s="0" t="s">
        <v>610</v>
      </c>
      <c r="C5979" s="0" t="s">
        <v>611</v>
      </c>
      <c r="D5979" s="0" t="n">
        <v>6</v>
      </c>
      <c r="E5979" s="6" t="n">
        <v>40869.5708333333</v>
      </c>
      <c r="F5979" s="0" t="n">
        <v>2.95</v>
      </c>
      <c r="G5979" s="0" t="n">
        <v>12656</v>
      </c>
      <c r="H5979" s="0" t="s">
        <v>43</v>
      </c>
      <c r="I5979" s="7" t="n">
        <f aca="false">IF(AND(LEFT(A5979,1)&lt;&gt;"C",D5979&gt;0,F5979&gt;0),1,0)</f>
        <v>1</v>
      </c>
      <c r="J5979" s="7" t="n">
        <f aca="false">IF(I5979=1,D5979*F5979,0)</f>
        <v>17.7</v>
      </c>
      <c r="K5979" s="7" t="n">
        <f aca="false">YEAR(E5979)*100+MONTH(E5979)</f>
        <v>201111</v>
      </c>
      <c r="L5979" s="7" t="n">
        <f aca="false">IF(AND(A5979&lt;&gt;A5978,LEFT(A5979,1)&lt;&gt;"C"),1,0)</f>
        <v>0</v>
      </c>
    </row>
    <row r="5980" customFormat="false" ht="15" hidden="false" customHeight="false" outlineLevel="0" collapsed="false">
      <c r="A5980" s="0" t="s">
        <v>3167</v>
      </c>
      <c r="B5980" s="0" t="s">
        <v>1000</v>
      </c>
      <c r="C5980" s="0" t="s">
        <v>1001</v>
      </c>
      <c r="D5980" s="0" t="n">
        <v>4</v>
      </c>
      <c r="E5980" s="6" t="n">
        <v>40869.5708333333</v>
      </c>
      <c r="F5980" s="0" t="n">
        <v>4.95</v>
      </c>
      <c r="G5980" s="0" t="n">
        <v>12656</v>
      </c>
      <c r="H5980" s="0" t="s">
        <v>43</v>
      </c>
      <c r="I5980" s="7" t="n">
        <f aca="false">IF(AND(LEFT(A5980,1)&lt;&gt;"C",D5980&gt;0,F5980&gt;0),1,0)</f>
        <v>1</v>
      </c>
      <c r="J5980" s="7" t="n">
        <f aca="false">IF(I5980=1,D5980*F5980,0)</f>
        <v>19.8</v>
      </c>
      <c r="K5980" s="7" t="n">
        <f aca="false">YEAR(E5980)*100+MONTH(E5980)</f>
        <v>201111</v>
      </c>
      <c r="L5980" s="7" t="n">
        <f aca="false">IF(AND(A5980&lt;&gt;A5979,LEFT(A5980,1)&lt;&gt;"C"),1,0)</f>
        <v>0</v>
      </c>
    </row>
    <row r="5981" customFormat="false" ht="15" hidden="false" customHeight="false" outlineLevel="0" collapsed="false">
      <c r="A5981" s="0" t="s">
        <v>3167</v>
      </c>
      <c r="B5981" s="0" t="s">
        <v>1436</v>
      </c>
      <c r="C5981" s="0" t="s">
        <v>1437</v>
      </c>
      <c r="D5981" s="0" t="n">
        <v>3</v>
      </c>
      <c r="E5981" s="6" t="n">
        <v>40869.5708333333</v>
      </c>
      <c r="F5981" s="0" t="n">
        <v>4.95</v>
      </c>
      <c r="G5981" s="0" t="n">
        <v>12656</v>
      </c>
      <c r="H5981" s="0" t="s">
        <v>43</v>
      </c>
      <c r="I5981" s="7" t="n">
        <f aca="false">IF(AND(LEFT(A5981,1)&lt;&gt;"C",D5981&gt;0,F5981&gt;0),1,0)</f>
        <v>1</v>
      </c>
      <c r="J5981" s="7" t="n">
        <f aca="false">IF(I5981=1,D5981*F5981,0)</f>
        <v>14.85</v>
      </c>
      <c r="K5981" s="7" t="n">
        <f aca="false">YEAR(E5981)*100+MONTH(E5981)</f>
        <v>201111</v>
      </c>
      <c r="L5981" s="7" t="n">
        <f aca="false">IF(AND(A5981&lt;&gt;A5980,LEFT(A5981,1)&lt;&gt;"C"),1,0)</f>
        <v>0</v>
      </c>
    </row>
    <row r="5982" customFormat="false" ht="15" hidden="false" customHeight="false" outlineLevel="0" collapsed="false">
      <c r="A5982" s="0" t="s">
        <v>3167</v>
      </c>
      <c r="B5982" s="0" t="s">
        <v>62</v>
      </c>
      <c r="C5982" s="0" t="s">
        <v>63</v>
      </c>
      <c r="D5982" s="0" t="n">
        <v>12</v>
      </c>
      <c r="E5982" s="6" t="n">
        <v>40869.5708333333</v>
      </c>
      <c r="F5982" s="0" t="n">
        <v>2.08</v>
      </c>
      <c r="G5982" s="0" t="n">
        <v>12656</v>
      </c>
      <c r="H5982" s="0" t="s">
        <v>43</v>
      </c>
      <c r="I5982" s="7" t="n">
        <f aca="false">IF(AND(LEFT(A5982,1)&lt;&gt;"C",D5982&gt;0,F5982&gt;0),1,0)</f>
        <v>1</v>
      </c>
      <c r="J5982" s="7" t="n">
        <f aca="false">IF(I5982=1,D5982*F5982,0)</f>
        <v>24.96</v>
      </c>
      <c r="K5982" s="7" t="n">
        <f aca="false">YEAR(E5982)*100+MONTH(E5982)</f>
        <v>201111</v>
      </c>
      <c r="L5982" s="7" t="n">
        <f aca="false">IF(AND(A5982&lt;&gt;A5981,LEFT(A5982,1)&lt;&gt;"C"),1,0)</f>
        <v>0</v>
      </c>
    </row>
    <row r="5983" customFormat="false" ht="15" hidden="false" customHeight="false" outlineLevel="0" collapsed="false">
      <c r="A5983" s="0" t="s">
        <v>3167</v>
      </c>
      <c r="B5983" s="0" t="s">
        <v>2573</v>
      </c>
      <c r="C5983" s="0" t="s">
        <v>2574</v>
      </c>
      <c r="D5983" s="0" t="n">
        <v>8</v>
      </c>
      <c r="E5983" s="6" t="n">
        <v>40869.5708333333</v>
      </c>
      <c r="F5983" s="0" t="n">
        <v>3.75</v>
      </c>
      <c r="G5983" s="0" t="n">
        <v>12656</v>
      </c>
      <c r="H5983" s="0" t="s">
        <v>43</v>
      </c>
      <c r="I5983" s="7" t="n">
        <f aca="false">IF(AND(LEFT(A5983,1)&lt;&gt;"C",D5983&gt;0,F5983&gt;0),1,0)</f>
        <v>1</v>
      </c>
      <c r="J5983" s="7" t="n">
        <f aca="false">IF(I5983=1,D5983*F5983,0)</f>
        <v>30</v>
      </c>
      <c r="K5983" s="7" t="n">
        <f aca="false">YEAR(E5983)*100+MONTH(E5983)</f>
        <v>201111</v>
      </c>
      <c r="L5983" s="7" t="n">
        <f aca="false">IF(AND(A5983&lt;&gt;A5982,LEFT(A5983,1)&lt;&gt;"C"),1,0)</f>
        <v>0</v>
      </c>
    </row>
    <row r="5984" customFormat="false" ht="15" hidden="false" customHeight="false" outlineLevel="0" collapsed="false">
      <c r="A5984" s="0" t="s">
        <v>3167</v>
      </c>
      <c r="B5984" s="0" t="s">
        <v>285</v>
      </c>
      <c r="C5984" s="0" t="s">
        <v>286</v>
      </c>
      <c r="D5984" s="0" t="n">
        <v>4</v>
      </c>
      <c r="E5984" s="6" t="n">
        <v>40869.5708333333</v>
      </c>
      <c r="F5984" s="0" t="n">
        <v>8.5</v>
      </c>
      <c r="G5984" s="0" t="n">
        <v>12656</v>
      </c>
      <c r="H5984" s="0" t="s">
        <v>43</v>
      </c>
      <c r="I5984" s="7" t="n">
        <f aca="false">IF(AND(LEFT(A5984,1)&lt;&gt;"C",D5984&gt;0,F5984&gt;0),1,0)</f>
        <v>1</v>
      </c>
      <c r="J5984" s="7" t="n">
        <f aca="false">IF(I5984=1,D5984*F5984,0)</f>
        <v>34</v>
      </c>
      <c r="K5984" s="7" t="n">
        <f aca="false">YEAR(E5984)*100+MONTH(E5984)</f>
        <v>201111</v>
      </c>
      <c r="L5984" s="7" t="n">
        <f aca="false">IF(AND(A5984&lt;&gt;A5983,LEFT(A5984,1)&lt;&gt;"C"),1,0)</f>
        <v>0</v>
      </c>
    </row>
    <row r="5985" customFormat="false" ht="15" hidden="false" customHeight="false" outlineLevel="0" collapsed="false">
      <c r="A5985" s="0" t="s">
        <v>3167</v>
      </c>
      <c r="B5985" s="0" t="s">
        <v>3168</v>
      </c>
      <c r="C5985" s="0" t="s">
        <v>3169</v>
      </c>
      <c r="D5985" s="0" t="n">
        <v>4</v>
      </c>
      <c r="E5985" s="6" t="n">
        <v>40869.5708333333</v>
      </c>
      <c r="F5985" s="0" t="n">
        <v>8.5</v>
      </c>
      <c r="G5985" s="0" t="n">
        <v>12656</v>
      </c>
      <c r="H5985" s="0" t="s">
        <v>43</v>
      </c>
      <c r="I5985" s="7" t="n">
        <f aca="false">IF(AND(LEFT(A5985,1)&lt;&gt;"C",D5985&gt;0,F5985&gt;0),1,0)</f>
        <v>1</v>
      </c>
      <c r="J5985" s="7" t="n">
        <f aca="false">IF(I5985=1,D5985*F5985,0)</f>
        <v>34</v>
      </c>
      <c r="K5985" s="7" t="n">
        <f aca="false">YEAR(E5985)*100+MONTH(E5985)</f>
        <v>201111</v>
      </c>
      <c r="L5985" s="7" t="n">
        <f aca="false">IF(AND(A5985&lt;&gt;A5984,LEFT(A5985,1)&lt;&gt;"C"),1,0)</f>
        <v>0</v>
      </c>
    </row>
    <row r="5986" customFormat="false" ht="15" hidden="false" customHeight="false" outlineLevel="0" collapsed="false">
      <c r="A5986" s="0" t="s">
        <v>3167</v>
      </c>
      <c r="B5986" s="0" t="s">
        <v>653</v>
      </c>
      <c r="C5986" s="0" t="s">
        <v>654</v>
      </c>
      <c r="D5986" s="0" t="n">
        <v>4</v>
      </c>
      <c r="E5986" s="6" t="n">
        <v>40869.5708333333</v>
      </c>
      <c r="F5986" s="0" t="n">
        <v>6.25</v>
      </c>
      <c r="G5986" s="0" t="n">
        <v>12656</v>
      </c>
      <c r="H5986" s="0" t="s">
        <v>43</v>
      </c>
      <c r="I5986" s="7" t="n">
        <f aca="false">IF(AND(LEFT(A5986,1)&lt;&gt;"C",D5986&gt;0,F5986&gt;0),1,0)</f>
        <v>1</v>
      </c>
      <c r="J5986" s="7" t="n">
        <f aca="false">IF(I5986=1,D5986*F5986,0)</f>
        <v>25</v>
      </c>
      <c r="K5986" s="7" t="n">
        <f aca="false">YEAR(E5986)*100+MONTH(E5986)</f>
        <v>201111</v>
      </c>
      <c r="L5986" s="7" t="n">
        <f aca="false">IF(AND(A5986&lt;&gt;A5985,LEFT(A5986,1)&lt;&gt;"C"),1,0)</f>
        <v>0</v>
      </c>
    </row>
    <row r="5987" customFormat="false" ht="15" hidden="false" customHeight="false" outlineLevel="0" collapsed="false">
      <c r="A5987" s="0" t="s">
        <v>3167</v>
      </c>
      <c r="B5987" s="0" t="s">
        <v>1057</v>
      </c>
      <c r="C5987" s="0" t="s">
        <v>1058</v>
      </c>
      <c r="D5987" s="0" t="n">
        <v>2</v>
      </c>
      <c r="E5987" s="6" t="n">
        <v>40869.5708333333</v>
      </c>
      <c r="F5987" s="0" t="n">
        <v>9.95</v>
      </c>
      <c r="G5987" s="0" t="n">
        <v>12656</v>
      </c>
      <c r="H5987" s="0" t="s">
        <v>43</v>
      </c>
      <c r="I5987" s="7" t="n">
        <f aca="false">IF(AND(LEFT(A5987,1)&lt;&gt;"C",D5987&gt;0,F5987&gt;0),1,0)</f>
        <v>1</v>
      </c>
      <c r="J5987" s="7" t="n">
        <f aca="false">IF(I5987=1,D5987*F5987,0)</f>
        <v>19.9</v>
      </c>
      <c r="K5987" s="7" t="n">
        <f aca="false">YEAR(E5987)*100+MONTH(E5987)</f>
        <v>201111</v>
      </c>
      <c r="L5987" s="7" t="n">
        <f aca="false">IF(AND(A5987&lt;&gt;A5986,LEFT(A5987,1)&lt;&gt;"C"),1,0)</f>
        <v>0</v>
      </c>
    </row>
    <row r="5988" customFormat="false" ht="15" hidden="false" customHeight="false" outlineLevel="0" collapsed="false">
      <c r="A5988" s="0" t="s">
        <v>3167</v>
      </c>
      <c r="B5988" s="0" t="s">
        <v>2567</v>
      </c>
      <c r="C5988" s="0" t="s">
        <v>2568</v>
      </c>
      <c r="D5988" s="0" t="n">
        <v>2</v>
      </c>
      <c r="E5988" s="6" t="n">
        <v>40869.5708333333</v>
      </c>
      <c r="F5988" s="0" t="n">
        <v>9.95</v>
      </c>
      <c r="G5988" s="0" t="n">
        <v>12656</v>
      </c>
      <c r="H5988" s="0" t="s">
        <v>43</v>
      </c>
      <c r="I5988" s="7" t="n">
        <f aca="false">IF(AND(LEFT(A5988,1)&lt;&gt;"C",D5988&gt;0,F5988&gt;0),1,0)</f>
        <v>1</v>
      </c>
      <c r="J5988" s="7" t="n">
        <f aca="false">IF(I5988=1,D5988*F5988,0)</f>
        <v>19.9</v>
      </c>
      <c r="K5988" s="7" t="n">
        <f aca="false">YEAR(E5988)*100+MONTH(E5988)</f>
        <v>201111</v>
      </c>
      <c r="L5988" s="7" t="n">
        <f aca="false">IF(AND(A5988&lt;&gt;A5987,LEFT(A5988,1)&lt;&gt;"C"),1,0)</f>
        <v>0</v>
      </c>
    </row>
    <row r="5989" customFormat="false" ht="15" hidden="false" customHeight="false" outlineLevel="0" collapsed="false">
      <c r="A5989" s="0" t="s">
        <v>3167</v>
      </c>
      <c r="B5989" s="0" t="s">
        <v>1761</v>
      </c>
      <c r="C5989" s="0" t="s">
        <v>1762</v>
      </c>
      <c r="D5989" s="0" t="n">
        <v>2</v>
      </c>
      <c r="E5989" s="6" t="n">
        <v>40869.5708333333</v>
      </c>
      <c r="F5989" s="0" t="n">
        <v>8.5</v>
      </c>
      <c r="G5989" s="0" t="n">
        <v>12656</v>
      </c>
      <c r="H5989" s="0" t="s">
        <v>43</v>
      </c>
      <c r="I5989" s="7" t="n">
        <f aca="false">IF(AND(LEFT(A5989,1)&lt;&gt;"C",D5989&gt;0,F5989&gt;0),1,0)</f>
        <v>1</v>
      </c>
      <c r="J5989" s="7" t="n">
        <f aca="false">IF(I5989=1,D5989*F5989,0)</f>
        <v>17</v>
      </c>
      <c r="K5989" s="7" t="n">
        <f aca="false">YEAR(E5989)*100+MONTH(E5989)</f>
        <v>201111</v>
      </c>
      <c r="L5989" s="7" t="n">
        <f aca="false">IF(AND(A5989&lt;&gt;A5988,LEFT(A5989,1)&lt;&gt;"C"),1,0)</f>
        <v>0</v>
      </c>
    </row>
    <row r="5990" customFormat="false" ht="15" hidden="false" customHeight="false" outlineLevel="0" collapsed="false">
      <c r="A5990" s="0" t="s">
        <v>3167</v>
      </c>
      <c r="B5990" s="0" t="s">
        <v>1128</v>
      </c>
      <c r="C5990" s="0" t="s">
        <v>1129</v>
      </c>
      <c r="D5990" s="0" t="n">
        <v>2</v>
      </c>
      <c r="E5990" s="6" t="n">
        <v>40869.5708333333</v>
      </c>
      <c r="F5990" s="0" t="n">
        <v>8.5</v>
      </c>
      <c r="G5990" s="0" t="n">
        <v>12656</v>
      </c>
      <c r="H5990" s="0" t="s">
        <v>43</v>
      </c>
      <c r="I5990" s="7" t="n">
        <f aca="false">IF(AND(LEFT(A5990,1)&lt;&gt;"C",D5990&gt;0,F5990&gt;0),1,0)</f>
        <v>1</v>
      </c>
      <c r="J5990" s="7" t="n">
        <f aca="false">IF(I5990=1,D5990*F5990,0)</f>
        <v>17</v>
      </c>
      <c r="K5990" s="7" t="n">
        <f aca="false">YEAR(E5990)*100+MONTH(E5990)</f>
        <v>201111</v>
      </c>
      <c r="L5990" s="7" t="n">
        <f aca="false">IF(AND(A5990&lt;&gt;A5989,LEFT(A5990,1)&lt;&gt;"C"),1,0)</f>
        <v>0</v>
      </c>
    </row>
    <row r="5991" customFormat="false" ht="15" hidden="false" customHeight="false" outlineLevel="0" collapsed="false">
      <c r="A5991" s="0" t="s">
        <v>3167</v>
      </c>
      <c r="B5991" s="0" t="s">
        <v>1124</v>
      </c>
      <c r="C5991" s="0" t="s">
        <v>1125</v>
      </c>
      <c r="D5991" s="0" t="n">
        <v>2</v>
      </c>
      <c r="E5991" s="6" t="n">
        <v>40869.5708333333</v>
      </c>
      <c r="F5991" s="0" t="n">
        <v>8.5</v>
      </c>
      <c r="G5991" s="0" t="n">
        <v>12656</v>
      </c>
      <c r="H5991" s="0" t="s">
        <v>43</v>
      </c>
      <c r="I5991" s="7" t="n">
        <f aca="false">IF(AND(LEFT(A5991,1)&lt;&gt;"C",D5991&gt;0,F5991&gt;0),1,0)</f>
        <v>1</v>
      </c>
      <c r="J5991" s="7" t="n">
        <f aca="false">IF(I5991=1,D5991*F5991,0)</f>
        <v>17</v>
      </c>
      <c r="K5991" s="7" t="n">
        <f aca="false">YEAR(E5991)*100+MONTH(E5991)</f>
        <v>201111</v>
      </c>
      <c r="L5991" s="7" t="n">
        <f aca="false">IF(AND(A5991&lt;&gt;A5990,LEFT(A5991,1)&lt;&gt;"C"),1,0)</f>
        <v>0</v>
      </c>
    </row>
    <row r="5992" customFormat="false" ht="15" hidden="false" customHeight="false" outlineLevel="0" collapsed="false">
      <c r="A5992" s="0" t="s">
        <v>3167</v>
      </c>
      <c r="B5992" s="0" t="s">
        <v>318</v>
      </c>
      <c r="C5992" s="0" t="s">
        <v>319</v>
      </c>
      <c r="D5992" s="0" t="n">
        <v>4</v>
      </c>
      <c r="E5992" s="6" t="n">
        <v>40869.5708333333</v>
      </c>
      <c r="F5992" s="0" t="n">
        <v>3.75</v>
      </c>
      <c r="G5992" s="0" t="n">
        <v>12656</v>
      </c>
      <c r="H5992" s="0" t="s">
        <v>43</v>
      </c>
      <c r="I5992" s="7" t="n">
        <f aca="false">IF(AND(LEFT(A5992,1)&lt;&gt;"C",D5992&gt;0,F5992&gt;0),1,0)</f>
        <v>1</v>
      </c>
      <c r="J5992" s="7" t="n">
        <f aca="false">IF(I5992=1,D5992*F5992,0)</f>
        <v>15</v>
      </c>
      <c r="K5992" s="7" t="n">
        <f aca="false">YEAR(E5992)*100+MONTH(E5992)</f>
        <v>201111</v>
      </c>
      <c r="L5992" s="7" t="n">
        <f aca="false">IF(AND(A5992&lt;&gt;A5991,LEFT(A5992,1)&lt;&gt;"C"),1,0)</f>
        <v>0</v>
      </c>
    </row>
    <row r="5993" customFormat="false" ht="15" hidden="false" customHeight="false" outlineLevel="0" collapsed="false">
      <c r="A5993" s="0" t="s">
        <v>3167</v>
      </c>
      <c r="B5993" s="0" t="s">
        <v>297</v>
      </c>
      <c r="C5993" s="0" t="s">
        <v>298</v>
      </c>
      <c r="D5993" s="0" t="n">
        <v>4</v>
      </c>
      <c r="E5993" s="6" t="n">
        <v>40869.5708333333</v>
      </c>
      <c r="F5993" s="0" t="n">
        <v>3.75</v>
      </c>
      <c r="G5993" s="0" t="n">
        <v>12656</v>
      </c>
      <c r="H5993" s="0" t="s">
        <v>43</v>
      </c>
      <c r="I5993" s="7" t="n">
        <f aca="false">IF(AND(LEFT(A5993,1)&lt;&gt;"C",D5993&gt;0,F5993&gt;0),1,0)</f>
        <v>1</v>
      </c>
      <c r="J5993" s="7" t="n">
        <f aca="false">IF(I5993=1,D5993*F5993,0)</f>
        <v>15</v>
      </c>
      <c r="K5993" s="7" t="n">
        <f aca="false">YEAR(E5993)*100+MONTH(E5993)</f>
        <v>201111</v>
      </c>
      <c r="L5993" s="7" t="n">
        <f aca="false">IF(AND(A5993&lt;&gt;A5992,LEFT(A5993,1)&lt;&gt;"C"),1,0)</f>
        <v>0</v>
      </c>
    </row>
    <row r="5994" customFormat="false" ht="15" hidden="false" customHeight="false" outlineLevel="0" collapsed="false">
      <c r="A5994" s="0" t="s">
        <v>3167</v>
      </c>
      <c r="B5994" s="0" t="s">
        <v>517</v>
      </c>
      <c r="C5994" s="0" t="s">
        <v>518</v>
      </c>
      <c r="D5994" s="0" t="n">
        <v>10</v>
      </c>
      <c r="E5994" s="6" t="n">
        <v>40869.5708333333</v>
      </c>
      <c r="F5994" s="0" t="n">
        <v>2.08</v>
      </c>
      <c r="G5994" s="0" t="n">
        <v>12656</v>
      </c>
      <c r="H5994" s="0" t="s">
        <v>43</v>
      </c>
      <c r="I5994" s="7" t="n">
        <f aca="false">IF(AND(LEFT(A5994,1)&lt;&gt;"C",D5994&gt;0,F5994&gt;0),1,0)</f>
        <v>1</v>
      </c>
      <c r="J5994" s="7" t="n">
        <f aca="false">IF(I5994=1,D5994*F5994,0)</f>
        <v>20.8</v>
      </c>
      <c r="K5994" s="7" t="n">
        <f aca="false">YEAR(E5994)*100+MONTH(E5994)</f>
        <v>201111</v>
      </c>
      <c r="L5994" s="7" t="n">
        <f aca="false">IF(AND(A5994&lt;&gt;A5993,LEFT(A5994,1)&lt;&gt;"C"),1,0)</f>
        <v>0</v>
      </c>
    </row>
    <row r="5995" customFormat="false" ht="15" hidden="false" customHeight="false" outlineLevel="0" collapsed="false">
      <c r="A5995" s="0" t="s">
        <v>3167</v>
      </c>
      <c r="B5995" s="0" t="s">
        <v>1386</v>
      </c>
      <c r="C5995" s="0" t="s">
        <v>1387</v>
      </c>
      <c r="D5995" s="0" t="n">
        <v>10</v>
      </c>
      <c r="E5995" s="6" t="n">
        <v>40869.5708333333</v>
      </c>
      <c r="F5995" s="0" t="n">
        <v>2.08</v>
      </c>
      <c r="G5995" s="0" t="n">
        <v>12656</v>
      </c>
      <c r="H5995" s="0" t="s">
        <v>43</v>
      </c>
      <c r="I5995" s="7" t="n">
        <f aca="false">IF(AND(LEFT(A5995,1)&lt;&gt;"C",D5995&gt;0,F5995&gt;0),1,0)</f>
        <v>1</v>
      </c>
      <c r="J5995" s="7" t="n">
        <f aca="false">IF(I5995=1,D5995*F5995,0)</f>
        <v>20.8</v>
      </c>
      <c r="K5995" s="7" t="n">
        <f aca="false">YEAR(E5995)*100+MONTH(E5995)</f>
        <v>201111</v>
      </c>
      <c r="L5995" s="7" t="n">
        <f aca="false">IF(AND(A5995&lt;&gt;A5994,LEFT(A5995,1)&lt;&gt;"C"),1,0)</f>
        <v>0</v>
      </c>
    </row>
    <row r="5996" customFormat="false" ht="15" hidden="false" customHeight="false" outlineLevel="0" collapsed="false">
      <c r="A5996" s="0" t="s">
        <v>3167</v>
      </c>
      <c r="B5996" s="0" t="s">
        <v>625</v>
      </c>
      <c r="C5996" s="0" t="s">
        <v>626</v>
      </c>
      <c r="D5996" s="0" t="n">
        <v>10</v>
      </c>
      <c r="E5996" s="6" t="n">
        <v>40869.5708333333</v>
      </c>
      <c r="F5996" s="0" t="n">
        <v>2.08</v>
      </c>
      <c r="G5996" s="0" t="n">
        <v>12656</v>
      </c>
      <c r="H5996" s="0" t="s">
        <v>43</v>
      </c>
      <c r="I5996" s="7" t="n">
        <f aca="false">IF(AND(LEFT(A5996,1)&lt;&gt;"C",D5996&gt;0,F5996&gt;0),1,0)</f>
        <v>1</v>
      </c>
      <c r="J5996" s="7" t="n">
        <f aca="false">IF(I5996=1,D5996*F5996,0)</f>
        <v>20.8</v>
      </c>
      <c r="K5996" s="7" t="n">
        <f aca="false">YEAR(E5996)*100+MONTH(E5996)</f>
        <v>201111</v>
      </c>
      <c r="L5996" s="7" t="n">
        <f aca="false">IF(AND(A5996&lt;&gt;A5995,LEFT(A5996,1)&lt;&gt;"C"),1,0)</f>
        <v>0</v>
      </c>
    </row>
    <row r="5997" customFormat="false" ht="15" hidden="false" customHeight="false" outlineLevel="0" collapsed="false">
      <c r="A5997" s="0" t="s">
        <v>3167</v>
      </c>
      <c r="B5997" s="0" t="s">
        <v>569</v>
      </c>
      <c r="C5997" s="0" t="s">
        <v>570</v>
      </c>
      <c r="D5997" s="0" t="n">
        <v>10</v>
      </c>
      <c r="E5997" s="6" t="n">
        <v>40869.5708333333</v>
      </c>
      <c r="F5997" s="0" t="n">
        <v>2.08</v>
      </c>
      <c r="G5997" s="0" t="n">
        <v>12656</v>
      </c>
      <c r="H5997" s="0" t="s">
        <v>43</v>
      </c>
      <c r="I5997" s="7" t="n">
        <f aca="false">IF(AND(LEFT(A5997,1)&lt;&gt;"C",D5997&gt;0,F5997&gt;0),1,0)</f>
        <v>1</v>
      </c>
      <c r="J5997" s="7" t="n">
        <f aca="false">IF(I5997=1,D5997*F5997,0)</f>
        <v>20.8</v>
      </c>
      <c r="K5997" s="7" t="n">
        <f aca="false">YEAR(E5997)*100+MONTH(E5997)</f>
        <v>201111</v>
      </c>
      <c r="L5997" s="7" t="n">
        <f aca="false">IF(AND(A5997&lt;&gt;A5996,LEFT(A5997,1)&lt;&gt;"C"),1,0)</f>
        <v>0</v>
      </c>
    </row>
    <row r="5998" customFormat="false" ht="15" hidden="false" customHeight="false" outlineLevel="0" collapsed="false">
      <c r="A5998" s="0" t="s">
        <v>3167</v>
      </c>
      <c r="B5998" s="0" t="s">
        <v>519</v>
      </c>
      <c r="C5998" s="0" t="s">
        <v>520</v>
      </c>
      <c r="D5998" s="0" t="n">
        <v>10</v>
      </c>
      <c r="E5998" s="6" t="n">
        <v>40869.5708333333</v>
      </c>
      <c r="F5998" s="0" t="n">
        <v>2.08</v>
      </c>
      <c r="G5998" s="0" t="n">
        <v>12656</v>
      </c>
      <c r="H5998" s="0" t="s">
        <v>43</v>
      </c>
      <c r="I5998" s="7" t="n">
        <f aca="false">IF(AND(LEFT(A5998,1)&lt;&gt;"C",D5998&gt;0,F5998&gt;0),1,0)</f>
        <v>1</v>
      </c>
      <c r="J5998" s="7" t="n">
        <f aca="false">IF(I5998=1,D5998*F5998,0)</f>
        <v>20.8</v>
      </c>
      <c r="K5998" s="7" t="n">
        <f aca="false">YEAR(E5998)*100+MONTH(E5998)</f>
        <v>201111</v>
      </c>
      <c r="L5998" s="7" t="n">
        <f aca="false">IF(AND(A5998&lt;&gt;A5997,LEFT(A5998,1)&lt;&gt;"C"),1,0)</f>
        <v>0</v>
      </c>
    </row>
    <row r="5999" customFormat="false" ht="15" hidden="false" customHeight="false" outlineLevel="0" collapsed="false">
      <c r="A5999" s="0" t="s">
        <v>3167</v>
      </c>
      <c r="B5999" s="0" t="s">
        <v>671</v>
      </c>
      <c r="C5999" s="0" t="s">
        <v>672</v>
      </c>
      <c r="D5999" s="0" t="n">
        <v>12</v>
      </c>
      <c r="E5999" s="6" t="n">
        <v>40869.5708333333</v>
      </c>
      <c r="F5999" s="0" t="n">
        <v>0.85</v>
      </c>
      <c r="G5999" s="0" t="n">
        <v>12656</v>
      </c>
      <c r="H5999" s="0" t="s">
        <v>43</v>
      </c>
      <c r="I5999" s="7" t="n">
        <f aca="false">IF(AND(LEFT(A5999,1)&lt;&gt;"C",D5999&gt;0,F5999&gt;0),1,0)</f>
        <v>1</v>
      </c>
      <c r="J5999" s="7" t="n">
        <f aca="false">IF(I5999=1,D5999*F5999,0)</f>
        <v>10.2</v>
      </c>
      <c r="K5999" s="7" t="n">
        <f aca="false">YEAR(E5999)*100+MONTH(E5999)</f>
        <v>201111</v>
      </c>
      <c r="L5999" s="7" t="n">
        <f aca="false">IF(AND(A5999&lt;&gt;A5998,LEFT(A5999,1)&lt;&gt;"C"),1,0)</f>
        <v>0</v>
      </c>
    </row>
    <row r="6000" customFormat="false" ht="15" hidden="false" customHeight="false" outlineLevel="0" collapsed="false">
      <c r="A6000" s="0" t="s">
        <v>3167</v>
      </c>
      <c r="B6000" s="0" t="s">
        <v>3170</v>
      </c>
      <c r="C6000" s="0" t="s">
        <v>3171</v>
      </c>
      <c r="D6000" s="0" t="n">
        <v>12</v>
      </c>
      <c r="E6000" s="6" t="n">
        <v>40869.5708333333</v>
      </c>
      <c r="F6000" s="0" t="n">
        <v>0.65</v>
      </c>
      <c r="G6000" s="0" t="n">
        <v>12656</v>
      </c>
      <c r="H6000" s="0" t="s">
        <v>43</v>
      </c>
      <c r="I6000" s="7" t="n">
        <f aca="false">IF(AND(LEFT(A6000,1)&lt;&gt;"C",D6000&gt;0,F6000&gt;0),1,0)</f>
        <v>1</v>
      </c>
      <c r="J6000" s="7" t="n">
        <f aca="false">IF(I6000=1,D6000*F6000,0)</f>
        <v>7.8</v>
      </c>
      <c r="K6000" s="7" t="n">
        <f aca="false">YEAR(E6000)*100+MONTH(E6000)</f>
        <v>201111</v>
      </c>
      <c r="L6000" s="7" t="n">
        <f aca="false">IF(AND(A6000&lt;&gt;A5999,LEFT(A6000,1)&lt;&gt;"C"),1,0)</f>
        <v>0</v>
      </c>
    </row>
    <row r="6001" customFormat="false" ht="15" hidden="false" customHeight="false" outlineLevel="0" collapsed="false">
      <c r="A6001" s="0" t="s">
        <v>3167</v>
      </c>
      <c r="B6001" s="0" t="s">
        <v>1827</v>
      </c>
      <c r="C6001" s="0" t="s">
        <v>1828</v>
      </c>
      <c r="D6001" s="0" t="n">
        <v>4</v>
      </c>
      <c r="E6001" s="6" t="n">
        <v>40869.5708333333</v>
      </c>
      <c r="F6001" s="0" t="n">
        <v>3.75</v>
      </c>
      <c r="G6001" s="0" t="n">
        <v>12656</v>
      </c>
      <c r="H6001" s="0" t="s">
        <v>43</v>
      </c>
      <c r="I6001" s="7" t="n">
        <f aca="false">IF(AND(LEFT(A6001,1)&lt;&gt;"C",D6001&gt;0,F6001&gt;0),1,0)</f>
        <v>1</v>
      </c>
      <c r="J6001" s="7" t="n">
        <f aca="false">IF(I6001=1,D6001*F6001,0)</f>
        <v>15</v>
      </c>
      <c r="K6001" s="7" t="n">
        <f aca="false">YEAR(E6001)*100+MONTH(E6001)</f>
        <v>201111</v>
      </c>
      <c r="L6001" s="7" t="n">
        <f aca="false">IF(AND(A6001&lt;&gt;A6000,LEFT(A6001,1)&lt;&gt;"C"),1,0)</f>
        <v>0</v>
      </c>
    </row>
    <row r="6002" customFormat="false" ht="15" hidden="false" customHeight="false" outlineLevel="0" collapsed="false">
      <c r="A6002" s="0" t="s">
        <v>3167</v>
      </c>
      <c r="B6002" s="0" t="s">
        <v>1825</v>
      </c>
      <c r="C6002" s="0" t="s">
        <v>1826</v>
      </c>
      <c r="D6002" s="0" t="n">
        <v>6</v>
      </c>
      <c r="E6002" s="6" t="n">
        <v>40869.5708333333</v>
      </c>
      <c r="F6002" s="0" t="n">
        <v>2.1</v>
      </c>
      <c r="G6002" s="0" t="n">
        <v>12656</v>
      </c>
      <c r="H6002" s="0" t="s">
        <v>43</v>
      </c>
      <c r="I6002" s="7" t="n">
        <f aca="false">IF(AND(LEFT(A6002,1)&lt;&gt;"C",D6002&gt;0,F6002&gt;0),1,0)</f>
        <v>1</v>
      </c>
      <c r="J6002" s="7" t="n">
        <f aca="false">IF(I6002=1,D6002*F6002,0)</f>
        <v>12.6</v>
      </c>
      <c r="K6002" s="7" t="n">
        <f aca="false">YEAR(E6002)*100+MONTH(E6002)</f>
        <v>201111</v>
      </c>
      <c r="L6002" s="7" t="n">
        <f aca="false">IF(AND(A6002&lt;&gt;A6001,LEFT(A6002,1)&lt;&gt;"C"),1,0)</f>
        <v>0</v>
      </c>
    </row>
    <row r="6003" customFormat="false" ht="15" hidden="false" customHeight="false" outlineLevel="0" collapsed="false">
      <c r="A6003" s="0" t="s">
        <v>3167</v>
      </c>
      <c r="B6003" s="0" t="s">
        <v>463</v>
      </c>
      <c r="C6003" s="0" t="s">
        <v>464</v>
      </c>
      <c r="D6003" s="0" t="n">
        <v>2</v>
      </c>
      <c r="E6003" s="6" t="n">
        <v>40869.5708333333</v>
      </c>
      <c r="F6003" s="0" t="n">
        <v>7.95</v>
      </c>
      <c r="G6003" s="0" t="n">
        <v>12656</v>
      </c>
      <c r="H6003" s="0" t="s">
        <v>43</v>
      </c>
      <c r="I6003" s="7" t="n">
        <f aca="false">IF(AND(LEFT(A6003,1)&lt;&gt;"C",D6003&gt;0,F6003&gt;0),1,0)</f>
        <v>1</v>
      </c>
      <c r="J6003" s="7" t="n">
        <f aca="false">IF(I6003=1,D6003*F6003,0)</f>
        <v>15.9</v>
      </c>
      <c r="K6003" s="7" t="n">
        <f aca="false">YEAR(E6003)*100+MONTH(E6003)</f>
        <v>201111</v>
      </c>
      <c r="L6003" s="7" t="n">
        <f aca="false">IF(AND(A6003&lt;&gt;A6002,LEFT(A6003,1)&lt;&gt;"C"),1,0)</f>
        <v>0</v>
      </c>
    </row>
    <row r="6004" customFormat="false" ht="15" hidden="false" customHeight="false" outlineLevel="0" collapsed="false">
      <c r="A6004" s="0" t="s">
        <v>3167</v>
      </c>
      <c r="B6004" s="0" t="s">
        <v>84</v>
      </c>
      <c r="C6004" s="0" t="s">
        <v>85</v>
      </c>
      <c r="D6004" s="0" t="n">
        <v>4</v>
      </c>
      <c r="E6004" s="6" t="n">
        <v>40869.5708333333</v>
      </c>
      <c r="F6004" s="0" t="n">
        <v>18</v>
      </c>
      <c r="G6004" s="0" t="n">
        <v>12656</v>
      </c>
      <c r="H6004" s="0" t="s">
        <v>43</v>
      </c>
      <c r="I6004" s="7" t="n">
        <f aca="false">IF(AND(LEFT(A6004,1)&lt;&gt;"C",D6004&gt;0,F6004&gt;0),1,0)</f>
        <v>1</v>
      </c>
      <c r="J6004" s="7" t="n">
        <f aca="false">IF(I6004=1,D6004*F6004,0)</f>
        <v>72</v>
      </c>
      <c r="K6004" s="7" t="n">
        <f aca="false">YEAR(E6004)*100+MONTH(E6004)</f>
        <v>201111</v>
      </c>
      <c r="L6004" s="7" t="n">
        <f aca="false">IF(AND(A6004&lt;&gt;A6003,LEFT(A6004,1)&lt;&gt;"C"),1,0)</f>
        <v>0</v>
      </c>
    </row>
    <row r="6005" customFormat="false" ht="15" hidden="false" customHeight="false" outlineLevel="0" collapsed="false">
      <c r="A6005" s="0" t="s">
        <v>3172</v>
      </c>
      <c r="B6005" s="0" t="s">
        <v>2573</v>
      </c>
      <c r="C6005" s="0" t="s">
        <v>2574</v>
      </c>
      <c r="D6005" s="0" t="n">
        <v>4</v>
      </c>
      <c r="E6005" s="6" t="n">
        <v>40869.6104166667</v>
      </c>
      <c r="F6005" s="0" t="n">
        <v>3.75</v>
      </c>
      <c r="G6005" s="0" t="n">
        <v>12474</v>
      </c>
      <c r="H6005" s="0" t="s">
        <v>33</v>
      </c>
      <c r="I6005" s="7" t="n">
        <f aca="false">IF(AND(LEFT(A6005,1)&lt;&gt;"C",D6005&gt;0,F6005&gt;0),1,0)</f>
        <v>1</v>
      </c>
      <c r="J6005" s="7" t="n">
        <f aca="false">IF(I6005=1,D6005*F6005,0)</f>
        <v>15</v>
      </c>
      <c r="K6005" s="7" t="n">
        <f aca="false">YEAR(E6005)*100+MONTH(E6005)</f>
        <v>201111</v>
      </c>
      <c r="L6005" s="7" t="n">
        <f aca="false">IF(AND(A6005&lt;&gt;A6004,LEFT(A6005,1)&lt;&gt;"C"),1,0)</f>
        <v>1</v>
      </c>
    </row>
    <row r="6006" customFormat="false" ht="15" hidden="false" customHeight="false" outlineLevel="0" collapsed="false">
      <c r="A6006" s="0" t="s">
        <v>3172</v>
      </c>
      <c r="B6006" s="0" t="s">
        <v>2655</v>
      </c>
      <c r="C6006" s="0" t="s">
        <v>2656</v>
      </c>
      <c r="D6006" s="0" t="n">
        <v>4</v>
      </c>
      <c r="E6006" s="6" t="n">
        <v>40869.6104166667</v>
      </c>
      <c r="F6006" s="0" t="n">
        <v>4.95</v>
      </c>
      <c r="G6006" s="0" t="n">
        <v>12474</v>
      </c>
      <c r="H6006" s="0" t="s">
        <v>33</v>
      </c>
      <c r="I6006" s="7" t="n">
        <f aca="false">IF(AND(LEFT(A6006,1)&lt;&gt;"C",D6006&gt;0,F6006&gt;0),1,0)</f>
        <v>1</v>
      </c>
      <c r="J6006" s="7" t="n">
        <f aca="false">IF(I6006=1,D6006*F6006,0)</f>
        <v>19.8</v>
      </c>
      <c r="K6006" s="7" t="n">
        <f aca="false">YEAR(E6006)*100+MONTH(E6006)</f>
        <v>201111</v>
      </c>
      <c r="L6006" s="7" t="n">
        <f aca="false">IF(AND(A6006&lt;&gt;A6005,LEFT(A6006,1)&lt;&gt;"C"),1,0)</f>
        <v>0</v>
      </c>
    </row>
    <row r="6007" customFormat="false" ht="15" hidden="false" customHeight="false" outlineLevel="0" collapsed="false">
      <c r="A6007" s="0" t="s">
        <v>3172</v>
      </c>
      <c r="B6007" s="0" t="s">
        <v>2593</v>
      </c>
      <c r="C6007" s="0" t="s">
        <v>2594</v>
      </c>
      <c r="D6007" s="0" t="n">
        <v>12</v>
      </c>
      <c r="E6007" s="6" t="n">
        <v>40869.6104166667</v>
      </c>
      <c r="F6007" s="0" t="n">
        <v>1.25</v>
      </c>
      <c r="G6007" s="0" t="n">
        <v>12474</v>
      </c>
      <c r="H6007" s="0" t="s">
        <v>33</v>
      </c>
      <c r="I6007" s="7" t="n">
        <f aca="false">IF(AND(LEFT(A6007,1)&lt;&gt;"C",D6007&gt;0,F6007&gt;0),1,0)</f>
        <v>1</v>
      </c>
      <c r="J6007" s="7" t="n">
        <f aca="false">IF(I6007=1,D6007*F6007,0)</f>
        <v>15</v>
      </c>
      <c r="K6007" s="7" t="n">
        <f aca="false">YEAR(E6007)*100+MONTH(E6007)</f>
        <v>201111</v>
      </c>
      <c r="L6007" s="7" t="n">
        <f aca="false">IF(AND(A6007&lt;&gt;A6006,LEFT(A6007,1)&lt;&gt;"C"),1,0)</f>
        <v>0</v>
      </c>
    </row>
    <row r="6008" customFormat="false" ht="15" hidden="false" customHeight="false" outlineLevel="0" collapsed="false">
      <c r="A6008" s="0" t="s">
        <v>3172</v>
      </c>
      <c r="B6008" s="0" t="s">
        <v>2544</v>
      </c>
      <c r="C6008" s="0" t="s">
        <v>2545</v>
      </c>
      <c r="D6008" s="0" t="n">
        <v>12</v>
      </c>
      <c r="E6008" s="6" t="n">
        <v>40869.6104166667</v>
      </c>
      <c r="F6008" s="0" t="n">
        <v>1.65</v>
      </c>
      <c r="G6008" s="0" t="n">
        <v>12474</v>
      </c>
      <c r="H6008" s="0" t="s">
        <v>33</v>
      </c>
      <c r="I6008" s="7" t="n">
        <f aca="false">IF(AND(LEFT(A6008,1)&lt;&gt;"C",D6008&gt;0,F6008&gt;0),1,0)</f>
        <v>1</v>
      </c>
      <c r="J6008" s="7" t="n">
        <f aca="false">IF(I6008=1,D6008*F6008,0)</f>
        <v>19.8</v>
      </c>
      <c r="K6008" s="7" t="n">
        <f aca="false">YEAR(E6008)*100+MONTH(E6008)</f>
        <v>201111</v>
      </c>
      <c r="L6008" s="7" t="n">
        <f aca="false">IF(AND(A6008&lt;&gt;A6007,LEFT(A6008,1)&lt;&gt;"C"),1,0)</f>
        <v>0</v>
      </c>
    </row>
    <row r="6009" customFormat="false" ht="15" hidden="false" customHeight="false" outlineLevel="0" collapsed="false">
      <c r="A6009" s="0" t="s">
        <v>3172</v>
      </c>
      <c r="B6009" s="0" t="s">
        <v>783</v>
      </c>
      <c r="C6009" s="0" t="s">
        <v>784</v>
      </c>
      <c r="D6009" s="0" t="n">
        <v>6</v>
      </c>
      <c r="E6009" s="6" t="n">
        <v>40869.6104166667</v>
      </c>
      <c r="F6009" s="0" t="n">
        <v>2.1</v>
      </c>
      <c r="G6009" s="0" t="n">
        <v>12474</v>
      </c>
      <c r="H6009" s="0" t="s">
        <v>33</v>
      </c>
      <c r="I6009" s="7" t="n">
        <f aca="false">IF(AND(LEFT(A6009,1)&lt;&gt;"C",D6009&gt;0,F6009&gt;0),1,0)</f>
        <v>1</v>
      </c>
      <c r="J6009" s="7" t="n">
        <f aca="false">IF(I6009=1,D6009*F6009,0)</f>
        <v>12.6</v>
      </c>
      <c r="K6009" s="7" t="n">
        <f aca="false">YEAR(E6009)*100+MONTH(E6009)</f>
        <v>201111</v>
      </c>
      <c r="L6009" s="7" t="n">
        <f aca="false">IF(AND(A6009&lt;&gt;A6008,LEFT(A6009,1)&lt;&gt;"C"),1,0)</f>
        <v>0</v>
      </c>
    </row>
    <row r="6010" customFormat="false" ht="15" hidden="false" customHeight="false" outlineLevel="0" collapsed="false">
      <c r="A6010" s="0" t="s">
        <v>3172</v>
      </c>
      <c r="B6010" s="0" t="s">
        <v>1175</v>
      </c>
      <c r="C6010" s="0" t="s">
        <v>1176</v>
      </c>
      <c r="D6010" s="0" t="n">
        <v>6</v>
      </c>
      <c r="E6010" s="6" t="n">
        <v>40869.6104166667</v>
      </c>
      <c r="F6010" s="0" t="n">
        <v>2.08</v>
      </c>
      <c r="G6010" s="0" t="n">
        <v>12474</v>
      </c>
      <c r="H6010" s="0" t="s">
        <v>33</v>
      </c>
      <c r="I6010" s="7" t="n">
        <f aca="false">IF(AND(LEFT(A6010,1)&lt;&gt;"C",D6010&gt;0,F6010&gt;0),1,0)</f>
        <v>1</v>
      </c>
      <c r="J6010" s="7" t="n">
        <f aca="false">IF(I6010=1,D6010*F6010,0)</f>
        <v>12.48</v>
      </c>
      <c r="K6010" s="7" t="n">
        <f aca="false">YEAR(E6010)*100+MONTH(E6010)</f>
        <v>201111</v>
      </c>
      <c r="L6010" s="7" t="n">
        <f aca="false">IF(AND(A6010&lt;&gt;A6009,LEFT(A6010,1)&lt;&gt;"C"),1,0)</f>
        <v>0</v>
      </c>
    </row>
    <row r="6011" customFormat="false" ht="15" hidden="false" customHeight="false" outlineLevel="0" collapsed="false">
      <c r="A6011" s="0" t="s">
        <v>3172</v>
      </c>
      <c r="B6011" s="0" t="s">
        <v>1065</v>
      </c>
      <c r="C6011" s="0" t="s">
        <v>1066</v>
      </c>
      <c r="D6011" s="0" t="n">
        <v>6</v>
      </c>
      <c r="E6011" s="6" t="n">
        <v>40869.6104166667</v>
      </c>
      <c r="F6011" s="0" t="n">
        <v>2.08</v>
      </c>
      <c r="G6011" s="0" t="n">
        <v>12474</v>
      </c>
      <c r="H6011" s="0" t="s">
        <v>33</v>
      </c>
      <c r="I6011" s="7" t="n">
        <f aca="false">IF(AND(LEFT(A6011,1)&lt;&gt;"C",D6011&gt;0,F6011&gt;0),1,0)</f>
        <v>1</v>
      </c>
      <c r="J6011" s="7" t="n">
        <f aca="false">IF(I6011=1,D6011*F6011,0)</f>
        <v>12.48</v>
      </c>
      <c r="K6011" s="7" t="n">
        <f aca="false">YEAR(E6011)*100+MONTH(E6011)</f>
        <v>201111</v>
      </c>
      <c r="L6011" s="7" t="n">
        <f aca="false">IF(AND(A6011&lt;&gt;A6010,LEFT(A6011,1)&lt;&gt;"C"),1,0)</f>
        <v>0</v>
      </c>
    </row>
    <row r="6012" customFormat="false" ht="15" hidden="false" customHeight="false" outlineLevel="0" collapsed="false">
      <c r="A6012" s="0" t="s">
        <v>3172</v>
      </c>
      <c r="B6012" s="0" t="s">
        <v>2467</v>
      </c>
      <c r="C6012" s="0" t="s">
        <v>2468</v>
      </c>
      <c r="D6012" s="0" t="n">
        <v>12</v>
      </c>
      <c r="E6012" s="6" t="n">
        <v>40869.6104166667</v>
      </c>
      <c r="F6012" s="0" t="n">
        <v>1.25</v>
      </c>
      <c r="G6012" s="0" t="n">
        <v>12474</v>
      </c>
      <c r="H6012" s="0" t="s">
        <v>33</v>
      </c>
      <c r="I6012" s="7" t="n">
        <f aca="false">IF(AND(LEFT(A6012,1)&lt;&gt;"C",D6012&gt;0,F6012&gt;0),1,0)</f>
        <v>1</v>
      </c>
      <c r="J6012" s="7" t="n">
        <f aca="false">IF(I6012=1,D6012*F6012,0)</f>
        <v>15</v>
      </c>
      <c r="K6012" s="7" t="n">
        <f aca="false">YEAR(E6012)*100+MONTH(E6012)</f>
        <v>201111</v>
      </c>
      <c r="L6012" s="7" t="n">
        <f aca="false">IF(AND(A6012&lt;&gt;A6011,LEFT(A6012,1)&lt;&gt;"C"),1,0)</f>
        <v>0</v>
      </c>
    </row>
    <row r="6013" customFormat="false" ht="15" hidden="false" customHeight="false" outlineLevel="0" collapsed="false">
      <c r="A6013" s="0" t="s">
        <v>3172</v>
      </c>
      <c r="B6013" s="0" t="s">
        <v>2164</v>
      </c>
      <c r="C6013" s="0" t="s">
        <v>2165</v>
      </c>
      <c r="D6013" s="0" t="n">
        <v>12</v>
      </c>
      <c r="E6013" s="6" t="n">
        <v>40869.6104166667</v>
      </c>
      <c r="F6013" s="0" t="n">
        <v>1.25</v>
      </c>
      <c r="G6013" s="0" t="n">
        <v>12474</v>
      </c>
      <c r="H6013" s="0" t="s">
        <v>33</v>
      </c>
      <c r="I6013" s="7" t="n">
        <f aca="false">IF(AND(LEFT(A6013,1)&lt;&gt;"C",D6013&gt;0,F6013&gt;0),1,0)</f>
        <v>1</v>
      </c>
      <c r="J6013" s="7" t="n">
        <f aca="false">IF(I6013=1,D6013*F6013,0)</f>
        <v>15</v>
      </c>
      <c r="K6013" s="7" t="n">
        <f aca="false">YEAR(E6013)*100+MONTH(E6013)</f>
        <v>201111</v>
      </c>
      <c r="L6013" s="7" t="n">
        <f aca="false">IF(AND(A6013&lt;&gt;A6012,LEFT(A6013,1)&lt;&gt;"C"),1,0)</f>
        <v>0</v>
      </c>
    </row>
    <row r="6014" customFormat="false" ht="15" hidden="false" customHeight="false" outlineLevel="0" collapsed="false">
      <c r="A6014" s="0" t="s">
        <v>3172</v>
      </c>
      <c r="B6014" s="0" t="s">
        <v>133</v>
      </c>
      <c r="C6014" s="0" t="s">
        <v>134</v>
      </c>
      <c r="D6014" s="0" t="n">
        <v>6</v>
      </c>
      <c r="E6014" s="6" t="n">
        <v>40869.6104166667</v>
      </c>
      <c r="F6014" s="0" t="n">
        <v>3.25</v>
      </c>
      <c r="G6014" s="0" t="n">
        <v>12474</v>
      </c>
      <c r="H6014" s="0" t="s">
        <v>33</v>
      </c>
      <c r="I6014" s="7" t="n">
        <f aca="false">IF(AND(LEFT(A6014,1)&lt;&gt;"C",D6014&gt;0,F6014&gt;0),1,0)</f>
        <v>1</v>
      </c>
      <c r="J6014" s="7" t="n">
        <f aca="false">IF(I6014=1,D6014*F6014,0)</f>
        <v>19.5</v>
      </c>
      <c r="K6014" s="7" t="n">
        <f aca="false">YEAR(E6014)*100+MONTH(E6014)</f>
        <v>201111</v>
      </c>
      <c r="L6014" s="7" t="n">
        <f aca="false">IF(AND(A6014&lt;&gt;A6013,LEFT(A6014,1)&lt;&gt;"C"),1,0)</f>
        <v>0</v>
      </c>
    </row>
    <row r="6015" customFormat="false" ht="15" hidden="false" customHeight="false" outlineLevel="0" collapsed="false">
      <c r="A6015" s="0" t="s">
        <v>3172</v>
      </c>
      <c r="B6015" s="0" t="s">
        <v>667</v>
      </c>
      <c r="C6015" s="0" t="s">
        <v>668</v>
      </c>
      <c r="D6015" s="0" t="n">
        <v>20</v>
      </c>
      <c r="E6015" s="6" t="n">
        <v>40869.6104166667</v>
      </c>
      <c r="F6015" s="0" t="n">
        <v>0.85</v>
      </c>
      <c r="G6015" s="0" t="n">
        <v>12474</v>
      </c>
      <c r="H6015" s="0" t="s">
        <v>33</v>
      </c>
      <c r="I6015" s="7" t="n">
        <f aca="false">IF(AND(LEFT(A6015,1)&lt;&gt;"C",D6015&gt;0,F6015&gt;0),1,0)</f>
        <v>1</v>
      </c>
      <c r="J6015" s="7" t="n">
        <f aca="false">IF(I6015=1,D6015*F6015,0)</f>
        <v>17</v>
      </c>
      <c r="K6015" s="7" t="n">
        <f aca="false">YEAR(E6015)*100+MONTH(E6015)</f>
        <v>201111</v>
      </c>
      <c r="L6015" s="7" t="n">
        <f aca="false">IF(AND(A6015&lt;&gt;A6014,LEFT(A6015,1)&lt;&gt;"C"),1,0)</f>
        <v>0</v>
      </c>
    </row>
    <row r="6016" customFormat="false" ht="15" hidden="false" customHeight="false" outlineLevel="0" collapsed="false">
      <c r="A6016" s="0" t="s">
        <v>3172</v>
      </c>
      <c r="B6016" s="0" t="s">
        <v>1436</v>
      </c>
      <c r="C6016" s="0" t="s">
        <v>1437</v>
      </c>
      <c r="D6016" s="0" t="n">
        <v>3</v>
      </c>
      <c r="E6016" s="6" t="n">
        <v>40869.6104166667</v>
      </c>
      <c r="F6016" s="0" t="n">
        <v>4.95</v>
      </c>
      <c r="G6016" s="0" t="n">
        <v>12474</v>
      </c>
      <c r="H6016" s="0" t="s">
        <v>33</v>
      </c>
      <c r="I6016" s="7" t="n">
        <f aca="false">IF(AND(LEFT(A6016,1)&lt;&gt;"C",D6016&gt;0,F6016&gt;0),1,0)</f>
        <v>1</v>
      </c>
      <c r="J6016" s="7" t="n">
        <f aca="false">IF(I6016=1,D6016*F6016,0)</f>
        <v>14.85</v>
      </c>
      <c r="K6016" s="7" t="n">
        <f aca="false">YEAR(E6016)*100+MONTH(E6016)</f>
        <v>201111</v>
      </c>
      <c r="L6016" s="7" t="n">
        <f aca="false">IF(AND(A6016&lt;&gt;A6015,LEFT(A6016,1)&lt;&gt;"C"),1,0)</f>
        <v>0</v>
      </c>
    </row>
    <row r="6017" customFormat="false" ht="15" hidden="false" customHeight="false" outlineLevel="0" collapsed="false">
      <c r="A6017" s="0" t="s">
        <v>3172</v>
      </c>
      <c r="B6017" s="0" t="s">
        <v>58</v>
      </c>
      <c r="C6017" s="0" t="s">
        <v>59</v>
      </c>
      <c r="D6017" s="0" t="n">
        <v>6</v>
      </c>
      <c r="E6017" s="6" t="n">
        <v>40869.6104166667</v>
      </c>
      <c r="F6017" s="0" t="n">
        <v>2.55</v>
      </c>
      <c r="G6017" s="0" t="n">
        <v>12474</v>
      </c>
      <c r="H6017" s="0" t="s">
        <v>33</v>
      </c>
      <c r="I6017" s="7" t="n">
        <f aca="false">IF(AND(LEFT(A6017,1)&lt;&gt;"C",D6017&gt;0,F6017&gt;0),1,0)</f>
        <v>1</v>
      </c>
      <c r="J6017" s="7" t="n">
        <f aca="false">IF(I6017=1,D6017*F6017,0)</f>
        <v>15.3</v>
      </c>
      <c r="K6017" s="7" t="n">
        <f aca="false">YEAR(E6017)*100+MONTH(E6017)</f>
        <v>201111</v>
      </c>
      <c r="L6017" s="7" t="n">
        <f aca="false">IF(AND(A6017&lt;&gt;A6016,LEFT(A6017,1)&lt;&gt;"C"),1,0)</f>
        <v>0</v>
      </c>
    </row>
    <row r="6018" customFormat="false" ht="15" hidden="false" customHeight="false" outlineLevel="0" collapsed="false">
      <c r="A6018" s="0" t="s">
        <v>3172</v>
      </c>
      <c r="B6018" s="0" t="s">
        <v>1042</v>
      </c>
      <c r="C6018" s="0" t="s">
        <v>1043</v>
      </c>
      <c r="D6018" s="0" t="n">
        <v>4</v>
      </c>
      <c r="E6018" s="6" t="n">
        <v>40869.6104166667</v>
      </c>
      <c r="F6018" s="0" t="n">
        <v>4.15</v>
      </c>
      <c r="G6018" s="0" t="n">
        <v>12474</v>
      </c>
      <c r="H6018" s="0" t="s">
        <v>33</v>
      </c>
      <c r="I6018" s="7" t="n">
        <f aca="false">IF(AND(LEFT(A6018,1)&lt;&gt;"C",D6018&gt;0,F6018&gt;0),1,0)</f>
        <v>1</v>
      </c>
      <c r="J6018" s="7" t="n">
        <f aca="false">IF(I6018=1,D6018*F6018,0)</f>
        <v>16.6</v>
      </c>
      <c r="K6018" s="7" t="n">
        <f aca="false">YEAR(E6018)*100+MONTH(E6018)</f>
        <v>201111</v>
      </c>
      <c r="L6018" s="7" t="n">
        <f aca="false">IF(AND(A6018&lt;&gt;A6017,LEFT(A6018,1)&lt;&gt;"C"),1,0)</f>
        <v>0</v>
      </c>
    </row>
    <row r="6019" customFormat="false" ht="15" hidden="false" customHeight="false" outlineLevel="0" collapsed="false">
      <c r="A6019" s="0" t="s">
        <v>3172</v>
      </c>
      <c r="B6019" s="0" t="s">
        <v>241</v>
      </c>
      <c r="C6019" s="0" t="s">
        <v>242</v>
      </c>
      <c r="D6019" s="0" t="n">
        <v>12</v>
      </c>
      <c r="E6019" s="6" t="n">
        <v>40869.6104166667</v>
      </c>
      <c r="F6019" s="0" t="n">
        <v>1.45</v>
      </c>
      <c r="G6019" s="0" t="n">
        <v>12474</v>
      </c>
      <c r="H6019" s="0" t="s">
        <v>33</v>
      </c>
      <c r="I6019" s="7" t="n">
        <f aca="false">IF(AND(LEFT(A6019,1)&lt;&gt;"C",D6019&gt;0,F6019&gt;0),1,0)</f>
        <v>1</v>
      </c>
      <c r="J6019" s="7" t="n">
        <f aca="false">IF(I6019=1,D6019*F6019,0)</f>
        <v>17.4</v>
      </c>
      <c r="K6019" s="7" t="n">
        <f aca="false">YEAR(E6019)*100+MONTH(E6019)</f>
        <v>201111</v>
      </c>
      <c r="L6019" s="7" t="n">
        <f aca="false">IF(AND(A6019&lt;&gt;A6018,LEFT(A6019,1)&lt;&gt;"C"),1,0)</f>
        <v>0</v>
      </c>
    </row>
    <row r="6020" customFormat="false" ht="15" hidden="false" customHeight="false" outlineLevel="0" collapsed="false">
      <c r="A6020" s="0" t="s">
        <v>3172</v>
      </c>
      <c r="B6020" s="0" t="s">
        <v>794</v>
      </c>
      <c r="C6020" s="0" t="s">
        <v>795</v>
      </c>
      <c r="D6020" s="0" t="n">
        <v>40</v>
      </c>
      <c r="E6020" s="6" t="n">
        <v>40869.6104166667</v>
      </c>
      <c r="F6020" s="0" t="n">
        <v>0.85</v>
      </c>
      <c r="G6020" s="0" t="n">
        <v>12474</v>
      </c>
      <c r="H6020" s="0" t="s">
        <v>33</v>
      </c>
      <c r="I6020" s="7" t="n">
        <f aca="false">IF(AND(LEFT(A6020,1)&lt;&gt;"C",D6020&gt;0,F6020&gt;0),1,0)</f>
        <v>1</v>
      </c>
      <c r="J6020" s="7" t="n">
        <f aca="false">IF(I6020=1,D6020*F6020,0)</f>
        <v>34</v>
      </c>
      <c r="K6020" s="7" t="n">
        <f aca="false">YEAR(E6020)*100+MONTH(E6020)</f>
        <v>201111</v>
      </c>
      <c r="L6020" s="7" t="n">
        <f aca="false">IF(AND(A6020&lt;&gt;A6019,LEFT(A6020,1)&lt;&gt;"C"),1,0)</f>
        <v>0</v>
      </c>
    </row>
    <row r="6021" customFormat="false" ht="15" hidden="false" customHeight="false" outlineLevel="0" collapsed="false">
      <c r="A6021" s="0" t="s">
        <v>3172</v>
      </c>
      <c r="B6021" s="0" t="s">
        <v>1048</v>
      </c>
      <c r="C6021" s="0" t="s">
        <v>1049</v>
      </c>
      <c r="D6021" s="0" t="n">
        <v>4</v>
      </c>
      <c r="E6021" s="6" t="n">
        <v>40869.6104166667</v>
      </c>
      <c r="F6021" s="0" t="n">
        <v>4.15</v>
      </c>
      <c r="G6021" s="0" t="n">
        <v>12474</v>
      </c>
      <c r="H6021" s="0" t="s">
        <v>33</v>
      </c>
      <c r="I6021" s="7" t="n">
        <f aca="false">IF(AND(LEFT(A6021,1)&lt;&gt;"C",D6021&gt;0,F6021&gt;0),1,0)</f>
        <v>1</v>
      </c>
      <c r="J6021" s="7" t="n">
        <f aca="false">IF(I6021=1,D6021*F6021,0)</f>
        <v>16.6</v>
      </c>
      <c r="K6021" s="7" t="n">
        <f aca="false">YEAR(E6021)*100+MONTH(E6021)</f>
        <v>201111</v>
      </c>
      <c r="L6021" s="7" t="n">
        <f aca="false">IF(AND(A6021&lt;&gt;A6020,LEFT(A6021,1)&lt;&gt;"C"),1,0)</f>
        <v>0</v>
      </c>
    </row>
    <row r="6022" customFormat="false" ht="15" hidden="false" customHeight="false" outlineLevel="0" collapsed="false">
      <c r="A6022" s="0" t="s">
        <v>3172</v>
      </c>
      <c r="B6022" s="0" t="s">
        <v>123</v>
      </c>
      <c r="C6022" s="0" t="s">
        <v>124</v>
      </c>
      <c r="D6022" s="0" t="n">
        <v>6</v>
      </c>
      <c r="E6022" s="6" t="n">
        <v>40869.6104166667</v>
      </c>
      <c r="F6022" s="0" t="n">
        <v>2.95</v>
      </c>
      <c r="G6022" s="0" t="n">
        <v>12474</v>
      </c>
      <c r="H6022" s="0" t="s">
        <v>33</v>
      </c>
      <c r="I6022" s="7" t="n">
        <f aca="false">IF(AND(LEFT(A6022,1)&lt;&gt;"C",D6022&gt;0,F6022&gt;0),1,0)</f>
        <v>1</v>
      </c>
      <c r="J6022" s="7" t="n">
        <f aca="false">IF(I6022=1,D6022*F6022,0)</f>
        <v>17.7</v>
      </c>
      <c r="K6022" s="7" t="n">
        <f aca="false">YEAR(E6022)*100+MONTH(E6022)</f>
        <v>201111</v>
      </c>
      <c r="L6022" s="7" t="n">
        <f aca="false">IF(AND(A6022&lt;&gt;A6021,LEFT(A6022,1)&lt;&gt;"C"),1,0)</f>
        <v>0</v>
      </c>
    </row>
    <row r="6023" customFormat="false" ht="15" hidden="false" customHeight="false" outlineLevel="0" collapsed="false">
      <c r="A6023" s="0" t="s">
        <v>3172</v>
      </c>
      <c r="B6023" s="0" t="s">
        <v>3173</v>
      </c>
      <c r="C6023" s="0" t="s">
        <v>3174</v>
      </c>
      <c r="D6023" s="0" t="n">
        <v>10</v>
      </c>
      <c r="E6023" s="6" t="n">
        <v>40869.6104166667</v>
      </c>
      <c r="F6023" s="0" t="n">
        <v>2.08</v>
      </c>
      <c r="G6023" s="0" t="n">
        <v>12474</v>
      </c>
      <c r="H6023" s="0" t="s">
        <v>33</v>
      </c>
      <c r="I6023" s="7" t="n">
        <f aca="false">IF(AND(LEFT(A6023,1)&lt;&gt;"C",D6023&gt;0,F6023&gt;0),1,0)</f>
        <v>1</v>
      </c>
      <c r="J6023" s="7" t="n">
        <f aca="false">IF(I6023=1,D6023*F6023,0)</f>
        <v>20.8</v>
      </c>
      <c r="K6023" s="7" t="n">
        <f aca="false">YEAR(E6023)*100+MONTH(E6023)</f>
        <v>201111</v>
      </c>
      <c r="L6023" s="7" t="n">
        <f aca="false">IF(AND(A6023&lt;&gt;A6022,LEFT(A6023,1)&lt;&gt;"C"),1,0)</f>
        <v>0</v>
      </c>
    </row>
    <row r="6024" customFormat="false" ht="15" hidden="false" customHeight="false" outlineLevel="0" collapsed="false">
      <c r="A6024" s="0" t="s">
        <v>3172</v>
      </c>
      <c r="B6024" s="0" t="s">
        <v>1090</v>
      </c>
      <c r="C6024" s="0" t="s">
        <v>1091</v>
      </c>
      <c r="D6024" s="0" t="n">
        <v>10</v>
      </c>
      <c r="E6024" s="6" t="n">
        <v>40869.6104166667</v>
      </c>
      <c r="F6024" s="0" t="n">
        <v>0.85</v>
      </c>
      <c r="G6024" s="0" t="n">
        <v>12474</v>
      </c>
      <c r="H6024" s="0" t="s">
        <v>33</v>
      </c>
      <c r="I6024" s="7" t="n">
        <f aca="false">IF(AND(LEFT(A6024,1)&lt;&gt;"C",D6024&gt;0,F6024&gt;0),1,0)</f>
        <v>1</v>
      </c>
      <c r="J6024" s="7" t="n">
        <f aca="false">IF(I6024=1,D6024*F6024,0)</f>
        <v>8.5</v>
      </c>
      <c r="K6024" s="7" t="n">
        <f aca="false">YEAR(E6024)*100+MONTH(E6024)</f>
        <v>201111</v>
      </c>
      <c r="L6024" s="7" t="n">
        <f aca="false">IF(AND(A6024&lt;&gt;A6023,LEFT(A6024,1)&lt;&gt;"C"),1,0)</f>
        <v>0</v>
      </c>
    </row>
    <row r="6025" customFormat="false" ht="15" hidden="false" customHeight="false" outlineLevel="0" collapsed="false">
      <c r="A6025" s="0" t="s">
        <v>3172</v>
      </c>
      <c r="B6025" s="0" t="s">
        <v>62</v>
      </c>
      <c r="C6025" s="0" t="s">
        <v>63</v>
      </c>
      <c r="D6025" s="0" t="n">
        <v>12</v>
      </c>
      <c r="E6025" s="6" t="n">
        <v>40869.6104166667</v>
      </c>
      <c r="F6025" s="0" t="n">
        <v>2.08</v>
      </c>
      <c r="G6025" s="0" t="n">
        <v>12474</v>
      </c>
      <c r="H6025" s="0" t="s">
        <v>33</v>
      </c>
      <c r="I6025" s="7" t="n">
        <f aca="false">IF(AND(LEFT(A6025,1)&lt;&gt;"C",D6025&gt;0,F6025&gt;0),1,0)</f>
        <v>1</v>
      </c>
      <c r="J6025" s="7" t="n">
        <f aca="false">IF(I6025=1,D6025*F6025,0)</f>
        <v>24.96</v>
      </c>
      <c r="K6025" s="7" t="n">
        <f aca="false">YEAR(E6025)*100+MONTH(E6025)</f>
        <v>201111</v>
      </c>
      <c r="L6025" s="7" t="n">
        <f aca="false">IF(AND(A6025&lt;&gt;A6024,LEFT(A6025,1)&lt;&gt;"C"),1,0)</f>
        <v>0</v>
      </c>
    </row>
    <row r="6026" customFormat="false" ht="15" hidden="false" customHeight="false" outlineLevel="0" collapsed="false">
      <c r="A6026" s="0" t="s">
        <v>3172</v>
      </c>
      <c r="B6026" s="0" t="s">
        <v>64</v>
      </c>
      <c r="C6026" s="0" t="s">
        <v>65</v>
      </c>
      <c r="D6026" s="0" t="n">
        <v>12</v>
      </c>
      <c r="E6026" s="6" t="n">
        <v>40869.6104166667</v>
      </c>
      <c r="F6026" s="0" t="n">
        <v>1.65</v>
      </c>
      <c r="G6026" s="0" t="n">
        <v>12474</v>
      </c>
      <c r="H6026" s="0" t="s">
        <v>33</v>
      </c>
      <c r="I6026" s="7" t="n">
        <f aca="false">IF(AND(LEFT(A6026,1)&lt;&gt;"C",D6026&gt;0,F6026&gt;0),1,0)</f>
        <v>1</v>
      </c>
      <c r="J6026" s="7" t="n">
        <f aca="false">IF(I6026=1,D6026*F6026,0)</f>
        <v>19.8</v>
      </c>
      <c r="K6026" s="7" t="n">
        <f aca="false">YEAR(E6026)*100+MONTH(E6026)</f>
        <v>201111</v>
      </c>
      <c r="L6026" s="7" t="n">
        <f aca="false">IF(AND(A6026&lt;&gt;A6025,LEFT(A6026,1)&lt;&gt;"C"),1,0)</f>
        <v>0</v>
      </c>
    </row>
    <row r="6027" customFormat="false" ht="15" hidden="false" customHeight="false" outlineLevel="0" collapsed="false">
      <c r="A6027" s="0" t="s">
        <v>3172</v>
      </c>
      <c r="B6027" s="0" t="s">
        <v>84</v>
      </c>
      <c r="C6027" s="0" t="s">
        <v>85</v>
      </c>
      <c r="D6027" s="0" t="n">
        <v>2</v>
      </c>
      <c r="E6027" s="6" t="n">
        <v>40869.6104166667</v>
      </c>
      <c r="F6027" s="0" t="n">
        <v>18</v>
      </c>
      <c r="G6027" s="0" t="n">
        <v>12474</v>
      </c>
      <c r="H6027" s="0" t="s">
        <v>33</v>
      </c>
      <c r="I6027" s="7" t="n">
        <f aca="false">IF(AND(LEFT(A6027,1)&lt;&gt;"C",D6027&gt;0,F6027&gt;0),1,0)</f>
        <v>1</v>
      </c>
      <c r="J6027" s="7" t="n">
        <f aca="false">IF(I6027=1,D6027*F6027,0)</f>
        <v>36</v>
      </c>
      <c r="K6027" s="7" t="n">
        <f aca="false">YEAR(E6027)*100+MONTH(E6027)</f>
        <v>201111</v>
      </c>
      <c r="L6027" s="7" t="n">
        <f aca="false">IF(AND(A6027&lt;&gt;A6026,LEFT(A6027,1)&lt;&gt;"C"),1,0)</f>
        <v>0</v>
      </c>
    </row>
    <row r="6028" customFormat="false" ht="15" hidden="false" customHeight="false" outlineLevel="0" collapsed="false">
      <c r="A6028" s="0" t="s">
        <v>3175</v>
      </c>
      <c r="B6028" s="0" t="s">
        <v>1110</v>
      </c>
      <c r="C6028" s="0" t="s">
        <v>1111</v>
      </c>
      <c r="D6028" s="0" t="n">
        <v>-3</v>
      </c>
      <c r="E6028" s="6" t="n">
        <v>40869.6458333333</v>
      </c>
      <c r="F6028" s="0" t="n">
        <v>4.15</v>
      </c>
      <c r="G6028" s="0" t="n">
        <v>12471</v>
      </c>
      <c r="H6028" s="0" t="s">
        <v>33</v>
      </c>
      <c r="I6028" s="7" t="n">
        <f aca="false">IF(AND(LEFT(A6028,1)&lt;&gt;"C",D6028&gt;0,F6028&gt;0),1,0)</f>
        <v>0</v>
      </c>
      <c r="J6028" s="7" t="n">
        <f aca="false">IF(I6028=1,D6028*F6028,0)</f>
        <v>0</v>
      </c>
      <c r="K6028" s="7" t="n">
        <f aca="false">YEAR(E6028)*100+MONTH(E6028)</f>
        <v>201111</v>
      </c>
      <c r="L6028" s="7" t="n">
        <f aca="false">IF(AND(A6028&lt;&gt;A6027,LEFT(A6028,1)&lt;&gt;"C"),1,0)</f>
        <v>0</v>
      </c>
    </row>
    <row r="6029" customFormat="false" ht="15" hidden="false" customHeight="false" outlineLevel="0" collapsed="false">
      <c r="A6029" s="0" t="s">
        <v>3175</v>
      </c>
      <c r="B6029" s="0" t="s">
        <v>136</v>
      </c>
      <c r="C6029" s="0" t="s">
        <v>137</v>
      </c>
      <c r="D6029" s="0" t="n">
        <v>-4</v>
      </c>
      <c r="E6029" s="6" t="n">
        <v>40869.6458333333</v>
      </c>
      <c r="F6029" s="0" t="n">
        <v>4.95</v>
      </c>
      <c r="G6029" s="0" t="n">
        <v>12471</v>
      </c>
      <c r="H6029" s="0" t="s">
        <v>33</v>
      </c>
      <c r="I6029" s="7" t="n">
        <f aca="false">IF(AND(LEFT(A6029,1)&lt;&gt;"C",D6029&gt;0,F6029&gt;0),1,0)</f>
        <v>0</v>
      </c>
      <c r="J6029" s="7" t="n">
        <f aca="false">IF(I6029=1,D6029*F6029,0)</f>
        <v>0</v>
      </c>
      <c r="K6029" s="7" t="n">
        <f aca="false">YEAR(E6029)*100+MONTH(E6029)</f>
        <v>201111</v>
      </c>
      <c r="L6029" s="7" t="n">
        <f aca="false">IF(AND(A6029&lt;&gt;A6028,LEFT(A6029,1)&lt;&gt;"C"),1,0)</f>
        <v>0</v>
      </c>
    </row>
    <row r="6030" customFormat="false" ht="15" hidden="false" customHeight="false" outlineLevel="0" collapsed="false">
      <c r="A6030" s="0" t="s">
        <v>3175</v>
      </c>
      <c r="B6030" s="0" t="s">
        <v>142</v>
      </c>
      <c r="C6030" s="0" t="s">
        <v>143</v>
      </c>
      <c r="D6030" s="0" t="n">
        <v>-3</v>
      </c>
      <c r="E6030" s="6" t="n">
        <v>40869.6458333333</v>
      </c>
      <c r="F6030" s="0" t="n">
        <v>1.45</v>
      </c>
      <c r="G6030" s="0" t="n">
        <v>12471</v>
      </c>
      <c r="H6030" s="0" t="s">
        <v>33</v>
      </c>
      <c r="I6030" s="7" t="n">
        <f aca="false">IF(AND(LEFT(A6030,1)&lt;&gt;"C",D6030&gt;0,F6030&gt;0),1,0)</f>
        <v>0</v>
      </c>
      <c r="J6030" s="7" t="n">
        <f aca="false">IF(I6030=1,D6030*F6030,0)</f>
        <v>0</v>
      </c>
      <c r="K6030" s="7" t="n">
        <f aca="false">YEAR(E6030)*100+MONTH(E6030)</f>
        <v>201111</v>
      </c>
      <c r="L6030" s="7" t="n">
        <f aca="false">IF(AND(A6030&lt;&gt;A6029,LEFT(A6030,1)&lt;&gt;"C"),1,0)</f>
        <v>0</v>
      </c>
    </row>
    <row r="6031" customFormat="false" ht="15" hidden="false" customHeight="false" outlineLevel="0" collapsed="false">
      <c r="A6031" s="0" t="s">
        <v>3176</v>
      </c>
      <c r="B6031" s="0" t="s">
        <v>727</v>
      </c>
      <c r="C6031" s="0" t="s">
        <v>728</v>
      </c>
      <c r="D6031" s="0" t="n">
        <v>2</v>
      </c>
      <c r="E6031" s="6" t="n">
        <v>40870.5701388889</v>
      </c>
      <c r="F6031" s="0" t="n">
        <v>2.55</v>
      </c>
      <c r="G6031" s="0" t="n">
        <v>14335</v>
      </c>
      <c r="H6031" s="0" t="s">
        <v>33</v>
      </c>
      <c r="I6031" s="7" t="n">
        <f aca="false">IF(AND(LEFT(A6031,1)&lt;&gt;"C",D6031&gt;0,F6031&gt;0),1,0)</f>
        <v>1</v>
      </c>
      <c r="J6031" s="7" t="n">
        <f aca="false">IF(I6031=1,D6031*F6031,0)</f>
        <v>5.1</v>
      </c>
      <c r="K6031" s="7" t="n">
        <f aca="false">YEAR(E6031)*100+MONTH(E6031)</f>
        <v>201111</v>
      </c>
      <c r="L6031" s="7" t="n">
        <f aca="false">IF(AND(A6031&lt;&gt;A6030,LEFT(A6031,1)&lt;&gt;"C"),1,0)</f>
        <v>1</v>
      </c>
    </row>
    <row r="6032" customFormat="false" ht="15" hidden="false" customHeight="false" outlineLevel="0" collapsed="false">
      <c r="A6032" s="0" t="s">
        <v>3176</v>
      </c>
      <c r="B6032" s="0" t="s">
        <v>825</v>
      </c>
      <c r="C6032" s="0" t="s">
        <v>826</v>
      </c>
      <c r="D6032" s="0" t="n">
        <v>1</v>
      </c>
      <c r="E6032" s="6" t="n">
        <v>40870.5701388889</v>
      </c>
      <c r="F6032" s="0" t="n">
        <v>2.95</v>
      </c>
      <c r="G6032" s="0" t="n">
        <v>14335</v>
      </c>
      <c r="H6032" s="0" t="s">
        <v>33</v>
      </c>
      <c r="I6032" s="7" t="n">
        <f aca="false">IF(AND(LEFT(A6032,1)&lt;&gt;"C",D6032&gt;0,F6032&gt;0),1,0)</f>
        <v>1</v>
      </c>
      <c r="J6032" s="7" t="n">
        <f aca="false">IF(I6032=1,D6032*F6032,0)</f>
        <v>2.95</v>
      </c>
      <c r="K6032" s="7" t="n">
        <f aca="false">YEAR(E6032)*100+MONTH(E6032)</f>
        <v>201111</v>
      </c>
      <c r="L6032" s="7" t="n">
        <f aca="false">IF(AND(A6032&lt;&gt;A6031,LEFT(A6032,1)&lt;&gt;"C"),1,0)</f>
        <v>0</v>
      </c>
    </row>
    <row r="6033" customFormat="false" ht="15" hidden="false" customHeight="false" outlineLevel="0" collapsed="false">
      <c r="A6033" s="0" t="s">
        <v>3176</v>
      </c>
      <c r="B6033" s="0" t="s">
        <v>827</v>
      </c>
      <c r="C6033" s="0" t="s">
        <v>828</v>
      </c>
      <c r="D6033" s="0" t="n">
        <v>1</v>
      </c>
      <c r="E6033" s="6" t="n">
        <v>40870.5701388889</v>
      </c>
      <c r="F6033" s="0" t="n">
        <v>2.95</v>
      </c>
      <c r="G6033" s="0" t="n">
        <v>14335</v>
      </c>
      <c r="H6033" s="0" t="s">
        <v>33</v>
      </c>
      <c r="I6033" s="7" t="n">
        <f aca="false">IF(AND(LEFT(A6033,1)&lt;&gt;"C",D6033&gt;0,F6033&gt;0),1,0)</f>
        <v>1</v>
      </c>
      <c r="J6033" s="7" t="n">
        <f aca="false">IF(I6033=1,D6033*F6033,0)</f>
        <v>2.95</v>
      </c>
      <c r="K6033" s="7" t="n">
        <f aca="false">YEAR(E6033)*100+MONTH(E6033)</f>
        <v>201111</v>
      </c>
      <c r="L6033" s="7" t="n">
        <f aca="false">IF(AND(A6033&lt;&gt;A6032,LEFT(A6033,1)&lt;&gt;"C"),1,0)</f>
        <v>0</v>
      </c>
    </row>
    <row r="6034" customFormat="false" ht="15" hidden="false" customHeight="false" outlineLevel="0" collapsed="false">
      <c r="A6034" s="0" t="s">
        <v>3176</v>
      </c>
      <c r="B6034" s="0" t="s">
        <v>1575</v>
      </c>
      <c r="C6034" s="0" t="s">
        <v>1576</v>
      </c>
      <c r="D6034" s="0" t="n">
        <v>1</v>
      </c>
      <c r="E6034" s="6" t="n">
        <v>40870.5701388889</v>
      </c>
      <c r="F6034" s="0" t="n">
        <v>2.1</v>
      </c>
      <c r="G6034" s="0" t="n">
        <v>14335</v>
      </c>
      <c r="H6034" s="0" t="s">
        <v>33</v>
      </c>
      <c r="I6034" s="7" t="n">
        <f aca="false">IF(AND(LEFT(A6034,1)&lt;&gt;"C",D6034&gt;0,F6034&gt;0),1,0)</f>
        <v>1</v>
      </c>
      <c r="J6034" s="7" t="n">
        <f aca="false">IF(I6034=1,D6034*F6034,0)</f>
        <v>2.1</v>
      </c>
      <c r="K6034" s="7" t="n">
        <f aca="false">YEAR(E6034)*100+MONTH(E6034)</f>
        <v>201111</v>
      </c>
      <c r="L6034" s="7" t="n">
        <f aca="false">IF(AND(A6034&lt;&gt;A6033,LEFT(A6034,1)&lt;&gt;"C"),1,0)</f>
        <v>0</v>
      </c>
    </row>
    <row r="6035" customFormat="false" ht="15" hidden="false" customHeight="false" outlineLevel="0" collapsed="false">
      <c r="A6035" s="0" t="s">
        <v>3176</v>
      </c>
      <c r="B6035" s="0" t="s">
        <v>1130</v>
      </c>
      <c r="C6035" s="0" t="s">
        <v>1131</v>
      </c>
      <c r="D6035" s="0" t="n">
        <v>2</v>
      </c>
      <c r="E6035" s="6" t="n">
        <v>40870.5701388889</v>
      </c>
      <c r="F6035" s="0" t="n">
        <v>1.25</v>
      </c>
      <c r="G6035" s="0" t="n">
        <v>14335</v>
      </c>
      <c r="H6035" s="0" t="s">
        <v>33</v>
      </c>
      <c r="I6035" s="7" t="n">
        <f aca="false">IF(AND(LEFT(A6035,1)&lt;&gt;"C",D6035&gt;0,F6035&gt;0),1,0)</f>
        <v>1</v>
      </c>
      <c r="J6035" s="7" t="n">
        <f aca="false">IF(I6035=1,D6035*F6035,0)</f>
        <v>2.5</v>
      </c>
      <c r="K6035" s="7" t="n">
        <f aca="false">YEAR(E6035)*100+MONTH(E6035)</f>
        <v>201111</v>
      </c>
      <c r="L6035" s="7" t="n">
        <f aca="false">IF(AND(A6035&lt;&gt;A6034,LEFT(A6035,1)&lt;&gt;"C"),1,0)</f>
        <v>0</v>
      </c>
    </row>
    <row r="6036" customFormat="false" ht="15" hidden="false" customHeight="false" outlineLevel="0" collapsed="false">
      <c r="A6036" s="0" t="s">
        <v>3176</v>
      </c>
      <c r="B6036" s="0" t="s">
        <v>318</v>
      </c>
      <c r="C6036" s="0" t="s">
        <v>319</v>
      </c>
      <c r="D6036" s="0" t="n">
        <v>6</v>
      </c>
      <c r="E6036" s="6" t="n">
        <v>40870.5701388889</v>
      </c>
      <c r="F6036" s="0" t="n">
        <v>3.75</v>
      </c>
      <c r="G6036" s="0" t="n">
        <v>14335</v>
      </c>
      <c r="H6036" s="0" t="s">
        <v>33</v>
      </c>
      <c r="I6036" s="7" t="n">
        <f aca="false">IF(AND(LEFT(A6036,1)&lt;&gt;"C",D6036&gt;0,F6036&gt;0),1,0)</f>
        <v>1</v>
      </c>
      <c r="J6036" s="7" t="n">
        <f aca="false">IF(I6036=1,D6036*F6036,0)</f>
        <v>22.5</v>
      </c>
      <c r="K6036" s="7" t="n">
        <f aca="false">YEAR(E6036)*100+MONTH(E6036)</f>
        <v>201111</v>
      </c>
      <c r="L6036" s="7" t="n">
        <f aca="false">IF(AND(A6036&lt;&gt;A6035,LEFT(A6036,1)&lt;&gt;"C"),1,0)</f>
        <v>0</v>
      </c>
    </row>
    <row r="6037" customFormat="false" ht="15" hidden="false" customHeight="false" outlineLevel="0" collapsed="false">
      <c r="A6037" s="0" t="s">
        <v>3176</v>
      </c>
      <c r="B6037" s="0" t="s">
        <v>295</v>
      </c>
      <c r="C6037" s="0" t="s">
        <v>296</v>
      </c>
      <c r="D6037" s="0" t="n">
        <v>4</v>
      </c>
      <c r="E6037" s="6" t="n">
        <v>40870.5701388889</v>
      </c>
      <c r="F6037" s="0" t="n">
        <v>3.75</v>
      </c>
      <c r="G6037" s="0" t="n">
        <v>14335</v>
      </c>
      <c r="H6037" s="0" t="s">
        <v>33</v>
      </c>
      <c r="I6037" s="7" t="n">
        <f aca="false">IF(AND(LEFT(A6037,1)&lt;&gt;"C",D6037&gt;0,F6037&gt;0),1,0)</f>
        <v>1</v>
      </c>
      <c r="J6037" s="7" t="n">
        <f aca="false">IF(I6037=1,D6037*F6037,0)</f>
        <v>15</v>
      </c>
      <c r="K6037" s="7" t="n">
        <f aca="false">YEAR(E6037)*100+MONTH(E6037)</f>
        <v>201111</v>
      </c>
      <c r="L6037" s="7" t="n">
        <f aca="false">IF(AND(A6037&lt;&gt;A6036,LEFT(A6037,1)&lt;&gt;"C"),1,0)</f>
        <v>0</v>
      </c>
    </row>
    <row r="6038" customFormat="false" ht="15" hidden="false" customHeight="false" outlineLevel="0" collapsed="false">
      <c r="A6038" s="0" t="s">
        <v>3176</v>
      </c>
      <c r="B6038" s="0" t="s">
        <v>297</v>
      </c>
      <c r="C6038" s="0" t="s">
        <v>298</v>
      </c>
      <c r="D6038" s="0" t="n">
        <v>6</v>
      </c>
      <c r="E6038" s="6" t="n">
        <v>40870.5701388889</v>
      </c>
      <c r="F6038" s="0" t="n">
        <v>3.75</v>
      </c>
      <c r="G6038" s="0" t="n">
        <v>14335</v>
      </c>
      <c r="H6038" s="0" t="s">
        <v>33</v>
      </c>
      <c r="I6038" s="7" t="n">
        <f aca="false">IF(AND(LEFT(A6038,1)&lt;&gt;"C",D6038&gt;0,F6038&gt;0),1,0)</f>
        <v>1</v>
      </c>
      <c r="J6038" s="7" t="n">
        <f aca="false">IF(I6038=1,D6038*F6038,0)</f>
        <v>22.5</v>
      </c>
      <c r="K6038" s="7" t="n">
        <f aca="false">YEAR(E6038)*100+MONTH(E6038)</f>
        <v>201111</v>
      </c>
      <c r="L6038" s="7" t="n">
        <f aca="false">IF(AND(A6038&lt;&gt;A6037,LEFT(A6038,1)&lt;&gt;"C"),1,0)</f>
        <v>0</v>
      </c>
    </row>
    <row r="6039" customFormat="false" ht="15" hidden="false" customHeight="false" outlineLevel="0" collapsed="false">
      <c r="A6039" s="0" t="s">
        <v>3176</v>
      </c>
      <c r="B6039" s="0" t="s">
        <v>335</v>
      </c>
      <c r="C6039" s="0" t="s">
        <v>336</v>
      </c>
      <c r="D6039" s="0" t="n">
        <v>1</v>
      </c>
      <c r="E6039" s="6" t="n">
        <v>40870.5701388889</v>
      </c>
      <c r="F6039" s="0" t="n">
        <v>1.65</v>
      </c>
      <c r="G6039" s="0" t="n">
        <v>14335</v>
      </c>
      <c r="H6039" s="0" t="s">
        <v>33</v>
      </c>
      <c r="I6039" s="7" t="n">
        <f aca="false">IF(AND(LEFT(A6039,1)&lt;&gt;"C",D6039&gt;0,F6039&gt;0),1,0)</f>
        <v>1</v>
      </c>
      <c r="J6039" s="7" t="n">
        <f aca="false">IF(I6039=1,D6039*F6039,0)</f>
        <v>1.65</v>
      </c>
      <c r="K6039" s="7" t="n">
        <f aca="false">YEAR(E6039)*100+MONTH(E6039)</f>
        <v>201111</v>
      </c>
      <c r="L6039" s="7" t="n">
        <f aca="false">IF(AND(A6039&lt;&gt;A6038,LEFT(A6039,1)&lt;&gt;"C"),1,0)</f>
        <v>0</v>
      </c>
    </row>
    <row r="6040" customFormat="false" ht="15" hidden="false" customHeight="false" outlineLevel="0" collapsed="false">
      <c r="A6040" s="0" t="s">
        <v>3176</v>
      </c>
      <c r="B6040" s="0" t="s">
        <v>3177</v>
      </c>
      <c r="C6040" s="0" t="s">
        <v>3178</v>
      </c>
      <c r="D6040" s="0" t="n">
        <v>1</v>
      </c>
      <c r="E6040" s="6" t="n">
        <v>40870.5701388889</v>
      </c>
      <c r="F6040" s="0" t="n">
        <v>1.25</v>
      </c>
      <c r="G6040" s="0" t="n">
        <v>14335</v>
      </c>
      <c r="H6040" s="0" t="s">
        <v>33</v>
      </c>
      <c r="I6040" s="7" t="n">
        <f aca="false">IF(AND(LEFT(A6040,1)&lt;&gt;"C",D6040&gt;0,F6040&gt;0),1,0)</f>
        <v>1</v>
      </c>
      <c r="J6040" s="7" t="n">
        <f aca="false">IF(I6040=1,D6040*F6040,0)</f>
        <v>1.25</v>
      </c>
      <c r="K6040" s="7" t="n">
        <f aca="false">YEAR(E6040)*100+MONTH(E6040)</f>
        <v>201111</v>
      </c>
      <c r="L6040" s="7" t="n">
        <f aca="false">IF(AND(A6040&lt;&gt;A6039,LEFT(A6040,1)&lt;&gt;"C"),1,0)</f>
        <v>0</v>
      </c>
    </row>
    <row r="6041" customFormat="false" ht="15" hidden="false" customHeight="false" outlineLevel="0" collapsed="false">
      <c r="A6041" s="0" t="s">
        <v>3176</v>
      </c>
      <c r="B6041" s="0" t="s">
        <v>471</v>
      </c>
      <c r="C6041" s="0" t="s">
        <v>472</v>
      </c>
      <c r="D6041" s="0" t="n">
        <v>2</v>
      </c>
      <c r="E6041" s="6" t="n">
        <v>40870.5701388889</v>
      </c>
      <c r="F6041" s="0" t="n">
        <v>1.65</v>
      </c>
      <c r="G6041" s="0" t="n">
        <v>14335</v>
      </c>
      <c r="H6041" s="0" t="s">
        <v>33</v>
      </c>
      <c r="I6041" s="7" t="n">
        <f aca="false">IF(AND(LEFT(A6041,1)&lt;&gt;"C",D6041&gt;0,F6041&gt;0),1,0)</f>
        <v>1</v>
      </c>
      <c r="J6041" s="7" t="n">
        <f aca="false">IF(I6041=1,D6041*F6041,0)</f>
        <v>3.3</v>
      </c>
      <c r="K6041" s="7" t="n">
        <f aca="false">YEAR(E6041)*100+MONTH(E6041)</f>
        <v>201111</v>
      </c>
      <c r="L6041" s="7" t="n">
        <f aca="false">IF(AND(A6041&lt;&gt;A6040,LEFT(A6041,1)&lt;&gt;"C"),1,0)</f>
        <v>0</v>
      </c>
    </row>
    <row r="6042" customFormat="false" ht="15" hidden="false" customHeight="false" outlineLevel="0" collapsed="false">
      <c r="A6042" s="0" t="s">
        <v>3176</v>
      </c>
      <c r="B6042" s="0" t="s">
        <v>335</v>
      </c>
      <c r="C6042" s="0" t="s">
        <v>336</v>
      </c>
      <c r="D6042" s="0" t="n">
        <v>1</v>
      </c>
      <c r="E6042" s="6" t="n">
        <v>40870.5701388889</v>
      </c>
      <c r="F6042" s="0" t="n">
        <v>1.65</v>
      </c>
      <c r="G6042" s="0" t="n">
        <v>14335</v>
      </c>
      <c r="H6042" s="0" t="s">
        <v>33</v>
      </c>
      <c r="I6042" s="7" t="n">
        <f aca="false">IF(AND(LEFT(A6042,1)&lt;&gt;"C",D6042&gt;0,F6042&gt;0),1,0)</f>
        <v>1</v>
      </c>
      <c r="J6042" s="7" t="n">
        <f aca="false">IF(I6042=1,D6042*F6042,0)</f>
        <v>1.65</v>
      </c>
      <c r="K6042" s="7" t="n">
        <f aca="false">YEAR(E6042)*100+MONTH(E6042)</f>
        <v>201111</v>
      </c>
      <c r="L6042" s="7" t="n">
        <f aca="false">IF(AND(A6042&lt;&gt;A6041,LEFT(A6042,1)&lt;&gt;"C"),1,0)</f>
        <v>0</v>
      </c>
    </row>
    <row r="6043" customFormat="false" ht="15" hidden="false" customHeight="false" outlineLevel="0" collapsed="false">
      <c r="A6043" s="0" t="s">
        <v>3176</v>
      </c>
      <c r="B6043" s="0" t="s">
        <v>3179</v>
      </c>
      <c r="C6043" s="0" t="s">
        <v>3180</v>
      </c>
      <c r="D6043" s="0" t="n">
        <v>1</v>
      </c>
      <c r="E6043" s="6" t="n">
        <v>40870.5701388889</v>
      </c>
      <c r="F6043" s="0" t="n">
        <v>0.42</v>
      </c>
      <c r="G6043" s="0" t="n">
        <v>14335</v>
      </c>
      <c r="H6043" s="0" t="s">
        <v>33</v>
      </c>
      <c r="I6043" s="7" t="n">
        <f aca="false">IF(AND(LEFT(A6043,1)&lt;&gt;"C",D6043&gt;0,F6043&gt;0),1,0)</f>
        <v>1</v>
      </c>
      <c r="J6043" s="7" t="n">
        <f aca="false">IF(I6043=1,D6043*F6043,0)</f>
        <v>0.42</v>
      </c>
      <c r="K6043" s="7" t="n">
        <f aca="false">YEAR(E6043)*100+MONTH(E6043)</f>
        <v>201111</v>
      </c>
      <c r="L6043" s="7" t="n">
        <f aca="false">IF(AND(A6043&lt;&gt;A6042,LEFT(A6043,1)&lt;&gt;"C"),1,0)</f>
        <v>0</v>
      </c>
    </row>
    <row r="6044" customFormat="false" ht="15" hidden="false" customHeight="false" outlineLevel="0" collapsed="false">
      <c r="A6044" s="0" t="s">
        <v>3176</v>
      </c>
      <c r="B6044" s="0" t="s">
        <v>1300</v>
      </c>
      <c r="C6044" s="0" t="s">
        <v>1301</v>
      </c>
      <c r="D6044" s="0" t="n">
        <v>1</v>
      </c>
      <c r="E6044" s="6" t="n">
        <v>40870.5701388889</v>
      </c>
      <c r="F6044" s="0" t="n">
        <v>0.55</v>
      </c>
      <c r="G6044" s="0" t="n">
        <v>14335</v>
      </c>
      <c r="H6044" s="0" t="s">
        <v>33</v>
      </c>
      <c r="I6044" s="7" t="n">
        <f aca="false">IF(AND(LEFT(A6044,1)&lt;&gt;"C",D6044&gt;0,F6044&gt;0),1,0)</f>
        <v>1</v>
      </c>
      <c r="J6044" s="7" t="n">
        <f aca="false">IF(I6044=1,D6044*F6044,0)</f>
        <v>0.55</v>
      </c>
      <c r="K6044" s="7" t="n">
        <f aca="false">YEAR(E6044)*100+MONTH(E6044)</f>
        <v>201111</v>
      </c>
      <c r="L6044" s="7" t="n">
        <f aca="false">IF(AND(A6044&lt;&gt;A6043,LEFT(A6044,1)&lt;&gt;"C"),1,0)</f>
        <v>0</v>
      </c>
    </row>
    <row r="6045" customFormat="false" ht="15" hidden="false" customHeight="false" outlineLevel="0" collapsed="false">
      <c r="A6045" s="0" t="s">
        <v>3176</v>
      </c>
      <c r="B6045" s="0" t="s">
        <v>1027</v>
      </c>
      <c r="C6045" s="0" t="s">
        <v>1028</v>
      </c>
      <c r="D6045" s="0" t="n">
        <v>1</v>
      </c>
      <c r="E6045" s="6" t="n">
        <v>40870.5701388889</v>
      </c>
      <c r="F6045" s="0" t="n">
        <v>1.25</v>
      </c>
      <c r="G6045" s="0" t="n">
        <v>14335</v>
      </c>
      <c r="H6045" s="0" t="s">
        <v>33</v>
      </c>
      <c r="I6045" s="7" t="n">
        <f aca="false">IF(AND(LEFT(A6045,1)&lt;&gt;"C",D6045&gt;0,F6045&gt;0),1,0)</f>
        <v>1</v>
      </c>
      <c r="J6045" s="7" t="n">
        <f aca="false">IF(I6045=1,D6045*F6045,0)</f>
        <v>1.25</v>
      </c>
      <c r="K6045" s="7" t="n">
        <f aca="false">YEAR(E6045)*100+MONTH(E6045)</f>
        <v>201111</v>
      </c>
      <c r="L6045" s="7" t="n">
        <f aca="false">IF(AND(A6045&lt;&gt;A6044,LEFT(A6045,1)&lt;&gt;"C"),1,0)</f>
        <v>0</v>
      </c>
    </row>
    <row r="6046" customFormat="false" ht="15" hidden="false" customHeight="false" outlineLevel="0" collapsed="false">
      <c r="A6046" s="0" t="s">
        <v>3176</v>
      </c>
      <c r="B6046" s="0" t="s">
        <v>1533</v>
      </c>
      <c r="C6046" s="0" t="s">
        <v>1534</v>
      </c>
      <c r="D6046" s="0" t="n">
        <v>1</v>
      </c>
      <c r="E6046" s="6" t="n">
        <v>40870.5701388889</v>
      </c>
      <c r="F6046" s="0" t="n">
        <v>1.25</v>
      </c>
      <c r="G6046" s="0" t="n">
        <v>14335</v>
      </c>
      <c r="H6046" s="0" t="s">
        <v>33</v>
      </c>
      <c r="I6046" s="7" t="n">
        <f aca="false">IF(AND(LEFT(A6046,1)&lt;&gt;"C",D6046&gt;0,F6046&gt;0),1,0)</f>
        <v>1</v>
      </c>
      <c r="J6046" s="7" t="n">
        <f aca="false">IF(I6046=1,D6046*F6046,0)</f>
        <v>1.25</v>
      </c>
      <c r="K6046" s="7" t="n">
        <f aca="false">YEAR(E6046)*100+MONTH(E6046)</f>
        <v>201111</v>
      </c>
      <c r="L6046" s="7" t="n">
        <f aca="false">IF(AND(A6046&lt;&gt;A6045,LEFT(A6046,1)&lt;&gt;"C"),1,0)</f>
        <v>0</v>
      </c>
    </row>
    <row r="6047" customFormat="false" ht="15" hidden="false" customHeight="false" outlineLevel="0" collapsed="false">
      <c r="A6047" s="0" t="s">
        <v>3176</v>
      </c>
      <c r="B6047" s="0" t="s">
        <v>3181</v>
      </c>
      <c r="C6047" s="0" t="s">
        <v>3182</v>
      </c>
      <c r="D6047" s="0" t="n">
        <v>1</v>
      </c>
      <c r="E6047" s="6" t="n">
        <v>40870.5701388889</v>
      </c>
      <c r="F6047" s="0" t="n">
        <v>0.39</v>
      </c>
      <c r="G6047" s="0" t="n">
        <v>14335</v>
      </c>
      <c r="H6047" s="0" t="s">
        <v>33</v>
      </c>
      <c r="I6047" s="7" t="n">
        <f aca="false">IF(AND(LEFT(A6047,1)&lt;&gt;"C",D6047&gt;0,F6047&gt;0),1,0)</f>
        <v>1</v>
      </c>
      <c r="J6047" s="7" t="n">
        <f aca="false">IF(I6047=1,D6047*F6047,0)</f>
        <v>0.39</v>
      </c>
      <c r="K6047" s="7" t="n">
        <f aca="false">YEAR(E6047)*100+MONTH(E6047)</f>
        <v>201111</v>
      </c>
      <c r="L6047" s="7" t="n">
        <f aca="false">IF(AND(A6047&lt;&gt;A6046,LEFT(A6047,1)&lt;&gt;"C"),1,0)</f>
        <v>0</v>
      </c>
    </row>
    <row r="6048" customFormat="false" ht="15" hidden="false" customHeight="false" outlineLevel="0" collapsed="false">
      <c r="A6048" s="0" t="s">
        <v>3176</v>
      </c>
      <c r="B6048" s="0" t="s">
        <v>318</v>
      </c>
      <c r="C6048" s="0" t="s">
        <v>319</v>
      </c>
      <c r="D6048" s="0" t="n">
        <v>1</v>
      </c>
      <c r="E6048" s="6" t="n">
        <v>40870.5701388889</v>
      </c>
      <c r="F6048" s="0" t="n">
        <v>3.75</v>
      </c>
      <c r="G6048" s="0" t="n">
        <v>14335</v>
      </c>
      <c r="H6048" s="0" t="s">
        <v>33</v>
      </c>
      <c r="I6048" s="7" t="n">
        <f aca="false">IF(AND(LEFT(A6048,1)&lt;&gt;"C",D6048&gt;0,F6048&gt;0),1,0)</f>
        <v>1</v>
      </c>
      <c r="J6048" s="7" t="n">
        <f aca="false">IF(I6048=1,D6048*F6048,0)</f>
        <v>3.75</v>
      </c>
      <c r="K6048" s="7" t="n">
        <f aca="false">YEAR(E6048)*100+MONTH(E6048)</f>
        <v>201111</v>
      </c>
      <c r="L6048" s="7" t="n">
        <f aca="false">IF(AND(A6048&lt;&gt;A6047,LEFT(A6048,1)&lt;&gt;"C"),1,0)</f>
        <v>0</v>
      </c>
    </row>
    <row r="6049" customFormat="false" ht="15" hidden="false" customHeight="false" outlineLevel="0" collapsed="false">
      <c r="A6049" s="0" t="s">
        <v>3176</v>
      </c>
      <c r="B6049" s="0" t="s">
        <v>2777</v>
      </c>
      <c r="C6049" s="0" t="s">
        <v>2778</v>
      </c>
      <c r="D6049" s="0" t="n">
        <v>1</v>
      </c>
      <c r="E6049" s="6" t="n">
        <v>40870.5701388889</v>
      </c>
      <c r="F6049" s="0" t="n">
        <v>0.95</v>
      </c>
      <c r="G6049" s="0" t="n">
        <v>14335</v>
      </c>
      <c r="H6049" s="0" t="s">
        <v>33</v>
      </c>
      <c r="I6049" s="7" t="n">
        <f aca="false">IF(AND(LEFT(A6049,1)&lt;&gt;"C",D6049&gt;0,F6049&gt;0),1,0)</f>
        <v>1</v>
      </c>
      <c r="J6049" s="7" t="n">
        <f aca="false">IF(I6049=1,D6049*F6049,0)</f>
        <v>0.95</v>
      </c>
      <c r="K6049" s="7" t="n">
        <f aca="false">YEAR(E6049)*100+MONTH(E6049)</f>
        <v>201111</v>
      </c>
      <c r="L6049" s="7" t="n">
        <f aca="false">IF(AND(A6049&lt;&gt;A6048,LEFT(A6049,1)&lt;&gt;"C"),1,0)</f>
        <v>0</v>
      </c>
    </row>
    <row r="6050" customFormat="false" ht="15" hidden="false" customHeight="false" outlineLevel="0" collapsed="false">
      <c r="A6050" s="0" t="s">
        <v>3176</v>
      </c>
      <c r="B6050" s="0" t="s">
        <v>271</v>
      </c>
      <c r="C6050" s="0" t="s">
        <v>272</v>
      </c>
      <c r="D6050" s="0" t="n">
        <v>2</v>
      </c>
      <c r="E6050" s="6" t="n">
        <v>40870.5701388889</v>
      </c>
      <c r="F6050" s="0" t="n">
        <v>4.25</v>
      </c>
      <c r="G6050" s="0" t="n">
        <v>14335</v>
      </c>
      <c r="H6050" s="0" t="s">
        <v>33</v>
      </c>
      <c r="I6050" s="7" t="n">
        <f aca="false">IF(AND(LEFT(A6050,1)&lt;&gt;"C",D6050&gt;0,F6050&gt;0),1,0)</f>
        <v>1</v>
      </c>
      <c r="J6050" s="7" t="n">
        <f aca="false">IF(I6050=1,D6050*F6050,0)</f>
        <v>8.5</v>
      </c>
      <c r="K6050" s="7" t="n">
        <f aca="false">YEAR(E6050)*100+MONTH(E6050)</f>
        <v>201111</v>
      </c>
      <c r="L6050" s="7" t="n">
        <f aca="false">IF(AND(A6050&lt;&gt;A6049,LEFT(A6050,1)&lt;&gt;"C"),1,0)</f>
        <v>0</v>
      </c>
    </row>
    <row r="6051" customFormat="false" ht="15" hidden="false" customHeight="false" outlineLevel="0" collapsed="false">
      <c r="A6051" s="0" t="s">
        <v>3176</v>
      </c>
      <c r="B6051" s="0" t="s">
        <v>267</v>
      </c>
      <c r="C6051" s="0" t="s">
        <v>268</v>
      </c>
      <c r="D6051" s="0" t="n">
        <v>2</v>
      </c>
      <c r="E6051" s="6" t="n">
        <v>40870.5701388889</v>
      </c>
      <c r="F6051" s="0" t="n">
        <v>4.25</v>
      </c>
      <c r="G6051" s="0" t="n">
        <v>14335</v>
      </c>
      <c r="H6051" s="0" t="s">
        <v>33</v>
      </c>
      <c r="I6051" s="7" t="n">
        <f aca="false">IF(AND(LEFT(A6051,1)&lt;&gt;"C",D6051&gt;0,F6051&gt;0),1,0)</f>
        <v>1</v>
      </c>
      <c r="J6051" s="7" t="n">
        <f aca="false">IF(I6051=1,D6051*F6051,0)</f>
        <v>8.5</v>
      </c>
      <c r="K6051" s="7" t="n">
        <f aca="false">YEAR(E6051)*100+MONTH(E6051)</f>
        <v>201111</v>
      </c>
      <c r="L6051" s="7" t="n">
        <f aca="false">IF(AND(A6051&lt;&gt;A6050,LEFT(A6051,1)&lt;&gt;"C"),1,0)</f>
        <v>0</v>
      </c>
    </row>
    <row r="6052" customFormat="false" ht="15" hidden="false" customHeight="false" outlineLevel="0" collapsed="false">
      <c r="A6052" s="0" t="s">
        <v>3183</v>
      </c>
      <c r="B6052" s="0" t="s">
        <v>62</v>
      </c>
      <c r="C6052" s="0" t="s">
        <v>63</v>
      </c>
      <c r="D6052" s="0" t="n">
        <v>8</v>
      </c>
      <c r="E6052" s="6" t="n">
        <v>40870.5770833333</v>
      </c>
      <c r="F6052" s="0" t="n">
        <v>2.08</v>
      </c>
      <c r="G6052" s="0" t="n">
        <v>12723</v>
      </c>
      <c r="H6052" s="0" t="s">
        <v>43</v>
      </c>
      <c r="I6052" s="7" t="n">
        <f aca="false">IF(AND(LEFT(A6052,1)&lt;&gt;"C",D6052&gt;0,F6052&gt;0),1,0)</f>
        <v>1</v>
      </c>
      <c r="J6052" s="7" t="n">
        <f aca="false">IF(I6052=1,D6052*F6052,0)</f>
        <v>16.64</v>
      </c>
      <c r="K6052" s="7" t="n">
        <f aca="false">YEAR(E6052)*100+MONTH(E6052)</f>
        <v>201111</v>
      </c>
      <c r="L6052" s="7" t="n">
        <f aca="false">IF(AND(A6052&lt;&gt;A6051,LEFT(A6052,1)&lt;&gt;"C"),1,0)</f>
        <v>1</v>
      </c>
    </row>
    <row r="6053" customFormat="false" ht="15" hidden="false" customHeight="false" outlineLevel="0" collapsed="false">
      <c r="A6053" s="0" t="s">
        <v>3183</v>
      </c>
      <c r="B6053" s="0" t="s">
        <v>1774</v>
      </c>
      <c r="C6053" s="0" t="s">
        <v>1775</v>
      </c>
      <c r="D6053" s="0" t="n">
        <v>1</v>
      </c>
      <c r="E6053" s="6" t="n">
        <v>40870.5770833333</v>
      </c>
      <c r="F6053" s="0" t="n">
        <v>3.75</v>
      </c>
      <c r="G6053" s="0" t="n">
        <v>12723</v>
      </c>
      <c r="H6053" s="0" t="s">
        <v>43</v>
      </c>
      <c r="I6053" s="7" t="n">
        <f aca="false">IF(AND(LEFT(A6053,1)&lt;&gt;"C",D6053&gt;0,F6053&gt;0),1,0)</f>
        <v>1</v>
      </c>
      <c r="J6053" s="7" t="n">
        <f aca="false">IF(I6053=1,D6053*F6053,0)</f>
        <v>3.75</v>
      </c>
      <c r="K6053" s="7" t="n">
        <f aca="false">YEAR(E6053)*100+MONTH(E6053)</f>
        <v>201111</v>
      </c>
      <c r="L6053" s="7" t="n">
        <f aca="false">IF(AND(A6053&lt;&gt;A6052,LEFT(A6053,1)&lt;&gt;"C"),1,0)</f>
        <v>0</v>
      </c>
    </row>
    <row r="6054" customFormat="false" ht="15" hidden="false" customHeight="false" outlineLevel="0" collapsed="false">
      <c r="A6054" s="0" t="s">
        <v>3183</v>
      </c>
      <c r="B6054" s="0" t="s">
        <v>647</v>
      </c>
      <c r="C6054" s="0" t="s">
        <v>648</v>
      </c>
      <c r="D6054" s="0" t="n">
        <v>1</v>
      </c>
      <c r="E6054" s="6" t="n">
        <v>40870.5770833333</v>
      </c>
      <c r="F6054" s="0" t="n">
        <v>4.25</v>
      </c>
      <c r="G6054" s="0" t="n">
        <v>12723</v>
      </c>
      <c r="H6054" s="0" t="s">
        <v>43</v>
      </c>
      <c r="I6054" s="7" t="n">
        <f aca="false">IF(AND(LEFT(A6054,1)&lt;&gt;"C",D6054&gt;0,F6054&gt;0),1,0)</f>
        <v>1</v>
      </c>
      <c r="J6054" s="7" t="n">
        <f aca="false">IF(I6054=1,D6054*F6054,0)</f>
        <v>4.25</v>
      </c>
      <c r="K6054" s="7" t="n">
        <f aca="false">YEAR(E6054)*100+MONTH(E6054)</f>
        <v>201111</v>
      </c>
      <c r="L6054" s="7" t="n">
        <f aca="false">IF(AND(A6054&lt;&gt;A6053,LEFT(A6054,1)&lt;&gt;"C"),1,0)</f>
        <v>0</v>
      </c>
    </row>
    <row r="6055" customFormat="false" ht="15" hidden="false" customHeight="false" outlineLevel="0" collapsed="false">
      <c r="A6055" s="0" t="s">
        <v>3183</v>
      </c>
      <c r="B6055" s="0" t="s">
        <v>655</v>
      </c>
      <c r="C6055" s="0" t="s">
        <v>656</v>
      </c>
      <c r="D6055" s="0" t="n">
        <v>2</v>
      </c>
      <c r="E6055" s="6" t="n">
        <v>40870.5770833333</v>
      </c>
      <c r="F6055" s="0" t="n">
        <v>3.75</v>
      </c>
      <c r="G6055" s="0" t="n">
        <v>12723</v>
      </c>
      <c r="H6055" s="0" t="s">
        <v>43</v>
      </c>
      <c r="I6055" s="7" t="n">
        <f aca="false">IF(AND(LEFT(A6055,1)&lt;&gt;"C",D6055&gt;0,F6055&gt;0),1,0)</f>
        <v>1</v>
      </c>
      <c r="J6055" s="7" t="n">
        <f aca="false">IF(I6055=1,D6055*F6055,0)</f>
        <v>7.5</v>
      </c>
      <c r="K6055" s="7" t="n">
        <f aca="false">YEAR(E6055)*100+MONTH(E6055)</f>
        <v>201111</v>
      </c>
      <c r="L6055" s="7" t="n">
        <f aca="false">IF(AND(A6055&lt;&gt;A6054,LEFT(A6055,1)&lt;&gt;"C"),1,0)</f>
        <v>0</v>
      </c>
    </row>
    <row r="6056" customFormat="false" ht="15" hidden="false" customHeight="false" outlineLevel="0" collapsed="false">
      <c r="A6056" s="0" t="s">
        <v>3183</v>
      </c>
      <c r="B6056" s="0" t="s">
        <v>1676</v>
      </c>
      <c r="C6056" s="0" t="s">
        <v>1677</v>
      </c>
      <c r="D6056" s="0" t="n">
        <v>3</v>
      </c>
      <c r="E6056" s="6" t="n">
        <v>40870.5770833333</v>
      </c>
      <c r="F6056" s="0" t="n">
        <v>5.95</v>
      </c>
      <c r="G6056" s="0" t="n">
        <v>12723</v>
      </c>
      <c r="H6056" s="0" t="s">
        <v>43</v>
      </c>
      <c r="I6056" s="7" t="n">
        <f aca="false">IF(AND(LEFT(A6056,1)&lt;&gt;"C",D6056&gt;0,F6056&gt;0),1,0)</f>
        <v>1</v>
      </c>
      <c r="J6056" s="7" t="n">
        <f aca="false">IF(I6056=1,D6056*F6056,0)</f>
        <v>17.85</v>
      </c>
      <c r="K6056" s="7" t="n">
        <f aca="false">YEAR(E6056)*100+MONTH(E6056)</f>
        <v>201111</v>
      </c>
      <c r="L6056" s="7" t="n">
        <f aca="false">IF(AND(A6056&lt;&gt;A6055,LEFT(A6056,1)&lt;&gt;"C"),1,0)</f>
        <v>0</v>
      </c>
    </row>
    <row r="6057" customFormat="false" ht="15" hidden="false" customHeight="false" outlineLevel="0" collapsed="false">
      <c r="A6057" s="0" t="s">
        <v>3183</v>
      </c>
      <c r="B6057" s="0" t="s">
        <v>3184</v>
      </c>
      <c r="C6057" s="0" t="s">
        <v>3185</v>
      </c>
      <c r="D6057" s="0" t="n">
        <v>1</v>
      </c>
      <c r="E6057" s="6" t="n">
        <v>40870.5770833333</v>
      </c>
      <c r="F6057" s="0" t="n">
        <v>3.75</v>
      </c>
      <c r="G6057" s="0" t="n">
        <v>12723</v>
      </c>
      <c r="H6057" s="0" t="s">
        <v>43</v>
      </c>
      <c r="I6057" s="7" t="n">
        <f aca="false">IF(AND(LEFT(A6057,1)&lt;&gt;"C",D6057&gt;0,F6057&gt;0),1,0)</f>
        <v>1</v>
      </c>
      <c r="J6057" s="7" t="n">
        <f aca="false">IF(I6057=1,D6057*F6057,0)</f>
        <v>3.75</v>
      </c>
      <c r="K6057" s="7" t="n">
        <f aca="false">YEAR(E6057)*100+MONTH(E6057)</f>
        <v>201111</v>
      </c>
      <c r="L6057" s="7" t="n">
        <f aca="false">IF(AND(A6057&lt;&gt;A6056,LEFT(A6057,1)&lt;&gt;"C"),1,0)</f>
        <v>0</v>
      </c>
    </row>
    <row r="6058" customFormat="false" ht="15" hidden="false" customHeight="false" outlineLevel="0" collapsed="false">
      <c r="A6058" s="0" t="s">
        <v>3183</v>
      </c>
      <c r="B6058" s="0" t="s">
        <v>1770</v>
      </c>
      <c r="C6058" s="0" t="s">
        <v>1771</v>
      </c>
      <c r="D6058" s="0" t="n">
        <v>1</v>
      </c>
      <c r="E6058" s="6" t="n">
        <v>40870.5770833333</v>
      </c>
      <c r="F6058" s="0" t="n">
        <v>3.75</v>
      </c>
      <c r="G6058" s="0" t="n">
        <v>12723</v>
      </c>
      <c r="H6058" s="0" t="s">
        <v>43</v>
      </c>
      <c r="I6058" s="7" t="n">
        <f aca="false">IF(AND(LEFT(A6058,1)&lt;&gt;"C",D6058&gt;0,F6058&gt;0),1,0)</f>
        <v>1</v>
      </c>
      <c r="J6058" s="7" t="n">
        <f aca="false">IF(I6058=1,D6058*F6058,0)</f>
        <v>3.75</v>
      </c>
      <c r="K6058" s="7" t="n">
        <f aca="false">YEAR(E6058)*100+MONTH(E6058)</f>
        <v>201111</v>
      </c>
      <c r="L6058" s="7" t="n">
        <f aca="false">IF(AND(A6058&lt;&gt;A6057,LEFT(A6058,1)&lt;&gt;"C"),1,0)</f>
        <v>0</v>
      </c>
    </row>
    <row r="6059" customFormat="false" ht="15" hidden="false" customHeight="false" outlineLevel="0" collapsed="false">
      <c r="A6059" s="0" t="s">
        <v>3183</v>
      </c>
      <c r="B6059" s="0" t="s">
        <v>1768</v>
      </c>
      <c r="C6059" s="0" t="s">
        <v>1769</v>
      </c>
      <c r="D6059" s="0" t="n">
        <v>1</v>
      </c>
      <c r="E6059" s="6" t="n">
        <v>40870.5770833333</v>
      </c>
      <c r="F6059" s="0" t="n">
        <v>3.75</v>
      </c>
      <c r="G6059" s="0" t="n">
        <v>12723</v>
      </c>
      <c r="H6059" s="0" t="s">
        <v>43</v>
      </c>
      <c r="I6059" s="7" t="n">
        <f aca="false">IF(AND(LEFT(A6059,1)&lt;&gt;"C",D6059&gt;0,F6059&gt;0),1,0)</f>
        <v>1</v>
      </c>
      <c r="J6059" s="7" t="n">
        <f aca="false">IF(I6059=1,D6059*F6059,0)</f>
        <v>3.75</v>
      </c>
      <c r="K6059" s="7" t="n">
        <f aca="false">YEAR(E6059)*100+MONTH(E6059)</f>
        <v>201111</v>
      </c>
      <c r="L6059" s="7" t="n">
        <f aca="false">IF(AND(A6059&lt;&gt;A6058,LEFT(A6059,1)&lt;&gt;"C"),1,0)</f>
        <v>0</v>
      </c>
    </row>
    <row r="6060" customFormat="false" ht="15" hidden="false" customHeight="false" outlineLevel="0" collapsed="false">
      <c r="A6060" s="0" t="s">
        <v>3183</v>
      </c>
      <c r="B6060" s="0" t="s">
        <v>1017</v>
      </c>
      <c r="C6060" s="0" t="s">
        <v>1018</v>
      </c>
      <c r="D6060" s="0" t="n">
        <v>12</v>
      </c>
      <c r="E6060" s="6" t="n">
        <v>40870.5770833333</v>
      </c>
      <c r="F6060" s="0" t="n">
        <v>2.55</v>
      </c>
      <c r="G6060" s="0" t="n">
        <v>12723</v>
      </c>
      <c r="H6060" s="0" t="s">
        <v>43</v>
      </c>
      <c r="I6060" s="7" t="n">
        <f aca="false">IF(AND(LEFT(A6060,1)&lt;&gt;"C",D6060&gt;0,F6060&gt;0),1,0)</f>
        <v>1</v>
      </c>
      <c r="J6060" s="7" t="n">
        <f aca="false">IF(I6060=1,D6060*F6060,0)</f>
        <v>30.6</v>
      </c>
      <c r="K6060" s="7" t="n">
        <f aca="false">YEAR(E6060)*100+MONTH(E6060)</f>
        <v>201111</v>
      </c>
      <c r="L6060" s="7" t="n">
        <f aca="false">IF(AND(A6060&lt;&gt;A6059,LEFT(A6060,1)&lt;&gt;"C"),1,0)</f>
        <v>0</v>
      </c>
    </row>
    <row r="6061" customFormat="false" ht="15" hidden="false" customHeight="false" outlineLevel="0" collapsed="false">
      <c r="A6061" s="0" t="s">
        <v>3183</v>
      </c>
      <c r="B6061" s="0" t="s">
        <v>1755</v>
      </c>
      <c r="C6061" s="0" t="s">
        <v>1756</v>
      </c>
      <c r="D6061" s="0" t="n">
        <v>24</v>
      </c>
      <c r="E6061" s="6" t="n">
        <v>40870.5770833333</v>
      </c>
      <c r="F6061" s="0" t="n">
        <v>2.55</v>
      </c>
      <c r="G6061" s="0" t="n">
        <v>12723</v>
      </c>
      <c r="H6061" s="0" t="s">
        <v>43</v>
      </c>
      <c r="I6061" s="7" t="n">
        <f aca="false">IF(AND(LEFT(A6061,1)&lt;&gt;"C",D6061&gt;0,F6061&gt;0),1,0)</f>
        <v>1</v>
      </c>
      <c r="J6061" s="7" t="n">
        <f aca="false">IF(I6061=1,D6061*F6061,0)</f>
        <v>61.2</v>
      </c>
      <c r="K6061" s="7" t="n">
        <f aca="false">YEAR(E6061)*100+MONTH(E6061)</f>
        <v>201111</v>
      </c>
      <c r="L6061" s="7" t="n">
        <f aca="false">IF(AND(A6061&lt;&gt;A6060,LEFT(A6061,1)&lt;&gt;"C"),1,0)</f>
        <v>0</v>
      </c>
    </row>
    <row r="6062" customFormat="false" ht="15" hidden="false" customHeight="false" outlineLevel="0" collapsed="false">
      <c r="A6062" s="0" t="s">
        <v>3183</v>
      </c>
      <c r="B6062" s="0" t="s">
        <v>1568</v>
      </c>
      <c r="C6062" s="0" t="s">
        <v>1569</v>
      </c>
      <c r="D6062" s="0" t="n">
        <v>16</v>
      </c>
      <c r="E6062" s="6" t="n">
        <v>40870.5770833333</v>
      </c>
      <c r="F6062" s="0" t="n">
        <v>1.25</v>
      </c>
      <c r="G6062" s="0" t="n">
        <v>12723</v>
      </c>
      <c r="H6062" s="0" t="s">
        <v>43</v>
      </c>
      <c r="I6062" s="7" t="n">
        <f aca="false">IF(AND(LEFT(A6062,1)&lt;&gt;"C",D6062&gt;0,F6062&gt;0),1,0)</f>
        <v>1</v>
      </c>
      <c r="J6062" s="7" t="n">
        <f aca="false">IF(I6062=1,D6062*F6062,0)</f>
        <v>20</v>
      </c>
      <c r="K6062" s="7" t="n">
        <f aca="false">YEAR(E6062)*100+MONTH(E6062)</f>
        <v>201111</v>
      </c>
      <c r="L6062" s="7" t="n">
        <f aca="false">IF(AND(A6062&lt;&gt;A6061,LEFT(A6062,1)&lt;&gt;"C"),1,0)</f>
        <v>0</v>
      </c>
    </row>
    <row r="6063" customFormat="false" ht="15" hidden="false" customHeight="false" outlineLevel="0" collapsed="false">
      <c r="A6063" s="0" t="s">
        <v>3183</v>
      </c>
      <c r="B6063" s="0" t="s">
        <v>1453</v>
      </c>
      <c r="C6063" s="0" t="s">
        <v>1454</v>
      </c>
      <c r="D6063" s="0" t="n">
        <v>16</v>
      </c>
      <c r="E6063" s="6" t="n">
        <v>40870.5770833333</v>
      </c>
      <c r="F6063" s="0" t="n">
        <v>1.25</v>
      </c>
      <c r="G6063" s="0" t="n">
        <v>12723</v>
      </c>
      <c r="H6063" s="0" t="s">
        <v>43</v>
      </c>
      <c r="I6063" s="7" t="n">
        <f aca="false">IF(AND(LEFT(A6063,1)&lt;&gt;"C",D6063&gt;0,F6063&gt;0),1,0)</f>
        <v>1</v>
      </c>
      <c r="J6063" s="7" t="n">
        <f aca="false">IF(I6063=1,D6063*F6063,0)</f>
        <v>20</v>
      </c>
      <c r="K6063" s="7" t="n">
        <f aca="false">YEAR(E6063)*100+MONTH(E6063)</f>
        <v>201111</v>
      </c>
      <c r="L6063" s="7" t="n">
        <f aca="false">IF(AND(A6063&lt;&gt;A6062,LEFT(A6063,1)&lt;&gt;"C"),1,0)</f>
        <v>0</v>
      </c>
    </row>
    <row r="6064" customFormat="false" ht="15" hidden="false" customHeight="false" outlineLevel="0" collapsed="false">
      <c r="A6064" s="0" t="s">
        <v>3183</v>
      </c>
      <c r="B6064" s="0" t="s">
        <v>1766</v>
      </c>
      <c r="C6064" s="0" t="s">
        <v>1767</v>
      </c>
      <c r="D6064" s="0" t="n">
        <v>2</v>
      </c>
      <c r="E6064" s="6" t="n">
        <v>40870.5770833333</v>
      </c>
      <c r="F6064" s="0" t="n">
        <v>2.95</v>
      </c>
      <c r="G6064" s="0" t="n">
        <v>12723</v>
      </c>
      <c r="H6064" s="0" t="s">
        <v>43</v>
      </c>
      <c r="I6064" s="7" t="n">
        <f aca="false">IF(AND(LEFT(A6064,1)&lt;&gt;"C",D6064&gt;0,F6064&gt;0),1,0)</f>
        <v>1</v>
      </c>
      <c r="J6064" s="7" t="n">
        <f aca="false">IF(I6064=1,D6064*F6064,0)</f>
        <v>5.9</v>
      </c>
      <c r="K6064" s="7" t="n">
        <f aca="false">YEAR(E6064)*100+MONTH(E6064)</f>
        <v>201111</v>
      </c>
      <c r="L6064" s="7" t="n">
        <f aca="false">IF(AND(A6064&lt;&gt;A6063,LEFT(A6064,1)&lt;&gt;"C"),1,0)</f>
        <v>0</v>
      </c>
    </row>
    <row r="6065" customFormat="false" ht="15" hidden="false" customHeight="false" outlineLevel="0" collapsed="false">
      <c r="A6065" s="0" t="s">
        <v>3183</v>
      </c>
      <c r="B6065" s="0" t="s">
        <v>1094</v>
      </c>
      <c r="C6065" s="0" t="s">
        <v>1095</v>
      </c>
      <c r="D6065" s="0" t="n">
        <v>2</v>
      </c>
      <c r="E6065" s="6" t="n">
        <v>40870.5770833333</v>
      </c>
      <c r="F6065" s="0" t="n">
        <v>1.95</v>
      </c>
      <c r="G6065" s="0" t="n">
        <v>12723</v>
      </c>
      <c r="H6065" s="0" t="s">
        <v>43</v>
      </c>
      <c r="I6065" s="7" t="n">
        <f aca="false">IF(AND(LEFT(A6065,1)&lt;&gt;"C",D6065&gt;0,F6065&gt;0),1,0)</f>
        <v>1</v>
      </c>
      <c r="J6065" s="7" t="n">
        <f aca="false">IF(I6065=1,D6065*F6065,0)</f>
        <v>3.9</v>
      </c>
      <c r="K6065" s="7" t="n">
        <f aca="false">YEAR(E6065)*100+MONTH(E6065)</f>
        <v>201111</v>
      </c>
      <c r="L6065" s="7" t="n">
        <f aca="false">IF(AND(A6065&lt;&gt;A6064,LEFT(A6065,1)&lt;&gt;"C"),1,0)</f>
        <v>0</v>
      </c>
    </row>
    <row r="6066" customFormat="false" ht="15" hidden="false" customHeight="false" outlineLevel="0" collapsed="false">
      <c r="A6066" s="0" t="s">
        <v>3183</v>
      </c>
      <c r="B6066" s="0" t="s">
        <v>64</v>
      </c>
      <c r="C6066" s="0" t="s">
        <v>65</v>
      </c>
      <c r="D6066" s="0" t="n">
        <v>3</v>
      </c>
      <c r="E6066" s="6" t="n">
        <v>40870.5770833333</v>
      </c>
      <c r="F6066" s="0" t="n">
        <v>1.65</v>
      </c>
      <c r="G6066" s="0" t="n">
        <v>12723</v>
      </c>
      <c r="H6066" s="0" t="s">
        <v>43</v>
      </c>
      <c r="I6066" s="7" t="n">
        <f aca="false">IF(AND(LEFT(A6066,1)&lt;&gt;"C",D6066&gt;0,F6066&gt;0),1,0)</f>
        <v>1</v>
      </c>
      <c r="J6066" s="7" t="n">
        <f aca="false">IF(I6066=1,D6066*F6066,0)</f>
        <v>4.95</v>
      </c>
      <c r="K6066" s="7" t="n">
        <f aca="false">YEAR(E6066)*100+MONTH(E6066)</f>
        <v>201111</v>
      </c>
      <c r="L6066" s="7" t="n">
        <f aca="false">IF(AND(A6066&lt;&gt;A6065,LEFT(A6066,1)&lt;&gt;"C"),1,0)</f>
        <v>0</v>
      </c>
    </row>
    <row r="6067" customFormat="false" ht="15" hidden="false" customHeight="false" outlineLevel="0" collapsed="false">
      <c r="A6067" s="0" t="s">
        <v>3183</v>
      </c>
      <c r="B6067" s="0" t="s">
        <v>3186</v>
      </c>
      <c r="C6067" s="0" t="s">
        <v>3187</v>
      </c>
      <c r="D6067" s="0" t="n">
        <v>11</v>
      </c>
      <c r="E6067" s="6" t="n">
        <v>40870.5770833333</v>
      </c>
      <c r="F6067" s="0" t="n">
        <v>0.39</v>
      </c>
      <c r="G6067" s="0" t="n">
        <v>12723</v>
      </c>
      <c r="H6067" s="0" t="s">
        <v>43</v>
      </c>
      <c r="I6067" s="7" t="n">
        <f aca="false">IF(AND(LEFT(A6067,1)&lt;&gt;"C",D6067&gt;0,F6067&gt;0),1,0)</f>
        <v>1</v>
      </c>
      <c r="J6067" s="7" t="n">
        <f aca="false">IF(I6067=1,D6067*F6067,0)</f>
        <v>4.29</v>
      </c>
      <c r="K6067" s="7" t="n">
        <f aca="false">YEAR(E6067)*100+MONTH(E6067)</f>
        <v>201111</v>
      </c>
      <c r="L6067" s="7" t="n">
        <f aca="false">IF(AND(A6067&lt;&gt;A6066,LEFT(A6067,1)&lt;&gt;"C"),1,0)</f>
        <v>0</v>
      </c>
    </row>
    <row r="6068" customFormat="false" ht="15" hidden="false" customHeight="false" outlineLevel="0" collapsed="false">
      <c r="A6068" s="0" t="s">
        <v>3183</v>
      </c>
      <c r="B6068" s="0" t="s">
        <v>2365</v>
      </c>
      <c r="C6068" s="0" t="s">
        <v>2366</v>
      </c>
      <c r="D6068" s="0" t="n">
        <v>5</v>
      </c>
      <c r="E6068" s="6" t="n">
        <v>40870.5770833333</v>
      </c>
      <c r="F6068" s="0" t="n">
        <v>0.85</v>
      </c>
      <c r="G6068" s="0" t="n">
        <v>12723</v>
      </c>
      <c r="H6068" s="0" t="s">
        <v>43</v>
      </c>
      <c r="I6068" s="7" t="n">
        <f aca="false">IF(AND(LEFT(A6068,1)&lt;&gt;"C",D6068&gt;0,F6068&gt;0),1,0)</f>
        <v>1</v>
      </c>
      <c r="J6068" s="7" t="n">
        <f aca="false">IF(I6068=1,D6068*F6068,0)</f>
        <v>4.25</v>
      </c>
      <c r="K6068" s="7" t="n">
        <f aca="false">YEAR(E6068)*100+MONTH(E6068)</f>
        <v>201111</v>
      </c>
      <c r="L6068" s="7" t="n">
        <f aca="false">IF(AND(A6068&lt;&gt;A6067,LEFT(A6068,1)&lt;&gt;"C"),1,0)</f>
        <v>0</v>
      </c>
    </row>
    <row r="6069" customFormat="false" ht="15" hidden="false" customHeight="false" outlineLevel="0" collapsed="false">
      <c r="A6069" s="0" t="s">
        <v>3183</v>
      </c>
      <c r="B6069" s="0" t="s">
        <v>1407</v>
      </c>
      <c r="C6069" s="0" t="s">
        <v>1408</v>
      </c>
      <c r="D6069" s="0" t="n">
        <v>36</v>
      </c>
      <c r="E6069" s="6" t="n">
        <v>40870.5770833333</v>
      </c>
      <c r="F6069" s="0" t="n">
        <v>0.39</v>
      </c>
      <c r="G6069" s="0" t="n">
        <v>12723</v>
      </c>
      <c r="H6069" s="0" t="s">
        <v>43</v>
      </c>
      <c r="I6069" s="7" t="n">
        <f aca="false">IF(AND(LEFT(A6069,1)&lt;&gt;"C",D6069&gt;0,F6069&gt;0),1,0)</f>
        <v>1</v>
      </c>
      <c r="J6069" s="7" t="n">
        <f aca="false">IF(I6069=1,D6069*F6069,0)</f>
        <v>14.04</v>
      </c>
      <c r="K6069" s="7" t="n">
        <f aca="false">YEAR(E6069)*100+MONTH(E6069)</f>
        <v>201111</v>
      </c>
      <c r="L6069" s="7" t="n">
        <f aca="false">IF(AND(A6069&lt;&gt;A6068,LEFT(A6069,1)&lt;&gt;"C"),1,0)</f>
        <v>0</v>
      </c>
    </row>
    <row r="6070" customFormat="false" ht="15" hidden="false" customHeight="false" outlineLevel="0" collapsed="false">
      <c r="A6070" s="0" t="s">
        <v>3183</v>
      </c>
      <c r="B6070" s="0" t="s">
        <v>93</v>
      </c>
      <c r="C6070" s="0" t="s">
        <v>94</v>
      </c>
      <c r="D6070" s="0" t="n">
        <v>2</v>
      </c>
      <c r="E6070" s="6" t="n">
        <v>40870.5770833333</v>
      </c>
      <c r="F6070" s="0" t="n">
        <v>4.15</v>
      </c>
      <c r="G6070" s="0" t="n">
        <v>12723</v>
      </c>
      <c r="H6070" s="0" t="s">
        <v>43</v>
      </c>
      <c r="I6070" s="7" t="n">
        <f aca="false">IF(AND(LEFT(A6070,1)&lt;&gt;"C",D6070&gt;0,F6070&gt;0),1,0)</f>
        <v>1</v>
      </c>
      <c r="J6070" s="7" t="n">
        <f aca="false">IF(I6070=1,D6070*F6070,0)</f>
        <v>8.3</v>
      </c>
      <c r="K6070" s="7" t="n">
        <f aca="false">YEAR(E6070)*100+MONTH(E6070)</f>
        <v>201111</v>
      </c>
      <c r="L6070" s="7" t="n">
        <f aca="false">IF(AND(A6070&lt;&gt;A6069,LEFT(A6070,1)&lt;&gt;"C"),1,0)</f>
        <v>0</v>
      </c>
    </row>
    <row r="6071" customFormat="false" ht="15" hidden="false" customHeight="false" outlineLevel="0" collapsed="false">
      <c r="A6071" s="0" t="s">
        <v>3183</v>
      </c>
      <c r="B6071" s="0" t="s">
        <v>89</v>
      </c>
      <c r="C6071" s="0" t="s">
        <v>90</v>
      </c>
      <c r="D6071" s="0" t="n">
        <v>2</v>
      </c>
      <c r="E6071" s="6" t="n">
        <v>40870.5770833333</v>
      </c>
      <c r="F6071" s="0" t="n">
        <v>4.15</v>
      </c>
      <c r="G6071" s="0" t="n">
        <v>12723</v>
      </c>
      <c r="H6071" s="0" t="s">
        <v>43</v>
      </c>
      <c r="I6071" s="7" t="n">
        <f aca="false">IF(AND(LEFT(A6071,1)&lt;&gt;"C",D6071&gt;0,F6071&gt;0),1,0)</f>
        <v>1</v>
      </c>
      <c r="J6071" s="7" t="n">
        <f aca="false">IF(I6071=1,D6071*F6071,0)</f>
        <v>8.3</v>
      </c>
      <c r="K6071" s="7" t="n">
        <f aca="false">YEAR(E6071)*100+MONTH(E6071)</f>
        <v>201111</v>
      </c>
      <c r="L6071" s="7" t="n">
        <f aca="false">IF(AND(A6071&lt;&gt;A6070,LEFT(A6071,1)&lt;&gt;"C"),1,0)</f>
        <v>0</v>
      </c>
    </row>
    <row r="6072" customFormat="false" ht="15" hidden="false" customHeight="false" outlineLevel="0" collapsed="false">
      <c r="A6072" s="0" t="s">
        <v>3183</v>
      </c>
      <c r="B6072" s="0" t="s">
        <v>91</v>
      </c>
      <c r="C6072" s="0" t="s">
        <v>92</v>
      </c>
      <c r="D6072" s="0" t="n">
        <v>2</v>
      </c>
      <c r="E6072" s="6" t="n">
        <v>40870.5770833333</v>
      </c>
      <c r="F6072" s="0" t="n">
        <v>4.15</v>
      </c>
      <c r="G6072" s="0" t="n">
        <v>12723</v>
      </c>
      <c r="H6072" s="0" t="s">
        <v>43</v>
      </c>
      <c r="I6072" s="7" t="n">
        <f aca="false">IF(AND(LEFT(A6072,1)&lt;&gt;"C",D6072&gt;0,F6072&gt;0),1,0)</f>
        <v>1</v>
      </c>
      <c r="J6072" s="7" t="n">
        <f aca="false">IF(I6072=1,D6072*F6072,0)</f>
        <v>8.3</v>
      </c>
      <c r="K6072" s="7" t="n">
        <f aca="false">YEAR(E6072)*100+MONTH(E6072)</f>
        <v>201111</v>
      </c>
      <c r="L6072" s="7" t="n">
        <f aca="false">IF(AND(A6072&lt;&gt;A6071,LEFT(A6072,1)&lt;&gt;"C"),1,0)</f>
        <v>0</v>
      </c>
    </row>
    <row r="6073" customFormat="false" ht="15" hidden="false" customHeight="false" outlineLevel="0" collapsed="false">
      <c r="A6073" s="0" t="s">
        <v>3183</v>
      </c>
      <c r="B6073" s="0" t="s">
        <v>2763</v>
      </c>
      <c r="C6073" s="0" t="s">
        <v>2764</v>
      </c>
      <c r="D6073" s="0" t="n">
        <v>20</v>
      </c>
      <c r="E6073" s="6" t="n">
        <v>40870.5770833333</v>
      </c>
      <c r="F6073" s="0" t="n">
        <v>1.25</v>
      </c>
      <c r="G6073" s="0" t="n">
        <v>12723</v>
      </c>
      <c r="H6073" s="0" t="s">
        <v>43</v>
      </c>
      <c r="I6073" s="7" t="n">
        <f aca="false">IF(AND(LEFT(A6073,1)&lt;&gt;"C",D6073&gt;0,F6073&gt;0),1,0)</f>
        <v>1</v>
      </c>
      <c r="J6073" s="7" t="n">
        <f aca="false">IF(I6073=1,D6073*F6073,0)</f>
        <v>25</v>
      </c>
      <c r="K6073" s="7" t="n">
        <f aca="false">YEAR(E6073)*100+MONTH(E6073)</f>
        <v>201111</v>
      </c>
      <c r="L6073" s="7" t="n">
        <f aca="false">IF(AND(A6073&lt;&gt;A6072,LEFT(A6073,1)&lt;&gt;"C"),1,0)</f>
        <v>0</v>
      </c>
    </row>
    <row r="6074" customFormat="false" ht="15" hidden="false" customHeight="false" outlineLevel="0" collapsed="false">
      <c r="A6074" s="0" t="s">
        <v>3183</v>
      </c>
      <c r="B6074" s="0" t="s">
        <v>1598</v>
      </c>
      <c r="C6074" s="0" t="s">
        <v>1599</v>
      </c>
      <c r="D6074" s="0" t="n">
        <v>15</v>
      </c>
      <c r="E6074" s="6" t="n">
        <v>40870.5770833333</v>
      </c>
      <c r="F6074" s="0" t="n">
        <v>1.25</v>
      </c>
      <c r="G6074" s="0" t="n">
        <v>12723</v>
      </c>
      <c r="H6074" s="0" t="s">
        <v>43</v>
      </c>
      <c r="I6074" s="7" t="n">
        <f aca="false">IF(AND(LEFT(A6074,1)&lt;&gt;"C",D6074&gt;0,F6074&gt;0),1,0)</f>
        <v>1</v>
      </c>
      <c r="J6074" s="7" t="n">
        <f aca="false">IF(I6074=1,D6074*F6074,0)</f>
        <v>18.75</v>
      </c>
      <c r="K6074" s="7" t="n">
        <f aca="false">YEAR(E6074)*100+MONTH(E6074)</f>
        <v>201111</v>
      </c>
      <c r="L6074" s="7" t="n">
        <f aca="false">IF(AND(A6074&lt;&gt;A6073,LEFT(A6074,1)&lt;&gt;"C"),1,0)</f>
        <v>0</v>
      </c>
    </row>
    <row r="6075" customFormat="false" ht="15" hidden="false" customHeight="false" outlineLevel="0" collapsed="false">
      <c r="A6075" s="0" t="s">
        <v>3183</v>
      </c>
      <c r="B6075" s="0" t="s">
        <v>1108</v>
      </c>
      <c r="C6075" s="0" t="s">
        <v>1109</v>
      </c>
      <c r="D6075" s="0" t="n">
        <v>6</v>
      </c>
      <c r="E6075" s="6" t="n">
        <v>40870.5770833333</v>
      </c>
      <c r="F6075" s="0" t="n">
        <v>0.85</v>
      </c>
      <c r="G6075" s="0" t="n">
        <v>12723</v>
      </c>
      <c r="H6075" s="0" t="s">
        <v>43</v>
      </c>
      <c r="I6075" s="7" t="n">
        <f aca="false">IF(AND(LEFT(A6075,1)&lt;&gt;"C",D6075&gt;0,F6075&gt;0),1,0)</f>
        <v>1</v>
      </c>
      <c r="J6075" s="7" t="n">
        <f aca="false">IF(I6075=1,D6075*F6075,0)</f>
        <v>5.1</v>
      </c>
      <c r="K6075" s="7" t="n">
        <f aca="false">YEAR(E6075)*100+MONTH(E6075)</f>
        <v>201111</v>
      </c>
      <c r="L6075" s="7" t="n">
        <f aca="false">IF(AND(A6075&lt;&gt;A6074,LEFT(A6075,1)&lt;&gt;"C"),1,0)</f>
        <v>0</v>
      </c>
    </row>
    <row r="6076" customFormat="false" ht="15" hidden="false" customHeight="false" outlineLevel="0" collapsed="false">
      <c r="A6076" s="0" t="s">
        <v>3183</v>
      </c>
      <c r="B6076" s="0" t="s">
        <v>1784</v>
      </c>
      <c r="C6076" s="0" t="s">
        <v>1785</v>
      </c>
      <c r="D6076" s="0" t="n">
        <v>20</v>
      </c>
      <c r="E6076" s="6" t="n">
        <v>40870.5770833333</v>
      </c>
      <c r="F6076" s="0" t="n">
        <v>1.25</v>
      </c>
      <c r="G6076" s="0" t="n">
        <v>12723</v>
      </c>
      <c r="H6076" s="0" t="s">
        <v>43</v>
      </c>
      <c r="I6076" s="7" t="n">
        <f aca="false">IF(AND(LEFT(A6076,1)&lt;&gt;"C",D6076&gt;0,F6076&gt;0),1,0)</f>
        <v>1</v>
      </c>
      <c r="J6076" s="7" t="n">
        <f aca="false">IF(I6076=1,D6076*F6076,0)</f>
        <v>25</v>
      </c>
      <c r="K6076" s="7" t="n">
        <f aca="false">YEAR(E6076)*100+MONTH(E6076)</f>
        <v>201111</v>
      </c>
      <c r="L6076" s="7" t="n">
        <f aca="false">IF(AND(A6076&lt;&gt;A6075,LEFT(A6076,1)&lt;&gt;"C"),1,0)</f>
        <v>0</v>
      </c>
    </row>
    <row r="6077" customFormat="false" ht="15" hidden="false" customHeight="false" outlineLevel="0" collapsed="false">
      <c r="A6077" s="0" t="s">
        <v>3188</v>
      </c>
      <c r="B6077" s="0" t="s">
        <v>293</v>
      </c>
      <c r="C6077" s="0" t="s">
        <v>294</v>
      </c>
      <c r="D6077" s="0" t="n">
        <v>1</v>
      </c>
      <c r="E6077" s="6" t="n">
        <v>40870.5840277778</v>
      </c>
      <c r="F6077" s="0" t="n">
        <v>8.5</v>
      </c>
      <c r="G6077" s="0" t="n">
        <v>12723</v>
      </c>
      <c r="H6077" s="0" t="s">
        <v>43</v>
      </c>
      <c r="I6077" s="7" t="n">
        <f aca="false">IF(AND(LEFT(A6077,1)&lt;&gt;"C",D6077&gt;0,F6077&gt;0),1,0)</f>
        <v>1</v>
      </c>
      <c r="J6077" s="7" t="n">
        <f aca="false">IF(I6077=1,D6077*F6077,0)</f>
        <v>8.5</v>
      </c>
      <c r="K6077" s="7" t="n">
        <f aca="false">YEAR(E6077)*100+MONTH(E6077)</f>
        <v>201111</v>
      </c>
      <c r="L6077" s="7" t="n">
        <f aca="false">IF(AND(A6077&lt;&gt;A6076,LEFT(A6077,1)&lt;&gt;"C"),1,0)</f>
        <v>1</v>
      </c>
    </row>
    <row r="6078" customFormat="false" ht="15" hidden="false" customHeight="false" outlineLevel="0" collapsed="false">
      <c r="A6078" s="0" t="s">
        <v>3188</v>
      </c>
      <c r="B6078" s="0" t="s">
        <v>62</v>
      </c>
      <c r="C6078" s="0" t="s">
        <v>63</v>
      </c>
      <c r="D6078" s="0" t="n">
        <v>2</v>
      </c>
      <c r="E6078" s="6" t="n">
        <v>40870.5840277778</v>
      </c>
      <c r="F6078" s="0" t="n">
        <v>2.08</v>
      </c>
      <c r="G6078" s="0" t="n">
        <v>12723</v>
      </c>
      <c r="H6078" s="0" t="s">
        <v>43</v>
      </c>
      <c r="I6078" s="7" t="n">
        <f aca="false">IF(AND(LEFT(A6078,1)&lt;&gt;"C",D6078&gt;0,F6078&gt;0),1,0)</f>
        <v>1</v>
      </c>
      <c r="J6078" s="7" t="n">
        <f aca="false">IF(I6078=1,D6078*F6078,0)</f>
        <v>4.16</v>
      </c>
      <c r="K6078" s="7" t="n">
        <f aca="false">YEAR(E6078)*100+MONTH(E6078)</f>
        <v>201111</v>
      </c>
      <c r="L6078" s="7" t="n">
        <f aca="false">IF(AND(A6078&lt;&gt;A6077,LEFT(A6078,1)&lt;&gt;"C"),1,0)</f>
        <v>0</v>
      </c>
    </row>
    <row r="6079" customFormat="false" ht="15" hidden="false" customHeight="false" outlineLevel="0" collapsed="false">
      <c r="A6079" s="0" t="s">
        <v>3188</v>
      </c>
      <c r="B6079" s="0" t="s">
        <v>64</v>
      </c>
      <c r="C6079" s="0" t="s">
        <v>65</v>
      </c>
      <c r="D6079" s="0" t="n">
        <v>4</v>
      </c>
      <c r="E6079" s="6" t="n">
        <v>40870.5840277778</v>
      </c>
      <c r="F6079" s="0" t="n">
        <v>1.65</v>
      </c>
      <c r="G6079" s="0" t="n">
        <v>12723</v>
      </c>
      <c r="H6079" s="0" t="s">
        <v>43</v>
      </c>
      <c r="I6079" s="7" t="n">
        <f aca="false">IF(AND(LEFT(A6079,1)&lt;&gt;"C",D6079&gt;0,F6079&gt;0),1,0)</f>
        <v>1</v>
      </c>
      <c r="J6079" s="7" t="n">
        <f aca="false">IF(I6079=1,D6079*F6079,0)</f>
        <v>6.6</v>
      </c>
      <c r="K6079" s="7" t="n">
        <f aca="false">YEAR(E6079)*100+MONTH(E6079)</f>
        <v>201111</v>
      </c>
      <c r="L6079" s="7" t="n">
        <f aca="false">IF(AND(A6079&lt;&gt;A6078,LEFT(A6079,1)&lt;&gt;"C"),1,0)</f>
        <v>0</v>
      </c>
    </row>
    <row r="6080" customFormat="false" ht="15" hidden="false" customHeight="false" outlineLevel="0" collapsed="false">
      <c r="A6080" s="0" t="s">
        <v>3189</v>
      </c>
      <c r="B6080" s="0" t="s">
        <v>3190</v>
      </c>
      <c r="C6080" s="0" t="s">
        <v>3191</v>
      </c>
      <c r="D6080" s="0" t="n">
        <v>12</v>
      </c>
      <c r="E6080" s="6" t="n">
        <v>40870.6104166667</v>
      </c>
      <c r="F6080" s="0" t="n">
        <v>4.95</v>
      </c>
      <c r="G6080" s="0" t="n">
        <v>12569</v>
      </c>
      <c r="H6080" s="0" t="s">
        <v>33</v>
      </c>
      <c r="I6080" s="7" t="n">
        <f aca="false">IF(AND(LEFT(A6080,1)&lt;&gt;"C",D6080&gt;0,F6080&gt;0),1,0)</f>
        <v>1</v>
      </c>
      <c r="J6080" s="7" t="n">
        <f aca="false">IF(I6080=1,D6080*F6080,0)</f>
        <v>59.4</v>
      </c>
      <c r="K6080" s="7" t="n">
        <f aca="false">YEAR(E6080)*100+MONTH(E6080)</f>
        <v>201111</v>
      </c>
      <c r="L6080" s="7" t="n">
        <f aca="false">IF(AND(A6080&lt;&gt;A6079,LEFT(A6080,1)&lt;&gt;"C"),1,0)</f>
        <v>1</v>
      </c>
    </row>
    <row r="6081" customFormat="false" ht="15" hidden="false" customHeight="false" outlineLevel="0" collapsed="false">
      <c r="A6081" s="0" t="s">
        <v>3189</v>
      </c>
      <c r="B6081" s="0" t="s">
        <v>3192</v>
      </c>
      <c r="C6081" s="0" t="s">
        <v>3193</v>
      </c>
      <c r="D6081" s="0" t="n">
        <v>8</v>
      </c>
      <c r="E6081" s="6" t="n">
        <v>40870.6104166667</v>
      </c>
      <c r="F6081" s="0" t="n">
        <v>3.75</v>
      </c>
      <c r="G6081" s="0" t="n">
        <v>12569</v>
      </c>
      <c r="H6081" s="0" t="s">
        <v>33</v>
      </c>
      <c r="I6081" s="7" t="n">
        <f aca="false">IF(AND(LEFT(A6081,1)&lt;&gt;"C",D6081&gt;0,F6081&gt;0),1,0)</f>
        <v>1</v>
      </c>
      <c r="J6081" s="7" t="n">
        <f aca="false">IF(I6081=1,D6081*F6081,0)</f>
        <v>30</v>
      </c>
      <c r="K6081" s="7" t="n">
        <f aca="false">YEAR(E6081)*100+MONTH(E6081)</f>
        <v>201111</v>
      </c>
      <c r="L6081" s="7" t="n">
        <f aca="false">IF(AND(A6081&lt;&gt;A6080,LEFT(A6081,1)&lt;&gt;"C"),1,0)</f>
        <v>0</v>
      </c>
    </row>
    <row r="6082" customFormat="false" ht="15" hidden="false" customHeight="false" outlineLevel="0" collapsed="false">
      <c r="A6082" s="0" t="s">
        <v>3189</v>
      </c>
      <c r="B6082" s="0" t="s">
        <v>3194</v>
      </c>
      <c r="C6082" s="0" t="s">
        <v>3195</v>
      </c>
      <c r="D6082" s="0" t="n">
        <v>24</v>
      </c>
      <c r="E6082" s="6" t="n">
        <v>40870.6104166667</v>
      </c>
      <c r="F6082" s="0" t="n">
        <v>0.85</v>
      </c>
      <c r="G6082" s="0" t="n">
        <v>12569</v>
      </c>
      <c r="H6082" s="0" t="s">
        <v>33</v>
      </c>
      <c r="I6082" s="7" t="n">
        <f aca="false">IF(AND(LEFT(A6082,1)&lt;&gt;"C",D6082&gt;0,F6082&gt;0),1,0)</f>
        <v>1</v>
      </c>
      <c r="J6082" s="7" t="n">
        <f aca="false">IF(I6082=1,D6082*F6082,0)</f>
        <v>20.4</v>
      </c>
      <c r="K6082" s="7" t="n">
        <f aca="false">YEAR(E6082)*100+MONTH(E6082)</f>
        <v>201111</v>
      </c>
      <c r="L6082" s="7" t="n">
        <f aca="false">IF(AND(A6082&lt;&gt;A6081,LEFT(A6082,1)&lt;&gt;"C"),1,0)</f>
        <v>0</v>
      </c>
    </row>
    <row r="6083" customFormat="false" ht="15" hidden="false" customHeight="false" outlineLevel="0" collapsed="false">
      <c r="A6083" s="0" t="s">
        <v>3189</v>
      </c>
      <c r="B6083" s="0" t="s">
        <v>84</v>
      </c>
      <c r="C6083" s="0" t="s">
        <v>85</v>
      </c>
      <c r="D6083" s="0" t="n">
        <v>2</v>
      </c>
      <c r="E6083" s="6" t="n">
        <v>40870.6104166667</v>
      </c>
      <c r="F6083" s="0" t="n">
        <v>18</v>
      </c>
      <c r="G6083" s="0" t="n">
        <v>12569</v>
      </c>
      <c r="H6083" s="0" t="s">
        <v>33</v>
      </c>
      <c r="I6083" s="7" t="n">
        <f aca="false">IF(AND(LEFT(A6083,1)&lt;&gt;"C",D6083&gt;0,F6083&gt;0),1,0)</f>
        <v>1</v>
      </c>
      <c r="J6083" s="7" t="n">
        <f aca="false">IF(I6083=1,D6083*F6083,0)</f>
        <v>36</v>
      </c>
      <c r="K6083" s="7" t="n">
        <f aca="false">YEAR(E6083)*100+MONTH(E6083)</f>
        <v>201111</v>
      </c>
      <c r="L6083" s="7" t="n">
        <f aca="false">IF(AND(A6083&lt;&gt;A6082,LEFT(A6083,1)&lt;&gt;"C"),1,0)</f>
        <v>0</v>
      </c>
    </row>
    <row r="6084" customFormat="false" ht="15" hidden="false" customHeight="false" outlineLevel="0" collapsed="false">
      <c r="A6084" s="0" t="s">
        <v>3189</v>
      </c>
      <c r="B6084" s="0" t="s">
        <v>2517</v>
      </c>
      <c r="C6084" s="0" t="s">
        <v>2518</v>
      </c>
      <c r="D6084" s="0" t="n">
        <v>10</v>
      </c>
      <c r="E6084" s="6" t="n">
        <v>40870.6104166667</v>
      </c>
      <c r="F6084" s="0" t="n">
        <v>2.1</v>
      </c>
      <c r="G6084" s="0" t="n">
        <v>12569</v>
      </c>
      <c r="H6084" s="0" t="s">
        <v>33</v>
      </c>
      <c r="I6084" s="7" t="n">
        <f aca="false">IF(AND(LEFT(A6084,1)&lt;&gt;"C",D6084&gt;0,F6084&gt;0),1,0)</f>
        <v>1</v>
      </c>
      <c r="J6084" s="7" t="n">
        <f aca="false">IF(I6084=1,D6084*F6084,0)</f>
        <v>21</v>
      </c>
      <c r="K6084" s="7" t="n">
        <f aca="false">YEAR(E6084)*100+MONTH(E6084)</f>
        <v>201111</v>
      </c>
      <c r="L6084" s="7" t="n">
        <f aca="false">IF(AND(A6084&lt;&gt;A6083,LEFT(A6084,1)&lt;&gt;"C"),1,0)</f>
        <v>0</v>
      </c>
    </row>
    <row r="6085" customFormat="false" ht="15" hidden="false" customHeight="false" outlineLevel="0" collapsed="false">
      <c r="A6085" s="0" t="s">
        <v>3189</v>
      </c>
      <c r="B6085" s="0" t="s">
        <v>752</v>
      </c>
      <c r="C6085" s="0" t="s">
        <v>753</v>
      </c>
      <c r="D6085" s="0" t="n">
        <v>12</v>
      </c>
      <c r="E6085" s="6" t="n">
        <v>40870.6104166667</v>
      </c>
      <c r="F6085" s="0" t="n">
        <v>1.65</v>
      </c>
      <c r="G6085" s="0" t="n">
        <v>12569</v>
      </c>
      <c r="H6085" s="0" t="s">
        <v>33</v>
      </c>
      <c r="I6085" s="7" t="n">
        <f aca="false">IF(AND(LEFT(A6085,1)&lt;&gt;"C",D6085&gt;0,F6085&gt;0),1,0)</f>
        <v>1</v>
      </c>
      <c r="J6085" s="7" t="n">
        <f aca="false">IF(I6085=1,D6085*F6085,0)</f>
        <v>19.8</v>
      </c>
      <c r="K6085" s="7" t="n">
        <f aca="false">YEAR(E6085)*100+MONTH(E6085)</f>
        <v>201111</v>
      </c>
      <c r="L6085" s="7" t="n">
        <f aca="false">IF(AND(A6085&lt;&gt;A6084,LEFT(A6085,1)&lt;&gt;"C"),1,0)</f>
        <v>0</v>
      </c>
    </row>
    <row r="6086" customFormat="false" ht="15" hidden="false" customHeight="false" outlineLevel="0" collapsed="false">
      <c r="A6086" s="0" t="s">
        <v>3189</v>
      </c>
      <c r="B6086" s="0" t="s">
        <v>226</v>
      </c>
      <c r="C6086" s="0" t="s">
        <v>227</v>
      </c>
      <c r="D6086" s="0" t="n">
        <v>6</v>
      </c>
      <c r="E6086" s="6" t="n">
        <v>40870.6104166667</v>
      </c>
      <c r="F6086" s="0" t="n">
        <v>2.95</v>
      </c>
      <c r="G6086" s="0" t="n">
        <v>12569</v>
      </c>
      <c r="H6086" s="0" t="s">
        <v>33</v>
      </c>
      <c r="I6086" s="7" t="n">
        <f aca="false">IF(AND(LEFT(A6086,1)&lt;&gt;"C",D6086&gt;0,F6086&gt;0),1,0)</f>
        <v>1</v>
      </c>
      <c r="J6086" s="7" t="n">
        <f aca="false">IF(I6086=1,D6086*F6086,0)</f>
        <v>17.7</v>
      </c>
      <c r="K6086" s="7" t="n">
        <f aca="false">YEAR(E6086)*100+MONTH(E6086)</f>
        <v>201111</v>
      </c>
      <c r="L6086" s="7" t="n">
        <f aca="false">IF(AND(A6086&lt;&gt;A6085,LEFT(A6086,1)&lt;&gt;"C"),1,0)</f>
        <v>0</v>
      </c>
    </row>
    <row r="6087" customFormat="false" ht="15" hidden="false" customHeight="false" outlineLevel="0" collapsed="false">
      <c r="A6087" s="0" t="s">
        <v>3196</v>
      </c>
      <c r="B6087" s="0" t="s">
        <v>109</v>
      </c>
      <c r="C6087" s="0" t="s">
        <v>110</v>
      </c>
      <c r="D6087" s="0" t="n">
        <v>128</v>
      </c>
      <c r="E6087" s="6" t="n">
        <v>40870.6194444444</v>
      </c>
      <c r="F6087" s="0" t="n">
        <v>0.72</v>
      </c>
      <c r="G6087" s="0" t="n">
        <v>12619</v>
      </c>
      <c r="H6087" s="0" t="s">
        <v>33</v>
      </c>
      <c r="I6087" s="7" t="n">
        <f aca="false">IF(AND(LEFT(A6087,1)&lt;&gt;"C",D6087&gt;0,F6087&gt;0),1,0)</f>
        <v>1</v>
      </c>
      <c r="J6087" s="7" t="n">
        <f aca="false">IF(I6087=1,D6087*F6087,0)</f>
        <v>92.16</v>
      </c>
      <c r="K6087" s="7" t="n">
        <f aca="false">YEAR(E6087)*100+MONTH(E6087)</f>
        <v>201111</v>
      </c>
      <c r="L6087" s="7" t="n">
        <f aca="false">IF(AND(A6087&lt;&gt;A6086,LEFT(A6087,1)&lt;&gt;"C"),1,0)</f>
        <v>1</v>
      </c>
    </row>
    <row r="6088" customFormat="false" ht="15" hidden="false" customHeight="false" outlineLevel="0" collapsed="false">
      <c r="A6088" s="0" t="s">
        <v>3196</v>
      </c>
      <c r="B6088" s="0" t="s">
        <v>103</v>
      </c>
      <c r="C6088" s="0" t="s">
        <v>104</v>
      </c>
      <c r="D6088" s="0" t="n">
        <v>24</v>
      </c>
      <c r="E6088" s="6" t="n">
        <v>40870.6194444444</v>
      </c>
      <c r="F6088" s="0" t="n">
        <v>0.55</v>
      </c>
      <c r="G6088" s="0" t="n">
        <v>12619</v>
      </c>
      <c r="H6088" s="0" t="s">
        <v>33</v>
      </c>
      <c r="I6088" s="7" t="n">
        <f aca="false">IF(AND(LEFT(A6088,1)&lt;&gt;"C",D6088&gt;0,F6088&gt;0),1,0)</f>
        <v>1</v>
      </c>
      <c r="J6088" s="7" t="n">
        <f aca="false">IF(I6088=1,D6088*F6088,0)</f>
        <v>13.2</v>
      </c>
      <c r="K6088" s="7" t="n">
        <f aca="false">YEAR(E6088)*100+MONTH(E6088)</f>
        <v>201111</v>
      </c>
      <c r="L6088" s="7" t="n">
        <f aca="false">IF(AND(A6088&lt;&gt;A6087,LEFT(A6088,1)&lt;&gt;"C"),1,0)</f>
        <v>0</v>
      </c>
    </row>
    <row r="6089" customFormat="false" ht="15" hidden="false" customHeight="false" outlineLevel="0" collapsed="false">
      <c r="A6089" s="0" t="s">
        <v>3196</v>
      </c>
      <c r="B6089" s="0" t="s">
        <v>717</v>
      </c>
      <c r="C6089" s="0" t="s">
        <v>718</v>
      </c>
      <c r="D6089" s="0" t="n">
        <v>128</v>
      </c>
      <c r="E6089" s="6" t="n">
        <v>40870.6194444444</v>
      </c>
      <c r="F6089" s="0" t="n">
        <v>0.72</v>
      </c>
      <c r="G6089" s="0" t="n">
        <v>12619</v>
      </c>
      <c r="H6089" s="0" t="s">
        <v>33</v>
      </c>
      <c r="I6089" s="7" t="n">
        <f aca="false">IF(AND(LEFT(A6089,1)&lt;&gt;"C",D6089&gt;0,F6089&gt;0),1,0)</f>
        <v>1</v>
      </c>
      <c r="J6089" s="7" t="n">
        <f aca="false">IF(I6089=1,D6089*F6089,0)</f>
        <v>92.16</v>
      </c>
      <c r="K6089" s="7" t="n">
        <f aca="false">YEAR(E6089)*100+MONTH(E6089)</f>
        <v>201111</v>
      </c>
      <c r="L6089" s="7" t="n">
        <f aca="false">IF(AND(A6089&lt;&gt;A6088,LEFT(A6089,1)&lt;&gt;"C"),1,0)</f>
        <v>0</v>
      </c>
    </row>
    <row r="6090" customFormat="false" ht="15" hidden="false" customHeight="false" outlineLevel="0" collapsed="false">
      <c r="A6090" s="0" t="s">
        <v>3196</v>
      </c>
      <c r="B6090" s="0" t="s">
        <v>2340</v>
      </c>
      <c r="C6090" s="0" t="s">
        <v>2341</v>
      </c>
      <c r="D6090" s="0" t="n">
        <v>12</v>
      </c>
      <c r="E6090" s="6" t="n">
        <v>40870.6194444444</v>
      </c>
      <c r="F6090" s="0" t="n">
        <v>0.42</v>
      </c>
      <c r="G6090" s="0" t="n">
        <v>12619</v>
      </c>
      <c r="H6090" s="0" t="s">
        <v>33</v>
      </c>
      <c r="I6090" s="7" t="n">
        <f aca="false">IF(AND(LEFT(A6090,1)&lt;&gt;"C",D6090&gt;0,F6090&gt;0),1,0)</f>
        <v>1</v>
      </c>
      <c r="J6090" s="7" t="n">
        <f aca="false">IF(I6090=1,D6090*F6090,0)</f>
        <v>5.04</v>
      </c>
      <c r="K6090" s="7" t="n">
        <f aca="false">YEAR(E6090)*100+MONTH(E6090)</f>
        <v>201111</v>
      </c>
      <c r="L6090" s="7" t="n">
        <f aca="false">IF(AND(A6090&lt;&gt;A6089,LEFT(A6090,1)&lt;&gt;"C"),1,0)</f>
        <v>0</v>
      </c>
    </row>
    <row r="6091" customFormat="false" ht="15" hidden="false" customHeight="false" outlineLevel="0" collapsed="false">
      <c r="A6091" s="0" t="s">
        <v>3196</v>
      </c>
      <c r="B6091" s="0" t="s">
        <v>2338</v>
      </c>
      <c r="C6091" s="0" t="s">
        <v>2339</v>
      </c>
      <c r="D6091" s="0" t="n">
        <v>24</v>
      </c>
      <c r="E6091" s="6" t="n">
        <v>40870.6194444444</v>
      </c>
      <c r="F6091" s="0" t="n">
        <v>0.42</v>
      </c>
      <c r="G6091" s="0" t="n">
        <v>12619</v>
      </c>
      <c r="H6091" s="0" t="s">
        <v>33</v>
      </c>
      <c r="I6091" s="7" t="n">
        <f aca="false">IF(AND(LEFT(A6091,1)&lt;&gt;"C",D6091&gt;0,F6091&gt;0),1,0)</f>
        <v>1</v>
      </c>
      <c r="J6091" s="7" t="n">
        <f aca="false">IF(I6091=1,D6091*F6091,0)</f>
        <v>10.08</v>
      </c>
      <c r="K6091" s="7" t="n">
        <f aca="false">YEAR(E6091)*100+MONTH(E6091)</f>
        <v>201111</v>
      </c>
      <c r="L6091" s="7" t="n">
        <f aca="false">IF(AND(A6091&lt;&gt;A6090,LEFT(A6091,1)&lt;&gt;"C"),1,0)</f>
        <v>0</v>
      </c>
    </row>
    <row r="6092" customFormat="false" ht="15" hidden="false" customHeight="false" outlineLevel="0" collapsed="false">
      <c r="A6092" s="0" t="s">
        <v>3196</v>
      </c>
      <c r="B6092" s="0" t="s">
        <v>1455</v>
      </c>
      <c r="C6092" s="0" t="s">
        <v>1456</v>
      </c>
      <c r="D6092" s="0" t="n">
        <v>24</v>
      </c>
      <c r="E6092" s="6" t="n">
        <v>40870.6194444444</v>
      </c>
      <c r="F6092" s="0" t="n">
        <v>0.65</v>
      </c>
      <c r="G6092" s="0" t="n">
        <v>12619</v>
      </c>
      <c r="H6092" s="0" t="s">
        <v>33</v>
      </c>
      <c r="I6092" s="7" t="n">
        <f aca="false">IF(AND(LEFT(A6092,1)&lt;&gt;"C",D6092&gt;0,F6092&gt;0),1,0)</f>
        <v>1</v>
      </c>
      <c r="J6092" s="7" t="n">
        <f aca="false">IF(I6092=1,D6092*F6092,0)</f>
        <v>15.6</v>
      </c>
      <c r="K6092" s="7" t="n">
        <f aca="false">YEAR(E6092)*100+MONTH(E6092)</f>
        <v>201111</v>
      </c>
      <c r="L6092" s="7" t="n">
        <f aca="false">IF(AND(A6092&lt;&gt;A6091,LEFT(A6092,1)&lt;&gt;"C"),1,0)</f>
        <v>0</v>
      </c>
    </row>
    <row r="6093" customFormat="false" ht="15" hidden="false" customHeight="false" outlineLevel="0" collapsed="false">
      <c r="A6093" s="0" t="s">
        <v>3196</v>
      </c>
      <c r="B6093" s="0" t="s">
        <v>1561</v>
      </c>
      <c r="C6093" s="0" t="s">
        <v>1562</v>
      </c>
      <c r="D6093" s="0" t="n">
        <v>12</v>
      </c>
      <c r="E6093" s="6" t="n">
        <v>40870.6194444444</v>
      </c>
      <c r="F6093" s="0" t="n">
        <v>0.42</v>
      </c>
      <c r="G6093" s="0" t="n">
        <v>12619</v>
      </c>
      <c r="H6093" s="0" t="s">
        <v>33</v>
      </c>
      <c r="I6093" s="7" t="n">
        <f aca="false">IF(AND(LEFT(A6093,1)&lt;&gt;"C",D6093&gt;0,F6093&gt;0),1,0)</f>
        <v>1</v>
      </c>
      <c r="J6093" s="7" t="n">
        <f aca="false">IF(I6093=1,D6093*F6093,0)</f>
        <v>5.04</v>
      </c>
      <c r="K6093" s="7" t="n">
        <f aca="false">YEAR(E6093)*100+MONTH(E6093)</f>
        <v>201111</v>
      </c>
      <c r="L6093" s="7" t="n">
        <f aca="false">IF(AND(A6093&lt;&gt;A6092,LEFT(A6093,1)&lt;&gt;"C"),1,0)</f>
        <v>0</v>
      </c>
    </row>
    <row r="6094" customFormat="false" ht="15" hidden="false" customHeight="false" outlineLevel="0" collapsed="false">
      <c r="A6094" s="0" t="s">
        <v>3196</v>
      </c>
      <c r="B6094" s="0" t="s">
        <v>119</v>
      </c>
      <c r="C6094" s="0" t="s">
        <v>120</v>
      </c>
      <c r="D6094" s="0" t="n">
        <v>12</v>
      </c>
      <c r="E6094" s="6" t="n">
        <v>40870.6194444444</v>
      </c>
      <c r="F6094" s="0" t="n">
        <v>0.42</v>
      </c>
      <c r="G6094" s="0" t="n">
        <v>12619</v>
      </c>
      <c r="H6094" s="0" t="s">
        <v>33</v>
      </c>
      <c r="I6094" s="7" t="n">
        <f aca="false">IF(AND(LEFT(A6094,1)&lt;&gt;"C",D6094&gt;0,F6094&gt;0),1,0)</f>
        <v>1</v>
      </c>
      <c r="J6094" s="7" t="n">
        <f aca="false">IF(I6094=1,D6094*F6094,0)</f>
        <v>5.04</v>
      </c>
      <c r="K6094" s="7" t="n">
        <f aca="false">YEAR(E6094)*100+MONTH(E6094)</f>
        <v>201111</v>
      </c>
      <c r="L6094" s="7" t="n">
        <f aca="false">IF(AND(A6094&lt;&gt;A6093,LEFT(A6094,1)&lt;&gt;"C"),1,0)</f>
        <v>0</v>
      </c>
    </row>
    <row r="6095" customFormat="false" ht="15" hidden="false" customHeight="false" outlineLevel="0" collapsed="false">
      <c r="A6095" s="0" t="s">
        <v>3196</v>
      </c>
      <c r="B6095" s="0" t="s">
        <v>3197</v>
      </c>
      <c r="C6095" s="0" t="s">
        <v>3198</v>
      </c>
      <c r="D6095" s="0" t="n">
        <v>12</v>
      </c>
      <c r="E6095" s="6" t="n">
        <v>40870.6194444444</v>
      </c>
      <c r="F6095" s="0" t="n">
        <v>0.42</v>
      </c>
      <c r="G6095" s="0" t="n">
        <v>12619</v>
      </c>
      <c r="H6095" s="0" t="s">
        <v>33</v>
      </c>
      <c r="I6095" s="7" t="n">
        <f aca="false">IF(AND(LEFT(A6095,1)&lt;&gt;"C",D6095&gt;0,F6095&gt;0),1,0)</f>
        <v>1</v>
      </c>
      <c r="J6095" s="7" t="n">
        <f aca="false">IF(I6095=1,D6095*F6095,0)</f>
        <v>5.04</v>
      </c>
      <c r="K6095" s="7" t="n">
        <f aca="false">YEAR(E6095)*100+MONTH(E6095)</f>
        <v>201111</v>
      </c>
      <c r="L6095" s="7" t="n">
        <f aca="false">IF(AND(A6095&lt;&gt;A6094,LEFT(A6095,1)&lt;&gt;"C"),1,0)</f>
        <v>0</v>
      </c>
    </row>
    <row r="6096" customFormat="false" ht="15" hidden="false" customHeight="false" outlineLevel="0" collapsed="false">
      <c r="A6096" s="0" t="s">
        <v>3196</v>
      </c>
      <c r="B6096" s="0" t="s">
        <v>179</v>
      </c>
      <c r="C6096" s="0" t="s">
        <v>180</v>
      </c>
      <c r="D6096" s="0" t="n">
        <v>12</v>
      </c>
      <c r="E6096" s="6" t="n">
        <v>40870.6194444444</v>
      </c>
      <c r="F6096" s="0" t="n">
        <v>0.42</v>
      </c>
      <c r="G6096" s="0" t="n">
        <v>12619</v>
      </c>
      <c r="H6096" s="0" t="s">
        <v>33</v>
      </c>
      <c r="I6096" s="7" t="n">
        <f aca="false">IF(AND(LEFT(A6096,1)&lt;&gt;"C",D6096&gt;0,F6096&gt;0),1,0)</f>
        <v>1</v>
      </c>
      <c r="J6096" s="7" t="n">
        <f aca="false">IF(I6096=1,D6096*F6096,0)</f>
        <v>5.04</v>
      </c>
      <c r="K6096" s="7" t="n">
        <f aca="false">YEAR(E6096)*100+MONTH(E6096)</f>
        <v>201111</v>
      </c>
      <c r="L6096" s="7" t="n">
        <f aca="false">IF(AND(A6096&lt;&gt;A6095,LEFT(A6096,1)&lt;&gt;"C"),1,0)</f>
        <v>0</v>
      </c>
    </row>
    <row r="6097" customFormat="false" ht="15" hidden="false" customHeight="false" outlineLevel="0" collapsed="false">
      <c r="A6097" s="0" t="s">
        <v>3196</v>
      </c>
      <c r="B6097" s="0" t="s">
        <v>1375</v>
      </c>
      <c r="C6097" s="0" t="s">
        <v>1376</v>
      </c>
      <c r="D6097" s="0" t="n">
        <v>12</v>
      </c>
      <c r="E6097" s="6" t="n">
        <v>40870.6194444444</v>
      </c>
      <c r="F6097" s="0" t="n">
        <v>1.45</v>
      </c>
      <c r="G6097" s="0" t="n">
        <v>12619</v>
      </c>
      <c r="H6097" s="0" t="s">
        <v>33</v>
      </c>
      <c r="I6097" s="7" t="n">
        <f aca="false">IF(AND(LEFT(A6097,1)&lt;&gt;"C",D6097&gt;0,F6097&gt;0),1,0)</f>
        <v>1</v>
      </c>
      <c r="J6097" s="7" t="n">
        <f aca="false">IF(I6097=1,D6097*F6097,0)</f>
        <v>17.4</v>
      </c>
      <c r="K6097" s="7" t="n">
        <f aca="false">YEAR(E6097)*100+MONTH(E6097)</f>
        <v>201111</v>
      </c>
      <c r="L6097" s="7" t="n">
        <f aca="false">IF(AND(A6097&lt;&gt;A6096,LEFT(A6097,1)&lt;&gt;"C"),1,0)</f>
        <v>0</v>
      </c>
    </row>
    <row r="6098" customFormat="false" ht="15" hidden="false" customHeight="false" outlineLevel="0" collapsed="false">
      <c r="A6098" s="0" t="s">
        <v>3196</v>
      </c>
      <c r="B6098" s="0" t="s">
        <v>1856</v>
      </c>
      <c r="C6098" s="0" t="s">
        <v>1857</v>
      </c>
      <c r="D6098" s="0" t="n">
        <v>12</v>
      </c>
      <c r="E6098" s="6" t="n">
        <v>40870.6194444444</v>
      </c>
      <c r="F6098" s="0" t="n">
        <v>1.45</v>
      </c>
      <c r="G6098" s="0" t="n">
        <v>12619</v>
      </c>
      <c r="H6098" s="0" t="s">
        <v>33</v>
      </c>
      <c r="I6098" s="7" t="n">
        <f aca="false">IF(AND(LEFT(A6098,1)&lt;&gt;"C",D6098&gt;0,F6098&gt;0),1,0)</f>
        <v>1</v>
      </c>
      <c r="J6098" s="7" t="n">
        <f aca="false">IF(I6098=1,D6098*F6098,0)</f>
        <v>17.4</v>
      </c>
      <c r="K6098" s="7" t="n">
        <f aca="false">YEAR(E6098)*100+MONTH(E6098)</f>
        <v>201111</v>
      </c>
      <c r="L6098" s="7" t="n">
        <f aca="false">IF(AND(A6098&lt;&gt;A6097,LEFT(A6098,1)&lt;&gt;"C"),1,0)</f>
        <v>0</v>
      </c>
    </row>
    <row r="6099" customFormat="false" ht="15" hidden="false" customHeight="false" outlineLevel="0" collapsed="false">
      <c r="A6099" s="0" t="s">
        <v>3196</v>
      </c>
      <c r="B6099" s="0" t="s">
        <v>1858</v>
      </c>
      <c r="C6099" s="0" t="s">
        <v>1859</v>
      </c>
      <c r="D6099" s="0" t="n">
        <v>12</v>
      </c>
      <c r="E6099" s="6" t="n">
        <v>40870.6194444444</v>
      </c>
      <c r="F6099" s="0" t="n">
        <v>1.45</v>
      </c>
      <c r="G6099" s="0" t="n">
        <v>12619</v>
      </c>
      <c r="H6099" s="0" t="s">
        <v>33</v>
      </c>
      <c r="I6099" s="7" t="n">
        <f aca="false">IF(AND(LEFT(A6099,1)&lt;&gt;"C",D6099&gt;0,F6099&gt;0),1,0)</f>
        <v>1</v>
      </c>
      <c r="J6099" s="7" t="n">
        <f aca="false">IF(I6099=1,D6099*F6099,0)</f>
        <v>17.4</v>
      </c>
      <c r="K6099" s="7" t="n">
        <f aca="false">YEAR(E6099)*100+MONTH(E6099)</f>
        <v>201111</v>
      </c>
      <c r="L6099" s="7" t="n">
        <f aca="false">IF(AND(A6099&lt;&gt;A6098,LEFT(A6099,1)&lt;&gt;"C"),1,0)</f>
        <v>0</v>
      </c>
    </row>
    <row r="6100" customFormat="false" ht="15" hidden="false" customHeight="false" outlineLevel="0" collapsed="false">
      <c r="A6100" s="0" t="s">
        <v>3196</v>
      </c>
      <c r="B6100" s="0" t="s">
        <v>769</v>
      </c>
      <c r="C6100" s="0" t="s">
        <v>770</v>
      </c>
      <c r="D6100" s="0" t="n">
        <v>12</v>
      </c>
      <c r="E6100" s="6" t="n">
        <v>40870.6194444444</v>
      </c>
      <c r="F6100" s="0" t="n">
        <v>1.45</v>
      </c>
      <c r="G6100" s="0" t="n">
        <v>12619</v>
      </c>
      <c r="H6100" s="0" t="s">
        <v>33</v>
      </c>
      <c r="I6100" s="7" t="n">
        <f aca="false">IF(AND(LEFT(A6100,1)&lt;&gt;"C",D6100&gt;0,F6100&gt;0),1,0)</f>
        <v>1</v>
      </c>
      <c r="J6100" s="7" t="n">
        <f aca="false">IF(I6100=1,D6100*F6100,0)</f>
        <v>17.4</v>
      </c>
      <c r="K6100" s="7" t="n">
        <f aca="false">YEAR(E6100)*100+MONTH(E6100)</f>
        <v>201111</v>
      </c>
      <c r="L6100" s="7" t="n">
        <f aca="false">IF(AND(A6100&lt;&gt;A6099,LEFT(A6100,1)&lt;&gt;"C"),1,0)</f>
        <v>0</v>
      </c>
    </row>
    <row r="6101" customFormat="false" ht="15" hidden="false" customHeight="false" outlineLevel="0" collapsed="false">
      <c r="A6101" s="0" t="s">
        <v>3196</v>
      </c>
      <c r="B6101" s="0" t="s">
        <v>2204</v>
      </c>
      <c r="C6101" s="0" t="s">
        <v>2205</v>
      </c>
      <c r="D6101" s="0" t="n">
        <v>12</v>
      </c>
      <c r="E6101" s="6" t="n">
        <v>40870.6194444444</v>
      </c>
      <c r="F6101" s="0" t="n">
        <v>0.85</v>
      </c>
      <c r="G6101" s="0" t="n">
        <v>12619</v>
      </c>
      <c r="H6101" s="0" t="s">
        <v>33</v>
      </c>
      <c r="I6101" s="7" t="n">
        <f aca="false">IF(AND(LEFT(A6101,1)&lt;&gt;"C",D6101&gt;0,F6101&gt;0),1,0)</f>
        <v>1</v>
      </c>
      <c r="J6101" s="7" t="n">
        <f aca="false">IF(I6101=1,D6101*F6101,0)</f>
        <v>10.2</v>
      </c>
      <c r="K6101" s="7" t="n">
        <f aca="false">YEAR(E6101)*100+MONTH(E6101)</f>
        <v>201111</v>
      </c>
      <c r="L6101" s="7" t="n">
        <f aca="false">IF(AND(A6101&lt;&gt;A6100,LEFT(A6101,1)&lt;&gt;"C"),1,0)</f>
        <v>0</v>
      </c>
    </row>
    <row r="6102" customFormat="false" ht="15" hidden="false" customHeight="false" outlineLevel="0" collapsed="false">
      <c r="A6102" s="0" t="s">
        <v>3196</v>
      </c>
      <c r="B6102" s="0" t="s">
        <v>2798</v>
      </c>
      <c r="C6102" s="0" t="s">
        <v>2799</v>
      </c>
      <c r="D6102" s="0" t="n">
        <v>10</v>
      </c>
      <c r="E6102" s="6" t="n">
        <v>40870.6194444444</v>
      </c>
      <c r="F6102" s="0" t="n">
        <v>1.65</v>
      </c>
      <c r="G6102" s="0" t="n">
        <v>12619</v>
      </c>
      <c r="H6102" s="0" t="s">
        <v>33</v>
      </c>
      <c r="I6102" s="7" t="n">
        <f aca="false">IF(AND(LEFT(A6102,1)&lt;&gt;"C",D6102&gt;0,F6102&gt;0),1,0)</f>
        <v>1</v>
      </c>
      <c r="J6102" s="7" t="n">
        <f aca="false">IF(I6102=1,D6102*F6102,0)</f>
        <v>16.5</v>
      </c>
      <c r="K6102" s="7" t="n">
        <f aca="false">YEAR(E6102)*100+MONTH(E6102)</f>
        <v>201111</v>
      </c>
      <c r="L6102" s="7" t="n">
        <f aca="false">IF(AND(A6102&lt;&gt;A6101,LEFT(A6102,1)&lt;&gt;"C"),1,0)</f>
        <v>0</v>
      </c>
    </row>
    <row r="6103" customFormat="false" ht="15" hidden="false" customHeight="false" outlineLevel="0" collapsed="false">
      <c r="A6103" s="0" t="s">
        <v>3196</v>
      </c>
      <c r="B6103" s="0" t="s">
        <v>84</v>
      </c>
      <c r="C6103" s="0" t="s">
        <v>85</v>
      </c>
      <c r="D6103" s="0" t="n">
        <v>3</v>
      </c>
      <c r="E6103" s="6" t="n">
        <v>40870.6194444444</v>
      </c>
      <c r="F6103" s="0" t="n">
        <v>18</v>
      </c>
      <c r="G6103" s="0" t="n">
        <v>12619</v>
      </c>
      <c r="H6103" s="0" t="s">
        <v>33</v>
      </c>
      <c r="I6103" s="7" t="n">
        <f aca="false">IF(AND(LEFT(A6103,1)&lt;&gt;"C",D6103&gt;0,F6103&gt;0),1,0)</f>
        <v>1</v>
      </c>
      <c r="J6103" s="7" t="n">
        <f aca="false">IF(I6103=1,D6103*F6103,0)</f>
        <v>54</v>
      </c>
      <c r="K6103" s="7" t="n">
        <f aca="false">YEAR(E6103)*100+MONTH(E6103)</f>
        <v>201111</v>
      </c>
      <c r="L6103" s="7" t="n">
        <f aca="false">IF(AND(A6103&lt;&gt;A6102,LEFT(A6103,1)&lt;&gt;"C"),1,0)</f>
        <v>0</v>
      </c>
    </row>
    <row r="6104" customFormat="false" ht="15" hidden="false" customHeight="false" outlineLevel="0" collapsed="false">
      <c r="A6104" s="0" t="s">
        <v>3199</v>
      </c>
      <c r="B6104" s="0" t="s">
        <v>943</v>
      </c>
      <c r="C6104" s="0" t="s">
        <v>944</v>
      </c>
      <c r="D6104" s="0" t="n">
        <v>36</v>
      </c>
      <c r="E6104" s="6" t="n">
        <v>40871.3680555556</v>
      </c>
      <c r="F6104" s="0" t="n">
        <v>1.95</v>
      </c>
      <c r="G6104" s="0" t="n">
        <v>12471</v>
      </c>
      <c r="H6104" s="0" t="s">
        <v>33</v>
      </c>
      <c r="I6104" s="7" t="n">
        <f aca="false">IF(AND(LEFT(A6104,1)&lt;&gt;"C",D6104&gt;0,F6104&gt;0),1,0)</f>
        <v>1</v>
      </c>
      <c r="J6104" s="7" t="n">
        <f aca="false">IF(I6104=1,D6104*F6104,0)</f>
        <v>70.2</v>
      </c>
      <c r="K6104" s="7" t="n">
        <f aca="false">YEAR(E6104)*100+MONTH(E6104)</f>
        <v>201111</v>
      </c>
      <c r="L6104" s="7" t="n">
        <f aca="false">IF(AND(A6104&lt;&gt;A6103,LEFT(A6104,1)&lt;&gt;"C"),1,0)</f>
        <v>1</v>
      </c>
    </row>
    <row r="6105" customFormat="false" ht="15" hidden="false" customHeight="false" outlineLevel="0" collapsed="false">
      <c r="A6105" s="0" t="s">
        <v>3199</v>
      </c>
      <c r="B6105" s="0" t="s">
        <v>1221</v>
      </c>
      <c r="C6105" s="0" t="s">
        <v>1222</v>
      </c>
      <c r="D6105" s="0" t="n">
        <v>24</v>
      </c>
      <c r="E6105" s="6" t="n">
        <v>40871.3680555556</v>
      </c>
      <c r="F6105" s="0" t="n">
        <v>1.65</v>
      </c>
      <c r="G6105" s="0" t="n">
        <v>12471</v>
      </c>
      <c r="H6105" s="0" t="s">
        <v>33</v>
      </c>
      <c r="I6105" s="7" t="n">
        <f aca="false">IF(AND(LEFT(A6105,1)&lt;&gt;"C",D6105&gt;0,F6105&gt;0),1,0)</f>
        <v>1</v>
      </c>
      <c r="J6105" s="7" t="n">
        <f aca="false">IF(I6105=1,D6105*F6105,0)</f>
        <v>39.6</v>
      </c>
      <c r="K6105" s="7" t="n">
        <f aca="false">YEAR(E6105)*100+MONTH(E6105)</f>
        <v>201111</v>
      </c>
      <c r="L6105" s="7" t="n">
        <f aca="false">IF(AND(A6105&lt;&gt;A6104,LEFT(A6105,1)&lt;&gt;"C"),1,0)</f>
        <v>0</v>
      </c>
    </row>
    <row r="6106" customFormat="false" ht="15" hidden="false" customHeight="false" outlineLevel="0" collapsed="false">
      <c r="A6106" s="0" t="s">
        <v>3199</v>
      </c>
      <c r="B6106" s="0" t="s">
        <v>857</v>
      </c>
      <c r="C6106" s="0" t="s">
        <v>858</v>
      </c>
      <c r="D6106" s="0" t="n">
        <v>24</v>
      </c>
      <c r="E6106" s="6" t="n">
        <v>40871.3680555556</v>
      </c>
      <c r="F6106" s="0" t="n">
        <v>0.83</v>
      </c>
      <c r="G6106" s="0" t="n">
        <v>12471</v>
      </c>
      <c r="H6106" s="0" t="s">
        <v>33</v>
      </c>
      <c r="I6106" s="7" t="n">
        <f aca="false">IF(AND(LEFT(A6106,1)&lt;&gt;"C",D6106&gt;0,F6106&gt;0),1,0)</f>
        <v>1</v>
      </c>
      <c r="J6106" s="7" t="n">
        <f aca="false">IF(I6106=1,D6106*F6106,0)</f>
        <v>19.92</v>
      </c>
      <c r="K6106" s="7" t="n">
        <f aca="false">YEAR(E6106)*100+MONTH(E6106)</f>
        <v>201111</v>
      </c>
      <c r="L6106" s="7" t="n">
        <f aca="false">IF(AND(A6106&lt;&gt;A6105,LEFT(A6106,1)&lt;&gt;"C"),1,0)</f>
        <v>0</v>
      </c>
    </row>
    <row r="6107" customFormat="false" ht="15" hidden="false" customHeight="false" outlineLevel="0" collapsed="false">
      <c r="A6107" s="0" t="s">
        <v>3199</v>
      </c>
      <c r="B6107" s="0" t="s">
        <v>1099</v>
      </c>
      <c r="C6107" s="0" t="s">
        <v>1100</v>
      </c>
      <c r="D6107" s="0" t="n">
        <v>24</v>
      </c>
      <c r="E6107" s="6" t="n">
        <v>40871.3680555556</v>
      </c>
      <c r="F6107" s="0" t="n">
        <v>2.49</v>
      </c>
      <c r="G6107" s="0" t="n">
        <v>12471</v>
      </c>
      <c r="H6107" s="0" t="s">
        <v>33</v>
      </c>
      <c r="I6107" s="7" t="n">
        <f aca="false">IF(AND(LEFT(A6107,1)&lt;&gt;"C",D6107&gt;0,F6107&gt;0),1,0)</f>
        <v>1</v>
      </c>
      <c r="J6107" s="7" t="n">
        <f aca="false">IF(I6107=1,D6107*F6107,0)</f>
        <v>59.76</v>
      </c>
      <c r="K6107" s="7" t="n">
        <f aca="false">YEAR(E6107)*100+MONTH(E6107)</f>
        <v>201111</v>
      </c>
      <c r="L6107" s="7" t="n">
        <f aca="false">IF(AND(A6107&lt;&gt;A6106,LEFT(A6107,1)&lt;&gt;"C"),1,0)</f>
        <v>0</v>
      </c>
    </row>
    <row r="6108" customFormat="false" ht="15" hidden="false" customHeight="false" outlineLevel="0" collapsed="false">
      <c r="A6108" s="0" t="s">
        <v>3199</v>
      </c>
      <c r="B6108" s="0" t="s">
        <v>142</v>
      </c>
      <c r="C6108" s="0" t="s">
        <v>143</v>
      </c>
      <c r="D6108" s="0" t="n">
        <v>12</v>
      </c>
      <c r="E6108" s="6" t="n">
        <v>40871.3680555556</v>
      </c>
      <c r="F6108" s="0" t="n">
        <v>1.45</v>
      </c>
      <c r="G6108" s="0" t="n">
        <v>12471</v>
      </c>
      <c r="H6108" s="0" t="s">
        <v>33</v>
      </c>
      <c r="I6108" s="7" t="n">
        <f aca="false">IF(AND(LEFT(A6108,1)&lt;&gt;"C",D6108&gt;0,F6108&gt;0),1,0)</f>
        <v>1</v>
      </c>
      <c r="J6108" s="7" t="n">
        <f aca="false">IF(I6108=1,D6108*F6108,0)</f>
        <v>17.4</v>
      </c>
      <c r="K6108" s="7" t="n">
        <f aca="false">YEAR(E6108)*100+MONTH(E6108)</f>
        <v>201111</v>
      </c>
      <c r="L6108" s="7" t="n">
        <f aca="false">IF(AND(A6108&lt;&gt;A6107,LEFT(A6108,1)&lt;&gt;"C"),1,0)</f>
        <v>0</v>
      </c>
    </row>
    <row r="6109" customFormat="false" ht="15" hidden="false" customHeight="false" outlineLevel="0" collapsed="false">
      <c r="A6109" s="0" t="s">
        <v>3199</v>
      </c>
      <c r="B6109" s="0" t="s">
        <v>374</v>
      </c>
      <c r="C6109" s="0" t="s">
        <v>375</v>
      </c>
      <c r="D6109" s="0" t="n">
        <v>12</v>
      </c>
      <c r="E6109" s="6" t="n">
        <v>40871.3680555556</v>
      </c>
      <c r="F6109" s="0" t="n">
        <v>1.25</v>
      </c>
      <c r="G6109" s="0" t="n">
        <v>12471</v>
      </c>
      <c r="H6109" s="0" t="s">
        <v>33</v>
      </c>
      <c r="I6109" s="7" t="n">
        <f aca="false">IF(AND(LEFT(A6109,1)&lt;&gt;"C",D6109&gt;0,F6109&gt;0),1,0)</f>
        <v>1</v>
      </c>
      <c r="J6109" s="7" t="n">
        <f aca="false">IF(I6109=1,D6109*F6109,0)</f>
        <v>15</v>
      </c>
      <c r="K6109" s="7" t="n">
        <f aca="false">YEAR(E6109)*100+MONTH(E6109)</f>
        <v>201111</v>
      </c>
      <c r="L6109" s="7" t="n">
        <f aca="false">IF(AND(A6109&lt;&gt;A6108,LEFT(A6109,1)&lt;&gt;"C"),1,0)</f>
        <v>0</v>
      </c>
    </row>
    <row r="6110" customFormat="false" ht="15" hidden="false" customHeight="false" outlineLevel="0" collapsed="false">
      <c r="A6110" s="0" t="s">
        <v>3199</v>
      </c>
      <c r="B6110" s="0" t="s">
        <v>2573</v>
      </c>
      <c r="C6110" s="0" t="s">
        <v>2574</v>
      </c>
      <c r="D6110" s="0" t="n">
        <v>4</v>
      </c>
      <c r="E6110" s="6" t="n">
        <v>40871.3680555556</v>
      </c>
      <c r="F6110" s="0" t="n">
        <v>3.75</v>
      </c>
      <c r="G6110" s="0" t="n">
        <v>12471</v>
      </c>
      <c r="H6110" s="0" t="s">
        <v>33</v>
      </c>
      <c r="I6110" s="7" t="n">
        <f aca="false">IF(AND(LEFT(A6110,1)&lt;&gt;"C",D6110&gt;0,F6110&gt;0),1,0)</f>
        <v>1</v>
      </c>
      <c r="J6110" s="7" t="n">
        <f aca="false">IF(I6110=1,D6110*F6110,0)</f>
        <v>15</v>
      </c>
      <c r="K6110" s="7" t="n">
        <f aca="false">YEAR(E6110)*100+MONTH(E6110)</f>
        <v>201111</v>
      </c>
      <c r="L6110" s="7" t="n">
        <f aca="false">IF(AND(A6110&lt;&gt;A6109,LEFT(A6110,1)&lt;&gt;"C"),1,0)</f>
        <v>0</v>
      </c>
    </row>
    <row r="6111" customFormat="false" ht="15" hidden="false" customHeight="false" outlineLevel="0" collapsed="false">
      <c r="A6111" s="0" t="s">
        <v>3199</v>
      </c>
      <c r="B6111" s="0" t="s">
        <v>333</v>
      </c>
      <c r="C6111" s="0" t="s">
        <v>334</v>
      </c>
      <c r="D6111" s="0" t="n">
        <v>12</v>
      </c>
      <c r="E6111" s="6" t="n">
        <v>40871.3680555556</v>
      </c>
      <c r="F6111" s="0" t="n">
        <v>1.65</v>
      </c>
      <c r="G6111" s="0" t="n">
        <v>12471</v>
      </c>
      <c r="H6111" s="0" t="s">
        <v>33</v>
      </c>
      <c r="I6111" s="7" t="n">
        <f aca="false">IF(AND(LEFT(A6111,1)&lt;&gt;"C",D6111&gt;0,F6111&gt;0),1,0)</f>
        <v>1</v>
      </c>
      <c r="J6111" s="7" t="n">
        <f aca="false">IF(I6111=1,D6111*F6111,0)</f>
        <v>19.8</v>
      </c>
      <c r="K6111" s="7" t="n">
        <f aca="false">YEAR(E6111)*100+MONTH(E6111)</f>
        <v>201111</v>
      </c>
      <c r="L6111" s="7" t="n">
        <f aca="false">IF(AND(A6111&lt;&gt;A6110,LEFT(A6111,1)&lt;&gt;"C"),1,0)</f>
        <v>0</v>
      </c>
    </row>
    <row r="6112" customFormat="false" ht="15" hidden="false" customHeight="false" outlineLevel="0" collapsed="false">
      <c r="A6112" s="0" t="s">
        <v>3199</v>
      </c>
      <c r="B6112" s="0" t="s">
        <v>717</v>
      </c>
      <c r="C6112" s="0" t="s">
        <v>718</v>
      </c>
      <c r="D6112" s="0" t="n">
        <v>16</v>
      </c>
      <c r="E6112" s="6" t="n">
        <v>40871.3680555556</v>
      </c>
      <c r="F6112" s="0" t="n">
        <v>0.83</v>
      </c>
      <c r="G6112" s="0" t="n">
        <v>12471</v>
      </c>
      <c r="H6112" s="0" t="s">
        <v>33</v>
      </c>
      <c r="I6112" s="7" t="n">
        <f aca="false">IF(AND(LEFT(A6112,1)&lt;&gt;"C",D6112&gt;0,F6112&gt;0),1,0)</f>
        <v>1</v>
      </c>
      <c r="J6112" s="7" t="n">
        <f aca="false">IF(I6112=1,D6112*F6112,0)</f>
        <v>13.28</v>
      </c>
      <c r="K6112" s="7" t="n">
        <f aca="false">YEAR(E6112)*100+MONTH(E6112)</f>
        <v>201111</v>
      </c>
      <c r="L6112" s="7" t="n">
        <f aca="false">IF(AND(A6112&lt;&gt;A6111,LEFT(A6112,1)&lt;&gt;"C"),1,0)</f>
        <v>0</v>
      </c>
    </row>
    <row r="6113" customFormat="false" ht="15" hidden="false" customHeight="false" outlineLevel="0" collapsed="false">
      <c r="A6113" s="0" t="s">
        <v>3199</v>
      </c>
      <c r="B6113" s="0" t="s">
        <v>80</v>
      </c>
      <c r="C6113" s="0" t="s">
        <v>81</v>
      </c>
      <c r="D6113" s="0" t="n">
        <v>20</v>
      </c>
      <c r="E6113" s="6" t="n">
        <v>40871.3680555556</v>
      </c>
      <c r="F6113" s="0" t="n">
        <v>0.83</v>
      </c>
      <c r="G6113" s="0" t="n">
        <v>12471</v>
      </c>
      <c r="H6113" s="0" t="s">
        <v>33</v>
      </c>
      <c r="I6113" s="7" t="n">
        <f aca="false">IF(AND(LEFT(A6113,1)&lt;&gt;"C",D6113&gt;0,F6113&gt;0),1,0)</f>
        <v>1</v>
      </c>
      <c r="J6113" s="7" t="n">
        <f aca="false">IF(I6113=1,D6113*F6113,0)</f>
        <v>16.6</v>
      </c>
      <c r="K6113" s="7" t="n">
        <f aca="false">YEAR(E6113)*100+MONTH(E6113)</f>
        <v>201111</v>
      </c>
      <c r="L6113" s="7" t="n">
        <f aca="false">IF(AND(A6113&lt;&gt;A6112,LEFT(A6113,1)&lt;&gt;"C"),1,0)</f>
        <v>0</v>
      </c>
    </row>
    <row r="6114" customFormat="false" ht="15" hidden="false" customHeight="false" outlineLevel="0" collapsed="false">
      <c r="A6114" s="0" t="s">
        <v>3199</v>
      </c>
      <c r="B6114" s="0" t="s">
        <v>1620</v>
      </c>
      <c r="C6114" s="0" t="s">
        <v>1621</v>
      </c>
      <c r="D6114" s="0" t="n">
        <v>16</v>
      </c>
      <c r="E6114" s="6" t="n">
        <v>40871.3680555556</v>
      </c>
      <c r="F6114" s="0" t="n">
        <v>0.65</v>
      </c>
      <c r="G6114" s="0" t="n">
        <v>12471</v>
      </c>
      <c r="H6114" s="0" t="s">
        <v>33</v>
      </c>
      <c r="I6114" s="7" t="n">
        <f aca="false">IF(AND(LEFT(A6114,1)&lt;&gt;"C",D6114&gt;0,F6114&gt;0),1,0)</f>
        <v>1</v>
      </c>
      <c r="J6114" s="7" t="n">
        <f aca="false">IF(I6114=1,D6114*F6114,0)</f>
        <v>10.4</v>
      </c>
      <c r="K6114" s="7" t="n">
        <f aca="false">YEAR(E6114)*100+MONTH(E6114)</f>
        <v>201111</v>
      </c>
      <c r="L6114" s="7" t="n">
        <f aca="false">IF(AND(A6114&lt;&gt;A6113,LEFT(A6114,1)&lt;&gt;"C"),1,0)</f>
        <v>0</v>
      </c>
    </row>
    <row r="6115" customFormat="false" ht="15" hidden="false" customHeight="false" outlineLevel="0" collapsed="false">
      <c r="A6115" s="0" t="s">
        <v>3199</v>
      </c>
      <c r="B6115" s="0" t="s">
        <v>84</v>
      </c>
      <c r="C6115" s="0" t="s">
        <v>85</v>
      </c>
      <c r="D6115" s="0" t="n">
        <v>2</v>
      </c>
      <c r="E6115" s="6" t="n">
        <v>40871.3680555556</v>
      </c>
      <c r="F6115" s="0" t="n">
        <v>18</v>
      </c>
      <c r="G6115" s="0" t="n">
        <v>12471</v>
      </c>
      <c r="H6115" s="0" t="s">
        <v>33</v>
      </c>
      <c r="I6115" s="7" t="n">
        <f aca="false">IF(AND(LEFT(A6115,1)&lt;&gt;"C",D6115&gt;0,F6115&gt;0),1,0)</f>
        <v>1</v>
      </c>
      <c r="J6115" s="7" t="n">
        <f aca="false">IF(I6115=1,D6115*F6115,0)</f>
        <v>36</v>
      </c>
      <c r="K6115" s="7" t="n">
        <f aca="false">YEAR(E6115)*100+MONTH(E6115)</f>
        <v>201111</v>
      </c>
      <c r="L6115" s="7" t="n">
        <f aca="false">IF(AND(A6115&lt;&gt;A6114,LEFT(A6115,1)&lt;&gt;"C"),1,0)</f>
        <v>0</v>
      </c>
    </row>
    <row r="6116" customFormat="false" ht="15" hidden="false" customHeight="false" outlineLevel="0" collapsed="false">
      <c r="A6116" s="0" t="s">
        <v>3200</v>
      </c>
      <c r="B6116" s="0" t="s">
        <v>1644</v>
      </c>
      <c r="C6116" s="0" t="s">
        <v>1645</v>
      </c>
      <c r="D6116" s="0" t="n">
        <v>16</v>
      </c>
      <c r="E6116" s="6" t="n">
        <v>40871.3986111111</v>
      </c>
      <c r="F6116" s="0" t="n">
        <v>0.42</v>
      </c>
      <c r="G6116" s="0" t="n">
        <v>12494</v>
      </c>
      <c r="H6116" s="0" t="s">
        <v>43</v>
      </c>
      <c r="I6116" s="7" t="n">
        <f aca="false">IF(AND(LEFT(A6116,1)&lt;&gt;"C",D6116&gt;0,F6116&gt;0),1,0)</f>
        <v>1</v>
      </c>
      <c r="J6116" s="7" t="n">
        <f aca="false">IF(I6116=1,D6116*F6116,0)</f>
        <v>6.72</v>
      </c>
      <c r="K6116" s="7" t="n">
        <f aca="false">YEAR(E6116)*100+MONTH(E6116)</f>
        <v>201111</v>
      </c>
      <c r="L6116" s="7" t="n">
        <f aca="false">IF(AND(A6116&lt;&gt;A6115,LEFT(A6116,1)&lt;&gt;"C"),1,0)</f>
        <v>1</v>
      </c>
    </row>
    <row r="6117" customFormat="false" ht="15" hidden="false" customHeight="false" outlineLevel="0" collapsed="false">
      <c r="A6117" s="0" t="s">
        <v>3200</v>
      </c>
      <c r="B6117" s="0" t="s">
        <v>1642</v>
      </c>
      <c r="C6117" s="0" t="s">
        <v>1643</v>
      </c>
      <c r="D6117" s="0" t="n">
        <v>16</v>
      </c>
      <c r="E6117" s="6" t="n">
        <v>40871.3986111111</v>
      </c>
      <c r="F6117" s="0" t="n">
        <v>0.42</v>
      </c>
      <c r="G6117" s="0" t="n">
        <v>12494</v>
      </c>
      <c r="H6117" s="0" t="s">
        <v>43</v>
      </c>
      <c r="I6117" s="7" t="n">
        <f aca="false">IF(AND(LEFT(A6117,1)&lt;&gt;"C",D6117&gt;0,F6117&gt;0),1,0)</f>
        <v>1</v>
      </c>
      <c r="J6117" s="7" t="n">
        <f aca="false">IF(I6117=1,D6117*F6117,0)</f>
        <v>6.72</v>
      </c>
      <c r="K6117" s="7" t="n">
        <f aca="false">YEAR(E6117)*100+MONTH(E6117)</f>
        <v>201111</v>
      </c>
      <c r="L6117" s="7" t="n">
        <f aca="false">IF(AND(A6117&lt;&gt;A6116,LEFT(A6117,1)&lt;&gt;"C"),1,0)</f>
        <v>0</v>
      </c>
    </row>
    <row r="6118" customFormat="false" ht="15" hidden="false" customHeight="false" outlineLevel="0" collapsed="false">
      <c r="A6118" s="0" t="s">
        <v>3200</v>
      </c>
      <c r="B6118" s="0" t="s">
        <v>649</v>
      </c>
      <c r="C6118" s="0" t="s">
        <v>650</v>
      </c>
      <c r="D6118" s="0" t="n">
        <v>12</v>
      </c>
      <c r="E6118" s="6" t="n">
        <v>40871.3986111111</v>
      </c>
      <c r="F6118" s="0" t="n">
        <v>0.39</v>
      </c>
      <c r="G6118" s="0" t="n">
        <v>12494</v>
      </c>
      <c r="H6118" s="0" t="s">
        <v>43</v>
      </c>
      <c r="I6118" s="7" t="n">
        <f aca="false">IF(AND(LEFT(A6118,1)&lt;&gt;"C",D6118&gt;0,F6118&gt;0),1,0)</f>
        <v>1</v>
      </c>
      <c r="J6118" s="7" t="n">
        <f aca="false">IF(I6118=1,D6118*F6118,0)</f>
        <v>4.68</v>
      </c>
      <c r="K6118" s="7" t="n">
        <f aca="false">YEAR(E6118)*100+MONTH(E6118)</f>
        <v>201111</v>
      </c>
      <c r="L6118" s="7" t="n">
        <f aca="false">IF(AND(A6118&lt;&gt;A6117,LEFT(A6118,1)&lt;&gt;"C"),1,0)</f>
        <v>0</v>
      </c>
    </row>
    <row r="6119" customFormat="false" ht="15" hidden="false" customHeight="false" outlineLevel="0" collapsed="false">
      <c r="A6119" s="0" t="s">
        <v>3200</v>
      </c>
      <c r="B6119" s="0" t="s">
        <v>62</v>
      </c>
      <c r="C6119" s="0" t="s">
        <v>63</v>
      </c>
      <c r="D6119" s="0" t="n">
        <v>6</v>
      </c>
      <c r="E6119" s="6" t="n">
        <v>40871.3986111111</v>
      </c>
      <c r="F6119" s="0" t="n">
        <v>2.08</v>
      </c>
      <c r="G6119" s="0" t="n">
        <v>12494</v>
      </c>
      <c r="H6119" s="0" t="s">
        <v>43</v>
      </c>
      <c r="I6119" s="7" t="n">
        <f aca="false">IF(AND(LEFT(A6119,1)&lt;&gt;"C",D6119&gt;0,F6119&gt;0),1,0)</f>
        <v>1</v>
      </c>
      <c r="J6119" s="7" t="n">
        <f aca="false">IF(I6119=1,D6119*F6119,0)</f>
        <v>12.48</v>
      </c>
      <c r="K6119" s="7" t="n">
        <f aca="false">YEAR(E6119)*100+MONTH(E6119)</f>
        <v>201111</v>
      </c>
      <c r="L6119" s="7" t="n">
        <f aca="false">IF(AND(A6119&lt;&gt;A6118,LEFT(A6119,1)&lt;&gt;"C"),1,0)</f>
        <v>0</v>
      </c>
    </row>
    <row r="6120" customFormat="false" ht="15" hidden="false" customHeight="false" outlineLevel="0" collapsed="false">
      <c r="A6120" s="0" t="s">
        <v>3200</v>
      </c>
      <c r="B6120" s="0" t="s">
        <v>901</v>
      </c>
      <c r="C6120" s="0" t="s">
        <v>902</v>
      </c>
      <c r="D6120" s="0" t="n">
        <v>4</v>
      </c>
      <c r="E6120" s="6" t="n">
        <v>40871.3986111111</v>
      </c>
      <c r="F6120" s="0" t="n">
        <v>9.95</v>
      </c>
      <c r="G6120" s="0" t="n">
        <v>12494</v>
      </c>
      <c r="H6120" s="0" t="s">
        <v>43</v>
      </c>
      <c r="I6120" s="7" t="n">
        <f aca="false">IF(AND(LEFT(A6120,1)&lt;&gt;"C",D6120&gt;0,F6120&gt;0),1,0)</f>
        <v>1</v>
      </c>
      <c r="J6120" s="7" t="n">
        <f aca="false">IF(I6120=1,D6120*F6120,0)</f>
        <v>39.8</v>
      </c>
      <c r="K6120" s="7" t="n">
        <f aca="false">YEAR(E6120)*100+MONTH(E6120)</f>
        <v>201111</v>
      </c>
      <c r="L6120" s="7" t="n">
        <f aca="false">IF(AND(A6120&lt;&gt;A6119,LEFT(A6120,1)&lt;&gt;"C"),1,0)</f>
        <v>0</v>
      </c>
    </row>
    <row r="6121" customFormat="false" ht="15" hidden="false" customHeight="false" outlineLevel="0" collapsed="false">
      <c r="A6121" s="0" t="s">
        <v>3200</v>
      </c>
      <c r="B6121" s="0" t="s">
        <v>2846</v>
      </c>
      <c r="C6121" s="0" t="s">
        <v>2847</v>
      </c>
      <c r="D6121" s="0" t="n">
        <v>12</v>
      </c>
      <c r="E6121" s="6" t="n">
        <v>40871.3986111111</v>
      </c>
      <c r="F6121" s="0" t="n">
        <v>1.25</v>
      </c>
      <c r="G6121" s="0" t="n">
        <v>12494</v>
      </c>
      <c r="H6121" s="0" t="s">
        <v>43</v>
      </c>
      <c r="I6121" s="7" t="n">
        <f aca="false">IF(AND(LEFT(A6121,1)&lt;&gt;"C",D6121&gt;0,F6121&gt;0),1,0)</f>
        <v>1</v>
      </c>
      <c r="J6121" s="7" t="n">
        <f aca="false">IF(I6121=1,D6121*F6121,0)</f>
        <v>15</v>
      </c>
      <c r="K6121" s="7" t="n">
        <f aca="false">YEAR(E6121)*100+MONTH(E6121)</f>
        <v>201111</v>
      </c>
      <c r="L6121" s="7" t="n">
        <f aca="false">IF(AND(A6121&lt;&gt;A6120,LEFT(A6121,1)&lt;&gt;"C"),1,0)</f>
        <v>0</v>
      </c>
    </row>
    <row r="6122" customFormat="false" ht="15" hidden="false" customHeight="false" outlineLevel="0" collapsed="false">
      <c r="A6122" s="0" t="s">
        <v>3200</v>
      </c>
      <c r="B6122" s="0" t="s">
        <v>2625</v>
      </c>
      <c r="C6122" s="0" t="s">
        <v>2626</v>
      </c>
      <c r="D6122" s="0" t="n">
        <v>6</v>
      </c>
      <c r="E6122" s="6" t="n">
        <v>40871.3986111111</v>
      </c>
      <c r="F6122" s="0" t="n">
        <v>2.95</v>
      </c>
      <c r="G6122" s="0" t="n">
        <v>12494</v>
      </c>
      <c r="H6122" s="0" t="s">
        <v>43</v>
      </c>
      <c r="I6122" s="7" t="n">
        <f aca="false">IF(AND(LEFT(A6122,1)&lt;&gt;"C",D6122&gt;0,F6122&gt;0),1,0)</f>
        <v>1</v>
      </c>
      <c r="J6122" s="7" t="n">
        <f aca="false">IF(I6122=1,D6122*F6122,0)</f>
        <v>17.7</v>
      </c>
      <c r="K6122" s="7" t="n">
        <f aca="false">YEAR(E6122)*100+MONTH(E6122)</f>
        <v>201111</v>
      </c>
      <c r="L6122" s="7" t="n">
        <f aca="false">IF(AND(A6122&lt;&gt;A6121,LEFT(A6122,1)&lt;&gt;"C"),1,0)</f>
        <v>0</v>
      </c>
    </row>
    <row r="6123" customFormat="false" ht="15" hidden="false" customHeight="false" outlineLevel="0" collapsed="false">
      <c r="A6123" s="0" t="s">
        <v>3200</v>
      </c>
      <c r="B6123" s="0" t="s">
        <v>887</v>
      </c>
      <c r="C6123" s="0" t="s">
        <v>888</v>
      </c>
      <c r="D6123" s="0" t="n">
        <v>12</v>
      </c>
      <c r="E6123" s="6" t="n">
        <v>40871.3986111111</v>
      </c>
      <c r="F6123" s="0" t="n">
        <v>0.39</v>
      </c>
      <c r="G6123" s="0" t="n">
        <v>12494</v>
      </c>
      <c r="H6123" s="0" t="s">
        <v>43</v>
      </c>
      <c r="I6123" s="7" t="n">
        <f aca="false">IF(AND(LEFT(A6123,1)&lt;&gt;"C",D6123&gt;0,F6123&gt;0),1,0)</f>
        <v>1</v>
      </c>
      <c r="J6123" s="7" t="n">
        <f aca="false">IF(I6123=1,D6123*F6123,0)</f>
        <v>4.68</v>
      </c>
      <c r="K6123" s="7" t="n">
        <f aca="false">YEAR(E6123)*100+MONTH(E6123)</f>
        <v>201111</v>
      </c>
      <c r="L6123" s="7" t="n">
        <f aca="false">IF(AND(A6123&lt;&gt;A6122,LEFT(A6123,1)&lt;&gt;"C"),1,0)</f>
        <v>0</v>
      </c>
    </row>
    <row r="6124" customFormat="false" ht="15" hidden="false" customHeight="false" outlineLevel="0" collapsed="false">
      <c r="A6124" s="0" t="s">
        <v>3200</v>
      </c>
      <c r="B6124" s="0" t="s">
        <v>207</v>
      </c>
      <c r="C6124" s="0" t="s">
        <v>208</v>
      </c>
      <c r="D6124" s="0" t="n">
        <v>24</v>
      </c>
      <c r="E6124" s="6" t="n">
        <v>40871.3986111111</v>
      </c>
      <c r="F6124" s="0" t="n">
        <v>0.39</v>
      </c>
      <c r="G6124" s="0" t="n">
        <v>12494</v>
      </c>
      <c r="H6124" s="0" t="s">
        <v>43</v>
      </c>
      <c r="I6124" s="7" t="n">
        <f aca="false">IF(AND(LEFT(A6124,1)&lt;&gt;"C",D6124&gt;0,F6124&gt;0),1,0)</f>
        <v>1</v>
      </c>
      <c r="J6124" s="7" t="n">
        <f aca="false">IF(I6124=1,D6124*F6124,0)</f>
        <v>9.36</v>
      </c>
      <c r="K6124" s="7" t="n">
        <f aca="false">YEAR(E6124)*100+MONTH(E6124)</f>
        <v>201111</v>
      </c>
      <c r="L6124" s="7" t="n">
        <f aca="false">IF(AND(A6124&lt;&gt;A6123,LEFT(A6124,1)&lt;&gt;"C"),1,0)</f>
        <v>0</v>
      </c>
    </row>
    <row r="6125" customFormat="false" ht="15" hidden="false" customHeight="false" outlineLevel="0" collapsed="false">
      <c r="A6125" s="0" t="s">
        <v>3200</v>
      </c>
      <c r="B6125" s="0" t="s">
        <v>764</v>
      </c>
      <c r="C6125" s="0" t="s">
        <v>765</v>
      </c>
      <c r="D6125" s="0" t="n">
        <v>24</v>
      </c>
      <c r="E6125" s="6" t="n">
        <v>40871.3986111111</v>
      </c>
      <c r="F6125" s="0" t="n">
        <v>0.39</v>
      </c>
      <c r="G6125" s="0" t="n">
        <v>12494</v>
      </c>
      <c r="H6125" s="0" t="s">
        <v>43</v>
      </c>
      <c r="I6125" s="7" t="n">
        <f aca="false">IF(AND(LEFT(A6125,1)&lt;&gt;"C",D6125&gt;0,F6125&gt;0),1,0)</f>
        <v>1</v>
      </c>
      <c r="J6125" s="7" t="n">
        <f aca="false">IF(I6125=1,D6125*F6125,0)</f>
        <v>9.36</v>
      </c>
      <c r="K6125" s="7" t="n">
        <f aca="false">YEAR(E6125)*100+MONTH(E6125)</f>
        <v>201111</v>
      </c>
      <c r="L6125" s="7" t="n">
        <f aca="false">IF(AND(A6125&lt;&gt;A6124,LEFT(A6125,1)&lt;&gt;"C"),1,0)</f>
        <v>0</v>
      </c>
    </row>
    <row r="6126" customFormat="false" ht="15" hidden="false" customHeight="false" outlineLevel="0" collapsed="false">
      <c r="A6126" s="0" t="s">
        <v>3200</v>
      </c>
      <c r="B6126" s="0" t="s">
        <v>84</v>
      </c>
      <c r="C6126" s="0" t="s">
        <v>85</v>
      </c>
      <c r="D6126" s="0" t="n">
        <v>2</v>
      </c>
      <c r="E6126" s="6" t="n">
        <v>40871.3986111111</v>
      </c>
      <c r="F6126" s="0" t="n">
        <v>18</v>
      </c>
      <c r="G6126" s="0" t="n">
        <v>12494</v>
      </c>
      <c r="H6126" s="0" t="s">
        <v>43</v>
      </c>
      <c r="I6126" s="7" t="n">
        <f aca="false">IF(AND(LEFT(A6126,1)&lt;&gt;"C",D6126&gt;0,F6126&gt;0),1,0)</f>
        <v>1</v>
      </c>
      <c r="J6126" s="7" t="n">
        <f aca="false">IF(I6126=1,D6126*F6126,0)</f>
        <v>36</v>
      </c>
      <c r="K6126" s="7" t="n">
        <f aca="false">YEAR(E6126)*100+MONTH(E6126)</f>
        <v>201111</v>
      </c>
      <c r="L6126" s="7" t="n">
        <f aca="false">IF(AND(A6126&lt;&gt;A6125,LEFT(A6126,1)&lt;&gt;"C"),1,0)</f>
        <v>0</v>
      </c>
    </row>
    <row r="6127" customFormat="false" ht="15" hidden="false" customHeight="false" outlineLevel="0" collapsed="false">
      <c r="A6127" s="0" t="s">
        <v>3201</v>
      </c>
      <c r="B6127" s="0" t="s">
        <v>604</v>
      </c>
      <c r="C6127" s="0" t="s">
        <v>605</v>
      </c>
      <c r="D6127" s="0" t="n">
        <v>-120</v>
      </c>
      <c r="E6127" s="6" t="n">
        <v>40871.4888888889</v>
      </c>
      <c r="F6127" s="0" t="n">
        <v>0.72</v>
      </c>
      <c r="G6127" s="0" t="n">
        <v>14277</v>
      </c>
      <c r="H6127" s="0" t="s">
        <v>43</v>
      </c>
      <c r="I6127" s="7" t="n">
        <f aca="false">IF(AND(LEFT(A6127,1)&lt;&gt;"C",D6127&gt;0,F6127&gt;0),1,0)</f>
        <v>0</v>
      </c>
      <c r="J6127" s="7" t="n">
        <f aca="false">IF(I6127=1,D6127*F6127,0)</f>
        <v>0</v>
      </c>
      <c r="K6127" s="7" t="n">
        <f aca="false">YEAR(E6127)*100+MONTH(E6127)</f>
        <v>201111</v>
      </c>
      <c r="L6127" s="7" t="n">
        <f aca="false">IF(AND(A6127&lt;&gt;A6126,LEFT(A6127,1)&lt;&gt;"C"),1,0)</f>
        <v>0</v>
      </c>
    </row>
    <row r="6128" customFormat="false" ht="15" hidden="false" customHeight="false" outlineLevel="0" collapsed="false">
      <c r="A6128" s="0" t="s">
        <v>3201</v>
      </c>
      <c r="B6128" s="0" t="s">
        <v>3202</v>
      </c>
      <c r="C6128" s="0" t="s">
        <v>3203</v>
      </c>
      <c r="D6128" s="0" t="n">
        <v>-120</v>
      </c>
      <c r="E6128" s="6" t="n">
        <v>40871.4888888889</v>
      </c>
      <c r="F6128" s="0" t="n">
        <v>0.72</v>
      </c>
      <c r="G6128" s="0" t="n">
        <v>14277</v>
      </c>
      <c r="H6128" s="0" t="s">
        <v>43</v>
      </c>
      <c r="I6128" s="7" t="n">
        <f aca="false">IF(AND(LEFT(A6128,1)&lt;&gt;"C",D6128&gt;0,F6128&gt;0),1,0)</f>
        <v>0</v>
      </c>
      <c r="J6128" s="7" t="n">
        <f aca="false">IF(I6128=1,D6128*F6128,0)</f>
        <v>0</v>
      </c>
      <c r="K6128" s="7" t="n">
        <f aca="false">YEAR(E6128)*100+MONTH(E6128)</f>
        <v>201111</v>
      </c>
      <c r="L6128" s="7" t="n">
        <f aca="false">IF(AND(A6128&lt;&gt;A6127,LEFT(A6128,1)&lt;&gt;"C"),1,0)</f>
        <v>0</v>
      </c>
    </row>
    <row r="6129" customFormat="false" ht="15" hidden="false" customHeight="false" outlineLevel="0" collapsed="false">
      <c r="A6129" s="0" t="s">
        <v>3201</v>
      </c>
      <c r="B6129" s="0" t="s">
        <v>3204</v>
      </c>
      <c r="C6129" s="0" t="s">
        <v>3205</v>
      </c>
      <c r="D6129" s="0" t="n">
        <v>-120</v>
      </c>
      <c r="E6129" s="6" t="n">
        <v>40871.4888888889</v>
      </c>
      <c r="F6129" s="0" t="n">
        <v>0.72</v>
      </c>
      <c r="G6129" s="0" t="n">
        <v>14277</v>
      </c>
      <c r="H6129" s="0" t="s">
        <v>43</v>
      </c>
      <c r="I6129" s="7" t="n">
        <f aca="false">IF(AND(LEFT(A6129,1)&lt;&gt;"C",D6129&gt;0,F6129&gt;0),1,0)</f>
        <v>0</v>
      </c>
      <c r="J6129" s="7" t="n">
        <f aca="false">IF(I6129=1,D6129*F6129,0)</f>
        <v>0</v>
      </c>
      <c r="K6129" s="7" t="n">
        <f aca="false">YEAR(E6129)*100+MONTH(E6129)</f>
        <v>201111</v>
      </c>
      <c r="L6129" s="7" t="n">
        <f aca="false">IF(AND(A6129&lt;&gt;A6128,LEFT(A6129,1)&lt;&gt;"C"),1,0)</f>
        <v>0</v>
      </c>
    </row>
    <row r="6130" customFormat="false" ht="15" hidden="false" customHeight="false" outlineLevel="0" collapsed="false">
      <c r="A6130" s="0" t="s">
        <v>3206</v>
      </c>
      <c r="B6130" s="0" t="s">
        <v>84</v>
      </c>
      <c r="C6130" s="0" t="s">
        <v>85</v>
      </c>
      <c r="D6130" s="0" t="n">
        <v>4</v>
      </c>
      <c r="E6130" s="6" t="n">
        <v>40871.5006944445</v>
      </c>
      <c r="F6130" s="0" t="n">
        <v>18</v>
      </c>
      <c r="G6130" s="0" t="n">
        <v>12705</v>
      </c>
      <c r="H6130" s="0" t="s">
        <v>33</v>
      </c>
      <c r="I6130" s="7" t="n">
        <f aca="false">IF(AND(LEFT(A6130,1)&lt;&gt;"C",D6130&gt;0,F6130&gt;0),1,0)</f>
        <v>1</v>
      </c>
      <c r="J6130" s="7" t="n">
        <f aca="false">IF(I6130=1,D6130*F6130,0)</f>
        <v>72</v>
      </c>
      <c r="K6130" s="7" t="n">
        <f aca="false">YEAR(E6130)*100+MONTH(E6130)</f>
        <v>201111</v>
      </c>
      <c r="L6130" s="7" t="n">
        <f aca="false">IF(AND(A6130&lt;&gt;A6129,LEFT(A6130,1)&lt;&gt;"C"),1,0)</f>
        <v>1</v>
      </c>
    </row>
    <row r="6131" customFormat="false" ht="15" hidden="false" customHeight="false" outlineLevel="0" collapsed="false">
      <c r="A6131" s="0" t="s">
        <v>3207</v>
      </c>
      <c r="B6131" s="0" t="s">
        <v>84</v>
      </c>
      <c r="C6131" s="0" t="s">
        <v>85</v>
      </c>
      <c r="D6131" s="0" t="n">
        <v>4</v>
      </c>
      <c r="E6131" s="6" t="n">
        <v>40871.525</v>
      </c>
      <c r="F6131" s="0" t="n">
        <v>18</v>
      </c>
      <c r="G6131" s="0" t="n">
        <v>12471</v>
      </c>
      <c r="H6131" s="0" t="s">
        <v>33</v>
      </c>
      <c r="I6131" s="7" t="n">
        <f aca="false">IF(AND(LEFT(A6131,1)&lt;&gt;"C",D6131&gt;0,F6131&gt;0),1,0)</f>
        <v>1</v>
      </c>
      <c r="J6131" s="7" t="n">
        <f aca="false">IF(I6131=1,D6131*F6131,0)</f>
        <v>72</v>
      </c>
      <c r="K6131" s="7" t="n">
        <f aca="false">YEAR(E6131)*100+MONTH(E6131)</f>
        <v>201111</v>
      </c>
      <c r="L6131" s="7" t="n">
        <f aca="false">IF(AND(A6131&lt;&gt;A6130,LEFT(A6131,1)&lt;&gt;"C"),1,0)</f>
        <v>1</v>
      </c>
    </row>
    <row r="6132" customFormat="false" ht="15" hidden="false" customHeight="false" outlineLevel="0" collapsed="false">
      <c r="A6132" s="0" t="s">
        <v>3207</v>
      </c>
      <c r="B6132" s="0" t="s">
        <v>333</v>
      </c>
      <c r="C6132" s="0" t="s">
        <v>334</v>
      </c>
      <c r="D6132" s="0" t="n">
        <v>12</v>
      </c>
      <c r="E6132" s="6" t="n">
        <v>40871.525</v>
      </c>
      <c r="F6132" s="0" t="n">
        <v>1.65</v>
      </c>
      <c r="G6132" s="0" t="n">
        <v>12471</v>
      </c>
      <c r="H6132" s="0" t="s">
        <v>33</v>
      </c>
      <c r="I6132" s="7" t="n">
        <f aca="false">IF(AND(LEFT(A6132,1)&lt;&gt;"C",D6132&gt;0,F6132&gt;0),1,0)</f>
        <v>1</v>
      </c>
      <c r="J6132" s="7" t="n">
        <f aca="false">IF(I6132=1,D6132*F6132,0)</f>
        <v>19.8</v>
      </c>
      <c r="K6132" s="7" t="n">
        <f aca="false">YEAR(E6132)*100+MONTH(E6132)</f>
        <v>201111</v>
      </c>
      <c r="L6132" s="7" t="n">
        <f aca="false">IF(AND(A6132&lt;&gt;A6131,LEFT(A6132,1)&lt;&gt;"C"),1,0)</f>
        <v>0</v>
      </c>
    </row>
    <row r="6133" customFormat="false" ht="15" hidden="false" customHeight="false" outlineLevel="0" collapsed="false">
      <c r="A6133" s="0" t="s">
        <v>3207</v>
      </c>
      <c r="B6133" s="0" t="s">
        <v>93</v>
      </c>
      <c r="C6133" s="0" t="s">
        <v>94</v>
      </c>
      <c r="D6133" s="0" t="n">
        <v>4</v>
      </c>
      <c r="E6133" s="6" t="n">
        <v>40871.525</v>
      </c>
      <c r="F6133" s="0" t="n">
        <v>4.15</v>
      </c>
      <c r="G6133" s="0" t="n">
        <v>12471</v>
      </c>
      <c r="H6133" s="0" t="s">
        <v>33</v>
      </c>
      <c r="I6133" s="7" t="n">
        <f aca="false">IF(AND(LEFT(A6133,1)&lt;&gt;"C",D6133&gt;0,F6133&gt;0),1,0)</f>
        <v>1</v>
      </c>
      <c r="J6133" s="7" t="n">
        <f aca="false">IF(I6133=1,D6133*F6133,0)</f>
        <v>16.6</v>
      </c>
      <c r="K6133" s="7" t="n">
        <f aca="false">YEAR(E6133)*100+MONTH(E6133)</f>
        <v>201111</v>
      </c>
      <c r="L6133" s="7" t="n">
        <f aca="false">IF(AND(A6133&lt;&gt;A6132,LEFT(A6133,1)&lt;&gt;"C"),1,0)</f>
        <v>0</v>
      </c>
    </row>
    <row r="6134" customFormat="false" ht="15" hidden="false" customHeight="false" outlineLevel="0" collapsed="false">
      <c r="A6134" s="0" t="s">
        <v>3207</v>
      </c>
      <c r="B6134" s="0" t="s">
        <v>89</v>
      </c>
      <c r="C6134" s="0" t="s">
        <v>90</v>
      </c>
      <c r="D6134" s="0" t="n">
        <v>4</v>
      </c>
      <c r="E6134" s="6" t="n">
        <v>40871.525</v>
      </c>
      <c r="F6134" s="0" t="n">
        <v>4.15</v>
      </c>
      <c r="G6134" s="0" t="n">
        <v>12471</v>
      </c>
      <c r="H6134" s="0" t="s">
        <v>33</v>
      </c>
      <c r="I6134" s="7" t="n">
        <f aca="false">IF(AND(LEFT(A6134,1)&lt;&gt;"C",D6134&gt;0,F6134&gt;0),1,0)</f>
        <v>1</v>
      </c>
      <c r="J6134" s="7" t="n">
        <f aca="false">IF(I6134=1,D6134*F6134,0)</f>
        <v>16.6</v>
      </c>
      <c r="K6134" s="7" t="n">
        <f aca="false">YEAR(E6134)*100+MONTH(E6134)</f>
        <v>201111</v>
      </c>
      <c r="L6134" s="7" t="n">
        <f aca="false">IF(AND(A6134&lt;&gt;A6133,LEFT(A6134,1)&lt;&gt;"C"),1,0)</f>
        <v>0</v>
      </c>
    </row>
    <row r="6135" customFormat="false" ht="15" hidden="false" customHeight="false" outlineLevel="0" collapsed="false">
      <c r="A6135" s="0" t="s">
        <v>3207</v>
      </c>
      <c r="B6135" s="0" t="s">
        <v>372</v>
      </c>
      <c r="C6135" s="0" t="s">
        <v>373</v>
      </c>
      <c r="D6135" s="0" t="n">
        <v>12</v>
      </c>
      <c r="E6135" s="6" t="n">
        <v>40871.525</v>
      </c>
      <c r="F6135" s="0" t="n">
        <v>1.25</v>
      </c>
      <c r="G6135" s="0" t="n">
        <v>12471</v>
      </c>
      <c r="H6135" s="0" t="s">
        <v>33</v>
      </c>
      <c r="I6135" s="7" t="n">
        <f aca="false">IF(AND(LEFT(A6135,1)&lt;&gt;"C",D6135&gt;0,F6135&gt;0),1,0)</f>
        <v>1</v>
      </c>
      <c r="J6135" s="7" t="n">
        <f aca="false">IF(I6135=1,D6135*F6135,0)</f>
        <v>15</v>
      </c>
      <c r="K6135" s="7" t="n">
        <f aca="false">YEAR(E6135)*100+MONTH(E6135)</f>
        <v>201111</v>
      </c>
      <c r="L6135" s="7" t="n">
        <f aca="false">IF(AND(A6135&lt;&gt;A6134,LEFT(A6135,1)&lt;&gt;"C"),1,0)</f>
        <v>0</v>
      </c>
    </row>
    <row r="6136" customFormat="false" ht="15" hidden="false" customHeight="false" outlineLevel="0" collapsed="false">
      <c r="A6136" s="0" t="s">
        <v>3207</v>
      </c>
      <c r="B6136" s="0" t="s">
        <v>1065</v>
      </c>
      <c r="C6136" s="0" t="s">
        <v>1066</v>
      </c>
      <c r="D6136" s="0" t="n">
        <v>12</v>
      </c>
      <c r="E6136" s="6" t="n">
        <v>40871.525</v>
      </c>
      <c r="F6136" s="0" t="n">
        <v>2.08</v>
      </c>
      <c r="G6136" s="0" t="n">
        <v>12471</v>
      </c>
      <c r="H6136" s="0" t="s">
        <v>33</v>
      </c>
      <c r="I6136" s="7" t="n">
        <f aca="false">IF(AND(LEFT(A6136,1)&lt;&gt;"C",D6136&gt;0,F6136&gt;0),1,0)</f>
        <v>1</v>
      </c>
      <c r="J6136" s="7" t="n">
        <f aca="false">IF(I6136=1,D6136*F6136,0)</f>
        <v>24.96</v>
      </c>
      <c r="K6136" s="7" t="n">
        <f aca="false">YEAR(E6136)*100+MONTH(E6136)</f>
        <v>201111</v>
      </c>
      <c r="L6136" s="7" t="n">
        <f aca="false">IF(AND(A6136&lt;&gt;A6135,LEFT(A6136,1)&lt;&gt;"C"),1,0)</f>
        <v>0</v>
      </c>
    </row>
    <row r="6137" customFormat="false" ht="15" hidden="false" customHeight="false" outlineLevel="0" collapsed="false">
      <c r="A6137" s="0" t="s">
        <v>3207</v>
      </c>
      <c r="B6137" s="0" t="s">
        <v>659</v>
      </c>
      <c r="C6137" s="0" t="s">
        <v>660</v>
      </c>
      <c r="D6137" s="0" t="n">
        <v>12</v>
      </c>
      <c r="E6137" s="6" t="n">
        <v>40871.525</v>
      </c>
      <c r="F6137" s="0" t="n">
        <v>4.15</v>
      </c>
      <c r="G6137" s="0" t="n">
        <v>12471</v>
      </c>
      <c r="H6137" s="0" t="s">
        <v>33</v>
      </c>
      <c r="I6137" s="7" t="n">
        <f aca="false">IF(AND(LEFT(A6137,1)&lt;&gt;"C",D6137&gt;0,F6137&gt;0),1,0)</f>
        <v>1</v>
      </c>
      <c r="J6137" s="7" t="n">
        <f aca="false">IF(I6137=1,D6137*F6137,0)</f>
        <v>49.8</v>
      </c>
      <c r="K6137" s="7" t="n">
        <f aca="false">YEAR(E6137)*100+MONTH(E6137)</f>
        <v>201111</v>
      </c>
      <c r="L6137" s="7" t="n">
        <f aca="false">IF(AND(A6137&lt;&gt;A6136,LEFT(A6137,1)&lt;&gt;"C"),1,0)</f>
        <v>0</v>
      </c>
    </row>
    <row r="6138" customFormat="false" ht="15" hidden="false" customHeight="false" outlineLevel="0" collapsed="false">
      <c r="A6138" s="0" t="s">
        <v>3207</v>
      </c>
      <c r="B6138" s="0" t="s">
        <v>857</v>
      </c>
      <c r="C6138" s="0" t="s">
        <v>858</v>
      </c>
      <c r="D6138" s="0" t="n">
        <v>16</v>
      </c>
      <c r="E6138" s="6" t="n">
        <v>40871.525</v>
      </c>
      <c r="F6138" s="0" t="n">
        <v>0.83</v>
      </c>
      <c r="G6138" s="0" t="n">
        <v>12471</v>
      </c>
      <c r="H6138" s="0" t="s">
        <v>33</v>
      </c>
      <c r="I6138" s="7" t="n">
        <f aca="false">IF(AND(LEFT(A6138,1)&lt;&gt;"C",D6138&gt;0,F6138&gt;0),1,0)</f>
        <v>1</v>
      </c>
      <c r="J6138" s="7" t="n">
        <f aca="false">IF(I6138=1,D6138*F6138,0)</f>
        <v>13.28</v>
      </c>
      <c r="K6138" s="7" t="n">
        <f aca="false">YEAR(E6138)*100+MONTH(E6138)</f>
        <v>201111</v>
      </c>
      <c r="L6138" s="7" t="n">
        <f aca="false">IF(AND(A6138&lt;&gt;A6137,LEFT(A6138,1)&lt;&gt;"C"),1,0)</f>
        <v>0</v>
      </c>
    </row>
    <row r="6139" customFormat="false" ht="15" hidden="false" customHeight="false" outlineLevel="0" collapsed="false">
      <c r="A6139" s="0" t="s">
        <v>3207</v>
      </c>
      <c r="B6139" s="0" t="s">
        <v>594</v>
      </c>
      <c r="C6139" s="0" t="s">
        <v>595</v>
      </c>
      <c r="D6139" s="0" t="n">
        <v>24</v>
      </c>
      <c r="E6139" s="6" t="n">
        <v>40871.525</v>
      </c>
      <c r="F6139" s="0" t="n">
        <v>2.08</v>
      </c>
      <c r="G6139" s="0" t="n">
        <v>12471</v>
      </c>
      <c r="H6139" s="0" t="s">
        <v>33</v>
      </c>
      <c r="I6139" s="7" t="n">
        <f aca="false">IF(AND(LEFT(A6139,1)&lt;&gt;"C",D6139&gt;0,F6139&gt;0),1,0)</f>
        <v>1</v>
      </c>
      <c r="J6139" s="7" t="n">
        <f aca="false">IF(I6139=1,D6139*F6139,0)</f>
        <v>49.92</v>
      </c>
      <c r="K6139" s="7" t="n">
        <f aca="false">YEAR(E6139)*100+MONTH(E6139)</f>
        <v>201111</v>
      </c>
      <c r="L6139" s="7" t="n">
        <f aca="false">IF(AND(A6139&lt;&gt;A6138,LEFT(A6139,1)&lt;&gt;"C"),1,0)</f>
        <v>0</v>
      </c>
    </row>
    <row r="6140" customFormat="false" ht="15" hidden="false" customHeight="false" outlineLevel="0" collapsed="false">
      <c r="A6140" s="0" t="s">
        <v>3207</v>
      </c>
      <c r="B6140" s="0" t="s">
        <v>1059</v>
      </c>
      <c r="C6140" s="0" t="s">
        <v>1060</v>
      </c>
      <c r="D6140" s="0" t="n">
        <v>12</v>
      </c>
      <c r="E6140" s="6" t="n">
        <v>40871.525</v>
      </c>
      <c r="F6140" s="0" t="n">
        <v>2.08</v>
      </c>
      <c r="G6140" s="0" t="n">
        <v>12471</v>
      </c>
      <c r="H6140" s="0" t="s">
        <v>33</v>
      </c>
      <c r="I6140" s="7" t="n">
        <f aca="false">IF(AND(LEFT(A6140,1)&lt;&gt;"C",D6140&gt;0,F6140&gt;0),1,0)</f>
        <v>1</v>
      </c>
      <c r="J6140" s="7" t="n">
        <f aca="false">IF(I6140=1,D6140*F6140,0)</f>
        <v>24.96</v>
      </c>
      <c r="K6140" s="7" t="n">
        <f aca="false">YEAR(E6140)*100+MONTH(E6140)</f>
        <v>201111</v>
      </c>
      <c r="L6140" s="7" t="n">
        <f aca="false">IF(AND(A6140&lt;&gt;A6139,LEFT(A6140,1)&lt;&gt;"C"),1,0)</f>
        <v>0</v>
      </c>
    </row>
    <row r="6141" customFormat="false" ht="15" hidden="false" customHeight="false" outlineLevel="0" collapsed="false">
      <c r="A6141" s="0" t="s">
        <v>3207</v>
      </c>
      <c r="B6141" s="0" t="s">
        <v>148</v>
      </c>
      <c r="C6141" s="0" t="s">
        <v>149</v>
      </c>
      <c r="D6141" s="0" t="n">
        <v>16</v>
      </c>
      <c r="E6141" s="6" t="n">
        <v>40871.525</v>
      </c>
      <c r="F6141" s="0" t="n">
        <v>10.95</v>
      </c>
      <c r="G6141" s="0" t="n">
        <v>12471</v>
      </c>
      <c r="H6141" s="0" t="s">
        <v>33</v>
      </c>
      <c r="I6141" s="7" t="n">
        <f aca="false">IF(AND(LEFT(A6141,1)&lt;&gt;"C",D6141&gt;0,F6141&gt;0),1,0)</f>
        <v>1</v>
      </c>
      <c r="J6141" s="7" t="n">
        <f aca="false">IF(I6141=1,D6141*F6141,0)</f>
        <v>175.2</v>
      </c>
      <c r="K6141" s="7" t="n">
        <f aca="false">YEAR(E6141)*100+MONTH(E6141)</f>
        <v>201111</v>
      </c>
      <c r="L6141" s="7" t="n">
        <f aca="false">IF(AND(A6141&lt;&gt;A6140,LEFT(A6141,1)&lt;&gt;"C"),1,0)</f>
        <v>0</v>
      </c>
    </row>
    <row r="6142" customFormat="false" ht="15" hidden="false" customHeight="false" outlineLevel="0" collapsed="false">
      <c r="A6142" s="0" t="s">
        <v>3207</v>
      </c>
      <c r="B6142" s="0" t="s">
        <v>3208</v>
      </c>
      <c r="C6142" s="0" t="s">
        <v>3209</v>
      </c>
      <c r="D6142" s="0" t="n">
        <v>60</v>
      </c>
      <c r="E6142" s="6" t="n">
        <v>40871.525</v>
      </c>
      <c r="F6142" s="0" t="n">
        <v>0.85</v>
      </c>
      <c r="G6142" s="0" t="n">
        <v>12471</v>
      </c>
      <c r="H6142" s="0" t="s">
        <v>33</v>
      </c>
      <c r="I6142" s="7" t="n">
        <f aca="false">IF(AND(LEFT(A6142,1)&lt;&gt;"C",D6142&gt;0,F6142&gt;0),1,0)</f>
        <v>1</v>
      </c>
      <c r="J6142" s="7" t="n">
        <f aca="false">IF(I6142=1,D6142*F6142,0)</f>
        <v>51</v>
      </c>
      <c r="K6142" s="7" t="n">
        <f aca="false">YEAR(E6142)*100+MONTH(E6142)</f>
        <v>201111</v>
      </c>
      <c r="L6142" s="7" t="n">
        <f aca="false">IF(AND(A6142&lt;&gt;A6141,LEFT(A6142,1)&lt;&gt;"C"),1,0)</f>
        <v>0</v>
      </c>
    </row>
    <row r="6143" customFormat="false" ht="15" hidden="false" customHeight="false" outlineLevel="0" collapsed="false">
      <c r="A6143" s="0" t="s">
        <v>3207</v>
      </c>
      <c r="B6143" s="0" t="s">
        <v>3063</v>
      </c>
      <c r="C6143" s="0" t="s">
        <v>3064</v>
      </c>
      <c r="D6143" s="0" t="n">
        <v>72</v>
      </c>
      <c r="E6143" s="6" t="n">
        <v>40871.525</v>
      </c>
      <c r="F6143" s="0" t="n">
        <v>0.85</v>
      </c>
      <c r="G6143" s="0" t="n">
        <v>12471</v>
      </c>
      <c r="H6143" s="0" t="s">
        <v>33</v>
      </c>
      <c r="I6143" s="7" t="n">
        <f aca="false">IF(AND(LEFT(A6143,1)&lt;&gt;"C",D6143&gt;0,F6143&gt;0),1,0)</f>
        <v>1</v>
      </c>
      <c r="J6143" s="7" t="n">
        <f aca="false">IF(I6143=1,D6143*F6143,0)</f>
        <v>61.2</v>
      </c>
      <c r="K6143" s="7" t="n">
        <f aca="false">YEAR(E6143)*100+MONTH(E6143)</f>
        <v>201111</v>
      </c>
      <c r="L6143" s="7" t="n">
        <f aca="false">IF(AND(A6143&lt;&gt;A6142,LEFT(A6143,1)&lt;&gt;"C"),1,0)</f>
        <v>0</v>
      </c>
    </row>
    <row r="6144" customFormat="false" ht="15" hidden="false" customHeight="false" outlineLevel="0" collapsed="false">
      <c r="A6144" s="0" t="s">
        <v>3210</v>
      </c>
      <c r="B6144" s="0" t="s">
        <v>899</v>
      </c>
      <c r="C6144" s="0" t="s">
        <v>900</v>
      </c>
      <c r="D6144" s="0" t="n">
        <v>24</v>
      </c>
      <c r="E6144" s="6" t="n">
        <v>40871.5277777778</v>
      </c>
      <c r="F6144" s="0" t="n">
        <v>1.45</v>
      </c>
      <c r="G6144" s="0" t="n">
        <v>12476</v>
      </c>
      <c r="H6144" s="0" t="s">
        <v>33</v>
      </c>
      <c r="I6144" s="7" t="n">
        <f aca="false">IF(AND(LEFT(A6144,1)&lt;&gt;"C",D6144&gt;0,F6144&gt;0),1,0)</f>
        <v>1</v>
      </c>
      <c r="J6144" s="7" t="n">
        <f aca="false">IF(I6144=1,D6144*F6144,0)</f>
        <v>34.8</v>
      </c>
      <c r="K6144" s="7" t="n">
        <f aca="false">YEAR(E6144)*100+MONTH(E6144)</f>
        <v>201111</v>
      </c>
      <c r="L6144" s="7" t="n">
        <f aca="false">IF(AND(A6144&lt;&gt;A6143,LEFT(A6144,1)&lt;&gt;"C"),1,0)</f>
        <v>1</v>
      </c>
    </row>
    <row r="6145" customFormat="false" ht="15" hidden="false" customHeight="false" outlineLevel="0" collapsed="false">
      <c r="A6145" s="0" t="s">
        <v>3210</v>
      </c>
      <c r="B6145" s="0" t="s">
        <v>136</v>
      </c>
      <c r="C6145" s="0" t="s">
        <v>137</v>
      </c>
      <c r="D6145" s="0" t="n">
        <v>4</v>
      </c>
      <c r="E6145" s="6" t="n">
        <v>40871.5277777778</v>
      </c>
      <c r="F6145" s="0" t="n">
        <v>4.95</v>
      </c>
      <c r="G6145" s="0" t="n">
        <v>12476</v>
      </c>
      <c r="H6145" s="0" t="s">
        <v>33</v>
      </c>
      <c r="I6145" s="7" t="n">
        <f aca="false">IF(AND(LEFT(A6145,1)&lt;&gt;"C",D6145&gt;0,F6145&gt;0),1,0)</f>
        <v>1</v>
      </c>
      <c r="J6145" s="7" t="n">
        <f aca="false">IF(I6145=1,D6145*F6145,0)</f>
        <v>19.8</v>
      </c>
      <c r="K6145" s="7" t="n">
        <f aca="false">YEAR(E6145)*100+MONTH(E6145)</f>
        <v>201111</v>
      </c>
      <c r="L6145" s="7" t="n">
        <f aca="false">IF(AND(A6145&lt;&gt;A6144,LEFT(A6145,1)&lt;&gt;"C"),1,0)</f>
        <v>0</v>
      </c>
    </row>
    <row r="6146" customFormat="false" ht="15" hidden="false" customHeight="false" outlineLevel="0" collapsed="false">
      <c r="A6146" s="0" t="s">
        <v>3210</v>
      </c>
      <c r="B6146" s="0" t="s">
        <v>3211</v>
      </c>
      <c r="C6146" s="0" t="s">
        <v>3212</v>
      </c>
      <c r="D6146" s="0" t="n">
        <v>6</v>
      </c>
      <c r="E6146" s="6" t="n">
        <v>40871.5277777778</v>
      </c>
      <c r="F6146" s="0" t="n">
        <v>3.25</v>
      </c>
      <c r="G6146" s="0" t="n">
        <v>12476</v>
      </c>
      <c r="H6146" s="0" t="s">
        <v>33</v>
      </c>
      <c r="I6146" s="7" t="n">
        <f aca="false">IF(AND(LEFT(A6146,1)&lt;&gt;"C",D6146&gt;0,F6146&gt;0),1,0)</f>
        <v>1</v>
      </c>
      <c r="J6146" s="7" t="n">
        <f aca="false">IF(I6146=1,D6146*F6146,0)</f>
        <v>19.5</v>
      </c>
      <c r="K6146" s="7" t="n">
        <f aca="false">YEAR(E6146)*100+MONTH(E6146)</f>
        <v>201111</v>
      </c>
      <c r="L6146" s="7" t="n">
        <f aca="false">IF(AND(A6146&lt;&gt;A6145,LEFT(A6146,1)&lt;&gt;"C"),1,0)</f>
        <v>0</v>
      </c>
    </row>
    <row r="6147" customFormat="false" ht="15" hidden="false" customHeight="false" outlineLevel="0" collapsed="false">
      <c r="A6147" s="0" t="s">
        <v>3210</v>
      </c>
      <c r="B6147" s="0" t="s">
        <v>2134</v>
      </c>
      <c r="C6147" s="0" t="s">
        <v>2135</v>
      </c>
      <c r="D6147" s="0" t="n">
        <v>4</v>
      </c>
      <c r="E6147" s="6" t="n">
        <v>40871.5277777778</v>
      </c>
      <c r="F6147" s="0" t="n">
        <v>4.25</v>
      </c>
      <c r="G6147" s="0" t="n">
        <v>12476</v>
      </c>
      <c r="H6147" s="0" t="s">
        <v>33</v>
      </c>
      <c r="I6147" s="7" t="n">
        <f aca="false">IF(AND(LEFT(A6147,1)&lt;&gt;"C",D6147&gt;0,F6147&gt;0),1,0)</f>
        <v>1</v>
      </c>
      <c r="J6147" s="7" t="n">
        <f aca="false">IF(I6147=1,D6147*F6147,0)</f>
        <v>17</v>
      </c>
      <c r="K6147" s="7" t="n">
        <f aca="false">YEAR(E6147)*100+MONTH(E6147)</f>
        <v>201111</v>
      </c>
      <c r="L6147" s="7" t="n">
        <f aca="false">IF(AND(A6147&lt;&gt;A6146,LEFT(A6147,1)&lt;&gt;"C"),1,0)</f>
        <v>0</v>
      </c>
    </row>
    <row r="6148" customFormat="false" ht="15" hidden="false" customHeight="false" outlineLevel="0" collapsed="false">
      <c r="A6148" s="0" t="s">
        <v>3210</v>
      </c>
      <c r="B6148" s="0" t="s">
        <v>2154</v>
      </c>
      <c r="C6148" s="0" t="s">
        <v>2155</v>
      </c>
      <c r="D6148" s="0" t="n">
        <v>4</v>
      </c>
      <c r="E6148" s="6" t="n">
        <v>40871.5277777778</v>
      </c>
      <c r="F6148" s="0" t="n">
        <v>15.95</v>
      </c>
      <c r="G6148" s="0" t="n">
        <v>12476</v>
      </c>
      <c r="H6148" s="0" t="s">
        <v>33</v>
      </c>
      <c r="I6148" s="7" t="n">
        <f aca="false">IF(AND(LEFT(A6148,1)&lt;&gt;"C",D6148&gt;0,F6148&gt;0),1,0)</f>
        <v>1</v>
      </c>
      <c r="J6148" s="7" t="n">
        <f aca="false">IF(I6148=1,D6148*F6148,0)</f>
        <v>63.8</v>
      </c>
      <c r="K6148" s="7" t="n">
        <f aca="false">YEAR(E6148)*100+MONTH(E6148)</f>
        <v>201111</v>
      </c>
      <c r="L6148" s="7" t="n">
        <f aca="false">IF(AND(A6148&lt;&gt;A6147,LEFT(A6148,1)&lt;&gt;"C"),1,0)</f>
        <v>0</v>
      </c>
    </row>
    <row r="6149" customFormat="false" ht="15" hidden="false" customHeight="false" outlineLevel="0" collapsed="false">
      <c r="A6149" s="0" t="s">
        <v>3210</v>
      </c>
      <c r="B6149" s="0" t="s">
        <v>1527</v>
      </c>
      <c r="C6149" s="0" t="s">
        <v>1528</v>
      </c>
      <c r="D6149" s="0" t="n">
        <v>6</v>
      </c>
      <c r="E6149" s="6" t="n">
        <v>40871.5277777778</v>
      </c>
      <c r="F6149" s="0" t="n">
        <v>3.25</v>
      </c>
      <c r="G6149" s="0" t="n">
        <v>12476</v>
      </c>
      <c r="H6149" s="0" t="s">
        <v>33</v>
      </c>
      <c r="I6149" s="7" t="n">
        <f aca="false">IF(AND(LEFT(A6149,1)&lt;&gt;"C",D6149&gt;0,F6149&gt;0),1,0)</f>
        <v>1</v>
      </c>
      <c r="J6149" s="7" t="n">
        <f aca="false">IF(I6149=1,D6149*F6149,0)</f>
        <v>19.5</v>
      </c>
      <c r="K6149" s="7" t="n">
        <f aca="false">YEAR(E6149)*100+MONTH(E6149)</f>
        <v>201111</v>
      </c>
      <c r="L6149" s="7" t="n">
        <f aca="false">IF(AND(A6149&lt;&gt;A6148,LEFT(A6149,1)&lt;&gt;"C"),1,0)</f>
        <v>0</v>
      </c>
    </row>
    <row r="6150" customFormat="false" ht="15" hidden="false" customHeight="false" outlineLevel="0" collapsed="false">
      <c r="A6150" s="0" t="s">
        <v>3210</v>
      </c>
      <c r="B6150" s="0" t="s">
        <v>418</v>
      </c>
      <c r="C6150" s="0" t="s">
        <v>419</v>
      </c>
      <c r="D6150" s="0" t="n">
        <v>6</v>
      </c>
      <c r="E6150" s="6" t="n">
        <v>40871.5277777778</v>
      </c>
      <c r="F6150" s="0" t="n">
        <v>3.25</v>
      </c>
      <c r="G6150" s="0" t="n">
        <v>12476</v>
      </c>
      <c r="H6150" s="0" t="s">
        <v>33</v>
      </c>
      <c r="I6150" s="7" t="n">
        <f aca="false">IF(AND(LEFT(A6150,1)&lt;&gt;"C",D6150&gt;0,F6150&gt;0),1,0)</f>
        <v>1</v>
      </c>
      <c r="J6150" s="7" t="n">
        <f aca="false">IF(I6150=1,D6150*F6150,0)</f>
        <v>19.5</v>
      </c>
      <c r="K6150" s="7" t="n">
        <f aca="false">YEAR(E6150)*100+MONTH(E6150)</f>
        <v>201111</v>
      </c>
      <c r="L6150" s="7" t="n">
        <f aca="false">IF(AND(A6150&lt;&gt;A6149,LEFT(A6150,1)&lt;&gt;"C"),1,0)</f>
        <v>0</v>
      </c>
    </row>
    <row r="6151" customFormat="false" ht="15" hidden="false" customHeight="false" outlineLevel="0" collapsed="false">
      <c r="A6151" s="0" t="s">
        <v>3210</v>
      </c>
      <c r="B6151" s="0" t="s">
        <v>2259</v>
      </c>
      <c r="C6151" s="0" t="s">
        <v>2260</v>
      </c>
      <c r="D6151" s="0" t="n">
        <v>6</v>
      </c>
      <c r="E6151" s="6" t="n">
        <v>40871.5277777778</v>
      </c>
      <c r="F6151" s="0" t="n">
        <v>2.1</v>
      </c>
      <c r="G6151" s="0" t="n">
        <v>12476</v>
      </c>
      <c r="H6151" s="0" t="s">
        <v>33</v>
      </c>
      <c r="I6151" s="7" t="n">
        <f aca="false">IF(AND(LEFT(A6151,1)&lt;&gt;"C",D6151&gt;0,F6151&gt;0),1,0)</f>
        <v>1</v>
      </c>
      <c r="J6151" s="7" t="n">
        <f aca="false">IF(I6151=1,D6151*F6151,0)</f>
        <v>12.6</v>
      </c>
      <c r="K6151" s="7" t="n">
        <f aca="false">YEAR(E6151)*100+MONTH(E6151)</f>
        <v>201111</v>
      </c>
      <c r="L6151" s="7" t="n">
        <f aca="false">IF(AND(A6151&lt;&gt;A6150,LEFT(A6151,1)&lt;&gt;"C"),1,0)</f>
        <v>0</v>
      </c>
    </row>
    <row r="6152" customFormat="false" ht="15" hidden="false" customHeight="false" outlineLevel="0" collapsed="false">
      <c r="A6152" s="0" t="s">
        <v>3210</v>
      </c>
      <c r="B6152" s="0" t="s">
        <v>2273</v>
      </c>
      <c r="C6152" s="0" t="s">
        <v>2274</v>
      </c>
      <c r="D6152" s="0" t="n">
        <v>12</v>
      </c>
      <c r="E6152" s="6" t="n">
        <v>40871.5277777778</v>
      </c>
      <c r="F6152" s="0" t="n">
        <v>2.1</v>
      </c>
      <c r="G6152" s="0" t="n">
        <v>12476</v>
      </c>
      <c r="H6152" s="0" t="s">
        <v>33</v>
      </c>
      <c r="I6152" s="7" t="n">
        <f aca="false">IF(AND(LEFT(A6152,1)&lt;&gt;"C",D6152&gt;0,F6152&gt;0),1,0)</f>
        <v>1</v>
      </c>
      <c r="J6152" s="7" t="n">
        <f aca="false">IF(I6152=1,D6152*F6152,0)</f>
        <v>25.2</v>
      </c>
      <c r="K6152" s="7" t="n">
        <f aca="false">YEAR(E6152)*100+MONTH(E6152)</f>
        <v>201111</v>
      </c>
      <c r="L6152" s="7" t="n">
        <f aca="false">IF(AND(A6152&lt;&gt;A6151,LEFT(A6152,1)&lt;&gt;"C"),1,0)</f>
        <v>0</v>
      </c>
    </row>
    <row r="6153" customFormat="false" ht="15" hidden="false" customHeight="false" outlineLevel="0" collapsed="false">
      <c r="A6153" s="0" t="s">
        <v>3210</v>
      </c>
      <c r="B6153" s="0" t="s">
        <v>2305</v>
      </c>
      <c r="C6153" s="0" t="s">
        <v>2306</v>
      </c>
      <c r="D6153" s="0" t="n">
        <v>8</v>
      </c>
      <c r="E6153" s="6" t="n">
        <v>40871.5277777778</v>
      </c>
      <c r="F6153" s="0" t="n">
        <v>4.65</v>
      </c>
      <c r="G6153" s="0" t="n">
        <v>12476</v>
      </c>
      <c r="H6153" s="0" t="s">
        <v>33</v>
      </c>
      <c r="I6153" s="7" t="n">
        <f aca="false">IF(AND(LEFT(A6153,1)&lt;&gt;"C",D6153&gt;0,F6153&gt;0),1,0)</f>
        <v>1</v>
      </c>
      <c r="J6153" s="7" t="n">
        <f aca="false">IF(I6153=1,D6153*F6153,0)</f>
        <v>37.2</v>
      </c>
      <c r="K6153" s="7" t="n">
        <f aca="false">YEAR(E6153)*100+MONTH(E6153)</f>
        <v>201111</v>
      </c>
      <c r="L6153" s="7" t="n">
        <f aca="false">IF(AND(A6153&lt;&gt;A6152,LEFT(A6153,1)&lt;&gt;"C"),1,0)</f>
        <v>0</v>
      </c>
    </row>
    <row r="6154" customFormat="false" ht="15" hidden="false" customHeight="false" outlineLevel="0" collapsed="false">
      <c r="A6154" s="0" t="s">
        <v>3210</v>
      </c>
      <c r="B6154" s="0" t="s">
        <v>107</v>
      </c>
      <c r="C6154" s="0" t="s">
        <v>108</v>
      </c>
      <c r="D6154" s="0" t="n">
        <v>12</v>
      </c>
      <c r="E6154" s="6" t="n">
        <v>40871.5277777778</v>
      </c>
      <c r="F6154" s="0" t="n">
        <v>2.55</v>
      </c>
      <c r="G6154" s="0" t="n">
        <v>12476</v>
      </c>
      <c r="H6154" s="0" t="s">
        <v>33</v>
      </c>
      <c r="I6154" s="7" t="n">
        <f aca="false">IF(AND(LEFT(A6154,1)&lt;&gt;"C",D6154&gt;0,F6154&gt;0),1,0)</f>
        <v>1</v>
      </c>
      <c r="J6154" s="7" t="n">
        <f aca="false">IF(I6154=1,D6154*F6154,0)</f>
        <v>30.6</v>
      </c>
      <c r="K6154" s="7" t="n">
        <f aca="false">YEAR(E6154)*100+MONTH(E6154)</f>
        <v>201111</v>
      </c>
      <c r="L6154" s="7" t="n">
        <f aca="false">IF(AND(A6154&lt;&gt;A6153,LEFT(A6154,1)&lt;&gt;"C"),1,0)</f>
        <v>0</v>
      </c>
    </row>
    <row r="6155" customFormat="false" ht="15" hidden="false" customHeight="false" outlineLevel="0" collapsed="false">
      <c r="A6155" s="0" t="s">
        <v>3210</v>
      </c>
      <c r="B6155" s="0" t="s">
        <v>297</v>
      </c>
      <c r="C6155" s="0" t="s">
        <v>298</v>
      </c>
      <c r="D6155" s="0" t="n">
        <v>8</v>
      </c>
      <c r="E6155" s="6" t="n">
        <v>40871.5277777778</v>
      </c>
      <c r="F6155" s="0" t="n">
        <v>3.75</v>
      </c>
      <c r="G6155" s="0" t="n">
        <v>12476</v>
      </c>
      <c r="H6155" s="0" t="s">
        <v>33</v>
      </c>
      <c r="I6155" s="7" t="n">
        <f aca="false">IF(AND(LEFT(A6155,1)&lt;&gt;"C",D6155&gt;0,F6155&gt;0),1,0)</f>
        <v>1</v>
      </c>
      <c r="J6155" s="7" t="n">
        <f aca="false">IF(I6155=1,D6155*F6155,0)</f>
        <v>30</v>
      </c>
      <c r="K6155" s="7" t="n">
        <f aca="false">YEAR(E6155)*100+MONTH(E6155)</f>
        <v>201111</v>
      </c>
      <c r="L6155" s="7" t="n">
        <f aca="false">IF(AND(A6155&lt;&gt;A6154,LEFT(A6155,1)&lt;&gt;"C"),1,0)</f>
        <v>0</v>
      </c>
    </row>
    <row r="6156" customFormat="false" ht="15" hidden="false" customHeight="false" outlineLevel="0" collapsed="false">
      <c r="A6156" s="0" t="s">
        <v>3210</v>
      </c>
      <c r="B6156" s="0" t="s">
        <v>322</v>
      </c>
      <c r="C6156" s="0" t="s">
        <v>323</v>
      </c>
      <c r="D6156" s="0" t="n">
        <v>8</v>
      </c>
      <c r="E6156" s="6" t="n">
        <v>40871.5277777778</v>
      </c>
      <c r="F6156" s="0" t="n">
        <v>3.75</v>
      </c>
      <c r="G6156" s="0" t="n">
        <v>12476</v>
      </c>
      <c r="H6156" s="0" t="s">
        <v>33</v>
      </c>
      <c r="I6156" s="7" t="n">
        <f aca="false">IF(AND(LEFT(A6156,1)&lt;&gt;"C",D6156&gt;0,F6156&gt;0),1,0)</f>
        <v>1</v>
      </c>
      <c r="J6156" s="7" t="n">
        <f aca="false">IF(I6156=1,D6156*F6156,0)</f>
        <v>30</v>
      </c>
      <c r="K6156" s="7" t="n">
        <f aca="false">YEAR(E6156)*100+MONTH(E6156)</f>
        <v>201111</v>
      </c>
      <c r="L6156" s="7" t="n">
        <f aca="false">IF(AND(A6156&lt;&gt;A6155,LEFT(A6156,1)&lt;&gt;"C"),1,0)</f>
        <v>0</v>
      </c>
    </row>
    <row r="6157" customFormat="false" ht="15" hidden="false" customHeight="false" outlineLevel="0" collapsed="false">
      <c r="A6157" s="0" t="s">
        <v>3210</v>
      </c>
      <c r="B6157" s="0" t="s">
        <v>318</v>
      </c>
      <c r="C6157" s="0" t="s">
        <v>319</v>
      </c>
      <c r="D6157" s="0" t="n">
        <v>8</v>
      </c>
      <c r="E6157" s="6" t="n">
        <v>40871.5277777778</v>
      </c>
      <c r="F6157" s="0" t="n">
        <v>3.75</v>
      </c>
      <c r="G6157" s="0" t="n">
        <v>12476</v>
      </c>
      <c r="H6157" s="0" t="s">
        <v>33</v>
      </c>
      <c r="I6157" s="7" t="n">
        <f aca="false">IF(AND(LEFT(A6157,1)&lt;&gt;"C",D6157&gt;0,F6157&gt;0),1,0)</f>
        <v>1</v>
      </c>
      <c r="J6157" s="7" t="n">
        <f aca="false">IF(I6157=1,D6157*F6157,0)</f>
        <v>30</v>
      </c>
      <c r="K6157" s="7" t="n">
        <f aca="false">YEAR(E6157)*100+MONTH(E6157)</f>
        <v>201111</v>
      </c>
      <c r="L6157" s="7" t="n">
        <f aca="false">IF(AND(A6157&lt;&gt;A6156,LEFT(A6157,1)&lt;&gt;"C"),1,0)</f>
        <v>0</v>
      </c>
    </row>
    <row r="6158" customFormat="false" ht="15" hidden="false" customHeight="false" outlineLevel="0" collapsed="false">
      <c r="A6158" s="0" t="s">
        <v>3210</v>
      </c>
      <c r="B6158" s="0" t="s">
        <v>388</v>
      </c>
      <c r="C6158" s="0" t="s">
        <v>389</v>
      </c>
      <c r="D6158" s="0" t="n">
        <v>40</v>
      </c>
      <c r="E6158" s="6" t="n">
        <v>40871.5277777778</v>
      </c>
      <c r="F6158" s="0" t="n">
        <v>1.69</v>
      </c>
      <c r="G6158" s="0" t="n">
        <v>12476</v>
      </c>
      <c r="H6158" s="0" t="s">
        <v>33</v>
      </c>
      <c r="I6158" s="7" t="n">
        <f aca="false">IF(AND(LEFT(A6158,1)&lt;&gt;"C",D6158&gt;0,F6158&gt;0),1,0)</f>
        <v>1</v>
      </c>
      <c r="J6158" s="7" t="n">
        <f aca="false">IF(I6158=1,D6158*F6158,0)</f>
        <v>67.6</v>
      </c>
      <c r="K6158" s="7" t="n">
        <f aca="false">YEAR(E6158)*100+MONTH(E6158)</f>
        <v>201111</v>
      </c>
      <c r="L6158" s="7" t="n">
        <f aca="false">IF(AND(A6158&lt;&gt;A6157,LEFT(A6158,1)&lt;&gt;"C"),1,0)</f>
        <v>0</v>
      </c>
    </row>
    <row r="6159" customFormat="false" ht="15" hidden="false" customHeight="false" outlineLevel="0" collapsed="false">
      <c r="A6159" s="0" t="s">
        <v>3210</v>
      </c>
      <c r="B6159" s="0" t="s">
        <v>3213</v>
      </c>
      <c r="C6159" s="0" t="s">
        <v>3214</v>
      </c>
      <c r="D6159" s="0" t="n">
        <v>6</v>
      </c>
      <c r="E6159" s="6" t="n">
        <v>40871.5277777778</v>
      </c>
      <c r="F6159" s="0" t="n">
        <v>2.1</v>
      </c>
      <c r="G6159" s="0" t="n">
        <v>12476</v>
      </c>
      <c r="H6159" s="0" t="s">
        <v>33</v>
      </c>
      <c r="I6159" s="7" t="n">
        <f aca="false">IF(AND(LEFT(A6159,1)&lt;&gt;"C",D6159&gt;0,F6159&gt;0),1,0)</f>
        <v>1</v>
      </c>
      <c r="J6159" s="7" t="n">
        <f aca="false">IF(I6159=1,D6159*F6159,0)</f>
        <v>12.6</v>
      </c>
      <c r="K6159" s="7" t="n">
        <f aca="false">YEAR(E6159)*100+MONTH(E6159)</f>
        <v>201111</v>
      </c>
      <c r="L6159" s="7" t="n">
        <f aca="false">IF(AND(A6159&lt;&gt;A6158,LEFT(A6159,1)&lt;&gt;"C"),1,0)</f>
        <v>0</v>
      </c>
    </row>
    <row r="6160" customFormat="false" ht="15" hidden="false" customHeight="false" outlineLevel="0" collapsed="false">
      <c r="A6160" s="0" t="s">
        <v>3210</v>
      </c>
      <c r="B6160" s="0" t="s">
        <v>3215</v>
      </c>
      <c r="C6160" s="0" t="s">
        <v>3216</v>
      </c>
      <c r="D6160" s="0" t="n">
        <v>1</v>
      </c>
      <c r="E6160" s="6" t="n">
        <v>40871.5277777778</v>
      </c>
      <c r="F6160" s="0" t="n">
        <v>19.95</v>
      </c>
      <c r="G6160" s="0" t="n">
        <v>12476</v>
      </c>
      <c r="H6160" s="0" t="s">
        <v>33</v>
      </c>
      <c r="I6160" s="7" t="n">
        <f aca="false">IF(AND(LEFT(A6160,1)&lt;&gt;"C",D6160&gt;0,F6160&gt;0),1,0)</f>
        <v>1</v>
      </c>
      <c r="J6160" s="7" t="n">
        <f aca="false">IF(I6160=1,D6160*F6160,0)</f>
        <v>19.95</v>
      </c>
      <c r="K6160" s="7" t="n">
        <f aca="false">YEAR(E6160)*100+MONTH(E6160)</f>
        <v>201111</v>
      </c>
      <c r="L6160" s="7" t="n">
        <f aca="false">IF(AND(A6160&lt;&gt;A6159,LEFT(A6160,1)&lt;&gt;"C"),1,0)</f>
        <v>0</v>
      </c>
    </row>
    <row r="6161" customFormat="false" ht="15" hidden="false" customHeight="false" outlineLevel="0" collapsed="false">
      <c r="A6161" s="0" t="s">
        <v>3210</v>
      </c>
      <c r="B6161" s="0" t="s">
        <v>2309</v>
      </c>
      <c r="C6161" s="0" t="s">
        <v>2310</v>
      </c>
      <c r="D6161" s="0" t="n">
        <v>2</v>
      </c>
      <c r="E6161" s="6" t="n">
        <v>40871.5277777778</v>
      </c>
      <c r="F6161" s="0" t="n">
        <v>7.65</v>
      </c>
      <c r="G6161" s="0" t="n">
        <v>12476</v>
      </c>
      <c r="H6161" s="0" t="s">
        <v>33</v>
      </c>
      <c r="I6161" s="7" t="n">
        <f aca="false">IF(AND(LEFT(A6161,1)&lt;&gt;"C",D6161&gt;0,F6161&gt;0),1,0)</f>
        <v>1</v>
      </c>
      <c r="J6161" s="7" t="n">
        <f aca="false">IF(I6161=1,D6161*F6161,0)</f>
        <v>15.3</v>
      </c>
      <c r="K6161" s="7" t="n">
        <f aca="false">YEAR(E6161)*100+MONTH(E6161)</f>
        <v>201111</v>
      </c>
      <c r="L6161" s="7" t="n">
        <f aca="false">IF(AND(A6161&lt;&gt;A6160,LEFT(A6161,1)&lt;&gt;"C"),1,0)</f>
        <v>0</v>
      </c>
    </row>
    <row r="6162" customFormat="false" ht="15" hidden="false" customHeight="false" outlineLevel="0" collapsed="false">
      <c r="A6162" s="0" t="s">
        <v>3210</v>
      </c>
      <c r="B6162" s="0" t="s">
        <v>445</v>
      </c>
      <c r="C6162" s="0" t="s">
        <v>446</v>
      </c>
      <c r="D6162" s="0" t="n">
        <v>4</v>
      </c>
      <c r="E6162" s="6" t="n">
        <v>40871.5277777778</v>
      </c>
      <c r="F6162" s="0" t="n">
        <v>7.95</v>
      </c>
      <c r="G6162" s="0" t="n">
        <v>12476</v>
      </c>
      <c r="H6162" s="0" t="s">
        <v>33</v>
      </c>
      <c r="I6162" s="7" t="n">
        <f aca="false">IF(AND(LEFT(A6162,1)&lt;&gt;"C",D6162&gt;0,F6162&gt;0),1,0)</f>
        <v>1</v>
      </c>
      <c r="J6162" s="7" t="n">
        <f aca="false">IF(I6162=1,D6162*F6162,0)</f>
        <v>31.8</v>
      </c>
      <c r="K6162" s="7" t="n">
        <f aca="false">YEAR(E6162)*100+MONTH(E6162)</f>
        <v>201111</v>
      </c>
      <c r="L6162" s="7" t="n">
        <f aca="false">IF(AND(A6162&lt;&gt;A6161,LEFT(A6162,1)&lt;&gt;"C"),1,0)</f>
        <v>0</v>
      </c>
    </row>
    <row r="6163" customFormat="false" ht="15" hidden="false" customHeight="false" outlineLevel="0" collapsed="false">
      <c r="A6163" s="0" t="s">
        <v>3210</v>
      </c>
      <c r="B6163" s="0" t="s">
        <v>3217</v>
      </c>
      <c r="C6163" s="0" t="s">
        <v>3218</v>
      </c>
      <c r="D6163" s="0" t="n">
        <v>18</v>
      </c>
      <c r="E6163" s="6" t="n">
        <v>40871.5277777778</v>
      </c>
      <c r="F6163" s="0" t="n">
        <v>2.95</v>
      </c>
      <c r="G6163" s="0" t="n">
        <v>12476</v>
      </c>
      <c r="H6163" s="0" t="s">
        <v>33</v>
      </c>
      <c r="I6163" s="7" t="n">
        <f aca="false">IF(AND(LEFT(A6163,1)&lt;&gt;"C",D6163&gt;0,F6163&gt;0),1,0)</f>
        <v>1</v>
      </c>
      <c r="J6163" s="7" t="n">
        <f aca="false">IF(I6163=1,D6163*F6163,0)</f>
        <v>53.1</v>
      </c>
      <c r="K6163" s="7" t="n">
        <f aca="false">YEAR(E6163)*100+MONTH(E6163)</f>
        <v>201111</v>
      </c>
      <c r="L6163" s="7" t="n">
        <f aca="false">IF(AND(A6163&lt;&gt;A6162,LEFT(A6163,1)&lt;&gt;"C"),1,0)</f>
        <v>0</v>
      </c>
    </row>
    <row r="6164" customFormat="false" ht="15" hidden="false" customHeight="false" outlineLevel="0" collapsed="false">
      <c r="A6164" s="0" t="s">
        <v>3210</v>
      </c>
      <c r="B6164" s="0" t="s">
        <v>1909</v>
      </c>
      <c r="C6164" s="0" t="s">
        <v>1910</v>
      </c>
      <c r="D6164" s="0" t="n">
        <v>18</v>
      </c>
      <c r="E6164" s="6" t="n">
        <v>40871.5277777778</v>
      </c>
      <c r="F6164" s="0" t="n">
        <v>2.95</v>
      </c>
      <c r="G6164" s="0" t="n">
        <v>12476</v>
      </c>
      <c r="H6164" s="0" t="s">
        <v>33</v>
      </c>
      <c r="I6164" s="7" t="n">
        <f aca="false">IF(AND(LEFT(A6164,1)&lt;&gt;"C",D6164&gt;0,F6164&gt;0),1,0)</f>
        <v>1</v>
      </c>
      <c r="J6164" s="7" t="n">
        <f aca="false">IF(I6164=1,D6164*F6164,0)</f>
        <v>53.1</v>
      </c>
      <c r="K6164" s="7" t="n">
        <f aca="false">YEAR(E6164)*100+MONTH(E6164)</f>
        <v>201111</v>
      </c>
      <c r="L6164" s="7" t="n">
        <f aca="false">IF(AND(A6164&lt;&gt;A6163,LEFT(A6164,1)&lt;&gt;"C"),1,0)</f>
        <v>0</v>
      </c>
    </row>
    <row r="6165" customFormat="false" ht="15" hidden="false" customHeight="false" outlineLevel="0" collapsed="false">
      <c r="A6165" s="0" t="s">
        <v>3210</v>
      </c>
      <c r="B6165" s="0" t="s">
        <v>1393</v>
      </c>
      <c r="C6165" s="0" t="s">
        <v>1394</v>
      </c>
      <c r="D6165" s="0" t="n">
        <v>4</v>
      </c>
      <c r="E6165" s="6" t="n">
        <v>40871.5277777778</v>
      </c>
      <c r="F6165" s="0" t="n">
        <v>3.75</v>
      </c>
      <c r="G6165" s="0" t="n">
        <v>12476</v>
      </c>
      <c r="H6165" s="0" t="s">
        <v>33</v>
      </c>
      <c r="I6165" s="7" t="n">
        <f aca="false">IF(AND(LEFT(A6165,1)&lt;&gt;"C",D6165&gt;0,F6165&gt;0),1,0)</f>
        <v>1</v>
      </c>
      <c r="J6165" s="7" t="n">
        <f aca="false">IF(I6165=1,D6165*F6165,0)</f>
        <v>15</v>
      </c>
      <c r="K6165" s="7" t="n">
        <f aca="false">YEAR(E6165)*100+MONTH(E6165)</f>
        <v>201111</v>
      </c>
      <c r="L6165" s="7" t="n">
        <f aca="false">IF(AND(A6165&lt;&gt;A6164,LEFT(A6165,1)&lt;&gt;"C"),1,0)</f>
        <v>0</v>
      </c>
    </row>
    <row r="6166" customFormat="false" ht="15" hidden="false" customHeight="false" outlineLevel="0" collapsed="false">
      <c r="A6166" s="0" t="s">
        <v>3210</v>
      </c>
      <c r="B6166" s="0" t="s">
        <v>3219</v>
      </c>
      <c r="C6166" s="0" t="s">
        <v>3220</v>
      </c>
      <c r="D6166" s="0" t="n">
        <v>4</v>
      </c>
      <c r="E6166" s="6" t="n">
        <v>40871.5277777778</v>
      </c>
      <c r="F6166" s="0" t="n">
        <v>8.5</v>
      </c>
      <c r="G6166" s="0" t="n">
        <v>12476</v>
      </c>
      <c r="H6166" s="0" t="s">
        <v>33</v>
      </c>
      <c r="I6166" s="7" t="n">
        <f aca="false">IF(AND(LEFT(A6166,1)&lt;&gt;"C",D6166&gt;0,F6166&gt;0),1,0)</f>
        <v>1</v>
      </c>
      <c r="J6166" s="7" t="n">
        <f aca="false">IF(I6166=1,D6166*F6166,0)</f>
        <v>34</v>
      </c>
      <c r="K6166" s="7" t="n">
        <f aca="false">YEAR(E6166)*100+MONTH(E6166)</f>
        <v>201111</v>
      </c>
      <c r="L6166" s="7" t="n">
        <f aca="false">IF(AND(A6166&lt;&gt;A6165,LEFT(A6166,1)&lt;&gt;"C"),1,0)</f>
        <v>0</v>
      </c>
    </row>
    <row r="6167" customFormat="false" ht="15" hidden="false" customHeight="false" outlineLevel="0" collapsed="false">
      <c r="A6167" s="0" t="s">
        <v>3210</v>
      </c>
      <c r="B6167" s="0" t="s">
        <v>2615</v>
      </c>
      <c r="C6167" s="0" t="s">
        <v>2616</v>
      </c>
      <c r="D6167" s="0" t="n">
        <v>12</v>
      </c>
      <c r="E6167" s="6" t="n">
        <v>40871.5277777778</v>
      </c>
      <c r="F6167" s="0" t="n">
        <v>1.25</v>
      </c>
      <c r="G6167" s="0" t="n">
        <v>12476</v>
      </c>
      <c r="H6167" s="0" t="s">
        <v>33</v>
      </c>
      <c r="I6167" s="7" t="n">
        <f aca="false">IF(AND(LEFT(A6167,1)&lt;&gt;"C",D6167&gt;0,F6167&gt;0),1,0)</f>
        <v>1</v>
      </c>
      <c r="J6167" s="7" t="n">
        <f aca="false">IF(I6167=1,D6167*F6167,0)</f>
        <v>15</v>
      </c>
      <c r="K6167" s="7" t="n">
        <f aca="false">YEAR(E6167)*100+MONTH(E6167)</f>
        <v>201111</v>
      </c>
      <c r="L6167" s="7" t="n">
        <f aca="false">IF(AND(A6167&lt;&gt;A6166,LEFT(A6167,1)&lt;&gt;"C"),1,0)</f>
        <v>0</v>
      </c>
    </row>
    <row r="6168" customFormat="false" ht="15" hidden="false" customHeight="false" outlineLevel="0" collapsed="false">
      <c r="A6168" s="0" t="s">
        <v>3210</v>
      </c>
      <c r="B6168" s="0" t="s">
        <v>1418</v>
      </c>
      <c r="C6168" s="0" t="s">
        <v>1419</v>
      </c>
      <c r="D6168" s="0" t="n">
        <v>12</v>
      </c>
      <c r="E6168" s="6" t="n">
        <v>40871.5277777778</v>
      </c>
      <c r="F6168" s="0" t="n">
        <v>1.25</v>
      </c>
      <c r="G6168" s="0" t="n">
        <v>12476</v>
      </c>
      <c r="H6168" s="0" t="s">
        <v>33</v>
      </c>
      <c r="I6168" s="7" t="n">
        <f aca="false">IF(AND(LEFT(A6168,1)&lt;&gt;"C",D6168&gt;0,F6168&gt;0),1,0)</f>
        <v>1</v>
      </c>
      <c r="J6168" s="7" t="n">
        <f aca="false">IF(I6168=1,D6168*F6168,0)</f>
        <v>15</v>
      </c>
      <c r="K6168" s="7" t="n">
        <f aca="false">YEAR(E6168)*100+MONTH(E6168)</f>
        <v>201111</v>
      </c>
      <c r="L6168" s="7" t="n">
        <f aca="false">IF(AND(A6168&lt;&gt;A6167,LEFT(A6168,1)&lt;&gt;"C"),1,0)</f>
        <v>0</v>
      </c>
    </row>
    <row r="6169" customFormat="false" ht="15" hidden="false" customHeight="false" outlineLevel="0" collapsed="false">
      <c r="A6169" s="0" t="s">
        <v>3210</v>
      </c>
      <c r="B6169" s="0" t="s">
        <v>2477</v>
      </c>
      <c r="C6169" s="0" t="s">
        <v>2478</v>
      </c>
      <c r="D6169" s="0" t="n">
        <v>10</v>
      </c>
      <c r="E6169" s="6" t="n">
        <v>40871.5277777778</v>
      </c>
      <c r="F6169" s="0" t="n">
        <v>2.1</v>
      </c>
      <c r="G6169" s="0" t="n">
        <v>12476</v>
      </c>
      <c r="H6169" s="0" t="s">
        <v>33</v>
      </c>
      <c r="I6169" s="7" t="n">
        <f aca="false">IF(AND(LEFT(A6169,1)&lt;&gt;"C",D6169&gt;0,F6169&gt;0),1,0)</f>
        <v>1</v>
      </c>
      <c r="J6169" s="7" t="n">
        <f aca="false">IF(I6169=1,D6169*F6169,0)</f>
        <v>21</v>
      </c>
      <c r="K6169" s="7" t="n">
        <f aca="false">YEAR(E6169)*100+MONTH(E6169)</f>
        <v>201111</v>
      </c>
      <c r="L6169" s="7" t="n">
        <f aca="false">IF(AND(A6169&lt;&gt;A6168,LEFT(A6169,1)&lt;&gt;"C"),1,0)</f>
        <v>0</v>
      </c>
    </row>
    <row r="6170" customFormat="false" ht="15" hidden="false" customHeight="false" outlineLevel="0" collapsed="false">
      <c r="A6170" s="0" t="s">
        <v>3210</v>
      </c>
      <c r="B6170" s="0" t="s">
        <v>977</v>
      </c>
      <c r="C6170" s="0" t="s">
        <v>978</v>
      </c>
      <c r="D6170" s="0" t="n">
        <v>10</v>
      </c>
      <c r="E6170" s="6" t="n">
        <v>40871.5277777778</v>
      </c>
      <c r="F6170" s="0" t="n">
        <v>1.65</v>
      </c>
      <c r="G6170" s="0" t="n">
        <v>12476</v>
      </c>
      <c r="H6170" s="0" t="s">
        <v>33</v>
      </c>
      <c r="I6170" s="7" t="n">
        <f aca="false">IF(AND(LEFT(A6170,1)&lt;&gt;"C",D6170&gt;0,F6170&gt;0),1,0)</f>
        <v>1</v>
      </c>
      <c r="J6170" s="7" t="n">
        <f aca="false">IF(I6170=1,D6170*F6170,0)</f>
        <v>16.5</v>
      </c>
      <c r="K6170" s="7" t="n">
        <f aca="false">YEAR(E6170)*100+MONTH(E6170)</f>
        <v>201111</v>
      </c>
      <c r="L6170" s="7" t="n">
        <f aca="false">IF(AND(A6170&lt;&gt;A6169,LEFT(A6170,1)&lt;&gt;"C"),1,0)</f>
        <v>0</v>
      </c>
    </row>
    <row r="6171" customFormat="false" ht="15" hidden="false" customHeight="false" outlineLevel="0" collapsed="false">
      <c r="A6171" s="0" t="s">
        <v>3210</v>
      </c>
      <c r="B6171" s="0" t="s">
        <v>943</v>
      </c>
      <c r="C6171" s="0" t="s">
        <v>944</v>
      </c>
      <c r="D6171" s="0" t="n">
        <v>24</v>
      </c>
      <c r="E6171" s="6" t="n">
        <v>40871.5277777778</v>
      </c>
      <c r="F6171" s="0" t="n">
        <v>1.95</v>
      </c>
      <c r="G6171" s="0" t="n">
        <v>12476</v>
      </c>
      <c r="H6171" s="0" t="s">
        <v>33</v>
      </c>
      <c r="I6171" s="7" t="n">
        <f aca="false">IF(AND(LEFT(A6171,1)&lt;&gt;"C",D6171&gt;0,F6171&gt;0),1,0)</f>
        <v>1</v>
      </c>
      <c r="J6171" s="7" t="n">
        <f aca="false">IF(I6171=1,D6171*F6171,0)</f>
        <v>46.8</v>
      </c>
      <c r="K6171" s="7" t="n">
        <f aca="false">YEAR(E6171)*100+MONTH(E6171)</f>
        <v>201111</v>
      </c>
      <c r="L6171" s="7" t="n">
        <f aca="false">IF(AND(A6171&lt;&gt;A6170,LEFT(A6171,1)&lt;&gt;"C"),1,0)</f>
        <v>0</v>
      </c>
    </row>
    <row r="6172" customFormat="false" ht="15" hidden="false" customHeight="false" outlineLevel="0" collapsed="false">
      <c r="A6172" s="0" t="s">
        <v>3210</v>
      </c>
      <c r="B6172" s="0" t="s">
        <v>3070</v>
      </c>
      <c r="C6172" s="0" t="s">
        <v>3071</v>
      </c>
      <c r="D6172" s="0" t="n">
        <v>8</v>
      </c>
      <c r="E6172" s="6" t="n">
        <v>40871.5277777778</v>
      </c>
      <c r="F6172" s="0" t="n">
        <v>3.29</v>
      </c>
      <c r="G6172" s="0" t="n">
        <v>12476</v>
      </c>
      <c r="H6172" s="0" t="s">
        <v>33</v>
      </c>
      <c r="I6172" s="7" t="n">
        <f aca="false">IF(AND(LEFT(A6172,1)&lt;&gt;"C",D6172&gt;0,F6172&gt;0),1,0)</f>
        <v>1</v>
      </c>
      <c r="J6172" s="7" t="n">
        <f aca="false">IF(I6172=1,D6172*F6172,0)</f>
        <v>26.32</v>
      </c>
      <c r="K6172" s="7" t="n">
        <f aca="false">YEAR(E6172)*100+MONTH(E6172)</f>
        <v>201111</v>
      </c>
      <c r="L6172" s="7" t="n">
        <f aca="false">IF(AND(A6172&lt;&gt;A6171,LEFT(A6172,1)&lt;&gt;"C"),1,0)</f>
        <v>0</v>
      </c>
    </row>
    <row r="6173" customFormat="false" ht="15" hidden="false" customHeight="false" outlineLevel="0" collapsed="false">
      <c r="A6173" s="0" t="s">
        <v>3210</v>
      </c>
      <c r="B6173" s="0" t="s">
        <v>2202</v>
      </c>
      <c r="C6173" s="0" t="s">
        <v>2203</v>
      </c>
      <c r="D6173" s="0" t="n">
        <v>24</v>
      </c>
      <c r="E6173" s="6" t="n">
        <v>40871.5277777778</v>
      </c>
      <c r="F6173" s="0" t="n">
        <v>0.65</v>
      </c>
      <c r="G6173" s="0" t="n">
        <v>12476</v>
      </c>
      <c r="H6173" s="0" t="s">
        <v>33</v>
      </c>
      <c r="I6173" s="7" t="n">
        <f aca="false">IF(AND(LEFT(A6173,1)&lt;&gt;"C",D6173&gt;0,F6173&gt;0),1,0)</f>
        <v>1</v>
      </c>
      <c r="J6173" s="7" t="n">
        <f aca="false">IF(I6173=1,D6173*F6173,0)</f>
        <v>15.6</v>
      </c>
      <c r="K6173" s="7" t="n">
        <f aca="false">YEAR(E6173)*100+MONTH(E6173)</f>
        <v>201111</v>
      </c>
      <c r="L6173" s="7" t="n">
        <f aca="false">IF(AND(A6173&lt;&gt;A6172,LEFT(A6173,1)&lt;&gt;"C"),1,0)</f>
        <v>0</v>
      </c>
    </row>
    <row r="6174" customFormat="false" ht="15" hidden="false" customHeight="false" outlineLevel="0" collapsed="false">
      <c r="A6174" s="0" t="s">
        <v>3210</v>
      </c>
      <c r="B6174" s="0" t="s">
        <v>2248</v>
      </c>
      <c r="C6174" s="0" t="s">
        <v>2249</v>
      </c>
      <c r="D6174" s="0" t="n">
        <v>24</v>
      </c>
      <c r="E6174" s="6" t="n">
        <v>40871.5277777778</v>
      </c>
      <c r="F6174" s="0" t="n">
        <v>0.85</v>
      </c>
      <c r="G6174" s="0" t="n">
        <v>12476</v>
      </c>
      <c r="H6174" s="0" t="s">
        <v>33</v>
      </c>
      <c r="I6174" s="7" t="n">
        <f aca="false">IF(AND(LEFT(A6174,1)&lt;&gt;"C",D6174&gt;0,F6174&gt;0),1,0)</f>
        <v>1</v>
      </c>
      <c r="J6174" s="7" t="n">
        <f aca="false">IF(I6174=1,D6174*F6174,0)</f>
        <v>20.4</v>
      </c>
      <c r="K6174" s="7" t="n">
        <f aca="false">YEAR(E6174)*100+MONTH(E6174)</f>
        <v>201111</v>
      </c>
      <c r="L6174" s="7" t="n">
        <f aca="false">IF(AND(A6174&lt;&gt;A6173,LEFT(A6174,1)&lt;&gt;"C"),1,0)</f>
        <v>0</v>
      </c>
    </row>
    <row r="6175" customFormat="false" ht="15" hidden="false" customHeight="false" outlineLevel="0" collapsed="false">
      <c r="A6175" s="0" t="s">
        <v>3210</v>
      </c>
      <c r="B6175" s="0" t="s">
        <v>3221</v>
      </c>
      <c r="C6175" s="0" t="s">
        <v>3222</v>
      </c>
      <c r="D6175" s="0" t="n">
        <v>5</v>
      </c>
      <c r="E6175" s="6" t="n">
        <v>40871.5277777778</v>
      </c>
      <c r="F6175" s="0" t="n">
        <v>4.95</v>
      </c>
      <c r="G6175" s="0" t="n">
        <v>12476</v>
      </c>
      <c r="H6175" s="0" t="s">
        <v>33</v>
      </c>
      <c r="I6175" s="7" t="n">
        <f aca="false">IF(AND(LEFT(A6175,1)&lt;&gt;"C",D6175&gt;0,F6175&gt;0),1,0)</f>
        <v>1</v>
      </c>
      <c r="J6175" s="7" t="n">
        <f aca="false">IF(I6175=1,D6175*F6175,0)</f>
        <v>24.75</v>
      </c>
      <c r="K6175" s="7" t="n">
        <f aca="false">YEAR(E6175)*100+MONTH(E6175)</f>
        <v>201111</v>
      </c>
      <c r="L6175" s="7" t="n">
        <f aca="false">IF(AND(A6175&lt;&gt;A6174,LEFT(A6175,1)&lt;&gt;"C"),1,0)</f>
        <v>0</v>
      </c>
    </row>
    <row r="6176" customFormat="false" ht="15" hidden="false" customHeight="false" outlineLevel="0" collapsed="false">
      <c r="A6176" s="0" t="s">
        <v>3210</v>
      </c>
      <c r="B6176" s="0" t="s">
        <v>1420</v>
      </c>
      <c r="C6176" s="0" t="s">
        <v>1421</v>
      </c>
      <c r="D6176" s="0" t="n">
        <v>12</v>
      </c>
      <c r="E6176" s="6" t="n">
        <v>40871.5277777778</v>
      </c>
      <c r="F6176" s="0" t="n">
        <v>4.95</v>
      </c>
      <c r="G6176" s="0" t="n">
        <v>12476</v>
      </c>
      <c r="H6176" s="0" t="s">
        <v>33</v>
      </c>
      <c r="I6176" s="7" t="n">
        <f aca="false">IF(AND(LEFT(A6176,1)&lt;&gt;"C",D6176&gt;0,F6176&gt;0),1,0)</f>
        <v>1</v>
      </c>
      <c r="J6176" s="7" t="n">
        <f aca="false">IF(I6176=1,D6176*F6176,0)</f>
        <v>59.4</v>
      </c>
      <c r="K6176" s="7" t="n">
        <f aca="false">YEAR(E6176)*100+MONTH(E6176)</f>
        <v>201111</v>
      </c>
      <c r="L6176" s="7" t="n">
        <f aca="false">IF(AND(A6176&lt;&gt;A6175,LEFT(A6176,1)&lt;&gt;"C"),1,0)</f>
        <v>0</v>
      </c>
    </row>
    <row r="6177" customFormat="false" ht="15" hidden="false" customHeight="false" outlineLevel="0" collapsed="false">
      <c r="A6177" s="0" t="s">
        <v>3210</v>
      </c>
      <c r="B6177" s="0" t="s">
        <v>463</v>
      </c>
      <c r="C6177" s="0" t="s">
        <v>464</v>
      </c>
      <c r="D6177" s="0" t="n">
        <v>3</v>
      </c>
      <c r="E6177" s="6" t="n">
        <v>40871.5277777778</v>
      </c>
      <c r="F6177" s="0" t="n">
        <v>7.95</v>
      </c>
      <c r="G6177" s="0" t="n">
        <v>12476</v>
      </c>
      <c r="H6177" s="0" t="s">
        <v>33</v>
      </c>
      <c r="I6177" s="7" t="n">
        <f aca="false">IF(AND(LEFT(A6177,1)&lt;&gt;"C",D6177&gt;0,F6177&gt;0),1,0)</f>
        <v>1</v>
      </c>
      <c r="J6177" s="7" t="n">
        <f aca="false">IF(I6177=1,D6177*F6177,0)</f>
        <v>23.85</v>
      </c>
      <c r="K6177" s="7" t="n">
        <f aca="false">YEAR(E6177)*100+MONTH(E6177)</f>
        <v>201111</v>
      </c>
      <c r="L6177" s="7" t="n">
        <f aca="false">IF(AND(A6177&lt;&gt;A6176,LEFT(A6177,1)&lt;&gt;"C"),1,0)</f>
        <v>0</v>
      </c>
    </row>
    <row r="6178" customFormat="false" ht="15" hidden="false" customHeight="false" outlineLevel="0" collapsed="false">
      <c r="A6178" s="0" t="s">
        <v>3210</v>
      </c>
      <c r="B6178" s="0" t="s">
        <v>84</v>
      </c>
      <c r="C6178" s="0" t="s">
        <v>85</v>
      </c>
      <c r="D6178" s="0" t="n">
        <v>9</v>
      </c>
      <c r="E6178" s="6" t="n">
        <v>40871.5277777778</v>
      </c>
      <c r="F6178" s="0" t="n">
        <v>18</v>
      </c>
      <c r="G6178" s="0" t="n">
        <v>12476</v>
      </c>
      <c r="H6178" s="0" t="s">
        <v>33</v>
      </c>
      <c r="I6178" s="7" t="n">
        <f aca="false">IF(AND(LEFT(A6178,1)&lt;&gt;"C",D6178&gt;0,F6178&gt;0),1,0)</f>
        <v>1</v>
      </c>
      <c r="J6178" s="7" t="n">
        <f aca="false">IF(I6178=1,D6178*F6178,0)</f>
        <v>162</v>
      </c>
      <c r="K6178" s="7" t="n">
        <f aca="false">YEAR(E6178)*100+MONTH(E6178)</f>
        <v>201111</v>
      </c>
      <c r="L6178" s="7" t="n">
        <f aca="false">IF(AND(A6178&lt;&gt;A6177,LEFT(A6178,1)&lt;&gt;"C"),1,0)</f>
        <v>0</v>
      </c>
    </row>
    <row r="6179" customFormat="false" ht="15" hidden="false" customHeight="false" outlineLevel="0" collapsed="false">
      <c r="A6179" s="0" t="s">
        <v>3210</v>
      </c>
      <c r="B6179" s="0" t="s">
        <v>2435</v>
      </c>
      <c r="C6179" s="0" t="s">
        <v>2436</v>
      </c>
      <c r="D6179" s="0" t="n">
        <v>6</v>
      </c>
      <c r="E6179" s="6" t="n">
        <v>40871.5277777778</v>
      </c>
      <c r="F6179" s="0" t="n">
        <v>2.55</v>
      </c>
      <c r="G6179" s="0" t="n">
        <v>12476</v>
      </c>
      <c r="H6179" s="0" t="s">
        <v>33</v>
      </c>
      <c r="I6179" s="7" t="n">
        <f aca="false">IF(AND(LEFT(A6179,1)&lt;&gt;"C",D6179&gt;0,F6179&gt;0),1,0)</f>
        <v>1</v>
      </c>
      <c r="J6179" s="7" t="n">
        <f aca="false">IF(I6179=1,D6179*F6179,0)</f>
        <v>15.3</v>
      </c>
      <c r="K6179" s="7" t="n">
        <f aca="false">YEAR(E6179)*100+MONTH(E6179)</f>
        <v>201111</v>
      </c>
      <c r="L6179" s="7" t="n">
        <f aca="false">IF(AND(A6179&lt;&gt;A6178,LEFT(A6179,1)&lt;&gt;"C"),1,0)</f>
        <v>0</v>
      </c>
    </row>
    <row r="6180" customFormat="false" ht="15" hidden="false" customHeight="false" outlineLevel="0" collapsed="false">
      <c r="A6180" s="0" t="s">
        <v>3210</v>
      </c>
      <c r="B6180" s="0" t="s">
        <v>2361</v>
      </c>
      <c r="C6180" s="0" t="s">
        <v>2362</v>
      </c>
      <c r="D6180" s="0" t="n">
        <v>12</v>
      </c>
      <c r="E6180" s="6" t="n">
        <v>40871.5277777778</v>
      </c>
      <c r="F6180" s="0" t="n">
        <v>1.25</v>
      </c>
      <c r="G6180" s="0" t="n">
        <v>12476</v>
      </c>
      <c r="H6180" s="0" t="s">
        <v>33</v>
      </c>
      <c r="I6180" s="7" t="n">
        <f aca="false">IF(AND(LEFT(A6180,1)&lt;&gt;"C",D6180&gt;0,F6180&gt;0),1,0)</f>
        <v>1</v>
      </c>
      <c r="J6180" s="7" t="n">
        <f aca="false">IF(I6180=1,D6180*F6180,0)</f>
        <v>15</v>
      </c>
      <c r="K6180" s="7" t="n">
        <f aca="false">YEAR(E6180)*100+MONTH(E6180)</f>
        <v>201111</v>
      </c>
      <c r="L6180" s="7" t="n">
        <f aca="false">IF(AND(A6180&lt;&gt;A6179,LEFT(A6180,1)&lt;&gt;"C"),1,0)</f>
        <v>0</v>
      </c>
    </row>
    <row r="6181" customFormat="false" ht="15" hidden="false" customHeight="false" outlineLevel="0" collapsed="false">
      <c r="A6181" s="0" t="s">
        <v>3210</v>
      </c>
      <c r="B6181" s="0" t="s">
        <v>3008</v>
      </c>
      <c r="C6181" s="0" t="s">
        <v>3009</v>
      </c>
      <c r="D6181" s="0" t="n">
        <v>3</v>
      </c>
      <c r="E6181" s="6" t="n">
        <v>40871.5277777778</v>
      </c>
      <c r="F6181" s="0" t="n">
        <v>8.25</v>
      </c>
      <c r="G6181" s="0" t="n">
        <v>12476</v>
      </c>
      <c r="H6181" s="0" t="s">
        <v>33</v>
      </c>
      <c r="I6181" s="7" t="n">
        <f aca="false">IF(AND(LEFT(A6181,1)&lt;&gt;"C",D6181&gt;0,F6181&gt;0),1,0)</f>
        <v>1</v>
      </c>
      <c r="J6181" s="7" t="n">
        <f aca="false">IF(I6181=1,D6181*F6181,0)</f>
        <v>24.75</v>
      </c>
      <c r="K6181" s="7" t="n">
        <f aca="false">YEAR(E6181)*100+MONTH(E6181)</f>
        <v>201111</v>
      </c>
      <c r="L6181" s="7" t="n">
        <f aca="false">IF(AND(A6181&lt;&gt;A6180,LEFT(A6181,1)&lt;&gt;"C"),1,0)</f>
        <v>0</v>
      </c>
    </row>
    <row r="6182" customFormat="false" ht="15" hidden="false" customHeight="false" outlineLevel="0" collapsed="false">
      <c r="A6182" s="0" t="s">
        <v>3210</v>
      </c>
      <c r="B6182" s="0" t="s">
        <v>2833</v>
      </c>
      <c r="C6182" s="0" t="s">
        <v>2834</v>
      </c>
      <c r="D6182" s="0" t="n">
        <v>4</v>
      </c>
      <c r="E6182" s="6" t="n">
        <v>40871.5277777778</v>
      </c>
      <c r="F6182" s="0" t="n">
        <v>5.95</v>
      </c>
      <c r="G6182" s="0" t="n">
        <v>12476</v>
      </c>
      <c r="H6182" s="0" t="s">
        <v>33</v>
      </c>
      <c r="I6182" s="7" t="n">
        <f aca="false">IF(AND(LEFT(A6182,1)&lt;&gt;"C",D6182&gt;0,F6182&gt;0),1,0)</f>
        <v>1</v>
      </c>
      <c r="J6182" s="7" t="n">
        <f aca="false">IF(I6182=1,D6182*F6182,0)</f>
        <v>23.8</v>
      </c>
      <c r="K6182" s="7" t="n">
        <f aca="false">YEAR(E6182)*100+MONTH(E6182)</f>
        <v>201111</v>
      </c>
      <c r="L6182" s="7" t="n">
        <f aca="false">IF(AND(A6182&lt;&gt;A6181,LEFT(A6182,1)&lt;&gt;"C"),1,0)</f>
        <v>0</v>
      </c>
    </row>
    <row r="6183" customFormat="false" ht="15" hidden="false" customHeight="false" outlineLevel="0" collapsed="false">
      <c r="A6183" s="0" t="s">
        <v>3210</v>
      </c>
      <c r="B6183" s="0" t="s">
        <v>3223</v>
      </c>
      <c r="C6183" s="0" t="s">
        <v>3224</v>
      </c>
      <c r="D6183" s="0" t="n">
        <v>6</v>
      </c>
      <c r="E6183" s="6" t="n">
        <v>40871.5277777778</v>
      </c>
      <c r="F6183" s="0" t="n">
        <v>4.95</v>
      </c>
      <c r="G6183" s="0" t="n">
        <v>12476</v>
      </c>
      <c r="H6183" s="0" t="s">
        <v>33</v>
      </c>
      <c r="I6183" s="7" t="n">
        <f aca="false">IF(AND(LEFT(A6183,1)&lt;&gt;"C",D6183&gt;0,F6183&gt;0),1,0)</f>
        <v>1</v>
      </c>
      <c r="J6183" s="7" t="n">
        <f aca="false">IF(I6183=1,D6183*F6183,0)</f>
        <v>29.7</v>
      </c>
      <c r="K6183" s="7" t="n">
        <f aca="false">YEAR(E6183)*100+MONTH(E6183)</f>
        <v>201111</v>
      </c>
      <c r="L6183" s="7" t="n">
        <f aca="false">IF(AND(A6183&lt;&gt;A6182,LEFT(A6183,1)&lt;&gt;"C"),1,0)</f>
        <v>0</v>
      </c>
    </row>
    <row r="6184" customFormat="false" ht="15" hidden="false" customHeight="false" outlineLevel="0" collapsed="false">
      <c r="A6184" s="0" t="s">
        <v>3210</v>
      </c>
      <c r="B6184" s="0" t="s">
        <v>3225</v>
      </c>
      <c r="C6184" s="0" t="s">
        <v>3226</v>
      </c>
      <c r="D6184" s="0" t="n">
        <v>3</v>
      </c>
      <c r="E6184" s="6" t="n">
        <v>40871.5277777778</v>
      </c>
      <c r="F6184" s="0" t="n">
        <v>4.95</v>
      </c>
      <c r="G6184" s="0" t="n">
        <v>12476</v>
      </c>
      <c r="H6184" s="0" t="s">
        <v>33</v>
      </c>
      <c r="I6184" s="7" t="n">
        <f aca="false">IF(AND(LEFT(A6184,1)&lt;&gt;"C",D6184&gt;0,F6184&gt;0),1,0)</f>
        <v>1</v>
      </c>
      <c r="J6184" s="7" t="n">
        <f aca="false">IF(I6184=1,D6184*F6184,0)</f>
        <v>14.85</v>
      </c>
      <c r="K6184" s="7" t="n">
        <f aca="false">YEAR(E6184)*100+MONTH(E6184)</f>
        <v>201111</v>
      </c>
      <c r="L6184" s="7" t="n">
        <f aca="false">IF(AND(A6184&lt;&gt;A6183,LEFT(A6184,1)&lt;&gt;"C"),1,0)</f>
        <v>0</v>
      </c>
    </row>
    <row r="6185" customFormat="false" ht="15" hidden="false" customHeight="false" outlineLevel="0" collapsed="false">
      <c r="A6185" s="0" t="s">
        <v>3210</v>
      </c>
      <c r="B6185" s="0" t="s">
        <v>3227</v>
      </c>
      <c r="C6185" s="0" t="s">
        <v>3228</v>
      </c>
      <c r="D6185" s="0" t="n">
        <v>12</v>
      </c>
      <c r="E6185" s="6" t="n">
        <v>40871.5277777778</v>
      </c>
      <c r="F6185" s="0" t="n">
        <v>2.95</v>
      </c>
      <c r="G6185" s="0" t="n">
        <v>12476</v>
      </c>
      <c r="H6185" s="0" t="s">
        <v>33</v>
      </c>
      <c r="I6185" s="7" t="n">
        <f aca="false">IF(AND(LEFT(A6185,1)&lt;&gt;"C",D6185&gt;0,F6185&gt;0),1,0)</f>
        <v>1</v>
      </c>
      <c r="J6185" s="7" t="n">
        <f aca="false">IF(I6185=1,D6185*F6185,0)</f>
        <v>35.4</v>
      </c>
      <c r="K6185" s="7" t="n">
        <f aca="false">YEAR(E6185)*100+MONTH(E6185)</f>
        <v>201111</v>
      </c>
      <c r="L6185" s="7" t="n">
        <f aca="false">IF(AND(A6185&lt;&gt;A6184,LEFT(A6185,1)&lt;&gt;"C"),1,0)</f>
        <v>0</v>
      </c>
    </row>
    <row r="6186" customFormat="false" ht="15" hidden="false" customHeight="false" outlineLevel="0" collapsed="false">
      <c r="A6186" s="0" t="s">
        <v>3210</v>
      </c>
      <c r="B6186" s="0" t="s">
        <v>2255</v>
      </c>
      <c r="C6186" s="0" t="s">
        <v>2256</v>
      </c>
      <c r="D6186" s="0" t="n">
        <v>24</v>
      </c>
      <c r="E6186" s="6" t="n">
        <v>40871.5277777778</v>
      </c>
      <c r="F6186" s="0" t="n">
        <v>1.25</v>
      </c>
      <c r="G6186" s="0" t="n">
        <v>12476</v>
      </c>
      <c r="H6186" s="0" t="s">
        <v>33</v>
      </c>
      <c r="I6186" s="7" t="n">
        <f aca="false">IF(AND(LEFT(A6186,1)&lt;&gt;"C",D6186&gt;0,F6186&gt;0),1,0)</f>
        <v>1</v>
      </c>
      <c r="J6186" s="7" t="n">
        <f aca="false">IF(I6186=1,D6186*F6186,0)</f>
        <v>30</v>
      </c>
      <c r="K6186" s="7" t="n">
        <f aca="false">YEAR(E6186)*100+MONTH(E6186)</f>
        <v>201111</v>
      </c>
      <c r="L6186" s="7" t="n">
        <f aca="false">IF(AND(A6186&lt;&gt;A6185,LEFT(A6186,1)&lt;&gt;"C"),1,0)</f>
        <v>0</v>
      </c>
    </row>
    <row r="6187" customFormat="false" ht="15" hidden="false" customHeight="false" outlineLevel="0" collapsed="false">
      <c r="A6187" s="0" t="s">
        <v>3210</v>
      </c>
      <c r="B6187" s="0" t="s">
        <v>2788</v>
      </c>
      <c r="C6187" s="0" t="s">
        <v>2789</v>
      </c>
      <c r="D6187" s="0" t="n">
        <v>10</v>
      </c>
      <c r="E6187" s="6" t="n">
        <v>40871.5277777778</v>
      </c>
      <c r="F6187" s="0" t="n">
        <v>7.08</v>
      </c>
      <c r="G6187" s="0" t="n">
        <v>12476</v>
      </c>
      <c r="H6187" s="0" t="s">
        <v>33</v>
      </c>
      <c r="I6187" s="7" t="n">
        <f aca="false">IF(AND(LEFT(A6187,1)&lt;&gt;"C",D6187&gt;0,F6187&gt;0),1,0)</f>
        <v>1</v>
      </c>
      <c r="J6187" s="7" t="n">
        <f aca="false">IF(I6187=1,D6187*F6187,0)</f>
        <v>70.8</v>
      </c>
      <c r="K6187" s="7" t="n">
        <f aca="false">YEAR(E6187)*100+MONTH(E6187)</f>
        <v>201111</v>
      </c>
      <c r="L6187" s="7" t="n">
        <f aca="false">IF(AND(A6187&lt;&gt;A6186,LEFT(A6187,1)&lt;&gt;"C"),1,0)</f>
        <v>0</v>
      </c>
    </row>
    <row r="6188" customFormat="false" ht="15" hidden="false" customHeight="false" outlineLevel="0" collapsed="false">
      <c r="A6188" s="0" t="s">
        <v>3210</v>
      </c>
      <c r="B6188" s="0" t="s">
        <v>1671</v>
      </c>
      <c r="C6188" s="0" t="s">
        <v>1672</v>
      </c>
      <c r="D6188" s="0" t="n">
        <v>10</v>
      </c>
      <c r="E6188" s="6" t="n">
        <v>40871.5277777778</v>
      </c>
      <c r="F6188" s="0" t="n">
        <v>7.08</v>
      </c>
      <c r="G6188" s="0" t="n">
        <v>12476</v>
      </c>
      <c r="H6188" s="0" t="s">
        <v>33</v>
      </c>
      <c r="I6188" s="7" t="n">
        <f aca="false">IF(AND(LEFT(A6188,1)&lt;&gt;"C",D6188&gt;0,F6188&gt;0),1,0)</f>
        <v>1</v>
      </c>
      <c r="J6188" s="7" t="n">
        <f aca="false">IF(I6188=1,D6188*F6188,0)</f>
        <v>70.8</v>
      </c>
      <c r="K6188" s="7" t="n">
        <f aca="false">YEAR(E6188)*100+MONTH(E6188)</f>
        <v>201111</v>
      </c>
      <c r="L6188" s="7" t="n">
        <f aca="false">IF(AND(A6188&lt;&gt;A6187,LEFT(A6188,1)&lt;&gt;"C"),1,0)</f>
        <v>0</v>
      </c>
    </row>
    <row r="6189" customFormat="false" ht="15" hidden="false" customHeight="false" outlineLevel="0" collapsed="false">
      <c r="A6189" s="0" t="s">
        <v>3210</v>
      </c>
      <c r="B6189" s="0" t="s">
        <v>2763</v>
      </c>
      <c r="C6189" s="0" t="s">
        <v>2764</v>
      </c>
      <c r="D6189" s="0" t="n">
        <v>24</v>
      </c>
      <c r="E6189" s="6" t="n">
        <v>40871.5277777778</v>
      </c>
      <c r="F6189" s="0" t="n">
        <v>1.25</v>
      </c>
      <c r="G6189" s="0" t="n">
        <v>12476</v>
      </c>
      <c r="H6189" s="0" t="s">
        <v>33</v>
      </c>
      <c r="I6189" s="7" t="n">
        <f aca="false">IF(AND(LEFT(A6189,1)&lt;&gt;"C",D6189&gt;0,F6189&gt;0),1,0)</f>
        <v>1</v>
      </c>
      <c r="J6189" s="7" t="n">
        <f aca="false">IF(I6189=1,D6189*F6189,0)</f>
        <v>30</v>
      </c>
      <c r="K6189" s="7" t="n">
        <f aca="false">YEAR(E6189)*100+MONTH(E6189)</f>
        <v>201111</v>
      </c>
      <c r="L6189" s="7" t="n">
        <f aca="false">IF(AND(A6189&lt;&gt;A6188,LEFT(A6189,1)&lt;&gt;"C"),1,0)</f>
        <v>0</v>
      </c>
    </row>
    <row r="6190" customFormat="false" ht="15" hidden="false" customHeight="false" outlineLevel="0" collapsed="false">
      <c r="A6190" s="0" t="s">
        <v>3210</v>
      </c>
      <c r="B6190" s="0" t="s">
        <v>1436</v>
      </c>
      <c r="C6190" s="0" t="s">
        <v>1437</v>
      </c>
      <c r="D6190" s="0" t="n">
        <v>3</v>
      </c>
      <c r="E6190" s="6" t="n">
        <v>40871.5277777778</v>
      </c>
      <c r="F6190" s="0" t="n">
        <v>4.95</v>
      </c>
      <c r="G6190" s="0" t="n">
        <v>12476</v>
      </c>
      <c r="H6190" s="0" t="s">
        <v>33</v>
      </c>
      <c r="I6190" s="7" t="n">
        <f aca="false">IF(AND(LEFT(A6190,1)&lt;&gt;"C",D6190&gt;0,F6190&gt;0),1,0)</f>
        <v>1</v>
      </c>
      <c r="J6190" s="7" t="n">
        <f aca="false">IF(I6190=1,D6190*F6190,0)</f>
        <v>14.85</v>
      </c>
      <c r="K6190" s="7" t="n">
        <f aca="false">YEAR(E6190)*100+MONTH(E6190)</f>
        <v>201111</v>
      </c>
      <c r="L6190" s="7" t="n">
        <f aca="false">IF(AND(A6190&lt;&gt;A6189,LEFT(A6190,1)&lt;&gt;"C"),1,0)</f>
        <v>0</v>
      </c>
    </row>
    <row r="6191" customFormat="false" ht="15" hidden="false" customHeight="false" outlineLevel="0" collapsed="false">
      <c r="A6191" s="0" t="s">
        <v>3210</v>
      </c>
      <c r="B6191" s="0" t="s">
        <v>1671</v>
      </c>
      <c r="C6191" s="0" t="s">
        <v>1672</v>
      </c>
      <c r="D6191" s="0" t="n">
        <v>6</v>
      </c>
      <c r="E6191" s="6" t="n">
        <v>40871.5277777778</v>
      </c>
      <c r="F6191" s="0" t="n">
        <v>8.25</v>
      </c>
      <c r="G6191" s="0" t="n">
        <v>12476</v>
      </c>
      <c r="H6191" s="0" t="s">
        <v>33</v>
      </c>
      <c r="I6191" s="7" t="n">
        <f aca="false">IF(AND(LEFT(A6191,1)&lt;&gt;"C",D6191&gt;0,F6191&gt;0),1,0)</f>
        <v>1</v>
      </c>
      <c r="J6191" s="7" t="n">
        <f aca="false">IF(I6191=1,D6191*F6191,0)</f>
        <v>49.5</v>
      </c>
      <c r="K6191" s="7" t="n">
        <f aca="false">YEAR(E6191)*100+MONTH(E6191)</f>
        <v>201111</v>
      </c>
      <c r="L6191" s="7" t="n">
        <f aca="false">IF(AND(A6191&lt;&gt;A6190,LEFT(A6191,1)&lt;&gt;"C"),1,0)</f>
        <v>0</v>
      </c>
    </row>
    <row r="6192" customFormat="false" ht="15" hidden="false" customHeight="false" outlineLevel="0" collapsed="false">
      <c r="A6192" s="0" t="s">
        <v>3210</v>
      </c>
      <c r="B6192" s="0" t="s">
        <v>2691</v>
      </c>
      <c r="C6192" s="0" t="s">
        <v>2692</v>
      </c>
      <c r="D6192" s="0" t="n">
        <v>20</v>
      </c>
      <c r="E6192" s="6" t="n">
        <v>40871.5277777778</v>
      </c>
      <c r="F6192" s="0" t="n">
        <v>0.42</v>
      </c>
      <c r="G6192" s="0" t="n">
        <v>12476</v>
      </c>
      <c r="H6192" s="0" t="s">
        <v>33</v>
      </c>
      <c r="I6192" s="7" t="n">
        <f aca="false">IF(AND(LEFT(A6192,1)&lt;&gt;"C",D6192&gt;0,F6192&gt;0),1,0)</f>
        <v>1</v>
      </c>
      <c r="J6192" s="7" t="n">
        <f aca="false">IF(I6192=1,D6192*F6192,0)</f>
        <v>8.4</v>
      </c>
      <c r="K6192" s="7" t="n">
        <f aca="false">YEAR(E6192)*100+MONTH(E6192)</f>
        <v>201111</v>
      </c>
      <c r="L6192" s="7" t="n">
        <f aca="false">IF(AND(A6192&lt;&gt;A6191,LEFT(A6192,1)&lt;&gt;"C"),1,0)</f>
        <v>0</v>
      </c>
    </row>
    <row r="6193" customFormat="false" ht="15" hidden="false" customHeight="false" outlineLevel="0" collapsed="false">
      <c r="A6193" s="0" t="s">
        <v>3210</v>
      </c>
      <c r="B6193" s="0" t="s">
        <v>1568</v>
      </c>
      <c r="C6193" s="0" t="s">
        <v>1569</v>
      </c>
      <c r="D6193" s="0" t="n">
        <v>16</v>
      </c>
      <c r="E6193" s="6" t="n">
        <v>40871.5277777778</v>
      </c>
      <c r="F6193" s="0" t="n">
        <v>1.25</v>
      </c>
      <c r="G6193" s="0" t="n">
        <v>12476</v>
      </c>
      <c r="H6193" s="0" t="s">
        <v>33</v>
      </c>
      <c r="I6193" s="7" t="n">
        <f aca="false">IF(AND(LEFT(A6193,1)&lt;&gt;"C",D6193&gt;0,F6193&gt;0),1,0)</f>
        <v>1</v>
      </c>
      <c r="J6193" s="7" t="n">
        <f aca="false">IF(I6193=1,D6193*F6193,0)</f>
        <v>20</v>
      </c>
      <c r="K6193" s="7" t="n">
        <f aca="false">YEAR(E6193)*100+MONTH(E6193)</f>
        <v>201111</v>
      </c>
      <c r="L6193" s="7" t="n">
        <f aca="false">IF(AND(A6193&lt;&gt;A6192,LEFT(A6193,1)&lt;&gt;"C"),1,0)</f>
        <v>0</v>
      </c>
    </row>
    <row r="6194" customFormat="false" ht="15" hidden="false" customHeight="false" outlineLevel="0" collapsed="false">
      <c r="A6194" s="0" t="s">
        <v>3210</v>
      </c>
      <c r="B6194" s="0" t="s">
        <v>2018</v>
      </c>
      <c r="C6194" s="0" t="s">
        <v>2019</v>
      </c>
      <c r="D6194" s="0" t="n">
        <v>16</v>
      </c>
      <c r="E6194" s="6" t="n">
        <v>40871.5277777778</v>
      </c>
      <c r="F6194" s="0" t="n">
        <v>1.25</v>
      </c>
      <c r="G6194" s="0" t="n">
        <v>12476</v>
      </c>
      <c r="H6194" s="0" t="s">
        <v>33</v>
      </c>
      <c r="I6194" s="7" t="n">
        <f aca="false">IF(AND(LEFT(A6194,1)&lt;&gt;"C",D6194&gt;0,F6194&gt;0),1,0)</f>
        <v>1</v>
      </c>
      <c r="J6194" s="7" t="n">
        <f aca="false">IF(I6194=1,D6194*F6194,0)</f>
        <v>20</v>
      </c>
      <c r="K6194" s="7" t="n">
        <f aca="false">YEAR(E6194)*100+MONTH(E6194)</f>
        <v>201111</v>
      </c>
      <c r="L6194" s="7" t="n">
        <f aca="false">IF(AND(A6194&lt;&gt;A6193,LEFT(A6194,1)&lt;&gt;"C"),1,0)</f>
        <v>0</v>
      </c>
    </row>
    <row r="6195" customFormat="false" ht="15" hidden="false" customHeight="false" outlineLevel="0" collapsed="false">
      <c r="A6195" s="0" t="s">
        <v>3210</v>
      </c>
      <c r="B6195" s="0" t="s">
        <v>533</v>
      </c>
      <c r="C6195" s="0" t="s">
        <v>534</v>
      </c>
      <c r="D6195" s="0" t="n">
        <v>16</v>
      </c>
      <c r="E6195" s="6" t="n">
        <v>40871.5277777778</v>
      </c>
      <c r="F6195" s="0" t="n">
        <v>1.25</v>
      </c>
      <c r="G6195" s="0" t="n">
        <v>12476</v>
      </c>
      <c r="H6195" s="0" t="s">
        <v>33</v>
      </c>
      <c r="I6195" s="7" t="n">
        <f aca="false">IF(AND(LEFT(A6195,1)&lt;&gt;"C",D6195&gt;0,F6195&gt;0),1,0)</f>
        <v>1</v>
      </c>
      <c r="J6195" s="7" t="n">
        <f aca="false">IF(I6195=1,D6195*F6195,0)</f>
        <v>20</v>
      </c>
      <c r="K6195" s="7" t="n">
        <f aca="false">YEAR(E6195)*100+MONTH(E6195)</f>
        <v>201111</v>
      </c>
      <c r="L6195" s="7" t="n">
        <f aca="false">IF(AND(A6195&lt;&gt;A6194,LEFT(A6195,1)&lt;&gt;"C"),1,0)</f>
        <v>0</v>
      </c>
    </row>
    <row r="6196" customFormat="false" ht="15" hidden="false" customHeight="false" outlineLevel="0" collapsed="false">
      <c r="A6196" s="0" t="s">
        <v>3210</v>
      </c>
      <c r="B6196" s="0" t="s">
        <v>428</v>
      </c>
      <c r="C6196" s="0" t="s">
        <v>429</v>
      </c>
      <c r="D6196" s="0" t="n">
        <v>2</v>
      </c>
      <c r="E6196" s="6" t="n">
        <v>40871.5277777778</v>
      </c>
      <c r="F6196" s="0" t="n">
        <v>8.25</v>
      </c>
      <c r="G6196" s="0" t="n">
        <v>12476</v>
      </c>
      <c r="H6196" s="0" t="s">
        <v>33</v>
      </c>
      <c r="I6196" s="7" t="n">
        <f aca="false">IF(AND(LEFT(A6196,1)&lt;&gt;"C",D6196&gt;0,F6196&gt;0),1,0)</f>
        <v>1</v>
      </c>
      <c r="J6196" s="7" t="n">
        <f aca="false">IF(I6196=1,D6196*F6196,0)</f>
        <v>16.5</v>
      </c>
      <c r="K6196" s="7" t="n">
        <f aca="false">YEAR(E6196)*100+MONTH(E6196)</f>
        <v>201111</v>
      </c>
      <c r="L6196" s="7" t="n">
        <f aca="false">IF(AND(A6196&lt;&gt;A6195,LEFT(A6196,1)&lt;&gt;"C"),1,0)</f>
        <v>0</v>
      </c>
    </row>
    <row r="6197" customFormat="false" ht="15" hidden="false" customHeight="false" outlineLevel="0" collapsed="false">
      <c r="A6197" s="0" t="s">
        <v>3210</v>
      </c>
      <c r="B6197" s="0" t="s">
        <v>422</v>
      </c>
      <c r="C6197" s="0" t="s">
        <v>423</v>
      </c>
      <c r="D6197" s="0" t="n">
        <v>2</v>
      </c>
      <c r="E6197" s="6" t="n">
        <v>40871.5277777778</v>
      </c>
      <c r="F6197" s="0" t="n">
        <v>8.25</v>
      </c>
      <c r="G6197" s="0" t="n">
        <v>12476</v>
      </c>
      <c r="H6197" s="0" t="s">
        <v>33</v>
      </c>
      <c r="I6197" s="7" t="n">
        <f aca="false">IF(AND(LEFT(A6197,1)&lt;&gt;"C",D6197&gt;0,F6197&gt;0),1,0)</f>
        <v>1</v>
      </c>
      <c r="J6197" s="7" t="n">
        <f aca="false">IF(I6197=1,D6197*F6197,0)</f>
        <v>16.5</v>
      </c>
      <c r="K6197" s="7" t="n">
        <f aca="false">YEAR(E6197)*100+MONTH(E6197)</f>
        <v>201111</v>
      </c>
      <c r="L6197" s="7" t="n">
        <f aca="false">IF(AND(A6197&lt;&gt;A6196,LEFT(A6197,1)&lt;&gt;"C"),1,0)</f>
        <v>0</v>
      </c>
    </row>
    <row r="6198" customFormat="false" ht="15" hidden="false" customHeight="false" outlineLevel="0" collapsed="false">
      <c r="A6198" s="0" t="s">
        <v>3210</v>
      </c>
      <c r="B6198" s="0" t="s">
        <v>935</v>
      </c>
      <c r="C6198" s="0" t="s">
        <v>936</v>
      </c>
      <c r="D6198" s="0" t="n">
        <v>6</v>
      </c>
      <c r="E6198" s="6" t="n">
        <v>40871.5277777778</v>
      </c>
      <c r="F6198" s="0" t="n">
        <v>2.49</v>
      </c>
      <c r="G6198" s="0" t="n">
        <v>12476</v>
      </c>
      <c r="H6198" s="0" t="s">
        <v>33</v>
      </c>
      <c r="I6198" s="7" t="n">
        <f aca="false">IF(AND(LEFT(A6198,1)&lt;&gt;"C",D6198&gt;0,F6198&gt;0),1,0)</f>
        <v>1</v>
      </c>
      <c r="J6198" s="7" t="n">
        <f aca="false">IF(I6198=1,D6198*F6198,0)</f>
        <v>14.94</v>
      </c>
      <c r="K6198" s="7" t="n">
        <f aca="false">YEAR(E6198)*100+MONTH(E6198)</f>
        <v>201111</v>
      </c>
      <c r="L6198" s="7" t="n">
        <f aca="false">IF(AND(A6198&lt;&gt;A6197,LEFT(A6198,1)&lt;&gt;"C"),1,0)</f>
        <v>0</v>
      </c>
    </row>
    <row r="6199" customFormat="false" ht="15" hidden="false" customHeight="false" outlineLevel="0" collapsed="false">
      <c r="A6199" s="0" t="s">
        <v>3210</v>
      </c>
      <c r="B6199" s="0" t="s">
        <v>789</v>
      </c>
      <c r="C6199" s="0" t="s">
        <v>790</v>
      </c>
      <c r="D6199" s="0" t="n">
        <v>12</v>
      </c>
      <c r="E6199" s="6" t="n">
        <v>40871.5277777778</v>
      </c>
      <c r="F6199" s="0" t="n">
        <v>1.95</v>
      </c>
      <c r="G6199" s="0" t="n">
        <v>12476</v>
      </c>
      <c r="H6199" s="0" t="s">
        <v>33</v>
      </c>
      <c r="I6199" s="7" t="n">
        <f aca="false">IF(AND(LEFT(A6199,1)&lt;&gt;"C",D6199&gt;0,F6199&gt;0),1,0)</f>
        <v>1</v>
      </c>
      <c r="J6199" s="7" t="n">
        <f aca="false">IF(I6199=1,D6199*F6199,0)</f>
        <v>23.4</v>
      </c>
      <c r="K6199" s="7" t="n">
        <f aca="false">YEAR(E6199)*100+MONTH(E6199)</f>
        <v>201111</v>
      </c>
      <c r="L6199" s="7" t="n">
        <f aca="false">IF(AND(A6199&lt;&gt;A6198,LEFT(A6199,1)&lt;&gt;"C"),1,0)</f>
        <v>0</v>
      </c>
    </row>
    <row r="6200" customFormat="false" ht="15" hidden="false" customHeight="false" outlineLevel="0" collapsed="false">
      <c r="A6200" s="0" t="s">
        <v>3210</v>
      </c>
      <c r="B6200" s="0" t="s">
        <v>3229</v>
      </c>
      <c r="C6200" s="0" t="s">
        <v>3230</v>
      </c>
      <c r="D6200" s="0" t="n">
        <v>6</v>
      </c>
      <c r="E6200" s="6" t="n">
        <v>40871.5277777778</v>
      </c>
      <c r="F6200" s="0" t="n">
        <v>2.95</v>
      </c>
      <c r="G6200" s="0" t="n">
        <v>12476</v>
      </c>
      <c r="H6200" s="0" t="s">
        <v>33</v>
      </c>
      <c r="I6200" s="7" t="n">
        <f aca="false">IF(AND(LEFT(A6200,1)&lt;&gt;"C",D6200&gt;0,F6200&gt;0),1,0)</f>
        <v>1</v>
      </c>
      <c r="J6200" s="7" t="n">
        <f aca="false">IF(I6200=1,D6200*F6200,0)</f>
        <v>17.7</v>
      </c>
      <c r="K6200" s="7" t="n">
        <f aca="false">YEAR(E6200)*100+MONTH(E6200)</f>
        <v>201111</v>
      </c>
      <c r="L6200" s="7" t="n">
        <f aca="false">IF(AND(A6200&lt;&gt;A6199,LEFT(A6200,1)&lt;&gt;"C"),1,0)</f>
        <v>0</v>
      </c>
    </row>
    <row r="6201" customFormat="false" ht="15" hidden="false" customHeight="false" outlineLevel="0" collapsed="false">
      <c r="A6201" s="0" t="s">
        <v>3210</v>
      </c>
      <c r="B6201" s="0" t="s">
        <v>1648</v>
      </c>
      <c r="C6201" s="0" t="s">
        <v>1649</v>
      </c>
      <c r="D6201" s="0" t="n">
        <v>3</v>
      </c>
      <c r="E6201" s="6" t="n">
        <v>40871.5277777778</v>
      </c>
      <c r="F6201" s="0" t="n">
        <v>4.95</v>
      </c>
      <c r="G6201" s="0" t="n">
        <v>12476</v>
      </c>
      <c r="H6201" s="0" t="s">
        <v>33</v>
      </c>
      <c r="I6201" s="7" t="n">
        <f aca="false">IF(AND(LEFT(A6201,1)&lt;&gt;"C",D6201&gt;0,F6201&gt;0),1,0)</f>
        <v>1</v>
      </c>
      <c r="J6201" s="7" t="n">
        <f aca="false">IF(I6201=1,D6201*F6201,0)</f>
        <v>14.85</v>
      </c>
      <c r="K6201" s="7" t="n">
        <f aca="false">YEAR(E6201)*100+MONTH(E6201)</f>
        <v>201111</v>
      </c>
      <c r="L6201" s="7" t="n">
        <f aca="false">IF(AND(A6201&lt;&gt;A6200,LEFT(A6201,1)&lt;&gt;"C"),1,0)</f>
        <v>0</v>
      </c>
    </row>
    <row r="6202" customFormat="false" ht="15" hidden="false" customHeight="false" outlineLevel="0" collapsed="false">
      <c r="A6202" s="0" t="s">
        <v>3210</v>
      </c>
      <c r="B6202" s="0" t="s">
        <v>1650</v>
      </c>
      <c r="C6202" s="0" t="s">
        <v>1651</v>
      </c>
      <c r="D6202" s="0" t="n">
        <v>3</v>
      </c>
      <c r="E6202" s="6" t="n">
        <v>40871.5277777778</v>
      </c>
      <c r="F6202" s="0" t="n">
        <v>4.95</v>
      </c>
      <c r="G6202" s="0" t="n">
        <v>12476</v>
      </c>
      <c r="H6202" s="0" t="s">
        <v>33</v>
      </c>
      <c r="I6202" s="7" t="n">
        <f aca="false">IF(AND(LEFT(A6202,1)&lt;&gt;"C",D6202&gt;0,F6202&gt;0),1,0)</f>
        <v>1</v>
      </c>
      <c r="J6202" s="7" t="n">
        <f aca="false">IF(I6202=1,D6202*F6202,0)</f>
        <v>14.85</v>
      </c>
      <c r="K6202" s="7" t="n">
        <f aca="false">YEAR(E6202)*100+MONTH(E6202)</f>
        <v>201111</v>
      </c>
      <c r="L6202" s="7" t="n">
        <f aca="false">IF(AND(A6202&lt;&gt;A6201,LEFT(A6202,1)&lt;&gt;"C"),1,0)</f>
        <v>0</v>
      </c>
    </row>
    <row r="6203" customFormat="false" ht="15" hidden="false" customHeight="false" outlineLevel="0" collapsed="false">
      <c r="A6203" s="0" t="s">
        <v>3231</v>
      </c>
      <c r="B6203" s="0" t="s">
        <v>2761</v>
      </c>
      <c r="C6203" s="0" t="s">
        <v>2762</v>
      </c>
      <c r="D6203" s="0" t="n">
        <v>30</v>
      </c>
      <c r="E6203" s="6" t="n">
        <v>40871.5534722222</v>
      </c>
      <c r="F6203" s="0" t="n">
        <v>0.21</v>
      </c>
      <c r="G6203" s="0" t="n">
        <v>12705</v>
      </c>
      <c r="H6203" s="0" t="s">
        <v>33</v>
      </c>
      <c r="I6203" s="7" t="n">
        <f aca="false">IF(AND(LEFT(A6203,1)&lt;&gt;"C",D6203&gt;0,F6203&gt;0),1,0)</f>
        <v>1</v>
      </c>
      <c r="J6203" s="7" t="n">
        <f aca="false">IF(I6203=1,D6203*F6203,0)</f>
        <v>6.3</v>
      </c>
      <c r="K6203" s="7" t="n">
        <f aca="false">YEAR(E6203)*100+MONTH(E6203)</f>
        <v>201111</v>
      </c>
      <c r="L6203" s="7" t="n">
        <f aca="false">IF(AND(A6203&lt;&gt;A6202,LEFT(A6203,1)&lt;&gt;"C"),1,0)</f>
        <v>1</v>
      </c>
    </row>
    <row r="6204" customFormat="false" ht="15" hidden="false" customHeight="false" outlineLevel="0" collapsed="false">
      <c r="A6204" s="0" t="s">
        <v>3231</v>
      </c>
      <c r="B6204" s="0" t="s">
        <v>1827</v>
      </c>
      <c r="C6204" s="0" t="s">
        <v>1828</v>
      </c>
      <c r="D6204" s="0" t="n">
        <v>4</v>
      </c>
      <c r="E6204" s="6" t="n">
        <v>40871.5534722222</v>
      </c>
      <c r="F6204" s="0" t="n">
        <v>3.75</v>
      </c>
      <c r="G6204" s="0" t="n">
        <v>12705</v>
      </c>
      <c r="H6204" s="0" t="s">
        <v>33</v>
      </c>
      <c r="I6204" s="7" t="n">
        <f aca="false">IF(AND(LEFT(A6204,1)&lt;&gt;"C",D6204&gt;0,F6204&gt;0),1,0)</f>
        <v>1</v>
      </c>
      <c r="J6204" s="7" t="n">
        <f aca="false">IF(I6204=1,D6204*F6204,0)</f>
        <v>15</v>
      </c>
      <c r="K6204" s="7" t="n">
        <f aca="false">YEAR(E6204)*100+MONTH(E6204)</f>
        <v>201111</v>
      </c>
      <c r="L6204" s="7" t="n">
        <f aca="false">IF(AND(A6204&lt;&gt;A6203,LEFT(A6204,1)&lt;&gt;"C"),1,0)</f>
        <v>0</v>
      </c>
    </row>
    <row r="6205" customFormat="false" ht="15" hidden="false" customHeight="false" outlineLevel="0" collapsed="false">
      <c r="A6205" s="0" t="s">
        <v>3231</v>
      </c>
      <c r="B6205" s="0" t="s">
        <v>416</v>
      </c>
      <c r="C6205" s="0" t="s">
        <v>417</v>
      </c>
      <c r="D6205" s="0" t="n">
        <v>36</v>
      </c>
      <c r="E6205" s="6" t="n">
        <v>40871.5534722222</v>
      </c>
      <c r="F6205" s="0" t="n">
        <v>0.65</v>
      </c>
      <c r="G6205" s="0" t="n">
        <v>12705</v>
      </c>
      <c r="H6205" s="0" t="s">
        <v>33</v>
      </c>
      <c r="I6205" s="7" t="n">
        <f aca="false">IF(AND(LEFT(A6205,1)&lt;&gt;"C",D6205&gt;0,F6205&gt;0),1,0)</f>
        <v>1</v>
      </c>
      <c r="J6205" s="7" t="n">
        <f aca="false">IF(I6205=1,D6205*F6205,0)</f>
        <v>23.4</v>
      </c>
      <c r="K6205" s="7" t="n">
        <f aca="false">YEAR(E6205)*100+MONTH(E6205)</f>
        <v>201111</v>
      </c>
      <c r="L6205" s="7" t="n">
        <f aca="false">IF(AND(A6205&lt;&gt;A6204,LEFT(A6205,1)&lt;&gt;"C"),1,0)</f>
        <v>0</v>
      </c>
    </row>
    <row r="6206" customFormat="false" ht="15" hidden="false" customHeight="false" outlineLevel="0" collapsed="false">
      <c r="A6206" s="0" t="s">
        <v>3231</v>
      </c>
      <c r="B6206" s="0" t="s">
        <v>953</v>
      </c>
      <c r="C6206" s="0" t="s">
        <v>954</v>
      </c>
      <c r="D6206" s="0" t="n">
        <v>10</v>
      </c>
      <c r="E6206" s="6" t="n">
        <v>40871.5534722222</v>
      </c>
      <c r="F6206" s="0" t="n">
        <v>1.25</v>
      </c>
      <c r="G6206" s="0" t="n">
        <v>12705</v>
      </c>
      <c r="H6206" s="0" t="s">
        <v>33</v>
      </c>
      <c r="I6206" s="7" t="n">
        <f aca="false">IF(AND(LEFT(A6206,1)&lt;&gt;"C",D6206&gt;0,F6206&gt;0),1,0)</f>
        <v>1</v>
      </c>
      <c r="J6206" s="7" t="n">
        <f aca="false">IF(I6206=1,D6206*F6206,0)</f>
        <v>12.5</v>
      </c>
      <c r="K6206" s="7" t="n">
        <f aca="false">YEAR(E6206)*100+MONTH(E6206)</f>
        <v>201111</v>
      </c>
      <c r="L6206" s="7" t="n">
        <f aca="false">IF(AND(A6206&lt;&gt;A6205,LEFT(A6206,1)&lt;&gt;"C"),1,0)</f>
        <v>0</v>
      </c>
    </row>
    <row r="6207" customFormat="false" ht="15" hidden="false" customHeight="false" outlineLevel="0" collapsed="false">
      <c r="A6207" s="0" t="s">
        <v>3231</v>
      </c>
      <c r="B6207" s="0" t="s">
        <v>123</v>
      </c>
      <c r="C6207" s="0" t="s">
        <v>124</v>
      </c>
      <c r="D6207" s="0" t="n">
        <v>12</v>
      </c>
      <c r="E6207" s="6" t="n">
        <v>40871.5534722222</v>
      </c>
      <c r="F6207" s="0" t="n">
        <v>2.95</v>
      </c>
      <c r="G6207" s="0" t="n">
        <v>12705</v>
      </c>
      <c r="H6207" s="0" t="s">
        <v>33</v>
      </c>
      <c r="I6207" s="7" t="n">
        <f aca="false">IF(AND(LEFT(A6207,1)&lt;&gt;"C",D6207&gt;0,F6207&gt;0),1,0)</f>
        <v>1</v>
      </c>
      <c r="J6207" s="7" t="n">
        <f aca="false">IF(I6207=1,D6207*F6207,0)</f>
        <v>35.4</v>
      </c>
      <c r="K6207" s="7" t="n">
        <f aca="false">YEAR(E6207)*100+MONTH(E6207)</f>
        <v>201111</v>
      </c>
      <c r="L6207" s="7" t="n">
        <f aca="false">IF(AND(A6207&lt;&gt;A6206,LEFT(A6207,1)&lt;&gt;"C"),1,0)</f>
        <v>0</v>
      </c>
    </row>
    <row r="6208" customFormat="false" ht="15" hidden="false" customHeight="false" outlineLevel="0" collapsed="false">
      <c r="A6208" s="0" t="s">
        <v>3231</v>
      </c>
      <c r="B6208" s="0" t="s">
        <v>127</v>
      </c>
      <c r="C6208" s="0" t="s">
        <v>128</v>
      </c>
      <c r="D6208" s="0" t="n">
        <v>8</v>
      </c>
      <c r="E6208" s="6" t="n">
        <v>40871.5534722222</v>
      </c>
      <c r="F6208" s="0" t="n">
        <v>1.65</v>
      </c>
      <c r="G6208" s="0" t="n">
        <v>12705</v>
      </c>
      <c r="H6208" s="0" t="s">
        <v>33</v>
      </c>
      <c r="I6208" s="7" t="n">
        <f aca="false">IF(AND(LEFT(A6208,1)&lt;&gt;"C",D6208&gt;0,F6208&gt;0),1,0)</f>
        <v>1</v>
      </c>
      <c r="J6208" s="7" t="n">
        <f aca="false">IF(I6208=1,D6208*F6208,0)</f>
        <v>13.2</v>
      </c>
      <c r="K6208" s="7" t="n">
        <f aca="false">YEAR(E6208)*100+MONTH(E6208)</f>
        <v>201111</v>
      </c>
      <c r="L6208" s="7" t="n">
        <f aca="false">IF(AND(A6208&lt;&gt;A6207,LEFT(A6208,1)&lt;&gt;"C"),1,0)</f>
        <v>0</v>
      </c>
    </row>
    <row r="6209" customFormat="false" ht="15" hidden="false" customHeight="false" outlineLevel="0" collapsed="false">
      <c r="A6209" s="0" t="s">
        <v>3231</v>
      </c>
      <c r="B6209" s="0" t="s">
        <v>610</v>
      </c>
      <c r="C6209" s="0" t="s">
        <v>611</v>
      </c>
      <c r="D6209" s="0" t="n">
        <v>6</v>
      </c>
      <c r="E6209" s="6" t="n">
        <v>40871.5534722222</v>
      </c>
      <c r="F6209" s="0" t="n">
        <v>2.95</v>
      </c>
      <c r="G6209" s="0" t="n">
        <v>12705</v>
      </c>
      <c r="H6209" s="0" t="s">
        <v>33</v>
      </c>
      <c r="I6209" s="7" t="n">
        <f aca="false">IF(AND(LEFT(A6209,1)&lt;&gt;"C",D6209&gt;0,F6209&gt;0),1,0)</f>
        <v>1</v>
      </c>
      <c r="J6209" s="7" t="n">
        <f aca="false">IF(I6209=1,D6209*F6209,0)</f>
        <v>17.7</v>
      </c>
      <c r="K6209" s="7" t="n">
        <f aca="false">YEAR(E6209)*100+MONTH(E6209)</f>
        <v>201111</v>
      </c>
      <c r="L6209" s="7" t="n">
        <f aca="false">IF(AND(A6209&lt;&gt;A6208,LEFT(A6209,1)&lt;&gt;"C"),1,0)</f>
        <v>0</v>
      </c>
    </row>
    <row r="6210" customFormat="false" ht="15" hidden="false" customHeight="false" outlineLevel="0" collapsed="false">
      <c r="A6210" s="0" t="s">
        <v>3231</v>
      </c>
      <c r="B6210" s="0" t="s">
        <v>521</v>
      </c>
      <c r="C6210" s="0" t="s">
        <v>522</v>
      </c>
      <c r="D6210" s="0" t="n">
        <v>8</v>
      </c>
      <c r="E6210" s="6" t="n">
        <v>40871.5534722222</v>
      </c>
      <c r="F6210" s="0" t="n">
        <v>1.95</v>
      </c>
      <c r="G6210" s="0" t="n">
        <v>12705</v>
      </c>
      <c r="H6210" s="0" t="s">
        <v>33</v>
      </c>
      <c r="I6210" s="7" t="n">
        <f aca="false">IF(AND(LEFT(A6210,1)&lt;&gt;"C",D6210&gt;0,F6210&gt;0),1,0)</f>
        <v>1</v>
      </c>
      <c r="J6210" s="7" t="n">
        <f aca="false">IF(I6210=1,D6210*F6210,0)</f>
        <v>15.6</v>
      </c>
      <c r="K6210" s="7" t="n">
        <f aca="false">YEAR(E6210)*100+MONTH(E6210)</f>
        <v>201111</v>
      </c>
      <c r="L6210" s="7" t="n">
        <f aca="false">IF(AND(A6210&lt;&gt;A6209,LEFT(A6210,1)&lt;&gt;"C"),1,0)</f>
        <v>0</v>
      </c>
    </row>
    <row r="6211" customFormat="false" ht="15" hidden="false" customHeight="false" outlineLevel="0" collapsed="false">
      <c r="A6211" s="0" t="s">
        <v>3231</v>
      </c>
      <c r="B6211" s="0" t="s">
        <v>131</v>
      </c>
      <c r="C6211" s="0" t="s">
        <v>132</v>
      </c>
      <c r="D6211" s="0" t="n">
        <v>8</v>
      </c>
      <c r="E6211" s="6" t="n">
        <v>40871.5534722222</v>
      </c>
      <c r="F6211" s="0" t="n">
        <v>1.65</v>
      </c>
      <c r="G6211" s="0" t="n">
        <v>12705</v>
      </c>
      <c r="H6211" s="0" t="s">
        <v>33</v>
      </c>
      <c r="I6211" s="7" t="n">
        <f aca="false">IF(AND(LEFT(A6211,1)&lt;&gt;"C",D6211&gt;0,F6211&gt;0),1,0)</f>
        <v>1</v>
      </c>
      <c r="J6211" s="7" t="n">
        <f aca="false">IF(I6211=1,D6211*F6211,0)</f>
        <v>13.2</v>
      </c>
      <c r="K6211" s="7" t="n">
        <f aca="false">YEAR(E6211)*100+MONTH(E6211)</f>
        <v>201111</v>
      </c>
      <c r="L6211" s="7" t="n">
        <f aca="false">IF(AND(A6211&lt;&gt;A6210,LEFT(A6211,1)&lt;&gt;"C"),1,0)</f>
        <v>0</v>
      </c>
    </row>
    <row r="6212" customFormat="false" ht="15" hidden="false" customHeight="false" outlineLevel="0" collapsed="false">
      <c r="A6212" s="0" t="s">
        <v>3231</v>
      </c>
      <c r="B6212" s="0" t="s">
        <v>2267</v>
      </c>
      <c r="C6212" s="0" t="s">
        <v>2268</v>
      </c>
      <c r="D6212" s="0" t="n">
        <v>8</v>
      </c>
      <c r="E6212" s="6" t="n">
        <v>40871.5534722222</v>
      </c>
      <c r="F6212" s="0" t="n">
        <v>1.65</v>
      </c>
      <c r="G6212" s="0" t="n">
        <v>12705</v>
      </c>
      <c r="H6212" s="0" t="s">
        <v>33</v>
      </c>
      <c r="I6212" s="7" t="n">
        <f aca="false">IF(AND(LEFT(A6212,1)&lt;&gt;"C",D6212&gt;0,F6212&gt;0),1,0)</f>
        <v>1</v>
      </c>
      <c r="J6212" s="7" t="n">
        <f aca="false">IF(I6212=1,D6212*F6212,0)</f>
        <v>13.2</v>
      </c>
      <c r="K6212" s="7" t="n">
        <f aca="false">YEAR(E6212)*100+MONTH(E6212)</f>
        <v>201111</v>
      </c>
      <c r="L6212" s="7" t="n">
        <f aca="false">IF(AND(A6212&lt;&gt;A6211,LEFT(A6212,1)&lt;&gt;"C"),1,0)</f>
        <v>0</v>
      </c>
    </row>
    <row r="6213" customFormat="false" ht="15" hidden="false" customHeight="false" outlineLevel="0" collapsed="false">
      <c r="A6213" s="0" t="s">
        <v>3231</v>
      </c>
      <c r="B6213" s="0" t="s">
        <v>84</v>
      </c>
      <c r="C6213" s="0" t="s">
        <v>85</v>
      </c>
      <c r="D6213" s="0" t="n">
        <v>1</v>
      </c>
      <c r="E6213" s="6" t="n">
        <v>40871.5534722222</v>
      </c>
      <c r="F6213" s="0" t="n">
        <v>18</v>
      </c>
      <c r="G6213" s="0" t="n">
        <v>12705</v>
      </c>
      <c r="H6213" s="0" t="s">
        <v>33</v>
      </c>
      <c r="I6213" s="7" t="n">
        <f aca="false">IF(AND(LEFT(A6213,1)&lt;&gt;"C",D6213&gt;0,F6213&gt;0),1,0)</f>
        <v>1</v>
      </c>
      <c r="J6213" s="7" t="n">
        <f aca="false">IF(I6213=1,D6213*F6213,0)</f>
        <v>18</v>
      </c>
      <c r="K6213" s="7" t="n">
        <f aca="false">YEAR(E6213)*100+MONTH(E6213)</f>
        <v>201111</v>
      </c>
      <c r="L6213" s="7" t="n">
        <f aca="false">IF(AND(A6213&lt;&gt;A6212,LEFT(A6213,1)&lt;&gt;"C"),1,0)</f>
        <v>0</v>
      </c>
    </row>
    <row r="6214" customFormat="false" ht="15" hidden="false" customHeight="false" outlineLevel="0" collapsed="false">
      <c r="A6214" s="0" t="s">
        <v>3232</v>
      </c>
      <c r="B6214" s="0" t="s">
        <v>3233</v>
      </c>
      <c r="C6214" s="0" t="s">
        <v>3234</v>
      </c>
      <c r="D6214" s="0" t="n">
        <v>2</v>
      </c>
      <c r="E6214" s="6" t="n">
        <v>40871.6256944445</v>
      </c>
      <c r="F6214" s="0" t="n">
        <v>3.75</v>
      </c>
      <c r="G6214" s="0" t="n">
        <v>14277</v>
      </c>
      <c r="H6214" s="0" t="s">
        <v>43</v>
      </c>
      <c r="I6214" s="7" t="n">
        <f aca="false">IF(AND(LEFT(A6214,1)&lt;&gt;"C",D6214&gt;0,F6214&gt;0),1,0)</f>
        <v>1</v>
      </c>
      <c r="J6214" s="7" t="n">
        <f aca="false">IF(I6214=1,D6214*F6214,0)</f>
        <v>7.5</v>
      </c>
      <c r="K6214" s="7" t="n">
        <f aca="false">YEAR(E6214)*100+MONTH(E6214)</f>
        <v>201111</v>
      </c>
      <c r="L6214" s="7" t="n">
        <f aca="false">IF(AND(A6214&lt;&gt;A6213,LEFT(A6214,1)&lt;&gt;"C"),1,0)</f>
        <v>1</v>
      </c>
    </row>
    <row r="6215" customFormat="false" ht="15" hidden="false" customHeight="false" outlineLevel="0" collapsed="false">
      <c r="A6215" s="0" t="s">
        <v>3232</v>
      </c>
      <c r="B6215" s="0" t="s">
        <v>911</v>
      </c>
      <c r="C6215" s="0" t="s">
        <v>912</v>
      </c>
      <c r="D6215" s="0" t="n">
        <v>9</v>
      </c>
      <c r="E6215" s="6" t="n">
        <v>40871.6256944445</v>
      </c>
      <c r="F6215" s="0" t="n">
        <v>1.69</v>
      </c>
      <c r="G6215" s="0" t="n">
        <v>14277</v>
      </c>
      <c r="H6215" s="0" t="s">
        <v>43</v>
      </c>
      <c r="I6215" s="7" t="n">
        <f aca="false">IF(AND(LEFT(A6215,1)&lt;&gt;"C",D6215&gt;0,F6215&gt;0),1,0)</f>
        <v>1</v>
      </c>
      <c r="J6215" s="7" t="n">
        <f aca="false">IF(I6215=1,D6215*F6215,0)</f>
        <v>15.21</v>
      </c>
      <c r="K6215" s="7" t="n">
        <f aca="false">YEAR(E6215)*100+MONTH(E6215)</f>
        <v>201111</v>
      </c>
      <c r="L6215" s="7" t="n">
        <f aca="false">IF(AND(A6215&lt;&gt;A6214,LEFT(A6215,1)&lt;&gt;"C"),1,0)</f>
        <v>0</v>
      </c>
    </row>
    <row r="6216" customFormat="false" ht="15" hidden="false" customHeight="false" outlineLevel="0" collapsed="false">
      <c r="A6216" s="0" t="s">
        <v>3232</v>
      </c>
      <c r="B6216" s="0" t="s">
        <v>1523</v>
      </c>
      <c r="C6216" s="0" t="s">
        <v>1524</v>
      </c>
      <c r="D6216" s="0" t="n">
        <v>10</v>
      </c>
      <c r="E6216" s="6" t="n">
        <v>40871.6256944445</v>
      </c>
      <c r="F6216" s="0" t="n">
        <v>9.95</v>
      </c>
      <c r="G6216" s="0" t="n">
        <v>14277</v>
      </c>
      <c r="H6216" s="0" t="s">
        <v>43</v>
      </c>
      <c r="I6216" s="7" t="n">
        <f aca="false">IF(AND(LEFT(A6216,1)&lt;&gt;"C",D6216&gt;0,F6216&gt;0),1,0)</f>
        <v>1</v>
      </c>
      <c r="J6216" s="7" t="n">
        <f aca="false">IF(I6216=1,D6216*F6216,0)</f>
        <v>99.5</v>
      </c>
      <c r="K6216" s="7" t="n">
        <f aca="false">YEAR(E6216)*100+MONTH(E6216)</f>
        <v>201111</v>
      </c>
      <c r="L6216" s="7" t="n">
        <f aca="false">IF(AND(A6216&lt;&gt;A6215,LEFT(A6216,1)&lt;&gt;"C"),1,0)</f>
        <v>0</v>
      </c>
    </row>
    <row r="6217" customFormat="false" ht="15" hidden="false" customHeight="false" outlineLevel="0" collapsed="false">
      <c r="A6217" s="0" t="s">
        <v>3232</v>
      </c>
      <c r="B6217" s="0" t="s">
        <v>3235</v>
      </c>
      <c r="C6217" s="0" t="s">
        <v>3236</v>
      </c>
      <c r="D6217" s="0" t="n">
        <v>4</v>
      </c>
      <c r="E6217" s="6" t="n">
        <v>40871.6256944445</v>
      </c>
      <c r="F6217" s="0" t="n">
        <v>2.1</v>
      </c>
      <c r="G6217" s="0" t="n">
        <v>14277</v>
      </c>
      <c r="H6217" s="0" t="s">
        <v>43</v>
      </c>
      <c r="I6217" s="7" t="n">
        <f aca="false">IF(AND(LEFT(A6217,1)&lt;&gt;"C",D6217&gt;0,F6217&gt;0),1,0)</f>
        <v>1</v>
      </c>
      <c r="J6217" s="7" t="n">
        <f aca="false">IF(I6217=1,D6217*F6217,0)</f>
        <v>8.4</v>
      </c>
      <c r="K6217" s="7" t="n">
        <f aca="false">YEAR(E6217)*100+MONTH(E6217)</f>
        <v>201111</v>
      </c>
      <c r="L6217" s="7" t="n">
        <f aca="false">IF(AND(A6217&lt;&gt;A6216,LEFT(A6217,1)&lt;&gt;"C"),1,0)</f>
        <v>0</v>
      </c>
    </row>
    <row r="6218" customFormat="false" ht="15" hidden="false" customHeight="false" outlineLevel="0" collapsed="false">
      <c r="A6218" s="0" t="s">
        <v>3232</v>
      </c>
      <c r="B6218" s="0" t="s">
        <v>2964</v>
      </c>
      <c r="C6218" s="0" t="s">
        <v>2965</v>
      </c>
      <c r="D6218" s="0" t="n">
        <v>4</v>
      </c>
      <c r="E6218" s="6" t="n">
        <v>40871.6256944445</v>
      </c>
      <c r="F6218" s="0" t="n">
        <v>2.55</v>
      </c>
      <c r="G6218" s="0" t="n">
        <v>14277</v>
      </c>
      <c r="H6218" s="0" t="s">
        <v>43</v>
      </c>
      <c r="I6218" s="7" t="n">
        <f aca="false">IF(AND(LEFT(A6218,1)&lt;&gt;"C",D6218&gt;0,F6218&gt;0),1,0)</f>
        <v>1</v>
      </c>
      <c r="J6218" s="7" t="n">
        <f aca="false">IF(I6218=1,D6218*F6218,0)</f>
        <v>10.2</v>
      </c>
      <c r="K6218" s="7" t="n">
        <f aca="false">YEAR(E6218)*100+MONTH(E6218)</f>
        <v>201111</v>
      </c>
      <c r="L6218" s="7" t="n">
        <f aca="false">IF(AND(A6218&lt;&gt;A6217,LEFT(A6218,1)&lt;&gt;"C"),1,0)</f>
        <v>0</v>
      </c>
    </row>
    <row r="6219" customFormat="false" ht="15" hidden="false" customHeight="false" outlineLevel="0" collapsed="false">
      <c r="A6219" s="0" t="s">
        <v>3232</v>
      </c>
      <c r="B6219" s="0" t="s">
        <v>3237</v>
      </c>
      <c r="C6219" s="0" t="s">
        <v>3238</v>
      </c>
      <c r="D6219" s="0" t="n">
        <v>4</v>
      </c>
      <c r="E6219" s="6" t="n">
        <v>40871.6256944445</v>
      </c>
      <c r="F6219" s="0" t="n">
        <v>5.95</v>
      </c>
      <c r="G6219" s="0" t="n">
        <v>14277</v>
      </c>
      <c r="H6219" s="0" t="s">
        <v>43</v>
      </c>
      <c r="I6219" s="7" t="n">
        <f aca="false">IF(AND(LEFT(A6219,1)&lt;&gt;"C",D6219&gt;0,F6219&gt;0),1,0)</f>
        <v>1</v>
      </c>
      <c r="J6219" s="7" t="n">
        <f aca="false">IF(I6219=1,D6219*F6219,0)</f>
        <v>23.8</v>
      </c>
      <c r="K6219" s="7" t="n">
        <f aca="false">YEAR(E6219)*100+MONTH(E6219)</f>
        <v>201111</v>
      </c>
      <c r="L6219" s="7" t="n">
        <f aca="false">IF(AND(A6219&lt;&gt;A6218,LEFT(A6219,1)&lt;&gt;"C"),1,0)</f>
        <v>0</v>
      </c>
    </row>
    <row r="6220" customFormat="false" ht="15" hidden="false" customHeight="false" outlineLevel="0" collapsed="false">
      <c r="A6220" s="0" t="s">
        <v>3232</v>
      </c>
      <c r="B6220" s="0" t="s">
        <v>521</v>
      </c>
      <c r="C6220" s="0" t="s">
        <v>522</v>
      </c>
      <c r="D6220" s="0" t="n">
        <v>4</v>
      </c>
      <c r="E6220" s="6" t="n">
        <v>40871.6256944445</v>
      </c>
      <c r="F6220" s="0" t="n">
        <v>1.95</v>
      </c>
      <c r="G6220" s="0" t="n">
        <v>14277</v>
      </c>
      <c r="H6220" s="0" t="s">
        <v>43</v>
      </c>
      <c r="I6220" s="7" t="n">
        <f aca="false">IF(AND(LEFT(A6220,1)&lt;&gt;"C",D6220&gt;0,F6220&gt;0),1,0)</f>
        <v>1</v>
      </c>
      <c r="J6220" s="7" t="n">
        <f aca="false">IF(I6220=1,D6220*F6220,0)</f>
        <v>7.8</v>
      </c>
      <c r="K6220" s="7" t="n">
        <f aca="false">YEAR(E6220)*100+MONTH(E6220)</f>
        <v>201111</v>
      </c>
      <c r="L6220" s="7" t="n">
        <f aca="false">IF(AND(A6220&lt;&gt;A6219,LEFT(A6220,1)&lt;&gt;"C"),1,0)</f>
        <v>0</v>
      </c>
    </row>
    <row r="6221" customFormat="false" ht="15" hidden="false" customHeight="false" outlineLevel="0" collapsed="false">
      <c r="A6221" s="0" t="s">
        <v>3232</v>
      </c>
      <c r="B6221" s="0" t="s">
        <v>146</v>
      </c>
      <c r="C6221" s="0" t="s">
        <v>147</v>
      </c>
      <c r="D6221" s="0" t="n">
        <v>2</v>
      </c>
      <c r="E6221" s="6" t="n">
        <v>40871.6256944445</v>
      </c>
      <c r="F6221" s="0" t="n">
        <v>2.89</v>
      </c>
      <c r="G6221" s="0" t="n">
        <v>14277</v>
      </c>
      <c r="H6221" s="0" t="s">
        <v>43</v>
      </c>
      <c r="I6221" s="7" t="n">
        <f aca="false">IF(AND(LEFT(A6221,1)&lt;&gt;"C",D6221&gt;0,F6221&gt;0),1,0)</f>
        <v>1</v>
      </c>
      <c r="J6221" s="7" t="n">
        <f aca="false">IF(I6221=1,D6221*F6221,0)</f>
        <v>5.78</v>
      </c>
      <c r="K6221" s="7" t="n">
        <f aca="false">YEAR(E6221)*100+MONTH(E6221)</f>
        <v>201111</v>
      </c>
      <c r="L6221" s="7" t="n">
        <f aca="false">IF(AND(A6221&lt;&gt;A6220,LEFT(A6221,1)&lt;&gt;"C"),1,0)</f>
        <v>0</v>
      </c>
    </row>
    <row r="6222" customFormat="false" ht="15" hidden="false" customHeight="false" outlineLevel="0" collapsed="false">
      <c r="A6222" s="0" t="s">
        <v>3232</v>
      </c>
      <c r="B6222" s="0" t="s">
        <v>537</v>
      </c>
      <c r="C6222" s="0" t="s">
        <v>538</v>
      </c>
      <c r="D6222" s="0" t="n">
        <v>2</v>
      </c>
      <c r="E6222" s="6" t="n">
        <v>40871.6256944445</v>
      </c>
      <c r="F6222" s="0" t="n">
        <v>4.15</v>
      </c>
      <c r="G6222" s="0" t="n">
        <v>14277</v>
      </c>
      <c r="H6222" s="0" t="s">
        <v>43</v>
      </c>
      <c r="I6222" s="7" t="n">
        <f aca="false">IF(AND(LEFT(A6222,1)&lt;&gt;"C",D6222&gt;0,F6222&gt;0),1,0)</f>
        <v>1</v>
      </c>
      <c r="J6222" s="7" t="n">
        <f aca="false">IF(I6222=1,D6222*F6222,0)</f>
        <v>8.3</v>
      </c>
      <c r="K6222" s="7" t="n">
        <f aca="false">YEAR(E6222)*100+MONTH(E6222)</f>
        <v>201111</v>
      </c>
      <c r="L6222" s="7" t="n">
        <f aca="false">IF(AND(A6222&lt;&gt;A6221,LEFT(A6222,1)&lt;&gt;"C"),1,0)</f>
        <v>0</v>
      </c>
    </row>
    <row r="6223" customFormat="false" ht="15" hidden="false" customHeight="false" outlineLevel="0" collapsed="false">
      <c r="A6223" s="0" t="s">
        <v>3232</v>
      </c>
      <c r="B6223" s="0" t="s">
        <v>2032</v>
      </c>
      <c r="C6223" s="0" t="s">
        <v>2033</v>
      </c>
      <c r="D6223" s="0" t="n">
        <v>3</v>
      </c>
      <c r="E6223" s="6" t="n">
        <v>40871.6256944445</v>
      </c>
      <c r="F6223" s="0" t="n">
        <v>4.25</v>
      </c>
      <c r="G6223" s="0" t="n">
        <v>14277</v>
      </c>
      <c r="H6223" s="0" t="s">
        <v>43</v>
      </c>
      <c r="I6223" s="7" t="n">
        <f aca="false">IF(AND(LEFT(A6223,1)&lt;&gt;"C",D6223&gt;0,F6223&gt;0),1,0)</f>
        <v>1</v>
      </c>
      <c r="J6223" s="7" t="n">
        <f aca="false">IF(I6223=1,D6223*F6223,0)</f>
        <v>12.75</v>
      </c>
      <c r="K6223" s="7" t="n">
        <f aca="false">YEAR(E6223)*100+MONTH(E6223)</f>
        <v>201111</v>
      </c>
      <c r="L6223" s="7" t="n">
        <f aca="false">IF(AND(A6223&lt;&gt;A6222,LEFT(A6223,1)&lt;&gt;"C"),1,0)</f>
        <v>0</v>
      </c>
    </row>
    <row r="6224" customFormat="false" ht="15" hidden="false" customHeight="false" outlineLevel="0" collapsed="false">
      <c r="A6224" s="0" t="s">
        <v>3232</v>
      </c>
      <c r="B6224" s="0" t="s">
        <v>1827</v>
      </c>
      <c r="C6224" s="0" t="s">
        <v>1828</v>
      </c>
      <c r="D6224" s="0" t="n">
        <v>3</v>
      </c>
      <c r="E6224" s="6" t="n">
        <v>40871.6256944445</v>
      </c>
      <c r="F6224" s="0" t="n">
        <v>3.75</v>
      </c>
      <c r="G6224" s="0" t="n">
        <v>14277</v>
      </c>
      <c r="H6224" s="0" t="s">
        <v>43</v>
      </c>
      <c r="I6224" s="7" t="n">
        <f aca="false">IF(AND(LEFT(A6224,1)&lt;&gt;"C",D6224&gt;0,F6224&gt;0),1,0)</f>
        <v>1</v>
      </c>
      <c r="J6224" s="7" t="n">
        <f aca="false">IF(I6224=1,D6224*F6224,0)</f>
        <v>11.25</v>
      </c>
      <c r="K6224" s="7" t="n">
        <f aca="false">YEAR(E6224)*100+MONTH(E6224)</f>
        <v>201111</v>
      </c>
      <c r="L6224" s="7" t="n">
        <f aca="false">IF(AND(A6224&lt;&gt;A6223,LEFT(A6224,1)&lt;&gt;"C"),1,0)</f>
        <v>0</v>
      </c>
    </row>
    <row r="6225" customFormat="false" ht="15" hidden="false" customHeight="false" outlineLevel="0" collapsed="false">
      <c r="A6225" s="0" t="s">
        <v>3232</v>
      </c>
      <c r="B6225" s="0" t="s">
        <v>2307</v>
      </c>
      <c r="C6225" s="0" t="s">
        <v>2308</v>
      </c>
      <c r="D6225" s="0" t="n">
        <v>2</v>
      </c>
      <c r="E6225" s="6" t="n">
        <v>40871.6256944445</v>
      </c>
      <c r="F6225" s="0" t="n">
        <v>7.95</v>
      </c>
      <c r="G6225" s="0" t="n">
        <v>14277</v>
      </c>
      <c r="H6225" s="0" t="s">
        <v>43</v>
      </c>
      <c r="I6225" s="7" t="n">
        <f aca="false">IF(AND(LEFT(A6225,1)&lt;&gt;"C",D6225&gt;0,F6225&gt;0),1,0)</f>
        <v>1</v>
      </c>
      <c r="J6225" s="7" t="n">
        <f aca="false">IF(I6225=1,D6225*F6225,0)</f>
        <v>15.9</v>
      </c>
      <c r="K6225" s="7" t="n">
        <f aca="false">YEAR(E6225)*100+MONTH(E6225)</f>
        <v>201111</v>
      </c>
      <c r="L6225" s="7" t="n">
        <f aca="false">IF(AND(A6225&lt;&gt;A6224,LEFT(A6225,1)&lt;&gt;"C"),1,0)</f>
        <v>0</v>
      </c>
    </row>
    <row r="6226" customFormat="false" ht="15" hidden="false" customHeight="false" outlineLevel="0" collapsed="false">
      <c r="A6226" s="0" t="s">
        <v>3232</v>
      </c>
      <c r="B6226" s="0" t="s">
        <v>3239</v>
      </c>
      <c r="C6226" s="0" t="s">
        <v>3240</v>
      </c>
      <c r="D6226" s="0" t="n">
        <v>1</v>
      </c>
      <c r="E6226" s="6" t="n">
        <v>40871.6256944445</v>
      </c>
      <c r="F6226" s="0" t="n">
        <v>5.95</v>
      </c>
      <c r="G6226" s="0" t="n">
        <v>14277</v>
      </c>
      <c r="H6226" s="0" t="s">
        <v>43</v>
      </c>
      <c r="I6226" s="7" t="n">
        <f aca="false">IF(AND(LEFT(A6226,1)&lt;&gt;"C",D6226&gt;0,F6226&gt;0),1,0)</f>
        <v>1</v>
      </c>
      <c r="J6226" s="7" t="n">
        <f aca="false">IF(I6226=1,D6226*F6226,0)</f>
        <v>5.95</v>
      </c>
      <c r="K6226" s="7" t="n">
        <f aca="false">YEAR(E6226)*100+MONTH(E6226)</f>
        <v>201111</v>
      </c>
      <c r="L6226" s="7" t="n">
        <f aca="false">IF(AND(A6226&lt;&gt;A6225,LEFT(A6226,1)&lt;&gt;"C"),1,0)</f>
        <v>0</v>
      </c>
    </row>
    <row r="6227" customFormat="false" ht="15" hidden="false" customHeight="false" outlineLevel="0" collapsed="false">
      <c r="A6227" s="0" t="s">
        <v>3232</v>
      </c>
      <c r="B6227" s="0" t="s">
        <v>1957</v>
      </c>
      <c r="C6227" s="0" t="s">
        <v>1958</v>
      </c>
      <c r="D6227" s="0" t="n">
        <v>12</v>
      </c>
      <c r="E6227" s="6" t="n">
        <v>40871.6256944445</v>
      </c>
      <c r="F6227" s="0" t="n">
        <v>1.25</v>
      </c>
      <c r="G6227" s="0" t="n">
        <v>14277</v>
      </c>
      <c r="H6227" s="0" t="s">
        <v>43</v>
      </c>
      <c r="I6227" s="7" t="n">
        <f aca="false">IF(AND(LEFT(A6227,1)&lt;&gt;"C",D6227&gt;0,F6227&gt;0),1,0)</f>
        <v>1</v>
      </c>
      <c r="J6227" s="7" t="n">
        <f aca="false">IF(I6227=1,D6227*F6227,0)</f>
        <v>15</v>
      </c>
      <c r="K6227" s="7" t="n">
        <f aca="false">YEAR(E6227)*100+MONTH(E6227)</f>
        <v>201111</v>
      </c>
      <c r="L6227" s="7" t="n">
        <f aca="false">IF(AND(A6227&lt;&gt;A6226,LEFT(A6227,1)&lt;&gt;"C"),1,0)</f>
        <v>0</v>
      </c>
    </row>
    <row r="6228" customFormat="false" ht="15" hidden="false" customHeight="false" outlineLevel="0" collapsed="false">
      <c r="A6228" s="0" t="s">
        <v>3232</v>
      </c>
      <c r="B6228" s="0" t="s">
        <v>3241</v>
      </c>
      <c r="C6228" s="0" t="s">
        <v>3242</v>
      </c>
      <c r="D6228" s="0" t="n">
        <v>12</v>
      </c>
      <c r="E6228" s="6" t="n">
        <v>40871.6256944445</v>
      </c>
      <c r="F6228" s="0" t="n">
        <v>1.25</v>
      </c>
      <c r="G6228" s="0" t="n">
        <v>14277</v>
      </c>
      <c r="H6228" s="0" t="s">
        <v>43</v>
      </c>
      <c r="I6228" s="7" t="n">
        <f aca="false">IF(AND(LEFT(A6228,1)&lt;&gt;"C",D6228&gt;0,F6228&gt;0),1,0)</f>
        <v>1</v>
      </c>
      <c r="J6228" s="7" t="n">
        <f aca="false">IF(I6228=1,D6228*F6228,0)</f>
        <v>15</v>
      </c>
      <c r="K6228" s="7" t="n">
        <f aca="false">YEAR(E6228)*100+MONTH(E6228)</f>
        <v>201111</v>
      </c>
      <c r="L6228" s="7" t="n">
        <f aca="false">IF(AND(A6228&lt;&gt;A6227,LEFT(A6228,1)&lt;&gt;"C"),1,0)</f>
        <v>0</v>
      </c>
    </row>
    <row r="6229" customFormat="false" ht="15" hidden="false" customHeight="false" outlineLevel="0" collapsed="false">
      <c r="A6229" s="0" t="s">
        <v>3232</v>
      </c>
      <c r="B6229" s="0" t="s">
        <v>3243</v>
      </c>
      <c r="C6229" s="0" t="s">
        <v>3244</v>
      </c>
      <c r="D6229" s="0" t="n">
        <v>12</v>
      </c>
      <c r="E6229" s="6" t="n">
        <v>40871.6256944445</v>
      </c>
      <c r="F6229" s="0" t="n">
        <v>1.25</v>
      </c>
      <c r="G6229" s="0" t="n">
        <v>14277</v>
      </c>
      <c r="H6229" s="0" t="s">
        <v>43</v>
      </c>
      <c r="I6229" s="7" t="n">
        <f aca="false">IF(AND(LEFT(A6229,1)&lt;&gt;"C",D6229&gt;0,F6229&gt;0),1,0)</f>
        <v>1</v>
      </c>
      <c r="J6229" s="7" t="n">
        <f aca="false">IF(I6229=1,D6229*F6229,0)</f>
        <v>15</v>
      </c>
      <c r="K6229" s="7" t="n">
        <f aca="false">YEAR(E6229)*100+MONTH(E6229)</f>
        <v>201111</v>
      </c>
      <c r="L6229" s="7" t="n">
        <f aca="false">IF(AND(A6229&lt;&gt;A6228,LEFT(A6229,1)&lt;&gt;"C"),1,0)</f>
        <v>0</v>
      </c>
    </row>
    <row r="6230" customFormat="false" ht="15" hidden="false" customHeight="false" outlineLevel="0" collapsed="false">
      <c r="A6230" s="0" t="s">
        <v>3232</v>
      </c>
      <c r="B6230" s="0" t="s">
        <v>3245</v>
      </c>
      <c r="C6230" s="0" t="s">
        <v>3246</v>
      </c>
      <c r="D6230" s="0" t="n">
        <v>12</v>
      </c>
      <c r="E6230" s="6" t="n">
        <v>40871.6256944445</v>
      </c>
      <c r="F6230" s="0" t="n">
        <v>1.25</v>
      </c>
      <c r="G6230" s="0" t="n">
        <v>14277</v>
      </c>
      <c r="H6230" s="0" t="s">
        <v>43</v>
      </c>
      <c r="I6230" s="7" t="n">
        <f aca="false">IF(AND(LEFT(A6230,1)&lt;&gt;"C",D6230&gt;0,F6230&gt;0),1,0)</f>
        <v>1</v>
      </c>
      <c r="J6230" s="7" t="n">
        <f aca="false">IF(I6230=1,D6230*F6230,0)</f>
        <v>15</v>
      </c>
      <c r="K6230" s="7" t="n">
        <f aca="false">YEAR(E6230)*100+MONTH(E6230)</f>
        <v>201111</v>
      </c>
      <c r="L6230" s="7" t="n">
        <f aca="false">IF(AND(A6230&lt;&gt;A6229,LEFT(A6230,1)&lt;&gt;"C"),1,0)</f>
        <v>0</v>
      </c>
    </row>
    <row r="6231" customFormat="false" ht="15" hidden="false" customHeight="false" outlineLevel="0" collapsed="false">
      <c r="A6231" s="0" t="s">
        <v>3232</v>
      </c>
      <c r="B6231" s="0" t="s">
        <v>3247</v>
      </c>
      <c r="C6231" s="0" t="s">
        <v>3248</v>
      </c>
      <c r="D6231" s="0" t="n">
        <v>2</v>
      </c>
      <c r="E6231" s="6" t="n">
        <v>40871.6256944445</v>
      </c>
      <c r="F6231" s="0" t="n">
        <v>14.95</v>
      </c>
      <c r="G6231" s="0" t="n">
        <v>14277</v>
      </c>
      <c r="H6231" s="0" t="s">
        <v>43</v>
      </c>
      <c r="I6231" s="7" t="n">
        <f aca="false">IF(AND(LEFT(A6231,1)&lt;&gt;"C",D6231&gt;0,F6231&gt;0),1,0)</f>
        <v>1</v>
      </c>
      <c r="J6231" s="7" t="n">
        <f aca="false">IF(I6231=1,D6231*F6231,0)</f>
        <v>29.9</v>
      </c>
      <c r="K6231" s="7" t="n">
        <f aca="false">YEAR(E6231)*100+MONTH(E6231)</f>
        <v>201111</v>
      </c>
      <c r="L6231" s="7" t="n">
        <f aca="false">IF(AND(A6231&lt;&gt;A6230,LEFT(A6231,1)&lt;&gt;"C"),1,0)</f>
        <v>0</v>
      </c>
    </row>
    <row r="6232" customFormat="false" ht="15" hidden="false" customHeight="false" outlineLevel="0" collapsed="false">
      <c r="A6232" s="0" t="s">
        <v>3232</v>
      </c>
      <c r="B6232" s="0" t="s">
        <v>3249</v>
      </c>
      <c r="C6232" s="0" t="s">
        <v>3250</v>
      </c>
      <c r="D6232" s="0" t="n">
        <v>2</v>
      </c>
      <c r="E6232" s="6" t="n">
        <v>40871.6256944445</v>
      </c>
      <c r="F6232" s="0" t="n">
        <v>14.95</v>
      </c>
      <c r="G6232" s="0" t="n">
        <v>14277</v>
      </c>
      <c r="H6232" s="0" t="s">
        <v>43</v>
      </c>
      <c r="I6232" s="7" t="n">
        <f aca="false">IF(AND(LEFT(A6232,1)&lt;&gt;"C",D6232&gt;0,F6232&gt;0),1,0)</f>
        <v>1</v>
      </c>
      <c r="J6232" s="7" t="n">
        <f aca="false">IF(I6232=1,D6232*F6232,0)</f>
        <v>29.9</v>
      </c>
      <c r="K6232" s="7" t="n">
        <f aca="false">YEAR(E6232)*100+MONTH(E6232)</f>
        <v>201111</v>
      </c>
      <c r="L6232" s="7" t="n">
        <f aca="false">IF(AND(A6232&lt;&gt;A6231,LEFT(A6232,1)&lt;&gt;"C"),1,0)</f>
        <v>0</v>
      </c>
    </row>
    <row r="6233" customFormat="false" ht="15" hidden="false" customHeight="false" outlineLevel="0" collapsed="false">
      <c r="A6233" s="0" t="s">
        <v>3232</v>
      </c>
      <c r="B6233" s="0" t="s">
        <v>233</v>
      </c>
      <c r="C6233" s="0" t="s">
        <v>234</v>
      </c>
      <c r="D6233" s="0" t="n">
        <v>12</v>
      </c>
      <c r="E6233" s="6" t="n">
        <v>40871.6256944445</v>
      </c>
      <c r="F6233" s="0" t="n">
        <v>2.1</v>
      </c>
      <c r="G6233" s="0" t="n">
        <v>14277</v>
      </c>
      <c r="H6233" s="0" t="s">
        <v>43</v>
      </c>
      <c r="I6233" s="7" t="n">
        <f aca="false">IF(AND(LEFT(A6233,1)&lt;&gt;"C",D6233&gt;0,F6233&gt;0),1,0)</f>
        <v>1</v>
      </c>
      <c r="J6233" s="7" t="n">
        <f aca="false">IF(I6233=1,D6233*F6233,0)</f>
        <v>25.2</v>
      </c>
      <c r="K6233" s="7" t="n">
        <f aca="false">YEAR(E6233)*100+MONTH(E6233)</f>
        <v>201111</v>
      </c>
      <c r="L6233" s="7" t="n">
        <f aca="false">IF(AND(A6233&lt;&gt;A6232,LEFT(A6233,1)&lt;&gt;"C"),1,0)</f>
        <v>0</v>
      </c>
    </row>
    <row r="6234" customFormat="false" ht="15" hidden="false" customHeight="false" outlineLevel="0" collapsed="false">
      <c r="A6234" s="0" t="s">
        <v>3232</v>
      </c>
      <c r="B6234" s="0" t="s">
        <v>1575</v>
      </c>
      <c r="C6234" s="0" t="s">
        <v>1576</v>
      </c>
      <c r="D6234" s="0" t="n">
        <v>12</v>
      </c>
      <c r="E6234" s="6" t="n">
        <v>40871.6256944445</v>
      </c>
      <c r="F6234" s="0" t="n">
        <v>2.1</v>
      </c>
      <c r="G6234" s="0" t="n">
        <v>14277</v>
      </c>
      <c r="H6234" s="0" t="s">
        <v>43</v>
      </c>
      <c r="I6234" s="7" t="n">
        <f aca="false">IF(AND(LEFT(A6234,1)&lt;&gt;"C",D6234&gt;0,F6234&gt;0),1,0)</f>
        <v>1</v>
      </c>
      <c r="J6234" s="7" t="n">
        <f aca="false">IF(I6234=1,D6234*F6234,0)</f>
        <v>25.2</v>
      </c>
      <c r="K6234" s="7" t="n">
        <f aca="false">YEAR(E6234)*100+MONTH(E6234)</f>
        <v>201111</v>
      </c>
      <c r="L6234" s="7" t="n">
        <f aca="false">IF(AND(A6234&lt;&gt;A6233,LEFT(A6234,1)&lt;&gt;"C"),1,0)</f>
        <v>0</v>
      </c>
    </row>
    <row r="6235" customFormat="false" ht="15" hidden="false" customHeight="false" outlineLevel="0" collapsed="false">
      <c r="A6235" s="0" t="s">
        <v>3232</v>
      </c>
      <c r="B6235" s="0" t="s">
        <v>388</v>
      </c>
      <c r="C6235" s="0" t="s">
        <v>389</v>
      </c>
      <c r="D6235" s="0" t="n">
        <v>32</v>
      </c>
      <c r="E6235" s="6" t="n">
        <v>40871.6256944445</v>
      </c>
      <c r="F6235" s="0" t="n">
        <v>1.69</v>
      </c>
      <c r="G6235" s="0" t="n">
        <v>14277</v>
      </c>
      <c r="H6235" s="0" t="s">
        <v>43</v>
      </c>
      <c r="I6235" s="7" t="n">
        <f aca="false">IF(AND(LEFT(A6235,1)&lt;&gt;"C",D6235&gt;0,F6235&gt;0),1,0)</f>
        <v>1</v>
      </c>
      <c r="J6235" s="7" t="n">
        <f aca="false">IF(I6235=1,D6235*F6235,0)</f>
        <v>54.08</v>
      </c>
      <c r="K6235" s="7" t="n">
        <f aca="false">YEAR(E6235)*100+MONTH(E6235)</f>
        <v>201111</v>
      </c>
      <c r="L6235" s="7" t="n">
        <f aca="false">IF(AND(A6235&lt;&gt;A6234,LEFT(A6235,1)&lt;&gt;"C"),1,0)</f>
        <v>0</v>
      </c>
    </row>
    <row r="6236" customFormat="false" ht="15" hidden="false" customHeight="false" outlineLevel="0" collapsed="false">
      <c r="A6236" s="0" t="s">
        <v>3232</v>
      </c>
      <c r="B6236" s="0" t="s">
        <v>745</v>
      </c>
      <c r="C6236" s="0" t="s">
        <v>746</v>
      </c>
      <c r="D6236" s="0" t="n">
        <v>12</v>
      </c>
      <c r="E6236" s="6" t="n">
        <v>40871.6256944445</v>
      </c>
      <c r="F6236" s="0" t="n">
        <v>2.95</v>
      </c>
      <c r="G6236" s="0" t="n">
        <v>14277</v>
      </c>
      <c r="H6236" s="0" t="s">
        <v>43</v>
      </c>
      <c r="I6236" s="7" t="n">
        <f aca="false">IF(AND(LEFT(A6236,1)&lt;&gt;"C",D6236&gt;0,F6236&gt;0),1,0)</f>
        <v>1</v>
      </c>
      <c r="J6236" s="7" t="n">
        <f aca="false">IF(I6236=1,D6236*F6236,0)</f>
        <v>35.4</v>
      </c>
      <c r="K6236" s="7" t="n">
        <f aca="false">YEAR(E6236)*100+MONTH(E6236)</f>
        <v>201111</v>
      </c>
      <c r="L6236" s="7" t="n">
        <f aca="false">IF(AND(A6236&lt;&gt;A6235,LEFT(A6236,1)&lt;&gt;"C"),1,0)</f>
        <v>0</v>
      </c>
    </row>
    <row r="6237" customFormat="false" ht="15" hidden="false" customHeight="false" outlineLevel="0" collapsed="false">
      <c r="A6237" s="0" t="s">
        <v>3232</v>
      </c>
      <c r="B6237" s="0" t="s">
        <v>1766</v>
      </c>
      <c r="C6237" s="0" t="s">
        <v>1767</v>
      </c>
      <c r="D6237" s="0" t="n">
        <v>12</v>
      </c>
      <c r="E6237" s="6" t="n">
        <v>40871.6256944445</v>
      </c>
      <c r="F6237" s="0" t="n">
        <v>2.95</v>
      </c>
      <c r="G6237" s="0" t="n">
        <v>14277</v>
      </c>
      <c r="H6237" s="0" t="s">
        <v>43</v>
      </c>
      <c r="I6237" s="7" t="n">
        <f aca="false">IF(AND(LEFT(A6237,1)&lt;&gt;"C",D6237&gt;0,F6237&gt;0),1,0)</f>
        <v>1</v>
      </c>
      <c r="J6237" s="7" t="n">
        <f aca="false">IF(I6237=1,D6237*F6237,0)</f>
        <v>35.4</v>
      </c>
      <c r="K6237" s="7" t="n">
        <f aca="false">YEAR(E6237)*100+MONTH(E6237)</f>
        <v>201111</v>
      </c>
      <c r="L6237" s="7" t="n">
        <f aca="false">IF(AND(A6237&lt;&gt;A6236,LEFT(A6237,1)&lt;&gt;"C"),1,0)</f>
        <v>0</v>
      </c>
    </row>
    <row r="6238" customFormat="false" ht="15" hidden="false" customHeight="false" outlineLevel="0" collapsed="false">
      <c r="A6238" s="0" t="s">
        <v>3232</v>
      </c>
      <c r="B6238" s="0" t="s">
        <v>2305</v>
      </c>
      <c r="C6238" s="0" t="s">
        <v>2306</v>
      </c>
      <c r="D6238" s="0" t="n">
        <v>6</v>
      </c>
      <c r="E6238" s="6" t="n">
        <v>40871.6256944445</v>
      </c>
      <c r="F6238" s="0" t="n">
        <v>4.65</v>
      </c>
      <c r="G6238" s="0" t="n">
        <v>14277</v>
      </c>
      <c r="H6238" s="0" t="s">
        <v>43</v>
      </c>
      <c r="I6238" s="7" t="n">
        <f aca="false">IF(AND(LEFT(A6238,1)&lt;&gt;"C",D6238&gt;0,F6238&gt;0),1,0)</f>
        <v>1</v>
      </c>
      <c r="J6238" s="7" t="n">
        <f aca="false">IF(I6238=1,D6238*F6238,0)</f>
        <v>27.9</v>
      </c>
      <c r="K6238" s="7" t="n">
        <f aca="false">YEAR(E6238)*100+MONTH(E6238)</f>
        <v>201111</v>
      </c>
      <c r="L6238" s="7" t="n">
        <f aca="false">IF(AND(A6238&lt;&gt;A6237,LEFT(A6238,1)&lt;&gt;"C"),1,0)</f>
        <v>0</v>
      </c>
    </row>
    <row r="6239" customFormat="false" ht="15" hidden="false" customHeight="false" outlineLevel="0" collapsed="false">
      <c r="A6239" s="0" t="s">
        <v>3232</v>
      </c>
      <c r="B6239" s="0" t="s">
        <v>345</v>
      </c>
      <c r="C6239" s="0" t="s">
        <v>346</v>
      </c>
      <c r="D6239" s="0" t="n">
        <v>6</v>
      </c>
      <c r="E6239" s="6" t="n">
        <v>40871.6256944445</v>
      </c>
      <c r="F6239" s="0" t="n">
        <v>1.45</v>
      </c>
      <c r="G6239" s="0" t="n">
        <v>14277</v>
      </c>
      <c r="H6239" s="0" t="s">
        <v>43</v>
      </c>
      <c r="I6239" s="7" t="n">
        <f aca="false">IF(AND(LEFT(A6239,1)&lt;&gt;"C",D6239&gt;0,F6239&gt;0),1,0)</f>
        <v>1</v>
      </c>
      <c r="J6239" s="7" t="n">
        <f aca="false">IF(I6239=1,D6239*F6239,0)</f>
        <v>8.7</v>
      </c>
      <c r="K6239" s="7" t="n">
        <f aca="false">YEAR(E6239)*100+MONTH(E6239)</f>
        <v>201111</v>
      </c>
      <c r="L6239" s="7" t="n">
        <f aca="false">IF(AND(A6239&lt;&gt;A6238,LEFT(A6239,1)&lt;&gt;"C"),1,0)</f>
        <v>0</v>
      </c>
    </row>
    <row r="6240" customFormat="false" ht="15" hidden="false" customHeight="false" outlineLevel="0" collapsed="false">
      <c r="A6240" s="0" t="s">
        <v>3232</v>
      </c>
      <c r="B6240" s="0" t="s">
        <v>343</v>
      </c>
      <c r="C6240" s="0" t="s">
        <v>344</v>
      </c>
      <c r="D6240" s="0" t="n">
        <v>6</v>
      </c>
      <c r="E6240" s="6" t="n">
        <v>40871.6256944445</v>
      </c>
      <c r="F6240" s="0" t="n">
        <v>1.45</v>
      </c>
      <c r="G6240" s="0" t="n">
        <v>14277</v>
      </c>
      <c r="H6240" s="0" t="s">
        <v>43</v>
      </c>
      <c r="I6240" s="7" t="n">
        <f aca="false">IF(AND(LEFT(A6240,1)&lt;&gt;"C",D6240&gt;0,F6240&gt;0),1,0)</f>
        <v>1</v>
      </c>
      <c r="J6240" s="7" t="n">
        <f aca="false">IF(I6240=1,D6240*F6240,0)</f>
        <v>8.7</v>
      </c>
      <c r="K6240" s="7" t="n">
        <f aca="false">YEAR(E6240)*100+MONTH(E6240)</f>
        <v>201111</v>
      </c>
      <c r="L6240" s="7" t="n">
        <f aca="false">IF(AND(A6240&lt;&gt;A6239,LEFT(A6240,1)&lt;&gt;"C"),1,0)</f>
        <v>0</v>
      </c>
    </row>
    <row r="6241" customFormat="false" ht="15" hidden="false" customHeight="false" outlineLevel="0" collapsed="false">
      <c r="A6241" s="0" t="s">
        <v>3232</v>
      </c>
      <c r="B6241" s="0" t="s">
        <v>1416</v>
      </c>
      <c r="C6241" s="0" t="s">
        <v>1417</v>
      </c>
      <c r="D6241" s="0" t="n">
        <v>18</v>
      </c>
      <c r="E6241" s="6" t="n">
        <v>40871.6256944445</v>
      </c>
      <c r="F6241" s="0" t="n">
        <v>1.45</v>
      </c>
      <c r="G6241" s="0" t="n">
        <v>14277</v>
      </c>
      <c r="H6241" s="0" t="s">
        <v>43</v>
      </c>
      <c r="I6241" s="7" t="n">
        <f aca="false">IF(AND(LEFT(A6241,1)&lt;&gt;"C",D6241&gt;0,F6241&gt;0),1,0)</f>
        <v>1</v>
      </c>
      <c r="J6241" s="7" t="n">
        <f aca="false">IF(I6241=1,D6241*F6241,0)</f>
        <v>26.1</v>
      </c>
      <c r="K6241" s="7" t="n">
        <f aca="false">YEAR(E6241)*100+MONTH(E6241)</f>
        <v>201111</v>
      </c>
      <c r="L6241" s="7" t="n">
        <f aca="false">IF(AND(A6241&lt;&gt;A6240,LEFT(A6241,1)&lt;&gt;"C"),1,0)</f>
        <v>0</v>
      </c>
    </row>
    <row r="6242" customFormat="false" ht="15" hidden="false" customHeight="false" outlineLevel="0" collapsed="false">
      <c r="A6242" s="0" t="s">
        <v>3232</v>
      </c>
      <c r="B6242" s="0" t="s">
        <v>2271</v>
      </c>
      <c r="C6242" s="0" t="s">
        <v>2272</v>
      </c>
      <c r="D6242" s="0" t="n">
        <v>18</v>
      </c>
      <c r="E6242" s="6" t="n">
        <v>40871.6256944445</v>
      </c>
      <c r="F6242" s="0" t="n">
        <v>1.45</v>
      </c>
      <c r="G6242" s="0" t="n">
        <v>14277</v>
      </c>
      <c r="H6242" s="0" t="s">
        <v>43</v>
      </c>
      <c r="I6242" s="7" t="n">
        <f aca="false">IF(AND(LEFT(A6242,1)&lt;&gt;"C",D6242&gt;0,F6242&gt;0),1,0)</f>
        <v>1</v>
      </c>
      <c r="J6242" s="7" t="n">
        <f aca="false">IF(I6242=1,D6242*F6242,0)</f>
        <v>26.1</v>
      </c>
      <c r="K6242" s="7" t="n">
        <f aca="false">YEAR(E6242)*100+MONTH(E6242)</f>
        <v>201111</v>
      </c>
      <c r="L6242" s="7" t="n">
        <f aca="false">IF(AND(A6242&lt;&gt;A6241,LEFT(A6242,1)&lt;&gt;"C"),1,0)</f>
        <v>0</v>
      </c>
    </row>
    <row r="6243" customFormat="false" ht="15" hidden="false" customHeight="false" outlineLevel="0" collapsed="false">
      <c r="A6243" s="0" t="s">
        <v>3232</v>
      </c>
      <c r="B6243" s="0" t="s">
        <v>3251</v>
      </c>
      <c r="C6243" s="0" t="s">
        <v>3252</v>
      </c>
      <c r="D6243" s="0" t="n">
        <v>6</v>
      </c>
      <c r="E6243" s="6" t="n">
        <v>40871.6256944445</v>
      </c>
      <c r="F6243" s="0" t="n">
        <v>2.08</v>
      </c>
      <c r="G6243" s="0" t="n">
        <v>14277</v>
      </c>
      <c r="H6243" s="0" t="s">
        <v>43</v>
      </c>
      <c r="I6243" s="7" t="n">
        <f aca="false">IF(AND(LEFT(A6243,1)&lt;&gt;"C",D6243&gt;0,F6243&gt;0),1,0)</f>
        <v>1</v>
      </c>
      <c r="J6243" s="7" t="n">
        <f aca="false">IF(I6243=1,D6243*F6243,0)</f>
        <v>12.48</v>
      </c>
      <c r="K6243" s="7" t="n">
        <f aca="false">YEAR(E6243)*100+MONTH(E6243)</f>
        <v>201111</v>
      </c>
      <c r="L6243" s="7" t="n">
        <f aca="false">IF(AND(A6243&lt;&gt;A6242,LEFT(A6243,1)&lt;&gt;"C"),1,0)</f>
        <v>0</v>
      </c>
    </row>
    <row r="6244" customFormat="false" ht="15" hidden="false" customHeight="false" outlineLevel="0" collapsed="false">
      <c r="A6244" s="0" t="s">
        <v>3232</v>
      </c>
      <c r="B6244" s="0" t="s">
        <v>3253</v>
      </c>
      <c r="C6244" s="0" t="s">
        <v>3254</v>
      </c>
      <c r="D6244" s="0" t="n">
        <v>6</v>
      </c>
      <c r="E6244" s="6" t="n">
        <v>40871.6256944445</v>
      </c>
      <c r="F6244" s="0" t="n">
        <v>2.08</v>
      </c>
      <c r="G6244" s="0" t="n">
        <v>14277</v>
      </c>
      <c r="H6244" s="0" t="s">
        <v>43</v>
      </c>
      <c r="I6244" s="7" t="n">
        <f aca="false">IF(AND(LEFT(A6244,1)&lt;&gt;"C",D6244&gt;0,F6244&gt;0),1,0)</f>
        <v>1</v>
      </c>
      <c r="J6244" s="7" t="n">
        <f aca="false">IF(I6244=1,D6244*F6244,0)</f>
        <v>12.48</v>
      </c>
      <c r="K6244" s="7" t="n">
        <f aca="false">YEAR(E6244)*100+MONTH(E6244)</f>
        <v>201111</v>
      </c>
      <c r="L6244" s="7" t="n">
        <f aca="false">IF(AND(A6244&lt;&gt;A6243,LEFT(A6244,1)&lt;&gt;"C"),1,0)</f>
        <v>0</v>
      </c>
    </row>
    <row r="6245" customFormat="false" ht="15" hidden="false" customHeight="false" outlineLevel="0" collapsed="false">
      <c r="A6245" s="0" t="s">
        <v>3232</v>
      </c>
      <c r="B6245" s="0" t="s">
        <v>2399</v>
      </c>
      <c r="C6245" s="0" t="s">
        <v>2400</v>
      </c>
      <c r="D6245" s="0" t="n">
        <v>6</v>
      </c>
      <c r="E6245" s="6" t="n">
        <v>40871.6256944445</v>
      </c>
      <c r="F6245" s="0" t="n">
        <v>1.45</v>
      </c>
      <c r="G6245" s="0" t="n">
        <v>14277</v>
      </c>
      <c r="H6245" s="0" t="s">
        <v>43</v>
      </c>
      <c r="I6245" s="7" t="n">
        <f aca="false">IF(AND(LEFT(A6245,1)&lt;&gt;"C",D6245&gt;0,F6245&gt;0),1,0)</f>
        <v>1</v>
      </c>
      <c r="J6245" s="7" t="n">
        <f aca="false">IF(I6245=1,D6245*F6245,0)</f>
        <v>8.7</v>
      </c>
      <c r="K6245" s="7" t="n">
        <f aca="false">YEAR(E6245)*100+MONTH(E6245)</f>
        <v>201111</v>
      </c>
      <c r="L6245" s="7" t="n">
        <f aca="false">IF(AND(A6245&lt;&gt;A6244,LEFT(A6245,1)&lt;&gt;"C"),1,0)</f>
        <v>0</v>
      </c>
    </row>
    <row r="6246" customFormat="false" ht="15" hidden="false" customHeight="false" outlineLevel="0" collapsed="false">
      <c r="A6246" s="0" t="s">
        <v>3232</v>
      </c>
      <c r="B6246" s="0" t="s">
        <v>3255</v>
      </c>
      <c r="C6246" s="0" t="s">
        <v>3256</v>
      </c>
      <c r="D6246" s="0" t="n">
        <v>6</v>
      </c>
      <c r="E6246" s="6" t="n">
        <v>40871.6256944445</v>
      </c>
      <c r="F6246" s="0" t="n">
        <v>2.08</v>
      </c>
      <c r="G6246" s="0" t="n">
        <v>14277</v>
      </c>
      <c r="H6246" s="0" t="s">
        <v>43</v>
      </c>
      <c r="I6246" s="7" t="n">
        <f aca="false">IF(AND(LEFT(A6246,1)&lt;&gt;"C",D6246&gt;0,F6246&gt;0),1,0)</f>
        <v>1</v>
      </c>
      <c r="J6246" s="7" t="n">
        <f aca="false">IF(I6246=1,D6246*F6246,0)</f>
        <v>12.48</v>
      </c>
      <c r="K6246" s="7" t="n">
        <f aca="false">YEAR(E6246)*100+MONTH(E6246)</f>
        <v>201111</v>
      </c>
      <c r="L6246" s="7" t="n">
        <f aca="false">IF(AND(A6246&lt;&gt;A6245,LEFT(A6246,1)&lt;&gt;"C"),1,0)</f>
        <v>0</v>
      </c>
    </row>
    <row r="6247" customFormat="false" ht="15" hidden="false" customHeight="false" outlineLevel="0" collapsed="false">
      <c r="A6247" s="0" t="s">
        <v>3232</v>
      </c>
      <c r="B6247" s="0" t="s">
        <v>3257</v>
      </c>
      <c r="C6247" s="0" t="s">
        <v>3258</v>
      </c>
      <c r="D6247" s="0" t="n">
        <v>2</v>
      </c>
      <c r="E6247" s="6" t="n">
        <v>40871.6256944445</v>
      </c>
      <c r="F6247" s="0" t="n">
        <v>8.25</v>
      </c>
      <c r="G6247" s="0" t="n">
        <v>14277</v>
      </c>
      <c r="H6247" s="0" t="s">
        <v>43</v>
      </c>
      <c r="I6247" s="7" t="n">
        <f aca="false">IF(AND(LEFT(A6247,1)&lt;&gt;"C",D6247&gt;0,F6247&gt;0),1,0)</f>
        <v>1</v>
      </c>
      <c r="J6247" s="7" t="n">
        <f aca="false">IF(I6247=1,D6247*F6247,0)</f>
        <v>16.5</v>
      </c>
      <c r="K6247" s="7" t="n">
        <f aca="false">YEAR(E6247)*100+MONTH(E6247)</f>
        <v>201111</v>
      </c>
      <c r="L6247" s="7" t="n">
        <f aca="false">IF(AND(A6247&lt;&gt;A6246,LEFT(A6247,1)&lt;&gt;"C"),1,0)</f>
        <v>0</v>
      </c>
    </row>
    <row r="6248" customFormat="false" ht="15" hidden="false" customHeight="false" outlineLevel="0" collapsed="false">
      <c r="A6248" s="0" t="s">
        <v>3232</v>
      </c>
      <c r="B6248" s="0" t="s">
        <v>3259</v>
      </c>
      <c r="C6248" s="0" t="s">
        <v>3260</v>
      </c>
      <c r="D6248" s="0" t="n">
        <v>4</v>
      </c>
      <c r="E6248" s="6" t="n">
        <v>40871.6256944445</v>
      </c>
      <c r="F6248" s="0" t="n">
        <v>3.75</v>
      </c>
      <c r="G6248" s="0" t="n">
        <v>14277</v>
      </c>
      <c r="H6248" s="0" t="s">
        <v>43</v>
      </c>
      <c r="I6248" s="7" t="n">
        <f aca="false">IF(AND(LEFT(A6248,1)&lt;&gt;"C",D6248&gt;0,F6248&gt;0),1,0)</f>
        <v>1</v>
      </c>
      <c r="J6248" s="7" t="n">
        <f aca="false">IF(I6248=1,D6248*F6248,0)</f>
        <v>15</v>
      </c>
      <c r="K6248" s="7" t="n">
        <f aca="false">YEAR(E6248)*100+MONTH(E6248)</f>
        <v>201111</v>
      </c>
      <c r="L6248" s="7" t="n">
        <f aca="false">IF(AND(A6248&lt;&gt;A6247,LEFT(A6248,1)&lt;&gt;"C"),1,0)</f>
        <v>0</v>
      </c>
    </row>
    <row r="6249" customFormat="false" ht="15" hidden="false" customHeight="false" outlineLevel="0" collapsed="false">
      <c r="A6249" s="0" t="s">
        <v>3232</v>
      </c>
      <c r="B6249" s="0" t="s">
        <v>2000</v>
      </c>
      <c r="C6249" s="0" t="s">
        <v>2001</v>
      </c>
      <c r="D6249" s="0" t="n">
        <v>4</v>
      </c>
      <c r="E6249" s="6" t="n">
        <v>40871.6256944445</v>
      </c>
      <c r="F6249" s="0" t="n">
        <v>2.95</v>
      </c>
      <c r="G6249" s="0" t="n">
        <v>14277</v>
      </c>
      <c r="H6249" s="0" t="s">
        <v>43</v>
      </c>
      <c r="I6249" s="7" t="n">
        <f aca="false">IF(AND(LEFT(A6249,1)&lt;&gt;"C",D6249&gt;0,F6249&gt;0),1,0)</f>
        <v>1</v>
      </c>
      <c r="J6249" s="7" t="n">
        <f aca="false">IF(I6249=1,D6249*F6249,0)</f>
        <v>11.8</v>
      </c>
      <c r="K6249" s="7" t="n">
        <f aca="false">YEAR(E6249)*100+MONTH(E6249)</f>
        <v>201111</v>
      </c>
      <c r="L6249" s="7" t="n">
        <f aca="false">IF(AND(A6249&lt;&gt;A6248,LEFT(A6249,1)&lt;&gt;"C"),1,0)</f>
        <v>0</v>
      </c>
    </row>
    <row r="6250" customFormat="false" ht="15" hidden="false" customHeight="false" outlineLevel="0" collapsed="false">
      <c r="A6250" s="0" t="s">
        <v>3232</v>
      </c>
      <c r="B6250" s="0" t="s">
        <v>683</v>
      </c>
      <c r="C6250" s="0" t="s">
        <v>684</v>
      </c>
      <c r="D6250" s="0" t="n">
        <v>1</v>
      </c>
      <c r="E6250" s="6" t="n">
        <v>40871.6256944445</v>
      </c>
      <c r="F6250" s="0" t="n">
        <v>4.95</v>
      </c>
      <c r="G6250" s="0" t="n">
        <v>14277</v>
      </c>
      <c r="H6250" s="0" t="s">
        <v>43</v>
      </c>
      <c r="I6250" s="7" t="n">
        <f aca="false">IF(AND(LEFT(A6250,1)&lt;&gt;"C",D6250&gt;0,F6250&gt;0),1,0)</f>
        <v>1</v>
      </c>
      <c r="J6250" s="7" t="n">
        <f aca="false">IF(I6250=1,D6250*F6250,0)</f>
        <v>4.95</v>
      </c>
      <c r="K6250" s="7" t="n">
        <f aca="false">YEAR(E6250)*100+MONTH(E6250)</f>
        <v>201111</v>
      </c>
      <c r="L6250" s="7" t="n">
        <f aca="false">IF(AND(A6250&lt;&gt;A6249,LEFT(A6250,1)&lt;&gt;"C"),1,0)</f>
        <v>0</v>
      </c>
    </row>
    <row r="6251" customFormat="false" ht="15" hidden="false" customHeight="false" outlineLevel="0" collapsed="false">
      <c r="A6251" s="0" t="s">
        <v>3232</v>
      </c>
      <c r="B6251" s="0" t="s">
        <v>2076</v>
      </c>
      <c r="C6251" s="0" t="s">
        <v>2077</v>
      </c>
      <c r="D6251" s="0" t="n">
        <v>2</v>
      </c>
      <c r="E6251" s="6" t="n">
        <v>40871.6256944445</v>
      </c>
      <c r="F6251" s="0" t="n">
        <v>4.25</v>
      </c>
      <c r="G6251" s="0" t="n">
        <v>14277</v>
      </c>
      <c r="H6251" s="0" t="s">
        <v>43</v>
      </c>
      <c r="I6251" s="7" t="n">
        <f aca="false">IF(AND(LEFT(A6251,1)&lt;&gt;"C",D6251&gt;0,F6251&gt;0),1,0)</f>
        <v>1</v>
      </c>
      <c r="J6251" s="7" t="n">
        <f aca="false">IF(I6251=1,D6251*F6251,0)</f>
        <v>8.5</v>
      </c>
      <c r="K6251" s="7" t="n">
        <f aca="false">YEAR(E6251)*100+MONTH(E6251)</f>
        <v>201111</v>
      </c>
      <c r="L6251" s="7" t="n">
        <f aca="false">IF(AND(A6251&lt;&gt;A6250,LEFT(A6251,1)&lt;&gt;"C"),1,0)</f>
        <v>0</v>
      </c>
    </row>
    <row r="6252" customFormat="false" ht="15" hidden="false" customHeight="false" outlineLevel="0" collapsed="false">
      <c r="A6252" s="0" t="s">
        <v>3232</v>
      </c>
      <c r="B6252" s="0" t="s">
        <v>1140</v>
      </c>
      <c r="C6252" s="0" t="s">
        <v>1141</v>
      </c>
      <c r="D6252" s="0" t="n">
        <v>3</v>
      </c>
      <c r="E6252" s="6" t="n">
        <v>40871.6256944445</v>
      </c>
      <c r="F6252" s="0" t="n">
        <v>4.25</v>
      </c>
      <c r="G6252" s="0" t="n">
        <v>14277</v>
      </c>
      <c r="H6252" s="0" t="s">
        <v>43</v>
      </c>
      <c r="I6252" s="7" t="n">
        <f aca="false">IF(AND(LEFT(A6252,1)&lt;&gt;"C",D6252&gt;0,F6252&gt;0),1,0)</f>
        <v>1</v>
      </c>
      <c r="J6252" s="7" t="n">
        <f aca="false">IF(I6252=1,D6252*F6252,0)</f>
        <v>12.75</v>
      </c>
      <c r="K6252" s="7" t="n">
        <f aca="false">YEAR(E6252)*100+MONTH(E6252)</f>
        <v>201111</v>
      </c>
      <c r="L6252" s="7" t="n">
        <f aca="false">IF(AND(A6252&lt;&gt;A6251,LEFT(A6252,1)&lt;&gt;"C"),1,0)</f>
        <v>0</v>
      </c>
    </row>
    <row r="6253" customFormat="false" ht="15" hidden="false" customHeight="false" outlineLevel="0" collapsed="false">
      <c r="A6253" s="0" t="s">
        <v>3232</v>
      </c>
      <c r="B6253" s="0" t="s">
        <v>3261</v>
      </c>
      <c r="C6253" s="0" t="s">
        <v>3262</v>
      </c>
      <c r="D6253" s="0" t="n">
        <v>2</v>
      </c>
      <c r="E6253" s="6" t="n">
        <v>40871.6256944445</v>
      </c>
      <c r="F6253" s="0" t="n">
        <v>2.08</v>
      </c>
      <c r="G6253" s="0" t="n">
        <v>14277</v>
      </c>
      <c r="H6253" s="0" t="s">
        <v>43</v>
      </c>
      <c r="I6253" s="7" t="n">
        <f aca="false">IF(AND(LEFT(A6253,1)&lt;&gt;"C",D6253&gt;0,F6253&gt;0),1,0)</f>
        <v>1</v>
      </c>
      <c r="J6253" s="7" t="n">
        <f aca="false">IF(I6253=1,D6253*F6253,0)</f>
        <v>4.16</v>
      </c>
      <c r="K6253" s="7" t="n">
        <f aca="false">YEAR(E6253)*100+MONTH(E6253)</f>
        <v>201111</v>
      </c>
      <c r="L6253" s="7" t="n">
        <f aca="false">IF(AND(A6253&lt;&gt;A6252,LEFT(A6253,1)&lt;&gt;"C"),1,0)</f>
        <v>0</v>
      </c>
    </row>
    <row r="6254" customFormat="false" ht="15" hidden="false" customHeight="false" outlineLevel="0" collapsed="false">
      <c r="A6254" s="0" t="s">
        <v>3232</v>
      </c>
      <c r="B6254" s="0" t="s">
        <v>2078</v>
      </c>
      <c r="C6254" s="0" t="s">
        <v>2079</v>
      </c>
      <c r="D6254" s="0" t="n">
        <v>3</v>
      </c>
      <c r="E6254" s="6" t="n">
        <v>40871.6256944445</v>
      </c>
      <c r="F6254" s="0" t="n">
        <v>3.75</v>
      </c>
      <c r="G6254" s="0" t="n">
        <v>14277</v>
      </c>
      <c r="H6254" s="0" t="s">
        <v>43</v>
      </c>
      <c r="I6254" s="7" t="n">
        <f aca="false">IF(AND(LEFT(A6254,1)&lt;&gt;"C",D6254&gt;0,F6254&gt;0),1,0)</f>
        <v>1</v>
      </c>
      <c r="J6254" s="7" t="n">
        <f aca="false">IF(I6254=1,D6254*F6254,0)</f>
        <v>11.25</v>
      </c>
      <c r="K6254" s="7" t="n">
        <f aca="false">YEAR(E6254)*100+MONTH(E6254)</f>
        <v>201111</v>
      </c>
      <c r="L6254" s="7" t="n">
        <f aca="false">IF(AND(A6254&lt;&gt;A6253,LEFT(A6254,1)&lt;&gt;"C"),1,0)</f>
        <v>0</v>
      </c>
    </row>
    <row r="6255" customFormat="false" ht="15" hidden="false" customHeight="false" outlineLevel="0" collapsed="false">
      <c r="A6255" s="0" t="s">
        <v>3232</v>
      </c>
      <c r="B6255" s="0" t="s">
        <v>3263</v>
      </c>
      <c r="C6255" s="0" t="s">
        <v>3264</v>
      </c>
      <c r="D6255" s="0" t="n">
        <v>3</v>
      </c>
      <c r="E6255" s="6" t="n">
        <v>40871.6256944445</v>
      </c>
      <c r="F6255" s="0" t="n">
        <v>0.85</v>
      </c>
      <c r="G6255" s="0" t="n">
        <v>14277</v>
      </c>
      <c r="H6255" s="0" t="s">
        <v>43</v>
      </c>
      <c r="I6255" s="7" t="n">
        <f aca="false">IF(AND(LEFT(A6255,1)&lt;&gt;"C",D6255&gt;0,F6255&gt;0),1,0)</f>
        <v>1</v>
      </c>
      <c r="J6255" s="7" t="n">
        <f aca="false">IF(I6255=1,D6255*F6255,0)</f>
        <v>2.55</v>
      </c>
      <c r="K6255" s="7" t="n">
        <f aca="false">YEAR(E6255)*100+MONTH(E6255)</f>
        <v>201111</v>
      </c>
      <c r="L6255" s="7" t="n">
        <f aca="false">IF(AND(A6255&lt;&gt;A6254,LEFT(A6255,1)&lt;&gt;"C"),1,0)</f>
        <v>0</v>
      </c>
    </row>
    <row r="6256" customFormat="false" ht="15" hidden="false" customHeight="false" outlineLevel="0" collapsed="false">
      <c r="A6256" s="0" t="s">
        <v>3232</v>
      </c>
      <c r="B6256" s="0" t="s">
        <v>173</v>
      </c>
      <c r="C6256" s="0" t="s">
        <v>174</v>
      </c>
      <c r="D6256" s="0" t="n">
        <v>4</v>
      </c>
      <c r="E6256" s="6" t="n">
        <v>40871.6256944445</v>
      </c>
      <c r="F6256" s="0" t="n">
        <v>1.25</v>
      </c>
      <c r="G6256" s="0" t="n">
        <v>14277</v>
      </c>
      <c r="H6256" s="0" t="s">
        <v>43</v>
      </c>
      <c r="I6256" s="7" t="n">
        <f aca="false">IF(AND(LEFT(A6256,1)&lt;&gt;"C",D6256&gt;0,F6256&gt;0),1,0)</f>
        <v>1</v>
      </c>
      <c r="J6256" s="7" t="n">
        <f aca="false">IF(I6256=1,D6256*F6256,0)</f>
        <v>5</v>
      </c>
      <c r="K6256" s="7" t="n">
        <f aca="false">YEAR(E6256)*100+MONTH(E6256)</f>
        <v>201111</v>
      </c>
      <c r="L6256" s="7" t="n">
        <f aca="false">IF(AND(A6256&lt;&gt;A6255,LEFT(A6256,1)&lt;&gt;"C"),1,0)</f>
        <v>0</v>
      </c>
    </row>
    <row r="6257" customFormat="false" ht="15" hidden="false" customHeight="false" outlineLevel="0" collapsed="false">
      <c r="A6257" s="0" t="s">
        <v>3232</v>
      </c>
      <c r="B6257" s="0" t="s">
        <v>175</v>
      </c>
      <c r="C6257" s="0" t="s">
        <v>176</v>
      </c>
      <c r="D6257" s="0" t="n">
        <v>4</v>
      </c>
      <c r="E6257" s="6" t="n">
        <v>40871.6256944445</v>
      </c>
      <c r="F6257" s="0" t="n">
        <v>1.25</v>
      </c>
      <c r="G6257" s="0" t="n">
        <v>14277</v>
      </c>
      <c r="H6257" s="0" t="s">
        <v>43</v>
      </c>
      <c r="I6257" s="7" t="n">
        <f aca="false">IF(AND(LEFT(A6257,1)&lt;&gt;"C",D6257&gt;0,F6257&gt;0),1,0)</f>
        <v>1</v>
      </c>
      <c r="J6257" s="7" t="n">
        <f aca="false">IF(I6257=1,D6257*F6257,0)</f>
        <v>5</v>
      </c>
      <c r="K6257" s="7" t="n">
        <f aca="false">YEAR(E6257)*100+MONTH(E6257)</f>
        <v>201111</v>
      </c>
      <c r="L6257" s="7" t="n">
        <f aca="false">IF(AND(A6257&lt;&gt;A6256,LEFT(A6257,1)&lt;&gt;"C"),1,0)</f>
        <v>0</v>
      </c>
    </row>
    <row r="6258" customFormat="false" ht="15" hidden="false" customHeight="false" outlineLevel="0" collapsed="false">
      <c r="A6258" s="0" t="s">
        <v>3232</v>
      </c>
      <c r="B6258" s="0" t="s">
        <v>164</v>
      </c>
      <c r="C6258" s="0" t="s">
        <v>165</v>
      </c>
      <c r="D6258" s="0" t="n">
        <v>12</v>
      </c>
      <c r="E6258" s="6" t="n">
        <v>40871.6256944445</v>
      </c>
      <c r="F6258" s="0" t="n">
        <v>1.25</v>
      </c>
      <c r="G6258" s="0" t="n">
        <v>14277</v>
      </c>
      <c r="H6258" s="0" t="s">
        <v>43</v>
      </c>
      <c r="I6258" s="7" t="n">
        <f aca="false">IF(AND(LEFT(A6258,1)&lt;&gt;"C",D6258&gt;0,F6258&gt;0),1,0)</f>
        <v>1</v>
      </c>
      <c r="J6258" s="7" t="n">
        <f aca="false">IF(I6258=1,D6258*F6258,0)</f>
        <v>15</v>
      </c>
      <c r="K6258" s="7" t="n">
        <f aca="false">YEAR(E6258)*100+MONTH(E6258)</f>
        <v>201111</v>
      </c>
      <c r="L6258" s="7" t="n">
        <f aca="false">IF(AND(A6258&lt;&gt;A6257,LEFT(A6258,1)&lt;&gt;"C"),1,0)</f>
        <v>0</v>
      </c>
    </row>
    <row r="6259" customFormat="false" ht="15" hidden="false" customHeight="false" outlineLevel="0" collapsed="false">
      <c r="A6259" s="0" t="s">
        <v>3232</v>
      </c>
      <c r="B6259" s="0" t="s">
        <v>177</v>
      </c>
      <c r="C6259" s="0" t="s">
        <v>178</v>
      </c>
      <c r="D6259" s="0" t="n">
        <v>4</v>
      </c>
      <c r="E6259" s="6" t="n">
        <v>40871.6256944445</v>
      </c>
      <c r="F6259" s="0" t="n">
        <v>1.25</v>
      </c>
      <c r="G6259" s="0" t="n">
        <v>14277</v>
      </c>
      <c r="H6259" s="0" t="s">
        <v>43</v>
      </c>
      <c r="I6259" s="7" t="n">
        <f aca="false">IF(AND(LEFT(A6259,1)&lt;&gt;"C",D6259&gt;0,F6259&gt;0),1,0)</f>
        <v>1</v>
      </c>
      <c r="J6259" s="7" t="n">
        <f aca="false">IF(I6259=1,D6259*F6259,0)</f>
        <v>5</v>
      </c>
      <c r="K6259" s="7" t="n">
        <f aca="false">YEAR(E6259)*100+MONTH(E6259)</f>
        <v>201111</v>
      </c>
      <c r="L6259" s="7" t="n">
        <f aca="false">IF(AND(A6259&lt;&gt;A6258,LEFT(A6259,1)&lt;&gt;"C"),1,0)</f>
        <v>0</v>
      </c>
    </row>
    <row r="6260" customFormat="false" ht="15" hidden="false" customHeight="false" outlineLevel="0" collapsed="false">
      <c r="A6260" s="0" t="s">
        <v>3232</v>
      </c>
      <c r="B6260" s="0" t="s">
        <v>171</v>
      </c>
      <c r="C6260" s="0" t="s">
        <v>172</v>
      </c>
      <c r="D6260" s="0" t="n">
        <v>4</v>
      </c>
      <c r="E6260" s="6" t="n">
        <v>40871.6256944445</v>
      </c>
      <c r="F6260" s="0" t="n">
        <v>1.25</v>
      </c>
      <c r="G6260" s="0" t="n">
        <v>14277</v>
      </c>
      <c r="H6260" s="0" t="s">
        <v>43</v>
      </c>
      <c r="I6260" s="7" t="n">
        <f aca="false">IF(AND(LEFT(A6260,1)&lt;&gt;"C",D6260&gt;0,F6260&gt;0),1,0)</f>
        <v>1</v>
      </c>
      <c r="J6260" s="7" t="n">
        <f aca="false">IF(I6260=1,D6260*F6260,0)</f>
        <v>5</v>
      </c>
      <c r="K6260" s="7" t="n">
        <f aca="false">YEAR(E6260)*100+MONTH(E6260)</f>
        <v>201111</v>
      </c>
      <c r="L6260" s="7" t="n">
        <f aca="false">IF(AND(A6260&lt;&gt;A6259,LEFT(A6260,1)&lt;&gt;"C"),1,0)</f>
        <v>0</v>
      </c>
    </row>
    <row r="6261" customFormat="false" ht="15" hidden="false" customHeight="false" outlineLevel="0" collapsed="false">
      <c r="A6261" s="0" t="s">
        <v>3232</v>
      </c>
      <c r="B6261" s="0" t="s">
        <v>3265</v>
      </c>
      <c r="C6261" s="0" t="s">
        <v>3266</v>
      </c>
      <c r="D6261" s="0" t="n">
        <v>5</v>
      </c>
      <c r="E6261" s="6" t="n">
        <v>40871.6256944445</v>
      </c>
      <c r="F6261" s="0" t="n">
        <v>0.42</v>
      </c>
      <c r="G6261" s="0" t="n">
        <v>14277</v>
      </c>
      <c r="H6261" s="0" t="s">
        <v>43</v>
      </c>
      <c r="I6261" s="7" t="n">
        <f aca="false">IF(AND(LEFT(A6261,1)&lt;&gt;"C",D6261&gt;0,F6261&gt;0),1,0)</f>
        <v>1</v>
      </c>
      <c r="J6261" s="7" t="n">
        <f aca="false">IF(I6261=1,D6261*F6261,0)</f>
        <v>2.1</v>
      </c>
      <c r="K6261" s="7" t="n">
        <f aca="false">YEAR(E6261)*100+MONTH(E6261)</f>
        <v>201111</v>
      </c>
      <c r="L6261" s="7" t="n">
        <f aca="false">IF(AND(A6261&lt;&gt;A6260,LEFT(A6261,1)&lt;&gt;"C"),1,0)</f>
        <v>0</v>
      </c>
    </row>
    <row r="6262" customFormat="false" ht="15" hidden="false" customHeight="false" outlineLevel="0" collapsed="false">
      <c r="A6262" s="0" t="s">
        <v>3232</v>
      </c>
      <c r="B6262" s="0" t="s">
        <v>2593</v>
      </c>
      <c r="C6262" s="0" t="s">
        <v>2594</v>
      </c>
      <c r="D6262" s="0" t="n">
        <v>6</v>
      </c>
      <c r="E6262" s="6" t="n">
        <v>40871.6256944445</v>
      </c>
      <c r="F6262" s="0" t="n">
        <v>1.25</v>
      </c>
      <c r="G6262" s="0" t="n">
        <v>14277</v>
      </c>
      <c r="H6262" s="0" t="s">
        <v>43</v>
      </c>
      <c r="I6262" s="7" t="n">
        <f aca="false">IF(AND(LEFT(A6262,1)&lt;&gt;"C",D6262&gt;0,F6262&gt;0),1,0)</f>
        <v>1</v>
      </c>
      <c r="J6262" s="7" t="n">
        <f aca="false">IF(I6262=1,D6262*F6262,0)</f>
        <v>7.5</v>
      </c>
      <c r="K6262" s="7" t="n">
        <f aca="false">YEAR(E6262)*100+MONTH(E6262)</f>
        <v>201111</v>
      </c>
      <c r="L6262" s="7" t="n">
        <f aca="false">IF(AND(A6262&lt;&gt;A6261,LEFT(A6262,1)&lt;&gt;"C"),1,0)</f>
        <v>0</v>
      </c>
    </row>
    <row r="6263" customFormat="false" ht="15" hidden="false" customHeight="false" outlineLevel="0" collapsed="false">
      <c r="A6263" s="0" t="s">
        <v>3232</v>
      </c>
      <c r="B6263" s="0" t="s">
        <v>337</v>
      </c>
      <c r="C6263" s="0" t="s">
        <v>338</v>
      </c>
      <c r="D6263" s="0" t="n">
        <v>8</v>
      </c>
      <c r="E6263" s="6" t="n">
        <v>40871.6256944445</v>
      </c>
      <c r="F6263" s="0" t="n">
        <v>2.95</v>
      </c>
      <c r="G6263" s="0" t="n">
        <v>14277</v>
      </c>
      <c r="H6263" s="0" t="s">
        <v>43</v>
      </c>
      <c r="I6263" s="7" t="n">
        <f aca="false">IF(AND(LEFT(A6263,1)&lt;&gt;"C",D6263&gt;0,F6263&gt;0),1,0)</f>
        <v>1</v>
      </c>
      <c r="J6263" s="7" t="n">
        <f aca="false">IF(I6263=1,D6263*F6263,0)</f>
        <v>23.6</v>
      </c>
      <c r="K6263" s="7" t="n">
        <f aca="false">YEAR(E6263)*100+MONTH(E6263)</f>
        <v>201111</v>
      </c>
      <c r="L6263" s="7" t="n">
        <f aca="false">IF(AND(A6263&lt;&gt;A6262,LEFT(A6263,1)&lt;&gt;"C"),1,0)</f>
        <v>0</v>
      </c>
    </row>
    <row r="6264" customFormat="false" ht="15" hidden="false" customHeight="false" outlineLevel="0" collapsed="false">
      <c r="A6264" s="0" t="s">
        <v>3232</v>
      </c>
      <c r="B6264" s="0" t="s">
        <v>452</v>
      </c>
      <c r="C6264" s="0" t="s">
        <v>453</v>
      </c>
      <c r="D6264" s="0" t="n">
        <v>2</v>
      </c>
      <c r="E6264" s="6" t="n">
        <v>40871.6256944445</v>
      </c>
      <c r="F6264" s="0" t="n">
        <v>8.5</v>
      </c>
      <c r="G6264" s="0" t="n">
        <v>14277</v>
      </c>
      <c r="H6264" s="0" t="s">
        <v>43</v>
      </c>
      <c r="I6264" s="7" t="n">
        <f aca="false">IF(AND(LEFT(A6264,1)&lt;&gt;"C",D6264&gt;0,F6264&gt;0),1,0)</f>
        <v>1</v>
      </c>
      <c r="J6264" s="7" t="n">
        <f aca="false">IF(I6264=1,D6264*F6264,0)</f>
        <v>17</v>
      </c>
      <c r="K6264" s="7" t="n">
        <f aca="false">YEAR(E6264)*100+MONTH(E6264)</f>
        <v>201111</v>
      </c>
      <c r="L6264" s="7" t="n">
        <f aca="false">IF(AND(A6264&lt;&gt;A6263,LEFT(A6264,1)&lt;&gt;"C"),1,0)</f>
        <v>0</v>
      </c>
    </row>
    <row r="6265" customFormat="false" ht="15" hidden="false" customHeight="false" outlineLevel="0" collapsed="false">
      <c r="A6265" s="0" t="s">
        <v>3232</v>
      </c>
      <c r="B6265" s="0" t="s">
        <v>293</v>
      </c>
      <c r="C6265" s="0" t="s">
        <v>294</v>
      </c>
      <c r="D6265" s="0" t="n">
        <v>2</v>
      </c>
      <c r="E6265" s="6" t="n">
        <v>40871.6256944445</v>
      </c>
      <c r="F6265" s="0" t="n">
        <v>8.5</v>
      </c>
      <c r="G6265" s="0" t="n">
        <v>14277</v>
      </c>
      <c r="H6265" s="0" t="s">
        <v>43</v>
      </c>
      <c r="I6265" s="7" t="n">
        <f aca="false">IF(AND(LEFT(A6265,1)&lt;&gt;"C",D6265&gt;0,F6265&gt;0),1,0)</f>
        <v>1</v>
      </c>
      <c r="J6265" s="7" t="n">
        <f aca="false">IF(I6265=1,D6265*F6265,0)</f>
        <v>17</v>
      </c>
      <c r="K6265" s="7" t="n">
        <f aca="false">YEAR(E6265)*100+MONTH(E6265)</f>
        <v>201111</v>
      </c>
      <c r="L6265" s="7" t="n">
        <f aca="false">IF(AND(A6265&lt;&gt;A6264,LEFT(A6265,1)&lt;&gt;"C"),1,0)</f>
        <v>0</v>
      </c>
    </row>
    <row r="6266" customFormat="false" ht="15" hidden="false" customHeight="false" outlineLevel="0" collapsed="false">
      <c r="A6266" s="0" t="s">
        <v>3232</v>
      </c>
      <c r="B6266" s="0" t="s">
        <v>326</v>
      </c>
      <c r="C6266" s="0" t="s">
        <v>327</v>
      </c>
      <c r="D6266" s="0" t="n">
        <v>2</v>
      </c>
      <c r="E6266" s="6" t="n">
        <v>40871.6256944445</v>
      </c>
      <c r="F6266" s="0" t="n">
        <v>8.5</v>
      </c>
      <c r="G6266" s="0" t="n">
        <v>14277</v>
      </c>
      <c r="H6266" s="0" t="s">
        <v>43</v>
      </c>
      <c r="I6266" s="7" t="n">
        <f aca="false">IF(AND(LEFT(A6266,1)&lt;&gt;"C",D6266&gt;0,F6266&gt;0),1,0)</f>
        <v>1</v>
      </c>
      <c r="J6266" s="7" t="n">
        <f aca="false">IF(I6266=1,D6266*F6266,0)</f>
        <v>17</v>
      </c>
      <c r="K6266" s="7" t="n">
        <f aca="false">YEAR(E6266)*100+MONTH(E6266)</f>
        <v>201111</v>
      </c>
      <c r="L6266" s="7" t="n">
        <f aca="false">IF(AND(A6266&lt;&gt;A6265,LEFT(A6266,1)&lt;&gt;"C"),1,0)</f>
        <v>0</v>
      </c>
    </row>
    <row r="6267" customFormat="false" ht="15" hidden="false" customHeight="false" outlineLevel="0" collapsed="false">
      <c r="A6267" s="0" t="s">
        <v>3232</v>
      </c>
      <c r="B6267" s="0" t="s">
        <v>3267</v>
      </c>
      <c r="C6267" s="0" t="s">
        <v>3268</v>
      </c>
      <c r="D6267" s="0" t="n">
        <v>2</v>
      </c>
      <c r="E6267" s="6" t="n">
        <v>40871.6256944445</v>
      </c>
      <c r="F6267" s="0" t="n">
        <v>6.75</v>
      </c>
      <c r="G6267" s="0" t="n">
        <v>14277</v>
      </c>
      <c r="H6267" s="0" t="s">
        <v>43</v>
      </c>
      <c r="I6267" s="7" t="n">
        <f aca="false">IF(AND(LEFT(A6267,1)&lt;&gt;"C",D6267&gt;0,F6267&gt;0),1,0)</f>
        <v>1</v>
      </c>
      <c r="J6267" s="7" t="n">
        <f aca="false">IF(I6267=1,D6267*F6267,0)</f>
        <v>13.5</v>
      </c>
      <c r="K6267" s="7" t="n">
        <f aca="false">YEAR(E6267)*100+MONTH(E6267)</f>
        <v>201111</v>
      </c>
      <c r="L6267" s="7" t="n">
        <f aca="false">IF(AND(A6267&lt;&gt;A6266,LEFT(A6267,1)&lt;&gt;"C"),1,0)</f>
        <v>0</v>
      </c>
    </row>
    <row r="6268" customFormat="false" ht="15" hidden="false" customHeight="false" outlineLevel="0" collapsed="false">
      <c r="A6268" s="0" t="s">
        <v>3232</v>
      </c>
      <c r="B6268" s="0" t="s">
        <v>3269</v>
      </c>
      <c r="C6268" s="0" t="s">
        <v>3270</v>
      </c>
      <c r="D6268" s="0" t="n">
        <v>3</v>
      </c>
      <c r="E6268" s="6" t="n">
        <v>40871.6256944445</v>
      </c>
      <c r="F6268" s="0" t="n">
        <v>4.15</v>
      </c>
      <c r="G6268" s="0" t="n">
        <v>14277</v>
      </c>
      <c r="H6268" s="0" t="s">
        <v>43</v>
      </c>
      <c r="I6268" s="7" t="n">
        <f aca="false">IF(AND(LEFT(A6268,1)&lt;&gt;"C",D6268&gt;0,F6268&gt;0),1,0)</f>
        <v>1</v>
      </c>
      <c r="J6268" s="7" t="n">
        <f aca="false">IF(I6268=1,D6268*F6268,0)</f>
        <v>12.45</v>
      </c>
      <c r="K6268" s="7" t="n">
        <f aca="false">YEAR(E6268)*100+MONTH(E6268)</f>
        <v>201111</v>
      </c>
      <c r="L6268" s="7" t="n">
        <f aca="false">IF(AND(A6268&lt;&gt;A6267,LEFT(A6268,1)&lt;&gt;"C"),1,0)</f>
        <v>0</v>
      </c>
    </row>
    <row r="6269" customFormat="false" ht="15" hidden="false" customHeight="false" outlineLevel="0" collapsed="false">
      <c r="A6269" s="0" t="s">
        <v>3232</v>
      </c>
      <c r="B6269" s="0" t="s">
        <v>3271</v>
      </c>
      <c r="C6269" s="0" t="s">
        <v>3272</v>
      </c>
      <c r="D6269" s="0" t="n">
        <v>2</v>
      </c>
      <c r="E6269" s="6" t="n">
        <v>40871.6256944445</v>
      </c>
      <c r="F6269" s="0" t="n">
        <v>4.15</v>
      </c>
      <c r="G6269" s="0" t="n">
        <v>14277</v>
      </c>
      <c r="H6269" s="0" t="s">
        <v>43</v>
      </c>
      <c r="I6269" s="7" t="n">
        <f aca="false">IF(AND(LEFT(A6269,1)&lt;&gt;"C",D6269&gt;0,F6269&gt;0),1,0)</f>
        <v>1</v>
      </c>
      <c r="J6269" s="7" t="n">
        <f aca="false">IF(I6269=1,D6269*F6269,0)</f>
        <v>8.3</v>
      </c>
      <c r="K6269" s="7" t="n">
        <f aca="false">YEAR(E6269)*100+MONTH(E6269)</f>
        <v>201111</v>
      </c>
      <c r="L6269" s="7" t="n">
        <f aca="false">IF(AND(A6269&lt;&gt;A6268,LEFT(A6269,1)&lt;&gt;"C"),1,0)</f>
        <v>0</v>
      </c>
    </row>
    <row r="6270" customFormat="false" ht="15" hidden="false" customHeight="false" outlineLevel="0" collapsed="false">
      <c r="A6270" s="0" t="s">
        <v>3232</v>
      </c>
      <c r="B6270" s="0" t="s">
        <v>2632</v>
      </c>
      <c r="C6270" s="0" t="s">
        <v>2633</v>
      </c>
      <c r="D6270" s="0" t="n">
        <v>12</v>
      </c>
      <c r="E6270" s="6" t="n">
        <v>40871.6256944445</v>
      </c>
      <c r="F6270" s="0" t="n">
        <v>0.83</v>
      </c>
      <c r="G6270" s="0" t="n">
        <v>14277</v>
      </c>
      <c r="H6270" s="0" t="s">
        <v>43</v>
      </c>
      <c r="I6270" s="7" t="n">
        <f aca="false">IF(AND(LEFT(A6270,1)&lt;&gt;"C",D6270&gt;0,F6270&gt;0),1,0)</f>
        <v>1</v>
      </c>
      <c r="J6270" s="7" t="n">
        <f aca="false">IF(I6270=1,D6270*F6270,0)</f>
        <v>9.96</v>
      </c>
      <c r="K6270" s="7" t="n">
        <f aca="false">YEAR(E6270)*100+MONTH(E6270)</f>
        <v>201111</v>
      </c>
      <c r="L6270" s="7" t="n">
        <f aca="false">IF(AND(A6270&lt;&gt;A6269,LEFT(A6270,1)&lt;&gt;"C"),1,0)</f>
        <v>0</v>
      </c>
    </row>
    <row r="6271" customFormat="false" ht="15" hidden="false" customHeight="false" outlineLevel="0" collapsed="false">
      <c r="A6271" s="0" t="s">
        <v>3232</v>
      </c>
      <c r="B6271" s="0" t="s">
        <v>2435</v>
      </c>
      <c r="C6271" s="0" t="s">
        <v>2436</v>
      </c>
      <c r="D6271" s="0" t="n">
        <v>14</v>
      </c>
      <c r="E6271" s="6" t="n">
        <v>40871.6256944445</v>
      </c>
      <c r="F6271" s="0" t="n">
        <v>2.55</v>
      </c>
      <c r="G6271" s="0" t="n">
        <v>14277</v>
      </c>
      <c r="H6271" s="0" t="s">
        <v>43</v>
      </c>
      <c r="I6271" s="7" t="n">
        <f aca="false">IF(AND(LEFT(A6271,1)&lt;&gt;"C",D6271&gt;0,F6271&gt;0),1,0)</f>
        <v>1</v>
      </c>
      <c r="J6271" s="7" t="n">
        <f aca="false">IF(I6271=1,D6271*F6271,0)</f>
        <v>35.7</v>
      </c>
      <c r="K6271" s="7" t="n">
        <f aca="false">YEAR(E6271)*100+MONTH(E6271)</f>
        <v>201111</v>
      </c>
      <c r="L6271" s="7" t="n">
        <f aca="false">IF(AND(A6271&lt;&gt;A6270,LEFT(A6271,1)&lt;&gt;"C"),1,0)</f>
        <v>0</v>
      </c>
    </row>
    <row r="6272" customFormat="false" ht="15" hidden="false" customHeight="false" outlineLevel="0" collapsed="false">
      <c r="A6272" s="0" t="s">
        <v>3232</v>
      </c>
      <c r="B6272" s="0" t="s">
        <v>2134</v>
      </c>
      <c r="C6272" s="0" t="s">
        <v>2135</v>
      </c>
      <c r="D6272" s="0" t="n">
        <v>6</v>
      </c>
      <c r="E6272" s="6" t="n">
        <v>40871.6256944445</v>
      </c>
      <c r="F6272" s="0" t="n">
        <v>4.25</v>
      </c>
      <c r="G6272" s="0" t="n">
        <v>14277</v>
      </c>
      <c r="H6272" s="0" t="s">
        <v>43</v>
      </c>
      <c r="I6272" s="7" t="n">
        <f aca="false">IF(AND(LEFT(A6272,1)&lt;&gt;"C",D6272&gt;0,F6272&gt;0),1,0)</f>
        <v>1</v>
      </c>
      <c r="J6272" s="7" t="n">
        <f aca="false">IF(I6272=1,D6272*F6272,0)</f>
        <v>25.5</v>
      </c>
      <c r="K6272" s="7" t="n">
        <f aca="false">YEAR(E6272)*100+MONTH(E6272)</f>
        <v>201111</v>
      </c>
      <c r="L6272" s="7" t="n">
        <f aca="false">IF(AND(A6272&lt;&gt;A6271,LEFT(A6272,1)&lt;&gt;"C"),1,0)</f>
        <v>0</v>
      </c>
    </row>
    <row r="6273" customFormat="false" ht="15" hidden="false" customHeight="false" outlineLevel="0" collapsed="false">
      <c r="A6273" s="0" t="s">
        <v>3232</v>
      </c>
      <c r="B6273" s="0" t="s">
        <v>3211</v>
      </c>
      <c r="C6273" s="0" t="s">
        <v>3212</v>
      </c>
      <c r="D6273" s="0" t="n">
        <v>6</v>
      </c>
      <c r="E6273" s="6" t="n">
        <v>40871.6256944445</v>
      </c>
      <c r="F6273" s="0" t="n">
        <v>3.25</v>
      </c>
      <c r="G6273" s="0" t="n">
        <v>14277</v>
      </c>
      <c r="H6273" s="0" t="s">
        <v>43</v>
      </c>
      <c r="I6273" s="7" t="n">
        <f aca="false">IF(AND(LEFT(A6273,1)&lt;&gt;"C",D6273&gt;0,F6273&gt;0),1,0)</f>
        <v>1</v>
      </c>
      <c r="J6273" s="7" t="n">
        <f aca="false">IF(I6273=1,D6273*F6273,0)</f>
        <v>19.5</v>
      </c>
      <c r="K6273" s="7" t="n">
        <f aca="false">YEAR(E6273)*100+MONTH(E6273)</f>
        <v>201111</v>
      </c>
      <c r="L6273" s="7" t="n">
        <f aca="false">IF(AND(A6273&lt;&gt;A6272,LEFT(A6273,1)&lt;&gt;"C"),1,0)</f>
        <v>0</v>
      </c>
    </row>
    <row r="6274" customFormat="false" ht="15" hidden="false" customHeight="false" outlineLevel="0" collapsed="false">
      <c r="A6274" s="0" t="s">
        <v>3232</v>
      </c>
      <c r="B6274" s="0" t="s">
        <v>3273</v>
      </c>
      <c r="C6274" s="0" t="s">
        <v>3274</v>
      </c>
      <c r="D6274" s="0" t="n">
        <v>4</v>
      </c>
      <c r="E6274" s="6" t="n">
        <v>40871.6256944445</v>
      </c>
      <c r="F6274" s="0" t="n">
        <v>0.83</v>
      </c>
      <c r="G6274" s="0" t="n">
        <v>14277</v>
      </c>
      <c r="H6274" s="0" t="s">
        <v>43</v>
      </c>
      <c r="I6274" s="7" t="n">
        <f aca="false">IF(AND(LEFT(A6274,1)&lt;&gt;"C",D6274&gt;0,F6274&gt;0),1,0)</f>
        <v>1</v>
      </c>
      <c r="J6274" s="7" t="n">
        <f aca="false">IF(I6274=1,D6274*F6274,0)</f>
        <v>3.32</v>
      </c>
      <c r="K6274" s="7" t="n">
        <f aca="false">YEAR(E6274)*100+MONTH(E6274)</f>
        <v>201111</v>
      </c>
      <c r="L6274" s="7" t="n">
        <f aca="false">IF(AND(A6274&lt;&gt;A6273,LEFT(A6274,1)&lt;&gt;"C"),1,0)</f>
        <v>0</v>
      </c>
    </row>
    <row r="6275" customFormat="false" ht="15" hidden="false" customHeight="false" outlineLevel="0" collapsed="false">
      <c r="A6275" s="0" t="s">
        <v>3232</v>
      </c>
      <c r="B6275" s="0" t="s">
        <v>3275</v>
      </c>
      <c r="C6275" s="0" t="s">
        <v>3276</v>
      </c>
      <c r="D6275" s="0" t="n">
        <v>6</v>
      </c>
      <c r="E6275" s="6" t="n">
        <v>40871.6256944445</v>
      </c>
      <c r="F6275" s="0" t="n">
        <v>0.39</v>
      </c>
      <c r="G6275" s="0" t="n">
        <v>14277</v>
      </c>
      <c r="H6275" s="0" t="s">
        <v>43</v>
      </c>
      <c r="I6275" s="7" t="n">
        <f aca="false">IF(AND(LEFT(A6275,1)&lt;&gt;"C",D6275&gt;0,F6275&gt;0),1,0)</f>
        <v>1</v>
      </c>
      <c r="J6275" s="7" t="n">
        <f aca="false">IF(I6275=1,D6275*F6275,0)</f>
        <v>2.34</v>
      </c>
      <c r="K6275" s="7" t="n">
        <f aca="false">YEAR(E6275)*100+MONTH(E6275)</f>
        <v>201111</v>
      </c>
      <c r="L6275" s="7" t="n">
        <f aca="false">IF(AND(A6275&lt;&gt;A6274,LEFT(A6275,1)&lt;&gt;"C"),1,0)</f>
        <v>0</v>
      </c>
    </row>
    <row r="6276" customFormat="false" ht="15" hidden="false" customHeight="false" outlineLevel="0" collapsed="false">
      <c r="A6276" s="0" t="s">
        <v>3232</v>
      </c>
      <c r="B6276" s="0" t="s">
        <v>2050</v>
      </c>
      <c r="C6276" s="0" t="s">
        <v>2051</v>
      </c>
      <c r="D6276" s="0" t="n">
        <v>6</v>
      </c>
      <c r="E6276" s="6" t="n">
        <v>40871.6256944445</v>
      </c>
      <c r="F6276" s="0" t="n">
        <v>1.25</v>
      </c>
      <c r="G6276" s="0" t="n">
        <v>14277</v>
      </c>
      <c r="H6276" s="0" t="s">
        <v>43</v>
      </c>
      <c r="I6276" s="7" t="n">
        <f aca="false">IF(AND(LEFT(A6276,1)&lt;&gt;"C",D6276&gt;0,F6276&gt;0),1,0)</f>
        <v>1</v>
      </c>
      <c r="J6276" s="7" t="n">
        <f aca="false">IF(I6276=1,D6276*F6276,0)</f>
        <v>7.5</v>
      </c>
      <c r="K6276" s="7" t="n">
        <f aca="false">YEAR(E6276)*100+MONTH(E6276)</f>
        <v>201111</v>
      </c>
      <c r="L6276" s="7" t="n">
        <f aca="false">IF(AND(A6276&lt;&gt;A6275,LEFT(A6276,1)&lt;&gt;"C"),1,0)</f>
        <v>0</v>
      </c>
    </row>
    <row r="6277" customFormat="false" ht="15" hidden="false" customHeight="false" outlineLevel="0" collapsed="false">
      <c r="A6277" s="0" t="s">
        <v>3232</v>
      </c>
      <c r="B6277" s="0" t="s">
        <v>430</v>
      </c>
      <c r="C6277" s="0" t="s">
        <v>431</v>
      </c>
      <c r="D6277" s="0" t="n">
        <v>6</v>
      </c>
      <c r="E6277" s="6" t="n">
        <v>40871.6256944445</v>
      </c>
      <c r="F6277" s="0" t="n">
        <v>1.65</v>
      </c>
      <c r="G6277" s="0" t="n">
        <v>14277</v>
      </c>
      <c r="H6277" s="0" t="s">
        <v>43</v>
      </c>
      <c r="I6277" s="7" t="n">
        <f aca="false">IF(AND(LEFT(A6277,1)&lt;&gt;"C",D6277&gt;0,F6277&gt;0),1,0)</f>
        <v>1</v>
      </c>
      <c r="J6277" s="7" t="n">
        <f aca="false">IF(I6277=1,D6277*F6277,0)</f>
        <v>9.9</v>
      </c>
      <c r="K6277" s="7" t="n">
        <f aca="false">YEAR(E6277)*100+MONTH(E6277)</f>
        <v>201111</v>
      </c>
      <c r="L6277" s="7" t="n">
        <f aca="false">IF(AND(A6277&lt;&gt;A6276,LEFT(A6277,1)&lt;&gt;"C"),1,0)</f>
        <v>0</v>
      </c>
    </row>
    <row r="6278" customFormat="false" ht="15" hidden="false" customHeight="false" outlineLevel="0" collapsed="false">
      <c r="A6278" s="0" t="s">
        <v>3232</v>
      </c>
      <c r="B6278" s="0" t="s">
        <v>1403</v>
      </c>
      <c r="C6278" s="0" t="s">
        <v>1404</v>
      </c>
      <c r="D6278" s="0" t="n">
        <v>6</v>
      </c>
      <c r="E6278" s="6" t="n">
        <v>40871.6256944445</v>
      </c>
      <c r="F6278" s="0" t="n">
        <v>2.55</v>
      </c>
      <c r="G6278" s="0" t="n">
        <v>14277</v>
      </c>
      <c r="H6278" s="0" t="s">
        <v>43</v>
      </c>
      <c r="I6278" s="7" t="n">
        <f aca="false">IF(AND(LEFT(A6278,1)&lt;&gt;"C",D6278&gt;0,F6278&gt;0),1,0)</f>
        <v>1</v>
      </c>
      <c r="J6278" s="7" t="n">
        <f aca="false">IF(I6278=1,D6278*F6278,0)</f>
        <v>15.3</v>
      </c>
      <c r="K6278" s="7" t="n">
        <f aca="false">YEAR(E6278)*100+MONTH(E6278)</f>
        <v>201111</v>
      </c>
      <c r="L6278" s="7" t="n">
        <f aca="false">IF(AND(A6278&lt;&gt;A6277,LEFT(A6278,1)&lt;&gt;"C"),1,0)</f>
        <v>0</v>
      </c>
    </row>
    <row r="6279" customFormat="false" ht="15" hidden="false" customHeight="false" outlineLevel="0" collapsed="false">
      <c r="A6279" s="0" t="s">
        <v>3232</v>
      </c>
      <c r="B6279" s="0" t="s">
        <v>3277</v>
      </c>
      <c r="C6279" s="0" t="s">
        <v>3278</v>
      </c>
      <c r="D6279" s="0" t="n">
        <v>6</v>
      </c>
      <c r="E6279" s="6" t="n">
        <v>40871.6256944445</v>
      </c>
      <c r="F6279" s="0" t="n">
        <v>2.55</v>
      </c>
      <c r="G6279" s="0" t="n">
        <v>14277</v>
      </c>
      <c r="H6279" s="0" t="s">
        <v>43</v>
      </c>
      <c r="I6279" s="7" t="n">
        <f aca="false">IF(AND(LEFT(A6279,1)&lt;&gt;"C",D6279&gt;0,F6279&gt;0),1,0)</f>
        <v>1</v>
      </c>
      <c r="J6279" s="7" t="n">
        <f aca="false">IF(I6279=1,D6279*F6279,0)</f>
        <v>15.3</v>
      </c>
      <c r="K6279" s="7" t="n">
        <f aca="false">YEAR(E6279)*100+MONTH(E6279)</f>
        <v>201111</v>
      </c>
      <c r="L6279" s="7" t="n">
        <f aca="false">IF(AND(A6279&lt;&gt;A6278,LEFT(A6279,1)&lt;&gt;"C"),1,0)</f>
        <v>0</v>
      </c>
    </row>
    <row r="6280" customFormat="false" ht="15" hidden="false" customHeight="false" outlineLevel="0" collapsed="false">
      <c r="A6280" s="0" t="s">
        <v>3232</v>
      </c>
      <c r="B6280" s="0" t="s">
        <v>1102</v>
      </c>
      <c r="C6280" s="0" t="s">
        <v>1103</v>
      </c>
      <c r="D6280" s="0" t="n">
        <v>4</v>
      </c>
      <c r="E6280" s="6" t="n">
        <v>40871.6256944445</v>
      </c>
      <c r="F6280" s="0" t="n">
        <v>2.55</v>
      </c>
      <c r="G6280" s="0" t="n">
        <v>14277</v>
      </c>
      <c r="H6280" s="0" t="s">
        <v>43</v>
      </c>
      <c r="I6280" s="7" t="n">
        <f aca="false">IF(AND(LEFT(A6280,1)&lt;&gt;"C",D6280&gt;0,F6280&gt;0),1,0)</f>
        <v>1</v>
      </c>
      <c r="J6280" s="7" t="n">
        <f aca="false">IF(I6280=1,D6280*F6280,0)</f>
        <v>10.2</v>
      </c>
      <c r="K6280" s="7" t="n">
        <f aca="false">YEAR(E6280)*100+MONTH(E6280)</f>
        <v>201111</v>
      </c>
      <c r="L6280" s="7" t="n">
        <f aca="false">IF(AND(A6280&lt;&gt;A6279,LEFT(A6280,1)&lt;&gt;"C"),1,0)</f>
        <v>0</v>
      </c>
    </row>
    <row r="6281" customFormat="false" ht="15" hidden="false" customHeight="false" outlineLevel="0" collapsed="false">
      <c r="A6281" s="0" t="s">
        <v>3232</v>
      </c>
      <c r="B6281" s="0" t="s">
        <v>1104</v>
      </c>
      <c r="C6281" s="0" t="s">
        <v>1105</v>
      </c>
      <c r="D6281" s="0" t="n">
        <v>5</v>
      </c>
      <c r="E6281" s="6" t="n">
        <v>40871.6256944445</v>
      </c>
      <c r="F6281" s="0" t="n">
        <v>2.55</v>
      </c>
      <c r="G6281" s="0" t="n">
        <v>14277</v>
      </c>
      <c r="H6281" s="0" t="s">
        <v>43</v>
      </c>
      <c r="I6281" s="7" t="n">
        <f aca="false">IF(AND(LEFT(A6281,1)&lt;&gt;"C",D6281&gt;0,F6281&gt;0),1,0)</f>
        <v>1</v>
      </c>
      <c r="J6281" s="7" t="n">
        <f aca="false">IF(I6281=1,D6281*F6281,0)</f>
        <v>12.75</v>
      </c>
      <c r="K6281" s="7" t="n">
        <f aca="false">YEAR(E6281)*100+MONTH(E6281)</f>
        <v>201111</v>
      </c>
      <c r="L6281" s="7" t="n">
        <f aca="false">IF(AND(A6281&lt;&gt;A6280,LEFT(A6281,1)&lt;&gt;"C"),1,0)</f>
        <v>0</v>
      </c>
    </row>
    <row r="6282" customFormat="false" ht="15" hidden="false" customHeight="false" outlineLevel="0" collapsed="false">
      <c r="A6282" s="0" t="s">
        <v>3232</v>
      </c>
      <c r="B6282" s="0" t="s">
        <v>752</v>
      </c>
      <c r="C6282" s="0" t="s">
        <v>753</v>
      </c>
      <c r="D6282" s="0" t="n">
        <v>4</v>
      </c>
      <c r="E6282" s="6" t="n">
        <v>40871.6256944445</v>
      </c>
      <c r="F6282" s="0" t="n">
        <v>1.65</v>
      </c>
      <c r="G6282" s="0" t="n">
        <v>14277</v>
      </c>
      <c r="H6282" s="0" t="s">
        <v>43</v>
      </c>
      <c r="I6282" s="7" t="n">
        <f aca="false">IF(AND(LEFT(A6282,1)&lt;&gt;"C",D6282&gt;0,F6282&gt;0),1,0)</f>
        <v>1</v>
      </c>
      <c r="J6282" s="7" t="n">
        <f aca="false">IF(I6282=1,D6282*F6282,0)</f>
        <v>6.6</v>
      </c>
      <c r="K6282" s="7" t="n">
        <f aca="false">YEAR(E6282)*100+MONTH(E6282)</f>
        <v>201111</v>
      </c>
      <c r="L6282" s="7" t="n">
        <f aca="false">IF(AND(A6282&lt;&gt;A6281,LEFT(A6282,1)&lt;&gt;"C"),1,0)</f>
        <v>0</v>
      </c>
    </row>
    <row r="6283" customFormat="false" ht="15" hidden="false" customHeight="false" outlineLevel="0" collapsed="false">
      <c r="A6283" s="0" t="s">
        <v>3232</v>
      </c>
      <c r="B6283" s="0" t="s">
        <v>2114</v>
      </c>
      <c r="C6283" s="0" t="s">
        <v>2115</v>
      </c>
      <c r="D6283" s="0" t="n">
        <v>5</v>
      </c>
      <c r="E6283" s="6" t="n">
        <v>40871.6256944445</v>
      </c>
      <c r="F6283" s="0" t="n">
        <v>1.45</v>
      </c>
      <c r="G6283" s="0" t="n">
        <v>14277</v>
      </c>
      <c r="H6283" s="0" t="s">
        <v>43</v>
      </c>
      <c r="I6283" s="7" t="n">
        <f aca="false">IF(AND(LEFT(A6283,1)&lt;&gt;"C",D6283&gt;0,F6283&gt;0),1,0)</f>
        <v>1</v>
      </c>
      <c r="J6283" s="7" t="n">
        <f aca="false">IF(I6283=1,D6283*F6283,0)</f>
        <v>7.25</v>
      </c>
      <c r="K6283" s="7" t="n">
        <f aca="false">YEAR(E6283)*100+MONTH(E6283)</f>
        <v>201111</v>
      </c>
      <c r="L6283" s="7" t="n">
        <f aca="false">IF(AND(A6283&lt;&gt;A6282,LEFT(A6283,1)&lt;&gt;"C"),1,0)</f>
        <v>0</v>
      </c>
    </row>
    <row r="6284" customFormat="false" ht="15" hidden="false" customHeight="false" outlineLevel="0" collapsed="false">
      <c r="A6284" s="0" t="s">
        <v>3232</v>
      </c>
      <c r="B6284" s="0" t="s">
        <v>2068</v>
      </c>
      <c r="C6284" s="0" t="s">
        <v>2069</v>
      </c>
      <c r="D6284" s="0" t="n">
        <v>6</v>
      </c>
      <c r="E6284" s="6" t="n">
        <v>40871.6256944445</v>
      </c>
      <c r="F6284" s="0" t="n">
        <v>3.75</v>
      </c>
      <c r="G6284" s="0" t="n">
        <v>14277</v>
      </c>
      <c r="H6284" s="0" t="s">
        <v>43</v>
      </c>
      <c r="I6284" s="7" t="n">
        <f aca="false">IF(AND(LEFT(A6284,1)&lt;&gt;"C",D6284&gt;0,F6284&gt;0),1,0)</f>
        <v>1</v>
      </c>
      <c r="J6284" s="7" t="n">
        <f aca="false">IF(I6284=1,D6284*F6284,0)</f>
        <v>22.5</v>
      </c>
      <c r="K6284" s="7" t="n">
        <f aca="false">YEAR(E6284)*100+MONTH(E6284)</f>
        <v>201111</v>
      </c>
      <c r="L6284" s="7" t="n">
        <f aca="false">IF(AND(A6284&lt;&gt;A6283,LEFT(A6284,1)&lt;&gt;"C"),1,0)</f>
        <v>0</v>
      </c>
    </row>
    <row r="6285" customFormat="false" ht="15" hidden="false" customHeight="false" outlineLevel="0" collapsed="false">
      <c r="A6285" s="0" t="s">
        <v>3232</v>
      </c>
      <c r="B6285" s="0" t="s">
        <v>2132</v>
      </c>
      <c r="C6285" s="0" t="s">
        <v>2133</v>
      </c>
      <c r="D6285" s="0" t="n">
        <v>2</v>
      </c>
      <c r="E6285" s="6" t="n">
        <v>40871.6256944445</v>
      </c>
      <c r="F6285" s="0" t="n">
        <v>8.5</v>
      </c>
      <c r="G6285" s="0" t="n">
        <v>14277</v>
      </c>
      <c r="H6285" s="0" t="s">
        <v>43</v>
      </c>
      <c r="I6285" s="7" t="n">
        <f aca="false">IF(AND(LEFT(A6285,1)&lt;&gt;"C",D6285&gt;0,F6285&gt;0),1,0)</f>
        <v>1</v>
      </c>
      <c r="J6285" s="7" t="n">
        <f aca="false">IF(I6285=1,D6285*F6285,0)</f>
        <v>17</v>
      </c>
      <c r="K6285" s="7" t="n">
        <f aca="false">YEAR(E6285)*100+MONTH(E6285)</f>
        <v>201111</v>
      </c>
      <c r="L6285" s="7" t="n">
        <f aca="false">IF(AND(A6285&lt;&gt;A6284,LEFT(A6285,1)&lt;&gt;"C"),1,0)</f>
        <v>0</v>
      </c>
    </row>
    <row r="6286" customFormat="false" ht="15" hidden="false" customHeight="false" outlineLevel="0" collapsed="false">
      <c r="A6286" s="0" t="s">
        <v>3232</v>
      </c>
      <c r="B6286" s="0" t="s">
        <v>1625</v>
      </c>
      <c r="C6286" s="0" t="s">
        <v>1626</v>
      </c>
      <c r="D6286" s="0" t="n">
        <v>2</v>
      </c>
      <c r="E6286" s="6" t="n">
        <v>40871.6256944445</v>
      </c>
      <c r="F6286" s="0" t="n">
        <v>6.35</v>
      </c>
      <c r="G6286" s="0" t="n">
        <v>14277</v>
      </c>
      <c r="H6286" s="0" t="s">
        <v>43</v>
      </c>
      <c r="I6286" s="7" t="n">
        <f aca="false">IF(AND(LEFT(A6286,1)&lt;&gt;"C",D6286&gt;0,F6286&gt;0),1,0)</f>
        <v>1</v>
      </c>
      <c r="J6286" s="7" t="n">
        <f aca="false">IF(I6286=1,D6286*F6286,0)</f>
        <v>12.7</v>
      </c>
      <c r="K6286" s="7" t="n">
        <f aca="false">YEAR(E6286)*100+MONTH(E6286)</f>
        <v>201111</v>
      </c>
      <c r="L6286" s="7" t="n">
        <f aca="false">IF(AND(A6286&lt;&gt;A6285,LEFT(A6286,1)&lt;&gt;"C"),1,0)</f>
        <v>0</v>
      </c>
    </row>
    <row r="6287" customFormat="false" ht="15" hidden="false" customHeight="false" outlineLevel="0" collapsed="false">
      <c r="A6287" s="0" t="s">
        <v>3232</v>
      </c>
      <c r="B6287" s="0" t="s">
        <v>2130</v>
      </c>
      <c r="C6287" s="0" t="s">
        <v>2131</v>
      </c>
      <c r="D6287" s="0" t="n">
        <v>2</v>
      </c>
      <c r="E6287" s="6" t="n">
        <v>40871.6256944445</v>
      </c>
      <c r="F6287" s="0" t="n">
        <v>7.95</v>
      </c>
      <c r="G6287" s="0" t="n">
        <v>14277</v>
      </c>
      <c r="H6287" s="0" t="s">
        <v>43</v>
      </c>
      <c r="I6287" s="7" t="n">
        <f aca="false">IF(AND(LEFT(A6287,1)&lt;&gt;"C",D6287&gt;0,F6287&gt;0),1,0)</f>
        <v>1</v>
      </c>
      <c r="J6287" s="7" t="n">
        <f aca="false">IF(I6287=1,D6287*F6287,0)</f>
        <v>15.9</v>
      </c>
      <c r="K6287" s="7" t="n">
        <f aca="false">YEAR(E6287)*100+MONTH(E6287)</f>
        <v>201111</v>
      </c>
      <c r="L6287" s="7" t="n">
        <f aca="false">IF(AND(A6287&lt;&gt;A6286,LEFT(A6287,1)&lt;&gt;"C"),1,0)</f>
        <v>0</v>
      </c>
    </row>
    <row r="6288" customFormat="false" ht="15" hidden="false" customHeight="false" outlineLevel="0" collapsed="false">
      <c r="A6288" s="0" t="s">
        <v>3232</v>
      </c>
      <c r="B6288" s="0" t="s">
        <v>3279</v>
      </c>
      <c r="C6288" s="0" t="s">
        <v>3280</v>
      </c>
      <c r="D6288" s="0" t="n">
        <v>2</v>
      </c>
      <c r="E6288" s="6" t="n">
        <v>40871.6256944445</v>
      </c>
      <c r="F6288" s="0" t="n">
        <v>7.95</v>
      </c>
      <c r="G6288" s="0" t="n">
        <v>14277</v>
      </c>
      <c r="H6288" s="0" t="s">
        <v>43</v>
      </c>
      <c r="I6288" s="7" t="n">
        <f aca="false">IF(AND(LEFT(A6288,1)&lt;&gt;"C",D6288&gt;0,F6288&gt;0),1,0)</f>
        <v>1</v>
      </c>
      <c r="J6288" s="7" t="n">
        <f aca="false">IF(I6288=1,D6288*F6288,0)</f>
        <v>15.9</v>
      </c>
      <c r="K6288" s="7" t="n">
        <f aca="false">YEAR(E6288)*100+MONTH(E6288)</f>
        <v>201111</v>
      </c>
      <c r="L6288" s="7" t="n">
        <f aca="false">IF(AND(A6288&lt;&gt;A6287,LEFT(A6288,1)&lt;&gt;"C"),1,0)</f>
        <v>0</v>
      </c>
    </row>
    <row r="6289" customFormat="false" ht="15" hidden="false" customHeight="false" outlineLevel="0" collapsed="false">
      <c r="A6289" s="0" t="s">
        <v>3232</v>
      </c>
      <c r="B6289" s="0" t="s">
        <v>1112</v>
      </c>
      <c r="C6289" s="0" t="s">
        <v>1113</v>
      </c>
      <c r="D6289" s="0" t="n">
        <v>2</v>
      </c>
      <c r="E6289" s="6" t="n">
        <v>40871.6256944445</v>
      </c>
      <c r="F6289" s="0" t="n">
        <v>16.95</v>
      </c>
      <c r="G6289" s="0" t="n">
        <v>14277</v>
      </c>
      <c r="H6289" s="0" t="s">
        <v>43</v>
      </c>
      <c r="I6289" s="7" t="n">
        <f aca="false">IF(AND(LEFT(A6289,1)&lt;&gt;"C",D6289&gt;0,F6289&gt;0),1,0)</f>
        <v>1</v>
      </c>
      <c r="J6289" s="7" t="n">
        <f aca="false">IF(I6289=1,D6289*F6289,0)</f>
        <v>33.9</v>
      </c>
      <c r="K6289" s="7" t="n">
        <f aca="false">YEAR(E6289)*100+MONTH(E6289)</f>
        <v>201111</v>
      </c>
      <c r="L6289" s="7" t="n">
        <f aca="false">IF(AND(A6289&lt;&gt;A6288,LEFT(A6289,1)&lt;&gt;"C"),1,0)</f>
        <v>0</v>
      </c>
    </row>
    <row r="6290" customFormat="false" ht="15" hidden="false" customHeight="false" outlineLevel="0" collapsed="false">
      <c r="A6290" s="0" t="s">
        <v>3232</v>
      </c>
      <c r="B6290" s="0" t="s">
        <v>418</v>
      </c>
      <c r="C6290" s="0" t="s">
        <v>419</v>
      </c>
      <c r="D6290" s="0" t="n">
        <v>4</v>
      </c>
      <c r="E6290" s="6" t="n">
        <v>40871.6256944445</v>
      </c>
      <c r="F6290" s="0" t="n">
        <v>3.25</v>
      </c>
      <c r="G6290" s="0" t="n">
        <v>14277</v>
      </c>
      <c r="H6290" s="0" t="s">
        <v>43</v>
      </c>
      <c r="I6290" s="7" t="n">
        <f aca="false">IF(AND(LEFT(A6290,1)&lt;&gt;"C",D6290&gt;0,F6290&gt;0),1,0)</f>
        <v>1</v>
      </c>
      <c r="J6290" s="7" t="n">
        <f aca="false">IF(I6290=1,D6290*F6290,0)</f>
        <v>13</v>
      </c>
      <c r="K6290" s="7" t="n">
        <f aca="false">YEAR(E6290)*100+MONTH(E6290)</f>
        <v>201111</v>
      </c>
      <c r="L6290" s="7" t="n">
        <f aca="false">IF(AND(A6290&lt;&gt;A6289,LEFT(A6290,1)&lt;&gt;"C"),1,0)</f>
        <v>0</v>
      </c>
    </row>
    <row r="6291" customFormat="false" ht="15" hidden="false" customHeight="false" outlineLevel="0" collapsed="false">
      <c r="A6291" s="0" t="s">
        <v>3232</v>
      </c>
      <c r="B6291" s="0" t="s">
        <v>3281</v>
      </c>
      <c r="C6291" s="0" t="s">
        <v>3282</v>
      </c>
      <c r="D6291" s="0" t="n">
        <v>4</v>
      </c>
      <c r="E6291" s="6" t="n">
        <v>40871.6256944445</v>
      </c>
      <c r="F6291" s="0" t="n">
        <v>2.95</v>
      </c>
      <c r="G6291" s="0" t="n">
        <v>14277</v>
      </c>
      <c r="H6291" s="0" t="s">
        <v>43</v>
      </c>
      <c r="I6291" s="7" t="n">
        <f aca="false">IF(AND(LEFT(A6291,1)&lt;&gt;"C",D6291&gt;0,F6291&gt;0),1,0)</f>
        <v>1</v>
      </c>
      <c r="J6291" s="7" t="n">
        <f aca="false">IF(I6291=1,D6291*F6291,0)</f>
        <v>11.8</v>
      </c>
      <c r="K6291" s="7" t="n">
        <f aca="false">YEAR(E6291)*100+MONTH(E6291)</f>
        <v>201111</v>
      </c>
      <c r="L6291" s="7" t="n">
        <f aca="false">IF(AND(A6291&lt;&gt;A6290,LEFT(A6291,1)&lt;&gt;"C"),1,0)</f>
        <v>0</v>
      </c>
    </row>
    <row r="6292" customFormat="false" ht="15" hidden="false" customHeight="false" outlineLevel="0" collapsed="false">
      <c r="A6292" s="0" t="s">
        <v>3232</v>
      </c>
      <c r="B6292" s="0" t="s">
        <v>1784</v>
      </c>
      <c r="C6292" s="0" t="s">
        <v>1785</v>
      </c>
      <c r="D6292" s="0" t="n">
        <v>20</v>
      </c>
      <c r="E6292" s="6" t="n">
        <v>40871.6256944445</v>
      </c>
      <c r="F6292" s="0" t="n">
        <v>1.25</v>
      </c>
      <c r="G6292" s="0" t="n">
        <v>14277</v>
      </c>
      <c r="H6292" s="0" t="s">
        <v>43</v>
      </c>
      <c r="I6292" s="7" t="n">
        <f aca="false">IF(AND(LEFT(A6292,1)&lt;&gt;"C",D6292&gt;0,F6292&gt;0),1,0)</f>
        <v>1</v>
      </c>
      <c r="J6292" s="7" t="n">
        <f aca="false">IF(I6292=1,D6292*F6292,0)</f>
        <v>25</v>
      </c>
      <c r="K6292" s="7" t="n">
        <f aca="false">YEAR(E6292)*100+MONTH(E6292)</f>
        <v>201111</v>
      </c>
      <c r="L6292" s="7" t="n">
        <f aca="false">IF(AND(A6292&lt;&gt;A6291,LEFT(A6292,1)&lt;&gt;"C"),1,0)</f>
        <v>0</v>
      </c>
    </row>
    <row r="6293" customFormat="false" ht="15" hidden="false" customHeight="false" outlineLevel="0" collapsed="false">
      <c r="A6293" s="0" t="s">
        <v>3232</v>
      </c>
      <c r="B6293" s="0" t="s">
        <v>3283</v>
      </c>
      <c r="C6293" s="0" t="s">
        <v>3284</v>
      </c>
      <c r="D6293" s="0" t="n">
        <v>2</v>
      </c>
      <c r="E6293" s="6" t="n">
        <v>40871.6256944445</v>
      </c>
      <c r="F6293" s="0" t="n">
        <v>4.95</v>
      </c>
      <c r="G6293" s="0" t="n">
        <v>14277</v>
      </c>
      <c r="H6293" s="0" t="s">
        <v>43</v>
      </c>
      <c r="I6293" s="7" t="n">
        <f aca="false">IF(AND(LEFT(A6293,1)&lt;&gt;"C",D6293&gt;0,F6293&gt;0),1,0)</f>
        <v>1</v>
      </c>
      <c r="J6293" s="7" t="n">
        <f aca="false">IF(I6293=1,D6293*F6293,0)</f>
        <v>9.9</v>
      </c>
      <c r="K6293" s="7" t="n">
        <f aca="false">YEAR(E6293)*100+MONTH(E6293)</f>
        <v>201111</v>
      </c>
      <c r="L6293" s="7" t="n">
        <f aca="false">IF(AND(A6293&lt;&gt;A6292,LEFT(A6293,1)&lt;&gt;"C"),1,0)</f>
        <v>0</v>
      </c>
    </row>
    <row r="6294" customFormat="false" ht="15" hidden="false" customHeight="false" outlineLevel="0" collapsed="false">
      <c r="A6294" s="0" t="s">
        <v>3232</v>
      </c>
      <c r="B6294" s="0" t="s">
        <v>1652</v>
      </c>
      <c r="C6294" s="0" t="s">
        <v>1653</v>
      </c>
      <c r="D6294" s="0" t="n">
        <v>2</v>
      </c>
      <c r="E6294" s="6" t="n">
        <v>40871.6256944445</v>
      </c>
      <c r="F6294" s="0" t="n">
        <v>4.95</v>
      </c>
      <c r="G6294" s="0" t="n">
        <v>14277</v>
      </c>
      <c r="H6294" s="0" t="s">
        <v>43</v>
      </c>
      <c r="I6294" s="7" t="n">
        <f aca="false">IF(AND(LEFT(A6294,1)&lt;&gt;"C",D6294&gt;0,F6294&gt;0),1,0)</f>
        <v>1</v>
      </c>
      <c r="J6294" s="7" t="n">
        <f aca="false">IF(I6294=1,D6294*F6294,0)</f>
        <v>9.9</v>
      </c>
      <c r="K6294" s="7" t="n">
        <f aca="false">YEAR(E6294)*100+MONTH(E6294)</f>
        <v>201111</v>
      </c>
      <c r="L6294" s="7" t="n">
        <f aca="false">IF(AND(A6294&lt;&gt;A6293,LEFT(A6294,1)&lt;&gt;"C"),1,0)</f>
        <v>0</v>
      </c>
    </row>
    <row r="6295" customFormat="false" ht="15" hidden="false" customHeight="false" outlineLevel="0" collapsed="false">
      <c r="A6295" s="0" t="s">
        <v>3232</v>
      </c>
      <c r="B6295" s="0" t="s">
        <v>1648</v>
      </c>
      <c r="C6295" s="0" t="s">
        <v>1649</v>
      </c>
      <c r="D6295" s="0" t="n">
        <v>2</v>
      </c>
      <c r="E6295" s="6" t="n">
        <v>40871.6256944445</v>
      </c>
      <c r="F6295" s="0" t="n">
        <v>4.95</v>
      </c>
      <c r="G6295" s="0" t="n">
        <v>14277</v>
      </c>
      <c r="H6295" s="0" t="s">
        <v>43</v>
      </c>
      <c r="I6295" s="7" t="n">
        <f aca="false">IF(AND(LEFT(A6295,1)&lt;&gt;"C",D6295&gt;0,F6295&gt;0),1,0)</f>
        <v>1</v>
      </c>
      <c r="J6295" s="7" t="n">
        <f aca="false">IF(I6295=1,D6295*F6295,0)</f>
        <v>9.9</v>
      </c>
      <c r="K6295" s="7" t="n">
        <f aca="false">YEAR(E6295)*100+MONTH(E6295)</f>
        <v>201111</v>
      </c>
      <c r="L6295" s="7" t="n">
        <f aca="false">IF(AND(A6295&lt;&gt;A6294,LEFT(A6295,1)&lt;&gt;"C"),1,0)</f>
        <v>0</v>
      </c>
    </row>
    <row r="6296" customFormat="false" ht="15" hidden="false" customHeight="false" outlineLevel="0" collapsed="false">
      <c r="A6296" s="0" t="s">
        <v>3232</v>
      </c>
      <c r="B6296" s="0" t="s">
        <v>3283</v>
      </c>
      <c r="C6296" s="0" t="s">
        <v>3284</v>
      </c>
      <c r="D6296" s="0" t="n">
        <v>2</v>
      </c>
      <c r="E6296" s="6" t="n">
        <v>40871.6256944445</v>
      </c>
      <c r="F6296" s="0" t="n">
        <v>4.95</v>
      </c>
      <c r="G6296" s="0" t="n">
        <v>14277</v>
      </c>
      <c r="H6296" s="0" t="s">
        <v>43</v>
      </c>
      <c r="I6296" s="7" t="n">
        <f aca="false">IF(AND(LEFT(A6296,1)&lt;&gt;"C",D6296&gt;0,F6296&gt;0),1,0)</f>
        <v>1</v>
      </c>
      <c r="J6296" s="7" t="n">
        <f aca="false">IF(I6296=1,D6296*F6296,0)</f>
        <v>9.9</v>
      </c>
      <c r="K6296" s="7" t="n">
        <f aca="false">YEAR(E6296)*100+MONTH(E6296)</f>
        <v>201111</v>
      </c>
      <c r="L6296" s="7" t="n">
        <f aca="false">IF(AND(A6296&lt;&gt;A6295,LEFT(A6296,1)&lt;&gt;"C"),1,0)</f>
        <v>0</v>
      </c>
    </row>
    <row r="6297" customFormat="false" ht="15" hidden="false" customHeight="false" outlineLevel="0" collapsed="false">
      <c r="A6297" s="0" t="s">
        <v>3232</v>
      </c>
      <c r="B6297" s="0" t="s">
        <v>1652</v>
      </c>
      <c r="C6297" s="0" t="s">
        <v>1653</v>
      </c>
      <c r="D6297" s="0" t="n">
        <v>2</v>
      </c>
      <c r="E6297" s="6" t="n">
        <v>40871.6256944445</v>
      </c>
      <c r="F6297" s="0" t="n">
        <v>4.95</v>
      </c>
      <c r="G6297" s="0" t="n">
        <v>14277</v>
      </c>
      <c r="H6297" s="0" t="s">
        <v>43</v>
      </c>
      <c r="I6297" s="7" t="n">
        <f aca="false">IF(AND(LEFT(A6297,1)&lt;&gt;"C",D6297&gt;0,F6297&gt;0),1,0)</f>
        <v>1</v>
      </c>
      <c r="J6297" s="7" t="n">
        <f aca="false">IF(I6297=1,D6297*F6297,0)</f>
        <v>9.9</v>
      </c>
      <c r="K6297" s="7" t="n">
        <f aca="false">YEAR(E6297)*100+MONTH(E6297)</f>
        <v>201111</v>
      </c>
      <c r="L6297" s="7" t="n">
        <f aca="false">IF(AND(A6297&lt;&gt;A6296,LEFT(A6297,1)&lt;&gt;"C"),1,0)</f>
        <v>0</v>
      </c>
    </row>
    <row r="6298" customFormat="false" ht="15" hidden="false" customHeight="false" outlineLevel="0" collapsed="false">
      <c r="A6298" s="0" t="s">
        <v>3232</v>
      </c>
      <c r="B6298" s="0" t="s">
        <v>2018</v>
      </c>
      <c r="C6298" s="0" t="s">
        <v>2019</v>
      </c>
      <c r="D6298" s="0" t="n">
        <v>7</v>
      </c>
      <c r="E6298" s="6" t="n">
        <v>40871.6256944445</v>
      </c>
      <c r="F6298" s="0" t="n">
        <v>1.25</v>
      </c>
      <c r="G6298" s="0" t="n">
        <v>14277</v>
      </c>
      <c r="H6298" s="0" t="s">
        <v>43</v>
      </c>
      <c r="I6298" s="7" t="n">
        <f aca="false">IF(AND(LEFT(A6298,1)&lt;&gt;"C",D6298&gt;0,F6298&gt;0),1,0)</f>
        <v>1</v>
      </c>
      <c r="J6298" s="7" t="n">
        <f aca="false">IF(I6298=1,D6298*F6298,0)</f>
        <v>8.75</v>
      </c>
      <c r="K6298" s="7" t="n">
        <f aca="false">YEAR(E6298)*100+MONTH(E6298)</f>
        <v>201111</v>
      </c>
      <c r="L6298" s="7" t="n">
        <f aca="false">IF(AND(A6298&lt;&gt;A6297,LEFT(A6298,1)&lt;&gt;"C"),1,0)</f>
        <v>0</v>
      </c>
    </row>
    <row r="6299" customFormat="false" ht="15" hidden="false" customHeight="false" outlineLevel="0" collapsed="false">
      <c r="A6299" s="0" t="s">
        <v>3232</v>
      </c>
      <c r="B6299" s="0" t="s">
        <v>50</v>
      </c>
      <c r="C6299" s="0" t="s">
        <v>51</v>
      </c>
      <c r="D6299" s="0" t="n">
        <v>6</v>
      </c>
      <c r="E6299" s="6" t="n">
        <v>40871.6256944445</v>
      </c>
      <c r="F6299" s="0" t="n">
        <v>1.95</v>
      </c>
      <c r="G6299" s="0" t="n">
        <v>14277</v>
      </c>
      <c r="H6299" s="0" t="s">
        <v>43</v>
      </c>
      <c r="I6299" s="7" t="n">
        <f aca="false">IF(AND(LEFT(A6299,1)&lt;&gt;"C",D6299&gt;0,F6299&gt;0),1,0)</f>
        <v>1</v>
      </c>
      <c r="J6299" s="7" t="n">
        <f aca="false">IF(I6299=1,D6299*F6299,0)</f>
        <v>11.7</v>
      </c>
      <c r="K6299" s="7" t="n">
        <f aca="false">YEAR(E6299)*100+MONTH(E6299)</f>
        <v>201111</v>
      </c>
      <c r="L6299" s="7" t="n">
        <f aca="false">IF(AND(A6299&lt;&gt;A6298,LEFT(A6299,1)&lt;&gt;"C"),1,0)</f>
        <v>0</v>
      </c>
    </row>
    <row r="6300" customFormat="false" ht="15" hidden="false" customHeight="false" outlineLevel="0" collapsed="false">
      <c r="A6300" s="0" t="s">
        <v>3232</v>
      </c>
      <c r="B6300" s="0" t="s">
        <v>52</v>
      </c>
      <c r="C6300" s="0" t="s">
        <v>53</v>
      </c>
      <c r="D6300" s="0" t="n">
        <v>7</v>
      </c>
      <c r="E6300" s="6" t="n">
        <v>40871.6256944445</v>
      </c>
      <c r="F6300" s="0" t="n">
        <v>1.95</v>
      </c>
      <c r="G6300" s="0" t="n">
        <v>14277</v>
      </c>
      <c r="H6300" s="0" t="s">
        <v>43</v>
      </c>
      <c r="I6300" s="7" t="n">
        <f aca="false">IF(AND(LEFT(A6300,1)&lt;&gt;"C",D6300&gt;0,F6300&gt;0),1,0)</f>
        <v>1</v>
      </c>
      <c r="J6300" s="7" t="n">
        <f aca="false">IF(I6300=1,D6300*F6300,0)</f>
        <v>13.65</v>
      </c>
      <c r="K6300" s="7" t="n">
        <f aca="false">YEAR(E6300)*100+MONTH(E6300)</f>
        <v>201111</v>
      </c>
      <c r="L6300" s="7" t="n">
        <f aca="false">IF(AND(A6300&lt;&gt;A6299,LEFT(A6300,1)&lt;&gt;"C"),1,0)</f>
        <v>0</v>
      </c>
    </row>
    <row r="6301" customFormat="false" ht="15" hidden="false" customHeight="false" outlineLevel="0" collapsed="false">
      <c r="A6301" s="0" t="s">
        <v>3232</v>
      </c>
      <c r="B6301" s="0" t="s">
        <v>3285</v>
      </c>
      <c r="C6301" s="0" t="s">
        <v>3286</v>
      </c>
      <c r="D6301" s="0" t="n">
        <v>2</v>
      </c>
      <c r="E6301" s="6" t="n">
        <v>40871.6256944445</v>
      </c>
      <c r="F6301" s="0" t="n">
        <v>24.95</v>
      </c>
      <c r="G6301" s="0" t="n">
        <v>14277</v>
      </c>
      <c r="H6301" s="0" t="s">
        <v>43</v>
      </c>
      <c r="I6301" s="7" t="n">
        <f aca="false">IF(AND(LEFT(A6301,1)&lt;&gt;"C",D6301&gt;0,F6301&gt;0),1,0)</f>
        <v>1</v>
      </c>
      <c r="J6301" s="7" t="n">
        <f aca="false">IF(I6301=1,D6301*F6301,0)</f>
        <v>49.9</v>
      </c>
      <c r="K6301" s="7" t="n">
        <f aca="false">YEAR(E6301)*100+MONTH(E6301)</f>
        <v>201111</v>
      </c>
      <c r="L6301" s="7" t="n">
        <f aca="false">IF(AND(A6301&lt;&gt;A6300,LEFT(A6301,1)&lt;&gt;"C"),1,0)</f>
        <v>0</v>
      </c>
    </row>
    <row r="6302" customFormat="false" ht="15" hidden="false" customHeight="false" outlineLevel="0" collapsed="false">
      <c r="A6302" s="0" t="s">
        <v>3232</v>
      </c>
      <c r="B6302" s="0" t="s">
        <v>1099</v>
      </c>
      <c r="C6302" s="0" t="s">
        <v>1100</v>
      </c>
      <c r="D6302" s="0" t="n">
        <v>12</v>
      </c>
      <c r="E6302" s="6" t="n">
        <v>40871.6256944445</v>
      </c>
      <c r="F6302" s="0" t="n">
        <v>2.49</v>
      </c>
      <c r="G6302" s="0" t="n">
        <v>14277</v>
      </c>
      <c r="H6302" s="0" t="s">
        <v>43</v>
      </c>
      <c r="I6302" s="7" t="n">
        <f aca="false">IF(AND(LEFT(A6302,1)&lt;&gt;"C",D6302&gt;0,F6302&gt;0),1,0)</f>
        <v>1</v>
      </c>
      <c r="J6302" s="7" t="n">
        <f aca="false">IF(I6302=1,D6302*F6302,0)</f>
        <v>29.88</v>
      </c>
      <c r="K6302" s="7" t="n">
        <f aca="false">YEAR(E6302)*100+MONTH(E6302)</f>
        <v>201111</v>
      </c>
      <c r="L6302" s="7" t="n">
        <f aca="false">IF(AND(A6302&lt;&gt;A6301,LEFT(A6302,1)&lt;&gt;"C"),1,0)</f>
        <v>0</v>
      </c>
    </row>
    <row r="6303" customFormat="false" ht="15" hidden="false" customHeight="false" outlineLevel="0" collapsed="false">
      <c r="A6303" s="0" t="s">
        <v>3232</v>
      </c>
      <c r="B6303" s="0" t="s">
        <v>1031</v>
      </c>
      <c r="C6303" s="0" t="s">
        <v>1032</v>
      </c>
      <c r="D6303" s="0" t="n">
        <v>4</v>
      </c>
      <c r="E6303" s="6" t="n">
        <v>40871.6256944445</v>
      </c>
      <c r="F6303" s="0" t="n">
        <v>4.25</v>
      </c>
      <c r="G6303" s="0" t="n">
        <v>14277</v>
      </c>
      <c r="H6303" s="0" t="s">
        <v>43</v>
      </c>
      <c r="I6303" s="7" t="n">
        <f aca="false">IF(AND(LEFT(A6303,1)&lt;&gt;"C",D6303&gt;0,F6303&gt;0),1,0)</f>
        <v>1</v>
      </c>
      <c r="J6303" s="7" t="n">
        <f aca="false">IF(I6303=1,D6303*F6303,0)</f>
        <v>17</v>
      </c>
      <c r="K6303" s="7" t="n">
        <f aca="false">YEAR(E6303)*100+MONTH(E6303)</f>
        <v>201111</v>
      </c>
      <c r="L6303" s="7" t="n">
        <f aca="false">IF(AND(A6303&lt;&gt;A6302,LEFT(A6303,1)&lt;&gt;"C"),1,0)</f>
        <v>0</v>
      </c>
    </row>
    <row r="6304" customFormat="false" ht="15" hidden="false" customHeight="false" outlineLevel="0" collapsed="false">
      <c r="A6304" s="0" t="s">
        <v>3232</v>
      </c>
      <c r="B6304" s="0" t="s">
        <v>729</v>
      </c>
      <c r="C6304" s="0" t="s">
        <v>730</v>
      </c>
      <c r="D6304" s="0" t="n">
        <v>3</v>
      </c>
      <c r="E6304" s="6" t="n">
        <v>40871.6256944445</v>
      </c>
      <c r="F6304" s="0" t="n">
        <v>4.95</v>
      </c>
      <c r="G6304" s="0" t="n">
        <v>14277</v>
      </c>
      <c r="H6304" s="0" t="s">
        <v>43</v>
      </c>
      <c r="I6304" s="7" t="n">
        <f aca="false">IF(AND(LEFT(A6304,1)&lt;&gt;"C",D6304&gt;0,F6304&gt;0),1,0)</f>
        <v>1</v>
      </c>
      <c r="J6304" s="7" t="n">
        <f aca="false">IF(I6304=1,D6304*F6304,0)</f>
        <v>14.85</v>
      </c>
      <c r="K6304" s="7" t="n">
        <f aca="false">YEAR(E6304)*100+MONTH(E6304)</f>
        <v>201111</v>
      </c>
      <c r="L6304" s="7" t="n">
        <f aca="false">IF(AND(A6304&lt;&gt;A6303,LEFT(A6304,1)&lt;&gt;"C"),1,0)</f>
        <v>0</v>
      </c>
    </row>
    <row r="6305" customFormat="false" ht="15" hidden="false" customHeight="false" outlineLevel="0" collapsed="false">
      <c r="A6305" s="0" t="s">
        <v>3232</v>
      </c>
      <c r="B6305" s="0" t="s">
        <v>1521</v>
      </c>
      <c r="C6305" s="0" t="s">
        <v>1522</v>
      </c>
      <c r="D6305" s="0" t="n">
        <v>2</v>
      </c>
      <c r="E6305" s="6" t="n">
        <v>40871.6256944445</v>
      </c>
      <c r="F6305" s="0" t="n">
        <v>4.25</v>
      </c>
      <c r="G6305" s="0" t="n">
        <v>14277</v>
      </c>
      <c r="H6305" s="0" t="s">
        <v>43</v>
      </c>
      <c r="I6305" s="7" t="n">
        <f aca="false">IF(AND(LEFT(A6305,1)&lt;&gt;"C",D6305&gt;0,F6305&gt;0),1,0)</f>
        <v>1</v>
      </c>
      <c r="J6305" s="7" t="n">
        <f aca="false">IF(I6305=1,D6305*F6305,0)</f>
        <v>8.5</v>
      </c>
      <c r="K6305" s="7" t="n">
        <f aca="false">YEAR(E6305)*100+MONTH(E6305)</f>
        <v>201111</v>
      </c>
      <c r="L6305" s="7" t="n">
        <f aca="false">IF(AND(A6305&lt;&gt;A6304,LEFT(A6305,1)&lt;&gt;"C"),1,0)</f>
        <v>0</v>
      </c>
    </row>
    <row r="6306" customFormat="false" ht="15" hidden="false" customHeight="false" outlineLevel="0" collapsed="false">
      <c r="A6306" s="0" t="s">
        <v>3232</v>
      </c>
      <c r="B6306" s="0" t="s">
        <v>3227</v>
      </c>
      <c r="C6306" s="0" t="s">
        <v>3228</v>
      </c>
      <c r="D6306" s="0" t="n">
        <v>8</v>
      </c>
      <c r="E6306" s="6" t="n">
        <v>40871.6256944445</v>
      </c>
      <c r="F6306" s="0" t="n">
        <v>2.95</v>
      </c>
      <c r="G6306" s="0" t="n">
        <v>14277</v>
      </c>
      <c r="H6306" s="0" t="s">
        <v>43</v>
      </c>
      <c r="I6306" s="7" t="n">
        <f aca="false">IF(AND(LEFT(A6306,1)&lt;&gt;"C",D6306&gt;0,F6306&gt;0),1,0)</f>
        <v>1</v>
      </c>
      <c r="J6306" s="7" t="n">
        <f aca="false">IF(I6306=1,D6306*F6306,0)</f>
        <v>23.6</v>
      </c>
      <c r="K6306" s="7" t="n">
        <f aca="false">YEAR(E6306)*100+MONTH(E6306)</f>
        <v>201111</v>
      </c>
      <c r="L6306" s="7" t="n">
        <f aca="false">IF(AND(A6306&lt;&gt;A6305,LEFT(A6306,1)&lt;&gt;"C"),1,0)</f>
        <v>0</v>
      </c>
    </row>
    <row r="6307" customFormat="false" ht="15" hidden="false" customHeight="false" outlineLevel="0" collapsed="false">
      <c r="A6307" s="0" t="s">
        <v>3232</v>
      </c>
      <c r="B6307" s="0" t="s">
        <v>3287</v>
      </c>
      <c r="C6307" s="0" t="s">
        <v>3288</v>
      </c>
      <c r="D6307" s="0" t="n">
        <v>8</v>
      </c>
      <c r="E6307" s="6" t="n">
        <v>40871.6256944445</v>
      </c>
      <c r="F6307" s="0" t="n">
        <v>2.95</v>
      </c>
      <c r="G6307" s="0" t="n">
        <v>14277</v>
      </c>
      <c r="H6307" s="0" t="s">
        <v>43</v>
      </c>
      <c r="I6307" s="7" t="n">
        <f aca="false">IF(AND(LEFT(A6307,1)&lt;&gt;"C",D6307&gt;0,F6307&gt;0),1,0)</f>
        <v>1</v>
      </c>
      <c r="J6307" s="7" t="n">
        <f aca="false">IF(I6307=1,D6307*F6307,0)</f>
        <v>23.6</v>
      </c>
      <c r="K6307" s="7" t="n">
        <f aca="false">YEAR(E6307)*100+MONTH(E6307)</f>
        <v>201111</v>
      </c>
      <c r="L6307" s="7" t="n">
        <f aca="false">IF(AND(A6307&lt;&gt;A6306,LEFT(A6307,1)&lt;&gt;"C"),1,0)</f>
        <v>0</v>
      </c>
    </row>
    <row r="6308" customFormat="false" ht="15" hidden="false" customHeight="false" outlineLevel="0" collapsed="false">
      <c r="A6308" s="0" t="s">
        <v>3232</v>
      </c>
      <c r="B6308" s="0" t="s">
        <v>241</v>
      </c>
      <c r="C6308" s="0" t="s">
        <v>242</v>
      </c>
      <c r="D6308" s="0" t="n">
        <v>6</v>
      </c>
      <c r="E6308" s="6" t="n">
        <v>40871.6256944445</v>
      </c>
      <c r="F6308" s="0" t="n">
        <v>1.45</v>
      </c>
      <c r="G6308" s="0" t="n">
        <v>14277</v>
      </c>
      <c r="H6308" s="0" t="s">
        <v>43</v>
      </c>
      <c r="I6308" s="7" t="n">
        <f aca="false">IF(AND(LEFT(A6308,1)&lt;&gt;"C",D6308&gt;0,F6308&gt;0),1,0)</f>
        <v>1</v>
      </c>
      <c r="J6308" s="7" t="n">
        <f aca="false">IF(I6308=1,D6308*F6308,0)</f>
        <v>8.7</v>
      </c>
      <c r="K6308" s="7" t="n">
        <f aca="false">YEAR(E6308)*100+MONTH(E6308)</f>
        <v>201111</v>
      </c>
      <c r="L6308" s="7" t="n">
        <f aca="false">IF(AND(A6308&lt;&gt;A6307,LEFT(A6308,1)&lt;&gt;"C"),1,0)</f>
        <v>0</v>
      </c>
    </row>
    <row r="6309" customFormat="false" ht="15" hidden="false" customHeight="false" outlineLevel="0" collapsed="false">
      <c r="A6309" s="0" t="s">
        <v>3232</v>
      </c>
      <c r="B6309" s="0" t="s">
        <v>1033</v>
      </c>
      <c r="C6309" s="0" t="s">
        <v>1034</v>
      </c>
      <c r="D6309" s="0" t="n">
        <v>4</v>
      </c>
      <c r="E6309" s="6" t="n">
        <v>40871.6256944445</v>
      </c>
      <c r="F6309" s="0" t="n">
        <v>4.25</v>
      </c>
      <c r="G6309" s="0" t="n">
        <v>14277</v>
      </c>
      <c r="H6309" s="0" t="s">
        <v>43</v>
      </c>
      <c r="I6309" s="7" t="n">
        <f aca="false">IF(AND(LEFT(A6309,1)&lt;&gt;"C",D6309&gt;0,F6309&gt;0),1,0)</f>
        <v>1</v>
      </c>
      <c r="J6309" s="7" t="n">
        <f aca="false">IF(I6309=1,D6309*F6309,0)</f>
        <v>17</v>
      </c>
      <c r="K6309" s="7" t="n">
        <f aca="false">YEAR(E6309)*100+MONTH(E6309)</f>
        <v>201111</v>
      </c>
      <c r="L6309" s="7" t="n">
        <f aca="false">IF(AND(A6309&lt;&gt;A6308,LEFT(A6309,1)&lt;&gt;"C"),1,0)</f>
        <v>0</v>
      </c>
    </row>
    <row r="6310" customFormat="false" ht="15" hidden="false" customHeight="false" outlineLevel="0" collapsed="false">
      <c r="A6310" s="0" t="s">
        <v>3232</v>
      </c>
      <c r="B6310" s="0" t="s">
        <v>1031</v>
      </c>
      <c r="C6310" s="0" t="s">
        <v>1032</v>
      </c>
      <c r="D6310" s="0" t="n">
        <v>2</v>
      </c>
      <c r="E6310" s="6" t="n">
        <v>40871.6256944445</v>
      </c>
      <c r="F6310" s="0" t="n">
        <v>4.25</v>
      </c>
      <c r="G6310" s="0" t="n">
        <v>14277</v>
      </c>
      <c r="H6310" s="0" t="s">
        <v>43</v>
      </c>
      <c r="I6310" s="7" t="n">
        <f aca="false">IF(AND(LEFT(A6310,1)&lt;&gt;"C",D6310&gt;0,F6310&gt;0),1,0)</f>
        <v>1</v>
      </c>
      <c r="J6310" s="7" t="n">
        <f aca="false">IF(I6310=1,D6310*F6310,0)</f>
        <v>8.5</v>
      </c>
      <c r="K6310" s="7" t="n">
        <f aca="false">YEAR(E6310)*100+MONTH(E6310)</f>
        <v>201111</v>
      </c>
      <c r="L6310" s="7" t="n">
        <f aca="false">IF(AND(A6310&lt;&gt;A6309,LEFT(A6310,1)&lt;&gt;"C"),1,0)</f>
        <v>0</v>
      </c>
    </row>
    <row r="6311" customFormat="false" ht="15" hidden="false" customHeight="false" outlineLevel="0" collapsed="false">
      <c r="A6311" s="0" t="s">
        <v>3232</v>
      </c>
      <c r="B6311" s="0" t="s">
        <v>987</v>
      </c>
      <c r="C6311" s="0" t="s">
        <v>988</v>
      </c>
      <c r="D6311" s="0" t="n">
        <v>24</v>
      </c>
      <c r="E6311" s="6" t="n">
        <v>40871.6256944445</v>
      </c>
      <c r="F6311" s="0" t="n">
        <v>0.85</v>
      </c>
      <c r="G6311" s="0" t="n">
        <v>14277</v>
      </c>
      <c r="H6311" s="0" t="s">
        <v>43</v>
      </c>
      <c r="I6311" s="7" t="n">
        <f aca="false">IF(AND(LEFT(A6311,1)&lt;&gt;"C",D6311&gt;0,F6311&gt;0),1,0)</f>
        <v>1</v>
      </c>
      <c r="J6311" s="7" t="n">
        <f aca="false">IF(I6311=1,D6311*F6311,0)</f>
        <v>20.4</v>
      </c>
      <c r="K6311" s="7" t="n">
        <f aca="false">YEAR(E6311)*100+MONTH(E6311)</f>
        <v>201111</v>
      </c>
      <c r="L6311" s="7" t="n">
        <f aca="false">IF(AND(A6311&lt;&gt;A6310,LEFT(A6311,1)&lt;&gt;"C"),1,0)</f>
        <v>0</v>
      </c>
    </row>
    <row r="6312" customFormat="false" ht="15" hidden="false" customHeight="false" outlineLevel="0" collapsed="false">
      <c r="A6312" s="0" t="s">
        <v>3232</v>
      </c>
      <c r="B6312" s="0" t="s">
        <v>3289</v>
      </c>
      <c r="C6312" s="0" t="s">
        <v>3290</v>
      </c>
      <c r="D6312" s="0" t="n">
        <v>24</v>
      </c>
      <c r="E6312" s="6" t="n">
        <v>40871.6256944445</v>
      </c>
      <c r="F6312" s="0" t="n">
        <v>0.85</v>
      </c>
      <c r="G6312" s="0" t="n">
        <v>14277</v>
      </c>
      <c r="H6312" s="0" t="s">
        <v>43</v>
      </c>
      <c r="I6312" s="7" t="n">
        <f aca="false">IF(AND(LEFT(A6312,1)&lt;&gt;"C",D6312&gt;0,F6312&gt;0),1,0)</f>
        <v>1</v>
      </c>
      <c r="J6312" s="7" t="n">
        <f aca="false">IF(I6312=1,D6312*F6312,0)</f>
        <v>20.4</v>
      </c>
      <c r="K6312" s="7" t="n">
        <f aca="false">YEAR(E6312)*100+MONTH(E6312)</f>
        <v>201111</v>
      </c>
      <c r="L6312" s="7" t="n">
        <f aca="false">IF(AND(A6312&lt;&gt;A6311,LEFT(A6312,1)&lt;&gt;"C"),1,0)</f>
        <v>0</v>
      </c>
    </row>
    <row r="6313" customFormat="false" ht="15" hidden="false" customHeight="false" outlineLevel="0" collapsed="false">
      <c r="A6313" s="0" t="s">
        <v>3232</v>
      </c>
      <c r="B6313" s="0" t="s">
        <v>3291</v>
      </c>
      <c r="C6313" s="0" t="s">
        <v>3292</v>
      </c>
      <c r="D6313" s="0" t="n">
        <v>24</v>
      </c>
      <c r="E6313" s="6" t="n">
        <v>40871.6256944445</v>
      </c>
      <c r="F6313" s="0" t="n">
        <v>0.85</v>
      </c>
      <c r="G6313" s="0" t="n">
        <v>14277</v>
      </c>
      <c r="H6313" s="0" t="s">
        <v>43</v>
      </c>
      <c r="I6313" s="7" t="n">
        <f aca="false">IF(AND(LEFT(A6313,1)&lt;&gt;"C",D6313&gt;0,F6313&gt;0),1,0)</f>
        <v>1</v>
      </c>
      <c r="J6313" s="7" t="n">
        <f aca="false">IF(I6313=1,D6313*F6313,0)</f>
        <v>20.4</v>
      </c>
      <c r="K6313" s="7" t="n">
        <f aca="false">YEAR(E6313)*100+MONTH(E6313)</f>
        <v>201111</v>
      </c>
      <c r="L6313" s="7" t="n">
        <f aca="false">IF(AND(A6313&lt;&gt;A6312,LEFT(A6313,1)&lt;&gt;"C"),1,0)</f>
        <v>0</v>
      </c>
    </row>
    <row r="6314" customFormat="false" ht="15" hidden="false" customHeight="false" outlineLevel="0" collapsed="false">
      <c r="A6314" s="0" t="s">
        <v>3232</v>
      </c>
      <c r="B6314" s="0" t="s">
        <v>1118</v>
      </c>
      <c r="C6314" s="0" t="s">
        <v>1119</v>
      </c>
      <c r="D6314" s="0" t="n">
        <v>12</v>
      </c>
      <c r="E6314" s="6" t="n">
        <v>40871.6256944445</v>
      </c>
      <c r="F6314" s="0" t="n">
        <v>1.25</v>
      </c>
      <c r="G6314" s="0" t="n">
        <v>14277</v>
      </c>
      <c r="H6314" s="0" t="s">
        <v>43</v>
      </c>
      <c r="I6314" s="7" t="n">
        <f aca="false">IF(AND(LEFT(A6314,1)&lt;&gt;"C",D6314&gt;0,F6314&gt;0),1,0)</f>
        <v>1</v>
      </c>
      <c r="J6314" s="7" t="n">
        <f aca="false">IF(I6314=1,D6314*F6314,0)</f>
        <v>15</v>
      </c>
      <c r="K6314" s="7" t="n">
        <f aca="false">YEAR(E6314)*100+MONTH(E6314)</f>
        <v>201111</v>
      </c>
      <c r="L6314" s="7" t="n">
        <f aca="false">IF(AND(A6314&lt;&gt;A6313,LEFT(A6314,1)&lt;&gt;"C"),1,0)</f>
        <v>0</v>
      </c>
    </row>
    <row r="6315" customFormat="false" ht="15" hidden="false" customHeight="false" outlineLevel="0" collapsed="false">
      <c r="A6315" s="0" t="s">
        <v>3232</v>
      </c>
      <c r="B6315" s="0" t="s">
        <v>2060</v>
      </c>
      <c r="C6315" s="0" t="s">
        <v>2061</v>
      </c>
      <c r="D6315" s="0" t="n">
        <v>12</v>
      </c>
      <c r="E6315" s="6" t="n">
        <v>40871.6256944445</v>
      </c>
      <c r="F6315" s="0" t="n">
        <v>0.42</v>
      </c>
      <c r="G6315" s="0" t="n">
        <v>14277</v>
      </c>
      <c r="H6315" s="0" t="s">
        <v>43</v>
      </c>
      <c r="I6315" s="7" t="n">
        <f aca="false">IF(AND(LEFT(A6315,1)&lt;&gt;"C",D6315&gt;0,F6315&gt;0),1,0)</f>
        <v>1</v>
      </c>
      <c r="J6315" s="7" t="n">
        <f aca="false">IF(I6315=1,D6315*F6315,0)</f>
        <v>5.04</v>
      </c>
      <c r="K6315" s="7" t="n">
        <f aca="false">YEAR(E6315)*100+MONTH(E6315)</f>
        <v>201111</v>
      </c>
      <c r="L6315" s="7" t="n">
        <f aca="false">IF(AND(A6315&lt;&gt;A6314,LEFT(A6315,1)&lt;&gt;"C"),1,0)</f>
        <v>0</v>
      </c>
    </row>
    <row r="6316" customFormat="false" ht="15" hidden="false" customHeight="false" outlineLevel="0" collapsed="false">
      <c r="A6316" s="0" t="s">
        <v>3232</v>
      </c>
      <c r="B6316" s="0" t="s">
        <v>1778</v>
      </c>
      <c r="C6316" s="0" t="s">
        <v>1779</v>
      </c>
      <c r="D6316" s="0" t="n">
        <v>6</v>
      </c>
      <c r="E6316" s="6" t="n">
        <v>40871.6256944445</v>
      </c>
      <c r="F6316" s="0" t="n">
        <v>1.25</v>
      </c>
      <c r="G6316" s="0" t="n">
        <v>14277</v>
      </c>
      <c r="H6316" s="0" t="s">
        <v>43</v>
      </c>
      <c r="I6316" s="7" t="n">
        <f aca="false">IF(AND(LEFT(A6316,1)&lt;&gt;"C",D6316&gt;0,F6316&gt;0),1,0)</f>
        <v>1</v>
      </c>
      <c r="J6316" s="7" t="n">
        <f aca="false">IF(I6316=1,D6316*F6316,0)</f>
        <v>7.5</v>
      </c>
      <c r="K6316" s="7" t="n">
        <f aca="false">YEAR(E6316)*100+MONTH(E6316)</f>
        <v>201111</v>
      </c>
      <c r="L6316" s="7" t="n">
        <f aca="false">IF(AND(A6316&lt;&gt;A6315,LEFT(A6316,1)&lt;&gt;"C"),1,0)</f>
        <v>0</v>
      </c>
    </row>
    <row r="6317" customFormat="false" ht="15" hidden="false" customHeight="false" outlineLevel="0" collapsed="false">
      <c r="A6317" s="0" t="s">
        <v>3232</v>
      </c>
      <c r="B6317" s="0" t="s">
        <v>263</v>
      </c>
      <c r="C6317" s="0" t="s">
        <v>264</v>
      </c>
      <c r="D6317" s="0" t="n">
        <v>12</v>
      </c>
      <c r="E6317" s="6" t="n">
        <v>40871.6256944445</v>
      </c>
      <c r="F6317" s="0" t="n">
        <v>0.42</v>
      </c>
      <c r="G6317" s="0" t="n">
        <v>14277</v>
      </c>
      <c r="H6317" s="0" t="s">
        <v>43</v>
      </c>
      <c r="I6317" s="7" t="n">
        <f aca="false">IF(AND(LEFT(A6317,1)&lt;&gt;"C",D6317&gt;0,F6317&gt;0),1,0)</f>
        <v>1</v>
      </c>
      <c r="J6317" s="7" t="n">
        <f aca="false">IF(I6317=1,D6317*F6317,0)</f>
        <v>5.04</v>
      </c>
      <c r="K6317" s="7" t="n">
        <f aca="false">YEAR(E6317)*100+MONTH(E6317)</f>
        <v>201111</v>
      </c>
      <c r="L6317" s="7" t="n">
        <f aca="false">IF(AND(A6317&lt;&gt;A6316,LEFT(A6317,1)&lt;&gt;"C"),1,0)</f>
        <v>0</v>
      </c>
    </row>
    <row r="6318" customFormat="false" ht="15" hidden="false" customHeight="false" outlineLevel="0" collapsed="false">
      <c r="A6318" s="0" t="s">
        <v>3232</v>
      </c>
      <c r="B6318" s="0" t="s">
        <v>2235</v>
      </c>
      <c r="C6318" s="0" t="s">
        <v>2236</v>
      </c>
      <c r="D6318" s="0" t="n">
        <v>3</v>
      </c>
      <c r="E6318" s="6" t="n">
        <v>40871.6256944445</v>
      </c>
      <c r="F6318" s="0" t="n">
        <v>2.08</v>
      </c>
      <c r="G6318" s="0" t="n">
        <v>14277</v>
      </c>
      <c r="H6318" s="0" t="s">
        <v>43</v>
      </c>
      <c r="I6318" s="7" t="n">
        <f aca="false">IF(AND(LEFT(A6318,1)&lt;&gt;"C",D6318&gt;0,F6318&gt;0),1,0)</f>
        <v>1</v>
      </c>
      <c r="J6318" s="7" t="n">
        <f aca="false">IF(I6318=1,D6318*F6318,0)</f>
        <v>6.24</v>
      </c>
      <c r="K6318" s="7" t="n">
        <f aca="false">YEAR(E6318)*100+MONTH(E6318)</f>
        <v>201111</v>
      </c>
      <c r="L6318" s="7" t="n">
        <f aca="false">IF(AND(A6318&lt;&gt;A6317,LEFT(A6318,1)&lt;&gt;"C"),1,0)</f>
        <v>0</v>
      </c>
    </row>
    <row r="6319" customFormat="false" ht="15" hidden="false" customHeight="false" outlineLevel="0" collapsed="false">
      <c r="A6319" s="0" t="s">
        <v>3232</v>
      </c>
      <c r="B6319" s="0" t="s">
        <v>517</v>
      </c>
      <c r="C6319" s="0" t="s">
        <v>518</v>
      </c>
      <c r="D6319" s="0" t="n">
        <v>5</v>
      </c>
      <c r="E6319" s="6" t="n">
        <v>40871.6256944445</v>
      </c>
      <c r="F6319" s="0" t="n">
        <v>2.08</v>
      </c>
      <c r="G6319" s="0" t="n">
        <v>14277</v>
      </c>
      <c r="H6319" s="0" t="s">
        <v>43</v>
      </c>
      <c r="I6319" s="7" t="n">
        <f aca="false">IF(AND(LEFT(A6319,1)&lt;&gt;"C",D6319&gt;0,F6319&gt;0),1,0)</f>
        <v>1</v>
      </c>
      <c r="J6319" s="7" t="n">
        <f aca="false">IF(I6319=1,D6319*F6319,0)</f>
        <v>10.4</v>
      </c>
      <c r="K6319" s="7" t="n">
        <f aca="false">YEAR(E6319)*100+MONTH(E6319)</f>
        <v>201111</v>
      </c>
      <c r="L6319" s="7" t="n">
        <f aca="false">IF(AND(A6319&lt;&gt;A6318,LEFT(A6319,1)&lt;&gt;"C"),1,0)</f>
        <v>0</v>
      </c>
    </row>
    <row r="6320" customFormat="false" ht="15" hidden="false" customHeight="false" outlineLevel="0" collapsed="false">
      <c r="A6320" s="0" t="s">
        <v>3232</v>
      </c>
      <c r="B6320" s="0" t="s">
        <v>2804</v>
      </c>
      <c r="C6320" s="0" t="s">
        <v>2805</v>
      </c>
      <c r="D6320" s="0" t="n">
        <v>4</v>
      </c>
      <c r="E6320" s="6" t="n">
        <v>40871.6256944445</v>
      </c>
      <c r="F6320" s="0" t="n">
        <v>2.08</v>
      </c>
      <c r="G6320" s="0" t="n">
        <v>14277</v>
      </c>
      <c r="H6320" s="0" t="s">
        <v>43</v>
      </c>
      <c r="I6320" s="7" t="n">
        <f aca="false">IF(AND(LEFT(A6320,1)&lt;&gt;"C",D6320&gt;0,F6320&gt;0),1,0)</f>
        <v>1</v>
      </c>
      <c r="J6320" s="7" t="n">
        <f aca="false">IF(I6320=1,D6320*F6320,0)</f>
        <v>8.32</v>
      </c>
      <c r="K6320" s="7" t="n">
        <f aca="false">YEAR(E6320)*100+MONTH(E6320)</f>
        <v>201111</v>
      </c>
      <c r="L6320" s="7" t="n">
        <f aca="false">IF(AND(A6320&lt;&gt;A6319,LEFT(A6320,1)&lt;&gt;"C"),1,0)</f>
        <v>0</v>
      </c>
    </row>
    <row r="6321" customFormat="false" ht="15" hidden="false" customHeight="false" outlineLevel="0" collapsed="false">
      <c r="A6321" s="0" t="s">
        <v>3232</v>
      </c>
      <c r="B6321" s="0" t="s">
        <v>1386</v>
      </c>
      <c r="C6321" s="0" t="s">
        <v>1387</v>
      </c>
      <c r="D6321" s="0" t="n">
        <v>6</v>
      </c>
      <c r="E6321" s="6" t="n">
        <v>40871.6256944445</v>
      </c>
      <c r="F6321" s="0" t="n">
        <v>2.08</v>
      </c>
      <c r="G6321" s="0" t="n">
        <v>14277</v>
      </c>
      <c r="H6321" s="0" t="s">
        <v>43</v>
      </c>
      <c r="I6321" s="7" t="n">
        <f aca="false">IF(AND(LEFT(A6321,1)&lt;&gt;"C",D6321&gt;0,F6321&gt;0),1,0)</f>
        <v>1</v>
      </c>
      <c r="J6321" s="7" t="n">
        <f aca="false">IF(I6321=1,D6321*F6321,0)</f>
        <v>12.48</v>
      </c>
      <c r="K6321" s="7" t="n">
        <f aca="false">YEAR(E6321)*100+MONTH(E6321)</f>
        <v>201111</v>
      </c>
      <c r="L6321" s="7" t="n">
        <f aca="false">IF(AND(A6321&lt;&gt;A6320,LEFT(A6321,1)&lt;&gt;"C"),1,0)</f>
        <v>0</v>
      </c>
    </row>
    <row r="6322" customFormat="false" ht="15" hidden="false" customHeight="false" outlineLevel="0" collapsed="false">
      <c r="A6322" s="0" t="s">
        <v>3232</v>
      </c>
      <c r="B6322" s="0" t="s">
        <v>563</v>
      </c>
      <c r="C6322" s="0" t="s">
        <v>564</v>
      </c>
      <c r="D6322" s="0" t="n">
        <v>3</v>
      </c>
      <c r="E6322" s="6" t="n">
        <v>40871.6256944445</v>
      </c>
      <c r="F6322" s="0" t="n">
        <v>2.08</v>
      </c>
      <c r="G6322" s="0" t="n">
        <v>14277</v>
      </c>
      <c r="H6322" s="0" t="s">
        <v>43</v>
      </c>
      <c r="I6322" s="7" t="n">
        <f aca="false">IF(AND(LEFT(A6322,1)&lt;&gt;"C",D6322&gt;0,F6322&gt;0),1,0)</f>
        <v>1</v>
      </c>
      <c r="J6322" s="7" t="n">
        <f aca="false">IF(I6322=1,D6322*F6322,0)</f>
        <v>6.24</v>
      </c>
      <c r="K6322" s="7" t="n">
        <f aca="false">YEAR(E6322)*100+MONTH(E6322)</f>
        <v>201111</v>
      </c>
      <c r="L6322" s="7" t="n">
        <f aca="false">IF(AND(A6322&lt;&gt;A6321,LEFT(A6322,1)&lt;&gt;"C"),1,0)</f>
        <v>0</v>
      </c>
    </row>
    <row r="6323" customFormat="false" ht="15" hidden="false" customHeight="false" outlineLevel="0" collapsed="false">
      <c r="A6323" s="0" t="s">
        <v>3232</v>
      </c>
      <c r="B6323" s="0" t="s">
        <v>3293</v>
      </c>
      <c r="C6323" s="0" t="s">
        <v>3294</v>
      </c>
      <c r="D6323" s="0" t="n">
        <v>3</v>
      </c>
      <c r="E6323" s="6" t="n">
        <v>40871.6256944445</v>
      </c>
      <c r="F6323" s="0" t="n">
        <v>5.95</v>
      </c>
      <c r="G6323" s="0" t="n">
        <v>14277</v>
      </c>
      <c r="H6323" s="0" t="s">
        <v>43</v>
      </c>
      <c r="I6323" s="7" t="n">
        <f aca="false">IF(AND(LEFT(A6323,1)&lt;&gt;"C",D6323&gt;0,F6323&gt;0),1,0)</f>
        <v>1</v>
      </c>
      <c r="J6323" s="7" t="n">
        <f aca="false">IF(I6323=1,D6323*F6323,0)</f>
        <v>17.85</v>
      </c>
      <c r="K6323" s="7" t="n">
        <f aca="false">YEAR(E6323)*100+MONTH(E6323)</f>
        <v>201111</v>
      </c>
      <c r="L6323" s="7" t="n">
        <f aca="false">IF(AND(A6323&lt;&gt;A6322,LEFT(A6323,1)&lt;&gt;"C"),1,0)</f>
        <v>0</v>
      </c>
    </row>
    <row r="6324" customFormat="false" ht="15" hidden="false" customHeight="false" outlineLevel="0" collapsed="false">
      <c r="A6324" s="0" t="s">
        <v>3232</v>
      </c>
      <c r="B6324" s="0" t="s">
        <v>2104</v>
      </c>
      <c r="C6324" s="0" t="s">
        <v>2105</v>
      </c>
      <c r="D6324" s="0" t="n">
        <v>2</v>
      </c>
      <c r="E6324" s="6" t="n">
        <v>40871.6256944445</v>
      </c>
      <c r="F6324" s="0" t="n">
        <v>5.95</v>
      </c>
      <c r="G6324" s="0" t="n">
        <v>14277</v>
      </c>
      <c r="H6324" s="0" t="s">
        <v>43</v>
      </c>
      <c r="I6324" s="7" t="n">
        <f aca="false">IF(AND(LEFT(A6324,1)&lt;&gt;"C",D6324&gt;0,F6324&gt;0),1,0)</f>
        <v>1</v>
      </c>
      <c r="J6324" s="7" t="n">
        <f aca="false">IF(I6324=1,D6324*F6324,0)</f>
        <v>11.9</v>
      </c>
      <c r="K6324" s="7" t="n">
        <f aca="false">YEAR(E6324)*100+MONTH(E6324)</f>
        <v>201111</v>
      </c>
      <c r="L6324" s="7" t="n">
        <f aca="false">IF(AND(A6324&lt;&gt;A6323,LEFT(A6324,1)&lt;&gt;"C"),1,0)</f>
        <v>0</v>
      </c>
    </row>
    <row r="6325" customFormat="false" ht="15" hidden="false" customHeight="false" outlineLevel="0" collapsed="false">
      <c r="A6325" s="0" t="s">
        <v>3232</v>
      </c>
      <c r="B6325" s="0" t="s">
        <v>1273</v>
      </c>
      <c r="C6325" s="0" t="s">
        <v>1274</v>
      </c>
      <c r="D6325" s="0" t="n">
        <v>12</v>
      </c>
      <c r="E6325" s="6" t="n">
        <v>40871.6256944445</v>
      </c>
      <c r="F6325" s="0" t="n">
        <v>1.45</v>
      </c>
      <c r="G6325" s="0" t="n">
        <v>14277</v>
      </c>
      <c r="H6325" s="0" t="s">
        <v>43</v>
      </c>
      <c r="I6325" s="7" t="n">
        <f aca="false">IF(AND(LEFT(A6325,1)&lt;&gt;"C",D6325&gt;0,F6325&gt;0),1,0)</f>
        <v>1</v>
      </c>
      <c r="J6325" s="7" t="n">
        <f aca="false">IF(I6325=1,D6325*F6325,0)</f>
        <v>17.4</v>
      </c>
      <c r="K6325" s="7" t="n">
        <f aca="false">YEAR(E6325)*100+MONTH(E6325)</f>
        <v>201111</v>
      </c>
      <c r="L6325" s="7" t="n">
        <f aca="false">IF(AND(A6325&lt;&gt;A6324,LEFT(A6325,1)&lt;&gt;"C"),1,0)</f>
        <v>0</v>
      </c>
    </row>
    <row r="6326" customFormat="false" ht="15" hidden="false" customHeight="false" outlineLevel="0" collapsed="false">
      <c r="A6326" s="0" t="s">
        <v>3232</v>
      </c>
      <c r="B6326" s="0" t="s">
        <v>2222</v>
      </c>
      <c r="C6326" s="0" t="s">
        <v>2223</v>
      </c>
      <c r="D6326" s="0" t="n">
        <v>4</v>
      </c>
      <c r="E6326" s="6" t="n">
        <v>40871.6256944445</v>
      </c>
      <c r="F6326" s="0" t="n">
        <v>3.29</v>
      </c>
      <c r="G6326" s="0" t="n">
        <v>14277</v>
      </c>
      <c r="H6326" s="0" t="s">
        <v>43</v>
      </c>
      <c r="I6326" s="7" t="n">
        <f aca="false">IF(AND(LEFT(A6326,1)&lt;&gt;"C",D6326&gt;0,F6326&gt;0),1,0)</f>
        <v>1</v>
      </c>
      <c r="J6326" s="7" t="n">
        <f aca="false">IF(I6326=1,D6326*F6326,0)</f>
        <v>13.16</v>
      </c>
      <c r="K6326" s="7" t="n">
        <f aca="false">YEAR(E6326)*100+MONTH(E6326)</f>
        <v>201111</v>
      </c>
      <c r="L6326" s="7" t="n">
        <f aca="false">IF(AND(A6326&lt;&gt;A6325,LEFT(A6326,1)&lt;&gt;"C"),1,0)</f>
        <v>0</v>
      </c>
    </row>
    <row r="6327" customFormat="false" ht="15" hidden="false" customHeight="false" outlineLevel="0" collapsed="false">
      <c r="A6327" s="0" t="s">
        <v>3232</v>
      </c>
      <c r="B6327" s="0" t="s">
        <v>2749</v>
      </c>
      <c r="C6327" s="0" t="s">
        <v>2750</v>
      </c>
      <c r="D6327" s="0" t="n">
        <v>24</v>
      </c>
      <c r="E6327" s="6" t="n">
        <v>40871.6256944445</v>
      </c>
      <c r="F6327" s="0" t="n">
        <v>1.25</v>
      </c>
      <c r="G6327" s="0" t="n">
        <v>14277</v>
      </c>
      <c r="H6327" s="0" t="s">
        <v>43</v>
      </c>
      <c r="I6327" s="7" t="n">
        <f aca="false">IF(AND(LEFT(A6327,1)&lt;&gt;"C",D6327&gt;0,F6327&gt;0),1,0)</f>
        <v>1</v>
      </c>
      <c r="J6327" s="7" t="n">
        <f aca="false">IF(I6327=1,D6327*F6327,0)</f>
        <v>30</v>
      </c>
      <c r="K6327" s="7" t="n">
        <f aca="false">YEAR(E6327)*100+MONTH(E6327)</f>
        <v>201111</v>
      </c>
      <c r="L6327" s="7" t="n">
        <f aca="false">IF(AND(A6327&lt;&gt;A6326,LEFT(A6327,1)&lt;&gt;"C"),1,0)</f>
        <v>0</v>
      </c>
    </row>
    <row r="6328" customFormat="false" ht="15" hidden="false" customHeight="false" outlineLevel="0" collapsed="false">
      <c r="A6328" s="0" t="s">
        <v>3232</v>
      </c>
      <c r="B6328" s="0" t="s">
        <v>113</v>
      </c>
      <c r="C6328" s="0" t="s">
        <v>114</v>
      </c>
      <c r="D6328" s="0" t="n">
        <v>24</v>
      </c>
      <c r="E6328" s="6" t="n">
        <v>40871.6256944445</v>
      </c>
      <c r="F6328" s="0" t="n">
        <v>1.25</v>
      </c>
      <c r="G6328" s="0" t="n">
        <v>14277</v>
      </c>
      <c r="H6328" s="0" t="s">
        <v>43</v>
      </c>
      <c r="I6328" s="7" t="n">
        <f aca="false">IF(AND(LEFT(A6328,1)&lt;&gt;"C",D6328&gt;0,F6328&gt;0),1,0)</f>
        <v>1</v>
      </c>
      <c r="J6328" s="7" t="n">
        <f aca="false">IF(I6328=1,D6328*F6328,0)</f>
        <v>30</v>
      </c>
      <c r="K6328" s="7" t="n">
        <f aca="false">YEAR(E6328)*100+MONTH(E6328)</f>
        <v>201111</v>
      </c>
      <c r="L6328" s="7" t="n">
        <f aca="false">IF(AND(A6328&lt;&gt;A6327,LEFT(A6328,1)&lt;&gt;"C"),1,0)</f>
        <v>0</v>
      </c>
    </row>
    <row r="6329" customFormat="false" ht="15" hidden="false" customHeight="false" outlineLevel="0" collapsed="false">
      <c r="A6329" s="0" t="s">
        <v>3232</v>
      </c>
      <c r="B6329" s="0" t="s">
        <v>1529</v>
      </c>
      <c r="C6329" s="0" t="s">
        <v>1530</v>
      </c>
      <c r="D6329" s="0" t="n">
        <v>30</v>
      </c>
      <c r="E6329" s="6" t="n">
        <v>40871.6256944445</v>
      </c>
      <c r="F6329" s="0" t="n">
        <v>1.95</v>
      </c>
      <c r="G6329" s="0" t="n">
        <v>14277</v>
      </c>
      <c r="H6329" s="0" t="s">
        <v>43</v>
      </c>
      <c r="I6329" s="7" t="n">
        <f aca="false">IF(AND(LEFT(A6329,1)&lt;&gt;"C",D6329&gt;0,F6329&gt;0),1,0)</f>
        <v>1</v>
      </c>
      <c r="J6329" s="7" t="n">
        <f aca="false">IF(I6329=1,D6329*F6329,0)</f>
        <v>58.5</v>
      </c>
      <c r="K6329" s="7" t="n">
        <f aca="false">YEAR(E6329)*100+MONTH(E6329)</f>
        <v>201111</v>
      </c>
      <c r="L6329" s="7" t="n">
        <f aca="false">IF(AND(A6329&lt;&gt;A6328,LEFT(A6329,1)&lt;&gt;"C"),1,0)</f>
        <v>0</v>
      </c>
    </row>
    <row r="6330" customFormat="false" ht="15" hidden="false" customHeight="false" outlineLevel="0" collapsed="false">
      <c r="A6330" s="0" t="s">
        <v>3232</v>
      </c>
      <c r="B6330" s="0" t="s">
        <v>62</v>
      </c>
      <c r="C6330" s="0" t="s">
        <v>63</v>
      </c>
      <c r="D6330" s="0" t="n">
        <v>6</v>
      </c>
      <c r="E6330" s="6" t="n">
        <v>40871.6256944445</v>
      </c>
      <c r="F6330" s="0" t="n">
        <v>2.08</v>
      </c>
      <c r="G6330" s="0" t="n">
        <v>14277</v>
      </c>
      <c r="H6330" s="0" t="s">
        <v>43</v>
      </c>
      <c r="I6330" s="7" t="n">
        <f aca="false">IF(AND(LEFT(A6330,1)&lt;&gt;"C",D6330&gt;0,F6330&gt;0),1,0)</f>
        <v>1</v>
      </c>
      <c r="J6330" s="7" t="n">
        <f aca="false">IF(I6330=1,D6330*F6330,0)</f>
        <v>12.48</v>
      </c>
      <c r="K6330" s="7" t="n">
        <f aca="false">YEAR(E6330)*100+MONTH(E6330)</f>
        <v>201111</v>
      </c>
      <c r="L6330" s="7" t="n">
        <f aca="false">IF(AND(A6330&lt;&gt;A6329,LEFT(A6330,1)&lt;&gt;"C"),1,0)</f>
        <v>0</v>
      </c>
    </row>
    <row r="6331" customFormat="false" ht="15" hidden="false" customHeight="false" outlineLevel="0" collapsed="false">
      <c r="A6331" s="0" t="s">
        <v>3232</v>
      </c>
      <c r="B6331" s="0" t="s">
        <v>31</v>
      </c>
      <c r="C6331" s="0" t="s">
        <v>32</v>
      </c>
      <c r="D6331" s="0" t="n">
        <v>8</v>
      </c>
      <c r="E6331" s="6" t="n">
        <v>40871.6256944445</v>
      </c>
      <c r="F6331" s="0" t="n">
        <v>8.95</v>
      </c>
      <c r="G6331" s="0" t="n">
        <v>14277</v>
      </c>
      <c r="H6331" s="0" t="s">
        <v>43</v>
      </c>
      <c r="I6331" s="7" t="n">
        <f aca="false">IF(AND(LEFT(A6331,1)&lt;&gt;"C",D6331&gt;0,F6331&gt;0),1,0)</f>
        <v>1</v>
      </c>
      <c r="J6331" s="7" t="n">
        <f aca="false">IF(I6331=1,D6331*F6331,0)</f>
        <v>71.6</v>
      </c>
      <c r="K6331" s="7" t="n">
        <f aca="false">YEAR(E6331)*100+MONTH(E6331)</f>
        <v>201111</v>
      </c>
      <c r="L6331" s="7" t="n">
        <f aca="false">IF(AND(A6331&lt;&gt;A6330,LEFT(A6331,1)&lt;&gt;"C"),1,0)</f>
        <v>0</v>
      </c>
    </row>
    <row r="6332" customFormat="false" ht="15" hidden="false" customHeight="false" outlineLevel="0" collapsed="false">
      <c r="A6332" s="0" t="s">
        <v>3232</v>
      </c>
      <c r="B6332" s="0" t="s">
        <v>3295</v>
      </c>
      <c r="C6332" s="0" t="s">
        <v>3296</v>
      </c>
      <c r="D6332" s="0" t="n">
        <v>1</v>
      </c>
      <c r="E6332" s="6" t="n">
        <v>40871.6256944445</v>
      </c>
      <c r="F6332" s="0" t="n">
        <v>9.95</v>
      </c>
      <c r="G6332" s="0" t="n">
        <v>14277</v>
      </c>
      <c r="H6332" s="0" t="s">
        <v>43</v>
      </c>
      <c r="I6332" s="7" t="n">
        <f aca="false">IF(AND(LEFT(A6332,1)&lt;&gt;"C",D6332&gt;0,F6332&gt;0),1,0)</f>
        <v>1</v>
      </c>
      <c r="J6332" s="7" t="n">
        <f aca="false">IF(I6332=1,D6332*F6332,0)</f>
        <v>9.95</v>
      </c>
      <c r="K6332" s="7" t="n">
        <f aca="false">YEAR(E6332)*100+MONTH(E6332)</f>
        <v>201111</v>
      </c>
      <c r="L6332" s="7" t="n">
        <f aca="false">IF(AND(A6332&lt;&gt;A6331,LEFT(A6332,1)&lt;&gt;"C"),1,0)</f>
        <v>0</v>
      </c>
    </row>
    <row r="6333" customFormat="false" ht="15" hidden="false" customHeight="false" outlineLevel="0" collapsed="false">
      <c r="A6333" s="0" t="s">
        <v>3232</v>
      </c>
      <c r="B6333" s="0" t="s">
        <v>273</v>
      </c>
      <c r="C6333" s="0" t="s">
        <v>274</v>
      </c>
      <c r="D6333" s="0" t="n">
        <v>2</v>
      </c>
      <c r="E6333" s="6" t="n">
        <v>40871.6256944445</v>
      </c>
      <c r="F6333" s="0" t="n">
        <v>4.95</v>
      </c>
      <c r="G6333" s="0" t="n">
        <v>14277</v>
      </c>
      <c r="H6333" s="0" t="s">
        <v>43</v>
      </c>
      <c r="I6333" s="7" t="n">
        <f aca="false">IF(AND(LEFT(A6333,1)&lt;&gt;"C",D6333&gt;0,F6333&gt;0),1,0)</f>
        <v>1</v>
      </c>
      <c r="J6333" s="7" t="n">
        <f aca="false">IF(I6333=1,D6333*F6333,0)</f>
        <v>9.9</v>
      </c>
      <c r="K6333" s="7" t="n">
        <f aca="false">YEAR(E6333)*100+MONTH(E6333)</f>
        <v>201111</v>
      </c>
      <c r="L6333" s="7" t="n">
        <f aca="false">IF(AND(A6333&lt;&gt;A6332,LEFT(A6333,1)&lt;&gt;"C"),1,0)</f>
        <v>0</v>
      </c>
    </row>
    <row r="6334" customFormat="false" ht="15" hidden="false" customHeight="false" outlineLevel="0" collapsed="false">
      <c r="A6334" s="0" t="s">
        <v>3232</v>
      </c>
      <c r="B6334" s="0" t="s">
        <v>1323</v>
      </c>
      <c r="C6334" s="0" t="s">
        <v>1324</v>
      </c>
      <c r="D6334" s="0" t="n">
        <v>4</v>
      </c>
      <c r="E6334" s="6" t="n">
        <v>40871.6256944445</v>
      </c>
      <c r="F6334" s="0" t="n">
        <v>4.95</v>
      </c>
      <c r="G6334" s="0" t="n">
        <v>14277</v>
      </c>
      <c r="H6334" s="0" t="s">
        <v>43</v>
      </c>
      <c r="I6334" s="7" t="n">
        <f aca="false">IF(AND(LEFT(A6334,1)&lt;&gt;"C",D6334&gt;0,F6334&gt;0),1,0)</f>
        <v>1</v>
      </c>
      <c r="J6334" s="7" t="n">
        <f aca="false">IF(I6334=1,D6334*F6334,0)</f>
        <v>19.8</v>
      </c>
      <c r="K6334" s="7" t="n">
        <f aca="false">YEAR(E6334)*100+MONTH(E6334)</f>
        <v>201111</v>
      </c>
      <c r="L6334" s="7" t="n">
        <f aca="false">IF(AND(A6334&lt;&gt;A6333,LEFT(A6334,1)&lt;&gt;"C"),1,0)</f>
        <v>0</v>
      </c>
    </row>
    <row r="6335" customFormat="false" ht="15" hidden="false" customHeight="false" outlineLevel="0" collapsed="false">
      <c r="A6335" s="0" t="s">
        <v>3232</v>
      </c>
      <c r="B6335" s="0" t="s">
        <v>1128</v>
      </c>
      <c r="C6335" s="0" t="s">
        <v>1129</v>
      </c>
      <c r="D6335" s="0" t="n">
        <v>2</v>
      </c>
      <c r="E6335" s="6" t="n">
        <v>40871.6256944445</v>
      </c>
      <c r="F6335" s="0" t="n">
        <v>8.5</v>
      </c>
      <c r="G6335" s="0" t="n">
        <v>14277</v>
      </c>
      <c r="H6335" s="0" t="s">
        <v>43</v>
      </c>
      <c r="I6335" s="7" t="n">
        <f aca="false">IF(AND(LEFT(A6335,1)&lt;&gt;"C",D6335&gt;0,F6335&gt;0),1,0)</f>
        <v>1</v>
      </c>
      <c r="J6335" s="7" t="n">
        <f aca="false">IF(I6335=1,D6335*F6335,0)</f>
        <v>17</v>
      </c>
      <c r="K6335" s="7" t="n">
        <f aca="false">YEAR(E6335)*100+MONTH(E6335)</f>
        <v>201111</v>
      </c>
      <c r="L6335" s="7" t="n">
        <f aca="false">IF(AND(A6335&lt;&gt;A6334,LEFT(A6335,1)&lt;&gt;"C"),1,0)</f>
        <v>0</v>
      </c>
    </row>
    <row r="6336" customFormat="false" ht="15" hidden="false" customHeight="false" outlineLevel="0" collapsed="false">
      <c r="A6336" s="0" t="s">
        <v>3232</v>
      </c>
      <c r="B6336" s="0" t="s">
        <v>1057</v>
      </c>
      <c r="C6336" s="0" t="s">
        <v>1058</v>
      </c>
      <c r="D6336" s="0" t="n">
        <v>1</v>
      </c>
      <c r="E6336" s="6" t="n">
        <v>40871.6256944445</v>
      </c>
      <c r="F6336" s="0" t="n">
        <v>9.95</v>
      </c>
      <c r="G6336" s="0" t="n">
        <v>14277</v>
      </c>
      <c r="H6336" s="0" t="s">
        <v>43</v>
      </c>
      <c r="I6336" s="7" t="n">
        <f aca="false">IF(AND(LEFT(A6336,1)&lt;&gt;"C",D6336&gt;0,F6336&gt;0),1,0)</f>
        <v>1</v>
      </c>
      <c r="J6336" s="7" t="n">
        <f aca="false">IF(I6336=1,D6336*F6336,0)</f>
        <v>9.95</v>
      </c>
      <c r="K6336" s="7" t="n">
        <f aca="false">YEAR(E6336)*100+MONTH(E6336)</f>
        <v>201111</v>
      </c>
      <c r="L6336" s="7" t="n">
        <f aca="false">IF(AND(A6336&lt;&gt;A6335,LEFT(A6336,1)&lt;&gt;"C"),1,0)</f>
        <v>0</v>
      </c>
    </row>
    <row r="6337" customFormat="false" ht="15" hidden="false" customHeight="false" outlineLevel="0" collapsed="false">
      <c r="A6337" s="0" t="s">
        <v>3232</v>
      </c>
      <c r="B6337" s="0" t="s">
        <v>1126</v>
      </c>
      <c r="C6337" s="0" t="s">
        <v>1127</v>
      </c>
      <c r="D6337" s="0" t="n">
        <v>2</v>
      </c>
      <c r="E6337" s="6" t="n">
        <v>40871.6256944445</v>
      </c>
      <c r="F6337" s="0" t="n">
        <v>8.5</v>
      </c>
      <c r="G6337" s="0" t="n">
        <v>14277</v>
      </c>
      <c r="H6337" s="0" t="s">
        <v>43</v>
      </c>
      <c r="I6337" s="7" t="n">
        <f aca="false">IF(AND(LEFT(A6337,1)&lt;&gt;"C",D6337&gt;0,F6337&gt;0),1,0)</f>
        <v>1</v>
      </c>
      <c r="J6337" s="7" t="n">
        <f aca="false">IF(I6337=1,D6337*F6337,0)</f>
        <v>17</v>
      </c>
      <c r="K6337" s="7" t="n">
        <f aca="false">YEAR(E6337)*100+MONTH(E6337)</f>
        <v>201111</v>
      </c>
      <c r="L6337" s="7" t="n">
        <f aca="false">IF(AND(A6337&lt;&gt;A6336,LEFT(A6337,1)&lt;&gt;"C"),1,0)</f>
        <v>0</v>
      </c>
    </row>
    <row r="6338" customFormat="false" ht="15" hidden="false" customHeight="false" outlineLevel="0" collapsed="false">
      <c r="A6338" s="0" t="s">
        <v>3232</v>
      </c>
      <c r="B6338" s="0" t="s">
        <v>3297</v>
      </c>
      <c r="C6338" s="0" t="s">
        <v>3298</v>
      </c>
      <c r="D6338" s="0" t="n">
        <v>2</v>
      </c>
      <c r="E6338" s="6" t="n">
        <v>40871.6256944445</v>
      </c>
      <c r="F6338" s="0" t="n">
        <v>8.25</v>
      </c>
      <c r="G6338" s="0" t="n">
        <v>14277</v>
      </c>
      <c r="H6338" s="0" t="s">
        <v>43</v>
      </c>
      <c r="I6338" s="7" t="n">
        <f aca="false">IF(AND(LEFT(A6338,1)&lt;&gt;"C",D6338&gt;0,F6338&gt;0),1,0)</f>
        <v>1</v>
      </c>
      <c r="J6338" s="7" t="n">
        <f aca="false">IF(I6338=1,D6338*F6338,0)</f>
        <v>16.5</v>
      </c>
      <c r="K6338" s="7" t="n">
        <f aca="false">YEAR(E6338)*100+MONTH(E6338)</f>
        <v>201111</v>
      </c>
      <c r="L6338" s="7" t="n">
        <f aca="false">IF(AND(A6338&lt;&gt;A6337,LEFT(A6338,1)&lt;&gt;"C"),1,0)</f>
        <v>0</v>
      </c>
    </row>
    <row r="6339" customFormat="false" ht="15" hidden="false" customHeight="false" outlineLevel="0" collapsed="false">
      <c r="A6339" s="0" t="s">
        <v>3232</v>
      </c>
      <c r="B6339" s="0" t="s">
        <v>3299</v>
      </c>
      <c r="C6339" s="0" t="s">
        <v>3300</v>
      </c>
      <c r="D6339" s="0" t="n">
        <v>4</v>
      </c>
      <c r="E6339" s="6" t="n">
        <v>40871.6256944445</v>
      </c>
      <c r="F6339" s="0" t="n">
        <v>8.25</v>
      </c>
      <c r="G6339" s="0" t="n">
        <v>14277</v>
      </c>
      <c r="H6339" s="0" t="s">
        <v>43</v>
      </c>
      <c r="I6339" s="7" t="n">
        <f aca="false">IF(AND(LEFT(A6339,1)&lt;&gt;"C",D6339&gt;0,F6339&gt;0),1,0)</f>
        <v>1</v>
      </c>
      <c r="J6339" s="7" t="n">
        <f aca="false">IF(I6339=1,D6339*F6339,0)</f>
        <v>33</v>
      </c>
      <c r="K6339" s="7" t="n">
        <f aca="false">YEAR(E6339)*100+MONTH(E6339)</f>
        <v>201111</v>
      </c>
      <c r="L6339" s="7" t="n">
        <f aca="false">IF(AND(A6339&lt;&gt;A6338,LEFT(A6339,1)&lt;&gt;"C"),1,0)</f>
        <v>0</v>
      </c>
    </row>
    <row r="6340" customFormat="false" ht="15" hidden="false" customHeight="false" outlineLevel="0" collapsed="false">
      <c r="A6340" s="0" t="s">
        <v>3301</v>
      </c>
      <c r="B6340" s="0" t="s">
        <v>123</v>
      </c>
      <c r="C6340" s="0" t="s">
        <v>124</v>
      </c>
      <c r="D6340" s="0" t="n">
        <v>6</v>
      </c>
      <c r="E6340" s="6" t="n">
        <v>40871.6263888889</v>
      </c>
      <c r="F6340" s="0" t="n">
        <v>2.95</v>
      </c>
      <c r="G6340" s="0" t="n">
        <v>12720</v>
      </c>
      <c r="H6340" s="0" t="s">
        <v>33</v>
      </c>
      <c r="I6340" s="7" t="n">
        <f aca="false">IF(AND(LEFT(A6340,1)&lt;&gt;"C",D6340&gt;0,F6340&gt;0),1,0)</f>
        <v>1</v>
      </c>
      <c r="J6340" s="7" t="n">
        <f aca="false">IF(I6340=1,D6340*F6340,0)</f>
        <v>17.7</v>
      </c>
      <c r="K6340" s="7" t="n">
        <f aca="false">YEAR(E6340)*100+MONTH(E6340)</f>
        <v>201111</v>
      </c>
      <c r="L6340" s="7" t="n">
        <f aca="false">IF(AND(A6340&lt;&gt;A6339,LEFT(A6340,1)&lt;&gt;"C"),1,0)</f>
        <v>1</v>
      </c>
    </row>
    <row r="6341" customFormat="false" ht="15" hidden="false" customHeight="false" outlineLevel="0" collapsed="false">
      <c r="A6341" s="0" t="s">
        <v>3301</v>
      </c>
      <c r="B6341" s="0" t="s">
        <v>151</v>
      </c>
      <c r="C6341" s="0" t="s">
        <v>152</v>
      </c>
      <c r="D6341" s="0" t="n">
        <v>12</v>
      </c>
      <c r="E6341" s="6" t="n">
        <v>40871.6263888889</v>
      </c>
      <c r="F6341" s="0" t="n">
        <v>0.85</v>
      </c>
      <c r="G6341" s="0" t="n">
        <v>12720</v>
      </c>
      <c r="H6341" s="0" t="s">
        <v>33</v>
      </c>
      <c r="I6341" s="7" t="n">
        <f aca="false">IF(AND(LEFT(A6341,1)&lt;&gt;"C",D6341&gt;0,F6341&gt;0),1,0)</f>
        <v>1</v>
      </c>
      <c r="J6341" s="7" t="n">
        <f aca="false">IF(I6341=1,D6341*F6341,0)</f>
        <v>10.2</v>
      </c>
      <c r="K6341" s="7" t="n">
        <f aca="false">YEAR(E6341)*100+MONTH(E6341)</f>
        <v>201111</v>
      </c>
      <c r="L6341" s="7" t="n">
        <f aca="false">IF(AND(A6341&lt;&gt;A6340,LEFT(A6341,1)&lt;&gt;"C"),1,0)</f>
        <v>0</v>
      </c>
    </row>
    <row r="6342" customFormat="false" ht="15" hidden="false" customHeight="false" outlineLevel="0" collapsed="false">
      <c r="A6342" s="0" t="s">
        <v>3301</v>
      </c>
      <c r="B6342" s="0" t="s">
        <v>48</v>
      </c>
      <c r="C6342" s="0" t="s">
        <v>49</v>
      </c>
      <c r="D6342" s="0" t="n">
        <v>12</v>
      </c>
      <c r="E6342" s="6" t="n">
        <v>40871.6263888889</v>
      </c>
      <c r="F6342" s="0" t="n">
        <v>0.65</v>
      </c>
      <c r="G6342" s="0" t="n">
        <v>12720</v>
      </c>
      <c r="H6342" s="0" t="s">
        <v>33</v>
      </c>
      <c r="I6342" s="7" t="n">
        <f aca="false">IF(AND(LEFT(A6342,1)&lt;&gt;"C",D6342&gt;0,F6342&gt;0),1,0)</f>
        <v>1</v>
      </c>
      <c r="J6342" s="7" t="n">
        <f aca="false">IF(I6342=1,D6342*F6342,0)</f>
        <v>7.8</v>
      </c>
      <c r="K6342" s="7" t="n">
        <f aca="false">YEAR(E6342)*100+MONTH(E6342)</f>
        <v>201111</v>
      </c>
      <c r="L6342" s="7" t="n">
        <f aca="false">IF(AND(A6342&lt;&gt;A6341,LEFT(A6342,1)&lt;&gt;"C"),1,0)</f>
        <v>0</v>
      </c>
    </row>
    <row r="6343" customFormat="false" ht="15" hidden="false" customHeight="false" outlineLevel="0" collapsed="false">
      <c r="A6343" s="0" t="s">
        <v>3301</v>
      </c>
      <c r="B6343" s="0" t="s">
        <v>44</v>
      </c>
      <c r="C6343" s="0" t="s">
        <v>45</v>
      </c>
      <c r="D6343" s="0" t="n">
        <v>12</v>
      </c>
      <c r="E6343" s="6" t="n">
        <v>40871.6263888889</v>
      </c>
      <c r="F6343" s="0" t="n">
        <v>0.65</v>
      </c>
      <c r="G6343" s="0" t="n">
        <v>12720</v>
      </c>
      <c r="H6343" s="0" t="s">
        <v>33</v>
      </c>
      <c r="I6343" s="7" t="n">
        <f aca="false">IF(AND(LEFT(A6343,1)&lt;&gt;"C",D6343&gt;0,F6343&gt;0),1,0)</f>
        <v>1</v>
      </c>
      <c r="J6343" s="7" t="n">
        <f aca="false">IF(I6343=1,D6343*F6343,0)</f>
        <v>7.8</v>
      </c>
      <c r="K6343" s="7" t="n">
        <f aca="false">YEAR(E6343)*100+MONTH(E6343)</f>
        <v>201111</v>
      </c>
      <c r="L6343" s="7" t="n">
        <f aca="false">IF(AND(A6343&lt;&gt;A6342,LEFT(A6343,1)&lt;&gt;"C"),1,0)</f>
        <v>0</v>
      </c>
    </row>
    <row r="6344" customFormat="false" ht="15" hidden="false" customHeight="false" outlineLevel="0" collapsed="false">
      <c r="A6344" s="0" t="s">
        <v>3301</v>
      </c>
      <c r="B6344" s="0" t="s">
        <v>2806</v>
      </c>
      <c r="C6344" s="0" t="s">
        <v>2807</v>
      </c>
      <c r="D6344" s="0" t="n">
        <v>3</v>
      </c>
      <c r="E6344" s="6" t="n">
        <v>40871.6263888889</v>
      </c>
      <c r="F6344" s="0" t="n">
        <v>5.95</v>
      </c>
      <c r="G6344" s="0" t="n">
        <v>12720</v>
      </c>
      <c r="H6344" s="0" t="s">
        <v>33</v>
      </c>
      <c r="I6344" s="7" t="n">
        <f aca="false">IF(AND(LEFT(A6344,1)&lt;&gt;"C",D6344&gt;0,F6344&gt;0),1,0)</f>
        <v>1</v>
      </c>
      <c r="J6344" s="7" t="n">
        <f aca="false">IF(I6344=1,D6344*F6344,0)</f>
        <v>17.85</v>
      </c>
      <c r="K6344" s="7" t="n">
        <f aca="false">YEAR(E6344)*100+MONTH(E6344)</f>
        <v>201111</v>
      </c>
      <c r="L6344" s="7" t="n">
        <f aca="false">IF(AND(A6344&lt;&gt;A6343,LEFT(A6344,1)&lt;&gt;"C"),1,0)</f>
        <v>0</v>
      </c>
    </row>
    <row r="6345" customFormat="false" ht="15" hidden="false" customHeight="false" outlineLevel="0" collapsed="false">
      <c r="A6345" s="0" t="s">
        <v>3301</v>
      </c>
      <c r="B6345" s="0" t="s">
        <v>1512</v>
      </c>
      <c r="C6345" s="0" t="s">
        <v>1513</v>
      </c>
      <c r="D6345" s="0" t="n">
        <v>2</v>
      </c>
      <c r="E6345" s="6" t="n">
        <v>40871.6263888889</v>
      </c>
      <c r="F6345" s="0" t="n">
        <v>6.75</v>
      </c>
      <c r="G6345" s="0" t="n">
        <v>12720</v>
      </c>
      <c r="H6345" s="0" t="s">
        <v>33</v>
      </c>
      <c r="I6345" s="7" t="n">
        <f aca="false">IF(AND(LEFT(A6345,1)&lt;&gt;"C",D6345&gt;0,F6345&gt;0),1,0)</f>
        <v>1</v>
      </c>
      <c r="J6345" s="7" t="n">
        <f aca="false">IF(I6345=1,D6345*F6345,0)</f>
        <v>13.5</v>
      </c>
      <c r="K6345" s="7" t="n">
        <f aca="false">YEAR(E6345)*100+MONTH(E6345)</f>
        <v>201111</v>
      </c>
      <c r="L6345" s="7" t="n">
        <f aca="false">IF(AND(A6345&lt;&gt;A6344,LEFT(A6345,1)&lt;&gt;"C"),1,0)</f>
        <v>0</v>
      </c>
    </row>
    <row r="6346" customFormat="false" ht="15" hidden="false" customHeight="false" outlineLevel="0" collapsed="false">
      <c r="A6346" s="0" t="s">
        <v>3301</v>
      </c>
      <c r="B6346" s="0" t="s">
        <v>2571</v>
      </c>
      <c r="C6346" s="0" t="s">
        <v>2572</v>
      </c>
      <c r="D6346" s="0" t="n">
        <v>4</v>
      </c>
      <c r="E6346" s="6" t="n">
        <v>40871.6263888889</v>
      </c>
      <c r="F6346" s="0" t="n">
        <v>7.5</v>
      </c>
      <c r="G6346" s="0" t="n">
        <v>12720</v>
      </c>
      <c r="H6346" s="0" t="s">
        <v>33</v>
      </c>
      <c r="I6346" s="7" t="n">
        <f aca="false">IF(AND(LEFT(A6346,1)&lt;&gt;"C",D6346&gt;0,F6346&gt;0),1,0)</f>
        <v>1</v>
      </c>
      <c r="J6346" s="7" t="n">
        <f aca="false">IF(I6346=1,D6346*F6346,0)</f>
        <v>30</v>
      </c>
      <c r="K6346" s="7" t="n">
        <f aca="false">YEAR(E6346)*100+MONTH(E6346)</f>
        <v>201111</v>
      </c>
      <c r="L6346" s="7" t="n">
        <f aca="false">IF(AND(A6346&lt;&gt;A6345,LEFT(A6346,1)&lt;&gt;"C"),1,0)</f>
        <v>0</v>
      </c>
    </row>
    <row r="6347" customFormat="false" ht="15" hidden="false" customHeight="false" outlineLevel="0" collapsed="false">
      <c r="A6347" s="0" t="s">
        <v>3301</v>
      </c>
      <c r="B6347" s="0" t="s">
        <v>1684</v>
      </c>
      <c r="C6347" s="0" t="s">
        <v>1685</v>
      </c>
      <c r="D6347" s="0" t="n">
        <v>120</v>
      </c>
      <c r="E6347" s="6" t="n">
        <v>40871.6263888889</v>
      </c>
      <c r="F6347" s="0" t="n">
        <v>0.39</v>
      </c>
      <c r="G6347" s="0" t="n">
        <v>12720</v>
      </c>
      <c r="H6347" s="0" t="s">
        <v>33</v>
      </c>
      <c r="I6347" s="7" t="n">
        <f aca="false">IF(AND(LEFT(A6347,1)&lt;&gt;"C",D6347&gt;0,F6347&gt;0),1,0)</f>
        <v>1</v>
      </c>
      <c r="J6347" s="7" t="n">
        <f aca="false">IF(I6347=1,D6347*F6347,0)</f>
        <v>46.8</v>
      </c>
      <c r="K6347" s="7" t="n">
        <f aca="false">YEAR(E6347)*100+MONTH(E6347)</f>
        <v>201111</v>
      </c>
      <c r="L6347" s="7" t="n">
        <f aca="false">IF(AND(A6347&lt;&gt;A6346,LEFT(A6347,1)&lt;&gt;"C"),1,0)</f>
        <v>0</v>
      </c>
    </row>
    <row r="6348" customFormat="false" ht="15" hidden="false" customHeight="false" outlineLevel="0" collapsed="false">
      <c r="A6348" s="0" t="s">
        <v>3301</v>
      </c>
      <c r="B6348" s="0" t="s">
        <v>3186</v>
      </c>
      <c r="C6348" s="0" t="s">
        <v>3187</v>
      </c>
      <c r="D6348" s="0" t="n">
        <v>120</v>
      </c>
      <c r="E6348" s="6" t="n">
        <v>40871.6263888889</v>
      </c>
      <c r="F6348" s="0" t="n">
        <v>0.39</v>
      </c>
      <c r="G6348" s="0" t="n">
        <v>12720</v>
      </c>
      <c r="H6348" s="0" t="s">
        <v>33</v>
      </c>
      <c r="I6348" s="7" t="n">
        <f aca="false">IF(AND(LEFT(A6348,1)&lt;&gt;"C",D6348&gt;0,F6348&gt;0),1,0)</f>
        <v>1</v>
      </c>
      <c r="J6348" s="7" t="n">
        <f aca="false">IF(I6348=1,D6348*F6348,0)</f>
        <v>46.8</v>
      </c>
      <c r="K6348" s="7" t="n">
        <f aca="false">YEAR(E6348)*100+MONTH(E6348)</f>
        <v>201111</v>
      </c>
      <c r="L6348" s="7" t="n">
        <f aca="false">IF(AND(A6348&lt;&gt;A6347,LEFT(A6348,1)&lt;&gt;"C"),1,0)</f>
        <v>0</v>
      </c>
    </row>
    <row r="6349" customFormat="false" ht="15" hidden="false" customHeight="false" outlineLevel="0" collapsed="false">
      <c r="A6349" s="0" t="s">
        <v>3301</v>
      </c>
      <c r="B6349" s="0" t="s">
        <v>109</v>
      </c>
      <c r="C6349" s="0" t="s">
        <v>110</v>
      </c>
      <c r="D6349" s="0" t="n">
        <v>8</v>
      </c>
      <c r="E6349" s="6" t="n">
        <v>40871.6263888889</v>
      </c>
      <c r="F6349" s="0" t="n">
        <v>0.83</v>
      </c>
      <c r="G6349" s="0" t="n">
        <v>12720</v>
      </c>
      <c r="H6349" s="0" t="s">
        <v>33</v>
      </c>
      <c r="I6349" s="7" t="n">
        <f aca="false">IF(AND(LEFT(A6349,1)&lt;&gt;"C",D6349&gt;0,F6349&gt;0),1,0)</f>
        <v>1</v>
      </c>
      <c r="J6349" s="7" t="n">
        <f aca="false">IF(I6349=1,D6349*F6349,0)</f>
        <v>6.64</v>
      </c>
      <c r="K6349" s="7" t="n">
        <f aca="false">YEAR(E6349)*100+MONTH(E6349)</f>
        <v>201111</v>
      </c>
      <c r="L6349" s="7" t="n">
        <f aca="false">IF(AND(A6349&lt;&gt;A6348,LEFT(A6349,1)&lt;&gt;"C"),1,0)</f>
        <v>0</v>
      </c>
    </row>
    <row r="6350" customFormat="false" ht="15" hidden="false" customHeight="false" outlineLevel="0" collapsed="false">
      <c r="A6350" s="0" t="s">
        <v>3301</v>
      </c>
      <c r="B6350" s="0" t="s">
        <v>689</v>
      </c>
      <c r="C6350" s="0" t="s">
        <v>690</v>
      </c>
      <c r="D6350" s="0" t="n">
        <v>8</v>
      </c>
      <c r="E6350" s="6" t="n">
        <v>40871.6263888889</v>
      </c>
      <c r="F6350" s="0" t="n">
        <v>1.25</v>
      </c>
      <c r="G6350" s="0" t="n">
        <v>12720</v>
      </c>
      <c r="H6350" s="0" t="s">
        <v>33</v>
      </c>
      <c r="I6350" s="7" t="n">
        <f aca="false">IF(AND(LEFT(A6350,1)&lt;&gt;"C",D6350&gt;0,F6350&gt;0),1,0)</f>
        <v>1</v>
      </c>
      <c r="J6350" s="7" t="n">
        <f aca="false">IF(I6350=1,D6350*F6350,0)</f>
        <v>10</v>
      </c>
      <c r="K6350" s="7" t="n">
        <f aca="false">YEAR(E6350)*100+MONTH(E6350)</f>
        <v>201111</v>
      </c>
      <c r="L6350" s="7" t="n">
        <f aca="false">IF(AND(A6350&lt;&gt;A6349,LEFT(A6350,1)&lt;&gt;"C"),1,0)</f>
        <v>0</v>
      </c>
    </row>
    <row r="6351" customFormat="false" ht="15" hidden="false" customHeight="false" outlineLevel="0" collapsed="false">
      <c r="A6351" s="0" t="s">
        <v>3301</v>
      </c>
      <c r="B6351" s="0" t="s">
        <v>103</v>
      </c>
      <c r="C6351" s="0" t="s">
        <v>104</v>
      </c>
      <c r="D6351" s="0" t="n">
        <v>24</v>
      </c>
      <c r="E6351" s="6" t="n">
        <v>40871.6263888889</v>
      </c>
      <c r="F6351" s="0" t="n">
        <v>0.55</v>
      </c>
      <c r="G6351" s="0" t="n">
        <v>12720</v>
      </c>
      <c r="H6351" s="0" t="s">
        <v>33</v>
      </c>
      <c r="I6351" s="7" t="n">
        <f aca="false">IF(AND(LEFT(A6351,1)&lt;&gt;"C",D6351&gt;0,F6351&gt;0),1,0)</f>
        <v>1</v>
      </c>
      <c r="J6351" s="7" t="n">
        <f aca="false">IF(I6351=1,D6351*F6351,0)</f>
        <v>13.2</v>
      </c>
      <c r="K6351" s="7" t="n">
        <f aca="false">YEAR(E6351)*100+MONTH(E6351)</f>
        <v>201111</v>
      </c>
      <c r="L6351" s="7" t="n">
        <f aca="false">IF(AND(A6351&lt;&gt;A6350,LEFT(A6351,1)&lt;&gt;"C"),1,0)</f>
        <v>0</v>
      </c>
    </row>
    <row r="6352" customFormat="false" ht="15" hidden="false" customHeight="false" outlineLevel="0" collapsed="false">
      <c r="A6352" s="0" t="s">
        <v>3301</v>
      </c>
      <c r="B6352" s="0" t="s">
        <v>769</v>
      </c>
      <c r="C6352" s="0" t="s">
        <v>770</v>
      </c>
      <c r="D6352" s="0" t="n">
        <v>12</v>
      </c>
      <c r="E6352" s="6" t="n">
        <v>40871.6263888889</v>
      </c>
      <c r="F6352" s="0" t="n">
        <v>1.45</v>
      </c>
      <c r="G6352" s="0" t="n">
        <v>12720</v>
      </c>
      <c r="H6352" s="0" t="s">
        <v>33</v>
      </c>
      <c r="I6352" s="7" t="n">
        <f aca="false">IF(AND(LEFT(A6352,1)&lt;&gt;"C",D6352&gt;0,F6352&gt;0),1,0)</f>
        <v>1</v>
      </c>
      <c r="J6352" s="7" t="n">
        <f aca="false">IF(I6352=1,D6352*F6352,0)</f>
        <v>17.4</v>
      </c>
      <c r="K6352" s="7" t="n">
        <f aca="false">YEAR(E6352)*100+MONTH(E6352)</f>
        <v>201111</v>
      </c>
      <c r="L6352" s="7" t="n">
        <f aca="false">IF(AND(A6352&lt;&gt;A6351,LEFT(A6352,1)&lt;&gt;"C"),1,0)</f>
        <v>0</v>
      </c>
    </row>
    <row r="6353" customFormat="false" ht="15" hidden="false" customHeight="false" outlineLevel="0" collapsed="false">
      <c r="A6353" s="0" t="s">
        <v>3301</v>
      </c>
      <c r="B6353" s="0" t="s">
        <v>897</v>
      </c>
      <c r="C6353" s="0" t="s">
        <v>898</v>
      </c>
      <c r="D6353" s="0" t="n">
        <v>3</v>
      </c>
      <c r="E6353" s="6" t="n">
        <v>40871.6263888889</v>
      </c>
      <c r="F6353" s="0" t="n">
        <v>4.95</v>
      </c>
      <c r="G6353" s="0" t="n">
        <v>12720</v>
      </c>
      <c r="H6353" s="0" t="s">
        <v>33</v>
      </c>
      <c r="I6353" s="7" t="n">
        <f aca="false">IF(AND(LEFT(A6353,1)&lt;&gt;"C",D6353&gt;0,F6353&gt;0),1,0)</f>
        <v>1</v>
      </c>
      <c r="J6353" s="7" t="n">
        <f aca="false">IF(I6353=1,D6353*F6353,0)</f>
        <v>14.85</v>
      </c>
      <c r="K6353" s="7" t="n">
        <f aca="false">YEAR(E6353)*100+MONTH(E6353)</f>
        <v>201111</v>
      </c>
      <c r="L6353" s="7" t="n">
        <f aca="false">IF(AND(A6353&lt;&gt;A6352,LEFT(A6353,1)&lt;&gt;"C"),1,0)</f>
        <v>0</v>
      </c>
    </row>
    <row r="6354" customFormat="false" ht="15" hidden="false" customHeight="false" outlineLevel="0" collapsed="false">
      <c r="A6354" s="0" t="s">
        <v>3301</v>
      </c>
      <c r="B6354" s="0" t="s">
        <v>101</v>
      </c>
      <c r="C6354" s="0" t="s">
        <v>102</v>
      </c>
      <c r="D6354" s="0" t="n">
        <v>12</v>
      </c>
      <c r="E6354" s="6" t="n">
        <v>40871.6263888889</v>
      </c>
      <c r="F6354" s="0" t="n">
        <v>0.85</v>
      </c>
      <c r="G6354" s="0" t="n">
        <v>12720</v>
      </c>
      <c r="H6354" s="0" t="s">
        <v>33</v>
      </c>
      <c r="I6354" s="7" t="n">
        <f aca="false">IF(AND(LEFT(A6354,1)&lt;&gt;"C",D6354&gt;0,F6354&gt;0),1,0)</f>
        <v>1</v>
      </c>
      <c r="J6354" s="7" t="n">
        <f aca="false">IF(I6354=1,D6354*F6354,0)</f>
        <v>10.2</v>
      </c>
      <c r="K6354" s="7" t="n">
        <f aca="false">YEAR(E6354)*100+MONTH(E6354)</f>
        <v>201111</v>
      </c>
      <c r="L6354" s="7" t="n">
        <f aca="false">IF(AND(A6354&lt;&gt;A6353,LEFT(A6354,1)&lt;&gt;"C"),1,0)</f>
        <v>0</v>
      </c>
    </row>
    <row r="6355" customFormat="false" ht="15" hidden="false" customHeight="false" outlineLevel="0" collapsed="false">
      <c r="A6355" s="0" t="s">
        <v>3301</v>
      </c>
      <c r="B6355" s="0" t="s">
        <v>84</v>
      </c>
      <c r="C6355" s="0" t="s">
        <v>85</v>
      </c>
      <c r="D6355" s="0" t="n">
        <v>3</v>
      </c>
      <c r="E6355" s="6" t="n">
        <v>40871.6263888889</v>
      </c>
      <c r="F6355" s="0" t="n">
        <v>18</v>
      </c>
      <c r="G6355" s="0" t="n">
        <v>12720</v>
      </c>
      <c r="H6355" s="0" t="s">
        <v>33</v>
      </c>
      <c r="I6355" s="7" t="n">
        <f aca="false">IF(AND(LEFT(A6355,1)&lt;&gt;"C",D6355&gt;0,F6355&gt;0),1,0)</f>
        <v>1</v>
      </c>
      <c r="J6355" s="7" t="n">
        <f aca="false">IF(I6355=1,D6355*F6355,0)</f>
        <v>54</v>
      </c>
      <c r="K6355" s="7" t="n">
        <f aca="false">YEAR(E6355)*100+MONTH(E6355)</f>
        <v>201111</v>
      </c>
      <c r="L6355" s="7" t="n">
        <f aca="false">IF(AND(A6355&lt;&gt;A6354,LEFT(A6355,1)&lt;&gt;"C"),1,0)</f>
        <v>0</v>
      </c>
    </row>
    <row r="6356" customFormat="false" ht="15" hidden="false" customHeight="false" outlineLevel="0" collapsed="false">
      <c r="A6356" s="0" t="s">
        <v>3302</v>
      </c>
      <c r="B6356" s="0" t="s">
        <v>293</v>
      </c>
      <c r="C6356" s="0" t="s">
        <v>294</v>
      </c>
      <c r="D6356" s="0" t="n">
        <v>2</v>
      </c>
      <c r="E6356" s="6" t="n">
        <v>40871.6270833333</v>
      </c>
      <c r="F6356" s="0" t="n">
        <v>8.5</v>
      </c>
      <c r="G6356" s="0" t="n">
        <v>12720</v>
      </c>
      <c r="H6356" s="0" t="s">
        <v>33</v>
      </c>
      <c r="I6356" s="7" t="n">
        <f aca="false">IF(AND(LEFT(A6356,1)&lt;&gt;"C",D6356&gt;0,F6356&gt;0),1,0)</f>
        <v>1</v>
      </c>
      <c r="J6356" s="7" t="n">
        <f aca="false">IF(I6356=1,D6356*F6356,0)</f>
        <v>17</v>
      </c>
      <c r="K6356" s="7" t="n">
        <f aca="false">YEAR(E6356)*100+MONTH(E6356)</f>
        <v>201111</v>
      </c>
      <c r="L6356" s="7" t="n">
        <f aca="false">IF(AND(A6356&lt;&gt;A6355,LEFT(A6356,1)&lt;&gt;"C"),1,0)</f>
        <v>1</v>
      </c>
    </row>
    <row r="6357" customFormat="false" ht="15" hidden="false" customHeight="false" outlineLevel="0" collapsed="false">
      <c r="A6357" s="0" t="s">
        <v>3302</v>
      </c>
      <c r="B6357" s="0" t="s">
        <v>146</v>
      </c>
      <c r="C6357" s="0" t="s">
        <v>147</v>
      </c>
      <c r="D6357" s="0" t="n">
        <v>6</v>
      </c>
      <c r="E6357" s="6" t="n">
        <v>40871.6270833333</v>
      </c>
      <c r="F6357" s="0" t="n">
        <v>2.89</v>
      </c>
      <c r="G6357" s="0" t="n">
        <v>12720</v>
      </c>
      <c r="H6357" s="0" t="s">
        <v>33</v>
      </c>
      <c r="I6357" s="7" t="n">
        <f aca="false">IF(AND(LEFT(A6357,1)&lt;&gt;"C",D6357&gt;0,F6357&gt;0),1,0)</f>
        <v>1</v>
      </c>
      <c r="J6357" s="7" t="n">
        <f aca="false">IF(I6357=1,D6357*F6357,0)</f>
        <v>17.34</v>
      </c>
      <c r="K6357" s="7" t="n">
        <f aca="false">YEAR(E6357)*100+MONTH(E6357)</f>
        <v>201111</v>
      </c>
      <c r="L6357" s="7" t="n">
        <f aca="false">IF(AND(A6357&lt;&gt;A6356,LEFT(A6357,1)&lt;&gt;"C"),1,0)</f>
        <v>0</v>
      </c>
    </row>
    <row r="6358" customFormat="false" ht="15" hidden="false" customHeight="false" outlineLevel="0" collapsed="false">
      <c r="A6358" s="0" t="s">
        <v>3302</v>
      </c>
      <c r="B6358" s="0" t="s">
        <v>537</v>
      </c>
      <c r="C6358" s="0" t="s">
        <v>538</v>
      </c>
      <c r="D6358" s="0" t="n">
        <v>6</v>
      </c>
      <c r="E6358" s="6" t="n">
        <v>40871.6270833333</v>
      </c>
      <c r="F6358" s="0" t="n">
        <v>4.15</v>
      </c>
      <c r="G6358" s="0" t="n">
        <v>12720</v>
      </c>
      <c r="H6358" s="0" t="s">
        <v>33</v>
      </c>
      <c r="I6358" s="7" t="n">
        <f aca="false">IF(AND(LEFT(A6358,1)&lt;&gt;"C",D6358&gt;0,F6358&gt;0),1,0)</f>
        <v>1</v>
      </c>
      <c r="J6358" s="7" t="n">
        <f aca="false">IF(I6358=1,D6358*F6358,0)</f>
        <v>24.9</v>
      </c>
      <c r="K6358" s="7" t="n">
        <f aca="false">YEAR(E6358)*100+MONTH(E6358)</f>
        <v>201111</v>
      </c>
      <c r="L6358" s="7" t="n">
        <f aca="false">IF(AND(A6358&lt;&gt;A6357,LEFT(A6358,1)&lt;&gt;"C"),1,0)</f>
        <v>0</v>
      </c>
    </row>
    <row r="6359" customFormat="false" ht="15" hidden="false" customHeight="false" outlineLevel="0" collapsed="false">
      <c r="A6359" s="0" t="s">
        <v>3302</v>
      </c>
      <c r="B6359" s="0" t="s">
        <v>1386</v>
      </c>
      <c r="C6359" s="0" t="s">
        <v>1387</v>
      </c>
      <c r="D6359" s="0" t="n">
        <v>10</v>
      </c>
      <c r="E6359" s="6" t="n">
        <v>40871.6270833333</v>
      </c>
      <c r="F6359" s="0" t="n">
        <v>2.08</v>
      </c>
      <c r="G6359" s="0" t="n">
        <v>12720</v>
      </c>
      <c r="H6359" s="0" t="s">
        <v>33</v>
      </c>
      <c r="I6359" s="7" t="n">
        <f aca="false">IF(AND(LEFT(A6359,1)&lt;&gt;"C",D6359&gt;0,F6359&gt;0),1,0)</f>
        <v>1</v>
      </c>
      <c r="J6359" s="7" t="n">
        <f aca="false">IF(I6359=1,D6359*F6359,0)</f>
        <v>20.8</v>
      </c>
      <c r="K6359" s="7" t="n">
        <f aca="false">YEAR(E6359)*100+MONTH(E6359)</f>
        <v>201111</v>
      </c>
      <c r="L6359" s="7" t="n">
        <f aca="false">IF(AND(A6359&lt;&gt;A6358,LEFT(A6359,1)&lt;&gt;"C"),1,0)</f>
        <v>0</v>
      </c>
    </row>
    <row r="6360" customFormat="false" ht="15" hidden="false" customHeight="false" outlineLevel="0" collapsed="false">
      <c r="A6360" s="0" t="s">
        <v>3302</v>
      </c>
      <c r="B6360" s="0" t="s">
        <v>517</v>
      </c>
      <c r="C6360" s="0" t="s">
        <v>518</v>
      </c>
      <c r="D6360" s="0" t="n">
        <v>10</v>
      </c>
      <c r="E6360" s="6" t="n">
        <v>40871.6270833333</v>
      </c>
      <c r="F6360" s="0" t="n">
        <v>2.08</v>
      </c>
      <c r="G6360" s="0" t="n">
        <v>12720</v>
      </c>
      <c r="H6360" s="0" t="s">
        <v>33</v>
      </c>
      <c r="I6360" s="7" t="n">
        <f aca="false">IF(AND(LEFT(A6360,1)&lt;&gt;"C",D6360&gt;0,F6360&gt;0),1,0)</f>
        <v>1</v>
      </c>
      <c r="J6360" s="7" t="n">
        <f aca="false">IF(I6360=1,D6360*F6360,0)</f>
        <v>20.8</v>
      </c>
      <c r="K6360" s="7" t="n">
        <f aca="false">YEAR(E6360)*100+MONTH(E6360)</f>
        <v>201111</v>
      </c>
      <c r="L6360" s="7" t="n">
        <f aca="false">IF(AND(A6360&lt;&gt;A6359,LEFT(A6360,1)&lt;&gt;"C"),1,0)</f>
        <v>0</v>
      </c>
    </row>
    <row r="6361" customFormat="false" ht="15" hidden="false" customHeight="false" outlineLevel="0" collapsed="false">
      <c r="A6361" s="0" t="s">
        <v>3302</v>
      </c>
      <c r="B6361" s="0" t="s">
        <v>245</v>
      </c>
      <c r="C6361" s="0" t="s">
        <v>246</v>
      </c>
      <c r="D6361" s="0" t="n">
        <v>25</v>
      </c>
      <c r="E6361" s="6" t="n">
        <v>40871.6270833333</v>
      </c>
      <c r="F6361" s="0" t="n">
        <v>0.42</v>
      </c>
      <c r="G6361" s="0" t="n">
        <v>12720</v>
      </c>
      <c r="H6361" s="0" t="s">
        <v>33</v>
      </c>
      <c r="I6361" s="7" t="n">
        <f aca="false">IF(AND(LEFT(A6361,1)&lt;&gt;"C",D6361&gt;0,F6361&gt;0),1,0)</f>
        <v>1</v>
      </c>
      <c r="J6361" s="7" t="n">
        <f aca="false">IF(I6361=1,D6361*F6361,0)</f>
        <v>10.5</v>
      </c>
      <c r="K6361" s="7" t="n">
        <f aca="false">YEAR(E6361)*100+MONTH(E6361)</f>
        <v>201111</v>
      </c>
      <c r="L6361" s="7" t="n">
        <f aca="false">IF(AND(A6361&lt;&gt;A6360,LEFT(A6361,1)&lt;&gt;"C"),1,0)</f>
        <v>0</v>
      </c>
    </row>
    <row r="6362" customFormat="false" ht="15" hidden="false" customHeight="false" outlineLevel="0" collapsed="false">
      <c r="A6362" s="0" t="s">
        <v>3303</v>
      </c>
      <c r="B6362" s="0" t="s">
        <v>193</v>
      </c>
      <c r="C6362" s="0" t="s">
        <v>194</v>
      </c>
      <c r="D6362" s="0" t="n">
        <v>24</v>
      </c>
      <c r="E6362" s="6" t="n">
        <v>40871.6513888889</v>
      </c>
      <c r="F6362" s="0" t="n">
        <v>0.65</v>
      </c>
      <c r="G6362" s="0" t="n">
        <v>12709</v>
      </c>
      <c r="H6362" s="0" t="s">
        <v>33</v>
      </c>
      <c r="I6362" s="7" t="n">
        <f aca="false">IF(AND(LEFT(A6362,1)&lt;&gt;"C",D6362&gt;0,F6362&gt;0),1,0)</f>
        <v>1</v>
      </c>
      <c r="J6362" s="7" t="n">
        <f aca="false">IF(I6362=1,D6362*F6362,0)</f>
        <v>15.6</v>
      </c>
      <c r="K6362" s="7" t="n">
        <f aca="false">YEAR(E6362)*100+MONTH(E6362)</f>
        <v>201111</v>
      </c>
      <c r="L6362" s="7" t="n">
        <f aca="false">IF(AND(A6362&lt;&gt;A6361,LEFT(A6362,1)&lt;&gt;"C"),1,0)</f>
        <v>1</v>
      </c>
    </row>
    <row r="6363" customFormat="false" ht="15" hidden="false" customHeight="false" outlineLevel="0" collapsed="false">
      <c r="A6363" s="0" t="s">
        <v>3303</v>
      </c>
      <c r="B6363" s="0" t="s">
        <v>197</v>
      </c>
      <c r="C6363" s="0" t="s">
        <v>198</v>
      </c>
      <c r="D6363" s="0" t="n">
        <v>24</v>
      </c>
      <c r="E6363" s="6" t="n">
        <v>40871.6513888889</v>
      </c>
      <c r="F6363" s="0" t="n">
        <v>0.85</v>
      </c>
      <c r="G6363" s="0" t="n">
        <v>12709</v>
      </c>
      <c r="H6363" s="0" t="s">
        <v>33</v>
      </c>
      <c r="I6363" s="7" t="n">
        <f aca="false">IF(AND(LEFT(A6363,1)&lt;&gt;"C",D6363&gt;0,F6363&gt;0),1,0)</f>
        <v>1</v>
      </c>
      <c r="J6363" s="7" t="n">
        <f aca="false">IF(I6363=1,D6363*F6363,0)</f>
        <v>20.4</v>
      </c>
      <c r="K6363" s="7" t="n">
        <f aca="false">YEAR(E6363)*100+MONTH(E6363)</f>
        <v>201111</v>
      </c>
      <c r="L6363" s="7" t="n">
        <f aca="false">IF(AND(A6363&lt;&gt;A6362,LEFT(A6363,1)&lt;&gt;"C"),1,0)</f>
        <v>0</v>
      </c>
    </row>
    <row r="6364" customFormat="false" ht="15" hidden="false" customHeight="false" outlineLevel="0" collapsed="false">
      <c r="A6364" s="0" t="s">
        <v>3303</v>
      </c>
      <c r="B6364" s="0" t="s">
        <v>729</v>
      </c>
      <c r="C6364" s="0" t="s">
        <v>730</v>
      </c>
      <c r="D6364" s="0" t="n">
        <v>6</v>
      </c>
      <c r="E6364" s="6" t="n">
        <v>40871.6513888889</v>
      </c>
      <c r="F6364" s="0" t="n">
        <v>4.95</v>
      </c>
      <c r="G6364" s="0" t="n">
        <v>12709</v>
      </c>
      <c r="H6364" s="0" t="s">
        <v>33</v>
      </c>
      <c r="I6364" s="7" t="n">
        <f aca="false">IF(AND(LEFT(A6364,1)&lt;&gt;"C",D6364&gt;0,F6364&gt;0),1,0)</f>
        <v>1</v>
      </c>
      <c r="J6364" s="7" t="n">
        <f aca="false">IF(I6364=1,D6364*F6364,0)</f>
        <v>29.7</v>
      </c>
      <c r="K6364" s="7" t="n">
        <f aca="false">YEAR(E6364)*100+MONTH(E6364)</f>
        <v>201111</v>
      </c>
      <c r="L6364" s="7" t="n">
        <f aca="false">IF(AND(A6364&lt;&gt;A6363,LEFT(A6364,1)&lt;&gt;"C"),1,0)</f>
        <v>0</v>
      </c>
    </row>
    <row r="6365" customFormat="false" ht="15" hidden="false" customHeight="false" outlineLevel="0" collapsed="false">
      <c r="A6365" s="0" t="s">
        <v>3303</v>
      </c>
      <c r="B6365" s="0" t="s">
        <v>2798</v>
      </c>
      <c r="C6365" s="0" t="s">
        <v>2799</v>
      </c>
      <c r="D6365" s="0" t="n">
        <v>10</v>
      </c>
      <c r="E6365" s="6" t="n">
        <v>40871.6513888889</v>
      </c>
      <c r="F6365" s="0" t="n">
        <v>1.65</v>
      </c>
      <c r="G6365" s="0" t="n">
        <v>12709</v>
      </c>
      <c r="H6365" s="0" t="s">
        <v>33</v>
      </c>
      <c r="I6365" s="7" t="n">
        <f aca="false">IF(AND(LEFT(A6365,1)&lt;&gt;"C",D6365&gt;0,F6365&gt;0),1,0)</f>
        <v>1</v>
      </c>
      <c r="J6365" s="7" t="n">
        <f aca="false">IF(I6365=1,D6365*F6365,0)</f>
        <v>16.5</v>
      </c>
      <c r="K6365" s="7" t="n">
        <f aca="false">YEAR(E6365)*100+MONTH(E6365)</f>
        <v>201111</v>
      </c>
      <c r="L6365" s="7" t="n">
        <f aca="false">IF(AND(A6365&lt;&gt;A6364,LEFT(A6365,1)&lt;&gt;"C"),1,0)</f>
        <v>0</v>
      </c>
    </row>
    <row r="6366" customFormat="false" ht="15" hidden="false" customHeight="false" outlineLevel="0" collapsed="false">
      <c r="A6366" s="0" t="s">
        <v>3303</v>
      </c>
      <c r="B6366" s="0" t="s">
        <v>977</v>
      </c>
      <c r="C6366" s="0" t="s">
        <v>978</v>
      </c>
      <c r="D6366" s="0" t="n">
        <v>10</v>
      </c>
      <c r="E6366" s="6" t="n">
        <v>40871.6513888889</v>
      </c>
      <c r="F6366" s="0" t="n">
        <v>1.65</v>
      </c>
      <c r="G6366" s="0" t="n">
        <v>12709</v>
      </c>
      <c r="H6366" s="0" t="s">
        <v>33</v>
      </c>
      <c r="I6366" s="7" t="n">
        <f aca="false">IF(AND(LEFT(A6366,1)&lt;&gt;"C",D6366&gt;0,F6366&gt;0),1,0)</f>
        <v>1</v>
      </c>
      <c r="J6366" s="7" t="n">
        <f aca="false">IF(I6366=1,D6366*F6366,0)</f>
        <v>16.5</v>
      </c>
      <c r="K6366" s="7" t="n">
        <f aca="false">YEAR(E6366)*100+MONTH(E6366)</f>
        <v>201111</v>
      </c>
      <c r="L6366" s="7" t="n">
        <f aca="false">IF(AND(A6366&lt;&gt;A6365,LEFT(A6366,1)&lt;&gt;"C"),1,0)</f>
        <v>0</v>
      </c>
    </row>
    <row r="6367" customFormat="false" ht="15" hidden="false" customHeight="false" outlineLevel="0" collapsed="false">
      <c r="A6367" s="0" t="s">
        <v>3303</v>
      </c>
      <c r="B6367" s="0" t="s">
        <v>2467</v>
      </c>
      <c r="C6367" s="0" t="s">
        <v>2468</v>
      </c>
      <c r="D6367" s="0" t="n">
        <v>24</v>
      </c>
      <c r="E6367" s="6" t="n">
        <v>40871.6513888889</v>
      </c>
      <c r="F6367" s="0" t="n">
        <v>1.25</v>
      </c>
      <c r="G6367" s="0" t="n">
        <v>12709</v>
      </c>
      <c r="H6367" s="0" t="s">
        <v>33</v>
      </c>
      <c r="I6367" s="7" t="n">
        <f aca="false">IF(AND(LEFT(A6367,1)&lt;&gt;"C",D6367&gt;0,F6367&gt;0),1,0)</f>
        <v>1</v>
      </c>
      <c r="J6367" s="7" t="n">
        <f aca="false">IF(I6367=1,D6367*F6367,0)</f>
        <v>30</v>
      </c>
      <c r="K6367" s="7" t="n">
        <f aca="false">YEAR(E6367)*100+MONTH(E6367)</f>
        <v>201111</v>
      </c>
      <c r="L6367" s="7" t="n">
        <f aca="false">IF(AND(A6367&lt;&gt;A6366,LEFT(A6367,1)&lt;&gt;"C"),1,0)</f>
        <v>0</v>
      </c>
    </row>
    <row r="6368" customFormat="false" ht="15" hidden="false" customHeight="false" outlineLevel="0" collapsed="false">
      <c r="A6368" s="0" t="s">
        <v>3303</v>
      </c>
      <c r="B6368" s="0" t="s">
        <v>131</v>
      </c>
      <c r="C6368" s="0" t="s">
        <v>132</v>
      </c>
      <c r="D6368" s="0" t="n">
        <v>32</v>
      </c>
      <c r="E6368" s="6" t="n">
        <v>40871.6513888889</v>
      </c>
      <c r="F6368" s="0" t="n">
        <v>1.65</v>
      </c>
      <c r="G6368" s="0" t="n">
        <v>12709</v>
      </c>
      <c r="H6368" s="0" t="s">
        <v>33</v>
      </c>
      <c r="I6368" s="7" t="n">
        <f aca="false">IF(AND(LEFT(A6368,1)&lt;&gt;"C",D6368&gt;0,F6368&gt;0),1,0)</f>
        <v>1</v>
      </c>
      <c r="J6368" s="7" t="n">
        <f aca="false">IF(I6368=1,D6368*F6368,0)</f>
        <v>52.8</v>
      </c>
      <c r="K6368" s="7" t="n">
        <f aca="false">YEAR(E6368)*100+MONTH(E6368)</f>
        <v>201111</v>
      </c>
      <c r="L6368" s="7" t="n">
        <f aca="false">IF(AND(A6368&lt;&gt;A6367,LEFT(A6368,1)&lt;&gt;"C"),1,0)</f>
        <v>0</v>
      </c>
    </row>
    <row r="6369" customFormat="false" ht="15" hidden="false" customHeight="false" outlineLevel="0" collapsed="false">
      <c r="A6369" s="0" t="s">
        <v>3303</v>
      </c>
      <c r="B6369" s="0" t="s">
        <v>148</v>
      </c>
      <c r="C6369" s="0" t="s">
        <v>149</v>
      </c>
      <c r="D6369" s="0" t="n">
        <v>32</v>
      </c>
      <c r="E6369" s="6" t="n">
        <v>40871.6513888889</v>
      </c>
      <c r="F6369" s="0" t="n">
        <v>10.95</v>
      </c>
      <c r="G6369" s="0" t="n">
        <v>12709</v>
      </c>
      <c r="H6369" s="0" t="s">
        <v>33</v>
      </c>
      <c r="I6369" s="7" t="n">
        <f aca="false">IF(AND(LEFT(A6369,1)&lt;&gt;"C",D6369&gt;0,F6369&gt;0),1,0)</f>
        <v>1</v>
      </c>
      <c r="J6369" s="7" t="n">
        <f aca="false">IF(I6369=1,D6369*F6369,0)</f>
        <v>350.4</v>
      </c>
      <c r="K6369" s="7" t="n">
        <f aca="false">YEAR(E6369)*100+MONTH(E6369)</f>
        <v>201111</v>
      </c>
      <c r="L6369" s="7" t="n">
        <f aca="false">IF(AND(A6369&lt;&gt;A6368,LEFT(A6369,1)&lt;&gt;"C"),1,0)</f>
        <v>0</v>
      </c>
    </row>
    <row r="6370" customFormat="false" ht="15" hidden="false" customHeight="false" outlineLevel="0" collapsed="false">
      <c r="A6370" s="0" t="s">
        <v>3303</v>
      </c>
      <c r="B6370" s="0" t="s">
        <v>452</v>
      </c>
      <c r="C6370" s="0" t="s">
        <v>453</v>
      </c>
      <c r="D6370" s="0" t="n">
        <v>4</v>
      </c>
      <c r="E6370" s="6" t="n">
        <v>40871.6513888889</v>
      </c>
      <c r="F6370" s="0" t="n">
        <v>8.5</v>
      </c>
      <c r="G6370" s="0" t="n">
        <v>12709</v>
      </c>
      <c r="H6370" s="0" t="s">
        <v>33</v>
      </c>
      <c r="I6370" s="7" t="n">
        <f aca="false">IF(AND(LEFT(A6370,1)&lt;&gt;"C",D6370&gt;0,F6370&gt;0),1,0)</f>
        <v>1</v>
      </c>
      <c r="J6370" s="7" t="n">
        <f aca="false">IF(I6370=1,D6370*F6370,0)</f>
        <v>34</v>
      </c>
      <c r="K6370" s="7" t="n">
        <f aca="false">YEAR(E6370)*100+MONTH(E6370)</f>
        <v>201111</v>
      </c>
      <c r="L6370" s="7" t="n">
        <f aca="false">IF(AND(A6370&lt;&gt;A6369,LEFT(A6370,1)&lt;&gt;"C"),1,0)</f>
        <v>0</v>
      </c>
    </row>
    <row r="6371" customFormat="false" ht="15" hidden="false" customHeight="false" outlineLevel="0" collapsed="false">
      <c r="A6371" s="0" t="s">
        <v>3303</v>
      </c>
      <c r="B6371" s="0" t="s">
        <v>816</v>
      </c>
      <c r="C6371" s="0" t="s">
        <v>817</v>
      </c>
      <c r="D6371" s="0" t="n">
        <v>4</v>
      </c>
      <c r="E6371" s="6" t="n">
        <v>40871.6513888889</v>
      </c>
      <c r="F6371" s="0" t="n">
        <v>8.5</v>
      </c>
      <c r="G6371" s="0" t="n">
        <v>12709</v>
      </c>
      <c r="H6371" s="0" t="s">
        <v>33</v>
      </c>
      <c r="I6371" s="7" t="n">
        <f aca="false">IF(AND(LEFT(A6371,1)&lt;&gt;"C",D6371&gt;0,F6371&gt;0),1,0)</f>
        <v>1</v>
      </c>
      <c r="J6371" s="7" t="n">
        <f aca="false">IF(I6371=1,D6371*F6371,0)</f>
        <v>34</v>
      </c>
      <c r="K6371" s="7" t="n">
        <f aca="false">YEAR(E6371)*100+MONTH(E6371)</f>
        <v>201111</v>
      </c>
      <c r="L6371" s="7" t="n">
        <f aca="false">IF(AND(A6371&lt;&gt;A6370,LEFT(A6371,1)&lt;&gt;"C"),1,0)</f>
        <v>0</v>
      </c>
    </row>
    <row r="6372" customFormat="false" ht="15" hidden="false" customHeight="false" outlineLevel="0" collapsed="false">
      <c r="A6372" s="0" t="s">
        <v>3303</v>
      </c>
      <c r="B6372" s="0" t="s">
        <v>318</v>
      </c>
      <c r="C6372" s="0" t="s">
        <v>319</v>
      </c>
      <c r="D6372" s="0" t="n">
        <v>8</v>
      </c>
      <c r="E6372" s="6" t="n">
        <v>40871.6513888889</v>
      </c>
      <c r="F6372" s="0" t="n">
        <v>3.75</v>
      </c>
      <c r="G6372" s="0" t="n">
        <v>12709</v>
      </c>
      <c r="H6372" s="0" t="s">
        <v>33</v>
      </c>
      <c r="I6372" s="7" t="n">
        <f aca="false">IF(AND(LEFT(A6372,1)&lt;&gt;"C",D6372&gt;0,F6372&gt;0),1,0)</f>
        <v>1</v>
      </c>
      <c r="J6372" s="7" t="n">
        <f aca="false">IF(I6372=1,D6372*F6372,0)</f>
        <v>30</v>
      </c>
      <c r="K6372" s="7" t="n">
        <f aca="false">YEAR(E6372)*100+MONTH(E6372)</f>
        <v>201111</v>
      </c>
      <c r="L6372" s="7" t="n">
        <f aca="false">IF(AND(A6372&lt;&gt;A6371,LEFT(A6372,1)&lt;&gt;"C"),1,0)</f>
        <v>0</v>
      </c>
    </row>
    <row r="6373" customFormat="false" ht="15" hidden="false" customHeight="false" outlineLevel="0" collapsed="false">
      <c r="A6373" s="0" t="s">
        <v>3303</v>
      </c>
      <c r="B6373" s="0" t="s">
        <v>320</v>
      </c>
      <c r="C6373" s="0" t="s">
        <v>321</v>
      </c>
      <c r="D6373" s="0" t="n">
        <v>8</v>
      </c>
      <c r="E6373" s="6" t="n">
        <v>40871.6513888889</v>
      </c>
      <c r="F6373" s="0" t="n">
        <v>3.75</v>
      </c>
      <c r="G6373" s="0" t="n">
        <v>12709</v>
      </c>
      <c r="H6373" s="0" t="s">
        <v>33</v>
      </c>
      <c r="I6373" s="7" t="n">
        <f aca="false">IF(AND(LEFT(A6373,1)&lt;&gt;"C",D6373&gt;0,F6373&gt;0),1,0)</f>
        <v>1</v>
      </c>
      <c r="J6373" s="7" t="n">
        <f aca="false">IF(I6373=1,D6373*F6373,0)</f>
        <v>30</v>
      </c>
      <c r="K6373" s="7" t="n">
        <f aca="false">YEAR(E6373)*100+MONTH(E6373)</f>
        <v>201111</v>
      </c>
      <c r="L6373" s="7" t="n">
        <f aca="false">IF(AND(A6373&lt;&gt;A6372,LEFT(A6373,1)&lt;&gt;"C"),1,0)</f>
        <v>0</v>
      </c>
    </row>
    <row r="6374" customFormat="false" ht="15" hidden="false" customHeight="false" outlineLevel="0" collapsed="false">
      <c r="A6374" s="0" t="s">
        <v>3303</v>
      </c>
      <c r="B6374" s="0" t="s">
        <v>101</v>
      </c>
      <c r="C6374" s="0" t="s">
        <v>102</v>
      </c>
      <c r="D6374" s="0" t="n">
        <v>24</v>
      </c>
      <c r="E6374" s="6" t="n">
        <v>40871.6513888889</v>
      </c>
      <c r="F6374" s="0" t="n">
        <v>0.85</v>
      </c>
      <c r="G6374" s="0" t="n">
        <v>12709</v>
      </c>
      <c r="H6374" s="0" t="s">
        <v>33</v>
      </c>
      <c r="I6374" s="7" t="n">
        <f aca="false">IF(AND(LEFT(A6374,1)&lt;&gt;"C",D6374&gt;0,F6374&gt;0),1,0)</f>
        <v>1</v>
      </c>
      <c r="J6374" s="7" t="n">
        <f aca="false">IF(I6374=1,D6374*F6374,0)</f>
        <v>20.4</v>
      </c>
      <c r="K6374" s="7" t="n">
        <f aca="false">YEAR(E6374)*100+MONTH(E6374)</f>
        <v>201111</v>
      </c>
      <c r="L6374" s="7" t="n">
        <f aca="false">IF(AND(A6374&lt;&gt;A6373,LEFT(A6374,1)&lt;&gt;"C"),1,0)</f>
        <v>0</v>
      </c>
    </row>
    <row r="6375" customFormat="false" ht="15" hidden="false" customHeight="false" outlineLevel="0" collapsed="false">
      <c r="A6375" s="0" t="s">
        <v>3303</v>
      </c>
      <c r="B6375" s="0" t="s">
        <v>583</v>
      </c>
      <c r="C6375" s="0" t="s">
        <v>584</v>
      </c>
      <c r="D6375" s="0" t="n">
        <v>48</v>
      </c>
      <c r="E6375" s="6" t="n">
        <v>40871.6513888889</v>
      </c>
      <c r="F6375" s="0" t="n">
        <v>1.45</v>
      </c>
      <c r="G6375" s="0" t="n">
        <v>12709</v>
      </c>
      <c r="H6375" s="0" t="s">
        <v>33</v>
      </c>
      <c r="I6375" s="7" t="n">
        <f aca="false">IF(AND(LEFT(A6375,1)&lt;&gt;"C",D6375&gt;0,F6375&gt;0),1,0)</f>
        <v>1</v>
      </c>
      <c r="J6375" s="7" t="n">
        <f aca="false">IF(I6375=1,D6375*F6375,0)</f>
        <v>69.6</v>
      </c>
      <c r="K6375" s="7" t="n">
        <f aca="false">YEAR(E6375)*100+MONTH(E6375)</f>
        <v>201111</v>
      </c>
      <c r="L6375" s="7" t="n">
        <f aca="false">IF(AND(A6375&lt;&gt;A6374,LEFT(A6375,1)&lt;&gt;"C"),1,0)</f>
        <v>0</v>
      </c>
    </row>
    <row r="6376" customFormat="false" ht="15" hidden="false" customHeight="false" outlineLevel="0" collapsed="false">
      <c r="A6376" s="0" t="s">
        <v>3303</v>
      </c>
      <c r="B6376" s="0" t="s">
        <v>448</v>
      </c>
      <c r="C6376" s="0" t="s">
        <v>449</v>
      </c>
      <c r="D6376" s="0" t="n">
        <v>12</v>
      </c>
      <c r="E6376" s="6" t="n">
        <v>40871.6513888889</v>
      </c>
      <c r="F6376" s="0" t="n">
        <v>1.65</v>
      </c>
      <c r="G6376" s="0" t="n">
        <v>12709</v>
      </c>
      <c r="H6376" s="0" t="s">
        <v>33</v>
      </c>
      <c r="I6376" s="7" t="n">
        <f aca="false">IF(AND(LEFT(A6376,1)&lt;&gt;"C",D6376&gt;0,F6376&gt;0),1,0)</f>
        <v>1</v>
      </c>
      <c r="J6376" s="7" t="n">
        <f aca="false">IF(I6376=1,D6376*F6376,0)</f>
        <v>19.8</v>
      </c>
      <c r="K6376" s="7" t="n">
        <f aca="false">YEAR(E6376)*100+MONTH(E6376)</f>
        <v>201111</v>
      </c>
      <c r="L6376" s="7" t="n">
        <f aca="false">IF(AND(A6376&lt;&gt;A6375,LEFT(A6376,1)&lt;&gt;"C"),1,0)</f>
        <v>0</v>
      </c>
    </row>
    <row r="6377" customFormat="false" ht="15" hidden="false" customHeight="false" outlineLevel="0" collapsed="false">
      <c r="A6377" s="0" t="s">
        <v>3303</v>
      </c>
      <c r="B6377" s="0" t="s">
        <v>316</v>
      </c>
      <c r="C6377" s="0" t="s">
        <v>317</v>
      </c>
      <c r="D6377" s="0" t="n">
        <v>12</v>
      </c>
      <c r="E6377" s="6" t="n">
        <v>40871.6513888889</v>
      </c>
      <c r="F6377" s="0" t="n">
        <v>4.95</v>
      </c>
      <c r="G6377" s="0" t="n">
        <v>12709</v>
      </c>
      <c r="H6377" s="0" t="s">
        <v>33</v>
      </c>
      <c r="I6377" s="7" t="n">
        <f aca="false">IF(AND(LEFT(A6377,1)&lt;&gt;"C",D6377&gt;0,F6377&gt;0),1,0)</f>
        <v>1</v>
      </c>
      <c r="J6377" s="7" t="n">
        <f aca="false">IF(I6377=1,D6377*F6377,0)</f>
        <v>59.4</v>
      </c>
      <c r="K6377" s="7" t="n">
        <f aca="false">YEAR(E6377)*100+MONTH(E6377)</f>
        <v>201111</v>
      </c>
      <c r="L6377" s="7" t="n">
        <f aca="false">IF(AND(A6377&lt;&gt;A6376,LEFT(A6377,1)&lt;&gt;"C"),1,0)</f>
        <v>0</v>
      </c>
    </row>
    <row r="6378" customFormat="false" ht="15" hidden="false" customHeight="false" outlineLevel="0" collapsed="false">
      <c r="A6378" s="0" t="s">
        <v>3303</v>
      </c>
      <c r="B6378" s="0" t="s">
        <v>533</v>
      </c>
      <c r="C6378" s="0" t="s">
        <v>534</v>
      </c>
      <c r="D6378" s="0" t="n">
        <v>16</v>
      </c>
      <c r="E6378" s="6" t="n">
        <v>40871.6513888889</v>
      </c>
      <c r="F6378" s="0" t="n">
        <v>1.25</v>
      </c>
      <c r="G6378" s="0" t="n">
        <v>12709</v>
      </c>
      <c r="H6378" s="0" t="s">
        <v>33</v>
      </c>
      <c r="I6378" s="7" t="n">
        <f aca="false">IF(AND(LEFT(A6378,1)&lt;&gt;"C",D6378&gt;0,F6378&gt;0),1,0)</f>
        <v>1</v>
      </c>
      <c r="J6378" s="7" t="n">
        <f aca="false">IF(I6378=1,D6378*F6378,0)</f>
        <v>20</v>
      </c>
      <c r="K6378" s="7" t="n">
        <f aca="false">YEAR(E6378)*100+MONTH(E6378)</f>
        <v>201111</v>
      </c>
      <c r="L6378" s="7" t="n">
        <f aca="false">IF(AND(A6378&lt;&gt;A6377,LEFT(A6378,1)&lt;&gt;"C"),1,0)</f>
        <v>0</v>
      </c>
    </row>
    <row r="6379" customFormat="false" ht="15" hidden="false" customHeight="false" outlineLevel="0" collapsed="false">
      <c r="A6379" s="0" t="s">
        <v>3303</v>
      </c>
      <c r="B6379" s="0" t="s">
        <v>3304</v>
      </c>
      <c r="C6379" s="0" t="s">
        <v>3305</v>
      </c>
      <c r="D6379" s="0" t="n">
        <v>24</v>
      </c>
      <c r="E6379" s="6" t="n">
        <v>40871.6513888889</v>
      </c>
      <c r="F6379" s="0" t="n">
        <v>1.25</v>
      </c>
      <c r="G6379" s="0" t="n">
        <v>12709</v>
      </c>
      <c r="H6379" s="0" t="s">
        <v>33</v>
      </c>
      <c r="I6379" s="7" t="n">
        <f aca="false">IF(AND(LEFT(A6379,1)&lt;&gt;"C",D6379&gt;0,F6379&gt;0),1,0)</f>
        <v>1</v>
      </c>
      <c r="J6379" s="7" t="n">
        <f aca="false">IF(I6379=1,D6379*F6379,0)</f>
        <v>30</v>
      </c>
      <c r="K6379" s="7" t="n">
        <f aca="false">YEAR(E6379)*100+MONTH(E6379)</f>
        <v>201111</v>
      </c>
      <c r="L6379" s="7" t="n">
        <f aca="false">IF(AND(A6379&lt;&gt;A6378,LEFT(A6379,1)&lt;&gt;"C"),1,0)</f>
        <v>0</v>
      </c>
    </row>
    <row r="6380" customFormat="false" ht="15" hidden="false" customHeight="false" outlineLevel="0" collapsed="false">
      <c r="A6380" s="0" t="s">
        <v>3306</v>
      </c>
      <c r="B6380" s="0" t="s">
        <v>2585</v>
      </c>
      <c r="C6380" s="0" t="s">
        <v>2586</v>
      </c>
      <c r="D6380" s="0" t="n">
        <v>12</v>
      </c>
      <c r="E6380" s="6" t="n">
        <v>40872.4305555556</v>
      </c>
      <c r="F6380" s="0" t="n">
        <v>0.85</v>
      </c>
      <c r="G6380" s="0" t="n">
        <v>12620</v>
      </c>
      <c r="H6380" s="0" t="s">
        <v>43</v>
      </c>
      <c r="I6380" s="7" t="n">
        <f aca="false">IF(AND(LEFT(A6380,1)&lt;&gt;"C",D6380&gt;0,F6380&gt;0),1,0)</f>
        <v>1</v>
      </c>
      <c r="J6380" s="7" t="n">
        <f aca="false">IF(I6380=1,D6380*F6380,0)</f>
        <v>10.2</v>
      </c>
      <c r="K6380" s="7" t="n">
        <f aca="false">YEAR(E6380)*100+MONTH(E6380)</f>
        <v>201111</v>
      </c>
      <c r="L6380" s="7" t="n">
        <f aca="false">IF(AND(A6380&lt;&gt;A6379,LEFT(A6380,1)&lt;&gt;"C"),1,0)</f>
        <v>1</v>
      </c>
    </row>
    <row r="6381" customFormat="false" ht="15" hidden="false" customHeight="false" outlineLevel="0" collapsed="false">
      <c r="A6381" s="0" t="s">
        <v>3306</v>
      </c>
      <c r="B6381" s="0" t="s">
        <v>2116</v>
      </c>
      <c r="C6381" s="0" t="s">
        <v>2117</v>
      </c>
      <c r="D6381" s="0" t="n">
        <v>12</v>
      </c>
      <c r="E6381" s="6" t="n">
        <v>40872.4305555556</v>
      </c>
      <c r="F6381" s="0" t="n">
        <v>0.85</v>
      </c>
      <c r="G6381" s="0" t="n">
        <v>12620</v>
      </c>
      <c r="H6381" s="0" t="s">
        <v>43</v>
      </c>
      <c r="I6381" s="7" t="n">
        <f aca="false">IF(AND(LEFT(A6381,1)&lt;&gt;"C",D6381&gt;0,F6381&gt;0),1,0)</f>
        <v>1</v>
      </c>
      <c r="J6381" s="7" t="n">
        <f aca="false">IF(I6381=1,D6381*F6381,0)</f>
        <v>10.2</v>
      </c>
      <c r="K6381" s="7" t="n">
        <f aca="false">YEAR(E6381)*100+MONTH(E6381)</f>
        <v>201111</v>
      </c>
      <c r="L6381" s="7" t="n">
        <f aca="false">IF(AND(A6381&lt;&gt;A6380,LEFT(A6381,1)&lt;&gt;"C"),1,0)</f>
        <v>0</v>
      </c>
    </row>
    <row r="6382" customFormat="false" ht="15" hidden="false" customHeight="false" outlineLevel="0" collapsed="false">
      <c r="A6382" s="0" t="s">
        <v>3306</v>
      </c>
      <c r="B6382" s="0" t="s">
        <v>3307</v>
      </c>
      <c r="C6382" s="0" t="s">
        <v>3308</v>
      </c>
      <c r="D6382" s="0" t="n">
        <v>12</v>
      </c>
      <c r="E6382" s="6" t="n">
        <v>40872.4305555556</v>
      </c>
      <c r="F6382" s="0" t="n">
        <v>0.85</v>
      </c>
      <c r="G6382" s="0" t="n">
        <v>12620</v>
      </c>
      <c r="H6382" s="0" t="s">
        <v>43</v>
      </c>
      <c r="I6382" s="7" t="n">
        <f aca="false">IF(AND(LEFT(A6382,1)&lt;&gt;"C",D6382&gt;0,F6382&gt;0),1,0)</f>
        <v>1</v>
      </c>
      <c r="J6382" s="7" t="n">
        <f aca="false">IF(I6382=1,D6382*F6382,0)</f>
        <v>10.2</v>
      </c>
      <c r="K6382" s="7" t="n">
        <f aca="false">YEAR(E6382)*100+MONTH(E6382)</f>
        <v>201111</v>
      </c>
      <c r="L6382" s="7" t="n">
        <f aca="false">IF(AND(A6382&lt;&gt;A6381,LEFT(A6382,1)&lt;&gt;"C"),1,0)</f>
        <v>0</v>
      </c>
    </row>
    <row r="6383" customFormat="false" ht="15" hidden="false" customHeight="false" outlineLevel="0" collapsed="false">
      <c r="A6383" s="0" t="s">
        <v>3306</v>
      </c>
      <c r="B6383" s="0" t="s">
        <v>2636</v>
      </c>
      <c r="C6383" s="0" t="s">
        <v>2637</v>
      </c>
      <c r="D6383" s="0" t="n">
        <v>12</v>
      </c>
      <c r="E6383" s="6" t="n">
        <v>40872.4305555556</v>
      </c>
      <c r="F6383" s="0" t="n">
        <v>1.25</v>
      </c>
      <c r="G6383" s="0" t="n">
        <v>12620</v>
      </c>
      <c r="H6383" s="0" t="s">
        <v>43</v>
      </c>
      <c r="I6383" s="7" t="n">
        <f aca="false">IF(AND(LEFT(A6383,1)&lt;&gt;"C",D6383&gt;0,F6383&gt;0),1,0)</f>
        <v>1</v>
      </c>
      <c r="J6383" s="7" t="n">
        <f aca="false">IF(I6383=1,D6383*F6383,0)</f>
        <v>15</v>
      </c>
      <c r="K6383" s="7" t="n">
        <f aca="false">YEAR(E6383)*100+MONTH(E6383)</f>
        <v>201111</v>
      </c>
      <c r="L6383" s="7" t="n">
        <f aca="false">IF(AND(A6383&lt;&gt;A6382,LEFT(A6383,1)&lt;&gt;"C"),1,0)</f>
        <v>0</v>
      </c>
    </row>
    <row r="6384" customFormat="false" ht="15" hidden="false" customHeight="false" outlineLevel="0" collapsed="false">
      <c r="A6384" s="0" t="s">
        <v>3306</v>
      </c>
      <c r="B6384" s="0" t="s">
        <v>3309</v>
      </c>
      <c r="C6384" s="0" t="s">
        <v>3310</v>
      </c>
      <c r="D6384" s="0" t="n">
        <v>12</v>
      </c>
      <c r="E6384" s="6" t="n">
        <v>40872.4305555556</v>
      </c>
      <c r="F6384" s="0" t="n">
        <v>1.65</v>
      </c>
      <c r="G6384" s="0" t="n">
        <v>12620</v>
      </c>
      <c r="H6384" s="0" t="s">
        <v>43</v>
      </c>
      <c r="I6384" s="7" t="n">
        <f aca="false">IF(AND(LEFT(A6384,1)&lt;&gt;"C",D6384&gt;0,F6384&gt;0),1,0)</f>
        <v>1</v>
      </c>
      <c r="J6384" s="7" t="n">
        <f aca="false">IF(I6384=1,D6384*F6384,0)</f>
        <v>19.8</v>
      </c>
      <c r="K6384" s="7" t="n">
        <f aca="false">YEAR(E6384)*100+MONTH(E6384)</f>
        <v>201111</v>
      </c>
      <c r="L6384" s="7" t="n">
        <f aca="false">IF(AND(A6384&lt;&gt;A6383,LEFT(A6384,1)&lt;&gt;"C"),1,0)</f>
        <v>0</v>
      </c>
    </row>
    <row r="6385" customFormat="false" ht="15" hidden="false" customHeight="false" outlineLevel="0" collapsed="false">
      <c r="A6385" s="0" t="s">
        <v>3306</v>
      </c>
      <c r="B6385" s="0" t="s">
        <v>78</v>
      </c>
      <c r="C6385" s="0" t="s">
        <v>79</v>
      </c>
      <c r="D6385" s="0" t="n">
        <v>10</v>
      </c>
      <c r="E6385" s="6" t="n">
        <v>40872.4305555556</v>
      </c>
      <c r="F6385" s="0" t="n">
        <v>1.65</v>
      </c>
      <c r="G6385" s="0" t="n">
        <v>12620</v>
      </c>
      <c r="H6385" s="0" t="s">
        <v>43</v>
      </c>
      <c r="I6385" s="7" t="n">
        <f aca="false">IF(AND(LEFT(A6385,1)&lt;&gt;"C",D6385&gt;0,F6385&gt;0),1,0)</f>
        <v>1</v>
      </c>
      <c r="J6385" s="7" t="n">
        <f aca="false">IF(I6385=1,D6385*F6385,0)</f>
        <v>16.5</v>
      </c>
      <c r="K6385" s="7" t="n">
        <f aca="false">YEAR(E6385)*100+MONTH(E6385)</f>
        <v>201111</v>
      </c>
      <c r="L6385" s="7" t="n">
        <f aca="false">IF(AND(A6385&lt;&gt;A6384,LEFT(A6385,1)&lt;&gt;"C"),1,0)</f>
        <v>0</v>
      </c>
    </row>
    <row r="6386" customFormat="false" ht="15" hidden="false" customHeight="false" outlineLevel="0" collapsed="false">
      <c r="A6386" s="0" t="s">
        <v>3306</v>
      </c>
      <c r="B6386" s="0" t="s">
        <v>1403</v>
      </c>
      <c r="C6386" s="0" t="s">
        <v>1404</v>
      </c>
      <c r="D6386" s="0" t="n">
        <v>6</v>
      </c>
      <c r="E6386" s="6" t="n">
        <v>40872.4305555556</v>
      </c>
      <c r="F6386" s="0" t="n">
        <v>2.55</v>
      </c>
      <c r="G6386" s="0" t="n">
        <v>12620</v>
      </c>
      <c r="H6386" s="0" t="s">
        <v>43</v>
      </c>
      <c r="I6386" s="7" t="n">
        <f aca="false">IF(AND(LEFT(A6386,1)&lt;&gt;"C",D6386&gt;0,F6386&gt;0),1,0)</f>
        <v>1</v>
      </c>
      <c r="J6386" s="7" t="n">
        <f aca="false">IF(I6386=1,D6386*F6386,0)</f>
        <v>15.3</v>
      </c>
      <c r="K6386" s="7" t="n">
        <f aca="false">YEAR(E6386)*100+MONTH(E6386)</f>
        <v>201111</v>
      </c>
      <c r="L6386" s="7" t="n">
        <f aca="false">IF(AND(A6386&lt;&gt;A6385,LEFT(A6386,1)&lt;&gt;"C"),1,0)</f>
        <v>0</v>
      </c>
    </row>
    <row r="6387" customFormat="false" ht="15" hidden="false" customHeight="false" outlineLevel="0" collapsed="false">
      <c r="A6387" s="0" t="s">
        <v>3306</v>
      </c>
      <c r="B6387" s="0" t="s">
        <v>68</v>
      </c>
      <c r="C6387" s="0" t="s">
        <v>69</v>
      </c>
      <c r="D6387" s="0" t="n">
        <v>10</v>
      </c>
      <c r="E6387" s="6" t="n">
        <v>40872.4305555556</v>
      </c>
      <c r="F6387" s="0" t="n">
        <v>1.65</v>
      </c>
      <c r="G6387" s="0" t="n">
        <v>12620</v>
      </c>
      <c r="H6387" s="0" t="s">
        <v>43</v>
      </c>
      <c r="I6387" s="7" t="n">
        <f aca="false">IF(AND(LEFT(A6387,1)&lt;&gt;"C",D6387&gt;0,F6387&gt;0),1,0)</f>
        <v>1</v>
      </c>
      <c r="J6387" s="7" t="n">
        <f aca="false">IF(I6387=1,D6387*F6387,0)</f>
        <v>16.5</v>
      </c>
      <c r="K6387" s="7" t="n">
        <f aca="false">YEAR(E6387)*100+MONTH(E6387)</f>
        <v>201111</v>
      </c>
      <c r="L6387" s="7" t="n">
        <f aca="false">IF(AND(A6387&lt;&gt;A6386,LEFT(A6387,1)&lt;&gt;"C"),1,0)</f>
        <v>0</v>
      </c>
    </row>
    <row r="6388" customFormat="false" ht="15" hidden="false" customHeight="false" outlineLevel="0" collapsed="false">
      <c r="A6388" s="0" t="s">
        <v>3306</v>
      </c>
      <c r="B6388" s="0" t="s">
        <v>1085</v>
      </c>
      <c r="C6388" s="0" t="s">
        <v>1086</v>
      </c>
      <c r="D6388" s="0" t="n">
        <v>10</v>
      </c>
      <c r="E6388" s="6" t="n">
        <v>40872.4305555556</v>
      </c>
      <c r="F6388" s="0" t="n">
        <v>1.65</v>
      </c>
      <c r="G6388" s="0" t="n">
        <v>12620</v>
      </c>
      <c r="H6388" s="0" t="s">
        <v>43</v>
      </c>
      <c r="I6388" s="7" t="n">
        <f aca="false">IF(AND(LEFT(A6388,1)&lt;&gt;"C",D6388&gt;0,F6388&gt;0),1,0)</f>
        <v>1</v>
      </c>
      <c r="J6388" s="7" t="n">
        <f aca="false">IF(I6388=1,D6388*F6388,0)</f>
        <v>16.5</v>
      </c>
      <c r="K6388" s="7" t="n">
        <f aca="false">YEAR(E6388)*100+MONTH(E6388)</f>
        <v>201111</v>
      </c>
      <c r="L6388" s="7" t="n">
        <f aca="false">IF(AND(A6388&lt;&gt;A6387,LEFT(A6388,1)&lt;&gt;"C"),1,0)</f>
        <v>0</v>
      </c>
    </row>
    <row r="6389" customFormat="false" ht="15" hidden="false" customHeight="false" outlineLevel="0" collapsed="false">
      <c r="A6389" s="0" t="s">
        <v>3306</v>
      </c>
      <c r="B6389" s="0" t="s">
        <v>729</v>
      </c>
      <c r="C6389" s="0" t="s">
        <v>730</v>
      </c>
      <c r="D6389" s="0" t="n">
        <v>3</v>
      </c>
      <c r="E6389" s="6" t="n">
        <v>40872.4305555556</v>
      </c>
      <c r="F6389" s="0" t="n">
        <v>4.95</v>
      </c>
      <c r="G6389" s="0" t="n">
        <v>12620</v>
      </c>
      <c r="H6389" s="0" t="s">
        <v>43</v>
      </c>
      <c r="I6389" s="7" t="n">
        <f aca="false">IF(AND(LEFT(A6389,1)&lt;&gt;"C",D6389&gt;0,F6389&gt;0),1,0)</f>
        <v>1</v>
      </c>
      <c r="J6389" s="7" t="n">
        <f aca="false">IF(I6389=1,D6389*F6389,0)</f>
        <v>14.85</v>
      </c>
      <c r="K6389" s="7" t="n">
        <f aca="false">YEAR(E6389)*100+MONTH(E6389)</f>
        <v>201111</v>
      </c>
      <c r="L6389" s="7" t="n">
        <f aca="false">IF(AND(A6389&lt;&gt;A6388,LEFT(A6389,1)&lt;&gt;"C"),1,0)</f>
        <v>0</v>
      </c>
    </row>
    <row r="6390" customFormat="false" ht="15" hidden="false" customHeight="false" outlineLevel="0" collapsed="false">
      <c r="A6390" s="0" t="s">
        <v>3306</v>
      </c>
      <c r="B6390" s="0" t="s">
        <v>909</v>
      </c>
      <c r="C6390" s="0" t="s">
        <v>910</v>
      </c>
      <c r="D6390" s="0" t="n">
        <v>12</v>
      </c>
      <c r="E6390" s="6" t="n">
        <v>40872.4305555556</v>
      </c>
      <c r="F6390" s="0" t="n">
        <v>1.25</v>
      </c>
      <c r="G6390" s="0" t="n">
        <v>12620</v>
      </c>
      <c r="H6390" s="0" t="s">
        <v>43</v>
      </c>
      <c r="I6390" s="7" t="n">
        <f aca="false">IF(AND(LEFT(A6390,1)&lt;&gt;"C",D6390&gt;0,F6390&gt;0),1,0)</f>
        <v>1</v>
      </c>
      <c r="J6390" s="7" t="n">
        <f aca="false">IF(I6390=1,D6390*F6390,0)</f>
        <v>15</v>
      </c>
      <c r="K6390" s="7" t="n">
        <f aca="false">YEAR(E6390)*100+MONTH(E6390)</f>
        <v>201111</v>
      </c>
      <c r="L6390" s="7" t="n">
        <f aca="false">IF(AND(A6390&lt;&gt;A6389,LEFT(A6390,1)&lt;&gt;"C"),1,0)</f>
        <v>0</v>
      </c>
    </row>
    <row r="6391" customFormat="false" ht="15" hidden="false" customHeight="false" outlineLevel="0" collapsed="false">
      <c r="A6391" s="0" t="s">
        <v>3306</v>
      </c>
      <c r="B6391" s="0" t="s">
        <v>2487</v>
      </c>
      <c r="C6391" s="0" t="s">
        <v>2488</v>
      </c>
      <c r="D6391" s="0" t="n">
        <v>12</v>
      </c>
      <c r="E6391" s="6" t="n">
        <v>40872.4305555556</v>
      </c>
      <c r="F6391" s="0" t="n">
        <v>0.42</v>
      </c>
      <c r="G6391" s="0" t="n">
        <v>12620</v>
      </c>
      <c r="H6391" s="0" t="s">
        <v>43</v>
      </c>
      <c r="I6391" s="7" t="n">
        <f aca="false">IF(AND(LEFT(A6391,1)&lt;&gt;"C",D6391&gt;0,F6391&gt;0),1,0)</f>
        <v>1</v>
      </c>
      <c r="J6391" s="7" t="n">
        <f aca="false">IF(I6391=1,D6391*F6391,0)</f>
        <v>5.04</v>
      </c>
      <c r="K6391" s="7" t="n">
        <f aca="false">YEAR(E6391)*100+MONTH(E6391)</f>
        <v>201111</v>
      </c>
      <c r="L6391" s="7" t="n">
        <f aca="false">IF(AND(A6391&lt;&gt;A6390,LEFT(A6391,1)&lt;&gt;"C"),1,0)</f>
        <v>0</v>
      </c>
    </row>
    <row r="6392" customFormat="false" ht="15" hidden="false" customHeight="false" outlineLevel="0" collapsed="false">
      <c r="A6392" s="0" t="s">
        <v>3306</v>
      </c>
      <c r="B6392" s="0" t="s">
        <v>747</v>
      </c>
      <c r="C6392" s="0" t="s">
        <v>748</v>
      </c>
      <c r="D6392" s="0" t="n">
        <v>12</v>
      </c>
      <c r="E6392" s="6" t="n">
        <v>40872.4305555556</v>
      </c>
      <c r="F6392" s="0" t="n">
        <v>0.42</v>
      </c>
      <c r="G6392" s="0" t="n">
        <v>12620</v>
      </c>
      <c r="H6392" s="0" t="s">
        <v>43</v>
      </c>
      <c r="I6392" s="7" t="n">
        <f aca="false">IF(AND(LEFT(A6392,1)&lt;&gt;"C",D6392&gt;0,F6392&gt;0),1,0)</f>
        <v>1</v>
      </c>
      <c r="J6392" s="7" t="n">
        <f aca="false">IF(I6392=1,D6392*F6392,0)</f>
        <v>5.04</v>
      </c>
      <c r="K6392" s="7" t="n">
        <f aca="false">YEAR(E6392)*100+MONTH(E6392)</f>
        <v>201111</v>
      </c>
      <c r="L6392" s="7" t="n">
        <f aca="false">IF(AND(A6392&lt;&gt;A6391,LEFT(A6392,1)&lt;&gt;"C"),1,0)</f>
        <v>0</v>
      </c>
    </row>
    <row r="6393" customFormat="false" ht="15" hidden="false" customHeight="false" outlineLevel="0" collapsed="false">
      <c r="A6393" s="0" t="s">
        <v>3306</v>
      </c>
      <c r="B6393" s="0" t="s">
        <v>183</v>
      </c>
      <c r="C6393" s="0" t="s">
        <v>184</v>
      </c>
      <c r="D6393" s="0" t="n">
        <v>12</v>
      </c>
      <c r="E6393" s="6" t="n">
        <v>40872.4305555556</v>
      </c>
      <c r="F6393" s="0" t="n">
        <v>0.42</v>
      </c>
      <c r="G6393" s="0" t="n">
        <v>12620</v>
      </c>
      <c r="H6393" s="0" t="s">
        <v>43</v>
      </c>
      <c r="I6393" s="7" t="n">
        <f aca="false">IF(AND(LEFT(A6393,1)&lt;&gt;"C",D6393&gt;0,F6393&gt;0),1,0)</f>
        <v>1</v>
      </c>
      <c r="J6393" s="7" t="n">
        <f aca="false">IF(I6393=1,D6393*F6393,0)</f>
        <v>5.04</v>
      </c>
      <c r="K6393" s="7" t="n">
        <f aca="false">YEAR(E6393)*100+MONTH(E6393)</f>
        <v>201111</v>
      </c>
      <c r="L6393" s="7" t="n">
        <f aca="false">IF(AND(A6393&lt;&gt;A6392,LEFT(A6393,1)&lt;&gt;"C"),1,0)</f>
        <v>0</v>
      </c>
    </row>
    <row r="6394" customFormat="false" ht="15" hidden="false" customHeight="false" outlineLevel="0" collapsed="false">
      <c r="A6394" s="0" t="s">
        <v>3306</v>
      </c>
      <c r="B6394" s="0" t="s">
        <v>119</v>
      </c>
      <c r="C6394" s="0" t="s">
        <v>120</v>
      </c>
      <c r="D6394" s="0" t="n">
        <v>12</v>
      </c>
      <c r="E6394" s="6" t="n">
        <v>40872.4305555556</v>
      </c>
      <c r="F6394" s="0" t="n">
        <v>0.42</v>
      </c>
      <c r="G6394" s="0" t="n">
        <v>12620</v>
      </c>
      <c r="H6394" s="0" t="s">
        <v>43</v>
      </c>
      <c r="I6394" s="7" t="n">
        <f aca="false">IF(AND(LEFT(A6394,1)&lt;&gt;"C",D6394&gt;0,F6394&gt;0),1,0)</f>
        <v>1</v>
      </c>
      <c r="J6394" s="7" t="n">
        <f aca="false">IF(I6394=1,D6394*F6394,0)</f>
        <v>5.04</v>
      </c>
      <c r="K6394" s="7" t="n">
        <f aca="false">YEAR(E6394)*100+MONTH(E6394)</f>
        <v>201111</v>
      </c>
      <c r="L6394" s="7" t="n">
        <f aca="false">IF(AND(A6394&lt;&gt;A6393,LEFT(A6394,1)&lt;&gt;"C"),1,0)</f>
        <v>0</v>
      </c>
    </row>
    <row r="6395" customFormat="false" ht="15" hidden="false" customHeight="false" outlineLevel="0" collapsed="false">
      <c r="A6395" s="0" t="s">
        <v>3306</v>
      </c>
      <c r="B6395" s="0" t="s">
        <v>1561</v>
      </c>
      <c r="C6395" s="0" t="s">
        <v>1562</v>
      </c>
      <c r="D6395" s="0" t="n">
        <v>24</v>
      </c>
      <c r="E6395" s="6" t="n">
        <v>40872.4305555556</v>
      </c>
      <c r="F6395" s="0" t="n">
        <v>0.42</v>
      </c>
      <c r="G6395" s="0" t="n">
        <v>12620</v>
      </c>
      <c r="H6395" s="0" t="s">
        <v>43</v>
      </c>
      <c r="I6395" s="7" t="n">
        <f aca="false">IF(AND(LEFT(A6395,1)&lt;&gt;"C",D6395&gt;0,F6395&gt;0),1,0)</f>
        <v>1</v>
      </c>
      <c r="J6395" s="7" t="n">
        <f aca="false">IF(I6395=1,D6395*F6395,0)</f>
        <v>10.08</v>
      </c>
      <c r="K6395" s="7" t="n">
        <f aca="false">YEAR(E6395)*100+MONTH(E6395)</f>
        <v>201111</v>
      </c>
      <c r="L6395" s="7" t="n">
        <f aca="false">IF(AND(A6395&lt;&gt;A6394,LEFT(A6395,1)&lt;&gt;"C"),1,0)</f>
        <v>0</v>
      </c>
    </row>
    <row r="6396" customFormat="false" ht="15" hidden="false" customHeight="false" outlineLevel="0" collapsed="false">
      <c r="A6396" s="0" t="s">
        <v>3306</v>
      </c>
      <c r="B6396" s="0" t="s">
        <v>2340</v>
      </c>
      <c r="C6396" s="0" t="s">
        <v>2341</v>
      </c>
      <c r="D6396" s="0" t="n">
        <v>12</v>
      </c>
      <c r="E6396" s="6" t="n">
        <v>40872.4305555556</v>
      </c>
      <c r="F6396" s="0" t="n">
        <v>0.42</v>
      </c>
      <c r="G6396" s="0" t="n">
        <v>12620</v>
      </c>
      <c r="H6396" s="0" t="s">
        <v>43</v>
      </c>
      <c r="I6396" s="7" t="n">
        <f aca="false">IF(AND(LEFT(A6396,1)&lt;&gt;"C",D6396&gt;0,F6396&gt;0),1,0)</f>
        <v>1</v>
      </c>
      <c r="J6396" s="7" t="n">
        <f aca="false">IF(I6396=1,D6396*F6396,0)</f>
        <v>5.04</v>
      </c>
      <c r="K6396" s="7" t="n">
        <f aca="false">YEAR(E6396)*100+MONTH(E6396)</f>
        <v>201111</v>
      </c>
      <c r="L6396" s="7" t="n">
        <f aca="false">IF(AND(A6396&lt;&gt;A6395,LEFT(A6396,1)&lt;&gt;"C"),1,0)</f>
        <v>0</v>
      </c>
    </row>
    <row r="6397" customFormat="false" ht="15" hidden="false" customHeight="false" outlineLevel="0" collapsed="false">
      <c r="A6397" s="0" t="s">
        <v>3306</v>
      </c>
      <c r="B6397" s="0" t="s">
        <v>3311</v>
      </c>
      <c r="C6397" s="0" t="s">
        <v>3312</v>
      </c>
      <c r="D6397" s="0" t="n">
        <v>12</v>
      </c>
      <c r="E6397" s="6" t="n">
        <v>40872.4305555556</v>
      </c>
      <c r="F6397" s="0" t="n">
        <v>0.42</v>
      </c>
      <c r="G6397" s="0" t="n">
        <v>12620</v>
      </c>
      <c r="H6397" s="0" t="s">
        <v>43</v>
      </c>
      <c r="I6397" s="7" t="n">
        <f aca="false">IF(AND(LEFT(A6397,1)&lt;&gt;"C",D6397&gt;0,F6397&gt;0),1,0)</f>
        <v>1</v>
      </c>
      <c r="J6397" s="7" t="n">
        <f aca="false">IF(I6397=1,D6397*F6397,0)</f>
        <v>5.04</v>
      </c>
      <c r="K6397" s="7" t="n">
        <f aca="false">YEAR(E6397)*100+MONTH(E6397)</f>
        <v>201111</v>
      </c>
      <c r="L6397" s="7" t="n">
        <f aca="false">IF(AND(A6397&lt;&gt;A6396,LEFT(A6397,1)&lt;&gt;"C"),1,0)</f>
        <v>0</v>
      </c>
    </row>
    <row r="6398" customFormat="false" ht="15" hidden="false" customHeight="false" outlineLevel="0" collapsed="false">
      <c r="A6398" s="0" t="s">
        <v>3306</v>
      </c>
      <c r="B6398" s="0" t="s">
        <v>1541</v>
      </c>
      <c r="C6398" s="0" t="s">
        <v>1542</v>
      </c>
      <c r="D6398" s="0" t="n">
        <v>48</v>
      </c>
      <c r="E6398" s="6" t="n">
        <v>40872.4305555556</v>
      </c>
      <c r="F6398" s="0" t="n">
        <v>0.29</v>
      </c>
      <c r="G6398" s="0" t="n">
        <v>12620</v>
      </c>
      <c r="H6398" s="0" t="s">
        <v>43</v>
      </c>
      <c r="I6398" s="7" t="n">
        <f aca="false">IF(AND(LEFT(A6398,1)&lt;&gt;"C",D6398&gt;0,F6398&gt;0),1,0)</f>
        <v>1</v>
      </c>
      <c r="J6398" s="7" t="n">
        <f aca="false">IF(I6398=1,D6398*F6398,0)</f>
        <v>13.92</v>
      </c>
      <c r="K6398" s="7" t="n">
        <f aca="false">YEAR(E6398)*100+MONTH(E6398)</f>
        <v>201111</v>
      </c>
      <c r="L6398" s="7" t="n">
        <f aca="false">IF(AND(A6398&lt;&gt;A6397,LEFT(A6398,1)&lt;&gt;"C"),1,0)</f>
        <v>0</v>
      </c>
    </row>
    <row r="6399" customFormat="false" ht="15" hidden="false" customHeight="false" outlineLevel="0" collapsed="false">
      <c r="A6399" s="0" t="s">
        <v>3306</v>
      </c>
      <c r="B6399" s="0" t="s">
        <v>577</v>
      </c>
      <c r="C6399" s="0" t="s">
        <v>578</v>
      </c>
      <c r="D6399" s="0" t="n">
        <v>4</v>
      </c>
      <c r="E6399" s="6" t="n">
        <v>40872.4305555556</v>
      </c>
      <c r="F6399" s="0" t="n">
        <v>4.15</v>
      </c>
      <c r="G6399" s="0" t="n">
        <v>12620</v>
      </c>
      <c r="H6399" s="0" t="s">
        <v>43</v>
      </c>
      <c r="I6399" s="7" t="n">
        <f aca="false">IF(AND(LEFT(A6399,1)&lt;&gt;"C",D6399&gt;0,F6399&gt;0),1,0)</f>
        <v>1</v>
      </c>
      <c r="J6399" s="7" t="n">
        <f aca="false">IF(I6399=1,D6399*F6399,0)</f>
        <v>16.6</v>
      </c>
      <c r="K6399" s="7" t="n">
        <f aca="false">YEAR(E6399)*100+MONTH(E6399)</f>
        <v>201111</v>
      </c>
      <c r="L6399" s="7" t="n">
        <f aca="false">IF(AND(A6399&lt;&gt;A6398,LEFT(A6399,1)&lt;&gt;"C"),1,0)</f>
        <v>0</v>
      </c>
    </row>
    <row r="6400" customFormat="false" ht="15" hidden="false" customHeight="false" outlineLevel="0" collapsed="false">
      <c r="A6400" s="0" t="s">
        <v>3306</v>
      </c>
      <c r="B6400" s="0" t="s">
        <v>62</v>
      </c>
      <c r="C6400" s="0" t="s">
        <v>63</v>
      </c>
      <c r="D6400" s="0" t="n">
        <v>6</v>
      </c>
      <c r="E6400" s="6" t="n">
        <v>40872.4305555556</v>
      </c>
      <c r="F6400" s="0" t="n">
        <v>2.08</v>
      </c>
      <c r="G6400" s="0" t="n">
        <v>12620</v>
      </c>
      <c r="H6400" s="0" t="s">
        <v>43</v>
      </c>
      <c r="I6400" s="7" t="n">
        <f aca="false">IF(AND(LEFT(A6400,1)&lt;&gt;"C",D6400&gt;0,F6400&gt;0),1,0)</f>
        <v>1</v>
      </c>
      <c r="J6400" s="7" t="n">
        <f aca="false">IF(I6400=1,D6400*F6400,0)</f>
        <v>12.48</v>
      </c>
      <c r="K6400" s="7" t="n">
        <f aca="false">YEAR(E6400)*100+MONTH(E6400)</f>
        <v>201111</v>
      </c>
      <c r="L6400" s="7" t="n">
        <f aca="false">IF(AND(A6400&lt;&gt;A6399,LEFT(A6400,1)&lt;&gt;"C"),1,0)</f>
        <v>0</v>
      </c>
    </row>
    <row r="6401" customFormat="false" ht="15" hidden="false" customHeight="false" outlineLevel="0" collapsed="false">
      <c r="A6401" s="0" t="s">
        <v>3306</v>
      </c>
      <c r="B6401" s="0" t="s">
        <v>3313</v>
      </c>
      <c r="C6401" s="0" t="s">
        <v>3314</v>
      </c>
      <c r="D6401" s="0" t="n">
        <v>24</v>
      </c>
      <c r="E6401" s="6" t="n">
        <v>40872.4305555556</v>
      </c>
      <c r="F6401" s="0" t="n">
        <v>0.19</v>
      </c>
      <c r="G6401" s="0" t="n">
        <v>12620</v>
      </c>
      <c r="H6401" s="0" t="s">
        <v>43</v>
      </c>
      <c r="I6401" s="7" t="n">
        <f aca="false">IF(AND(LEFT(A6401,1)&lt;&gt;"C",D6401&gt;0,F6401&gt;0),1,0)</f>
        <v>1</v>
      </c>
      <c r="J6401" s="7" t="n">
        <f aca="false">IF(I6401=1,D6401*F6401,0)</f>
        <v>4.56</v>
      </c>
      <c r="K6401" s="7" t="n">
        <f aca="false">YEAR(E6401)*100+MONTH(E6401)</f>
        <v>201111</v>
      </c>
      <c r="L6401" s="7" t="n">
        <f aca="false">IF(AND(A6401&lt;&gt;A6400,LEFT(A6401,1)&lt;&gt;"C"),1,0)</f>
        <v>0</v>
      </c>
    </row>
    <row r="6402" customFormat="false" ht="15" hidden="false" customHeight="false" outlineLevel="0" collapsed="false">
      <c r="A6402" s="0" t="s">
        <v>3306</v>
      </c>
      <c r="B6402" s="0" t="s">
        <v>2886</v>
      </c>
      <c r="C6402" s="0" t="s">
        <v>2887</v>
      </c>
      <c r="D6402" s="0" t="n">
        <v>48</v>
      </c>
      <c r="E6402" s="6" t="n">
        <v>40872.4305555556</v>
      </c>
      <c r="F6402" s="0" t="n">
        <v>0.29</v>
      </c>
      <c r="G6402" s="0" t="n">
        <v>12620</v>
      </c>
      <c r="H6402" s="0" t="s">
        <v>43</v>
      </c>
      <c r="I6402" s="7" t="n">
        <f aca="false">IF(AND(LEFT(A6402,1)&lt;&gt;"C",D6402&gt;0,F6402&gt;0),1,0)</f>
        <v>1</v>
      </c>
      <c r="J6402" s="7" t="n">
        <f aca="false">IF(I6402=1,D6402*F6402,0)</f>
        <v>13.92</v>
      </c>
      <c r="K6402" s="7" t="n">
        <f aca="false">YEAR(E6402)*100+MONTH(E6402)</f>
        <v>201111</v>
      </c>
      <c r="L6402" s="7" t="n">
        <f aca="false">IF(AND(A6402&lt;&gt;A6401,LEFT(A6402,1)&lt;&gt;"C"),1,0)</f>
        <v>0</v>
      </c>
    </row>
    <row r="6403" customFormat="false" ht="15" hidden="false" customHeight="false" outlineLevel="0" collapsed="false">
      <c r="A6403" s="0" t="s">
        <v>3306</v>
      </c>
      <c r="B6403" s="0" t="s">
        <v>2002</v>
      </c>
      <c r="C6403" s="0" t="s">
        <v>2003</v>
      </c>
      <c r="D6403" s="0" t="n">
        <v>24</v>
      </c>
      <c r="E6403" s="6" t="n">
        <v>40872.4305555556</v>
      </c>
      <c r="F6403" s="0" t="n">
        <v>0.29</v>
      </c>
      <c r="G6403" s="0" t="n">
        <v>12620</v>
      </c>
      <c r="H6403" s="0" t="s">
        <v>43</v>
      </c>
      <c r="I6403" s="7" t="n">
        <f aca="false">IF(AND(LEFT(A6403,1)&lt;&gt;"C",D6403&gt;0,F6403&gt;0),1,0)</f>
        <v>1</v>
      </c>
      <c r="J6403" s="7" t="n">
        <f aca="false">IF(I6403=1,D6403*F6403,0)</f>
        <v>6.96</v>
      </c>
      <c r="K6403" s="7" t="n">
        <f aca="false">YEAR(E6403)*100+MONTH(E6403)</f>
        <v>201111</v>
      </c>
      <c r="L6403" s="7" t="n">
        <f aca="false">IF(AND(A6403&lt;&gt;A6402,LEFT(A6403,1)&lt;&gt;"C"),1,0)</f>
        <v>0</v>
      </c>
    </row>
    <row r="6404" customFormat="false" ht="15" hidden="false" customHeight="false" outlineLevel="0" collapsed="false">
      <c r="A6404" s="0" t="s">
        <v>3306</v>
      </c>
      <c r="B6404" s="0" t="s">
        <v>3315</v>
      </c>
      <c r="C6404" s="0" t="s">
        <v>3316</v>
      </c>
      <c r="D6404" s="0" t="n">
        <v>12</v>
      </c>
      <c r="E6404" s="6" t="n">
        <v>40872.4305555556</v>
      </c>
      <c r="F6404" s="0" t="n">
        <v>0.39</v>
      </c>
      <c r="G6404" s="0" t="n">
        <v>12620</v>
      </c>
      <c r="H6404" s="0" t="s">
        <v>43</v>
      </c>
      <c r="I6404" s="7" t="n">
        <f aca="false">IF(AND(LEFT(A6404,1)&lt;&gt;"C",D6404&gt;0,F6404&gt;0),1,0)</f>
        <v>1</v>
      </c>
      <c r="J6404" s="7" t="n">
        <f aca="false">IF(I6404=1,D6404*F6404,0)</f>
        <v>4.68</v>
      </c>
      <c r="K6404" s="7" t="n">
        <f aca="false">YEAR(E6404)*100+MONTH(E6404)</f>
        <v>201111</v>
      </c>
      <c r="L6404" s="7" t="n">
        <f aca="false">IF(AND(A6404&lt;&gt;A6403,LEFT(A6404,1)&lt;&gt;"C"),1,0)</f>
        <v>0</v>
      </c>
    </row>
    <row r="6405" customFormat="false" ht="15" hidden="false" customHeight="false" outlineLevel="0" collapsed="false">
      <c r="A6405" s="0" t="s">
        <v>3306</v>
      </c>
      <c r="B6405" s="0" t="s">
        <v>1491</v>
      </c>
      <c r="C6405" s="0" t="s">
        <v>1492</v>
      </c>
      <c r="D6405" s="0" t="n">
        <v>6</v>
      </c>
      <c r="E6405" s="6" t="n">
        <v>40872.4305555556</v>
      </c>
      <c r="F6405" s="0" t="n">
        <v>1</v>
      </c>
      <c r="G6405" s="0" t="n">
        <v>12620</v>
      </c>
      <c r="H6405" s="0" t="s">
        <v>43</v>
      </c>
      <c r="I6405" s="7" t="n">
        <f aca="false">IF(AND(LEFT(A6405,1)&lt;&gt;"C",D6405&gt;0,F6405&gt;0),1,0)</f>
        <v>1</v>
      </c>
      <c r="J6405" s="7" t="n">
        <f aca="false">IF(I6405=1,D6405*F6405,0)</f>
        <v>6</v>
      </c>
      <c r="K6405" s="7" t="n">
        <f aca="false">YEAR(E6405)*100+MONTH(E6405)</f>
        <v>201111</v>
      </c>
      <c r="L6405" s="7" t="n">
        <f aca="false">IF(AND(A6405&lt;&gt;A6404,LEFT(A6405,1)&lt;&gt;"C"),1,0)</f>
        <v>0</v>
      </c>
    </row>
    <row r="6406" customFormat="false" ht="15" hidden="false" customHeight="false" outlineLevel="0" collapsed="false">
      <c r="A6406" s="0" t="s">
        <v>3306</v>
      </c>
      <c r="B6406" s="0" t="s">
        <v>1497</v>
      </c>
      <c r="C6406" s="0" t="s">
        <v>1498</v>
      </c>
      <c r="D6406" s="0" t="n">
        <v>6</v>
      </c>
      <c r="E6406" s="6" t="n">
        <v>40872.4305555556</v>
      </c>
      <c r="F6406" s="0" t="n">
        <v>1</v>
      </c>
      <c r="G6406" s="0" t="n">
        <v>12620</v>
      </c>
      <c r="H6406" s="0" t="s">
        <v>43</v>
      </c>
      <c r="I6406" s="7" t="n">
        <f aca="false">IF(AND(LEFT(A6406,1)&lt;&gt;"C",D6406&gt;0,F6406&gt;0),1,0)</f>
        <v>1</v>
      </c>
      <c r="J6406" s="7" t="n">
        <f aca="false">IF(I6406=1,D6406*F6406,0)</f>
        <v>6</v>
      </c>
      <c r="K6406" s="7" t="n">
        <f aca="false">YEAR(E6406)*100+MONTH(E6406)</f>
        <v>201111</v>
      </c>
      <c r="L6406" s="7" t="n">
        <f aca="false">IF(AND(A6406&lt;&gt;A6405,LEFT(A6406,1)&lt;&gt;"C"),1,0)</f>
        <v>0</v>
      </c>
    </row>
    <row r="6407" customFormat="false" ht="15" hidden="false" customHeight="false" outlineLevel="0" collapsed="false">
      <c r="A6407" s="0" t="s">
        <v>3306</v>
      </c>
      <c r="B6407" s="0" t="s">
        <v>1495</v>
      </c>
      <c r="C6407" s="0" t="s">
        <v>1496</v>
      </c>
      <c r="D6407" s="0" t="n">
        <v>6</v>
      </c>
      <c r="E6407" s="6" t="n">
        <v>40872.4305555556</v>
      </c>
      <c r="F6407" s="0" t="n">
        <v>1</v>
      </c>
      <c r="G6407" s="0" t="n">
        <v>12620</v>
      </c>
      <c r="H6407" s="0" t="s">
        <v>43</v>
      </c>
      <c r="I6407" s="7" t="n">
        <f aca="false">IF(AND(LEFT(A6407,1)&lt;&gt;"C",D6407&gt;0,F6407&gt;0),1,0)</f>
        <v>1</v>
      </c>
      <c r="J6407" s="7" t="n">
        <f aca="false">IF(I6407=1,D6407*F6407,0)</f>
        <v>6</v>
      </c>
      <c r="K6407" s="7" t="n">
        <f aca="false">YEAR(E6407)*100+MONTH(E6407)</f>
        <v>201111</v>
      </c>
      <c r="L6407" s="7" t="n">
        <f aca="false">IF(AND(A6407&lt;&gt;A6406,LEFT(A6407,1)&lt;&gt;"C"),1,0)</f>
        <v>0</v>
      </c>
    </row>
    <row r="6408" customFormat="false" ht="15" hidden="false" customHeight="false" outlineLevel="0" collapsed="false">
      <c r="A6408" s="0" t="s">
        <v>3306</v>
      </c>
      <c r="B6408" s="0" t="s">
        <v>861</v>
      </c>
      <c r="C6408" s="0" t="s">
        <v>862</v>
      </c>
      <c r="D6408" s="0" t="n">
        <v>6</v>
      </c>
      <c r="E6408" s="6" t="n">
        <v>40872.4305555556</v>
      </c>
      <c r="F6408" s="0" t="n">
        <v>2.55</v>
      </c>
      <c r="G6408" s="0" t="n">
        <v>12620</v>
      </c>
      <c r="H6408" s="0" t="s">
        <v>43</v>
      </c>
      <c r="I6408" s="7" t="n">
        <f aca="false">IF(AND(LEFT(A6408,1)&lt;&gt;"C",D6408&gt;0,F6408&gt;0),1,0)</f>
        <v>1</v>
      </c>
      <c r="J6408" s="7" t="n">
        <f aca="false">IF(I6408=1,D6408*F6408,0)</f>
        <v>15.3</v>
      </c>
      <c r="K6408" s="7" t="n">
        <f aca="false">YEAR(E6408)*100+MONTH(E6408)</f>
        <v>201111</v>
      </c>
      <c r="L6408" s="7" t="n">
        <f aca="false">IF(AND(A6408&lt;&gt;A6407,LEFT(A6408,1)&lt;&gt;"C"),1,0)</f>
        <v>0</v>
      </c>
    </row>
    <row r="6409" customFormat="false" ht="15" hidden="false" customHeight="false" outlineLevel="0" collapsed="false">
      <c r="A6409" s="0" t="s">
        <v>3306</v>
      </c>
      <c r="B6409" s="0" t="s">
        <v>1794</v>
      </c>
      <c r="C6409" s="0" t="s">
        <v>1795</v>
      </c>
      <c r="D6409" s="0" t="n">
        <v>6</v>
      </c>
      <c r="E6409" s="6" t="n">
        <v>40872.4305555556</v>
      </c>
      <c r="F6409" s="0" t="n">
        <v>2.49</v>
      </c>
      <c r="G6409" s="0" t="n">
        <v>12620</v>
      </c>
      <c r="H6409" s="0" t="s">
        <v>43</v>
      </c>
      <c r="I6409" s="7" t="n">
        <f aca="false">IF(AND(LEFT(A6409,1)&lt;&gt;"C",D6409&gt;0,F6409&gt;0),1,0)</f>
        <v>1</v>
      </c>
      <c r="J6409" s="7" t="n">
        <f aca="false">IF(I6409=1,D6409*F6409,0)</f>
        <v>14.94</v>
      </c>
      <c r="K6409" s="7" t="n">
        <f aca="false">YEAR(E6409)*100+MONTH(E6409)</f>
        <v>201111</v>
      </c>
      <c r="L6409" s="7" t="n">
        <f aca="false">IF(AND(A6409&lt;&gt;A6408,LEFT(A6409,1)&lt;&gt;"C"),1,0)</f>
        <v>0</v>
      </c>
    </row>
    <row r="6410" customFormat="false" ht="15" hidden="false" customHeight="false" outlineLevel="0" collapsed="false">
      <c r="A6410" s="0" t="s">
        <v>3306</v>
      </c>
      <c r="B6410" s="0" t="s">
        <v>1555</v>
      </c>
      <c r="C6410" s="0" t="s">
        <v>1556</v>
      </c>
      <c r="D6410" s="0" t="n">
        <v>12</v>
      </c>
      <c r="E6410" s="6" t="n">
        <v>40872.4305555556</v>
      </c>
      <c r="F6410" s="0" t="n">
        <v>0.42</v>
      </c>
      <c r="G6410" s="0" t="n">
        <v>12620</v>
      </c>
      <c r="H6410" s="0" t="s">
        <v>43</v>
      </c>
      <c r="I6410" s="7" t="n">
        <f aca="false">IF(AND(LEFT(A6410,1)&lt;&gt;"C",D6410&gt;0,F6410&gt;0),1,0)</f>
        <v>1</v>
      </c>
      <c r="J6410" s="7" t="n">
        <f aca="false">IF(I6410=1,D6410*F6410,0)</f>
        <v>5.04</v>
      </c>
      <c r="K6410" s="7" t="n">
        <f aca="false">YEAR(E6410)*100+MONTH(E6410)</f>
        <v>201111</v>
      </c>
      <c r="L6410" s="7" t="n">
        <f aca="false">IF(AND(A6410&lt;&gt;A6409,LEFT(A6410,1)&lt;&gt;"C"),1,0)</f>
        <v>0</v>
      </c>
    </row>
    <row r="6411" customFormat="false" ht="15" hidden="false" customHeight="false" outlineLevel="0" collapsed="false">
      <c r="A6411" s="0" t="s">
        <v>3306</v>
      </c>
      <c r="B6411" s="0" t="s">
        <v>1294</v>
      </c>
      <c r="C6411" s="0" t="s">
        <v>1295</v>
      </c>
      <c r="D6411" s="0" t="n">
        <v>12</v>
      </c>
      <c r="E6411" s="6" t="n">
        <v>40872.4305555556</v>
      </c>
      <c r="F6411" s="0" t="n">
        <v>0.42</v>
      </c>
      <c r="G6411" s="0" t="n">
        <v>12620</v>
      </c>
      <c r="H6411" s="0" t="s">
        <v>43</v>
      </c>
      <c r="I6411" s="7" t="n">
        <f aca="false">IF(AND(LEFT(A6411,1)&lt;&gt;"C",D6411&gt;0,F6411&gt;0),1,0)</f>
        <v>1</v>
      </c>
      <c r="J6411" s="7" t="n">
        <f aca="false">IF(I6411=1,D6411*F6411,0)</f>
        <v>5.04</v>
      </c>
      <c r="K6411" s="7" t="n">
        <f aca="false">YEAR(E6411)*100+MONTH(E6411)</f>
        <v>201111</v>
      </c>
      <c r="L6411" s="7" t="n">
        <f aca="false">IF(AND(A6411&lt;&gt;A6410,LEFT(A6411,1)&lt;&gt;"C"),1,0)</f>
        <v>0</v>
      </c>
    </row>
    <row r="6412" customFormat="false" ht="15" hidden="false" customHeight="false" outlineLevel="0" collapsed="false">
      <c r="A6412" s="0" t="s">
        <v>3306</v>
      </c>
      <c r="B6412" s="0" t="s">
        <v>1189</v>
      </c>
      <c r="C6412" s="0" t="s">
        <v>1190</v>
      </c>
      <c r="D6412" s="0" t="n">
        <v>6</v>
      </c>
      <c r="E6412" s="6" t="n">
        <v>40872.4305555556</v>
      </c>
      <c r="F6412" s="0" t="n">
        <v>2.89</v>
      </c>
      <c r="G6412" s="0" t="n">
        <v>12620</v>
      </c>
      <c r="H6412" s="0" t="s">
        <v>43</v>
      </c>
      <c r="I6412" s="7" t="n">
        <f aca="false">IF(AND(LEFT(A6412,1)&lt;&gt;"C",D6412&gt;0,F6412&gt;0),1,0)</f>
        <v>1</v>
      </c>
      <c r="J6412" s="7" t="n">
        <f aca="false">IF(I6412=1,D6412*F6412,0)</f>
        <v>17.34</v>
      </c>
      <c r="K6412" s="7" t="n">
        <f aca="false">YEAR(E6412)*100+MONTH(E6412)</f>
        <v>201111</v>
      </c>
      <c r="L6412" s="7" t="n">
        <f aca="false">IF(AND(A6412&lt;&gt;A6411,LEFT(A6412,1)&lt;&gt;"C"),1,0)</f>
        <v>0</v>
      </c>
    </row>
    <row r="6413" customFormat="false" ht="15" hidden="false" customHeight="false" outlineLevel="0" collapsed="false">
      <c r="A6413" s="0" t="s">
        <v>3306</v>
      </c>
      <c r="B6413" s="0" t="s">
        <v>1099</v>
      </c>
      <c r="C6413" s="0" t="s">
        <v>1100</v>
      </c>
      <c r="D6413" s="0" t="n">
        <v>6</v>
      </c>
      <c r="E6413" s="6" t="n">
        <v>40872.4305555556</v>
      </c>
      <c r="F6413" s="0" t="n">
        <v>2.49</v>
      </c>
      <c r="G6413" s="0" t="n">
        <v>12620</v>
      </c>
      <c r="H6413" s="0" t="s">
        <v>43</v>
      </c>
      <c r="I6413" s="7" t="n">
        <f aca="false">IF(AND(LEFT(A6413,1)&lt;&gt;"C",D6413&gt;0,F6413&gt;0),1,0)</f>
        <v>1</v>
      </c>
      <c r="J6413" s="7" t="n">
        <f aca="false">IF(I6413=1,D6413*F6413,0)</f>
        <v>14.94</v>
      </c>
      <c r="K6413" s="7" t="n">
        <f aca="false">YEAR(E6413)*100+MONTH(E6413)</f>
        <v>201111</v>
      </c>
      <c r="L6413" s="7" t="n">
        <f aca="false">IF(AND(A6413&lt;&gt;A6412,LEFT(A6413,1)&lt;&gt;"C"),1,0)</f>
        <v>0</v>
      </c>
    </row>
    <row r="6414" customFormat="false" ht="15" hidden="false" customHeight="false" outlineLevel="0" collapsed="false">
      <c r="A6414" s="0" t="s">
        <v>3306</v>
      </c>
      <c r="B6414" s="0" t="s">
        <v>84</v>
      </c>
      <c r="C6414" s="0" t="s">
        <v>85</v>
      </c>
      <c r="D6414" s="0" t="n">
        <v>2</v>
      </c>
      <c r="E6414" s="6" t="n">
        <v>40872.4305555556</v>
      </c>
      <c r="F6414" s="0" t="n">
        <v>18</v>
      </c>
      <c r="G6414" s="0" t="n">
        <v>12620</v>
      </c>
      <c r="H6414" s="0" t="s">
        <v>43</v>
      </c>
      <c r="I6414" s="7" t="n">
        <f aca="false">IF(AND(LEFT(A6414,1)&lt;&gt;"C",D6414&gt;0,F6414&gt;0),1,0)</f>
        <v>1</v>
      </c>
      <c r="J6414" s="7" t="n">
        <f aca="false">IF(I6414=1,D6414*F6414,0)</f>
        <v>36</v>
      </c>
      <c r="K6414" s="7" t="n">
        <f aca="false">YEAR(E6414)*100+MONTH(E6414)</f>
        <v>201111</v>
      </c>
      <c r="L6414" s="7" t="n">
        <f aca="false">IF(AND(A6414&lt;&gt;A6413,LEFT(A6414,1)&lt;&gt;"C"),1,0)</f>
        <v>0</v>
      </c>
    </row>
    <row r="6415" customFormat="false" ht="15" hidden="false" customHeight="false" outlineLevel="0" collapsed="false">
      <c r="A6415" s="0" t="s">
        <v>3317</v>
      </c>
      <c r="B6415" s="0" t="s">
        <v>1858</v>
      </c>
      <c r="C6415" s="0" t="s">
        <v>1859</v>
      </c>
      <c r="D6415" s="0" t="n">
        <v>3</v>
      </c>
      <c r="E6415" s="6" t="n">
        <v>40872.4666666667</v>
      </c>
      <c r="F6415" s="0" t="n">
        <v>1.45</v>
      </c>
      <c r="G6415" s="0" t="n">
        <v>12531</v>
      </c>
      <c r="H6415" s="0" t="s">
        <v>33</v>
      </c>
      <c r="I6415" s="7" t="n">
        <f aca="false">IF(AND(LEFT(A6415,1)&lt;&gt;"C",D6415&gt;0,F6415&gt;0),1,0)</f>
        <v>1</v>
      </c>
      <c r="J6415" s="7" t="n">
        <f aca="false">IF(I6415=1,D6415*F6415,0)</f>
        <v>4.35</v>
      </c>
      <c r="K6415" s="7" t="n">
        <f aca="false">YEAR(E6415)*100+MONTH(E6415)</f>
        <v>201111</v>
      </c>
      <c r="L6415" s="7" t="n">
        <f aca="false">IF(AND(A6415&lt;&gt;A6414,LEFT(A6415,1)&lt;&gt;"C"),1,0)</f>
        <v>1</v>
      </c>
    </row>
    <row r="6416" customFormat="false" ht="15" hidden="false" customHeight="false" outlineLevel="0" collapsed="false">
      <c r="A6416" s="0" t="s">
        <v>3317</v>
      </c>
      <c r="B6416" s="0" t="s">
        <v>2655</v>
      </c>
      <c r="C6416" s="0" t="s">
        <v>2656</v>
      </c>
      <c r="D6416" s="0" t="n">
        <v>2</v>
      </c>
      <c r="E6416" s="6" t="n">
        <v>40872.4666666667</v>
      </c>
      <c r="F6416" s="0" t="n">
        <v>4.95</v>
      </c>
      <c r="G6416" s="0" t="n">
        <v>12531</v>
      </c>
      <c r="H6416" s="0" t="s">
        <v>33</v>
      </c>
      <c r="I6416" s="7" t="n">
        <f aca="false">IF(AND(LEFT(A6416,1)&lt;&gt;"C",D6416&gt;0,F6416&gt;0),1,0)</f>
        <v>1</v>
      </c>
      <c r="J6416" s="7" t="n">
        <f aca="false">IF(I6416=1,D6416*F6416,0)</f>
        <v>9.9</v>
      </c>
      <c r="K6416" s="7" t="n">
        <f aca="false">YEAR(E6416)*100+MONTH(E6416)</f>
        <v>201111</v>
      </c>
      <c r="L6416" s="7" t="n">
        <f aca="false">IF(AND(A6416&lt;&gt;A6415,LEFT(A6416,1)&lt;&gt;"C"),1,0)</f>
        <v>0</v>
      </c>
    </row>
    <row r="6417" customFormat="false" ht="15" hidden="false" customHeight="false" outlineLevel="0" collapsed="false">
      <c r="A6417" s="0" t="s">
        <v>3317</v>
      </c>
      <c r="B6417" s="0" t="s">
        <v>569</v>
      </c>
      <c r="C6417" s="0" t="s">
        <v>570</v>
      </c>
      <c r="D6417" s="0" t="n">
        <v>2</v>
      </c>
      <c r="E6417" s="6" t="n">
        <v>40872.4666666667</v>
      </c>
      <c r="F6417" s="0" t="n">
        <v>2.08</v>
      </c>
      <c r="G6417" s="0" t="n">
        <v>12531</v>
      </c>
      <c r="H6417" s="0" t="s">
        <v>33</v>
      </c>
      <c r="I6417" s="7" t="n">
        <f aca="false">IF(AND(LEFT(A6417,1)&lt;&gt;"C",D6417&gt;0,F6417&gt;0),1,0)</f>
        <v>1</v>
      </c>
      <c r="J6417" s="7" t="n">
        <f aca="false">IF(I6417=1,D6417*F6417,0)</f>
        <v>4.16</v>
      </c>
      <c r="K6417" s="7" t="n">
        <f aca="false">YEAR(E6417)*100+MONTH(E6417)</f>
        <v>201111</v>
      </c>
      <c r="L6417" s="7" t="n">
        <f aca="false">IF(AND(A6417&lt;&gt;A6416,LEFT(A6417,1)&lt;&gt;"C"),1,0)</f>
        <v>0</v>
      </c>
    </row>
    <row r="6418" customFormat="false" ht="15" hidden="false" customHeight="false" outlineLevel="0" collapsed="false">
      <c r="A6418" s="0" t="s">
        <v>3317</v>
      </c>
      <c r="B6418" s="0" t="s">
        <v>3318</v>
      </c>
      <c r="C6418" s="0" t="s">
        <v>3319</v>
      </c>
      <c r="D6418" s="0" t="n">
        <v>1</v>
      </c>
      <c r="E6418" s="6" t="n">
        <v>40872.4666666667</v>
      </c>
      <c r="F6418" s="0" t="n">
        <v>0.85</v>
      </c>
      <c r="G6418" s="0" t="n">
        <v>12531</v>
      </c>
      <c r="H6418" s="0" t="s">
        <v>33</v>
      </c>
      <c r="I6418" s="7" t="n">
        <f aca="false">IF(AND(LEFT(A6418,1)&lt;&gt;"C",D6418&gt;0,F6418&gt;0),1,0)</f>
        <v>1</v>
      </c>
      <c r="J6418" s="7" t="n">
        <f aca="false">IF(I6418=1,D6418*F6418,0)</f>
        <v>0.85</v>
      </c>
      <c r="K6418" s="7" t="n">
        <f aca="false">YEAR(E6418)*100+MONTH(E6418)</f>
        <v>201111</v>
      </c>
      <c r="L6418" s="7" t="n">
        <f aca="false">IF(AND(A6418&lt;&gt;A6417,LEFT(A6418,1)&lt;&gt;"C"),1,0)</f>
        <v>0</v>
      </c>
    </row>
    <row r="6419" customFormat="false" ht="15" hidden="false" customHeight="false" outlineLevel="0" collapsed="false">
      <c r="A6419" s="0" t="s">
        <v>3317</v>
      </c>
      <c r="B6419" s="0" t="s">
        <v>3320</v>
      </c>
      <c r="C6419" s="0" t="s">
        <v>3321</v>
      </c>
      <c r="D6419" s="0" t="n">
        <v>1</v>
      </c>
      <c r="E6419" s="6" t="n">
        <v>40872.4666666667</v>
      </c>
      <c r="F6419" s="0" t="n">
        <v>1.65</v>
      </c>
      <c r="G6419" s="0" t="n">
        <v>12531</v>
      </c>
      <c r="H6419" s="0" t="s">
        <v>33</v>
      </c>
      <c r="I6419" s="7" t="n">
        <f aca="false">IF(AND(LEFT(A6419,1)&lt;&gt;"C",D6419&gt;0,F6419&gt;0),1,0)</f>
        <v>1</v>
      </c>
      <c r="J6419" s="7" t="n">
        <f aca="false">IF(I6419=1,D6419*F6419,0)</f>
        <v>1.65</v>
      </c>
      <c r="K6419" s="7" t="n">
        <f aca="false">YEAR(E6419)*100+MONTH(E6419)</f>
        <v>201111</v>
      </c>
      <c r="L6419" s="7" t="n">
        <f aca="false">IF(AND(A6419&lt;&gt;A6418,LEFT(A6419,1)&lt;&gt;"C"),1,0)</f>
        <v>0</v>
      </c>
    </row>
    <row r="6420" customFormat="false" ht="15" hidden="false" customHeight="false" outlineLevel="0" collapsed="false">
      <c r="A6420" s="0" t="s">
        <v>3317</v>
      </c>
      <c r="B6420" s="0" t="s">
        <v>3021</v>
      </c>
      <c r="C6420" s="0" t="s">
        <v>3022</v>
      </c>
      <c r="D6420" s="0" t="n">
        <v>2</v>
      </c>
      <c r="E6420" s="6" t="n">
        <v>40872.4666666667</v>
      </c>
      <c r="F6420" s="0" t="n">
        <v>1.25</v>
      </c>
      <c r="G6420" s="0" t="n">
        <v>12531</v>
      </c>
      <c r="H6420" s="0" t="s">
        <v>33</v>
      </c>
      <c r="I6420" s="7" t="n">
        <f aca="false">IF(AND(LEFT(A6420,1)&lt;&gt;"C",D6420&gt;0,F6420&gt;0),1,0)</f>
        <v>1</v>
      </c>
      <c r="J6420" s="7" t="n">
        <f aca="false">IF(I6420=1,D6420*F6420,0)</f>
        <v>2.5</v>
      </c>
      <c r="K6420" s="7" t="n">
        <f aca="false">YEAR(E6420)*100+MONTH(E6420)</f>
        <v>201111</v>
      </c>
      <c r="L6420" s="7" t="n">
        <f aca="false">IF(AND(A6420&lt;&gt;A6419,LEFT(A6420,1)&lt;&gt;"C"),1,0)</f>
        <v>0</v>
      </c>
    </row>
    <row r="6421" customFormat="false" ht="15" hidden="false" customHeight="false" outlineLevel="0" collapsed="false">
      <c r="A6421" s="0" t="s">
        <v>3317</v>
      </c>
      <c r="B6421" s="0" t="s">
        <v>2401</v>
      </c>
      <c r="C6421" s="0" t="s">
        <v>2402</v>
      </c>
      <c r="D6421" s="0" t="n">
        <v>2</v>
      </c>
      <c r="E6421" s="6" t="n">
        <v>40872.4666666667</v>
      </c>
      <c r="F6421" s="0" t="n">
        <v>2.95</v>
      </c>
      <c r="G6421" s="0" t="n">
        <v>12531</v>
      </c>
      <c r="H6421" s="0" t="s">
        <v>33</v>
      </c>
      <c r="I6421" s="7" t="n">
        <f aca="false">IF(AND(LEFT(A6421,1)&lt;&gt;"C",D6421&gt;0,F6421&gt;0),1,0)</f>
        <v>1</v>
      </c>
      <c r="J6421" s="7" t="n">
        <f aca="false">IF(I6421=1,D6421*F6421,0)</f>
        <v>5.9</v>
      </c>
      <c r="K6421" s="7" t="n">
        <f aca="false">YEAR(E6421)*100+MONTH(E6421)</f>
        <v>201111</v>
      </c>
      <c r="L6421" s="7" t="n">
        <f aca="false">IF(AND(A6421&lt;&gt;A6420,LEFT(A6421,1)&lt;&gt;"C"),1,0)</f>
        <v>0</v>
      </c>
    </row>
    <row r="6422" customFormat="false" ht="15" hidden="false" customHeight="false" outlineLevel="0" collapsed="false">
      <c r="A6422" s="0" t="s">
        <v>3317</v>
      </c>
      <c r="B6422" s="0" t="s">
        <v>893</v>
      </c>
      <c r="C6422" s="0" t="s">
        <v>894</v>
      </c>
      <c r="D6422" s="0" t="n">
        <v>3</v>
      </c>
      <c r="E6422" s="6" t="n">
        <v>40872.4666666667</v>
      </c>
      <c r="F6422" s="0" t="n">
        <v>2.95</v>
      </c>
      <c r="G6422" s="0" t="n">
        <v>12531</v>
      </c>
      <c r="H6422" s="0" t="s">
        <v>33</v>
      </c>
      <c r="I6422" s="7" t="n">
        <f aca="false">IF(AND(LEFT(A6422,1)&lt;&gt;"C",D6422&gt;0,F6422&gt;0),1,0)</f>
        <v>1</v>
      </c>
      <c r="J6422" s="7" t="n">
        <f aca="false">IF(I6422=1,D6422*F6422,0)</f>
        <v>8.85</v>
      </c>
      <c r="K6422" s="7" t="n">
        <f aca="false">YEAR(E6422)*100+MONTH(E6422)</f>
        <v>201111</v>
      </c>
      <c r="L6422" s="7" t="n">
        <f aca="false">IF(AND(A6422&lt;&gt;A6421,LEFT(A6422,1)&lt;&gt;"C"),1,0)</f>
        <v>0</v>
      </c>
    </row>
    <row r="6423" customFormat="false" ht="15" hidden="false" customHeight="false" outlineLevel="0" collapsed="false">
      <c r="A6423" s="0" t="s">
        <v>3317</v>
      </c>
      <c r="B6423" s="0" t="s">
        <v>308</v>
      </c>
      <c r="C6423" s="0" t="s">
        <v>309</v>
      </c>
      <c r="D6423" s="0" t="n">
        <v>3</v>
      </c>
      <c r="E6423" s="6" t="n">
        <v>40872.4666666667</v>
      </c>
      <c r="F6423" s="0" t="n">
        <v>1.25</v>
      </c>
      <c r="G6423" s="0" t="n">
        <v>12531</v>
      </c>
      <c r="H6423" s="0" t="s">
        <v>33</v>
      </c>
      <c r="I6423" s="7" t="n">
        <f aca="false">IF(AND(LEFT(A6423,1)&lt;&gt;"C",D6423&gt;0,F6423&gt;0),1,0)</f>
        <v>1</v>
      </c>
      <c r="J6423" s="7" t="n">
        <f aca="false">IF(I6423=1,D6423*F6423,0)</f>
        <v>3.75</v>
      </c>
      <c r="K6423" s="7" t="n">
        <f aca="false">YEAR(E6423)*100+MONTH(E6423)</f>
        <v>201111</v>
      </c>
      <c r="L6423" s="7" t="n">
        <f aca="false">IF(AND(A6423&lt;&gt;A6422,LEFT(A6423,1)&lt;&gt;"C"),1,0)</f>
        <v>0</v>
      </c>
    </row>
    <row r="6424" customFormat="false" ht="15" hidden="false" customHeight="false" outlineLevel="0" collapsed="false">
      <c r="A6424" s="0" t="s">
        <v>3317</v>
      </c>
      <c r="B6424" s="0" t="s">
        <v>2573</v>
      </c>
      <c r="C6424" s="0" t="s">
        <v>2574</v>
      </c>
      <c r="D6424" s="0" t="n">
        <v>4</v>
      </c>
      <c r="E6424" s="6" t="n">
        <v>40872.4666666667</v>
      </c>
      <c r="F6424" s="0" t="n">
        <v>3.75</v>
      </c>
      <c r="G6424" s="0" t="n">
        <v>12531</v>
      </c>
      <c r="H6424" s="0" t="s">
        <v>33</v>
      </c>
      <c r="I6424" s="7" t="n">
        <f aca="false">IF(AND(LEFT(A6424,1)&lt;&gt;"C",D6424&gt;0,F6424&gt;0),1,0)</f>
        <v>1</v>
      </c>
      <c r="J6424" s="7" t="n">
        <f aca="false">IF(I6424=1,D6424*F6424,0)</f>
        <v>15</v>
      </c>
      <c r="K6424" s="7" t="n">
        <f aca="false">YEAR(E6424)*100+MONTH(E6424)</f>
        <v>201111</v>
      </c>
      <c r="L6424" s="7" t="n">
        <f aca="false">IF(AND(A6424&lt;&gt;A6423,LEFT(A6424,1)&lt;&gt;"C"),1,0)</f>
        <v>0</v>
      </c>
    </row>
    <row r="6425" customFormat="false" ht="15" hidden="false" customHeight="false" outlineLevel="0" collapsed="false">
      <c r="A6425" s="0" t="s">
        <v>3317</v>
      </c>
      <c r="B6425" s="0" t="s">
        <v>64</v>
      </c>
      <c r="C6425" s="0" t="s">
        <v>65</v>
      </c>
      <c r="D6425" s="0" t="n">
        <v>3</v>
      </c>
      <c r="E6425" s="6" t="n">
        <v>40872.4666666667</v>
      </c>
      <c r="F6425" s="0" t="n">
        <v>1.65</v>
      </c>
      <c r="G6425" s="0" t="n">
        <v>12531</v>
      </c>
      <c r="H6425" s="0" t="s">
        <v>33</v>
      </c>
      <c r="I6425" s="7" t="n">
        <f aca="false">IF(AND(LEFT(A6425,1)&lt;&gt;"C",D6425&gt;0,F6425&gt;0),1,0)</f>
        <v>1</v>
      </c>
      <c r="J6425" s="7" t="n">
        <f aca="false">IF(I6425=1,D6425*F6425,0)</f>
        <v>4.95</v>
      </c>
      <c r="K6425" s="7" t="n">
        <f aca="false">YEAR(E6425)*100+MONTH(E6425)</f>
        <v>201111</v>
      </c>
      <c r="L6425" s="7" t="n">
        <f aca="false">IF(AND(A6425&lt;&gt;A6424,LEFT(A6425,1)&lt;&gt;"C"),1,0)</f>
        <v>0</v>
      </c>
    </row>
    <row r="6426" customFormat="false" ht="15" hidden="false" customHeight="false" outlineLevel="0" collapsed="false">
      <c r="A6426" s="0" t="s">
        <v>3317</v>
      </c>
      <c r="B6426" s="0" t="s">
        <v>62</v>
      </c>
      <c r="C6426" s="0" t="s">
        <v>63</v>
      </c>
      <c r="D6426" s="0" t="n">
        <v>2</v>
      </c>
      <c r="E6426" s="6" t="n">
        <v>40872.4666666667</v>
      </c>
      <c r="F6426" s="0" t="n">
        <v>2.08</v>
      </c>
      <c r="G6426" s="0" t="n">
        <v>12531</v>
      </c>
      <c r="H6426" s="0" t="s">
        <v>33</v>
      </c>
      <c r="I6426" s="7" t="n">
        <f aca="false">IF(AND(LEFT(A6426,1)&lt;&gt;"C",D6426&gt;0,F6426&gt;0),1,0)</f>
        <v>1</v>
      </c>
      <c r="J6426" s="7" t="n">
        <f aca="false">IF(I6426=1,D6426*F6426,0)</f>
        <v>4.16</v>
      </c>
      <c r="K6426" s="7" t="n">
        <f aca="false">YEAR(E6426)*100+MONTH(E6426)</f>
        <v>201111</v>
      </c>
      <c r="L6426" s="7" t="n">
        <f aca="false">IF(AND(A6426&lt;&gt;A6425,LEFT(A6426,1)&lt;&gt;"C"),1,0)</f>
        <v>0</v>
      </c>
    </row>
    <row r="6427" customFormat="false" ht="15" hidden="false" customHeight="false" outlineLevel="0" collapsed="false">
      <c r="A6427" s="0" t="s">
        <v>3317</v>
      </c>
      <c r="B6427" s="0" t="s">
        <v>2477</v>
      </c>
      <c r="C6427" s="0" t="s">
        <v>2478</v>
      </c>
      <c r="D6427" s="0" t="n">
        <v>5</v>
      </c>
      <c r="E6427" s="6" t="n">
        <v>40872.4666666667</v>
      </c>
      <c r="F6427" s="0" t="n">
        <v>2.1</v>
      </c>
      <c r="G6427" s="0" t="n">
        <v>12531</v>
      </c>
      <c r="H6427" s="0" t="s">
        <v>33</v>
      </c>
      <c r="I6427" s="7" t="n">
        <f aca="false">IF(AND(LEFT(A6427,1)&lt;&gt;"C",D6427&gt;0,F6427&gt;0),1,0)</f>
        <v>1</v>
      </c>
      <c r="J6427" s="7" t="n">
        <f aca="false">IF(I6427=1,D6427*F6427,0)</f>
        <v>10.5</v>
      </c>
      <c r="K6427" s="7" t="n">
        <f aca="false">YEAR(E6427)*100+MONTH(E6427)</f>
        <v>201111</v>
      </c>
      <c r="L6427" s="7" t="n">
        <f aca="false">IF(AND(A6427&lt;&gt;A6426,LEFT(A6427,1)&lt;&gt;"C"),1,0)</f>
        <v>0</v>
      </c>
    </row>
    <row r="6428" customFormat="false" ht="15" hidden="false" customHeight="false" outlineLevel="0" collapsed="false">
      <c r="A6428" s="0" t="s">
        <v>3317</v>
      </c>
      <c r="B6428" s="0" t="s">
        <v>3322</v>
      </c>
      <c r="C6428" s="0" t="s">
        <v>3323</v>
      </c>
      <c r="D6428" s="0" t="n">
        <v>5</v>
      </c>
      <c r="E6428" s="6" t="n">
        <v>40872.4666666667</v>
      </c>
      <c r="F6428" s="0" t="n">
        <v>1.25</v>
      </c>
      <c r="G6428" s="0" t="n">
        <v>12531</v>
      </c>
      <c r="H6428" s="0" t="s">
        <v>33</v>
      </c>
      <c r="I6428" s="7" t="n">
        <f aca="false">IF(AND(LEFT(A6428,1)&lt;&gt;"C",D6428&gt;0,F6428&gt;0),1,0)</f>
        <v>1</v>
      </c>
      <c r="J6428" s="7" t="n">
        <f aca="false">IF(I6428=1,D6428*F6428,0)</f>
        <v>6.25</v>
      </c>
      <c r="K6428" s="7" t="n">
        <f aca="false">YEAR(E6428)*100+MONTH(E6428)</f>
        <v>201111</v>
      </c>
      <c r="L6428" s="7" t="n">
        <f aca="false">IF(AND(A6428&lt;&gt;A6427,LEFT(A6428,1)&lt;&gt;"C"),1,0)</f>
        <v>0</v>
      </c>
    </row>
    <row r="6429" customFormat="false" ht="15" hidden="false" customHeight="false" outlineLevel="0" collapsed="false">
      <c r="A6429" s="0" t="s">
        <v>3317</v>
      </c>
      <c r="B6429" s="0" t="s">
        <v>335</v>
      </c>
      <c r="C6429" s="0" t="s">
        <v>336</v>
      </c>
      <c r="D6429" s="0" t="n">
        <v>4</v>
      </c>
      <c r="E6429" s="6" t="n">
        <v>40872.4666666667</v>
      </c>
      <c r="F6429" s="0" t="n">
        <v>1.65</v>
      </c>
      <c r="G6429" s="0" t="n">
        <v>12531</v>
      </c>
      <c r="H6429" s="0" t="s">
        <v>33</v>
      </c>
      <c r="I6429" s="7" t="n">
        <f aca="false">IF(AND(LEFT(A6429,1)&lt;&gt;"C",D6429&gt;0,F6429&gt;0),1,0)</f>
        <v>1</v>
      </c>
      <c r="J6429" s="7" t="n">
        <f aca="false">IF(I6429=1,D6429*F6429,0)</f>
        <v>6.6</v>
      </c>
      <c r="K6429" s="7" t="n">
        <f aca="false">YEAR(E6429)*100+MONTH(E6429)</f>
        <v>201111</v>
      </c>
      <c r="L6429" s="7" t="n">
        <f aca="false">IF(AND(A6429&lt;&gt;A6428,LEFT(A6429,1)&lt;&gt;"C"),1,0)</f>
        <v>0</v>
      </c>
    </row>
    <row r="6430" customFormat="false" ht="15" hidden="false" customHeight="false" outlineLevel="0" collapsed="false">
      <c r="A6430" s="0" t="s">
        <v>3317</v>
      </c>
      <c r="B6430" s="0" t="s">
        <v>66</v>
      </c>
      <c r="C6430" s="0" t="s">
        <v>67</v>
      </c>
      <c r="D6430" s="0" t="n">
        <v>2</v>
      </c>
      <c r="E6430" s="6" t="n">
        <v>40872.4666666667</v>
      </c>
      <c r="F6430" s="0" t="n">
        <v>2.95</v>
      </c>
      <c r="G6430" s="0" t="n">
        <v>12531</v>
      </c>
      <c r="H6430" s="0" t="s">
        <v>33</v>
      </c>
      <c r="I6430" s="7" t="n">
        <f aca="false">IF(AND(LEFT(A6430,1)&lt;&gt;"C",D6430&gt;0,F6430&gt;0),1,0)</f>
        <v>1</v>
      </c>
      <c r="J6430" s="7" t="n">
        <f aca="false">IF(I6430=1,D6430*F6430,0)</f>
        <v>5.9</v>
      </c>
      <c r="K6430" s="7" t="n">
        <f aca="false">YEAR(E6430)*100+MONTH(E6430)</f>
        <v>201111</v>
      </c>
      <c r="L6430" s="7" t="n">
        <f aca="false">IF(AND(A6430&lt;&gt;A6429,LEFT(A6430,1)&lt;&gt;"C"),1,0)</f>
        <v>0</v>
      </c>
    </row>
    <row r="6431" customFormat="false" ht="15" hidden="false" customHeight="false" outlineLevel="0" collapsed="false">
      <c r="A6431" s="0" t="s">
        <v>3317</v>
      </c>
      <c r="B6431" s="0" t="s">
        <v>2433</v>
      </c>
      <c r="C6431" s="0" t="s">
        <v>2434</v>
      </c>
      <c r="D6431" s="0" t="n">
        <v>1</v>
      </c>
      <c r="E6431" s="6" t="n">
        <v>40872.4666666667</v>
      </c>
      <c r="F6431" s="0" t="n">
        <v>29.95</v>
      </c>
      <c r="G6431" s="0" t="n">
        <v>12531</v>
      </c>
      <c r="H6431" s="0" t="s">
        <v>33</v>
      </c>
      <c r="I6431" s="7" t="n">
        <f aca="false">IF(AND(LEFT(A6431,1)&lt;&gt;"C",D6431&gt;0,F6431&gt;0),1,0)</f>
        <v>1</v>
      </c>
      <c r="J6431" s="7" t="n">
        <f aca="false">IF(I6431=1,D6431*F6431,0)</f>
        <v>29.95</v>
      </c>
      <c r="K6431" s="7" t="n">
        <f aca="false">YEAR(E6431)*100+MONTH(E6431)</f>
        <v>201111</v>
      </c>
      <c r="L6431" s="7" t="n">
        <f aca="false">IF(AND(A6431&lt;&gt;A6430,LEFT(A6431,1)&lt;&gt;"C"),1,0)</f>
        <v>0</v>
      </c>
    </row>
    <row r="6432" customFormat="false" ht="15" hidden="false" customHeight="false" outlineLevel="0" collapsed="false">
      <c r="A6432" s="0" t="s">
        <v>3324</v>
      </c>
      <c r="B6432" s="0" t="s">
        <v>62</v>
      </c>
      <c r="C6432" s="0" t="s">
        <v>63</v>
      </c>
      <c r="D6432" s="0" t="n">
        <v>120</v>
      </c>
      <c r="E6432" s="6" t="n">
        <v>40872.48125</v>
      </c>
      <c r="F6432" s="0" t="n">
        <v>1.79</v>
      </c>
      <c r="G6432" s="0" t="n">
        <v>12681</v>
      </c>
      <c r="H6432" s="0" t="s">
        <v>43</v>
      </c>
      <c r="I6432" s="7" t="n">
        <f aca="false">IF(AND(LEFT(A6432,1)&lt;&gt;"C",D6432&gt;0,F6432&gt;0),1,0)</f>
        <v>1</v>
      </c>
      <c r="J6432" s="7" t="n">
        <f aca="false">IF(I6432=1,D6432*F6432,0)</f>
        <v>214.8</v>
      </c>
      <c r="K6432" s="7" t="n">
        <f aca="false">YEAR(E6432)*100+MONTH(E6432)</f>
        <v>201111</v>
      </c>
      <c r="L6432" s="7" t="n">
        <f aca="false">IF(AND(A6432&lt;&gt;A6431,LEFT(A6432,1)&lt;&gt;"C"),1,0)</f>
        <v>1</v>
      </c>
    </row>
    <row r="6433" customFormat="false" ht="15" hidden="false" customHeight="false" outlineLevel="0" collapsed="false">
      <c r="A6433" s="0" t="s">
        <v>3324</v>
      </c>
      <c r="B6433" s="0" t="s">
        <v>1393</v>
      </c>
      <c r="C6433" s="0" t="s">
        <v>1394</v>
      </c>
      <c r="D6433" s="0" t="n">
        <v>24</v>
      </c>
      <c r="E6433" s="6" t="n">
        <v>40872.48125</v>
      </c>
      <c r="F6433" s="0" t="n">
        <v>3.39</v>
      </c>
      <c r="G6433" s="0" t="n">
        <v>12681</v>
      </c>
      <c r="H6433" s="0" t="s">
        <v>43</v>
      </c>
      <c r="I6433" s="7" t="n">
        <f aca="false">IF(AND(LEFT(A6433,1)&lt;&gt;"C",D6433&gt;0,F6433&gt;0),1,0)</f>
        <v>1</v>
      </c>
      <c r="J6433" s="7" t="n">
        <f aca="false">IF(I6433=1,D6433*F6433,0)</f>
        <v>81.36</v>
      </c>
      <c r="K6433" s="7" t="n">
        <f aca="false">YEAR(E6433)*100+MONTH(E6433)</f>
        <v>201111</v>
      </c>
      <c r="L6433" s="7" t="n">
        <f aca="false">IF(AND(A6433&lt;&gt;A6432,LEFT(A6433,1)&lt;&gt;"C"),1,0)</f>
        <v>0</v>
      </c>
    </row>
    <row r="6434" customFormat="false" ht="15" hidden="false" customHeight="false" outlineLevel="0" collapsed="false">
      <c r="A6434" s="0" t="s">
        <v>3324</v>
      </c>
      <c r="B6434" s="0" t="s">
        <v>1600</v>
      </c>
      <c r="C6434" s="0" t="s">
        <v>1601</v>
      </c>
      <c r="D6434" s="0" t="n">
        <v>10</v>
      </c>
      <c r="E6434" s="6" t="n">
        <v>40872.48125</v>
      </c>
      <c r="F6434" s="0" t="n">
        <v>1.95</v>
      </c>
      <c r="G6434" s="0" t="n">
        <v>12681</v>
      </c>
      <c r="H6434" s="0" t="s">
        <v>43</v>
      </c>
      <c r="I6434" s="7" t="n">
        <f aca="false">IF(AND(LEFT(A6434,1)&lt;&gt;"C",D6434&gt;0,F6434&gt;0),1,0)</f>
        <v>1</v>
      </c>
      <c r="J6434" s="7" t="n">
        <f aca="false">IF(I6434=1,D6434*F6434,0)</f>
        <v>19.5</v>
      </c>
      <c r="K6434" s="7" t="n">
        <f aca="false">YEAR(E6434)*100+MONTH(E6434)</f>
        <v>201111</v>
      </c>
      <c r="L6434" s="7" t="n">
        <f aca="false">IF(AND(A6434&lt;&gt;A6433,LEFT(A6434,1)&lt;&gt;"C"),1,0)</f>
        <v>0</v>
      </c>
    </row>
    <row r="6435" customFormat="false" ht="15" hidden="false" customHeight="false" outlineLevel="0" collapsed="false">
      <c r="A6435" s="0" t="s">
        <v>3324</v>
      </c>
      <c r="B6435" s="0" t="s">
        <v>2593</v>
      </c>
      <c r="C6435" s="0" t="s">
        <v>2594</v>
      </c>
      <c r="D6435" s="0" t="n">
        <v>12</v>
      </c>
      <c r="E6435" s="6" t="n">
        <v>40872.48125</v>
      </c>
      <c r="F6435" s="0" t="n">
        <v>1.25</v>
      </c>
      <c r="G6435" s="0" t="n">
        <v>12681</v>
      </c>
      <c r="H6435" s="0" t="s">
        <v>43</v>
      </c>
      <c r="I6435" s="7" t="n">
        <f aca="false">IF(AND(LEFT(A6435,1)&lt;&gt;"C",D6435&gt;0,F6435&gt;0),1,0)</f>
        <v>1</v>
      </c>
      <c r="J6435" s="7" t="n">
        <f aca="false">IF(I6435=1,D6435*F6435,0)</f>
        <v>15</v>
      </c>
      <c r="K6435" s="7" t="n">
        <f aca="false">YEAR(E6435)*100+MONTH(E6435)</f>
        <v>201111</v>
      </c>
      <c r="L6435" s="7" t="n">
        <f aca="false">IF(AND(A6435&lt;&gt;A6434,LEFT(A6435,1)&lt;&gt;"C"),1,0)</f>
        <v>0</v>
      </c>
    </row>
    <row r="6436" customFormat="false" ht="15" hidden="false" customHeight="false" outlineLevel="0" collapsed="false">
      <c r="A6436" s="0" t="s">
        <v>3324</v>
      </c>
      <c r="B6436" s="0" t="s">
        <v>847</v>
      </c>
      <c r="C6436" s="0" t="s">
        <v>848</v>
      </c>
      <c r="D6436" s="0" t="n">
        <v>12</v>
      </c>
      <c r="E6436" s="6" t="n">
        <v>40872.48125</v>
      </c>
      <c r="F6436" s="0" t="n">
        <v>1.45</v>
      </c>
      <c r="G6436" s="0" t="n">
        <v>12681</v>
      </c>
      <c r="H6436" s="0" t="s">
        <v>43</v>
      </c>
      <c r="I6436" s="7" t="n">
        <f aca="false">IF(AND(LEFT(A6436,1)&lt;&gt;"C",D6436&gt;0,F6436&gt;0),1,0)</f>
        <v>1</v>
      </c>
      <c r="J6436" s="7" t="n">
        <f aca="false">IF(I6436=1,D6436*F6436,0)</f>
        <v>17.4</v>
      </c>
      <c r="K6436" s="7" t="n">
        <f aca="false">YEAR(E6436)*100+MONTH(E6436)</f>
        <v>201111</v>
      </c>
      <c r="L6436" s="7" t="n">
        <f aca="false">IF(AND(A6436&lt;&gt;A6435,LEFT(A6436,1)&lt;&gt;"C"),1,0)</f>
        <v>0</v>
      </c>
    </row>
    <row r="6437" customFormat="false" ht="15" hidden="false" customHeight="false" outlineLevel="0" collapsed="false">
      <c r="A6437" s="0" t="s">
        <v>3324</v>
      </c>
      <c r="B6437" s="0" t="s">
        <v>107</v>
      </c>
      <c r="C6437" s="0" t="s">
        <v>108</v>
      </c>
      <c r="D6437" s="0" t="n">
        <v>36</v>
      </c>
      <c r="E6437" s="6" t="n">
        <v>40872.48125</v>
      </c>
      <c r="F6437" s="0" t="n">
        <v>2.1</v>
      </c>
      <c r="G6437" s="0" t="n">
        <v>12681</v>
      </c>
      <c r="H6437" s="0" t="s">
        <v>43</v>
      </c>
      <c r="I6437" s="7" t="n">
        <f aca="false">IF(AND(LEFT(A6437,1)&lt;&gt;"C",D6437&gt;0,F6437&gt;0),1,0)</f>
        <v>1</v>
      </c>
      <c r="J6437" s="7" t="n">
        <f aca="false">IF(I6437=1,D6437*F6437,0)</f>
        <v>75.6</v>
      </c>
      <c r="K6437" s="7" t="n">
        <f aca="false">YEAR(E6437)*100+MONTH(E6437)</f>
        <v>201111</v>
      </c>
      <c r="L6437" s="7" t="n">
        <f aca="false">IF(AND(A6437&lt;&gt;A6436,LEFT(A6437,1)&lt;&gt;"C"),1,0)</f>
        <v>0</v>
      </c>
    </row>
    <row r="6438" customFormat="false" ht="15" hidden="false" customHeight="false" outlineLevel="0" collapsed="false">
      <c r="A6438" s="0" t="s">
        <v>3324</v>
      </c>
      <c r="B6438" s="0" t="s">
        <v>667</v>
      </c>
      <c r="C6438" s="0" t="s">
        <v>668</v>
      </c>
      <c r="D6438" s="0" t="n">
        <v>20</v>
      </c>
      <c r="E6438" s="6" t="n">
        <v>40872.48125</v>
      </c>
      <c r="F6438" s="0" t="n">
        <v>0.85</v>
      </c>
      <c r="G6438" s="0" t="n">
        <v>12681</v>
      </c>
      <c r="H6438" s="0" t="s">
        <v>43</v>
      </c>
      <c r="I6438" s="7" t="n">
        <f aca="false">IF(AND(LEFT(A6438,1)&lt;&gt;"C",D6438&gt;0,F6438&gt;0),1,0)</f>
        <v>1</v>
      </c>
      <c r="J6438" s="7" t="n">
        <f aca="false">IF(I6438=1,D6438*F6438,0)</f>
        <v>17</v>
      </c>
      <c r="K6438" s="7" t="n">
        <f aca="false">YEAR(E6438)*100+MONTH(E6438)</f>
        <v>201111</v>
      </c>
      <c r="L6438" s="7" t="n">
        <f aca="false">IF(AND(A6438&lt;&gt;A6437,LEFT(A6438,1)&lt;&gt;"C"),1,0)</f>
        <v>0</v>
      </c>
    </row>
    <row r="6439" customFormat="false" ht="15" hidden="false" customHeight="false" outlineLevel="0" collapsed="false">
      <c r="A6439" s="0" t="s">
        <v>3324</v>
      </c>
      <c r="B6439" s="0" t="s">
        <v>80</v>
      </c>
      <c r="C6439" s="0" t="s">
        <v>81</v>
      </c>
      <c r="D6439" s="0" t="n">
        <v>20</v>
      </c>
      <c r="E6439" s="6" t="n">
        <v>40872.48125</v>
      </c>
      <c r="F6439" s="0" t="n">
        <v>0.83</v>
      </c>
      <c r="G6439" s="0" t="n">
        <v>12681</v>
      </c>
      <c r="H6439" s="0" t="s">
        <v>43</v>
      </c>
      <c r="I6439" s="7" t="n">
        <f aca="false">IF(AND(LEFT(A6439,1)&lt;&gt;"C",D6439&gt;0,F6439&gt;0),1,0)</f>
        <v>1</v>
      </c>
      <c r="J6439" s="7" t="n">
        <f aca="false">IF(I6439=1,D6439*F6439,0)</f>
        <v>16.6</v>
      </c>
      <c r="K6439" s="7" t="n">
        <f aca="false">YEAR(E6439)*100+MONTH(E6439)</f>
        <v>201111</v>
      </c>
      <c r="L6439" s="7" t="n">
        <f aca="false">IF(AND(A6439&lt;&gt;A6438,LEFT(A6439,1)&lt;&gt;"C"),1,0)</f>
        <v>0</v>
      </c>
    </row>
    <row r="6440" customFormat="false" ht="15" hidden="false" customHeight="false" outlineLevel="0" collapsed="false">
      <c r="A6440" s="0" t="s">
        <v>3324</v>
      </c>
      <c r="B6440" s="0" t="s">
        <v>747</v>
      </c>
      <c r="C6440" s="0" t="s">
        <v>748</v>
      </c>
      <c r="D6440" s="0" t="n">
        <v>12</v>
      </c>
      <c r="E6440" s="6" t="n">
        <v>40872.48125</v>
      </c>
      <c r="F6440" s="0" t="n">
        <v>0.42</v>
      </c>
      <c r="G6440" s="0" t="n">
        <v>12681</v>
      </c>
      <c r="H6440" s="0" t="s">
        <v>43</v>
      </c>
      <c r="I6440" s="7" t="n">
        <f aca="false">IF(AND(LEFT(A6440,1)&lt;&gt;"C",D6440&gt;0,F6440&gt;0),1,0)</f>
        <v>1</v>
      </c>
      <c r="J6440" s="7" t="n">
        <f aca="false">IF(I6440=1,D6440*F6440,0)</f>
        <v>5.04</v>
      </c>
      <c r="K6440" s="7" t="n">
        <f aca="false">YEAR(E6440)*100+MONTH(E6440)</f>
        <v>201111</v>
      </c>
      <c r="L6440" s="7" t="n">
        <f aca="false">IF(AND(A6440&lt;&gt;A6439,LEFT(A6440,1)&lt;&gt;"C"),1,0)</f>
        <v>0</v>
      </c>
    </row>
    <row r="6441" customFormat="false" ht="15" hidden="false" customHeight="false" outlineLevel="0" collapsed="false">
      <c r="A6441" s="0" t="s">
        <v>3324</v>
      </c>
      <c r="B6441" s="0" t="s">
        <v>3325</v>
      </c>
      <c r="C6441" s="0" t="s">
        <v>3326</v>
      </c>
      <c r="D6441" s="0" t="n">
        <v>12</v>
      </c>
      <c r="E6441" s="6" t="n">
        <v>40872.48125</v>
      </c>
      <c r="F6441" s="0" t="n">
        <v>0.39</v>
      </c>
      <c r="G6441" s="0" t="n">
        <v>12681</v>
      </c>
      <c r="H6441" s="0" t="s">
        <v>43</v>
      </c>
      <c r="I6441" s="7" t="n">
        <f aca="false">IF(AND(LEFT(A6441,1)&lt;&gt;"C",D6441&gt;0,F6441&gt;0),1,0)</f>
        <v>1</v>
      </c>
      <c r="J6441" s="7" t="n">
        <f aca="false">IF(I6441=1,D6441*F6441,0)</f>
        <v>4.68</v>
      </c>
      <c r="K6441" s="7" t="n">
        <f aca="false">YEAR(E6441)*100+MONTH(E6441)</f>
        <v>201111</v>
      </c>
      <c r="L6441" s="7" t="n">
        <f aca="false">IF(AND(A6441&lt;&gt;A6440,LEFT(A6441,1)&lt;&gt;"C"),1,0)</f>
        <v>0</v>
      </c>
    </row>
    <row r="6442" customFormat="false" ht="15" hidden="false" customHeight="false" outlineLevel="0" collapsed="false">
      <c r="A6442" s="0" t="s">
        <v>3324</v>
      </c>
      <c r="B6442" s="0" t="s">
        <v>1059</v>
      </c>
      <c r="C6442" s="0" t="s">
        <v>1060</v>
      </c>
      <c r="D6442" s="0" t="n">
        <v>12</v>
      </c>
      <c r="E6442" s="6" t="n">
        <v>40872.48125</v>
      </c>
      <c r="F6442" s="0" t="n">
        <v>2.08</v>
      </c>
      <c r="G6442" s="0" t="n">
        <v>12681</v>
      </c>
      <c r="H6442" s="0" t="s">
        <v>43</v>
      </c>
      <c r="I6442" s="7" t="n">
        <f aca="false">IF(AND(LEFT(A6442,1)&lt;&gt;"C",D6442&gt;0,F6442&gt;0),1,0)</f>
        <v>1</v>
      </c>
      <c r="J6442" s="7" t="n">
        <f aca="false">IF(I6442=1,D6442*F6442,0)</f>
        <v>24.96</v>
      </c>
      <c r="K6442" s="7" t="n">
        <f aca="false">YEAR(E6442)*100+MONTH(E6442)</f>
        <v>201111</v>
      </c>
      <c r="L6442" s="7" t="n">
        <f aca="false">IF(AND(A6442&lt;&gt;A6441,LEFT(A6442,1)&lt;&gt;"C"),1,0)</f>
        <v>0</v>
      </c>
    </row>
    <row r="6443" customFormat="false" ht="15" hidden="false" customHeight="false" outlineLevel="0" collapsed="false">
      <c r="A6443" s="0" t="s">
        <v>3324</v>
      </c>
      <c r="B6443" s="0" t="s">
        <v>2148</v>
      </c>
      <c r="C6443" s="0" t="s">
        <v>2149</v>
      </c>
      <c r="D6443" s="0" t="n">
        <v>12</v>
      </c>
      <c r="E6443" s="6" t="n">
        <v>40872.48125</v>
      </c>
      <c r="F6443" s="0" t="n">
        <v>2.08</v>
      </c>
      <c r="G6443" s="0" t="n">
        <v>12681</v>
      </c>
      <c r="H6443" s="0" t="s">
        <v>43</v>
      </c>
      <c r="I6443" s="7" t="n">
        <f aca="false">IF(AND(LEFT(A6443,1)&lt;&gt;"C",D6443&gt;0,F6443&gt;0),1,0)</f>
        <v>1</v>
      </c>
      <c r="J6443" s="7" t="n">
        <f aca="false">IF(I6443=1,D6443*F6443,0)</f>
        <v>24.96</v>
      </c>
      <c r="K6443" s="7" t="n">
        <f aca="false">YEAR(E6443)*100+MONTH(E6443)</f>
        <v>201111</v>
      </c>
      <c r="L6443" s="7" t="n">
        <f aca="false">IF(AND(A6443&lt;&gt;A6442,LEFT(A6443,1)&lt;&gt;"C"),1,0)</f>
        <v>0</v>
      </c>
    </row>
    <row r="6444" customFormat="false" ht="15" hidden="false" customHeight="false" outlineLevel="0" collapsed="false">
      <c r="A6444" s="0" t="s">
        <v>3324</v>
      </c>
      <c r="B6444" s="0" t="s">
        <v>463</v>
      </c>
      <c r="C6444" s="0" t="s">
        <v>464</v>
      </c>
      <c r="D6444" s="0" t="n">
        <v>2</v>
      </c>
      <c r="E6444" s="6" t="n">
        <v>40872.48125</v>
      </c>
      <c r="F6444" s="0" t="n">
        <v>7.95</v>
      </c>
      <c r="G6444" s="0" t="n">
        <v>12681</v>
      </c>
      <c r="H6444" s="0" t="s">
        <v>43</v>
      </c>
      <c r="I6444" s="7" t="n">
        <f aca="false">IF(AND(LEFT(A6444,1)&lt;&gt;"C",D6444&gt;0,F6444&gt;0),1,0)</f>
        <v>1</v>
      </c>
      <c r="J6444" s="7" t="n">
        <f aca="false">IF(I6444=1,D6444*F6444,0)</f>
        <v>15.9</v>
      </c>
      <c r="K6444" s="7" t="n">
        <f aca="false">YEAR(E6444)*100+MONTH(E6444)</f>
        <v>201111</v>
      </c>
      <c r="L6444" s="7" t="n">
        <f aca="false">IF(AND(A6444&lt;&gt;A6443,LEFT(A6444,1)&lt;&gt;"C"),1,0)</f>
        <v>0</v>
      </c>
    </row>
    <row r="6445" customFormat="false" ht="15" hidden="false" customHeight="false" outlineLevel="0" collapsed="false">
      <c r="A6445" s="0" t="s">
        <v>3324</v>
      </c>
      <c r="B6445" s="0" t="s">
        <v>2044</v>
      </c>
      <c r="C6445" s="0" t="s">
        <v>2045</v>
      </c>
      <c r="D6445" s="0" t="n">
        <v>6</v>
      </c>
      <c r="E6445" s="6" t="n">
        <v>40872.48125</v>
      </c>
      <c r="F6445" s="0" t="n">
        <v>4.95</v>
      </c>
      <c r="G6445" s="0" t="n">
        <v>12681</v>
      </c>
      <c r="H6445" s="0" t="s">
        <v>43</v>
      </c>
      <c r="I6445" s="7" t="n">
        <f aca="false">IF(AND(LEFT(A6445,1)&lt;&gt;"C",D6445&gt;0,F6445&gt;0),1,0)</f>
        <v>1</v>
      </c>
      <c r="J6445" s="7" t="n">
        <f aca="false">IF(I6445=1,D6445*F6445,0)</f>
        <v>29.7</v>
      </c>
      <c r="K6445" s="7" t="n">
        <f aca="false">YEAR(E6445)*100+MONTH(E6445)</f>
        <v>201111</v>
      </c>
      <c r="L6445" s="7" t="n">
        <f aca="false">IF(AND(A6445&lt;&gt;A6444,LEFT(A6445,1)&lt;&gt;"C"),1,0)</f>
        <v>0</v>
      </c>
    </row>
    <row r="6446" customFormat="false" ht="15" hidden="false" customHeight="false" outlineLevel="0" collapsed="false">
      <c r="A6446" s="0" t="s">
        <v>3324</v>
      </c>
      <c r="B6446" s="0" t="s">
        <v>84</v>
      </c>
      <c r="C6446" s="0" t="s">
        <v>85</v>
      </c>
      <c r="D6446" s="0" t="n">
        <v>8</v>
      </c>
      <c r="E6446" s="6" t="n">
        <v>40872.48125</v>
      </c>
      <c r="F6446" s="0" t="n">
        <v>18</v>
      </c>
      <c r="G6446" s="0" t="n">
        <v>12681</v>
      </c>
      <c r="H6446" s="0" t="s">
        <v>43</v>
      </c>
      <c r="I6446" s="7" t="n">
        <f aca="false">IF(AND(LEFT(A6446,1)&lt;&gt;"C",D6446&gt;0,F6446&gt;0),1,0)</f>
        <v>1</v>
      </c>
      <c r="J6446" s="7" t="n">
        <f aca="false">IF(I6446=1,D6446*F6446,0)</f>
        <v>144</v>
      </c>
      <c r="K6446" s="7" t="n">
        <f aca="false">YEAR(E6446)*100+MONTH(E6446)</f>
        <v>201111</v>
      </c>
      <c r="L6446" s="7" t="n">
        <f aca="false">IF(AND(A6446&lt;&gt;A6445,LEFT(A6446,1)&lt;&gt;"C"),1,0)</f>
        <v>0</v>
      </c>
    </row>
    <row r="6447" customFormat="false" ht="15" hidden="false" customHeight="false" outlineLevel="0" collapsed="false">
      <c r="A6447" s="0" t="s">
        <v>3327</v>
      </c>
      <c r="B6447" s="0" t="s">
        <v>84</v>
      </c>
      <c r="C6447" s="0" t="s">
        <v>85</v>
      </c>
      <c r="D6447" s="0" t="n">
        <v>-3</v>
      </c>
      <c r="E6447" s="6" t="n">
        <v>40872.4826388889</v>
      </c>
      <c r="F6447" s="0" t="n">
        <v>18</v>
      </c>
      <c r="G6447" s="0" t="n">
        <v>12681</v>
      </c>
      <c r="H6447" s="0" t="s">
        <v>43</v>
      </c>
      <c r="I6447" s="7" t="n">
        <f aca="false">IF(AND(LEFT(A6447,1)&lt;&gt;"C",D6447&gt;0,F6447&gt;0),1,0)</f>
        <v>0</v>
      </c>
      <c r="J6447" s="7" t="n">
        <f aca="false">IF(I6447=1,D6447*F6447,0)</f>
        <v>0</v>
      </c>
      <c r="K6447" s="7" t="n">
        <f aca="false">YEAR(E6447)*100+MONTH(E6447)</f>
        <v>201111</v>
      </c>
      <c r="L6447" s="7" t="n">
        <f aca="false">IF(AND(A6447&lt;&gt;A6446,LEFT(A6447,1)&lt;&gt;"C"),1,0)</f>
        <v>0</v>
      </c>
    </row>
    <row r="6448" customFormat="false" ht="15" hidden="false" customHeight="false" outlineLevel="0" collapsed="false">
      <c r="A6448" s="0" t="s">
        <v>3328</v>
      </c>
      <c r="B6448" s="0" t="s">
        <v>62</v>
      </c>
      <c r="C6448" s="0" t="s">
        <v>63</v>
      </c>
      <c r="D6448" s="0" t="n">
        <v>48</v>
      </c>
      <c r="E6448" s="6" t="n">
        <v>40872.6555555556</v>
      </c>
      <c r="F6448" s="0" t="n">
        <v>1.79</v>
      </c>
      <c r="G6448" s="0" t="n">
        <v>12682</v>
      </c>
      <c r="H6448" s="0" t="s">
        <v>43</v>
      </c>
      <c r="I6448" s="7" t="n">
        <f aca="false">IF(AND(LEFT(A6448,1)&lt;&gt;"C",D6448&gt;0,F6448&gt;0),1,0)</f>
        <v>1</v>
      </c>
      <c r="J6448" s="7" t="n">
        <f aca="false">IF(I6448=1,D6448*F6448,0)</f>
        <v>85.92</v>
      </c>
      <c r="K6448" s="7" t="n">
        <f aca="false">YEAR(E6448)*100+MONTH(E6448)</f>
        <v>201111</v>
      </c>
      <c r="L6448" s="7" t="n">
        <f aca="false">IF(AND(A6448&lt;&gt;A6447,LEFT(A6448,1)&lt;&gt;"C"),1,0)</f>
        <v>1</v>
      </c>
    </row>
    <row r="6449" customFormat="false" ht="15" hidden="false" customHeight="false" outlineLevel="0" collapsed="false">
      <c r="A6449" s="0" t="s">
        <v>3328</v>
      </c>
      <c r="B6449" s="0" t="s">
        <v>64</v>
      </c>
      <c r="C6449" s="0" t="s">
        <v>65</v>
      </c>
      <c r="D6449" s="0" t="n">
        <v>12</v>
      </c>
      <c r="E6449" s="6" t="n">
        <v>40872.6555555556</v>
      </c>
      <c r="F6449" s="0" t="n">
        <v>1.65</v>
      </c>
      <c r="G6449" s="0" t="n">
        <v>12682</v>
      </c>
      <c r="H6449" s="0" t="s">
        <v>43</v>
      </c>
      <c r="I6449" s="7" t="n">
        <f aca="false">IF(AND(LEFT(A6449,1)&lt;&gt;"C",D6449&gt;0,F6449&gt;0),1,0)</f>
        <v>1</v>
      </c>
      <c r="J6449" s="7" t="n">
        <f aca="false">IF(I6449=1,D6449*F6449,0)</f>
        <v>19.8</v>
      </c>
      <c r="K6449" s="7" t="n">
        <f aca="false">YEAR(E6449)*100+MONTH(E6449)</f>
        <v>201111</v>
      </c>
      <c r="L6449" s="7" t="n">
        <f aca="false">IF(AND(A6449&lt;&gt;A6448,LEFT(A6449,1)&lt;&gt;"C"),1,0)</f>
        <v>0</v>
      </c>
    </row>
    <row r="6450" customFormat="false" ht="15" hidden="false" customHeight="false" outlineLevel="0" collapsed="false">
      <c r="A6450" s="0" t="s">
        <v>3328</v>
      </c>
      <c r="B6450" s="0" t="s">
        <v>2124</v>
      </c>
      <c r="C6450" s="0" t="s">
        <v>2125</v>
      </c>
      <c r="D6450" s="0" t="n">
        <v>4</v>
      </c>
      <c r="E6450" s="6" t="n">
        <v>40872.6555555556</v>
      </c>
      <c r="F6450" s="0" t="n">
        <v>3.75</v>
      </c>
      <c r="G6450" s="0" t="n">
        <v>12682</v>
      </c>
      <c r="H6450" s="0" t="s">
        <v>43</v>
      </c>
      <c r="I6450" s="7" t="n">
        <f aca="false">IF(AND(LEFT(A6450,1)&lt;&gt;"C",D6450&gt;0,F6450&gt;0),1,0)</f>
        <v>1</v>
      </c>
      <c r="J6450" s="7" t="n">
        <f aca="false">IF(I6450=1,D6450*F6450,0)</f>
        <v>15</v>
      </c>
      <c r="K6450" s="7" t="n">
        <f aca="false">YEAR(E6450)*100+MONTH(E6450)</f>
        <v>201111</v>
      </c>
      <c r="L6450" s="7" t="n">
        <f aca="false">IF(AND(A6450&lt;&gt;A6449,LEFT(A6450,1)&lt;&gt;"C"),1,0)</f>
        <v>0</v>
      </c>
    </row>
    <row r="6451" customFormat="false" ht="15" hidden="false" customHeight="false" outlineLevel="0" collapsed="false">
      <c r="A6451" s="0" t="s">
        <v>3328</v>
      </c>
      <c r="B6451" s="0" t="s">
        <v>655</v>
      </c>
      <c r="C6451" s="0" t="s">
        <v>656</v>
      </c>
      <c r="D6451" s="0" t="n">
        <v>4</v>
      </c>
      <c r="E6451" s="6" t="n">
        <v>40872.6555555556</v>
      </c>
      <c r="F6451" s="0" t="n">
        <v>3.75</v>
      </c>
      <c r="G6451" s="0" t="n">
        <v>12682</v>
      </c>
      <c r="H6451" s="0" t="s">
        <v>43</v>
      </c>
      <c r="I6451" s="7" t="n">
        <f aca="false">IF(AND(LEFT(A6451,1)&lt;&gt;"C",D6451&gt;0,F6451&gt;0),1,0)</f>
        <v>1</v>
      </c>
      <c r="J6451" s="7" t="n">
        <f aca="false">IF(I6451=1,D6451*F6451,0)</f>
        <v>15</v>
      </c>
      <c r="K6451" s="7" t="n">
        <f aca="false">YEAR(E6451)*100+MONTH(E6451)</f>
        <v>201111</v>
      </c>
      <c r="L6451" s="7" t="n">
        <f aca="false">IF(AND(A6451&lt;&gt;A6450,LEFT(A6451,1)&lt;&gt;"C"),1,0)</f>
        <v>0</v>
      </c>
    </row>
    <row r="6452" customFormat="false" ht="15" hidden="false" customHeight="false" outlineLevel="0" collapsed="false">
      <c r="A6452" s="0" t="s">
        <v>3328</v>
      </c>
      <c r="B6452" s="0" t="s">
        <v>84</v>
      </c>
      <c r="C6452" s="0" t="s">
        <v>85</v>
      </c>
      <c r="D6452" s="0" t="n">
        <v>1</v>
      </c>
      <c r="E6452" s="6" t="n">
        <v>40872.6555555556</v>
      </c>
      <c r="F6452" s="0" t="n">
        <v>18</v>
      </c>
      <c r="G6452" s="0" t="n">
        <v>12682</v>
      </c>
      <c r="H6452" s="0" t="s">
        <v>43</v>
      </c>
      <c r="I6452" s="7" t="n">
        <f aca="false">IF(AND(LEFT(A6452,1)&lt;&gt;"C",D6452&gt;0,F6452&gt;0),1,0)</f>
        <v>1</v>
      </c>
      <c r="J6452" s="7" t="n">
        <f aca="false">IF(I6452=1,D6452*F6452,0)</f>
        <v>18</v>
      </c>
      <c r="K6452" s="7" t="n">
        <f aca="false">YEAR(E6452)*100+MONTH(E6452)</f>
        <v>201111</v>
      </c>
      <c r="L6452" s="7" t="n">
        <f aca="false">IF(AND(A6452&lt;&gt;A6451,LEFT(A6452,1)&lt;&gt;"C"),1,0)</f>
        <v>0</v>
      </c>
    </row>
    <row r="6453" customFormat="false" ht="15" hidden="false" customHeight="false" outlineLevel="0" collapsed="false">
      <c r="A6453" s="0" t="s">
        <v>3329</v>
      </c>
      <c r="B6453" s="0" t="s">
        <v>3113</v>
      </c>
      <c r="C6453" s="0" t="s">
        <v>3114</v>
      </c>
      <c r="D6453" s="0" t="n">
        <v>-288</v>
      </c>
      <c r="E6453" s="6" t="n">
        <v>40875.45</v>
      </c>
      <c r="F6453" s="0" t="n">
        <v>0.21</v>
      </c>
      <c r="G6453" s="0" t="n">
        <v>12427</v>
      </c>
      <c r="H6453" s="0" t="s">
        <v>33</v>
      </c>
      <c r="I6453" s="7" t="n">
        <f aca="false">IF(AND(LEFT(A6453,1)&lt;&gt;"C",D6453&gt;0,F6453&gt;0),1,0)</f>
        <v>0</v>
      </c>
      <c r="J6453" s="7" t="n">
        <f aca="false">IF(I6453=1,D6453*F6453,0)</f>
        <v>0</v>
      </c>
      <c r="K6453" s="7" t="n">
        <f aca="false">YEAR(E6453)*100+MONTH(E6453)</f>
        <v>201111</v>
      </c>
      <c r="L6453" s="7" t="n">
        <f aca="false">IF(AND(A6453&lt;&gt;A6452,LEFT(A6453,1)&lt;&gt;"C"),1,0)</f>
        <v>0</v>
      </c>
    </row>
    <row r="6454" customFormat="false" ht="15" hidden="false" customHeight="false" outlineLevel="0" collapsed="false">
      <c r="A6454" s="0" t="s">
        <v>3330</v>
      </c>
      <c r="B6454" s="0" t="s">
        <v>463</v>
      </c>
      <c r="C6454" s="0" t="s">
        <v>464</v>
      </c>
      <c r="D6454" s="0" t="n">
        <v>2</v>
      </c>
      <c r="E6454" s="6" t="n">
        <v>40875.4555555556</v>
      </c>
      <c r="F6454" s="0" t="n">
        <v>7.95</v>
      </c>
      <c r="G6454" s="0" t="n">
        <v>12668</v>
      </c>
      <c r="H6454" s="0" t="s">
        <v>33</v>
      </c>
      <c r="I6454" s="7" t="n">
        <f aca="false">IF(AND(LEFT(A6454,1)&lt;&gt;"C",D6454&gt;0,F6454&gt;0),1,0)</f>
        <v>1</v>
      </c>
      <c r="J6454" s="7" t="n">
        <f aca="false">IF(I6454=1,D6454*F6454,0)</f>
        <v>15.9</v>
      </c>
      <c r="K6454" s="7" t="n">
        <f aca="false">YEAR(E6454)*100+MONTH(E6454)</f>
        <v>201111</v>
      </c>
      <c r="L6454" s="7" t="n">
        <f aca="false">IF(AND(A6454&lt;&gt;A6453,LEFT(A6454,1)&lt;&gt;"C"),1,0)</f>
        <v>1</v>
      </c>
    </row>
    <row r="6455" customFormat="false" ht="15" hidden="false" customHeight="false" outlineLevel="0" collapsed="false">
      <c r="A6455" s="0" t="s">
        <v>3330</v>
      </c>
      <c r="B6455" s="0" t="s">
        <v>756</v>
      </c>
      <c r="C6455" s="0" t="s">
        <v>757</v>
      </c>
      <c r="D6455" s="0" t="n">
        <v>4</v>
      </c>
      <c r="E6455" s="6" t="n">
        <v>40875.4555555556</v>
      </c>
      <c r="F6455" s="0" t="n">
        <v>3.75</v>
      </c>
      <c r="G6455" s="0" t="n">
        <v>12668</v>
      </c>
      <c r="H6455" s="0" t="s">
        <v>33</v>
      </c>
      <c r="I6455" s="7" t="n">
        <f aca="false">IF(AND(LEFT(A6455,1)&lt;&gt;"C",D6455&gt;0,F6455&gt;0),1,0)</f>
        <v>1</v>
      </c>
      <c r="J6455" s="7" t="n">
        <f aca="false">IF(I6455=1,D6455*F6455,0)</f>
        <v>15</v>
      </c>
      <c r="K6455" s="7" t="n">
        <f aca="false">YEAR(E6455)*100+MONTH(E6455)</f>
        <v>201111</v>
      </c>
      <c r="L6455" s="7" t="n">
        <f aca="false">IF(AND(A6455&lt;&gt;A6454,LEFT(A6455,1)&lt;&gt;"C"),1,0)</f>
        <v>0</v>
      </c>
    </row>
    <row r="6456" customFormat="false" ht="15" hidden="false" customHeight="false" outlineLevel="0" collapsed="false">
      <c r="A6456" s="0" t="s">
        <v>3330</v>
      </c>
      <c r="B6456" s="0" t="s">
        <v>911</v>
      </c>
      <c r="C6456" s="0" t="s">
        <v>912</v>
      </c>
      <c r="D6456" s="0" t="n">
        <v>12</v>
      </c>
      <c r="E6456" s="6" t="n">
        <v>40875.4555555556</v>
      </c>
      <c r="F6456" s="0" t="n">
        <v>1.69</v>
      </c>
      <c r="G6456" s="0" t="n">
        <v>12668</v>
      </c>
      <c r="H6456" s="0" t="s">
        <v>33</v>
      </c>
      <c r="I6456" s="7" t="n">
        <f aca="false">IF(AND(LEFT(A6456,1)&lt;&gt;"C",D6456&gt;0,F6456&gt;0),1,0)</f>
        <v>1</v>
      </c>
      <c r="J6456" s="7" t="n">
        <f aca="false">IF(I6456=1,D6456*F6456,0)</f>
        <v>20.28</v>
      </c>
      <c r="K6456" s="7" t="n">
        <f aca="false">YEAR(E6456)*100+MONTH(E6456)</f>
        <v>201111</v>
      </c>
      <c r="L6456" s="7" t="n">
        <f aca="false">IF(AND(A6456&lt;&gt;A6455,LEFT(A6456,1)&lt;&gt;"C"),1,0)</f>
        <v>0</v>
      </c>
    </row>
    <row r="6457" customFormat="false" ht="15" hidden="false" customHeight="false" outlineLevel="0" collapsed="false">
      <c r="A6457" s="0" t="s">
        <v>3330</v>
      </c>
      <c r="B6457" s="0" t="s">
        <v>3055</v>
      </c>
      <c r="C6457" s="0" t="s">
        <v>3056</v>
      </c>
      <c r="D6457" s="0" t="n">
        <v>4</v>
      </c>
      <c r="E6457" s="6" t="n">
        <v>40875.4555555556</v>
      </c>
      <c r="F6457" s="0" t="n">
        <v>4.95</v>
      </c>
      <c r="G6457" s="0" t="n">
        <v>12668</v>
      </c>
      <c r="H6457" s="0" t="s">
        <v>33</v>
      </c>
      <c r="I6457" s="7" t="n">
        <f aca="false">IF(AND(LEFT(A6457,1)&lt;&gt;"C",D6457&gt;0,F6457&gt;0),1,0)</f>
        <v>1</v>
      </c>
      <c r="J6457" s="7" t="n">
        <f aca="false">IF(I6457=1,D6457*F6457,0)</f>
        <v>19.8</v>
      </c>
      <c r="K6457" s="7" t="n">
        <f aca="false">YEAR(E6457)*100+MONTH(E6457)</f>
        <v>201111</v>
      </c>
      <c r="L6457" s="7" t="n">
        <f aca="false">IF(AND(A6457&lt;&gt;A6456,LEFT(A6457,1)&lt;&gt;"C"),1,0)</f>
        <v>0</v>
      </c>
    </row>
    <row r="6458" customFormat="false" ht="15" hidden="false" customHeight="false" outlineLevel="0" collapsed="false">
      <c r="A6458" s="0" t="s">
        <v>3330</v>
      </c>
      <c r="B6458" s="0" t="s">
        <v>554</v>
      </c>
      <c r="C6458" s="0" t="s">
        <v>555</v>
      </c>
      <c r="D6458" s="0" t="n">
        <v>3</v>
      </c>
      <c r="E6458" s="6" t="n">
        <v>40875.4555555556</v>
      </c>
      <c r="F6458" s="0" t="n">
        <v>5.95</v>
      </c>
      <c r="G6458" s="0" t="n">
        <v>12668</v>
      </c>
      <c r="H6458" s="0" t="s">
        <v>33</v>
      </c>
      <c r="I6458" s="7" t="n">
        <f aca="false">IF(AND(LEFT(A6458,1)&lt;&gt;"C",D6458&gt;0,F6458&gt;0),1,0)</f>
        <v>1</v>
      </c>
      <c r="J6458" s="7" t="n">
        <f aca="false">IF(I6458=1,D6458*F6458,0)</f>
        <v>17.85</v>
      </c>
      <c r="K6458" s="7" t="n">
        <f aca="false">YEAR(E6458)*100+MONTH(E6458)</f>
        <v>201111</v>
      </c>
      <c r="L6458" s="7" t="n">
        <f aca="false">IF(AND(A6458&lt;&gt;A6457,LEFT(A6458,1)&lt;&gt;"C"),1,0)</f>
        <v>0</v>
      </c>
    </row>
    <row r="6459" customFormat="false" ht="15" hidden="false" customHeight="false" outlineLevel="0" collapsed="false">
      <c r="A6459" s="0" t="s">
        <v>3330</v>
      </c>
      <c r="B6459" s="0" t="s">
        <v>228</v>
      </c>
      <c r="C6459" s="0" t="s">
        <v>229</v>
      </c>
      <c r="D6459" s="0" t="n">
        <v>6</v>
      </c>
      <c r="E6459" s="6" t="n">
        <v>40875.4555555556</v>
      </c>
      <c r="F6459" s="0" t="n">
        <v>3.25</v>
      </c>
      <c r="G6459" s="0" t="n">
        <v>12668</v>
      </c>
      <c r="H6459" s="0" t="s">
        <v>33</v>
      </c>
      <c r="I6459" s="7" t="n">
        <f aca="false">IF(AND(LEFT(A6459,1)&lt;&gt;"C",D6459&gt;0,F6459&gt;0),1,0)</f>
        <v>1</v>
      </c>
      <c r="J6459" s="7" t="n">
        <f aca="false">IF(I6459=1,D6459*F6459,0)</f>
        <v>19.5</v>
      </c>
      <c r="K6459" s="7" t="n">
        <f aca="false">YEAR(E6459)*100+MONTH(E6459)</f>
        <v>201111</v>
      </c>
      <c r="L6459" s="7" t="n">
        <f aca="false">IF(AND(A6459&lt;&gt;A6458,LEFT(A6459,1)&lt;&gt;"C"),1,0)</f>
        <v>0</v>
      </c>
    </row>
    <row r="6460" customFormat="false" ht="15" hidden="false" customHeight="false" outlineLevel="0" collapsed="false">
      <c r="A6460" s="0" t="s">
        <v>3330</v>
      </c>
      <c r="B6460" s="0" t="s">
        <v>418</v>
      </c>
      <c r="C6460" s="0" t="s">
        <v>419</v>
      </c>
      <c r="D6460" s="0" t="n">
        <v>6</v>
      </c>
      <c r="E6460" s="6" t="n">
        <v>40875.4555555556</v>
      </c>
      <c r="F6460" s="0" t="n">
        <v>3.25</v>
      </c>
      <c r="G6460" s="0" t="n">
        <v>12668</v>
      </c>
      <c r="H6460" s="0" t="s">
        <v>33</v>
      </c>
      <c r="I6460" s="7" t="n">
        <f aca="false">IF(AND(LEFT(A6460,1)&lt;&gt;"C",D6460&gt;0,F6460&gt;0),1,0)</f>
        <v>1</v>
      </c>
      <c r="J6460" s="7" t="n">
        <f aca="false">IF(I6460=1,D6460*F6460,0)</f>
        <v>19.5</v>
      </c>
      <c r="K6460" s="7" t="n">
        <f aca="false">YEAR(E6460)*100+MONTH(E6460)</f>
        <v>201111</v>
      </c>
      <c r="L6460" s="7" t="n">
        <f aca="false">IF(AND(A6460&lt;&gt;A6459,LEFT(A6460,1)&lt;&gt;"C"),1,0)</f>
        <v>0</v>
      </c>
    </row>
    <row r="6461" customFormat="false" ht="15" hidden="false" customHeight="false" outlineLevel="0" collapsed="false">
      <c r="A6461" s="0" t="s">
        <v>3330</v>
      </c>
      <c r="B6461" s="0" t="s">
        <v>1244</v>
      </c>
      <c r="C6461" s="0" t="s">
        <v>1245</v>
      </c>
      <c r="D6461" s="0" t="n">
        <v>6</v>
      </c>
      <c r="E6461" s="6" t="n">
        <v>40875.4555555556</v>
      </c>
      <c r="F6461" s="0" t="n">
        <v>3.75</v>
      </c>
      <c r="G6461" s="0" t="n">
        <v>12668</v>
      </c>
      <c r="H6461" s="0" t="s">
        <v>33</v>
      </c>
      <c r="I6461" s="7" t="n">
        <f aca="false">IF(AND(LEFT(A6461,1)&lt;&gt;"C",D6461&gt;0,F6461&gt;0),1,0)</f>
        <v>1</v>
      </c>
      <c r="J6461" s="7" t="n">
        <f aca="false">IF(I6461=1,D6461*F6461,0)</f>
        <v>22.5</v>
      </c>
      <c r="K6461" s="7" t="n">
        <f aca="false">YEAR(E6461)*100+MONTH(E6461)</f>
        <v>201111</v>
      </c>
      <c r="L6461" s="7" t="n">
        <f aca="false">IF(AND(A6461&lt;&gt;A6460,LEFT(A6461,1)&lt;&gt;"C"),1,0)</f>
        <v>0</v>
      </c>
    </row>
    <row r="6462" customFormat="false" ht="15" hidden="false" customHeight="false" outlineLevel="0" collapsed="false">
      <c r="A6462" s="0" t="s">
        <v>3330</v>
      </c>
      <c r="B6462" s="0" t="s">
        <v>2076</v>
      </c>
      <c r="C6462" s="0" t="s">
        <v>2077</v>
      </c>
      <c r="D6462" s="0" t="n">
        <v>4</v>
      </c>
      <c r="E6462" s="6" t="n">
        <v>40875.4555555556</v>
      </c>
      <c r="F6462" s="0" t="n">
        <v>4.25</v>
      </c>
      <c r="G6462" s="0" t="n">
        <v>12668</v>
      </c>
      <c r="H6462" s="0" t="s">
        <v>33</v>
      </c>
      <c r="I6462" s="7" t="n">
        <f aca="false">IF(AND(LEFT(A6462,1)&lt;&gt;"C",D6462&gt;0,F6462&gt;0),1,0)</f>
        <v>1</v>
      </c>
      <c r="J6462" s="7" t="n">
        <f aca="false">IF(I6462=1,D6462*F6462,0)</f>
        <v>17</v>
      </c>
      <c r="K6462" s="7" t="n">
        <f aca="false">YEAR(E6462)*100+MONTH(E6462)</f>
        <v>201111</v>
      </c>
      <c r="L6462" s="7" t="n">
        <f aca="false">IF(AND(A6462&lt;&gt;A6461,LEFT(A6462,1)&lt;&gt;"C"),1,0)</f>
        <v>0</v>
      </c>
    </row>
    <row r="6463" customFormat="false" ht="15" hidden="false" customHeight="false" outlineLevel="0" collapsed="false">
      <c r="A6463" s="0" t="s">
        <v>3330</v>
      </c>
      <c r="B6463" s="0" t="s">
        <v>953</v>
      </c>
      <c r="C6463" s="0" t="s">
        <v>954</v>
      </c>
      <c r="D6463" s="0" t="n">
        <v>10</v>
      </c>
      <c r="E6463" s="6" t="n">
        <v>40875.4555555556</v>
      </c>
      <c r="F6463" s="0" t="n">
        <v>1.25</v>
      </c>
      <c r="G6463" s="0" t="n">
        <v>12668</v>
      </c>
      <c r="H6463" s="0" t="s">
        <v>33</v>
      </c>
      <c r="I6463" s="7" t="n">
        <f aca="false">IF(AND(LEFT(A6463,1)&lt;&gt;"C",D6463&gt;0,F6463&gt;0),1,0)</f>
        <v>1</v>
      </c>
      <c r="J6463" s="7" t="n">
        <f aca="false">IF(I6463=1,D6463*F6463,0)</f>
        <v>12.5</v>
      </c>
      <c r="K6463" s="7" t="n">
        <f aca="false">YEAR(E6463)*100+MONTH(E6463)</f>
        <v>201111</v>
      </c>
      <c r="L6463" s="7" t="n">
        <f aca="false">IF(AND(A6463&lt;&gt;A6462,LEFT(A6463,1)&lt;&gt;"C"),1,0)</f>
        <v>0</v>
      </c>
    </row>
    <row r="6464" customFormat="false" ht="15" hidden="false" customHeight="false" outlineLevel="0" collapsed="false">
      <c r="A6464" s="0" t="s">
        <v>3330</v>
      </c>
      <c r="B6464" s="0" t="s">
        <v>951</v>
      </c>
      <c r="C6464" s="0" t="s">
        <v>952</v>
      </c>
      <c r="D6464" s="0" t="n">
        <v>10</v>
      </c>
      <c r="E6464" s="6" t="n">
        <v>40875.4555555556</v>
      </c>
      <c r="F6464" s="0" t="n">
        <v>1.25</v>
      </c>
      <c r="G6464" s="0" t="n">
        <v>12668</v>
      </c>
      <c r="H6464" s="0" t="s">
        <v>33</v>
      </c>
      <c r="I6464" s="7" t="n">
        <f aca="false">IF(AND(LEFT(A6464,1)&lt;&gt;"C",D6464&gt;0,F6464&gt;0),1,0)</f>
        <v>1</v>
      </c>
      <c r="J6464" s="7" t="n">
        <f aca="false">IF(I6464=1,D6464*F6464,0)</f>
        <v>12.5</v>
      </c>
      <c r="K6464" s="7" t="n">
        <f aca="false">YEAR(E6464)*100+MONTH(E6464)</f>
        <v>201111</v>
      </c>
      <c r="L6464" s="7" t="n">
        <f aca="false">IF(AND(A6464&lt;&gt;A6463,LEFT(A6464,1)&lt;&gt;"C"),1,0)</f>
        <v>0</v>
      </c>
    </row>
    <row r="6465" customFormat="false" ht="15" hidden="false" customHeight="false" outlineLevel="0" collapsed="false">
      <c r="A6465" s="0" t="s">
        <v>3330</v>
      </c>
      <c r="B6465" s="0" t="s">
        <v>897</v>
      </c>
      <c r="C6465" s="0" t="s">
        <v>898</v>
      </c>
      <c r="D6465" s="0" t="n">
        <v>3</v>
      </c>
      <c r="E6465" s="6" t="n">
        <v>40875.4555555556</v>
      </c>
      <c r="F6465" s="0" t="n">
        <v>4.95</v>
      </c>
      <c r="G6465" s="0" t="n">
        <v>12668</v>
      </c>
      <c r="H6465" s="0" t="s">
        <v>33</v>
      </c>
      <c r="I6465" s="7" t="n">
        <f aca="false">IF(AND(LEFT(A6465,1)&lt;&gt;"C",D6465&gt;0,F6465&gt;0),1,0)</f>
        <v>1</v>
      </c>
      <c r="J6465" s="7" t="n">
        <f aca="false">IF(I6465=1,D6465*F6465,0)</f>
        <v>14.85</v>
      </c>
      <c r="K6465" s="7" t="n">
        <f aca="false">YEAR(E6465)*100+MONTH(E6465)</f>
        <v>201111</v>
      </c>
      <c r="L6465" s="7" t="n">
        <f aca="false">IF(AND(A6465&lt;&gt;A6464,LEFT(A6465,1)&lt;&gt;"C"),1,0)</f>
        <v>0</v>
      </c>
    </row>
    <row r="6466" customFormat="false" ht="15" hidden="false" customHeight="false" outlineLevel="0" collapsed="false">
      <c r="A6466" s="0" t="s">
        <v>3330</v>
      </c>
      <c r="B6466" s="0" t="s">
        <v>1652</v>
      </c>
      <c r="C6466" s="0" t="s">
        <v>1653</v>
      </c>
      <c r="D6466" s="0" t="n">
        <v>3</v>
      </c>
      <c r="E6466" s="6" t="n">
        <v>40875.4555555556</v>
      </c>
      <c r="F6466" s="0" t="n">
        <v>4.95</v>
      </c>
      <c r="G6466" s="0" t="n">
        <v>12668</v>
      </c>
      <c r="H6466" s="0" t="s">
        <v>33</v>
      </c>
      <c r="I6466" s="7" t="n">
        <f aca="false">IF(AND(LEFT(A6466,1)&lt;&gt;"C",D6466&gt;0,F6466&gt;0),1,0)</f>
        <v>1</v>
      </c>
      <c r="J6466" s="7" t="n">
        <f aca="false">IF(I6466=1,D6466*F6466,0)</f>
        <v>14.85</v>
      </c>
      <c r="K6466" s="7" t="n">
        <f aca="false">YEAR(E6466)*100+MONTH(E6466)</f>
        <v>201111</v>
      </c>
      <c r="L6466" s="7" t="n">
        <f aca="false">IF(AND(A6466&lt;&gt;A6465,LEFT(A6466,1)&lt;&gt;"C"),1,0)</f>
        <v>0</v>
      </c>
    </row>
    <row r="6467" customFormat="false" ht="15" hidden="false" customHeight="false" outlineLevel="0" collapsed="false">
      <c r="A6467" s="0" t="s">
        <v>3330</v>
      </c>
      <c r="B6467" s="0" t="s">
        <v>1650</v>
      </c>
      <c r="C6467" s="0" t="s">
        <v>1651</v>
      </c>
      <c r="D6467" s="0" t="n">
        <v>3</v>
      </c>
      <c r="E6467" s="6" t="n">
        <v>40875.4555555556</v>
      </c>
      <c r="F6467" s="0" t="n">
        <v>4.95</v>
      </c>
      <c r="G6467" s="0" t="n">
        <v>12668</v>
      </c>
      <c r="H6467" s="0" t="s">
        <v>33</v>
      </c>
      <c r="I6467" s="7" t="n">
        <f aca="false">IF(AND(LEFT(A6467,1)&lt;&gt;"C",D6467&gt;0,F6467&gt;0),1,0)</f>
        <v>1</v>
      </c>
      <c r="J6467" s="7" t="n">
        <f aca="false">IF(I6467=1,D6467*F6467,0)</f>
        <v>14.85</v>
      </c>
      <c r="K6467" s="7" t="n">
        <f aca="false">YEAR(E6467)*100+MONTH(E6467)</f>
        <v>201111</v>
      </c>
      <c r="L6467" s="7" t="n">
        <f aca="false">IF(AND(A6467&lt;&gt;A6466,LEFT(A6467,1)&lt;&gt;"C"),1,0)</f>
        <v>0</v>
      </c>
    </row>
    <row r="6468" customFormat="false" ht="15" hidden="false" customHeight="false" outlineLevel="0" collapsed="false">
      <c r="A6468" s="0" t="s">
        <v>3330</v>
      </c>
      <c r="B6468" s="0" t="s">
        <v>1341</v>
      </c>
      <c r="C6468" s="0" t="s">
        <v>1342</v>
      </c>
      <c r="D6468" s="0" t="n">
        <v>3</v>
      </c>
      <c r="E6468" s="6" t="n">
        <v>40875.4555555556</v>
      </c>
      <c r="F6468" s="0" t="n">
        <v>4.95</v>
      </c>
      <c r="G6468" s="0" t="n">
        <v>12668</v>
      </c>
      <c r="H6468" s="0" t="s">
        <v>33</v>
      </c>
      <c r="I6468" s="7" t="n">
        <f aca="false">IF(AND(LEFT(A6468,1)&lt;&gt;"C",D6468&gt;0,F6468&gt;0),1,0)</f>
        <v>1</v>
      </c>
      <c r="J6468" s="7" t="n">
        <f aca="false">IF(I6468=1,D6468*F6468,0)</f>
        <v>14.85</v>
      </c>
      <c r="K6468" s="7" t="n">
        <f aca="false">YEAR(E6468)*100+MONTH(E6468)</f>
        <v>201111</v>
      </c>
      <c r="L6468" s="7" t="n">
        <f aca="false">IF(AND(A6468&lt;&gt;A6467,LEFT(A6468,1)&lt;&gt;"C"),1,0)</f>
        <v>0</v>
      </c>
    </row>
    <row r="6469" customFormat="false" ht="15" hidden="false" customHeight="false" outlineLevel="0" collapsed="false">
      <c r="A6469" s="0" t="s">
        <v>3330</v>
      </c>
      <c r="B6469" s="0" t="s">
        <v>789</v>
      </c>
      <c r="C6469" s="0" t="s">
        <v>790</v>
      </c>
      <c r="D6469" s="0" t="n">
        <v>6</v>
      </c>
      <c r="E6469" s="6" t="n">
        <v>40875.4555555556</v>
      </c>
      <c r="F6469" s="0" t="n">
        <v>1.95</v>
      </c>
      <c r="G6469" s="0" t="n">
        <v>12668</v>
      </c>
      <c r="H6469" s="0" t="s">
        <v>33</v>
      </c>
      <c r="I6469" s="7" t="n">
        <f aca="false">IF(AND(LEFT(A6469,1)&lt;&gt;"C",D6469&gt;0,F6469&gt;0),1,0)</f>
        <v>1</v>
      </c>
      <c r="J6469" s="7" t="n">
        <f aca="false">IF(I6469=1,D6469*F6469,0)</f>
        <v>11.7</v>
      </c>
      <c r="K6469" s="7" t="n">
        <f aca="false">YEAR(E6469)*100+MONTH(E6469)</f>
        <v>201111</v>
      </c>
      <c r="L6469" s="7" t="n">
        <f aca="false">IF(AND(A6469&lt;&gt;A6468,LEFT(A6469,1)&lt;&gt;"C"),1,0)</f>
        <v>0</v>
      </c>
    </row>
    <row r="6470" customFormat="false" ht="15" hidden="false" customHeight="false" outlineLevel="0" collapsed="false">
      <c r="A6470" s="0" t="s">
        <v>3330</v>
      </c>
      <c r="B6470" s="0" t="s">
        <v>1104</v>
      </c>
      <c r="C6470" s="0" t="s">
        <v>1105</v>
      </c>
      <c r="D6470" s="0" t="n">
        <v>6</v>
      </c>
      <c r="E6470" s="6" t="n">
        <v>40875.4555555556</v>
      </c>
      <c r="F6470" s="0" t="n">
        <v>2.55</v>
      </c>
      <c r="G6470" s="0" t="n">
        <v>12668</v>
      </c>
      <c r="H6470" s="0" t="s">
        <v>33</v>
      </c>
      <c r="I6470" s="7" t="n">
        <f aca="false">IF(AND(LEFT(A6470,1)&lt;&gt;"C",D6470&gt;0,F6470&gt;0),1,0)</f>
        <v>1</v>
      </c>
      <c r="J6470" s="7" t="n">
        <f aca="false">IF(I6470=1,D6470*F6470,0)</f>
        <v>15.3</v>
      </c>
      <c r="K6470" s="7" t="n">
        <f aca="false">YEAR(E6470)*100+MONTH(E6470)</f>
        <v>201111</v>
      </c>
      <c r="L6470" s="7" t="n">
        <f aca="false">IF(AND(A6470&lt;&gt;A6469,LEFT(A6470,1)&lt;&gt;"C"),1,0)</f>
        <v>0</v>
      </c>
    </row>
    <row r="6471" customFormat="false" ht="15" hidden="false" customHeight="false" outlineLevel="0" collapsed="false">
      <c r="A6471" s="0" t="s">
        <v>3330</v>
      </c>
      <c r="B6471" s="0" t="s">
        <v>1102</v>
      </c>
      <c r="C6471" s="0" t="s">
        <v>1103</v>
      </c>
      <c r="D6471" s="0" t="n">
        <v>6</v>
      </c>
      <c r="E6471" s="6" t="n">
        <v>40875.4555555556</v>
      </c>
      <c r="F6471" s="0" t="n">
        <v>2.55</v>
      </c>
      <c r="G6471" s="0" t="n">
        <v>12668</v>
      </c>
      <c r="H6471" s="0" t="s">
        <v>33</v>
      </c>
      <c r="I6471" s="7" t="n">
        <f aca="false">IF(AND(LEFT(A6471,1)&lt;&gt;"C",D6471&gt;0,F6471&gt;0),1,0)</f>
        <v>1</v>
      </c>
      <c r="J6471" s="7" t="n">
        <f aca="false">IF(I6471=1,D6471*F6471,0)</f>
        <v>15.3</v>
      </c>
      <c r="K6471" s="7" t="n">
        <f aca="false">YEAR(E6471)*100+MONTH(E6471)</f>
        <v>201111</v>
      </c>
      <c r="L6471" s="7" t="n">
        <f aca="false">IF(AND(A6471&lt;&gt;A6470,LEFT(A6471,1)&lt;&gt;"C"),1,0)</f>
        <v>0</v>
      </c>
    </row>
    <row r="6472" customFormat="false" ht="15" hidden="false" customHeight="false" outlineLevel="0" collapsed="false">
      <c r="A6472" s="0" t="s">
        <v>3330</v>
      </c>
      <c r="B6472" s="0" t="s">
        <v>1206</v>
      </c>
      <c r="C6472" s="0" t="s">
        <v>1207</v>
      </c>
      <c r="D6472" s="0" t="n">
        <v>3</v>
      </c>
      <c r="E6472" s="6" t="n">
        <v>40875.4555555556</v>
      </c>
      <c r="F6472" s="0" t="n">
        <v>4.95</v>
      </c>
      <c r="G6472" s="0" t="n">
        <v>12668</v>
      </c>
      <c r="H6472" s="0" t="s">
        <v>33</v>
      </c>
      <c r="I6472" s="7" t="n">
        <f aca="false">IF(AND(LEFT(A6472,1)&lt;&gt;"C",D6472&gt;0,F6472&gt;0),1,0)</f>
        <v>1</v>
      </c>
      <c r="J6472" s="7" t="n">
        <f aca="false">IF(I6472=1,D6472*F6472,0)</f>
        <v>14.85</v>
      </c>
      <c r="K6472" s="7" t="n">
        <f aca="false">YEAR(E6472)*100+MONTH(E6472)</f>
        <v>201111</v>
      </c>
      <c r="L6472" s="7" t="n">
        <f aca="false">IF(AND(A6472&lt;&gt;A6471,LEFT(A6472,1)&lt;&gt;"C"),1,0)</f>
        <v>0</v>
      </c>
    </row>
    <row r="6473" customFormat="false" ht="15" hidden="false" customHeight="false" outlineLevel="0" collapsed="false">
      <c r="A6473" s="0" t="s">
        <v>3330</v>
      </c>
      <c r="B6473" s="0" t="s">
        <v>144</v>
      </c>
      <c r="C6473" s="0" t="s">
        <v>2576</v>
      </c>
      <c r="D6473" s="0" t="n">
        <v>24</v>
      </c>
      <c r="E6473" s="6" t="n">
        <v>40875.4555555556</v>
      </c>
      <c r="F6473" s="0" t="n">
        <v>1.25</v>
      </c>
      <c r="G6473" s="0" t="n">
        <v>12668</v>
      </c>
      <c r="H6473" s="0" t="s">
        <v>33</v>
      </c>
      <c r="I6473" s="7" t="n">
        <f aca="false">IF(AND(LEFT(A6473,1)&lt;&gt;"C",D6473&gt;0,F6473&gt;0),1,0)</f>
        <v>1</v>
      </c>
      <c r="J6473" s="7" t="n">
        <f aca="false">IF(I6473=1,D6473*F6473,0)</f>
        <v>30</v>
      </c>
      <c r="K6473" s="7" t="n">
        <f aca="false">YEAR(E6473)*100+MONTH(E6473)</f>
        <v>201111</v>
      </c>
      <c r="L6473" s="7" t="n">
        <f aca="false">IF(AND(A6473&lt;&gt;A6472,LEFT(A6473,1)&lt;&gt;"C"),1,0)</f>
        <v>0</v>
      </c>
    </row>
    <row r="6474" customFormat="false" ht="15" hidden="false" customHeight="false" outlineLevel="0" collapsed="false">
      <c r="A6474" s="0" t="s">
        <v>3330</v>
      </c>
      <c r="B6474" s="0" t="s">
        <v>996</v>
      </c>
      <c r="C6474" s="0" t="s">
        <v>997</v>
      </c>
      <c r="D6474" s="0" t="n">
        <v>12</v>
      </c>
      <c r="E6474" s="6" t="n">
        <v>40875.4555555556</v>
      </c>
      <c r="F6474" s="0" t="n">
        <v>1.65</v>
      </c>
      <c r="G6474" s="0" t="n">
        <v>12668</v>
      </c>
      <c r="H6474" s="0" t="s">
        <v>33</v>
      </c>
      <c r="I6474" s="7" t="n">
        <f aca="false">IF(AND(LEFT(A6474,1)&lt;&gt;"C",D6474&gt;0,F6474&gt;0),1,0)</f>
        <v>1</v>
      </c>
      <c r="J6474" s="7" t="n">
        <f aca="false">IF(I6474=1,D6474*F6474,0)</f>
        <v>19.8</v>
      </c>
      <c r="K6474" s="7" t="n">
        <f aca="false">YEAR(E6474)*100+MONTH(E6474)</f>
        <v>201111</v>
      </c>
      <c r="L6474" s="7" t="n">
        <f aca="false">IF(AND(A6474&lt;&gt;A6473,LEFT(A6474,1)&lt;&gt;"C"),1,0)</f>
        <v>0</v>
      </c>
    </row>
    <row r="6475" customFormat="false" ht="15" hidden="false" customHeight="false" outlineLevel="0" collapsed="false">
      <c r="A6475" s="0" t="s">
        <v>3330</v>
      </c>
      <c r="B6475" s="0" t="s">
        <v>226</v>
      </c>
      <c r="C6475" s="0" t="s">
        <v>227</v>
      </c>
      <c r="D6475" s="0" t="n">
        <v>6</v>
      </c>
      <c r="E6475" s="6" t="n">
        <v>40875.4555555556</v>
      </c>
      <c r="F6475" s="0" t="n">
        <v>2.95</v>
      </c>
      <c r="G6475" s="0" t="n">
        <v>12668</v>
      </c>
      <c r="H6475" s="0" t="s">
        <v>33</v>
      </c>
      <c r="I6475" s="7" t="n">
        <f aca="false">IF(AND(LEFT(A6475,1)&lt;&gt;"C",D6475&gt;0,F6475&gt;0),1,0)</f>
        <v>1</v>
      </c>
      <c r="J6475" s="7" t="n">
        <f aca="false">IF(I6475=1,D6475*F6475,0)</f>
        <v>17.7</v>
      </c>
      <c r="K6475" s="7" t="n">
        <f aca="false">YEAR(E6475)*100+MONTH(E6475)</f>
        <v>201111</v>
      </c>
      <c r="L6475" s="7" t="n">
        <f aca="false">IF(AND(A6475&lt;&gt;A6474,LEFT(A6475,1)&lt;&gt;"C"),1,0)</f>
        <v>0</v>
      </c>
    </row>
    <row r="6476" customFormat="false" ht="15" hidden="false" customHeight="false" outlineLevel="0" collapsed="false">
      <c r="A6476" s="0" t="s">
        <v>3330</v>
      </c>
      <c r="B6476" s="0" t="s">
        <v>337</v>
      </c>
      <c r="C6476" s="0" t="s">
        <v>338</v>
      </c>
      <c r="D6476" s="0" t="n">
        <v>6</v>
      </c>
      <c r="E6476" s="6" t="n">
        <v>40875.4555555556</v>
      </c>
      <c r="F6476" s="0" t="n">
        <v>2.95</v>
      </c>
      <c r="G6476" s="0" t="n">
        <v>12668</v>
      </c>
      <c r="H6476" s="0" t="s">
        <v>33</v>
      </c>
      <c r="I6476" s="7" t="n">
        <f aca="false">IF(AND(LEFT(A6476,1)&lt;&gt;"C",D6476&gt;0,F6476&gt;0),1,0)</f>
        <v>1</v>
      </c>
      <c r="J6476" s="7" t="n">
        <f aca="false">IF(I6476=1,D6476*F6476,0)</f>
        <v>17.7</v>
      </c>
      <c r="K6476" s="7" t="n">
        <f aca="false">YEAR(E6476)*100+MONTH(E6476)</f>
        <v>201111</v>
      </c>
      <c r="L6476" s="7" t="n">
        <f aca="false">IF(AND(A6476&lt;&gt;A6475,LEFT(A6476,1)&lt;&gt;"C"),1,0)</f>
        <v>0</v>
      </c>
    </row>
    <row r="6477" customFormat="false" ht="15" hidden="false" customHeight="false" outlineLevel="0" collapsed="false">
      <c r="A6477" s="0" t="s">
        <v>3330</v>
      </c>
      <c r="B6477" s="0" t="s">
        <v>301</v>
      </c>
      <c r="C6477" s="0" t="s">
        <v>302</v>
      </c>
      <c r="D6477" s="0" t="n">
        <v>12</v>
      </c>
      <c r="E6477" s="6" t="n">
        <v>40875.4555555556</v>
      </c>
      <c r="F6477" s="0" t="n">
        <v>2.55</v>
      </c>
      <c r="G6477" s="0" t="n">
        <v>12668</v>
      </c>
      <c r="H6477" s="0" t="s">
        <v>33</v>
      </c>
      <c r="I6477" s="7" t="n">
        <f aca="false">IF(AND(LEFT(A6477,1)&lt;&gt;"C",D6477&gt;0,F6477&gt;0),1,0)</f>
        <v>1</v>
      </c>
      <c r="J6477" s="7" t="n">
        <f aca="false">IF(I6477=1,D6477*F6477,0)</f>
        <v>30.6</v>
      </c>
      <c r="K6477" s="7" t="n">
        <f aca="false">YEAR(E6477)*100+MONTH(E6477)</f>
        <v>201111</v>
      </c>
      <c r="L6477" s="7" t="n">
        <f aca="false">IF(AND(A6477&lt;&gt;A6476,LEFT(A6477,1)&lt;&gt;"C"),1,0)</f>
        <v>0</v>
      </c>
    </row>
    <row r="6478" customFormat="false" ht="15" hidden="false" customHeight="false" outlineLevel="0" collapsed="false">
      <c r="A6478" s="0" t="s">
        <v>3330</v>
      </c>
      <c r="B6478" s="0" t="s">
        <v>111</v>
      </c>
      <c r="C6478" s="0" t="s">
        <v>112</v>
      </c>
      <c r="D6478" s="0" t="n">
        <v>12</v>
      </c>
      <c r="E6478" s="6" t="n">
        <v>40875.4555555556</v>
      </c>
      <c r="F6478" s="0" t="n">
        <v>2.55</v>
      </c>
      <c r="G6478" s="0" t="n">
        <v>12668</v>
      </c>
      <c r="H6478" s="0" t="s">
        <v>33</v>
      </c>
      <c r="I6478" s="7" t="n">
        <f aca="false">IF(AND(LEFT(A6478,1)&lt;&gt;"C",D6478&gt;0,F6478&gt;0),1,0)</f>
        <v>1</v>
      </c>
      <c r="J6478" s="7" t="n">
        <f aca="false">IF(I6478=1,D6478*F6478,0)</f>
        <v>30.6</v>
      </c>
      <c r="K6478" s="7" t="n">
        <f aca="false">YEAR(E6478)*100+MONTH(E6478)</f>
        <v>201111</v>
      </c>
      <c r="L6478" s="7" t="n">
        <f aca="false">IF(AND(A6478&lt;&gt;A6477,LEFT(A6478,1)&lt;&gt;"C"),1,0)</f>
        <v>0</v>
      </c>
    </row>
    <row r="6479" customFormat="false" ht="15" hidden="false" customHeight="false" outlineLevel="0" collapsed="false">
      <c r="A6479" s="0" t="s">
        <v>3330</v>
      </c>
      <c r="B6479" s="0" t="s">
        <v>2972</v>
      </c>
      <c r="C6479" s="0" t="s">
        <v>2973</v>
      </c>
      <c r="D6479" s="0" t="n">
        <v>12</v>
      </c>
      <c r="E6479" s="6" t="n">
        <v>40875.4555555556</v>
      </c>
      <c r="F6479" s="0" t="n">
        <v>1.49</v>
      </c>
      <c r="G6479" s="0" t="n">
        <v>12668</v>
      </c>
      <c r="H6479" s="0" t="s">
        <v>33</v>
      </c>
      <c r="I6479" s="7" t="n">
        <f aca="false">IF(AND(LEFT(A6479,1)&lt;&gt;"C",D6479&gt;0,F6479&gt;0),1,0)</f>
        <v>1</v>
      </c>
      <c r="J6479" s="7" t="n">
        <f aca="false">IF(I6479=1,D6479*F6479,0)</f>
        <v>17.88</v>
      </c>
      <c r="K6479" s="7" t="n">
        <f aca="false">YEAR(E6479)*100+MONTH(E6479)</f>
        <v>201111</v>
      </c>
      <c r="L6479" s="7" t="n">
        <f aca="false">IF(AND(A6479&lt;&gt;A6478,LEFT(A6479,1)&lt;&gt;"C"),1,0)</f>
        <v>0</v>
      </c>
    </row>
    <row r="6480" customFormat="false" ht="15" hidden="false" customHeight="false" outlineLevel="0" collapsed="false">
      <c r="A6480" s="0" t="s">
        <v>3330</v>
      </c>
      <c r="B6480" s="0" t="s">
        <v>1970</v>
      </c>
      <c r="C6480" s="0" t="s">
        <v>1971</v>
      </c>
      <c r="D6480" s="0" t="n">
        <v>12</v>
      </c>
      <c r="E6480" s="6" t="n">
        <v>40875.4555555556</v>
      </c>
      <c r="F6480" s="0" t="n">
        <v>1.49</v>
      </c>
      <c r="G6480" s="0" t="n">
        <v>12668</v>
      </c>
      <c r="H6480" s="0" t="s">
        <v>33</v>
      </c>
      <c r="I6480" s="7" t="n">
        <f aca="false">IF(AND(LEFT(A6480,1)&lt;&gt;"C",D6480&gt;0,F6480&gt;0),1,0)</f>
        <v>1</v>
      </c>
      <c r="J6480" s="7" t="n">
        <f aca="false">IF(I6480=1,D6480*F6480,0)</f>
        <v>17.88</v>
      </c>
      <c r="K6480" s="7" t="n">
        <f aca="false">YEAR(E6480)*100+MONTH(E6480)</f>
        <v>201111</v>
      </c>
      <c r="L6480" s="7" t="n">
        <f aca="false">IF(AND(A6480&lt;&gt;A6479,LEFT(A6480,1)&lt;&gt;"C"),1,0)</f>
        <v>0</v>
      </c>
    </row>
    <row r="6481" customFormat="false" ht="15" hidden="false" customHeight="false" outlineLevel="0" collapsed="false">
      <c r="A6481" s="0" t="s">
        <v>3330</v>
      </c>
      <c r="B6481" s="0" t="s">
        <v>903</v>
      </c>
      <c r="C6481" s="0" t="s">
        <v>904</v>
      </c>
      <c r="D6481" s="0" t="n">
        <v>2</v>
      </c>
      <c r="E6481" s="6" t="n">
        <v>40875.4555555556</v>
      </c>
      <c r="F6481" s="0" t="n">
        <v>9.95</v>
      </c>
      <c r="G6481" s="0" t="n">
        <v>12668</v>
      </c>
      <c r="H6481" s="0" t="s">
        <v>33</v>
      </c>
      <c r="I6481" s="7" t="n">
        <f aca="false">IF(AND(LEFT(A6481,1)&lt;&gt;"C",D6481&gt;0,F6481&gt;0),1,0)</f>
        <v>1</v>
      </c>
      <c r="J6481" s="7" t="n">
        <f aca="false">IF(I6481=1,D6481*F6481,0)</f>
        <v>19.9</v>
      </c>
      <c r="K6481" s="7" t="n">
        <f aca="false">YEAR(E6481)*100+MONTH(E6481)</f>
        <v>201111</v>
      </c>
      <c r="L6481" s="7" t="n">
        <f aca="false">IF(AND(A6481&lt;&gt;A6480,LEFT(A6481,1)&lt;&gt;"C"),1,0)</f>
        <v>0</v>
      </c>
    </row>
    <row r="6482" customFormat="false" ht="15" hidden="false" customHeight="false" outlineLevel="0" collapsed="false">
      <c r="A6482" s="0" t="s">
        <v>3330</v>
      </c>
      <c r="B6482" s="0" t="s">
        <v>552</v>
      </c>
      <c r="C6482" s="0" t="s">
        <v>553</v>
      </c>
      <c r="D6482" s="0" t="n">
        <v>16</v>
      </c>
      <c r="E6482" s="6" t="n">
        <v>40875.4555555556</v>
      </c>
      <c r="F6482" s="0" t="n">
        <v>4.95</v>
      </c>
      <c r="G6482" s="0" t="n">
        <v>12668</v>
      </c>
      <c r="H6482" s="0" t="s">
        <v>33</v>
      </c>
      <c r="I6482" s="7" t="n">
        <f aca="false">IF(AND(LEFT(A6482,1)&lt;&gt;"C",D6482&gt;0,F6482&gt;0),1,0)</f>
        <v>1</v>
      </c>
      <c r="J6482" s="7" t="n">
        <f aca="false">IF(I6482=1,D6482*F6482,0)</f>
        <v>79.2</v>
      </c>
      <c r="K6482" s="7" t="n">
        <f aca="false">YEAR(E6482)*100+MONTH(E6482)</f>
        <v>201111</v>
      </c>
      <c r="L6482" s="7" t="n">
        <f aca="false">IF(AND(A6482&lt;&gt;A6481,LEFT(A6482,1)&lt;&gt;"C"),1,0)</f>
        <v>0</v>
      </c>
    </row>
    <row r="6483" customFormat="false" ht="15" hidden="false" customHeight="false" outlineLevel="0" collapsed="false">
      <c r="A6483" s="0" t="s">
        <v>3330</v>
      </c>
      <c r="B6483" s="0" t="s">
        <v>80</v>
      </c>
      <c r="C6483" s="0" t="s">
        <v>81</v>
      </c>
      <c r="D6483" s="0" t="n">
        <v>20</v>
      </c>
      <c r="E6483" s="6" t="n">
        <v>40875.4555555556</v>
      </c>
      <c r="F6483" s="0" t="n">
        <v>0.83</v>
      </c>
      <c r="G6483" s="0" t="n">
        <v>12668</v>
      </c>
      <c r="H6483" s="0" t="s">
        <v>33</v>
      </c>
      <c r="I6483" s="7" t="n">
        <f aca="false">IF(AND(LEFT(A6483,1)&lt;&gt;"C",D6483&gt;0,F6483&gt;0),1,0)</f>
        <v>1</v>
      </c>
      <c r="J6483" s="7" t="n">
        <f aca="false">IF(I6483=1,D6483*F6483,0)</f>
        <v>16.6</v>
      </c>
      <c r="K6483" s="7" t="n">
        <f aca="false">YEAR(E6483)*100+MONTH(E6483)</f>
        <v>201111</v>
      </c>
      <c r="L6483" s="7" t="n">
        <f aca="false">IF(AND(A6483&lt;&gt;A6482,LEFT(A6483,1)&lt;&gt;"C"),1,0)</f>
        <v>0</v>
      </c>
    </row>
    <row r="6484" customFormat="false" ht="15" hidden="false" customHeight="false" outlineLevel="0" collapsed="false">
      <c r="A6484" s="0" t="s">
        <v>3330</v>
      </c>
      <c r="B6484" s="0" t="s">
        <v>1841</v>
      </c>
      <c r="C6484" s="0" t="s">
        <v>1842</v>
      </c>
      <c r="D6484" s="0" t="n">
        <v>12</v>
      </c>
      <c r="E6484" s="6" t="n">
        <v>40875.4555555556</v>
      </c>
      <c r="F6484" s="0" t="n">
        <v>0.42</v>
      </c>
      <c r="G6484" s="0" t="n">
        <v>12668</v>
      </c>
      <c r="H6484" s="0" t="s">
        <v>33</v>
      </c>
      <c r="I6484" s="7" t="n">
        <f aca="false">IF(AND(LEFT(A6484,1)&lt;&gt;"C",D6484&gt;0,F6484&gt;0),1,0)</f>
        <v>1</v>
      </c>
      <c r="J6484" s="7" t="n">
        <f aca="false">IF(I6484=1,D6484*F6484,0)</f>
        <v>5.04</v>
      </c>
      <c r="K6484" s="7" t="n">
        <f aca="false">YEAR(E6484)*100+MONTH(E6484)</f>
        <v>201111</v>
      </c>
      <c r="L6484" s="7" t="n">
        <f aca="false">IF(AND(A6484&lt;&gt;A6483,LEFT(A6484,1)&lt;&gt;"C"),1,0)</f>
        <v>0</v>
      </c>
    </row>
    <row r="6485" customFormat="false" ht="15" hidden="false" customHeight="false" outlineLevel="0" collapsed="false">
      <c r="A6485" s="0" t="s">
        <v>3330</v>
      </c>
      <c r="B6485" s="0" t="s">
        <v>3331</v>
      </c>
      <c r="C6485" s="0" t="s">
        <v>3332</v>
      </c>
      <c r="D6485" s="0" t="n">
        <v>12</v>
      </c>
      <c r="E6485" s="6" t="n">
        <v>40875.4555555556</v>
      </c>
      <c r="F6485" s="0" t="n">
        <v>1.45</v>
      </c>
      <c r="G6485" s="0" t="n">
        <v>12668</v>
      </c>
      <c r="H6485" s="0" t="s">
        <v>33</v>
      </c>
      <c r="I6485" s="7" t="n">
        <f aca="false">IF(AND(LEFT(A6485,1)&lt;&gt;"C",D6485&gt;0,F6485&gt;0),1,0)</f>
        <v>1</v>
      </c>
      <c r="J6485" s="7" t="n">
        <f aca="false">IF(I6485=1,D6485*F6485,0)</f>
        <v>17.4</v>
      </c>
      <c r="K6485" s="7" t="n">
        <f aca="false">YEAR(E6485)*100+MONTH(E6485)</f>
        <v>201111</v>
      </c>
      <c r="L6485" s="7" t="n">
        <f aca="false">IF(AND(A6485&lt;&gt;A6484,LEFT(A6485,1)&lt;&gt;"C"),1,0)</f>
        <v>0</v>
      </c>
    </row>
    <row r="6486" customFormat="false" ht="15" hidden="false" customHeight="false" outlineLevel="0" collapsed="false">
      <c r="A6486" s="0" t="s">
        <v>3330</v>
      </c>
      <c r="B6486" s="0" t="s">
        <v>1964</v>
      </c>
      <c r="C6486" s="0" t="s">
        <v>1965</v>
      </c>
      <c r="D6486" s="0" t="n">
        <v>4</v>
      </c>
      <c r="E6486" s="6" t="n">
        <v>40875.4555555556</v>
      </c>
      <c r="F6486" s="0" t="n">
        <v>8.25</v>
      </c>
      <c r="G6486" s="0" t="n">
        <v>12668</v>
      </c>
      <c r="H6486" s="0" t="s">
        <v>33</v>
      </c>
      <c r="I6486" s="7" t="n">
        <f aca="false">IF(AND(LEFT(A6486,1)&lt;&gt;"C",D6486&gt;0,F6486&gt;0),1,0)</f>
        <v>1</v>
      </c>
      <c r="J6486" s="7" t="n">
        <f aca="false">IF(I6486=1,D6486*F6486,0)</f>
        <v>33</v>
      </c>
      <c r="K6486" s="7" t="n">
        <f aca="false">YEAR(E6486)*100+MONTH(E6486)</f>
        <v>201111</v>
      </c>
      <c r="L6486" s="7" t="n">
        <f aca="false">IF(AND(A6486&lt;&gt;A6485,LEFT(A6486,1)&lt;&gt;"C"),1,0)</f>
        <v>0</v>
      </c>
    </row>
    <row r="6487" customFormat="false" ht="15" hidden="false" customHeight="false" outlineLevel="0" collapsed="false">
      <c r="A6487" s="0" t="s">
        <v>3330</v>
      </c>
      <c r="B6487" s="0" t="s">
        <v>123</v>
      </c>
      <c r="C6487" s="0" t="s">
        <v>124</v>
      </c>
      <c r="D6487" s="0" t="n">
        <v>6</v>
      </c>
      <c r="E6487" s="6" t="n">
        <v>40875.4555555556</v>
      </c>
      <c r="F6487" s="0" t="n">
        <v>2.95</v>
      </c>
      <c r="G6487" s="0" t="n">
        <v>12668</v>
      </c>
      <c r="H6487" s="0" t="s">
        <v>33</v>
      </c>
      <c r="I6487" s="7" t="n">
        <f aca="false">IF(AND(LEFT(A6487,1)&lt;&gt;"C",D6487&gt;0,F6487&gt;0),1,0)</f>
        <v>1</v>
      </c>
      <c r="J6487" s="7" t="n">
        <f aca="false">IF(I6487=1,D6487*F6487,0)</f>
        <v>17.7</v>
      </c>
      <c r="K6487" s="7" t="n">
        <f aca="false">YEAR(E6487)*100+MONTH(E6487)</f>
        <v>201111</v>
      </c>
      <c r="L6487" s="7" t="n">
        <f aca="false">IF(AND(A6487&lt;&gt;A6486,LEFT(A6487,1)&lt;&gt;"C"),1,0)</f>
        <v>0</v>
      </c>
    </row>
    <row r="6488" customFormat="false" ht="15" hidden="false" customHeight="false" outlineLevel="0" collapsed="false">
      <c r="A6488" s="0" t="s">
        <v>3330</v>
      </c>
      <c r="B6488" s="0" t="s">
        <v>610</v>
      </c>
      <c r="C6488" s="0" t="s">
        <v>611</v>
      </c>
      <c r="D6488" s="0" t="n">
        <v>6</v>
      </c>
      <c r="E6488" s="6" t="n">
        <v>40875.4555555556</v>
      </c>
      <c r="F6488" s="0" t="n">
        <v>2.95</v>
      </c>
      <c r="G6488" s="0" t="n">
        <v>12668</v>
      </c>
      <c r="H6488" s="0" t="s">
        <v>33</v>
      </c>
      <c r="I6488" s="7" t="n">
        <f aca="false">IF(AND(LEFT(A6488,1)&lt;&gt;"C",D6488&gt;0,F6488&gt;0),1,0)</f>
        <v>1</v>
      </c>
      <c r="J6488" s="7" t="n">
        <f aca="false">IF(I6488=1,D6488*F6488,0)</f>
        <v>17.7</v>
      </c>
      <c r="K6488" s="7" t="n">
        <f aca="false">YEAR(E6488)*100+MONTH(E6488)</f>
        <v>201111</v>
      </c>
      <c r="L6488" s="7" t="n">
        <f aca="false">IF(AND(A6488&lt;&gt;A6487,LEFT(A6488,1)&lt;&gt;"C"),1,0)</f>
        <v>0</v>
      </c>
    </row>
    <row r="6489" customFormat="false" ht="15" hidden="false" customHeight="false" outlineLevel="0" collapsed="false">
      <c r="A6489" s="0" t="s">
        <v>3330</v>
      </c>
      <c r="B6489" s="0" t="s">
        <v>359</v>
      </c>
      <c r="C6489" s="0" t="s">
        <v>360</v>
      </c>
      <c r="D6489" s="0" t="n">
        <v>6</v>
      </c>
      <c r="E6489" s="6" t="n">
        <v>40875.4555555556</v>
      </c>
      <c r="F6489" s="0" t="n">
        <v>2.95</v>
      </c>
      <c r="G6489" s="0" t="n">
        <v>12668</v>
      </c>
      <c r="H6489" s="0" t="s">
        <v>33</v>
      </c>
      <c r="I6489" s="7" t="n">
        <f aca="false">IF(AND(LEFT(A6489,1)&lt;&gt;"C",D6489&gt;0,F6489&gt;0),1,0)</f>
        <v>1</v>
      </c>
      <c r="J6489" s="7" t="n">
        <f aca="false">IF(I6489=1,D6489*F6489,0)</f>
        <v>17.7</v>
      </c>
      <c r="K6489" s="7" t="n">
        <f aca="false">YEAR(E6489)*100+MONTH(E6489)</f>
        <v>201111</v>
      </c>
      <c r="L6489" s="7" t="n">
        <f aca="false">IF(AND(A6489&lt;&gt;A6488,LEFT(A6489,1)&lt;&gt;"C"),1,0)</f>
        <v>0</v>
      </c>
    </row>
    <row r="6490" customFormat="false" ht="15" hidden="false" customHeight="false" outlineLevel="0" collapsed="false">
      <c r="A6490" s="0" t="s">
        <v>3330</v>
      </c>
      <c r="B6490" s="0" t="s">
        <v>74</v>
      </c>
      <c r="C6490" s="0" t="s">
        <v>75</v>
      </c>
      <c r="D6490" s="0" t="n">
        <v>12</v>
      </c>
      <c r="E6490" s="6" t="n">
        <v>40875.4555555556</v>
      </c>
      <c r="F6490" s="0" t="n">
        <v>1.95</v>
      </c>
      <c r="G6490" s="0" t="n">
        <v>12668</v>
      </c>
      <c r="H6490" s="0" t="s">
        <v>33</v>
      </c>
      <c r="I6490" s="7" t="n">
        <f aca="false">IF(AND(LEFT(A6490,1)&lt;&gt;"C",D6490&gt;0,F6490&gt;0),1,0)</f>
        <v>1</v>
      </c>
      <c r="J6490" s="7" t="n">
        <f aca="false">IF(I6490=1,D6490*F6490,0)</f>
        <v>23.4</v>
      </c>
      <c r="K6490" s="7" t="n">
        <f aca="false">YEAR(E6490)*100+MONTH(E6490)</f>
        <v>201111</v>
      </c>
      <c r="L6490" s="7" t="n">
        <f aca="false">IF(AND(A6490&lt;&gt;A6489,LEFT(A6490,1)&lt;&gt;"C"),1,0)</f>
        <v>0</v>
      </c>
    </row>
    <row r="6491" customFormat="false" ht="15" hidden="false" customHeight="false" outlineLevel="0" collapsed="false">
      <c r="A6491" s="0" t="s">
        <v>3330</v>
      </c>
      <c r="B6491" s="0" t="s">
        <v>84</v>
      </c>
      <c r="C6491" s="0" t="s">
        <v>85</v>
      </c>
      <c r="D6491" s="0" t="n">
        <v>8</v>
      </c>
      <c r="E6491" s="6" t="n">
        <v>40875.4555555556</v>
      </c>
      <c r="F6491" s="0" t="n">
        <v>18</v>
      </c>
      <c r="G6491" s="0" t="n">
        <v>12668</v>
      </c>
      <c r="H6491" s="0" t="s">
        <v>33</v>
      </c>
      <c r="I6491" s="7" t="n">
        <f aca="false">IF(AND(LEFT(A6491,1)&lt;&gt;"C",D6491&gt;0,F6491&gt;0),1,0)</f>
        <v>1</v>
      </c>
      <c r="J6491" s="7" t="n">
        <f aca="false">IF(I6491=1,D6491*F6491,0)</f>
        <v>144</v>
      </c>
      <c r="K6491" s="7" t="n">
        <f aca="false">YEAR(E6491)*100+MONTH(E6491)</f>
        <v>201111</v>
      </c>
      <c r="L6491" s="7" t="n">
        <f aca="false">IF(AND(A6491&lt;&gt;A6490,LEFT(A6491,1)&lt;&gt;"C"),1,0)</f>
        <v>0</v>
      </c>
    </row>
    <row r="6492" customFormat="false" ht="15" hidden="false" customHeight="false" outlineLevel="0" collapsed="false">
      <c r="A6492" s="0" t="s">
        <v>3333</v>
      </c>
      <c r="B6492" s="0" t="s">
        <v>123</v>
      </c>
      <c r="C6492" s="0" t="s">
        <v>124</v>
      </c>
      <c r="D6492" s="0" t="n">
        <v>-1</v>
      </c>
      <c r="E6492" s="6" t="n">
        <v>40875.5152777778</v>
      </c>
      <c r="F6492" s="0" t="n">
        <v>2.95</v>
      </c>
      <c r="G6492" s="0" t="n">
        <v>12674</v>
      </c>
      <c r="H6492" s="0" t="s">
        <v>43</v>
      </c>
      <c r="I6492" s="7" t="n">
        <f aca="false">IF(AND(LEFT(A6492,1)&lt;&gt;"C",D6492&gt;0,F6492&gt;0),1,0)</f>
        <v>0</v>
      </c>
      <c r="J6492" s="7" t="n">
        <f aca="false">IF(I6492=1,D6492*F6492,0)</f>
        <v>0</v>
      </c>
      <c r="K6492" s="7" t="n">
        <f aca="false">YEAR(E6492)*100+MONTH(E6492)</f>
        <v>201111</v>
      </c>
      <c r="L6492" s="7" t="n">
        <f aca="false">IF(AND(A6492&lt;&gt;A6491,LEFT(A6492,1)&lt;&gt;"C"),1,0)</f>
        <v>0</v>
      </c>
    </row>
    <row r="6493" customFormat="false" ht="15" hidden="false" customHeight="false" outlineLevel="0" collapsed="false">
      <c r="A6493" s="0" t="s">
        <v>3334</v>
      </c>
      <c r="B6493" s="0" t="s">
        <v>217</v>
      </c>
      <c r="C6493" s="0" t="s">
        <v>218</v>
      </c>
      <c r="D6493" s="0" t="n">
        <v>24</v>
      </c>
      <c r="E6493" s="6" t="n">
        <v>40875.5597222222</v>
      </c>
      <c r="F6493" s="0" t="n">
        <v>0.55</v>
      </c>
      <c r="G6493" s="0" t="n">
        <v>12479</v>
      </c>
      <c r="H6493" s="0" t="s">
        <v>33</v>
      </c>
      <c r="I6493" s="7" t="n">
        <f aca="false">IF(AND(LEFT(A6493,1)&lt;&gt;"C",D6493&gt;0,F6493&gt;0),1,0)</f>
        <v>1</v>
      </c>
      <c r="J6493" s="7" t="n">
        <f aca="false">IF(I6493=1,D6493*F6493,0)</f>
        <v>13.2</v>
      </c>
      <c r="K6493" s="7" t="n">
        <f aca="false">YEAR(E6493)*100+MONTH(E6493)</f>
        <v>201111</v>
      </c>
      <c r="L6493" s="7" t="n">
        <f aca="false">IF(AND(A6493&lt;&gt;A6492,LEFT(A6493,1)&lt;&gt;"C"),1,0)</f>
        <v>1</v>
      </c>
    </row>
    <row r="6494" customFormat="false" ht="15" hidden="false" customHeight="false" outlineLevel="0" collapsed="false">
      <c r="A6494" s="0" t="s">
        <v>3334</v>
      </c>
      <c r="B6494" s="0" t="s">
        <v>769</v>
      </c>
      <c r="C6494" s="0" t="s">
        <v>770</v>
      </c>
      <c r="D6494" s="0" t="n">
        <v>12</v>
      </c>
      <c r="E6494" s="6" t="n">
        <v>40875.5597222222</v>
      </c>
      <c r="F6494" s="0" t="n">
        <v>1.45</v>
      </c>
      <c r="G6494" s="0" t="n">
        <v>12479</v>
      </c>
      <c r="H6494" s="0" t="s">
        <v>33</v>
      </c>
      <c r="I6494" s="7" t="n">
        <f aca="false">IF(AND(LEFT(A6494,1)&lt;&gt;"C",D6494&gt;0,F6494&gt;0),1,0)</f>
        <v>1</v>
      </c>
      <c r="J6494" s="7" t="n">
        <f aca="false">IF(I6494=1,D6494*F6494,0)</f>
        <v>17.4</v>
      </c>
      <c r="K6494" s="7" t="n">
        <f aca="false">YEAR(E6494)*100+MONTH(E6494)</f>
        <v>201111</v>
      </c>
      <c r="L6494" s="7" t="n">
        <f aca="false">IF(AND(A6494&lt;&gt;A6493,LEFT(A6494,1)&lt;&gt;"C"),1,0)</f>
        <v>0</v>
      </c>
    </row>
    <row r="6495" customFormat="false" ht="15" hidden="false" customHeight="false" outlineLevel="0" collapsed="false">
      <c r="A6495" s="0" t="s">
        <v>3334</v>
      </c>
      <c r="B6495" s="0" t="s">
        <v>151</v>
      </c>
      <c r="C6495" s="0" t="s">
        <v>152</v>
      </c>
      <c r="D6495" s="0" t="n">
        <v>12</v>
      </c>
      <c r="E6495" s="6" t="n">
        <v>40875.5597222222</v>
      </c>
      <c r="F6495" s="0" t="n">
        <v>0.85</v>
      </c>
      <c r="G6495" s="0" t="n">
        <v>12479</v>
      </c>
      <c r="H6495" s="0" t="s">
        <v>33</v>
      </c>
      <c r="I6495" s="7" t="n">
        <f aca="false">IF(AND(LEFT(A6495,1)&lt;&gt;"C",D6495&gt;0,F6495&gt;0),1,0)</f>
        <v>1</v>
      </c>
      <c r="J6495" s="7" t="n">
        <f aca="false">IF(I6495=1,D6495*F6495,0)</f>
        <v>10.2</v>
      </c>
      <c r="K6495" s="7" t="n">
        <f aca="false">YEAR(E6495)*100+MONTH(E6495)</f>
        <v>201111</v>
      </c>
      <c r="L6495" s="7" t="n">
        <f aca="false">IF(AND(A6495&lt;&gt;A6494,LEFT(A6495,1)&lt;&gt;"C"),1,0)</f>
        <v>0</v>
      </c>
    </row>
    <row r="6496" customFormat="false" ht="15" hidden="false" customHeight="false" outlineLevel="0" collapsed="false">
      <c r="A6496" s="0" t="s">
        <v>3334</v>
      </c>
      <c r="B6496" s="0" t="s">
        <v>193</v>
      </c>
      <c r="C6496" s="0" t="s">
        <v>194</v>
      </c>
      <c r="D6496" s="0" t="n">
        <v>12</v>
      </c>
      <c r="E6496" s="6" t="n">
        <v>40875.5597222222</v>
      </c>
      <c r="F6496" s="0" t="n">
        <v>0.65</v>
      </c>
      <c r="G6496" s="0" t="n">
        <v>12479</v>
      </c>
      <c r="H6496" s="0" t="s">
        <v>33</v>
      </c>
      <c r="I6496" s="7" t="n">
        <f aca="false">IF(AND(LEFT(A6496,1)&lt;&gt;"C",D6496&gt;0,F6496&gt;0),1,0)</f>
        <v>1</v>
      </c>
      <c r="J6496" s="7" t="n">
        <f aca="false">IF(I6496=1,D6496*F6496,0)</f>
        <v>7.8</v>
      </c>
      <c r="K6496" s="7" t="n">
        <f aca="false">YEAR(E6496)*100+MONTH(E6496)</f>
        <v>201111</v>
      </c>
      <c r="L6496" s="7" t="n">
        <f aca="false">IF(AND(A6496&lt;&gt;A6495,LEFT(A6496,1)&lt;&gt;"C"),1,0)</f>
        <v>0</v>
      </c>
    </row>
    <row r="6497" customFormat="false" ht="15" hidden="false" customHeight="false" outlineLevel="0" collapsed="false">
      <c r="A6497" s="0" t="s">
        <v>3334</v>
      </c>
      <c r="B6497" s="0" t="s">
        <v>199</v>
      </c>
      <c r="C6497" s="0" t="s">
        <v>200</v>
      </c>
      <c r="D6497" s="0" t="n">
        <v>12</v>
      </c>
      <c r="E6497" s="6" t="n">
        <v>40875.5597222222</v>
      </c>
      <c r="F6497" s="0" t="n">
        <v>0.85</v>
      </c>
      <c r="G6497" s="0" t="n">
        <v>12479</v>
      </c>
      <c r="H6497" s="0" t="s">
        <v>33</v>
      </c>
      <c r="I6497" s="7" t="n">
        <f aca="false">IF(AND(LEFT(A6497,1)&lt;&gt;"C",D6497&gt;0,F6497&gt;0),1,0)</f>
        <v>1</v>
      </c>
      <c r="J6497" s="7" t="n">
        <f aca="false">IF(I6497=1,D6497*F6497,0)</f>
        <v>10.2</v>
      </c>
      <c r="K6497" s="7" t="n">
        <f aca="false">YEAR(E6497)*100+MONTH(E6497)</f>
        <v>201111</v>
      </c>
      <c r="L6497" s="7" t="n">
        <f aca="false">IF(AND(A6497&lt;&gt;A6496,LEFT(A6497,1)&lt;&gt;"C"),1,0)</f>
        <v>0</v>
      </c>
    </row>
    <row r="6498" customFormat="false" ht="15" hidden="false" customHeight="false" outlineLevel="0" collapsed="false">
      <c r="A6498" s="0" t="s">
        <v>3334</v>
      </c>
      <c r="B6498" s="0" t="s">
        <v>157</v>
      </c>
      <c r="C6498" s="0" t="s">
        <v>158</v>
      </c>
      <c r="D6498" s="0" t="n">
        <v>12</v>
      </c>
      <c r="E6498" s="6" t="n">
        <v>40875.5597222222</v>
      </c>
      <c r="F6498" s="0" t="n">
        <v>0.65</v>
      </c>
      <c r="G6498" s="0" t="n">
        <v>12479</v>
      </c>
      <c r="H6498" s="0" t="s">
        <v>33</v>
      </c>
      <c r="I6498" s="7" t="n">
        <f aca="false">IF(AND(LEFT(A6498,1)&lt;&gt;"C",D6498&gt;0,F6498&gt;0),1,0)</f>
        <v>1</v>
      </c>
      <c r="J6498" s="7" t="n">
        <f aca="false">IF(I6498=1,D6498*F6498,0)</f>
        <v>7.8</v>
      </c>
      <c r="K6498" s="7" t="n">
        <f aca="false">YEAR(E6498)*100+MONTH(E6498)</f>
        <v>201111</v>
      </c>
      <c r="L6498" s="7" t="n">
        <f aca="false">IF(AND(A6498&lt;&gt;A6497,LEFT(A6498,1)&lt;&gt;"C"),1,0)</f>
        <v>0</v>
      </c>
    </row>
    <row r="6499" customFormat="false" ht="15" hidden="false" customHeight="false" outlineLevel="0" collapsed="false">
      <c r="A6499" s="0" t="s">
        <v>3334</v>
      </c>
      <c r="B6499" s="0" t="s">
        <v>159</v>
      </c>
      <c r="C6499" s="0" t="s">
        <v>160</v>
      </c>
      <c r="D6499" s="0" t="n">
        <v>12</v>
      </c>
      <c r="E6499" s="6" t="n">
        <v>40875.5597222222</v>
      </c>
      <c r="F6499" s="0" t="n">
        <v>2.55</v>
      </c>
      <c r="G6499" s="0" t="n">
        <v>12479</v>
      </c>
      <c r="H6499" s="0" t="s">
        <v>33</v>
      </c>
      <c r="I6499" s="7" t="n">
        <f aca="false">IF(AND(LEFT(A6499,1)&lt;&gt;"C",D6499&gt;0,F6499&gt;0),1,0)</f>
        <v>1</v>
      </c>
      <c r="J6499" s="7" t="n">
        <f aca="false">IF(I6499=1,D6499*F6499,0)</f>
        <v>30.6</v>
      </c>
      <c r="K6499" s="7" t="n">
        <f aca="false">YEAR(E6499)*100+MONTH(E6499)</f>
        <v>201111</v>
      </c>
      <c r="L6499" s="7" t="n">
        <f aca="false">IF(AND(A6499&lt;&gt;A6498,LEFT(A6499,1)&lt;&gt;"C"),1,0)</f>
        <v>0</v>
      </c>
    </row>
    <row r="6500" customFormat="false" ht="15" hidden="false" customHeight="false" outlineLevel="0" collapsed="false">
      <c r="A6500" s="0" t="s">
        <v>3334</v>
      </c>
      <c r="B6500" s="0" t="s">
        <v>1854</v>
      </c>
      <c r="C6500" s="0" t="s">
        <v>1855</v>
      </c>
      <c r="D6500" s="0" t="n">
        <v>12</v>
      </c>
      <c r="E6500" s="6" t="n">
        <v>40875.5597222222</v>
      </c>
      <c r="F6500" s="0" t="n">
        <v>1.45</v>
      </c>
      <c r="G6500" s="0" t="n">
        <v>12479</v>
      </c>
      <c r="H6500" s="0" t="s">
        <v>33</v>
      </c>
      <c r="I6500" s="7" t="n">
        <f aca="false">IF(AND(LEFT(A6500,1)&lt;&gt;"C",D6500&gt;0,F6500&gt;0),1,0)</f>
        <v>1</v>
      </c>
      <c r="J6500" s="7" t="n">
        <f aca="false">IF(I6500=1,D6500*F6500,0)</f>
        <v>17.4</v>
      </c>
      <c r="K6500" s="7" t="n">
        <f aca="false">YEAR(E6500)*100+MONTH(E6500)</f>
        <v>201111</v>
      </c>
      <c r="L6500" s="7" t="n">
        <f aca="false">IF(AND(A6500&lt;&gt;A6499,LEFT(A6500,1)&lt;&gt;"C"),1,0)</f>
        <v>0</v>
      </c>
    </row>
    <row r="6501" customFormat="false" ht="15" hidden="false" customHeight="false" outlineLevel="0" collapsed="false">
      <c r="A6501" s="0" t="s">
        <v>3334</v>
      </c>
      <c r="B6501" s="0" t="s">
        <v>219</v>
      </c>
      <c r="C6501" s="0" t="s">
        <v>220</v>
      </c>
      <c r="D6501" s="0" t="n">
        <v>24</v>
      </c>
      <c r="E6501" s="6" t="n">
        <v>40875.5597222222</v>
      </c>
      <c r="F6501" s="0" t="n">
        <v>0.55</v>
      </c>
      <c r="G6501" s="0" t="n">
        <v>12479</v>
      </c>
      <c r="H6501" s="0" t="s">
        <v>33</v>
      </c>
      <c r="I6501" s="7" t="n">
        <f aca="false">IF(AND(LEFT(A6501,1)&lt;&gt;"C",D6501&gt;0,F6501&gt;0),1,0)</f>
        <v>1</v>
      </c>
      <c r="J6501" s="7" t="n">
        <f aca="false">IF(I6501=1,D6501*F6501,0)</f>
        <v>13.2</v>
      </c>
      <c r="K6501" s="7" t="n">
        <f aca="false">YEAR(E6501)*100+MONTH(E6501)</f>
        <v>201111</v>
      </c>
      <c r="L6501" s="7" t="n">
        <f aca="false">IF(AND(A6501&lt;&gt;A6500,LEFT(A6501,1)&lt;&gt;"C"),1,0)</f>
        <v>0</v>
      </c>
    </row>
    <row r="6502" customFormat="false" ht="15" hidden="false" customHeight="false" outlineLevel="0" collapsed="false">
      <c r="A6502" s="0" t="s">
        <v>3334</v>
      </c>
      <c r="B6502" s="0" t="s">
        <v>2939</v>
      </c>
      <c r="C6502" s="0" t="s">
        <v>2940</v>
      </c>
      <c r="D6502" s="0" t="n">
        <v>12</v>
      </c>
      <c r="E6502" s="6" t="n">
        <v>40875.5597222222</v>
      </c>
      <c r="F6502" s="0" t="n">
        <v>0.65</v>
      </c>
      <c r="G6502" s="0" t="n">
        <v>12479</v>
      </c>
      <c r="H6502" s="0" t="s">
        <v>33</v>
      </c>
      <c r="I6502" s="7" t="n">
        <f aca="false">IF(AND(LEFT(A6502,1)&lt;&gt;"C",D6502&gt;0,F6502&gt;0),1,0)</f>
        <v>1</v>
      </c>
      <c r="J6502" s="7" t="n">
        <f aca="false">IF(I6502=1,D6502*F6502,0)</f>
        <v>7.8</v>
      </c>
      <c r="K6502" s="7" t="n">
        <f aca="false">YEAR(E6502)*100+MONTH(E6502)</f>
        <v>201111</v>
      </c>
      <c r="L6502" s="7" t="n">
        <f aca="false">IF(AND(A6502&lt;&gt;A6501,LEFT(A6502,1)&lt;&gt;"C"),1,0)</f>
        <v>0</v>
      </c>
    </row>
    <row r="6503" customFormat="false" ht="15" hidden="false" customHeight="false" outlineLevel="0" collapsed="false">
      <c r="A6503" s="0" t="s">
        <v>3334</v>
      </c>
      <c r="B6503" s="0" t="s">
        <v>983</v>
      </c>
      <c r="C6503" s="0" t="s">
        <v>984</v>
      </c>
      <c r="D6503" s="0" t="n">
        <v>20</v>
      </c>
      <c r="E6503" s="6" t="n">
        <v>40875.5597222222</v>
      </c>
      <c r="F6503" s="0" t="n">
        <v>0.85</v>
      </c>
      <c r="G6503" s="0" t="n">
        <v>12479</v>
      </c>
      <c r="H6503" s="0" t="s">
        <v>33</v>
      </c>
      <c r="I6503" s="7" t="n">
        <f aca="false">IF(AND(LEFT(A6503,1)&lt;&gt;"C",D6503&gt;0,F6503&gt;0),1,0)</f>
        <v>1</v>
      </c>
      <c r="J6503" s="7" t="n">
        <f aca="false">IF(I6503=1,D6503*F6503,0)</f>
        <v>17</v>
      </c>
      <c r="K6503" s="7" t="n">
        <f aca="false">YEAR(E6503)*100+MONTH(E6503)</f>
        <v>201111</v>
      </c>
      <c r="L6503" s="7" t="n">
        <f aca="false">IF(AND(A6503&lt;&gt;A6502,LEFT(A6503,1)&lt;&gt;"C"),1,0)</f>
        <v>0</v>
      </c>
    </row>
    <row r="6504" customFormat="false" ht="15" hidden="false" customHeight="false" outlineLevel="0" collapsed="false">
      <c r="A6504" s="0" t="s">
        <v>3334</v>
      </c>
      <c r="B6504" s="0" t="s">
        <v>1261</v>
      </c>
      <c r="C6504" s="0" t="s">
        <v>1262</v>
      </c>
      <c r="D6504" s="0" t="n">
        <v>24</v>
      </c>
      <c r="E6504" s="6" t="n">
        <v>40875.5597222222</v>
      </c>
      <c r="F6504" s="0" t="n">
        <v>0.55</v>
      </c>
      <c r="G6504" s="0" t="n">
        <v>12479</v>
      </c>
      <c r="H6504" s="0" t="s">
        <v>33</v>
      </c>
      <c r="I6504" s="7" t="n">
        <f aca="false">IF(AND(LEFT(A6504,1)&lt;&gt;"C",D6504&gt;0,F6504&gt;0),1,0)</f>
        <v>1</v>
      </c>
      <c r="J6504" s="7" t="n">
        <f aca="false">IF(I6504=1,D6504*F6504,0)</f>
        <v>13.2</v>
      </c>
      <c r="K6504" s="7" t="n">
        <f aca="false">YEAR(E6504)*100+MONTH(E6504)</f>
        <v>201111</v>
      </c>
      <c r="L6504" s="7" t="n">
        <f aca="false">IF(AND(A6504&lt;&gt;A6503,LEFT(A6504,1)&lt;&gt;"C"),1,0)</f>
        <v>0</v>
      </c>
    </row>
    <row r="6505" customFormat="false" ht="15" hidden="false" customHeight="false" outlineLevel="0" collapsed="false">
      <c r="A6505" s="0" t="s">
        <v>3334</v>
      </c>
      <c r="B6505" s="0" t="s">
        <v>1751</v>
      </c>
      <c r="C6505" s="0" t="s">
        <v>1752</v>
      </c>
      <c r="D6505" s="0" t="n">
        <v>12</v>
      </c>
      <c r="E6505" s="6" t="n">
        <v>40875.5597222222</v>
      </c>
      <c r="F6505" s="0" t="n">
        <v>1.25</v>
      </c>
      <c r="G6505" s="0" t="n">
        <v>12479</v>
      </c>
      <c r="H6505" s="0" t="s">
        <v>33</v>
      </c>
      <c r="I6505" s="7" t="n">
        <f aca="false">IF(AND(LEFT(A6505,1)&lt;&gt;"C",D6505&gt;0,F6505&gt;0),1,0)</f>
        <v>1</v>
      </c>
      <c r="J6505" s="7" t="n">
        <f aca="false">IF(I6505=1,D6505*F6505,0)</f>
        <v>15</v>
      </c>
      <c r="K6505" s="7" t="n">
        <f aca="false">YEAR(E6505)*100+MONTH(E6505)</f>
        <v>201111</v>
      </c>
      <c r="L6505" s="7" t="n">
        <f aca="false">IF(AND(A6505&lt;&gt;A6504,LEFT(A6505,1)&lt;&gt;"C"),1,0)</f>
        <v>0</v>
      </c>
    </row>
    <row r="6506" customFormat="false" ht="15" hidden="false" customHeight="false" outlineLevel="0" collapsed="false">
      <c r="A6506" s="0" t="s">
        <v>3334</v>
      </c>
      <c r="B6506" s="0" t="s">
        <v>1000</v>
      </c>
      <c r="C6506" s="0" t="s">
        <v>1001</v>
      </c>
      <c r="D6506" s="0" t="n">
        <v>4</v>
      </c>
      <c r="E6506" s="6" t="n">
        <v>40875.5597222222</v>
      </c>
      <c r="F6506" s="0" t="n">
        <v>4.95</v>
      </c>
      <c r="G6506" s="0" t="n">
        <v>12479</v>
      </c>
      <c r="H6506" s="0" t="s">
        <v>33</v>
      </c>
      <c r="I6506" s="7" t="n">
        <f aca="false">IF(AND(LEFT(A6506,1)&lt;&gt;"C",D6506&gt;0,F6506&gt;0),1,0)</f>
        <v>1</v>
      </c>
      <c r="J6506" s="7" t="n">
        <f aca="false">IF(I6506=1,D6506*F6506,0)</f>
        <v>19.8</v>
      </c>
      <c r="K6506" s="7" t="n">
        <f aca="false">YEAR(E6506)*100+MONTH(E6506)</f>
        <v>201111</v>
      </c>
      <c r="L6506" s="7" t="n">
        <f aca="false">IF(AND(A6506&lt;&gt;A6505,LEFT(A6506,1)&lt;&gt;"C"),1,0)</f>
        <v>0</v>
      </c>
    </row>
    <row r="6507" customFormat="false" ht="15" hidden="false" customHeight="false" outlineLevel="0" collapsed="false">
      <c r="A6507" s="0" t="s">
        <v>3334</v>
      </c>
      <c r="B6507" s="0" t="s">
        <v>779</v>
      </c>
      <c r="C6507" s="0" t="s">
        <v>780</v>
      </c>
      <c r="D6507" s="0" t="n">
        <v>4</v>
      </c>
      <c r="E6507" s="6" t="n">
        <v>40875.5597222222</v>
      </c>
      <c r="F6507" s="0" t="n">
        <v>4.95</v>
      </c>
      <c r="G6507" s="0" t="n">
        <v>12479</v>
      </c>
      <c r="H6507" s="0" t="s">
        <v>33</v>
      </c>
      <c r="I6507" s="7" t="n">
        <f aca="false">IF(AND(LEFT(A6507,1)&lt;&gt;"C",D6507&gt;0,F6507&gt;0),1,0)</f>
        <v>1</v>
      </c>
      <c r="J6507" s="7" t="n">
        <f aca="false">IF(I6507=1,D6507*F6507,0)</f>
        <v>19.8</v>
      </c>
      <c r="K6507" s="7" t="n">
        <f aca="false">YEAR(E6507)*100+MONTH(E6507)</f>
        <v>201111</v>
      </c>
      <c r="L6507" s="7" t="n">
        <f aca="false">IF(AND(A6507&lt;&gt;A6506,LEFT(A6507,1)&lt;&gt;"C"),1,0)</f>
        <v>0</v>
      </c>
    </row>
    <row r="6508" customFormat="false" ht="15" hidden="false" customHeight="false" outlineLevel="0" collapsed="false">
      <c r="A6508" s="0" t="s">
        <v>3334</v>
      </c>
      <c r="B6508" s="0" t="s">
        <v>310</v>
      </c>
      <c r="C6508" s="0" t="s">
        <v>311</v>
      </c>
      <c r="D6508" s="0" t="n">
        <v>4</v>
      </c>
      <c r="E6508" s="6" t="n">
        <v>40875.5597222222</v>
      </c>
      <c r="F6508" s="0" t="n">
        <v>4.95</v>
      </c>
      <c r="G6508" s="0" t="n">
        <v>12479</v>
      </c>
      <c r="H6508" s="0" t="s">
        <v>33</v>
      </c>
      <c r="I6508" s="7" t="n">
        <f aca="false">IF(AND(LEFT(A6508,1)&lt;&gt;"C",D6508&gt;0,F6508&gt;0),1,0)</f>
        <v>1</v>
      </c>
      <c r="J6508" s="7" t="n">
        <f aca="false">IF(I6508=1,D6508*F6508,0)</f>
        <v>19.8</v>
      </c>
      <c r="K6508" s="7" t="n">
        <f aca="false">YEAR(E6508)*100+MONTH(E6508)</f>
        <v>201111</v>
      </c>
      <c r="L6508" s="7" t="n">
        <f aca="false">IF(AND(A6508&lt;&gt;A6507,LEFT(A6508,1)&lt;&gt;"C"),1,0)</f>
        <v>0</v>
      </c>
    </row>
    <row r="6509" customFormat="false" ht="15" hidden="false" customHeight="false" outlineLevel="0" collapsed="false">
      <c r="A6509" s="0" t="s">
        <v>3334</v>
      </c>
      <c r="B6509" s="0" t="s">
        <v>1204</v>
      </c>
      <c r="C6509" s="0" t="s">
        <v>1205</v>
      </c>
      <c r="D6509" s="0" t="n">
        <v>3</v>
      </c>
      <c r="E6509" s="6" t="n">
        <v>40875.5597222222</v>
      </c>
      <c r="F6509" s="0" t="n">
        <v>9.95</v>
      </c>
      <c r="G6509" s="0" t="n">
        <v>12479</v>
      </c>
      <c r="H6509" s="0" t="s">
        <v>33</v>
      </c>
      <c r="I6509" s="7" t="n">
        <f aca="false">IF(AND(LEFT(A6509,1)&lt;&gt;"C",D6509&gt;0,F6509&gt;0),1,0)</f>
        <v>1</v>
      </c>
      <c r="J6509" s="7" t="n">
        <f aca="false">IF(I6509=1,D6509*F6509,0)</f>
        <v>29.85</v>
      </c>
      <c r="K6509" s="7" t="n">
        <f aca="false">YEAR(E6509)*100+MONTH(E6509)</f>
        <v>201111</v>
      </c>
      <c r="L6509" s="7" t="n">
        <f aca="false">IF(AND(A6509&lt;&gt;A6508,LEFT(A6509,1)&lt;&gt;"C"),1,0)</f>
        <v>0</v>
      </c>
    </row>
    <row r="6510" customFormat="false" ht="15" hidden="false" customHeight="false" outlineLevel="0" collapsed="false">
      <c r="A6510" s="0" t="s">
        <v>3334</v>
      </c>
      <c r="B6510" s="0" t="s">
        <v>897</v>
      </c>
      <c r="C6510" s="0" t="s">
        <v>898</v>
      </c>
      <c r="D6510" s="0" t="n">
        <v>3</v>
      </c>
      <c r="E6510" s="6" t="n">
        <v>40875.5597222222</v>
      </c>
      <c r="F6510" s="0" t="n">
        <v>4.95</v>
      </c>
      <c r="G6510" s="0" t="n">
        <v>12479</v>
      </c>
      <c r="H6510" s="0" t="s">
        <v>33</v>
      </c>
      <c r="I6510" s="7" t="n">
        <f aca="false">IF(AND(LEFT(A6510,1)&lt;&gt;"C",D6510&gt;0,F6510&gt;0),1,0)</f>
        <v>1</v>
      </c>
      <c r="J6510" s="7" t="n">
        <f aca="false">IF(I6510=1,D6510*F6510,0)</f>
        <v>14.85</v>
      </c>
      <c r="K6510" s="7" t="n">
        <f aca="false">YEAR(E6510)*100+MONTH(E6510)</f>
        <v>201111</v>
      </c>
      <c r="L6510" s="7" t="n">
        <f aca="false">IF(AND(A6510&lt;&gt;A6509,LEFT(A6510,1)&lt;&gt;"C"),1,0)</f>
        <v>0</v>
      </c>
    </row>
    <row r="6511" customFormat="false" ht="15" hidden="false" customHeight="false" outlineLevel="0" collapsed="false">
      <c r="A6511" s="0" t="s">
        <v>3334</v>
      </c>
      <c r="B6511" s="0" t="s">
        <v>105</v>
      </c>
      <c r="C6511" s="0" t="s">
        <v>106</v>
      </c>
      <c r="D6511" s="0" t="n">
        <v>24</v>
      </c>
      <c r="E6511" s="6" t="n">
        <v>40875.5597222222</v>
      </c>
      <c r="F6511" s="0" t="n">
        <v>0.19</v>
      </c>
      <c r="G6511" s="0" t="n">
        <v>12479</v>
      </c>
      <c r="H6511" s="0" t="s">
        <v>33</v>
      </c>
      <c r="I6511" s="7" t="n">
        <f aca="false">IF(AND(LEFT(A6511,1)&lt;&gt;"C",D6511&gt;0,F6511&gt;0),1,0)</f>
        <v>1</v>
      </c>
      <c r="J6511" s="7" t="n">
        <f aca="false">IF(I6511=1,D6511*F6511,0)</f>
        <v>4.56</v>
      </c>
      <c r="K6511" s="7" t="n">
        <f aca="false">YEAR(E6511)*100+MONTH(E6511)</f>
        <v>201111</v>
      </c>
      <c r="L6511" s="7" t="n">
        <f aca="false">IF(AND(A6511&lt;&gt;A6510,LEFT(A6511,1)&lt;&gt;"C"),1,0)</f>
        <v>0</v>
      </c>
    </row>
    <row r="6512" customFormat="false" ht="15" hidden="false" customHeight="false" outlineLevel="0" collapsed="false">
      <c r="A6512" s="0" t="s">
        <v>3334</v>
      </c>
      <c r="B6512" s="0" t="s">
        <v>195</v>
      </c>
      <c r="C6512" s="0" t="s">
        <v>196</v>
      </c>
      <c r="D6512" s="0" t="n">
        <v>12</v>
      </c>
      <c r="E6512" s="6" t="n">
        <v>40875.5597222222</v>
      </c>
      <c r="F6512" s="0" t="n">
        <v>0.85</v>
      </c>
      <c r="G6512" s="0" t="n">
        <v>12479</v>
      </c>
      <c r="H6512" s="0" t="s">
        <v>33</v>
      </c>
      <c r="I6512" s="7" t="n">
        <f aca="false">IF(AND(LEFT(A6512,1)&lt;&gt;"C",D6512&gt;0,F6512&gt;0),1,0)</f>
        <v>1</v>
      </c>
      <c r="J6512" s="7" t="n">
        <f aca="false">IF(I6512=1,D6512*F6512,0)</f>
        <v>10.2</v>
      </c>
      <c r="K6512" s="7" t="n">
        <f aca="false">YEAR(E6512)*100+MONTH(E6512)</f>
        <v>201111</v>
      </c>
      <c r="L6512" s="7" t="n">
        <f aca="false">IF(AND(A6512&lt;&gt;A6511,LEFT(A6512,1)&lt;&gt;"C"),1,0)</f>
        <v>0</v>
      </c>
    </row>
    <row r="6513" customFormat="false" ht="15" hidden="false" customHeight="false" outlineLevel="0" collapsed="false">
      <c r="A6513" s="0" t="s">
        <v>3334</v>
      </c>
      <c r="B6513" s="0" t="s">
        <v>197</v>
      </c>
      <c r="C6513" s="0" t="s">
        <v>198</v>
      </c>
      <c r="D6513" s="0" t="n">
        <v>12</v>
      </c>
      <c r="E6513" s="6" t="n">
        <v>40875.5597222222</v>
      </c>
      <c r="F6513" s="0" t="n">
        <v>0.85</v>
      </c>
      <c r="G6513" s="0" t="n">
        <v>12479</v>
      </c>
      <c r="H6513" s="0" t="s">
        <v>33</v>
      </c>
      <c r="I6513" s="7" t="n">
        <f aca="false">IF(AND(LEFT(A6513,1)&lt;&gt;"C",D6513&gt;0,F6513&gt;0),1,0)</f>
        <v>1</v>
      </c>
      <c r="J6513" s="7" t="n">
        <f aca="false">IF(I6513=1,D6513*F6513,0)</f>
        <v>10.2</v>
      </c>
      <c r="K6513" s="7" t="n">
        <f aca="false">YEAR(E6513)*100+MONTH(E6513)</f>
        <v>201111</v>
      </c>
      <c r="L6513" s="7" t="n">
        <f aca="false">IF(AND(A6513&lt;&gt;A6512,LEFT(A6513,1)&lt;&gt;"C"),1,0)</f>
        <v>0</v>
      </c>
    </row>
    <row r="6514" customFormat="false" ht="15" hidden="false" customHeight="false" outlineLevel="0" collapsed="false">
      <c r="A6514" s="0" t="s">
        <v>3334</v>
      </c>
      <c r="B6514" s="0" t="s">
        <v>441</v>
      </c>
      <c r="C6514" s="0" t="s">
        <v>442</v>
      </c>
      <c r="D6514" s="0" t="n">
        <v>2</v>
      </c>
      <c r="E6514" s="6" t="n">
        <v>40875.5597222222</v>
      </c>
      <c r="F6514" s="0" t="n">
        <v>8.5</v>
      </c>
      <c r="G6514" s="0" t="n">
        <v>12479</v>
      </c>
      <c r="H6514" s="0" t="s">
        <v>33</v>
      </c>
      <c r="I6514" s="7" t="n">
        <f aca="false">IF(AND(LEFT(A6514,1)&lt;&gt;"C",D6514&gt;0,F6514&gt;0),1,0)</f>
        <v>1</v>
      </c>
      <c r="J6514" s="7" t="n">
        <f aca="false">IF(I6514=1,D6514*F6514,0)</f>
        <v>17</v>
      </c>
      <c r="K6514" s="7" t="n">
        <f aca="false">YEAR(E6514)*100+MONTH(E6514)</f>
        <v>201111</v>
      </c>
      <c r="L6514" s="7" t="n">
        <f aca="false">IF(AND(A6514&lt;&gt;A6513,LEFT(A6514,1)&lt;&gt;"C"),1,0)</f>
        <v>0</v>
      </c>
    </row>
    <row r="6515" customFormat="false" ht="15" hidden="false" customHeight="false" outlineLevel="0" collapsed="false">
      <c r="A6515" s="0" t="s">
        <v>3334</v>
      </c>
      <c r="B6515" s="0" t="s">
        <v>1189</v>
      </c>
      <c r="C6515" s="0" t="s">
        <v>1190</v>
      </c>
      <c r="D6515" s="0" t="n">
        <v>6</v>
      </c>
      <c r="E6515" s="6" t="n">
        <v>40875.5597222222</v>
      </c>
      <c r="F6515" s="0" t="n">
        <v>2.89</v>
      </c>
      <c r="G6515" s="0" t="n">
        <v>12479</v>
      </c>
      <c r="H6515" s="0" t="s">
        <v>33</v>
      </c>
      <c r="I6515" s="7" t="n">
        <f aca="false">IF(AND(LEFT(A6515,1)&lt;&gt;"C",D6515&gt;0,F6515&gt;0),1,0)</f>
        <v>1</v>
      </c>
      <c r="J6515" s="7" t="n">
        <f aca="false">IF(I6515=1,D6515*F6515,0)</f>
        <v>17.34</v>
      </c>
      <c r="K6515" s="7" t="n">
        <f aca="false">YEAR(E6515)*100+MONTH(E6515)</f>
        <v>201111</v>
      </c>
      <c r="L6515" s="7" t="n">
        <f aca="false">IF(AND(A6515&lt;&gt;A6514,LEFT(A6515,1)&lt;&gt;"C"),1,0)</f>
        <v>0</v>
      </c>
    </row>
    <row r="6516" customFormat="false" ht="15" hidden="false" customHeight="false" outlineLevel="0" collapsed="false">
      <c r="A6516" s="0" t="s">
        <v>3334</v>
      </c>
      <c r="B6516" s="0" t="s">
        <v>943</v>
      </c>
      <c r="C6516" s="0" t="s">
        <v>944</v>
      </c>
      <c r="D6516" s="0" t="n">
        <v>12</v>
      </c>
      <c r="E6516" s="6" t="n">
        <v>40875.5597222222</v>
      </c>
      <c r="F6516" s="0" t="n">
        <v>1.95</v>
      </c>
      <c r="G6516" s="0" t="n">
        <v>12479</v>
      </c>
      <c r="H6516" s="0" t="s">
        <v>33</v>
      </c>
      <c r="I6516" s="7" t="n">
        <f aca="false">IF(AND(LEFT(A6516,1)&lt;&gt;"C",D6516&gt;0,F6516&gt;0),1,0)</f>
        <v>1</v>
      </c>
      <c r="J6516" s="7" t="n">
        <f aca="false">IF(I6516=1,D6516*F6516,0)</f>
        <v>23.4</v>
      </c>
      <c r="K6516" s="7" t="n">
        <f aca="false">YEAR(E6516)*100+MONTH(E6516)</f>
        <v>201111</v>
      </c>
      <c r="L6516" s="7" t="n">
        <f aca="false">IF(AND(A6516&lt;&gt;A6515,LEFT(A6516,1)&lt;&gt;"C"),1,0)</f>
        <v>0</v>
      </c>
    </row>
    <row r="6517" customFormat="false" ht="15" hidden="false" customHeight="false" outlineLevel="0" collapsed="false">
      <c r="A6517" s="0" t="s">
        <v>3334</v>
      </c>
      <c r="B6517" s="0" t="s">
        <v>1418</v>
      </c>
      <c r="C6517" s="0" t="s">
        <v>1419</v>
      </c>
      <c r="D6517" s="0" t="n">
        <v>12</v>
      </c>
      <c r="E6517" s="6" t="n">
        <v>40875.5597222222</v>
      </c>
      <c r="F6517" s="0" t="n">
        <v>1.25</v>
      </c>
      <c r="G6517" s="0" t="n">
        <v>12479</v>
      </c>
      <c r="H6517" s="0" t="s">
        <v>33</v>
      </c>
      <c r="I6517" s="7" t="n">
        <f aca="false">IF(AND(LEFT(A6517,1)&lt;&gt;"C",D6517&gt;0,F6517&gt;0),1,0)</f>
        <v>1</v>
      </c>
      <c r="J6517" s="7" t="n">
        <f aca="false">IF(I6517=1,D6517*F6517,0)</f>
        <v>15</v>
      </c>
      <c r="K6517" s="7" t="n">
        <f aca="false">YEAR(E6517)*100+MONTH(E6517)</f>
        <v>201111</v>
      </c>
      <c r="L6517" s="7" t="n">
        <f aca="false">IF(AND(A6517&lt;&gt;A6516,LEFT(A6517,1)&lt;&gt;"C"),1,0)</f>
        <v>0</v>
      </c>
    </row>
    <row r="6518" customFormat="false" ht="15" hidden="false" customHeight="false" outlineLevel="0" collapsed="false">
      <c r="A6518" s="0" t="s">
        <v>3334</v>
      </c>
      <c r="B6518" s="0" t="s">
        <v>2615</v>
      </c>
      <c r="C6518" s="0" t="s">
        <v>2616</v>
      </c>
      <c r="D6518" s="0" t="n">
        <v>12</v>
      </c>
      <c r="E6518" s="6" t="n">
        <v>40875.5597222222</v>
      </c>
      <c r="F6518" s="0" t="n">
        <v>1.25</v>
      </c>
      <c r="G6518" s="0" t="n">
        <v>12479</v>
      </c>
      <c r="H6518" s="0" t="s">
        <v>33</v>
      </c>
      <c r="I6518" s="7" t="n">
        <f aca="false">IF(AND(LEFT(A6518,1)&lt;&gt;"C",D6518&gt;0,F6518&gt;0),1,0)</f>
        <v>1</v>
      </c>
      <c r="J6518" s="7" t="n">
        <f aca="false">IF(I6518=1,D6518*F6518,0)</f>
        <v>15</v>
      </c>
      <c r="K6518" s="7" t="n">
        <f aca="false">YEAR(E6518)*100+MONTH(E6518)</f>
        <v>201111</v>
      </c>
      <c r="L6518" s="7" t="n">
        <f aca="false">IF(AND(A6518&lt;&gt;A6517,LEFT(A6518,1)&lt;&gt;"C"),1,0)</f>
        <v>0</v>
      </c>
    </row>
    <row r="6519" customFormat="false" ht="15" hidden="false" customHeight="false" outlineLevel="0" collapsed="false">
      <c r="A6519" s="0" t="s">
        <v>3334</v>
      </c>
      <c r="B6519" s="0" t="s">
        <v>2018</v>
      </c>
      <c r="C6519" s="0" t="s">
        <v>2019</v>
      </c>
      <c r="D6519" s="0" t="n">
        <v>16</v>
      </c>
      <c r="E6519" s="6" t="n">
        <v>40875.5597222222</v>
      </c>
      <c r="F6519" s="0" t="n">
        <v>1.25</v>
      </c>
      <c r="G6519" s="0" t="n">
        <v>12479</v>
      </c>
      <c r="H6519" s="0" t="s">
        <v>33</v>
      </c>
      <c r="I6519" s="7" t="n">
        <f aca="false">IF(AND(LEFT(A6519,1)&lt;&gt;"C",D6519&gt;0,F6519&gt;0),1,0)</f>
        <v>1</v>
      </c>
      <c r="J6519" s="7" t="n">
        <f aca="false">IF(I6519=1,D6519*F6519,0)</f>
        <v>20</v>
      </c>
      <c r="K6519" s="7" t="n">
        <f aca="false">YEAR(E6519)*100+MONTH(E6519)</f>
        <v>201111</v>
      </c>
      <c r="L6519" s="7" t="n">
        <f aca="false">IF(AND(A6519&lt;&gt;A6518,LEFT(A6519,1)&lt;&gt;"C"),1,0)</f>
        <v>0</v>
      </c>
    </row>
    <row r="6520" customFormat="false" ht="15" hidden="false" customHeight="false" outlineLevel="0" collapsed="false">
      <c r="A6520" s="0" t="s">
        <v>3334</v>
      </c>
      <c r="B6520" s="0" t="s">
        <v>533</v>
      </c>
      <c r="C6520" s="0" t="s">
        <v>534</v>
      </c>
      <c r="D6520" s="0" t="n">
        <v>16</v>
      </c>
      <c r="E6520" s="6" t="n">
        <v>40875.5597222222</v>
      </c>
      <c r="F6520" s="0" t="n">
        <v>1.25</v>
      </c>
      <c r="G6520" s="0" t="n">
        <v>12479</v>
      </c>
      <c r="H6520" s="0" t="s">
        <v>33</v>
      </c>
      <c r="I6520" s="7" t="n">
        <f aca="false">IF(AND(LEFT(A6520,1)&lt;&gt;"C",D6520&gt;0,F6520&gt;0),1,0)</f>
        <v>1</v>
      </c>
      <c r="J6520" s="7" t="n">
        <f aca="false">IF(I6520=1,D6520*F6520,0)</f>
        <v>20</v>
      </c>
      <c r="K6520" s="7" t="n">
        <f aca="false">YEAR(E6520)*100+MONTH(E6520)</f>
        <v>201111</v>
      </c>
      <c r="L6520" s="7" t="n">
        <f aca="false">IF(AND(A6520&lt;&gt;A6519,LEFT(A6520,1)&lt;&gt;"C"),1,0)</f>
        <v>0</v>
      </c>
    </row>
    <row r="6521" customFormat="false" ht="15" hidden="false" customHeight="false" outlineLevel="0" collapsed="false">
      <c r="A6521" s="0" t="s">
        <v>3334</v>
      </c>
      <c r="B6521" s="0" t="s">
        <v>1981</v>
      </c>
      <c r="C6521" s="0" t="s">
        <v>1982</v>
      </c>
      <c r="D6521" s="0" t="n">
        <v>24</v>
      </c>
      <c r="E6521" s="6" t="n">
        <v>40875.5597222222</v>
      </c>
      <c r="F6521" s="0" t="n">
        <v>0.65</v>
      </c>
      <c r="G6521" s="0" t="n">
        <v>12479</v>
      </c>
      <c r="H6521" s="0" t="s">
        <v>33</v>
      </c>
      <c r="I6521" s="7" t="n">
        <f aca="false">IF(AND(LEFT(A6521,1)&lt;&gt;"C",D6521&gt;0,F6521&gt;0),1,0)</f>
        <v>1</v>
      </c>
      <c r="J6521" s="7" t="n">
        <f aca="false">IF(I6521=1,D6521*F6521,0)</f>
        <v>15.6</v>
      </c>
      <c r="K6521" s="7" t="n">
        <f aca="false">YEAR(E6521)*100+MONTH(E6521)</f>
        <v>201111</v>
      </c>
      <c r="L6521" s="7" t="n">
        <f aca="false">IF(AND(A6521&lt;&gt;A6520,LEFT(A6521,1)&lt;&gt;"C"),1,0)</f>
        <v>0</v>
      </c>
    </row>
    <row r="6522" customFormat="false" ht="15" hidden="false" customHeight="false" outlineLevel="0" collapsed="false">
      <c r="A6522" s="0" t="s">
        <v>3334</v>
      </c>
      <c r="B6522" s="0" t="s">
        <v>3335</v>
      </c>
      <c r="C6522" s="0" t="s">
        <v>3336</v>
      </c>
      <c r="D6522" s="0" t="n">
        <v>16</v>
      </c>
      <c r="E6522" s="6" t="n">
        <v>40875.5597222222</v>
      </c>
      <c r="F6522" s="0" t="n">
        <v>1.25</v>
      </c>
      <c r="G6522" s="0" t="n">
        <v>12479</v>
      </c>
      <c r="H6522" s="0" t="s">
        <v>33</v>
      </c>
      <c r="I6522" s="7" t="n">
        <f aca="false">IF(AND(LEFT(A6522,1)&lt;&gt;"C",D6522&gt;0,F6522&gt;0),1,0)</f>
        <v>1</v>
      </c>
      <c r="J6522" s="7" t="n">
        <f aca="false">IF(I6522=1,D6522*F6522,0)</f>
        <v>20</v>
      </c>
      <c r="K6522" s="7" t="n">
        <f aca="false">YEAR(E6522)*100+MONTH(E6522)</f>
        <v>201111</v>
      </c>
      <c r="L6522" s="7" t="n">
        <f aca="false">IF(AND(A6522&lt;&gt;A6521,LEFT(A6522,1)&lt;&gt;"C"),1,0)</f>
        <v>0</v>
      </c>
    </row>
    <row r="6523" customFormat="false" ht="15" hidden="false" customHeight="false" outlineLevel="0" collapsed="false">
      <c r="A6523" s="0" t="s">
        <v>3334</v>
      </c>
      <c r="B6523" s="0" t="s">
        <v>84</v>
      </c>
      <c r="C6523" s="0" t="s">
        <v>85</v>
      </c>
      <c r="D6523" s="0" t="n">
        <v>3</v>
      </c>
      <c r="E6523" s="6" t="n">
        <v>40875.5597222222</v>
      </c>
      <c r="F6523" s="0" t="n">
        <v>18</v>
      </c>
      <c r="G6523" s="0" t="n">
        <v>12479</v>
      </c>
      <c r="H6523" s="0" t="s">
        <v>33</v>
      </c>
      <c r="I6523" s="7" t="n">
        <f aca="false">IF(AND(LEFT(A6523,1)&lt;&gt;"C",D6523&gt;0,F6523&gt;0),1,0)</f>
        <v>1</v>
      </c>
      <c r="J6523" s="7" t="n">
        <f aca="false">IF(I6523=1,D6523*F6523,0)</f>
        <v>54</v>
      </c>
      <c r="K6523" s="7" t="n">
        <f aca="false">YEAR(E6523)*100+MONTH(E6523)</f>
        <v>201111</v>
      </c>
      <c r="L6523" s="7" t="n">
        <f aca="false">IF(AND(A6523&lt;&gt;A6522,LEFT(A6523,1)&lt;&gt;"C"),1,0)</f>
        <v>0</v>
      </c>
    </row>
    <row r="6524" customFormat="false" ht="15" hidden="false" customHeight="false" outlineLevel="0" collapsed="false">
      <c r="A6524" s="0" t="s">
        <v>3337</v>
      </c>
      <c r="B6524" s="0" t="s">
        <v>97</v>
      </c>
      <c r="C6524" s="0" t="s">
        <v>98</v>
      </c>
      <c r="D6524" s="0" t="n">
        <v>12</v>
      </c>
      <c r="E6524" s="6" t="n">
        <v>40875.5597222222</v>
      </c>
      <c r="F6524" s="0" t="n">
        <v>1.65</v>
      </c>
      <c r="G6524" s="0" t="n">
        <v>12660</v>
      </c>
      <c r="H6524" s="0" t="s">
        <v>43</v>
      </c>
      <c r="I6524" s="7" t="n">
        <f aca="false">IF(AND(LEFT(A6524,1)&lt;&gt;"C",D6524&gt;0,F6524&gt;0),1,0)</f>
        <v>1</v>
      </c>
      <c r="J6524" s="7" t="n">
        <f aca="false">IF(I6524=1,D6524*F6524,0)</f>
        <v>19.8</v>
      </c>
      <c r="K6524" s="7" t="n">
        <f aca="false">YEAR(E6524)*100+MONTH(E6524)</f>
        <v>201111</v>
      </c>
      <c r="L6524" s="7" t="n">
        <f aca="false">IF(AND(A6524&lt;&gt;A6523,LEFT(A6524,1)&lt;&gt;"C"),1,0)</f>
        <v>1</v>
      </c>
    </row>
    <row r="6525" customFormat="false" ht="15" hidden="false" customHeight="false" outlineLevel="0" collapsed="false">
      <c r="A6525" s="0" t="s">
        <v>3337</v>
      </c>
      <c r="B6525" s="0" t="s">
        <v>471</v>
      </c>
      <c r="C6525" s="0" t="s">
        <v>472</v>
      </c>
      <c r="D6525" s="0" t="n">
        <v>12</v>
      </c>
      <c r="E6525" s="6" t="n">
        <v>40875.5597222222</v>
      </c>
      <c r="F6525" s="0" t="n">
        <v>1.65</v>
      </c>
      <c r="G6525" s="0" t="n">
        <v>12660</v>
      </c>
      <c r="H6525" s="0" t="s">
        <v>43</v>
      </c>
      <c r="I6525" s="7" t="n">
        <f aca="false">IF(AND(LEFT(A6525,1)&lt;&gt;"C",D6525&gt;0,F6525&gt;0),1,0)</f>
        <v>1</v>
      </c>
      <c r="J6525" s="7" t="n">
        <f aca="false">IF(I6525=1,D6525*F6525,0)</f>
        <v>19.8</v>
      </c>
      <c r="K6525" s="7" t="n">
        <f aca="false">YEAR(E6525)*100+MONTH(E6525)</f>
        <v>201111</v>
      </c>
      <c r="L6525" s="7" t="n">
        <f aca="false">IF(AND(A6525&lt;&gt;A6524,LEFT(A6525,1)&lt;&gt;"C"),1,0)</f>
        <v>0</v>
      </c>
    </row>
    <row r="6526" customFormat="false" ht="15" hidden="false" customHeight="false" outlineLevel="0" collapsed="false">
      <c r="A6526" s="0" t="s">
        <v>3337</v>
      </c>
      <c r="B6526" s="0" t="s">
        <v>335</v>
      </c>
      <c r="C6526" s="0" t="s">
        <v>336</v>
      </c>
      <c r="D6526" s="0" t="n">
        <v>12</v>
      </c>
      <c r="E6526" s="6" t="n">
        <v>40875.5597222222</v>
      </c>
      <c r="F6526" s="0" t="n">
        <v>1.65</v>
      </c>
      <c r="G6526" s="0" t="n">
        <v>12660</v>
      </c>
      <c r="H6526" s="0" t="s">
        <v>43</v>
      </c>
      <c r="I6526" s="7" t="n">
        <f aca="false">IF(AND(LEFT(A6526,1)&lt;&gt;"C",D6526&gt;0,F6526&gt;0),1,0)</f>
        <v>1</v>
      </c>
      <c r="J6526" s="7" t="n">
        <f aca="false">IF(I6526=1,D6526*F6526,0)</f>
        <v>19.8</v>
      </c>
      <c r="K6526" s="7" t="n">
        <f aca="false">YEAR(E6526)*100+MONTH(E6526)</f>
        <v>201111</v>
      </c>
      <c r="L6526" s="7" t="n">
        <f aca="false">IF(AND(A6526&lt;&gt;A6525,LEFT(A6526,1)&lt;&gt;"C"),1,0)</f>
        <v>0</v>
      </c>
    </row>
    <row r="6527" customFormat="false" ht="15" hidden="false" customHeight="false" outlineLevel="0" collapsed="false">
      <c r="A6527" s="0" t="s">
        <v>3337</v>
      </c>
      <c r="B6527" s="0" t="s">
        <v>1432</v>
      </c>
      <c r="C6527" s="0" t="s">
        <v>1433</v>
      </c>
      <c r="D6527" s="0" t="n">
        <v>6</v>
      </c>
      <c r="E6527" s="6" t="n">
        <v>40875.5597222222</v>
      </c>
      <c r="F6527" s="0" t="n">
        <v>2.95</v>
      </c>
      <c r="G6527" s="0" t="n">
        <v>12660</v>
      </c>
      <c r="H6527" s="0" t="s">
        <v>43</v>
      </c>
      <c r="I6527" s="7" t="n">
        <f aca="false">IF(AND(LEFT(A6527,1)&lt;&gt;"C",D6527&gt;0,F6527&gt;0),1,0)</f>
        <v>1</v>
      </c>
      <c r="J6527" s="7" t="n">
        <f aca="false">IF(I6527=1,D6527*F6527,0)</f>
        <v>17.7</v>
      </c>
      <c r="K6527" s="7" t="n">
        <f aca="false">YEAR(E6527)*100+MONTH(E6527)</f>
        <v>201111</v>
      </c>
      <c r="L6527" s="7" t="n">
        <f aca="false">IF(AND(A6527&lt;&gt;A6526,LEFT(A6527,1)&lt;&gt;"C"),1,0)</f>
        <v>0</v>
      </c>
    </row>
    <row r="6528" customFormat="false" ht="15" hidden="false" customHeight="false" outlineLevel="0" collapsed="false">
      <c r="A6528" s="0" t="s">
        <v>3337</v>
      </c>
      <c r="B6528" s="0" t="s">
        <v>3338</v>
      </c>
      <c r="C6528" s="0" t="s">
        <v>3339</v>
      </c>
      <c r="D6528" s="0" t="n">
        <v>6</v>
      </c>
      <c r="E6528" s="6" t="n">
        <v>40875.5597222222</v>
      </c>
      <c r="F6528" s="0" t="n">
        <v>2.55</v>
      </c>
      <c r="G6528" s="0" t="n">
        <v>12660</v>
      </c>
      <c r="H6528" s="0" t="s">
        <v>43</v>
      </c>
      <c r="I6528" s="7" t="n">
        <f aca="false">IF(AND(LEFT(A6528,1)&lt;&gt;"C",D6528&gt;0,F6528&gt;0),1,0)</f>
        <v>1</v>
      </c>
      <c r="J6528" s="7" t="n">
        <f aca="false">IF(I6528=1,D6528*F6528,0)</f>
        <v>15.3</v>
      </c>
      <c r="K6528" s="7" t="n">
        <f aca="false">YEAR(E6528)*100+MONTH(E6528)</f>
        <v>201111</v>
      </c>
      <c r="L6528" s="7" t="n">
        <f aca="false">IF(AND(A6528&lt;&gt;A6527,LEFT(A6528,1)&lt;&gt;"C"),1,0)</f>
        <v>0</v>
      </c>
    </row>
    <row r="6529" customFormat="false" ht="15" hidden="false" customHeight="false" outlineLevel="0" collapsed="false">
      <c r="A6529" s="0" t="s">
        <v>3337</v>
      </c>
      <c r="B6529" s="0" t="s">
        <v>1994</v>
      </c>
      <c r="C6529" s="0" t="s">
        <v>1995</v>
      </c>
      <c r="D6529" s="0" t="n">
        <v>3</v>
      </c>
      <c r="E6529" s="6" t="n">
        <v>40875.5597222222</v>
      </c>
      <c r="F6529" s="0" t="n">
        <v>5.95</v>
      </c>
      <c r="G6529" s="0" t="n">
        <v>12660</v>
      </c>
      <c r="H6529" s="0" t="s">
        <v>43</v>
      </c>
      <c r="I6529" s="7" t="n">
        <f aca="false">IF(AND(LEFT(A6529,1)&lt;&gt;"C",D6529&gt;0,F6529&gt;0),1,0)</f>
        <v>1</v>
      </c>
      <c r="J6529" s="7" t="n">
        <f aca="false">IF(I6529=1,D6529*F6529,0)</f>
        <v>17.85</v>
      </c>
      <c r="K6529" s="7" t="n">
        <f aca="false">YEAR(E6529)*100+MONTH(E6529)</f>
        <v>201111</v>
      </c>
      <c r="L6529" s="7" t="n">
        <f aca="false">IF(AND(A6529&lt;&gt;A6528,LEFT(A6529,1)&lt;&gt;"C"),1,0)</f>
        <v>0</v>
      </c>
    </row>
    <row r="6530" customFormat="false" ht="15" hidden="false" customHeight="false" outlineLevel="0" collapsed="false">
      <c r="A6530" s="0" t="s">
        <v>3337</v>
      </c>
      <c r="B6530" s="0" t="s">
        <v>416</v>
      </c>
      <c r="C6530" s="0" t="s">
        <v>417</v>
      </c>
      <c r="D6530" s="0" t="n">
        <v>36</v>
      </c>
      <c r="E6530" s="6" t="n">
        <v>40875.5597222222</v>
      </c>
      <c r="F6530" s="0" t="n">
        <v>0.65</v>
      </c>
      <c r="G6530" s="0" t="n">
        <v>12660</v>
      </c>
      <c r="H6530" s="0" t="s">
        <v>43</v>
      </c>
      <c r="I6530" s="7" t="n">
        <f aca="false">IF(AND(LEFT(A6530,1)&lt;&gt;"C",D6530&gt;0,F6530&gt;0),1,0)</f>
        <v>1</v>
      </c>
      <c r="J6530" s="7" t="n">
        <f aca="false">IF(I6530=1,D6530*F6530,0)</f>
        <v>23.4</v>
      </c>
      <c r="K6530" s="7" t="n">
        <f aca="false">YEAR(E6530)*100+MONTH(E6530)</f>
        <v>201111</v>
      </c>
      <c r="L6530" s="7" t="n">
        <f aca="false">IF(AND(A6530&lt;&gt;A6529,LEFT(A6530,1)&lt;&gt;"C"),1,0)</f>
        <v>0</v>
      </c>
    </row>
    <row r="6531" customFormat="false" ht="15" hidden="false" customHeight="false" outlineLevel="0" collapsed="false">
      <c r="A6531" s="0" t="s">
        <v>3337</v>
      </c>
      <c r="B6531" s="0" t="s">
        <v>2681</v>
      </c>
      <c r="C6531" s="0" t="s">
        <v>2682</v>
      </c>
      <c r="D6531" s="0" t="n">
        <v>6</v>
      </c>
      <c r="E6531" s="6" t="n">
        <v>40875.5597222222</v>
      </c>
      <c r="F6531" s="0" t="n">
        <v>2.95</v>
      </c>
      <c r="G6531" s="0" t="n">
        <v>12660</v>
      </c>
      <c r="H6531" s="0" t="s">
        <v>43</v>
      </c>
      <c r="I6531" s="7" t="n">
        <f aca="false">IF(AND(LEFT(A6531,1)&lt;&gt;"C",D6531&gt;0,F6531&gt;0),1,0)</f>
        <v>1</v>
      </c>
      <c r="J6531" s="7" t="n">
        <f aca="false">IF(I6531=1,D6531*F6531,0)</f>
        <v>17.7</v>
      </c>
      <c r="K6531" s="7" t="n">
        <f aca="false">YEAR(E6531)*100+MONTH(E6531)</f>
        <v>201111</v>
      </c>
      <c r="L6531" s="7" t="n">
        <f aca="false">IF(AND(A6531&lt;&gt;A6530,LEFT(A6531,1)&lt;&gt;"C"),1,0)</f>
        <v>0</v>
      </c>
    </row>
    <row r="6532" customFormat="false" ht="15" hidden="false" customHeight="false" outlineLevel="0" collapsed="false">
      <c r="A6532" s="0" t="s">
        <v>3337</v>
      </c>
      <c r="B6532" s="0" t="s">
        <v>3340</v>
      </c>
      <c r="C6532" s="0" t="s">
        <v>3341</v>
      </c>
      <c r="D6532" s="0" t="n">
        <v>6</v>
      </c>
      <c r="E6532" s="6" t="n">
        <v>40875.5597222222</v>
      </c>
      <c r="F6532" s="0" t="n">
        <v>2.95</v>
      </c>
      <c r="G6532" s="0" t="n">
        <v>12660</v>
      </c>
      <c r="H6532" s="0" t="s">
        <v>43</v>
      </c>
      <c r="I6532" s="7" t="n">
        <f aca="false">IF(AND(LEFT(A6532,1)&lt;&gt;"C",D6532&gt;0,F6532&gt;0),1,0)</f>
        <v>1</v>
      </c>
      <c r="J6532" s="7" t="n">
        <f aca="false">IF(I6532=1,D6532*F6532,0)</f>
        <v>17.7</v>
      </c>
      <c r="K6532" s="7" t="n">
        <f aca="false">YEAR(E6532)*100+MONTH(E6532)</f>
        <v>201111</v>
      </c>
      <c r="L6532" s="7" t="n">
        <f aca="false">IF(AND(A6532&lt;&gt;A6531,LEFT(A6532,1)&lt;&gt;"C"),1,0)</f>
        <v>0</v>
      </c>
    </row>
    <row r="6533" customFormat="false" ht="15" hidden="false" customHeight="false" outlineLevel="0" collapsed="false">
      <c r="A6533" s="0" t="s">
        <v>3337</v>
      </c>
      <c r="B6533" s="0" t="s">
        <v>2806</v>
      </c>
      <c r="C6533" s="0" t="s">
        <v>2807</v>
      </c>
      <c r="D6533" s="0" t="n">
        <v>3</v>
      </c>
      <c r="E6533" s="6" t="n">
        <v>40875.5597222222</v>
      </c>
      <c r="F6533" s="0" t="n">
        <v>5.95</v>
      </c>
      <c r="G6533" s="0" t="n">
        <v>12660</v>
      </c>
      <c r="H6533" s="0" t="s">
        <v>43</v>
      </c>
      <c r="I6533" s="7" t="n">
        <f aca="false">IF(AND(LEFT(A6533,1)&lt;&gt;"C",D6533&gt;0,F6533&gt;0),1,0)</f>
        <v>1</v>
      </c>
      <c r="J6533" s="7" t="n">
        <f aca="false">IF(I6533=1,D6533*F6533,0)</f>
        <v>17.85</v>
      </c>
      <c r="K6533" s="7" t="n">
        <f aca="false">YEAR(E6533)*100+MONTH(E6533)</f>
        <v>201111</v>
      </c>
      <c r="L6533" s="7" t="n">
        <f aca="false">IF(AND(A6533&lt;&gt;A6532,LEFT(A6533,1)&lt;&gt;"C"),1,0)</f>
        <v>0</v>
      </c>
    </row>
    <row r="6534" customFormat="false" ht="15" hidden="false" customHeight="false" outlineLevel="0" collapsed="false">
      <c r="A6534" s="0" t="s">
        <v>3337</v>
      </c>
      <c r="B6534" s="0" t="s">
        <v>308</v>
      </c>
      <c r="C6534" s="0" t="s">
        <v>309</v>
      </c>
      <c r="D6534" s="0" t="n">
        <v>12</v>
      </c>
      <c r="E6534" s="6" t="n">
        <v>40875.5597222222</v>
      </c>
      <c r="F6534" s="0" t="n">
        <v>1.25</v>
      </c>
      <c r="G6534" s="0" t="n">
        <v>12660</v>
      </c>
      <c r="H6534" s="0" t="s">
        <v>43</v>
      </c>
      <c r="I6534" s="7" t="n">
        <f aca="false">IF(AND(LEFT(A6534,1)&lt;&gt;"C",D6534&gt;0,F6534&gt;0),1,0)</f>
        <v>1</v>
      </c>
      <c r="J6534" s="7" t="n">
        <f aca="false">IF(I6534=1,D6534*F6534,0)</f>
        <v>15</v>
      </c>
      <c r="K6534" s="7" t="n">
        <f aca="false">YEAR(E6534)*100+MONTH(E6534)</f>
        <v>201111</v>
      </c>
      <c r="L6534" s="7" t="n">
        <f aca="false">IF(AND(A6534&lt;&gt;A6533,LEFT(A6534,1)&lt;&gt;"C"),1,0)</f>
        <v>0</v>
      </c>
    </row>
    <row r="6535" customFormat="false" ht="15" hidden="false" customHeight="false" outlineLevel="0" collapsed="false">
      <c r="A6535" s="0" t="s">
        <v>3337</v>
      </c>
      <c r="B6535" s="0" t="s">
        <v>2273</v>
      </c>
      <c r="C6535" s="0" t="s">
        <v>2274</v>
      </c>
      <c r="D6535" s="0" t="n">
        <v>12</v>
      </c>
      <c r="E6535" s="6" t="n">
        <v>40875.5597222222</v>
      </c>
      <c r="F6535" s="0" t="n">
        <v>2.1</v>
      </c>
      <c r="G6535" s="0" t="n">
        <v>12660</v>
      </c>
      <c r="H6535" s="0" t="s">
        <v>43</v>
      </c>
      <c r="I6535" s="7" t="n">
        <f aca="false">IF(AND(LEFT(A6535,1)&lt;&gt;"C",D6535&gt;0,F6535&gt;0),1,0)</f>
        <v>1</v>
      </c>
      <c r="J6535" s="7" t="n">
        <f aca="false">IF(I6535=1,D6535*F6535,0)</f>
        <v>25.2</v>
      </c>
      <c r="K6535" s="7" t="n">
        <f aca="false">YEAR(E6535)*100+MONTH(E6535)</f>
        <v>201111</v>
      </c>
      <c r="L6535" s="7" t="n">
        <f aca="false">IF(AND(A6535&lt;&gt;A6534,LEFT(A6535,1)&lt;&gt;"C"),1,0)</f>
        <v>0</v>
      </c>
    </row>
    <row r="6536" customFormat="false" ht="15" hidden="false" customHeight="false" outlineLevel="0" collapsed="false">
      <c r="A6536" s="0" t="s">
        <v>3337</v>
      </c>
      <c r="B6536" s="0" t="s">
        <v>84</v>
      </c>
      <c r="C6536" s="0" t="s">
        <v>85</v>
      </c>
      <c r="D6536" s="0" t="n">
        <v>1</v>
      </c>
      <c r="E6536" s="6" t="n">
        <v>40875.5597222222</v>
      </c>
      <c r="F6536" s="0" t="n">
        <v>18</v>
      </c>
      <c r="G6536" s="0" t="n">
        <v>12660</v>
      </c>
      <c r="H6536" s="0" t="s">
        <v>43</v>
      </c>
      <c r="I6536" s="7" t="n">
        <f aca="false">IF(AND(LEFT(A6536,1)&lt;&gt;"C",D6536&gt;0,F6536&gt;0),1,0)</f>
        <v>1</v>
      </c>
      <c r="J6536" s="7" t="n">
        <f aca="false">IF(I6536=1,D6536*F6536,0)</f>
        <v>18</v>
      </c>
      <c r="K6536" s="7" t="n">
        <f aca="false">YEAR(E6536)*100+MONTH(E6536)</f>
        <v>201111</v>
      </c>
      <c r="L6536" s="7" t="n">
        <f aca="false">IF(AND(A6536&lt;&gt;A6535,LEFT(A6536,1)&lt;&gt;"C"),1,0)</f>
        <v>0</v>
      </c>
    </row>
    <row r="6537" customFormat="false" ht="15" hidden="false" customHeight="false" outlineLevel="0" collapsed="false">
      <c r="A6537" s="0" t="s">
        <v>3342</v>
      </c>
      <c r="B6537" s="0" t="s">
        <v>1290</v>
      </c>
      <c r="C6537" s="0" t="s">
        <v>1291</v>
      </c>
      <c r="D6537" s="0" t="n">
        <v>6</v>
      </c>
      <c r="E6537" s="6" t="n">
        <v>40875.6493055556</v>
      </c>
      <c r="F6537" s="0" t="n">
        <v>3.25</v>
      </c>
      <c r="G6537" s="0" t="n">
        <v>12657</v>
      </c>
      <c r="H6537" s="0" t="s">
        <v>43</v>
      </c>
      <c r="I6537" s="7" t="n">
        <f aca="false">IF(AND(LEFT(A6537,1)&lt;&gt;"C",D6537&gt;0,F6537&gt;0),1,0)</f>
        <v>1</v>
      </c>
      <c r="J6537" s="7" t="n">
        <f aca="false">IF(I6537=1,D6537*F6537,0)</f>
        <v>19.5</v>
      </c>
      <c r="K6537" s="7" t="n">
        <f aca="false">YEAR(E6537)*100+MONTH(E6537)</f>
        <v>201111</v>
      </c>
      <c r="L6537" s="7" t="n">
        <f aca="false">IF(AND(A6537&lt;&gt;A6536,LEFT(A6537,1)&lt;&gt;"C"),1,0)</f>
        <v>1</v>
      </c>
    </row>
    <row r="6538" customFormat="false" ht="15" hidden="false" customHeight="false" outlineLevel="0" collapsed="false">
      <c r="A6538" s="0" t="s">
        <v>3342</v>
      </c>
      <c r="B6538" s="0" t="s">
        <v>2088</v>
      </c>
      <c r="C6538" s="0" t="s">
        <v>2089</v>
      </c>
      <c r="D6538" s="0" t="n">
        <v>4</v>
      </c>
      <c r="E6538" s="6" t="n">
        <v>40875.6493055556</v>
      </c>
      <c r="F6538" s="0" t="n">
        <v>4.25</v>
      </c>
      <c r="G6538" s="0" t="n">
        <v>12657</v>
      </c>
      <c r="H6538" s="0" t="s">
        <v>43</v>
      </c>
      <c r="I6538" s="7" t="n">
        <f aca="false">IF(AND(LEFT(A6538,1)&lt;&gt;"C",D6538&gt;0,F6538&gt;0),1,0)</f>
        <v>1</v>
      </c>
      <c r="J6538" s="7" t="n">
        <f aca="false">IF(I6538=1,D6538*F6538,0)</f>
        <v>17</v>
      </c>
      <c r="K6538" s="7" t="n">
        <f aca="false">YEAR(E6538)*100+MONTH(E6538)</f>
        <v>201111</v>
      </c>
      <c r="L6538" s="7" t="n">
        <f aca="false">IF(AND(A6538&lt;&gt;A6537,LEFT(A6538,1)&lt;&gt;"C"),1,0)</f>
        <v>0</v>
      </c>
    </row>
    <row r="6539" customFormat="false" ht="15" hidden="false" customHeight="false" outlineLevel="0" collapsed="false">
      <c r="A6539" s="0" t="s">
        <v>3342</v>
      </c>
      <c r="B6539" s="0" t="s">
        <v>148</v>
      </c>
      <c r="C6539" s="0" t="s">
        <v>149</v>
      </c>
      <c r="D6539" s="0" t="n">
        <v>10</v>
      </c>
      <c r="E6539" s="6" t="n">
        <v>40875.6493055556</v>
      </c>
      <c r="F6539" s="0" t="n">
        <v>12.75</v>
      </c>
      <c r="G6539" s="0" t="n">
        <v>12657</v>
      </c>
      <c r="H6539" s="0" t="s">
        <v>43</v>
      </c>
      <c r="I6539" s="7" t="n">
        <f aca="false">IF(AND(LEFT(A6539,1)&lt;&gt;"C",D6539&gt;0,F6539&gt;0),1,0)</f>
        <v>1</v>
      </c>
      <c r="J6539" s="7" t="n">
        <f aca="false">IF(I6539=1,D6539*F6539,0)</f>
        <v>127.5</v>
      </c>
      <c r="K6539" s="7" t="n">
        <f aca="false">YEAR(E6539)*100+MONTH(E6539)</f>
        <v>201111</v>
      </c>
      <c r="L6539" s="7" t="n">
        <f aca="false">IF(AND(A6539&lt;&gt;A6538,LEFT(A6539,1)&lt;&gt;"C"),1,0)</f>
        <v>0</v>
      </c>
    </row>
    <row r="6540" customFormat="false" ht="15" hidden="false" customHeight="false" outlineLevel="0" collapsed="false">
      <c r="A6540" s="0" t="s">
        <v>3342</v>
      </c>
      <c r="B6540" s="0" t="s">
        <v>2138</v>
      </c>
      <c r="C6540" s="0" t="s">
        <v>2139</v>
      </c>
      <c r="D6540" s="0" t="n">
        <v>250</v>
      </c>
      <c r="E6540" s="6" t="n">
        <v>40875.6493055556</v>
      </c>
      <c r="F6540" s="0" t="n">
        <v>0.42</v>
      </c>
      <c r="G6540" s="0" t="n">
        <v>12657</v>
      </c>
      <c r="H6540" s="0" t="s">
        <v>43</v>
      </c>
      <c r="I6540" s="7" t="n">
        <f aca="false">IF(AND(LEFT(A6540,1)&lt;&gt;"C",D6540&gt;0,F6540&gt;0),1,0)</f>
        <v>1</v>
      </c>
      <c r="J6540" s="7" t="n">
        <f aca="false">IF(I6540=1,D6540*F6540,0)</f>
        <v>105</v>
      </c>
      <c r="K6540" s="7" t="n">
        <f aca="false">YEAR(E6540)*100+MONTH(E6540)</f>
        <v>201111</v>
      </c>
      <c r="L6540" s="7" t="n">
        <f aca="false">IF(AND(A6540&lt;&gt;A6539,LEFT(A6540,1)&lt;&gt;"C"),1,0)</f>
        <v>0</v>
      </c>
    </row>
    <row r="6541" customFormat="false" ht="15" hidden="false" customHeight="false" outlineLevel="0" collapsed="false">
      <c r="A6541" s="0" t="s">
        <v>3342</v>
      </c>
      <c r="B6541" s="0" t="s">
        <v>1555</v>
      </c>
      <c r="C6541" s="0" t="s">
        <v>1556</v>
      </c>
      <c r="D6541" s="0" t="n">
        <v>72</v>
      </c>
      <c r="E6541" s="6" t="n">
        <v>40875.6493055556</v>
      </c>
      <c r="F6541" s="0" t="n">
        <v>0.42</v>
      </c>
      <c r="G6541" s="0" t="n">
        <v>12657</v>
      </c>
      <c r="H6541" s="0" t="s">
        <v>43</v>
      </c>
      <c r="I6541" s="7" t="n">
        <f aca="false">IF(AND(LEFT(A6541,1)&lt;&gt;"C",D6541&gt;0,F6541&gt;0),1,0)</f>
        <v>1</v>
      </c>
      <c r="J6541" s="7" t="n">
        <f aca="false">IF(I6541=1,D6541*F6541,0)</f>
        <v>30.24</v>
      </c>
      <c r="K6541" s="7" t="n">
        <f aca="false">YEAR(E6541)*100+MONTH(E6541)</f>
        <v>201111</v>
      </c>
      <c r="L6541" s="7" t="n">
        <f aca="false">IF(AND(A6541&lt;&gt;A6540,LEFT(A6541,1)&lt;&gt;"C"),1,0)</f>
        <v>0</v>
      </c>
    </row>
    <row r="6542" customFormat="false" ht="15" hidden="false" customHeight="false" outlineLevel="0" collapsed="false">
      <c r="A6542" s="0" t="s">
        <v>3342</v>
      </c>
      <c r="B6542" s="0" t="s">
        <v>1794</v>
      </c>
      <c r="C6542" s="0" t="s">
        <v>1795</v>
      </c>
      <c r="D6542" s="0" t="n">
        <v>20</v>
      </c>
      <c r="E6542" s="6" t="n">
        <v>40875.6493055556</v>
      </c>
      <c r="F6542" s="0" t="n">
        <v>2.49</v>
      </c>
      <c r="G6542" s="0" t="n">
        <v>12657</v>
      </c>
      <c r="H6542" s="0" t="s">
        <v>43</v>
      </c>
      <c r="I6542" s="7" t="n">
        <f aca="false">IF(AND(LEFT(A6542,1)&lt;&gt;"C",D6542&gt;0,F6542&gt;0),1,0)</f>
        <v>1</v>
      </c>
      <c r="J6542" s="7" t="n">
        <f aca="false">IF(I6542=1,D6542*F6542,0)</f>
        <v>49.8</v>
      </c>
      <c r="K6542" s="7" t="n">
        <f aca="false">YEAR(E6542)*100+MONTH(E6542)</f>
        <v>201111</v>
      </c>
      <c r="L6542" s="7" t="n">
        <f aca="false">IF(AND(A6542&lt;&gt;A6541,LEFT(A6542,1)&lt;&gt;"C"),1,0)</f>
        <v>0</v>
      </c>
    </row>
    <row r="6543" customFormat="false" ht="15" hidden="false" customHeight="false" outlineLevel="0" collapsed="false">
      <c r="A6543" s="0" t="s">
        <v>3342</v>
      </c>
      <c r="B6543" s="0" t="s">
        <v>1766</v>
      </c>
      <c r="C6543" s="0" t="s">
        <v>1767</v>
      </c>
      <c r="D6543" s="0" t="n">
        <v>12</v>
      </c>
      <c r="E6543" s="6" t="n">
        <v>40875.6493055556</v>
      </c>
      <c r="F6543" s="0" t="n">
        <v>2.95</v>
      </c>
      <c r="G6543" s="0" t="n">
        <v>12657</v>
      </c>
      <c r="H6543" s="0" t="s">
        <v>43</v>
      </c>
      <c r="I6543" s="7" t="n">
        <f aca="false">IF(AND(LEFT(A6543,1)&lt;&gt;"C",D6543&gt;0,F6543&gt;0),1,0)</f>
        <v>1</v>
      </c>
      <c r="J6543" s="7" t="n">
        <f aca="false">IF(I6543=1,D6543*F6543,0)</f>
        <v>35.4</v>
      </c>
      <c r="K6543" s="7" t="n">
        <f aca="false">YEAR(E6543)*100+MONTH(E6543)</f>
        <v>201111</v>
      </c>
      <c r="L6543" s="7" t="n">
        <f aca="false">IF(AND(A6543&lt;&gt;A6542,LEFT(A6543,1)&lt;&gt;"C"),1,0)</f>
        <v>0</v>
      </c>
    </row>
    <row r="6544" customFormat="false" ht="15" hidden="false" customHeight="false" outlineLevel="0" collapsed="false">
      <c r="A6544" s="0" t="s">
        <v>3342</v>
      </c>
      <c r="B6544" s="0" t="s">
        <v>84</v>
      </c>
      <c r="C6544" s="0" t="s">
        <v>85</v>
      </c>
      <c r="D6544" s="0" t="n">
        <v>4</v>
      </c>
      <c r="E6544" s="6" t="n">
        <v>40875.6493055556</v>
      </c>
      <c r="F6544" s="0" t="n">
        <v>18</v>
      </c>
      <c r="G6544" s="0" t="n">
        <v>12657</v>
      </c>
      <c r="H6544" s="0" t="s">
        <v>43</v>
      </c>
      <c r="I6544" s="7" t="n">
        <f aca="false">IF(AND(LEFT(A6544,1)&lt;&gt;"C",D6544&gt;0,F6544&gt;0),1,0)</f>
        <v>1</v>
      </c>
      <c r="J6544" s="7" t="n">
        <f aca="false">IF(I6544=1,D6544*F6544,0)</f>
        <v>72</v>
      </c>
      <c r="K6544" s="7" t="n">
        <f aca="false">YEAR(E6544)*100+MONTH(E6544)</f>
        <v>201111</v>
      </c>
      <c r="L6544" s="7" t="n">
        <f aca="false">IF(AND(A6544&lt;&gt;A6543,LEFT(A6544,1)&lt;&gt;"C"),1,0)</f>
        <v>0</v>
      </c>
    </row>
    <row r="6545" customFormat="false" ht="15" hidden="false" customHeight="false" outlineLevel="0" collapsed="false">
      <c r="A6545" s="0" t="s">
        <v>3342</v>
      </c>
      <c r="B6545" s="0" t="s">
        <v>739</v>
      </c>
      <c r="C6545" s="0" t="s">
        <v>740</v>
      </c>
      <c r="D6545" s="0" t="n">
        <v>12</v>
      </c>
      <c r="E6545" s="6" t="n">
        <v>40875.6493055556</v>
      </c>
      <c r="F6545" s="0" t="n">
        <v>2.89</v>
      </c>
      <c r="G6545" s="0" t="n">
        <v>12657</v>
      </c>
      <c r="H6545" s="0" t="s">
        <v>43</v>
      </c>
      <c r="I6545" s="7" t="n">
        <f aca="false">IF(AND(LEFT(A6545,1)&lt;&gt;"C",D6545&gt;0,F6545&gt;0),1,0)</f>
        <v>1</v>
      </c>
      <c r="J6545" s="7" t="n">
        <f aca="false">IF(I6545=1,D6545*F6545,0)</f>
        <v>34.68</v>
      </c>
      <c r="K6545" s="7" t="n">
        <f aca="false">YEAR(E6545)*100+MONTH(E6545)</f>
        <v>201111</v>
      </c>
      <c r="L6545" s="7" t="n">
        <f aca="false">IF(AND(A6545&lt;&gt;A6544,LEFT(A6545,1)&lt;&gt;"C"),1,0)</f>
        <v>0</v>
      </c>
    </row>
    <row r="6546" customFormat="false" ht="15" hidden="false" customHeight="false" outlineLevel="0" collapsed="false">
      <c r="A6546" s="0" t="s">
        <v>3343</v>
      </c>
      <c r="B6546" s="0" t="s">
        <v>84</v>
      </c>
      <c r="C6546" s="0" t="s">
        <v>85</v>
      </c>
      <c r="D6546" s="0" t="n">
        <v>-4</v>
      </c>
      <c r="E6546" s="6" t="n">
        <v>40875.6548611111</v>
      </c>
      <c r="F6546" s="0" t="n">
        <v>18</v>
      </c>
      <c r="G6546" s="0" t="n">
        <v>12657</v>
      </c>
      <c r="H6546" s="0" t="s">
        <v>43</v>
      </c>
      <c r="I6546" s="7" t="n">
        <f aca="false">IF(AND(LEFT(A6546,1)&lt;&gt;"C",D6546&gt;0,F6546&gt;0),1,0)</f>
        <v>0</v>
      </c>
      <c r="J6546" s="7" t="n">
        <f aca="false">IF(I6546=1,D6546*F6546,0)</f>
        <v>0</v>
      </c>
      <c r="K6546" s="7" t="n">
        <f aca="false">YEAR(E6546)*100+MONTH(E6546)</f>
        <v>201111</v>
      </c>
      <c r="L6546" s="7" t="n">
        <f aca="false">IF(AND(A6546&lt;&gt;A6545,LEFT(A6546,1)&lt;&gt;"C"),1,0)</f>
        <v>0</v>
      </c>
    </row>
    <row r="6547" customFormat="false" ht="15" hidden="false" customHeight="false" outlineLevel="0" collapsed="false">
      <c r="A6547" s="0" t="s">
        <v>3343</v>
      </c>
      <c r="B6547" s="0" t="s">
        <v>739</v>
      </c>
      <c r="C6547" s="0" t="s">
        <v>740</v>
      </c>
      <c r="D6547" s="0" t="n">
        <v>-12</v>
      </c>
      <c r="E6547" s="6" t="n">
        <v>40875.6548611111</v>
      </c>
      <c r="F6547" s="0" t="n">
        <v>2.89</v>
      </c>
      <c r="G6547" s="0" t="n">
        <v>12657</v>
      </c>
      <c r="H6547" s="0" t="s">
        <v>43</v>
      </c>
      <c r="I6547" s="7" t="n">
        <f aca="false">IF(AND(LEFT(A6547,1)&lt;&gt;"C",D6547&gt;0,F6547&gt;0),1,0)</f>
        <v>0</v>
      </c>
      <c r="J6547" s="7" t="n">
        <f aca="false">IF(I6547=1,D6547*F6547,0)</f>
        <v>0</v>
      </c>
      <c r="K6547" s="7" t="n">
        <f aca="false">YEAR(E6547)*100+MONTH(E6547)</f>
        <v>201111</v>
      </c>
      <c r="L6547" s="7" t="n">
        <f aca="false">IF(AND(A6547&lt;&gt;A6546,LEFT(A6547,1)&lt;&gt;"C"),1,0)</f>
        <v>0</v>
      </c>
    </row>
    <row r="6548" customFormat="false" ht="15" hidden="false" customHeight="false" outlineLevel="0" collapsed="false">
      <c r="A6548" s="0" t="s">
        <v>3343</v>
      </c>
      <c r="B6548" s="0" t="s">
        <v>1794</v>
      </c>
      <c r="C6548" s="0" t="s">
        <v>1795</v>
      </c>
      <c r="D6548" s="0" t="n">
        <v>-20</v>
      </c>
      <c r="E6548" s="6" t="n">
        <v>40875.6548611111</v>
      </c>
      <c r="F6548" s="0" t="n">
        <v>2.49</v>
      </c>
      <c r="G6548" s="0" t="n">
        <v>12657</v>
      </c>
      <c r="H6548" s="0" t="s">
        <v>43</v>
      </c>
      <c r="I6548" s="7" t="n">
        <f aca="false">IF(AND(LEFT(A6548,1)&lt;&gt;"C",D6548&gt;0,F6548&gt;0),1,0)</f>
        <v>0</v>
      </c>
      <c r="J6548" s="7" t="n">
        <f aca="false">IF(I6548=1,D6548*F6548,0)</f>
        <v>0</v>
      </c>
      <c r="K6548" s="7" t="n">
        <f aca="false">YEAR(E6548)*100+MONTH(E6548)</f>
        <v>201111</v>
      </c>
      <c r="L6548" s="7" t="n">
        <f aca="false">IF(AND(A6548&lt;&gt;A6547,LEFT(A6548,1)&lt;&gt;"C"),1,0)</f>
        <v>0</v>
      </c>
    </row>
    <row r="6549" customFormat="false" ht="15" hidden="false" customHeight="false" outlineLevel="0" collapsed="false">
      <c r="A6549" s="0" t="s">
        <v>3343</v>
      </c>
      <c r="B6549" s="0" t="s">
        <v>2138</v>
      </c>
      <c r="C6549" s="0" t="s">
        <v>2139</v>
      </c>
      <c r="D6549" s="0" t="n">
        <v>-250</v>
      </c>
      <c r="E6549" s="6" t="n">
        <v>40875.6548611111</v>
      </c>
      <c r="F6549" s="0" t="n">
        <v>0.42</v>
      </c>
      <c r="G6549" s="0" t="n">
        <v>12657</v>
      </c>
      <c r="H6549" s="0" t="s">
        <v>43</v>
      </c>
      <c r="I6549" s="7" t="n">
        <f aca="false">IF(AND(LEFT(A6549,1)&lt;&gt;"C",D6549&gt;0,F6549&gt;0),1,0)</f>
        <v>0</v>
      </c>
      <c r="J6549" s="7" t="n">
        <f aca="false">IF(I6549=1,D6549*F6549,0)</f>
        <v>0</v>
      </c>
      <c r="K6549" s="7" t="n">
        <f aca="false">YEAR(E6549)*100+MONTH(E6549)</f>
        <v>201111</v>
      </c>
      <c r="L6549" s="7" t="n">
        <f aca="false">IF(AND(A6549&lt;&gt;A6548,LEFT(A6549,1)&lt;&gt;"C"),1,0)</f>
        <v>0</v>
      </c>
    </row>
    <row r="6550" customFormat="false" ht="15" hidden="false" customHeight="false" outlineLevel="0" collapsed="false">
      <c r="A6550" s="0" t="s">
        <v>3343</v>
      </c>
      <c r="B6550" s="0" t="s">
        <v>1290</v>
      </c>
      <c r="C6550" s="0" t="s">
        <v>1291</v>
      </c>
      <c r="D6550" s="0" t="n">
        <v>-6</v>
      </c>
      <c r="E6550" s="6" t="n">
        <v>40875.6548611111</v>
      </c>
      <c r="F6550" s="0" t="n">
        <v>3.25</v>
      </c>
      <c r="G6550" s="0" t="n">
        <v>12657</v>
      </c>
      <c r="H6550" s="0" t="s">
        <v>43</v>
      </c>
      <c r="I6550" s="7" t="n">
        <f aca="false">IF(AND(LEFT(A6550,1)&lt;&gt;"C",D6550&gt;0,F6550&gt;0),1,0)</f>
        <v>0</v>
      </c>
      <c r="J6550" s="7" t="n">
        <f aca="false">IF(I6550=1,D6550*F6550,0)</f>
        <v>0</v>
      </c>
      <c r="K6550" s="7" t="n">
        <f aca="false">YEAR(E6550)*100+MONTH(E6550)</f>
        <v>201111</v>
      </c>
      <c r="L6550" s="7" t="n">
        <f aca="false">IF(AND(A6550&lt;&gt;A6549,LEFT(A6550,1)&lt;&gt;"C"),1,0)</f>
        <v>0</v>
      </c>
    </row>
    <row r="6551" customFormat="false" ht="15" hidden="false" customHeight="false" outlineLevel="0" collapsed="false">
      <c r="A6551" s="0" t="s">
        <v>3343</v>
      </c>
      <c r="B6551" s="0" t="s">
        <v>1555</v>
      </c>
      <c r="C6551" s="0" t="s">
        <v>1556</v>
      </c>
      <c r="D6551" s="0" t="n">
        <v>-72</v>
      </c>
      <c r="E6551" s="6" t="n">
        <v>40875.6548611111</v>
      </c>
      <c r="F6551" s="0" t="n">
        <v>0.42</v>
      </c>
      <c r="G6551" s="0" t="n">
        <v>12657</v>
      </c>
      <c r="H6551" s="0" t="s">
        <v>43</v>
      </c>
      <c r="I6551" s="7" t="n">
        <f aca="false">IF(AND(LEFT(A6551,1)&lt;&gt;"C",D6551&gt;0,F6551&gt;0),1,0)</f>
        <v>0</v>
      </c>
      <c r="J6551" s="7" t="n">
        <f aca="false">IF(I6551=1,D6551*F6551,0)</f>
        <v>0</v>
      </c>
      <c r="K6551" s="7" t="n">
        <f aca="false">YEAR(E6551)*100+MONTH(E6551)</f>
        <v>201111</v>
      </c>
      <c r="L6551" s="7" t="n">
        <f aca="false">IF(AND(A6551&lt;&gt;A6550,LEFT(A6551,1)&lt;&gt;"C"),1,0)</f>
        <v>0</v>
      </c>
    </row>
    <row r="6552" customFormat="false" ht="15" hidden="false" customHeight="false" outlineLevel="0" collapsed="false">
      <c r="A6552" s="0" t="s">
        <v>3343</v>
      </c>
      <c r="B6552" s="0" t="s">
        <v>1766</v>
      </c>
      <c r="C6552" s="0" t="s">
        <v>1767</v>
      </c>
      <c r="D6552" s="0" t="n">
        <v>-12</v>
      </c>
      <c r="E6552" s="6" t="n">
        <v>40875.6548611111</v>
      </c>
      <c r="F6552" s="0" t="n">
        <v>2.95</v>
      </c>
      <c r="G6552" s="0" t="n">
        <v>12657</v>
      </c>
      <c r="H6552" s="0" t="s">
        <v>43</v>
      </c>
      <c r="I6552" s="7" t="n">
        <f aca="false">IF(AND(LEFT(A6552,1)&lt;&gt;"C",D6552&gt;0,F6552&gt;0),1,0)</f>
        <v>0</v>
      </c>
      <c r="J6552" s="7" t="n">
        <f aca="false">IF(I6552=1,D6552*F6552,0)</f>
        <v>0</v>
      </c>
      <c r="K6552" s="7" t="n">
        <f aca="false">YEAR(E6552)*100+MONTH(E6552)</f>
        <v>201111</v>
      </c>
      <c r="L6552" s="7" t="n">
        <f aca="false">IF(AND(A6552&lt;&gt;A6551,LEFT(A6552,1)&lt;&gt;"C"),1,0)</f>
        <v>0</v>
      </c>
    </row>
    <row r="6553" customFormat="false" ht="15" hidden="false" customHeight="false" outlineLevel="0" collapsed="false">
      <c r="A6553" s="0" t="s">
        <v>3343</v>
      </c>
      <c r="B6553" s="0" t="s">
        <v>148</v>
      </c>
      <c r="C6553" s="0" t="s">
        <v>149</v>
      </c>
      <c r="D6553" s="0" t="n">
        <v>-10</v>
      </c>
      <c r="E6553" s="6" t="n">
        <v>40875.6548611111</v>
      </c>
      <c r="F6553" s="0" t="n">
        <v>12.75</v>
      </c>
      <c r="G6553" s="0" t="n">
        <v>12657</v>
      </c>
      <c r="H6553" s="0" t="s">
        <v>43</v>
      </c>
      <c r="I6553" s="7" t="n">
        <f aca="false">IF(AND(LEFT(A6553,1)&lt;&gt;"C",D6553&gt;0,F6553&gt;0),1,0)</f>
        <v>0</v>
      </c>
      <c r="J6553" s="7" t="n">
        <f aca="false">IF(I6553=1,D6553*F6553,0)</f>
        <v>0</v>
      </c>
      <c r="K6553" s="7" t="n">
        <f aca="false">YEAR(E6553)*100+MONTH(E6553)</f>
        <v>201111</v>
      </c>
      <c r="L6553" s="7" t="n">
        <f aca="false">IF(AND(A6553&lt;&gt;A6552,LEFT(A6553,1)&lt;&gt;"C"),1,0)</f>
        <v>0</v>
      </c>
    </row>
    <row r="6554" customFormat="false" ht="15" hidden="false" customHeight="false" outlineLevel="0" collapsed="false">
      <c r="A6554" s="0" t="s">
        <v>3343</v>
      </c>
      <c r="B6554" s="0" t="s">
        <v>2088</v>
      </c>
      <c r="C6554" s="0" t="s">
        <v>2089</v>
      </c>
      <c r="D6554" s="0" t="n">
        <v>-4</v>
      </c>
      <c r="E6554" s="6" t="n">
        <v>40875.6548611111</v>
      </c>
      <c r="F6554" s="0" t="n">
        <v>4.25</v>
      </c>
      <c r="G6554" s="0" t="n">
        <v>12657</v>
      </c>
      <c r="H6554" s="0" t="s">
        <v>43</v>
      </c>
      <c r="I6554" s="7" t="n">
        <f aca="false">IF(AND(LEFT(A6554,1)&lt;&gt;"C",D6554&gt;0,F6554&gt;0),1,0)</f>
        <v>0</v>
      </c>
      <c r="J6554" s="7" t="n">
        <f aca="false">IF(I6554=1,D6554*F6554,0)</f>
        <v>0</v>
      </c>
      <c r="K6554" s="7" t="n">
        <f aca="false">YEAR(E6554)*100+MONTH(E6554)</f>
        <v>201111</v>
      </c>
      <c r="L6554" s="7" t="n">
        <f aca="false">IF(AND(A6554&lt;&gt;A6553,LEFT(A6554,1)&lt;&gt;"C"),1,0)</f>
        <v>0</v>
      </c>
    </row>
    <row r="6555" customFormat="false" ht="15" hidden="false" customHeight="false" outlineLevel="0" collapsed="false">
      <c r="A6555" s="0" t="s">
        <v>3344</v>
      </c>
      <c r="B6555" s="0" t="s">
        <v>84</v>
      </c>
      <c r="C6555" s="0" t="s">
        <v>85</v>
      </c>
      <c r="D6555" s="0" t="n">
        <v>4</v>
      </c>
      <c r="E6555" s="6" t="n">
        <v>40875.6576388889</v>
      </c>
      <c r="F6555" s="0" t="n">
        <v>18</v>
      </c>
      <c r="G6555" s="0" t="n">
        <v>12657</v>
      </c>
      <c r="H6555" s="0" t="s">
        <v>43</v>
      </c>
      <c r="I6555" s="7" t="n">
        <f aca="false">IF(AND(LEFT(A6555,1)&lt;&gt;"C",D6555&gt;0,F6555&gt;0),1,0)</f>
        <v>1</v>
      </c>
      <c r="J6555" s="7" t="n">
        <f aca="false">IF(I6555=1,D6555*F6555,0)</f>
        <v>72</v>
      </c>
      <c r="K6555" s="7" t="n">
        <f aca="false">YEAR(E6555)*100+MONTH(E6555)</f>
        <v>201111</v>
      </c>
      <c r="L6555" s="7" t="n">
        <f aca="false">IF(AND(A6555&lt;&gt;A6554,LEFT(A6555,1)&lt;&gt;"C"),1,0)</f>
        <v>1</v>
      </c>
    </row>
    <row r="6556" customFormat="false" ht="15" hidden="false" customHeight="false" outlineLevel="0" collapsed="false">
      <c r="A6556" s="0" t="s">
        <v>3344</v>
      </c>
      <c r="B6556" s="0" t="s">
        <v>739</v>
      </c>
      <c r="C6556" s="0" t="s">
        <v>740</v>
      </c>
      <c r="D6556" s="0" t="n">
        <v>12</v>
      </c>
      <c r="E6556" s="6" t="n">
        <v>40875.6576388889</v>
      </c>
      <c r="F6556" s="0" t="n">
        <v>2.89</v>
      </c>
      <c r="G6556" s="0" t="n">
        <v>12657</v>
      </c>
      <c r="H6556" s="0" t="s">
        <v>43</v>
      </c>
      <c r="I6556" s="7" t="n">
        <f aca="false">IF(AND(LEFT(A6556,1)&lt;&gt;"C",D6556&gt;0,F6556&gt;0),1,0)</f>
        <v>1</v>
      </c>
      <c r="J6556" s="7" t="n">
        <f aca="false">IF(I6556=1,D6556*F6556,0)</f>
        <v>34.68</v>
      </c>
      <c r="K6556" s="7" t="n">
        <f aca="false">YEAR(E6556)*100+MONTH(E6556)</f>
        <v>201111</v>
      </c>
      <c r="L6556" s="7" t="n">
        <f aca="false">IF(AND(A6556&lt;&gt;A6555,LEFT(A6556,1)&lt;&gt;"C"),1,0)</f>
        <v>0</v>
      </c>
    </row>
    <row r="6557" customFormat="false" ht="15" hidden="false" customHeight="false" outlineLevel="0" collapsed="false">
      <c r="A6557" s="0" t="s">
        <v>3344</v>
      </c>
      <c r="B6557" s="0" t="s">
        <v>1794</v>
      </c>
      <c r="C6557" s="0" t="s">
        <v>1795</v>
      </c>
      <c r="D6557" s="0" t="n">
        <v>20</v>
      </c>
      <c r="E6557" s="6" t="n">
        <v>40875.6576388889</v>
      </c>
      <c r="F6557" s="0" t="n">
        <v>2.49</v>
      </c>
      <c r="G6557" s="0" t="n">
        <v>12657</v>
      </c>
      <c r="H6557" s="0" t="s">
        <v>43</v>
      </c>
      <c r="I6557" s="7" t="n">
        <f aca="false">IF(AND(LEFT(A6557,1)&lt;&gt;"C",D6557&gt;0,F6557&gt;0),1,0)</f>
        <v>1</v>
      </c>
      <c r="J6557" s="7" t="n">
        <f aca="false">IF(I6557=1,D6557*F6557,0)</f>
        <v>49.8</v>
      </c>
      <c r="K6557" s="7" t="n">
        <f aca="false">YEAR(E6557)*100+MONTH(E6557)</f>
        <v>201111</v>
      </c>
      <c r="L6557" s="7" t="n">
        <f aca="false">IF(AND(A6557&lt;&gt;A6556,LEFT(A6557,1)&lt;&gt;"C"),1,0)</f>
        <v>0</v>
      </c>
    </row>
    <row r="6558" customFormat="false" ht="15" hidden="false" customHeight="false" outlineLevel="0" collapsed="false">
      <c r="A6558" s="0" t="s">
        <v>3344</v>
      </c>
      <c r="B6558" s="0" t="s">
        <v>2138</v>
      </c>
      <c r="C6558" s="0" t="s">
        <v>2139</v>
      </c>
      <c r="D6558" s="0" t="n">
        <v>250</v>
      </c>
      <c r="E6558" s="6" t="n">
        <v>40875.6576388889</v>
      </c>
      <c r="F6558" s="0" t="n">
        <v>0.42</v>
      </c>
      <c r="G6558" s="0" t="n">
        <v>12657</v>
      </c>
      <c r="H6558" s="0" t="s">
        <v>43</v>
      </c>
      <c r="I6558" s="7" t="n">
        <f aca="false">IF(AND(LEFT(A6558,1)&lt;&gt;"C",D6558&gt;0,F6558&gt;0),1,0)</f>
        <v>1</v>
      </c>
      <c r="J6558" s="7" t="n">
        <f aca="false">IF(I6558=1,D6558*F6558,0)</f>
        <v>105</v>
      </c>
      <c r="K6558" s="7" t="n">
        <f aca="false">YEAR(E6558)*100+MONTH(E6558)</f>
        <v>201111</v>
      </c>
      <c r="L6558" s="7" t="n">
        <f aca="false">IF(AND(A6558&lt;&gt;A6557,LEFT(A6558,1)&lt;&gt;"C"),1,0)</f>
        <v>0</v>
      </c>
    </row>
    <row r="6559" customFormat="false" ht="15" hidden="false" customHeight="false" outlineLevel="0" collapsed="false">
      <c r="A6559" s="0" t="s">
        <v>3344</v>
      </c>
      <c r="B6559" s="0" t="s">
        <v>1290</v>
      </c>
      <c r="C6559" s="0" t="s">
        <v>1291</v>
      </c>
      <c r="D6559" s="0" t="n">
        <v>6</v>
      </c>
      <c r="E6559" s="6" t="n">
        <v>40875.6576388889</v>
      </c>
      <c r="F6559" s="0" t="n">
        <v>3.25</v>
      </c>
      <c r="G6559" s="0" t="n">
        <v>12657</v>
      </c>
      <c r="H6559" s="0" t="s">
        <v>43</v>
      </c>
      <c r="I6559" s="7" t="n">
        <f aca="false">IF(AND(LEFT(A6559,1)&lt;&gt;"C",D6559&gt;0,F6559&gt;0),1,0)</f>
        <v>1</v>
      </c>
      <c r="J6559" s="7" t="n">
        <f aca="false">IF(I6559=1,D6559*F6559,0)</f>
        <v>19.5</v>
      </c>
      <c r="K6559" s="7" t="n">
        <f aca="false">YEAR(E6559)*100+MONTH(E6559)</f>
        <v>201111</v>
      </c>
      <c r="L6559" s="7" t="n">
        <f aca="false">IF(AND(A6559&lt;&gt;A6558,LEFT(A6559,1)&lt;&gt;"C"),1,0)</f>
        <v>0</v>
      </c>
    </row>
    <row r="6560" customFormat="false" ht="15" hidden="false" customHeight="false" outlineLevel="0" collapsed="false">
      <c r="A6560" s="0" t="s">
        <v>3344</v>
      </c>
      <c r="B6560" s="0" t="s">
        <v>1555</v>
      </c>
      <c r="C6560" s="0" t="s">
        <v>1556</v>
      </c>
      <c r="D6560" s="0" t="n">
        <v>72</v>
      </c>
      <c r="E6560" s="6" t="n">
        <v>40875.6576388889</v>
      </c>
      <c r="F6560" s="0" t="n">
        <v>0.42</v>
      </c>
      <c r="G6560" s="0" t="n">
        <v>12657</v>
      </c>
      <c r="H6560" s="0" t="s">
        <v>43</v>
      </c>
      <c r="I6560" s="7" t="n">
        <f aca="false">IF(AND(LEFT(A6560,1)&lt;&gt;"C",D6560&gt;0,F6560&gt;0),1,0)</f>
        <v>1</v>
      </c>
      <c r="J6560" s="7" t="n">
        <f aca="false">IF(I6560=1,D6560*F6560,0)</f>
        <v>30.24</v>
      </c>
      <c r="K6560" s="7" t="n">
        <f aca="false">YEAR(E6560)*100+MONTH(E6560)</f>
        <v>201111</v>
      </c>
      <c r="L6560" s="7" t="n">
        <f aca="false">IF(AND(A6560&lt;&gt;A6559,LEFT(A6560,1)&lt;&gt;"C"),1,0)</f>
        <v>0</v>
      </c>
    </row>
    <row r="6561" customFormat="false" ht="15" hidden="false" customHeight="false" outlineLevel="0" collapsed="false">
      <c r="A6561" s="0" t="s">
        <v>3344</v>
      </c>
      <c r="B6561" s="0" t="s">
        <v>1766</v>
      </c>
      <c r="C6561" s="0" t="s">
        <v>1767</v>
      </c>
      <c r="D6561" s="0" t="n">
        <v>12</v>
      </c>
      <c r="E6561" s="6" t="n">
        <v>40875.6576388889</v>
      </c>
      <c r="F6561" s="0" t="n">
        <v>2.95</v>
      </c>
      <c r="G6561" s="0" t="n">
        <v>12657</v>
      </c>
      <c r="H6561" s="0" t="s">
        <v>43</v>
      </c>
      <c r="I6561" s="7" t="n">
        <f aca="false">IF(AND(LEFT(A6561,1)&lt;&gt;"C",D6561&gt;0,F6561&gt;0),1,0)</f>
        <v>1</v>
      </c>
      <c r="J6561" s="7" t="n">
        <f aca="false">IF(I6561=1,D6561*F6561,0)</f>
        <v>35.4</v>
      </c>
      <c r="K6561" s="7" t="n">
        <f aca="false">YEAR(E6561)*100+MONTH(E6561)</f>
        <v>201111</v>
      </c>
      <c r="L6561" s="7" t="n">
        <f aca="false">IF(AND(A6561&lt;&gt;A6560,LEFT(A6561,1)&lt;&gt;"C"),1,0)</f>
        <v>0</v>
      </c>
    </row>
    <row r="6562" customFormat="false" ht="15" hidden="false" customHeight="false" outlineLevel="0" collapsed="false">
      <c r="A6562" s="0" t="s">
        <v>3344</v>
      </c>
      <c r="B6562" s="0" t="s">
        <v>148</v>
      </c>
      <c r="C6562" s="0" t="s">
        <v>149</v>
      </c>
      <c r="D6562" s="0" t="n">
        <v>10</v>
      </c>
      <c r="E6562" s="6" t="n">
        <v>40875.6576388889</v>
      </c>
      <c r="F6562" s="0" t="n">
        <v>12.75</v>
      </c>
      <c r="G6562" s="0" t="n">
        <v>12657</v>
      </c>
      <c r="H6562" s="0" t="s">
        <v>43</v>
      </c>
      <c r="I6562" s="7" t="n">
        <f aca="false">IF(AND(LEFT(A6562,1)&lt;&gt;"C",D6562&gt;0,F6562&gt;0),1,0)</f>
        <v>1</v>
      </c>
      <c r="J6562" s="7" t="n">
        <f aca="false">IF(I6562=1,D6562*F6562,0)</f>
        <v>127.5</v>
      </c>
      <c r="K6562" s="7" t="n">
        <f aca="false">YEAR(E6562)*100+MONTH(E6562)</f>
        <v>201111</v>
      </c>
      <c r="L6562" s="7" t="n">
        <f aca="false">IF(AND(A6562&lt;&gt;A6561,LEFT(A6562,1)&lt;&gt;"C"),1,0)</f>
        <v>0</v>
      </c>
    </row>
    <row r="6563" customFormat="false" ht="15" hidden="false" customHeight="false" outlineLevel="0" collapsed="false">
      <c r="A6563" s="0" t="s">
        <v>3344</v>
      </c>
      <c r="B6563" s="0" t="s">
        <v>2088</v>
      </c>
      <c r="C6563" s="0" t="s">
        <v>2089</v>
      </c>
      <c r="D6563" s="0" t="n">
        <v>4</v>
      </c>
      <c r="E6563" s="6" t="n">
        <v>40875.6576388889</v>
      </c>
      <c r="F6563" s="0" t="n">
        <v>4.25</v>
      </c>
      <c r="G6563" s="0" t="n">
        <v>12657</v>
      </c>
      <c r="H6563" s="0" t="s">
        <v>43</v>
      </c>
      <c r="I6563" s="7" t="n">
        <f aca="false">IF(AND(LEFT(A6563,1)&lt;&gt;"C",D6563&gt;0,F6563&gt;0),1,0)</f>
        <v>1</v>
      </c>
      <c r="J6563" s="7" t="n">
        <f aca="false">IF(I6563=1,D6563*F6563,0)</f>
        <v>17</v>
      </c>
      <c r="K6563" s="7" t="n">
        <f aca="false">YEAR(E6563)*100+MONTH(E6563)</f>
        <v>201111</v>
      </c>
      <c r="L6563" s="7" t="n">
        <f aca="false">IF(AND(A6563&lt;&gt;A6562,LEFT(A6563,1)&lt;&gt;"C"),1,0)</f>
        <v>0</v>
      </c>
    </row>
    <row r="6564" customFormat="false" ht="15" hidden="false" customHeight="false" outlineLevel="0" collapsed="false">
      <c r="A6564" s="0" t="s">
        <v>3345</v>
      </c>
      <c r="B6564" s="0" t="s">
        <v>2273</v>
      </c>
      <c r="C6564" s="0" t="s">
        <v>2274</v>
      </c>
      <c r="D6564" s="0" t="n">
        <v>12</v>
      </c>
      <c r="E6564" s="6" t="n">
        <v>40876.4236111111</v>
      </c>
      <c r="F6564" s="0" t="n">
        <v>2.1</v>
      </c>
      <c r="G6564" s="0" t="n">
        <v>12654</v>
      </c>
      <c r="H6564" s="0" t="s">
        <v>33</v>
      </c>
      <c r="I6564" s="7" t="n">
        <f aca="false">IF(AND(LEFT(A6564,1)&lt;&gt;"C",D6564&gt;0,F6564&gt;0),1,0)</f>
        <v>1</v>
      </c>
      <c r="J6564" s="7" t="n">
        <f aca="false">IF(I6564=1,D6564*F6564,0)</f>
        <v>25.2</v>
      </c>
      <c r="K6564" s="7" t="n">
        <f aca="false">YEAR(E6564)*100+MONTH(E6564)</f>
        <v>201111</v>
      </c>
      <c r="L6564" s="7" t="n">
        <f aca="false">IF(AND(A6564&lt;&gt;A6563,LEFT(A6564,1)&lt;&gt;"C"),1,0)</f>
        <v>1</v>
      </c>
    </row>
    <row r="6565" customFormat="false" ht="15" hidden="false" customHeight="false" outlineLevel="0" collapsed="false">
      <c r="A6565" s="0" t="s">
        <v>3345</v>
      </c>
      <c r="B6565" s="0" t="s">
        <v>3346</v>
      </c>
      <c r="C6565" s="0" t="s">
        <v>3347</v>
      </c>
      <c r="D6565" s="0" t="n">
        <v>12</v>
      </c>
      <c r="E6565" s="6" t="n">
        <v>40876.4236111111</v>
      </c>
      <c r="F6565" s="0" t="n">
        <v>1.25</v>
      </c>
      <c r="G6565" s="0" t="n">
        <v>12654</v>
      </c>
      <c r="H6565" s="0" t="s">
        <v>33</v>
      </c>
      <c r="I6565" s="7" t="n">
        <f aca="false">IF(AND(LEFT(A6565,1)&lt;&gt;"C",D6565&gt;0,F6565&gt;0),1,0)</f>
        <v>1</v>
      </c>
      <c r="J6565" s="7" t="n">
        <f aca="false">IF(I6565=1,D6565*F6565,0)</f>
        <v>15</v>
      </c>
      <c r="K6565" s="7" t="n">
        <f aca="false">YEAR(E6565)*100+MONTH(E6565)</f>
        <v>201111</v>
      </c>
      <c r="L6565" s="7" t="n">
        <f aca="false">IF(AND(A6565&lt;&gt;A6564,LEFT(A6565,1)&lt;&gt;"C"),1,0)</f>
        <v>0</v>
      </c>
    </row>
    <row r="6566" customFormat="false" ht="15" hidden="false" customHeight="false" outlineLevel="0" collapsed="false">
      <c r="A6566" s="0" t="s">
        <v>3345</v>
      </c>
      <c r="B6566" s="0" t="s">
        <v>3348</v>
      </c>
      <c r="C6566" s="0" t="s">
        <v>3349</v>
      </c>
      <c r="D6566" s="0" t="n">
        <v>12</v>
      </c>
      <c r="E6566" s="6" t="n">
        <v>40876.4236111111</v>
      </c>
      <c r="F6566" s="0" t="n">
        <v>1.25</v>
      </c>
      <c r="G6566" s="0" t="n">
        <v>12654</v>
      </c>
      <c r="H6566" s="0" t="s">
        <v>33</v>
      </c>
      <c r="I6566" s="7" t="n">
        <f aca="false">IF(AND(LEFT(A6566,1)&lt;&gt;"C",D6566&gt;0,F6566&gt;0),1,0)</f>
        <v>1</v>
      </c>
      <c r="J6566" s="7" t="n">
        <f aca="false">IF(I6566=1,D6566*F6566,0)</f>
        <v>15</v>
      </c>
      <c r="K6566" s="7" t="n">
        <f aca="false">YEAR(E6566)*100+MONTH(E6566)</f>
        <v>201111</v>
      </c>
      <c r="L6566" s="7" t="n">
        <f aca="false">IF(AND(A6566&lt;&gt;A6565,LEFT(A6566,1)&lt;&gt;"C"),1,0)</f>
        <v>0</v>
      </c>
    </row>
    <row r="6567" customFormat="false" ht="15" hidden="false" customHeight="false" outlineLevel="0" collapsed="false">
      <c r="A6567" s="0" t="s">
        <v>3345</v>
      </c>
      <c r="B6567" s="0" t="s">
        <v>471</v>
      </c>
      <c r="C6567" s="0" t="s">
        <v>472</v>
      </c>
      <c r="D6567" s="0" t="n">
        <v>12</v>
      </c>
      <c r="E6567" s="6" t="n">
        <v>40876.4236111111</v>
      </c>
      <c r="F6567" s="0" t="n">
        <v>1.65</v>
      </c>
      <c r="G6567" s="0" t="n">
        <v>12654</v>
      </c>
      <c r="H6567" s="0" t="s">
        <v>33</v>
      </c>
      <c r="I6567" s="7" t="n">
        <f aca="false">IF(AND(LEFT(A6567,1)&lt;&gt;"C",D6567&gt;0,F6567&gt;0),1,0)</f>
        <v>1</v>
      </c>
      <c r="J6567" s="7" t="n">
        <f aca="false">IF(I6567=1,D6567*F6567,0)</f>
        <v>19.8</v>
      </c>
      <c r="K6567" s="7" t="n">
        <f aca="false">YEAR(E6567)*100+MONTH(E6567)</f>
        <v>201111</v>
      </c>
      <c r="L6567" s="7" t="n">
        <f aca="false">IF(AND(A6567&lt;&gt;A6566,LEFT(A6567,1)&lt;&gt;"C"),1,0)</f>
        <v>0</v>
      </c>
    </row>
    <row r="6568" customFormat="false" ht="15" hidden="false" customHeight="false" outlineLevel="0" collapsed="false">
      <c r="A6568" s="0" t="s">
        <v>3345</v>
      </c>
      <c r="B6568" s="0" t="s">
        <v>84</v>
      </c>
      <c r="C6568" s="0" t="s">
        <v>85</v>
      </c>
      <c r="D6568" s="0" t="n">
        <v>1</v>
      </c>
      <c r="E6568" s="6" t="n">
        <v>40876.4236111111</v>
      </c>
      <c r="F6568" s="0" t="n">
        <v>18</v>
      </c>
      <c r="G6568" s="0" t="n">
        <v>12654</v>
      </c>
      <c r="H6568" s="0" t="s">
        <v>33</v>
      </c>
      <c r="I6568" s="7" t="n">
        <f aca="false">IF(AND(LEFT(A6568,1)&lt;&gt;"C",D6568&gt;0,F6568&gt;0),1,0)</f>
        <v>1</v>
      </c>
      <c r="J6568" s="7" t="n">
        <f aca="false">IF(I6568=1,D6568*F6568,0)</f>
        <v>18</v>
      </c>
      <c r="K6568" s="7" t="n">
        <f aca="false">YEAR(E6568)*100+MONTH(E6568)</f>
        <v>201111</v>
      </c>
      <c r="L6568" s="7" t="n">
        <f aca="false">IF(AND(A6568&lt;&gt;A6567,LEFT(A6568,1)&lt;&gt;"C"),1,0)</f>
        <v>0</v>
      </c>
    </row>
    <row r="6569" customFormat="false" ht="15" hidden="false" customHeight="false" outlineLevel="0" collapsed="false">
      <c r="A6569" s="0" t="s">
        <v>3350</v>
      </c>
      <c r="B6569" s="0" t="s">
        <v>539</v>
      </c>
      <c r="C6569" s="0" t="s">
        <v>540</v>
      </c>
      <c r="D6569" s="0" t="n">
        <v>24</v>
      </c>
      <c r="E6569" s="6" t="n">
        <v>40876.4902777778</v>
      </c>
      <c r="F6569" s="0" t="n">
        <v>0.42</v>
      </c>
      <c r="G6569" s="0" t="n">
        <v>12727</v>
      </c>
      <c r="H6569" s="0" t="s">
        <v>43</v>
      </c>
      <c r="I6569" s="7" t="n">
        <f aca="false">IF(AND(LEFT(A6569,1)&lt;&gt;"C",D6569&gt;0,F6569&gt;0),1,0)</f>
        <v>1</v>
      </c>
      <c r="J6569" s="7" t="n">
        <f aca="false">IF(I6569=1,D6569*F6569,0)</f>
        <v>10.08</v>
      </c>
      <c r="K6569" s="7" t="n">
        <f aca="false">YEAR(E6569)*100+MONTH(E6569)</f>
        <v>201111</v>
      </c>
      <c r="L6569" s="7" t="n">
        <f aca="false">IF(AND(A6569&lt;&gt;A6568,LEFT(A6569,1)&lt;&gt;"C"),1,0)</f>
        <v>1</v>
      </c>
    </row>
    <row r="6570" customFormat="false" ht="15" hidden="false" customHeight="false" outlineLevel="0" collapsed="false">
      <c r="A6570" s="0" t="s">
        <v>3350</v>
      </c>
      <c r="B6570" s="0" t="s">
        <v>541</v>
      </c>
      <c r="C6570" s="0" t="s">
        <v>542</v>
      </c>
      <c r="D6570" s="0" t="n">
        <v>24</v>
      </c>
      <c r="E6570" s="6" t="n">
        <v>40876.4902777778</v>
      </c>
      <c r="F6570" s="0" t="n">
        <v>0.42</v>
      </c>
      <c r="G6570" s="0" t="n">
        <v>12727</v>
      </c>
      <c r="H6570" s="0" t="s">
        <v>43</v>
      </c>
      <c r="I6570" s="7" t="n">
        <f aca="false">IF(AND(LEFT(A6570,1)&lt;&gt;"C",D6570&gt;0,F6570&gt;0),1,0)</f>
        <v>1</v>
      </c>
      <c r="J6570" s="7" t="n">
        <f aca="false">IF(I6570=1,D6570*F6570,0)</f>
        <v>10.08</v>
      </c>
      <c r="K6570" s="7" t="n">
        <f aca="false">YEAR(E6570)*100+MONTH(E6570)</f>
        <v>201111</v>
      </c>
      <c r="L6570" s="7" t="n">
        <f aca="false">IF(AND(A6570&lt;&gt;A6569,LEFT(A6570,1)&lt;&gt;"C"),1,0)</f>
        <v>0</v>
      </c>
    </row>
    <row r="6571" customFormat="false" ht="15" hidden="false" customHeight="false" outlineLevel="0" collapsed="false">
      <c r="A6571" s="0" t="s">
        <v>3350</v>
      </c>
      <c r="B6571" s="0" t="s">
        <v>1436</v>
      </c>
      <c r="C6571" s="0" t="s">
        <v>1437</v>
      </c>
      <c r="D6571" s="0" t="n">
        <v>6</v>
      </c>
      <c r="E6571" s="6" t="n">
        <v>40876.4902777778</v>
      </c>
      <c r="F6571" s="0" t="n">
        <v>4.95</v>
      </c>
      <c r="G6571" s="0" t="n">
        <v>12727</v>
      </c>
      <c r="H6571" s="0" t="s">
        <v>43</v>
      </c>
      <c r="I6571" s="7" t="n">
        <f aca="false">IF(AND(LEFT(A6571,1)&lt;&gt;"C",D6571&gt;0,F6571&gt;0),1,0)</f>
        <v>1</v>
      </c>
      <c r="J6571" s="7" t="n">
        <f aca="false">IF(I6571=1,D6571*F6571,0)</f>
        <v>29.7</v>
      </c>
      <c r="K6571" s="7" t="n">
        <f aca="false">YEAR(E6571)*100+MONTH(E6571)</f>
        <v>201111</v>
      </c>
      <c r="L6571" s="7" t="n">
        <f aca="false">IF(AND(A6571&lt;&gt;A6570,LEFT(A6571,1)&lt;&gt;"C"),1,0)</f>
        <v>0</v>
      </c>
    </row>
    <row r="6572" customFormat="false" ht="15" hidden="false" customHeight="false" outlineLevel="0" collapsed="false">
      <c r="A6572" s="0" t="s">
        <v>3350</v>
      </c>
      <c r="B6572" s="0" t="s">
        <v>547</v>
      </c>
      <c r="C6572" s="0" t="s">
        <v>548</v>
      </c>
      <c r="D6572" s="0" t="n">
        <v>3</v>
      </c>
      <c r="E6572" s="6" t="n">
        <v>40876.4902777778</v>
      </c>
      <c r="F6572" s="0" t="n">
        <v>4.95</v>
      </c>
      <c r="G6572" s="0" t="n">
        <v>12727</v>
      </c>
      <c r="H6572" s="0" t="s">
        <v>43</v>
      </c>
      <c r="I6572" s="7" t="n">
        <f aca="false">IF(AND(LEFT(A6572,1)&lt;&gt;"C",D6572&gt;0,F6572&gt;0),1,0)</f>
        <v>1</v>
      </c>
      <c r="J6572" s="7" t="n">
        <f aca="false">IF(I6572=1,D6572*F6572,0)</f>
        <v>14.85</v>
      </c>
      <c r="K6572" s="7" t="n">
        <f aca="false">YEAR(E6572)*100+MONTH(E6572)</f>
        <v>201111</v>
      </c>
      <c r="L6572" s="7" t="n">
        <f aca="false">IF(AND(A6572&lt;&gt;A6571,LEFT(A6572,1)&lt;&gt;"C"),1,0)</f>
        <v>0</v>
      </c>
    </row>
    <row r="6573" customFormat="false" ht="15" hidden="false" customHeight="false" outlineLevel="0" collapsed="false">
      <c r="A6573" s="0" t="s">
        <v>3350</v>
      </c>
      <c r="B6573" s="0" t="s">
        <v>545</v>
      </c>
      <c r="C6573" s="0" t="s">
        <v>546</v>
      </c>
      <c r="D6573" s="0" t="n">
        <v>3</v>
      </c>
      <c r="E6573" s="6" t="n">
        <v>40876.4902777778</v>
      </c>
      <c r="F6573" s="0" t="n">
        <v>4.95</v>
      </c>
      <c r="G6573" s="0" t="n">
        <v>12727</v>
      </c>
      <c r="H6573" s="0" t="s">
        <v>43</v>
      </c>
      <c r="I6573" s="7" t="n">
        <f aca="false">IF(AND(LEFT(A6573,1)&lt;&gt;"C",D6573&gt;0,F6573&gt;0),1,0)</f>
        <v>1</v>
      </c>
      <c r="J6573" s="7" t="n">
        <f aca="false">IF(I6573=1,D6573*F6573,0)</f>
        <v>14.85</v>
      </c>
      <c r="K6573" s="7" t="n">
        <f aca="false">YEAR(E6573)*100+MONTH(E6573)</f>
        <v>201111</v>
      </c>
      <c r="L6573" s="7" t="n">
        <f aca="false">IF(AND(A6573&lt;&gt;A6572,LEFT(A6573,1)&lt;&gt;"C"),1,0)</f>
        <v>0</v>
      </c>
    </row>
    <row r="6574" customFormat="false" ht="15" hidden="false" customHeight="false" outlineLevel="0" collapsed="false">
      <c r="A6574" s="0" t="s">
        <v>3350</v>
      </c>
      <c r="B6574" s="0" t="s">
        <v>211</v>
      </c>
      <c r="C6574" s="0" t="s">
        <v>212</v>
      </c>
      <c r="D6574" s="0" t="n">
        <v>4</v>
      </c>
      <c r="E6574" s="6" t="n">
        <v>40876.4902777778</v>
      </c>
      <c r="F6574" s="0" t="n">
        <v>8.25</v>
      </c>
      <c r="G6574" s="0" t="n">
        <v>12727</v>
      </c>
      <c r="H6574" s="0" t="s">
        <v>43</v>
      </c>
      <c r="I6574" s="7" t="n">
        <f aca="false">IF(AND(LEFT(A6574,1)&lt;&gt;"C",D6574&gt;0,F6574&gt;0),1,0)</f>
        <v>1</v>
      </c>
      <c r="J6574" s="7" t="n">
        <f aca="false">IF(I6574=1,D6574*F6574,0)</f>
        <v>33</v>
      </c>
      <c r="K6574" s="7" t="n">
        <f aca="false">YEAR(E6574)*100+MONTH(E6574)</f>
        <v>201111</v>
      </c>
      <c r="L6574" s="7" t="n">
        <f aca="false">IF(AND(A6574&lt;&gt;A6573,LEFT(A6574,1)&lt;&gt;"C"),1,0)</f>
        <v>0</v>
      </c>
    </row>
    <row r="6575" customFormat="false" ht="15" hidden="false" customHeight="false" outlineLevel="0" collapsed="false">
      <c r="A6575" s="0" t="s">
        <v>3350</v>
      </c>
      <c r="B6575" s="0" t="s">
        <v>3351</v>
      </c>
      <c r="C6575" s="0" t="s">
        <v>3352</v>
      </c>
      <c r="D6575" s="0" t="n">
        <v>12</v>
      </c>
      <c r="E6575" s="6" t="n">
        <v>40876.4902777778</v>
      </c>
      <c r="F6575" s="0" t="n">
        <v>8.25</v>
      </c>
      <c r="G6575" s="0" t="n">
        <v>12727</v>
      </c>
      <c r="H6575" s="0" t="s">
        <v>43</v>
      </c>
      <c r="I6575" s="7" t="n">
        <f aca="false">IF(AND(LEFT(A6575,1)&lt;&gt;"C",D6575&gt;0,F6575&gt;0),1,0)</f>
        <v>1</v>
      </c>
      <c r="J6575" s="7" t="n">
        <f aca="false">IF(I6575=1,D6575*F6575,0)</f>
        <v>99</v>
      </c>
      <c r="K6575" s="7" t="n">
        <f aca="false">YEAR(E6575)*100+MONTH(E6575)</f>
        <v>201111</v>
      </c>
      <c r="L6575" s="7" t="n">
        <f aca="false">IF(AND(A6575&lt;&gt;A6574,LEFT(A6575,1)&lt;&gt;"C"),1,0)</f>
        <v>0</v>
      </c>
    </row>
    <row r="6576" customFormat="false" ht="15" hidden="false" customHeight="false" outlineLevel="0" collapsed="false">
      <c r="A6576" s="0" t="s">
        <v>3350</v>
      </c>
      <c r="B6576" s="0" t="s">
        <v>80</v>
      </c>
      <c r="C6576" s="0" t="s">
        <v>81</v>
      </c>
      <c r="D6576" s="0" t="n">
        <v>20</v>
      </c>
      <c r="E6576" s="6" t="n">
        <v>40876.4902777778</v>
      </c>
      <c r="F6576" s="0" t="n">
        <v>0.83</v>
      </c>
      <c r="G6576" s="0" t="n">
        <v>12727</v>
      </c>
      <c r="H6576" s="0" t="s">
        <v>43</v>
      </c>
      <c r="I6576" s="7" t="n">
        <f aca="false">IF(AND(LEFT(A6576,1)&lt;&gt;"C",D6576&gt;0,F6576&gt;0),1,0)</f>
        <v>1</v>
      </c>
      <c r="J6576" s="7" t="n">
        <f aca="false">IF(I6576=1,D6576*F6576,0)</f>
        <v>16.6</v>
      </c>
      <c r="K6576" s="7" t="n">
        <f aca="false">YEAR(E6576)*100+MONTH(E6576)</f>
        <v>201111</v>
      </c>
      <c r="L6576" s="7" t="n">
        <f aca="false">IF(AND(A6576&lt;&gt;A6575,LEFT(A6576,1)&lt;&gt;"C"),1,0)</f>
        <v>0</v>
      </c>
    </row>
    <row r="6577" customFormat="false" ht="15" hidden="false" customHeight="false" outlineLevel="0" collapsed="false">
      <c r="A6577" s="0" t="s">
        <v>3350</v>
      </c>
      <c r="B6577" s="0" t="s">
        <v>1065</v>
      </c>
      <c r="C6577" s="0" t="s">
        <v>1066</v>
      </c>
      <c r="D6577" s="0" t="n">
        <v>6</v>
      </c>
      <c r="E6577" s="6" t="n">
        <v>40876.4902777778</v>
      </c>
      <c r="F6577" s="0" t="n">
        <v>2.08</v>
      </c>
      <c r="G6577" s="0" t="n">
        <v>12727</v>
      </c>
      <c r="H6577" s="0" t="s">
        <v>43</v>
      </c>
      <c r="I6577" s="7" t="n">
        <f aca="false">IF(AND(LEFT(A6577,1)&lt;&gt;"C",D6577&gt;0,F6577&gt;0),1,0)</f>
        <v>1</v>
      </c>
      <c r="J6577" s="7" t="n">
        <f aca="false">IF(I6577=1,D6577*F6577,0)</f>
        <v>12.48</v>
      </c>
      <c r="K6577" s="7" t="n">
        <f aca="false">YEAR(E6577)*100+MONTH(E6577)</f>
        <v>201111</v>
      </c>
      <c r="L6577" s="7" t="n">
        <f aca="false">IF(AND(A6577&lt;&gt;A6576,LEFT(A6577,1)&lt;&gt;"C"),1,0)</f>
        <v>0</v>
      </c>
    </row>
    <row r="6578" customFormat="false" ht="15" hidden="false" customHeight="false" outlineLevel="0" collapsed="false">
      <c r="A6578" s="0" t="s">
        <v>3350</v>
      </c>
      <c r="B6578" s="0" t="s">
        <v>62</v>
      </c>
      <c r="C6578" s="0" t="s">
        <v>63</v>
      </c>
      <c r="D6578" s="0" t="n">
        <v>24</v>
      </c>
      <c r="E6578" s="6" t="n">
        <v>40876.4902777778</v>
      </c>
      <c r="F6578" s="0" t="n">
        <v>1.79</v>
      </c>
      <c r="G6578" s="0" t="n">
        <v>12727</v>
      </c>
      <c r="H6578" s="0" t="s">
        <v>43</v>
      </c>
      <c r="I6578" s="7" t="n">
        <f aca="false">IF(AND(LEFT(A6578,1)&lt;&gt;"C",D6578&gt;0,F6578&gt;0),1,0)</f>
        <v>1</v>
      </c>
      <c r="J6578" s="7" t="n">
        <f aca="false">IF(I6578=1,D6578*F6578,0)</f>
        <v>42.96</v>
      </c>
      <c r="K6578" s="7" t="n">
        <f aca="false">YEAR(E6578)*100+MONTH(E6578)</f>
        <v>201111</v>
      </c>
      <c r="L6578" s="7" t="n">
        <f aca="false">IF(AND(A6578&lt;&gt;A6577,LEFT(A6578,1)&lt;&gt;"C"),1,0)</f>
        <v>0</v>
      </c>
    </row>
    <row r="6579" customFormat="false" ht="15" hidden="false" customHeight="false" outlineLevel="0" collapsed="false">
      <c r="A6579" s="0" t="s">
        <v>3350</v>
      </c>
      <c r="B6579" s="0" t="s">
        <v>1094</v>
      </c>
      <c r="C6579" s="0" t="s">
        <v>1095</v>
      </c>
      <c r="D6579" s="0" t="n">
        <v>12</v>
      </c>
      <c r="E6579" s="6" t="n">
        <v>40876.4902777778</v>
      </c>
      <c r="F6579" s="0" t="n">
        <v>1.95</v>
      </c>
      <c r="G6579" s="0" t="n">
        <v>12727</v>
      </c>
      <c r="H6579" s="0" t="s">
        <v>43</v>
      </c>
      <c r="I6579" s="7" t="n">
        <f aca="false">IF(AND(LEFT(A6579,1)&lt;&gt;"C",D6579&gt;0,F6579&gt;0),1,0)</f>
        <v>1</v>
      </c>
      <c r="J6579" s="7" t="n">
        <f aca="false">IF(I6579=1,D6579*F6579,0)</f>
        <v>23.4</v>
      </c>
      <c r="K6579" s="7" t="n">
        <f aca="false">YEAR(E6579)*100+MONTH(E6579)</f>
        <v>201111</v>
      </c>
      <c r="L6579" s="7" t="n">
        <f aca="false">IF(AND(A6579&lt;&gt;A6578,LEFT(A6579,1)&lt;&gt;"C"),1,0)</f>
        <v>0</v>
      </c>
    </row>
    <row r="6580" customFormat="false" ht="15" hidden="false" customHeight="false" outlineLevel="0" collapsed="false">
      <c r="A6580" s="0" t="s">
        <v>3350</v>
      </c>
      <c r="B6580" s="0" t="s">
        <v>35</v>
      </c>
      <c r="C6580" s="0" t="s">
        <v>36</v>
      </c>
      <c r="D6580" s="0" t="n">
        <v>12</v>
      </c>
      <c r="E6580" s="6" t="n">
        <v>40876.4902777778</v>
      </c>
      <c r="F6580" s="0" t="n">
        <v>1.65</v>
      </c>
      <c r="G6580" s="0" t="n">
        <v>12727</v>
      </c>
      <c r="H6580" s="0" t="s">
        <v>43</v>
      </c>
      <c r="I6580" s="7" t="n">
        <f aca="false">IF(AND(LEFT(A6580,1)&lt;&gt;"C",D6580&gt;0,F6580&gt;0),1,0)</f>
        <v>1</v>
      </c>
      <c r="J6580" s="7" t="n">
        <f aca="false">IF(I6580=1,D6580*F6580,0)</f>
        <v>19.8</v>
      </c>
      <c r="K6580" s="7" t="n">
        <f aca="false">YEAR(E6580)*100+MONTH(E6580)</f>
        <v>201111</v>
      </c>
      <c r="L6580" s="7" t="n">
        <f aca="false">IF(AND(A6580&lt;&gt;A6579,LEFT(A6580,1)&lt;&gt;"C"),1,0)</f>
        <v>0</v>
      </c>
    </row>
    <row r="6581" customFormat="false" ht="15" hidden="false" customHeight="false" outlineLevel="0" collapsed="false">
      <c r="A6581" s="0" t="s">
        <v>3350</v>
      </c>
      <c r="B6581" s="0" t="s">
        <v>1933</v>
      </c>
      <c r="C6581" s="0" t="s">
        <v>1934</v>
      </c>
      <c r="D6581" s="0" t="n">
        <v>12</v>
      </c>
      <c r="E6581" s="6" t="n">
        <v>40876.4902777778</v>
      </c>
      <c r="F6581" s="0" t="n">
        <v>1.65</v>
      </c>
      <c r="G6581" s="0" t="n">
        <v>12727</v>
      </c>
      <c r="H6581" s="0" t="s">
        <v>43</v>
      </c>
      <c r="I6581" s="7" t="n">
        <f aca="false">IF(AND(LEFT(A6581,1)&lt;&gt;"C",D6581&gt;0,F6581&gt;0),1,0)</f>
        <v>1</v>
      </c>
      <c r="J6581" s="7" t="n">
        <f aca="false">IF(I6581=1,D6581*F6581,0)</f>
        <v>19.8</v>
      </c>
      <c r="K6581" s="7" t="n">
        <f aca="false">YEAR(E6581)*100+MONTH(E6581)</f>
        <v>201111</v>
      </c>
      <c r="L6581" s="7" t="n">
        <f aca="false">IF(AND(A6581&lt;&gt;A6580,LEFT(A6581,1)&lt;&gt;"C"),1,0)</f>
        <v>0</v>
      </c>
    </row>
    <row r="6582" customFormat="false" ht="15" hidden="false" customHeight="false" outlineLevel="0" collapsed="false">
      <c r="A6582" s="0" t="s">
        <v>3350</v>
      </c>
      <c r="B6582" s="0" t="s">
        <v>416</v>
      </c>
      <c r="C6582" s="0" t="s">
        <v>417</v>
      </c>
      <c r="D6582" s="0" t="n">
        <v>36</v>
      </c>
      <c r="E6582" s="6" t="n">
        <v>40876.4902777778</v>
      </c>
      <c r="F6582" s="0" t="n">
        <v>0.65</v>
      </c>
      <c r="G6582" s="0" t="n">
        <v>12727</v>
      </c>
      <c r="H6582" s="0" t="s">
        <v>43</v>
      </c>
      <c r="I6582" s="7" t="n">
        <f aca="false">IF(AND(LEFT(A6582,1)&lt;&gt;"C",D6582&gt;0,F6582&gt;0),1,0)</f>
        <v>1</v>
      </c>
      <c r="J6582" s="7" t="n">
        <f aca="false">IF(I6582=1,D6582*F6582,0)</f>
        <v>23.4</v>
      </c>
      <c r="K6582" s="7" t="n">
        <f aca="false">YEAR(E6582)*100+MONTH(E6582)</f>
        <v>201111</v>
      </c>
      <c r="L6582" s="7" t="n">
        <f aca="false">IF(AND(A6582&lt;&gt;A6581,LEFT(A6582,1)&lt;&gt;"C"),1,0)</f>
        <v>0</v>
      </c>
    </row>
    <row r="6583" customFormat="false" ht="15" hidden="false" customHeight="false" outlineLevel="0" collapsed="false">
      <c r="A6583" s="0" t="s">
        <v>3350</v>
      </c>
      <c r="B6583" s="0" t="s">
        <v>60</v>
      </c>
      <c r="C6583" s="0" t="s">
        <v>61</v>
      </c>
      <c r="D6583" s="0" t="n">
        <v>6</v>
      </c>
      <c r="E6583" s="6" t="n">
        <v>40876.4902777778</v>
      </c>
      <c r="F6583" s="0" t="n">
        <v>2.55</v>
      </c>
      <c r="G6583" s="0" t="n">
        <v>12727</v>
      </c>
      <c r="H6583" s="0" t="s">
        <v>43</v>
      </c>
      <c r="I6583" s="7" t="n">
        <f aca="false">IF(AND(LEFT(A6583,1)&lt;&gt;"C",D6583&gt;0,F6583&gt;0),1,0)</f>
        <v>1</v>
      </c>
      <c r="J6583" s="7" t="n">
        <f aca="false">IF(I6583=1,D6583*F6583,0)</f>
        <v>15.3</v>
      </c>
      <c r="K6583" s="7" t="n">
        <f aca="false">YEAR(E6583)*100+MONTH(E6583)</f>
        <v>201111</v>
      </c>
      <c r="L6583" s="7" t="n">
        <f aca="false">IF(AND(A6583&lt;&gt;A6582,LEFT(A6583,1)&lt;&gt;"C"),1,0)</f>
        <v>0</v>
      </c>
    </row>
    <row r="6584" customFormat="false" ht="15" hidden="false" customHeight="false" outlineLevel="0" collapsed="false">
      <c r="A6584" s="0" t="s">
        <v>3350</v>
      </c>
      <c r="B6584" s="0" t="s">
        <v>72</v>
      </c>
      <c r="C6584" s="0" t="s">
        <v>73</v>
      </c>
      <c r="D6584" s="0" t="n">
        <v>12</v>
      </c>
      <c r="E6584" s="6" t="n">
        <v>40876.4902777778</v>
      </c>
      <c r="F6584" s="0" t="n">
        <v>1.95</v>
      </c>
      <c r="G6584" s="0" t="n">
        <v>12727</v>
      </c>
      <c r="H6584" s="0" t="s">
        <v>43</v>
      </c>
      <c r="I6584" s="7" t="n">
        <f aca="false">IF(AND(LEFT(A6584,1)&lt;&gt;"C",D6584&gt;0,F6584&gt;0),1,0)</f>
        <v>1</v>
      </c>
      <c r="J6584" s="7" t="n">
        <f aca="false">IF(I6584=1,D6584*F6584,0)</f>
        <v>23.4</v>
      </c>
      <c r="K6584" s="7" t="n">
        <f aca="false">YEAR(E6584)*100+MONTH(E6584)</f>
        <v>201111</v>
      </c>
      <c r="L6584" s="7" t="n">
        <f aca="false">IF(AND(A6584&lt;&gt;A6583,LEFT(A6584,1)&lt;&gt;"C"),1,0)</f>
        <v>0</v>
      </c>
    </row>
    <row r="6585" customFormat="false" ht="15" hidden="false" customHeight="false" outlineLevel="0" collapsed="false">
      <c r="A6585" s="0" t="s">
        <v>3350</v>
      </c>
      <c r="B6585" s="0" t="s">
        <v>84</v>
      </c>
      <c r="C6585" s="0" t="s">
        <v>85</v>
      </c>
      <c r="D6585" s="0" t="n">
        <v>4</v>
      </c>
      <c r="E6585" s="6" t="n">
        <v>40876.4902777778</v>
      </c>
      <c r="F6585" s="0" t="n">
        <v>18</v>
      </c>
      <c r="G6585" s="0" t="n">
        <v>12727</v>
      </c>
      <c r="H6585" s="0" t="s">
        <v>43</v>
      </c>
      <c r="I6585" s="7" t="n">
        <f aca="false">IF(AND(LEFT(A6585,1)&lt;&gt;"C",D6585&gt;0,F6585&gt;0),1,0)</f>
        <v>1</v>
      </c>
      <c r="J6585" s="7" t="n">
        <f aca="false">IF(I6585=1,D6585*F6585,0)</f>
        <v>72</v>
      </c>
      <c r="K6585" s="7" t="n">
        <f aca="false">YEAR(E6585)*100+MONTH(E6585)</f>
        <v>201111</v>
      </c>
      <c r="L6585" s="7" t="n">
        <f aca="false">IF(AND(A6585&lt;&gt;A6584,LEFT(A6585,1)&lt;&gt;"C"),1,0)</f>
        <v>0</v>
      </c>
    </row>
    <row r="6586" customFormat="false" ht="15" hidden="false" customHeight="false" outlineLevel="0" collapsed="false">
      <c r="A6586" s="0" t="s">
        <v>3350</v>
      </c>
      <c r="B6586" s="0" t="s">
        <v>465</v>
      </c>
      <c r="C6586" s="0" t="s">
        <v>466</v>
      </c>
      <c r="D6586" s="0" t="n">
        <v>6</v>
      </c>
      <c r="E6586" s="6" t="n">
        <v>40876.4902777778</v>
      </c>
      <c r="F6586" s="0" t="n">
        <v>7.95</v>
      </c>
      <c r="G6586" s="0" t="n">
        <v>12727</v>
      </c>
      <c r="H6586" s="0" t="s">
        <v>43</v>
      </c>
      <c r="I6586" s="7" t="n">
        <f aca="false">IF(AND(LEFT(A6586,1)&lt;&gt;"C",D6586&gt;0,F6586&gt;0),1,0)</f>
        <v>1</v>
      </c>
      <c r="J6586" s="7" t="n">
        <f aca="false">IF(I6586=1,D6586*F6586,0)</f>
        <v>47.7</v>
      </c>
      <c r="K6586" s="7" t="n">
        <f aca="false">YEAR(E6586)*100+MONTH(E6586)</f>
        <v>201111</v>
      </c>
      <c r="L6586" s="7" t="n">
        <f aca="false">IF(AND(A6586&lt;&gt;A6585,LEFT(A6586,1)&lt;&gt;"C"),1,0)</f>
        <v>0</v>
      </c>
    </row>
    <row r="6587" customFormat="false" ht="15" hidden="false" customHeight="false" outlineLevel="0" collapsed="false">
      <c r="A6587" s="0" t="s">
        <v>3350</v>
      </c>
      <c r="B6587" s="0" t="s">
        <v>3353</v>
      </c>
      <c r="C6587" s="0" t="s">
        <v>3354</v>
      </c>
      <c r="D6587" s="0" t="n">
        <v>80</v>
      </c>
      <c r="E6587" s="6" t="n">
        <v>40876.4902777778</v>
      </c>
      <c r="F6587" s="0" t="n">
        <v>0.06</v>
      </c>
      <c r="G6587" s="0" t="n">
        <v>12727</v>
      </c>
      <c r="H6587" s="0" t="s">
        <v>43</v>
      </c>
      <c r="I6587" s="7" t="n">
        <f aca="false">IF(AND(LEFT(A6587,1)&lt;&gt;"C",D6587&gt;0,F6587&gt;0),1,0)</f>
        <v>1</v>
      </c>
      <c r="J6587" s="7" t="n">
        <f aca="false">IF(I6587=1,D6587*F6587,0)</f>
        <v>4.8</v>
      </c>
      <c r="K6587" s="7" t="n">
        <f aca="false">YEAR(E6587)*100+MONTH(E6587)</f>
        <v>201111</v>
      </c>
      <c r="L6587" s="7" t="n">
        <f aca="false">IF(AND(A6587&lt;&gt;A6586,LEFT(A6587,1)&lt;&gt;"C"),1,0)</f>
        <v>0</v>
      </c>
    </row>
    <row r="6588" customFormat="false" ht="15" hidden="false" customHeight="false" outlineLevel="0" collapsed="false">
      <c r="A6588" s="0" t="s">
        <v>3350</v>
      </c>
      <c r="B6588" s="0" t="s">
        <v>322</v>
      </c>
      <c r="C6588" s="0" t="s">
        <v>323</v>
      </c>
      <c r="D6588" s="0" t="n">
        <v>8</v>
      </c>
      <c r="E6588" s="6" t="n">
        <v>40876.4902777778</v>
      </c>
      <c r="F6588" s="0" t="n">
        <v>3.75</v>
      </c>
      <c r="G6588" s="0" t="n">
        <v>12727</v>
      </c>
      <c r="H6588" s="0" t="s">
        <v>43</v>
      </c>
      <c r="I6588" s="7" t="n">
        <f aca="false">IF(AND(LEFT(A6588,1)&lt;&gt;"C",D6588&gt;0,F6588&gt;0),1,0)</f>
        <v>1</v>
      </c>
      <c r="J6588" s="7" t="n">
        <f aca="false">IF(I6588=1,D6588*F6588,0)</f>
        <v>30</v>
      </c>
      <c r="K6588" s="7" t="n">
        <f aca="false">YEAR(E6588)*100+MONTH(E6588)</f>
        <v>201111</v>
      </c>
      <c r="L6588" s="7" t="n">
        <f aca="false">IF(AND(A6588&lt;&gt;A6587,LEFT(A6588,1)&lt;&gt;"C"),1,0)</f>
        <v>0</v>
      </c>
    </row>
    <row r="6589" customFormat="false" ht="15" hidden="false" customHeight="false" outlineLevel="0" collapsed="false">
      <c r="A6589" s="0" t="s">
        <v>3350</v>
      </c>
      <c r="B6589" s="0" t="s">
        <v>320</v>
      </c>
      <c r="C6589" s="0" t="s">
        <v>321</v>
      </c>
      <c r="D6589" s="0" t="n">
        <v>8</v>
      </c>
      <c r="E6589" s="6" t="n">
        <v>40876.4902777778</v>
      </c>
      <c r="F6589" s="0" t="n">
        <v>3.75</v>
      </c>
      <c r="G6589" s="0" t="n">
        <v>12727</v>
      </c>
      <c r="H6589" s="0" t="s">
        <v>43</v>
      </c>
      <c r="I6589" s="7" t="n">
        <f aca="false">IF(AND(LEFT(A6589,1)&lt;&gt;"C",D6589&gt;0,F6589&gt;0),1,0)</f>
        <v>1</v>
      </c>
      <c r="J6589" s="7" t="n">
        <f aca="false">IF(I6589=1,D6589*F6589,0)</f>
        <v>30</v>
      </c>
      <c r="K6589" s="7" t="n">
        <f aca="false">YEAR(E6589)*100+MONTH(E6589)</f>
        <v>201111</v>
      </c>
      <c r="L6589" s="7" t="n">
        <f aca="false">IF(AND(A6589&lt;&gt;A6588,LEFT(A6589,1)&lt;&gt;"C"),1,0)</f>
        <v>0</v>
      </c>
    </row>
    <row r="6590" customFormat="false" ht="15" hidden="false" customHeight="false" outlineLevel="0" collapsed="false">
      <c r="A6590" s="0" t="s">
        <v>3350</v>
      </c>
      <c r="B6590" s="0" t="s">
        <v>297</v>
      </c>
      <c r="C6590" s="0" t="s">
        <v>298</v>
      </c>
      <c r="D6590" s="0" t="n">
        <v>8</v>
      </c>
      <c r="E6590" s="6" t="n">
        <v>40876.4902777778</v>
      </c>
      <c r="F6590" s="0" t="n">
        <v>3.75</v>
      </c>
      <c r="G6590" s="0" t="n">
        <v>12727</v>
      </c>
      <c r="H6590" s="0" t="s">
        <v>43</v>
      </c>
      <c r="I6590" s="7" t="n">
        <f aca="false">IF(AND(LEFT(A6590,1)&lt;&gt;"C",D6590&gt;0,F6590&gt;0),1,0)</f>
        <v>1</v>
      </c>
      <c r="J6590" s="7" t="n">
        <f aca="false">IF(I6590=1,D6590*F6590,0)</f>
        <v>30</v>
      </c>
      <c r="K6590" s="7" t="n">
        <f aca="false">YEAR(E6590)*100+MONTH(E6590)</f>
        <v>201111</v>
      </c>
      <c r="L6590" s="7" t="n">
        <f aca="false">IF(AND(A6590&lt;&gt;A6589,LEFT(A6590,1)&lt;&gt;"C"),1,0)</f>
        <v>0</v>
      </c>
    </row>
    <row r="6591" customFormat="false" ht="15" hidden="false" customHeight="false" outlineLevel="0" collapsed="false">
      <c r="A6591" s="0" t="s">
        <v>3350</v>
      </c>
      <c r="B6591" s="0" t="s">
        <v>471</v>
      </c>
      <c r="C6591" s="0" t="s">
        <v>472</v>
      </c>
      <c r="D6591" s="0" t="n">
        <v>12</v>
      </c>
      <c r="E6591" s="6" t="n">
        <v>40876.4902777778</v>
      </c>
      <c r="F6591" s="0" t="n">
        <v>1.65</v>
      </c>
      <c r="G6591" s="0" t="n">
        <v>12727</v>
      </c>
      <c r="H6591" s="0" t="s">
        <v>43</v>
      </c>
      <c r="I6591" s="7" t="n">
        <f aca="false">IF(AND(LEFT(A6591,1)&lt;&gt;"C",D6591&gt;0,F6591&gt;0),1,0)</f>
        <v>1</v>
      </c>
      <c r="J6591" s="7" t="n">
        <f aca="false">IF(I6591=1,D6591*F6591,0)</f>
        <v>19.8</v>
      </c>
      <c r="K6591" s="7" t="n">
        <f aca="false">YEAR(E6591)*100+MONTH(E6591)</f>
        <v>201111</v>
      </c>
      <c r="L6591" s="7" t="n">
        <f aca="false">IF(AND(A6591&lt;&gt;A6590,LEFT(A6591,1)&lt;&gt;"C"),1,0)</f>
        <v>0</v>
      </c>
    </row>
    <row r="6592" customFormat="false" ht="15" hidden="false" customHeight="false" outlineLevel="0" collapsed="false">
      <c r="A6592" s="0" t="s">
        <v>3355</v>
      </c>
      <c r="B6592" s="0" t="s">
        <v>2705</v>
      </c>
      <c r="C6592" s="0" t="s">
        <v>2706</v>
      </c>
      <c r="D6592" s="0" t="n">
        <v>24</v>
      </c>
      <c r="E6592" s="6" t="n">
        <v>40876.5048611111</v>
      </c>
      <c r="F6592" s="0" t="n">
        <v>0.83</v>
      </c>
      <c r="G6592" s="0" t="n">
        <v>12627</v>
      </c>
      <c r="H6592" s="0" t="s">
        <v>33</v>
      </c>
      <c r="I6592" s="7" t="n">
        <f aca="false">IF(AND(LEFT(A6592,1)&lt;&gt;"C",D6592&gt;0,F6592&gt;0),1,0)</f>
        <v>1</v>
      </c>
      <c r="J6592" s="7" t="n">
        <f aca="false">IF(I6592=1,D6592*F6592,0)</f>
        <v>19.92</v>
      </c>
      <c r="K6592" s="7" t="n">
        <f aca="false">YEAR(E6592)*100+MONTH(E6592)</f>
        <v>201111</v>
      </c>
      <c r="L6592" s="7" t="n">
        <f aca="false">IF(AND(A6592&lt;&gt;A6591,LEFT(A6592,1)&lt;&gt;"C"),1,0)</f>
        <v>1</v>
      </c>
    </row>
    <row r="6593" customFormat="false" ht="15" hidden="false" customHeight="false" outlineLevel="0" collapsed="false">
      <c r="A6593" s="0" t="s">
        <v>3355</v>
      </c>
      <c r="B6593" s="0" t="s">
        <v>2591</v>
      </c>
      <c r="C6593" s="0" t="s">
        <v>2592</v>
      </c>
      <c r="D6593" s="0" t="n">
        <v>24</v>
      </c>
      <c r="E6593" s="6" t="n">
        <v>40876.5048611111</v>
      </c>
      <c r="F6593" s="0" t="n">
        <v>0.83</v>
      </c>
      <c r="G6593" s="0" t="n">
        <v>12627</v>
      </c>
      <c r="H6593" s="0" t="s">
        <v>33</v>
      </c>
      <c r="I6593" s="7" t="n">
        <f aca="false">IF(AND(LEFT(A6593,1)&lt;&gt;"C",D6593&gt;0,F6593&gt;0),1,0)</f>
        <v>1</v>
      </c>
      <c r="J6593" s="7" t="n">
        <f aca="false">IF(I6593=1,D6593*F6593,0)</f>
        <v>19.92</v>
      </c>
      <c r="K6593" s="7" t="n">
        <f aca="false">YEAR(E6593)*100+MONTH(E6593)</f>
        <v>201111</v>
      </c>
      <c r="L6593" s="7" t="n">
        <f aca="false">IF(AND(A6593&lt;&gt;A6592,LEFT(A6593,1)&lt;&gt;"C"),1,0)</f>
        <v>0</v>
      </c>
    </row>
    <row r="6594" customFormat="false" ht="15" hidden="false" customHeight="false" outlineLevel="0" collapsed="false">
      <c r="A6594" s="0" t="s">
        <v>3355</v>
      </c>
      <c r="B6594" s="0" t="s">
        <v>2650</v>
      </c>
      <c r="C6594" s="0" t="s">
        <v>2651</v>
      </c>
      <c r="D6594" s="0" t="n">
        <v>12</v>
      </c>
      <c r="E6594" s="6" t="n">
        <v>40876.5048611111</v>
      </c>
      <c r="F6594" s="0" t="n">
        <v>0.83</v>
      </c>
      <c r="G6594" s="0" t="n">
        <v>12627</v>
      </c>
      <c r="H6594" s="0" t="s">
        <v>33</v>
      </c>
      <c r="I6594" s="7" t="n">
        <f aca="false">IF(AND(LEFT(A6594,1)&lt;&gt;"C",D6594&gt;0,F6594&gt;0),1,0)</f>
        <v>1</v>
      </c>
      <c r="J6594" s="7" t="n">
        <f aca="false">IF(I6594=1,D6594*F6594,0)</f>
        <v>9.96</v>
      </c>
      <c r="K6594" s="7" t="n">
        <f aca="false">YEAR(E6594)*100+MONTH(E6594)</f>
        <v>201111</v>
      </c>
      <c r="L6594" s="7" t="n">
        <f aca="false">IF(AND(A6594&lt;&gt;A6593,LEFT(A6594,1)&lt;&gt;"C"),1,0)</f>
        <v>0</v>
      </c>
    </row>
    <row r="6595" customFormat="false" ht="15" hidden="false" customHeight="false" outlineLevel="0" collapsed="false">
      <c r="A6595" s="0" t="s">
        <v>3355</v>
      </c>
      <c r="B6595" s="0" t="s">
        <v>2573</v>
      </c>
      <c r="C6595" s="0" t="s">
        <v>2574</v>
      </c>
      <c r="D6595" s="0" t="n">
        <v>8</v>
      </c>
      <c r="E6595" s="6" t="n">
        <v>40876.5048611111</v>
      </c>
      <c r="F6595" s="0" t="n">
        <v>3.75</v>
      </c>
      <c r="G6595" s="0" t="n">
        <v>12627</v>
      </c>
      <c r="H6595" s="0" t="s">
        <v>33</v>
      </c>
      <c r="I6595" s="7" t="n">
        <f aca="false">IF(AND(LEFT(A6595,1)&lt;&gt;"C",D6595&gt;0,F6595&gt;0),1,0)</f>
        <v>1</v>
      </c>
      <c r="J6595" s="7" t="n">
        <f aca="false">IF(I6595=1,D6595*F6595,0)</f>
        <v>30</v>
      </c>
      <c r="K6595" s="7" t="n">
        <f aca="false">YEAR(E6595)*100+MONTH(E6595)</f>
        <v>201111</v>
      </c>
      <c r="L6595" s="7" t="n">
        <f aca="false">IF(AND(A6595&lt;&gt;A6594,LEFT(A6595,1)&lt;&gt;"C"),1,0)</f>
        <v>0</v>
      </c>
    </row>
    <row r="6596" customFormat="false" ht="15" hidden="false" customHeight="false" outlineLevel="0" collapsed="false">
      <c r="A6596" s="0" t="s">
        <v>3355</v>
      </c>
      <c r="B6596" s="0" t="s">
        <v>2603</v>
      </c>
      <c r="C6596" s="0" t="s">
        <v>2604</v>
      </c>
      <c r="D6596" s="0" t="n">
        <v>12</v>
      </c>
      <c r="E6596" s="6" t="n">
        <v>40876.5048611111</v>
      </c>
      <c r="F6596" s="0" t="n">
        <v>1.45</v>
      </c>
      <c r="G6596" s="0" t="n">
        <v>12627</v>
      </c>
      <c r="H6596" s="0" t="s">
        <v>33</v>
      </c>
      <c r="I6596" s="7" t="n">
        <f aca="false">IF(AND(LEFT(A6596,1)&lt;&gt;"C",D6596&gt;0,F6596&gt;0),1,0)</f>
        <v>1</v>
      </c>
      <c r="J6596" s="7" t="n">
        <f aca="false">IF(I6596=1,D6596*F6596,0)</f>
        <v>17.4</v>
      </c>
      <c r="K6596" s="7" t="n">
        <f aca="false">YEAR(E6596)*100+MONTH(E6596)</f>
        <v>201111</v>
      </c>
      <c r="L6596" s="7" t="n">
        <f aca="false">IF(AND(A6596&lt;&gt;A6595,LEFT(A6596,1)&lt;&gt;"C"),1,0)</f>
        <v>0</v>
      </c>
    </row>
    <row r="6597" customFormat="false" ht="15" hidden="false" customHeight="false" outlineLevel="0" collapsed="false">
      <c r="A6597" s="0" t="s">
        <v>3355</v>
      </c>
      <c r="B6597" s="0" t="s">
        <v>3356</v>
      </c>
      <c r="C6597" s="0" t="s">
        <v>3357</v>
      </c>
      <c r="D6597" s="0" t="n">
        <v>12</v>
      </c>
      <c r="E6597" s="6" t="n">
        <v>40876.5048611111</v>
      </c>
      <c r="F6597" s="0" t="n">
        <v>1.45</v>
      </c>
      <c r="G6597" s="0" t="n">
        <v>12627</v>
      </c>
      <c r="H6597" s="0" t="s">
        <v>33</v>
      </c>
      <c r="I6597" s="7" t="n">
        <f aca="false">IF(AND(LEFT(A6597,1)&lt;&gt;"C",D6597&gt;0,F6597&gt;0),1,0)</f>
        <v>1</v>
      </c>
      <c r="J6597" s="7" t="n">
        <f aca="false">IF(I6597=1,D6597*F6597,0)</f>
        <v>17.4</v>
      </c>
      <c r="K6597" s="7" t="n">
        <f aca="false">YEAR(E6597)*100+MONTH(E6597)</f>
        <v>201111</v>
      </c>
      <c r="L6597" s="7" t="n">
        <f aca="false">IF(AND(A6597&lt;&gt;A6596,LEFT(A6597,1)&lt;&gt;"C"),1,0)</f>
        <v>0</v>
      </c>
    </row>
    <row r="6598" customFormat="false" ht="15" hidden="false" customHeight="false" outlineLevel="0" collapsed="false">
      <c r="A6598" s="0" t="s">
        <v>3355</v>
      </c>
      <c r="B6598" s="0" t="s">
        <v>3358</v>
      </c>
      <c r="C6598" s="0" t="s">
        <v>3359</v>
      </c>
      <c r="D6598" s="0" t="n">
        <v>6</v>
      </c>
      <c r="E6598" s="6" t="n">
        <v>40876.5048611111</v>
      </c>
      <c r="F6598" s="0" t="n">
        <v>2.08</v>
      </c>
      <c r="G6598" s="0" t="n">
        <v>12627</v>
      </c>
      <c r="H6598" s="0" t="s">
        <v>33</v>
      </c>
      <c r="I6598" s="7" t="n">
        <f aca="false">IF(AND(LEFT(A6598,1)&lt;&gt;"C",D6598&gt;0,F6598&gt;0),1,0)</f>
        <v>1</v>
      </c>
      <c r="J6598" s="7" t="n">
        <f aca="false">IF(I6598=1,D6598*F6598,0)</f>
        <v>12.48</v>
      </c>
      <c r="K6598" s="7" t="n">
        <f aca="false">YEAR(E6598)*100+MONTH(E6598)</f>
        <v>201111</v>
      </c>
      <c r="L6598" s="7" t="n">
        <f aca="false">IF(AND(A6598&lt;&gt;A6597,LEFT(A6598,1)&lt;&gt;"C"),1,0)</f>
        <v>0</v>
      </c>
    </row>
    <row r="6599" customFormat="false" ht="15" hidden="false" customHeight="false" outlineLevel="0" collapsed="false">
      <c r="A6599" s="0" t="s">
        <v>3355</v>
      </c>
      <c r="B6599" s="0" t="s">
        <v>2780</v>
      </c>
      <c r="C6599" s="0" t="s">
        <v>2781</v>
      </c>
      <c r="D6599" s="0" t="n">
        <v>10</v>
      </c>
      <c r="E6599" s="6" t="n">
        <v>40876.5048611111</v>
      </c>
      <c r="F6599" s="0" t="n">
        <v>1.65</v>
      </c>
      <c r="G6599" s="0" t="n">
        <v>12627</v>
      </c>
      <c r="H6599" s="0" t="s">
        <v>33</v>
      </c>
      <c r="I6599" s="7" t="n">
        <f aca="false">IF(AND(LEFT(A6599,1)&lt;&gt;"C",D6599&gt;0,F6599&gt;0),1,0)</f>
        <v>1</v>
      </c>
      <c r="J6599" s="7" t="n">
        <f aca="false">IF(I6599=1,D6599*F6599,0)</f>
        <v>16.5</v>
      </c>
      <c r="K6599" s="7" t="n">
        <f aca="false">YEAR(E6599)*100+MONTH(E6599)</f>
        <v>201111</v>
      </c>
      <c r="L6599" s="7" t="n">
        <f aca="false">IF(AND(A6599&lt;&gt;A6598,LEFT(A6599,1)&lt;&gt;"C"),1,0)</f>
        <v>0</v>
      </c>
    </row>
    <row r="6600" customFormat="false" ht="15" hidden="false" customHeight="false" outlineLevel="0" collapsed="false">
      <c r="A6600" s="0" t="s">
        <v>3355</v>
      </c>
      <c r="B6600" s="0" t="s">
        <v>2804</v>
      </c>
      <c r="C6600" s="0" t="s">
        <v>2805</v>
      </c>
      <c r="D6600" s="0" t="n">
        <v>10</v>
      </c>
      <c r="E6600" s="6" t="n">
        <v>40876.5048611111</v>
      </c>
      <c r="F6600" s="0" t="n">
        <v>2.08</v>
      </c>
      <c r="G6600" s="0" t="n">
        <v>12627</v>
      </c>
      <c r="H6600" s="0" t="s">
        <v>33</v>
      </c>
      <c r="I6600" s="7" t="n">
        <f aca="false">IF(AND(LEFT(A6600,1)&lt;&gt;"C",D6600&gt;0,F6600&gt;0),1,0)</f>
        <v>1</v>
      </c>
      <c r="J6600" s="7" t="n">
        <f aca="false">IF(I6600=1,D6600*F6600,0)</f>
        <v>20.8</v>
      </c>
      <c r="K6600" s="7" t="n">
        <f aca="false">YEAR(E6600)*100+MONTH(E6600)</f>
        <v>201111</v>
      </c>
      <c r="L6600" s="7" t="n">
        <f aca="false">IF(AND(A6600&lt;&gt;A6599,LEFT(A6600,1)&lt;&gt;"C"),1,0)</f>
        <v>0</v>
      </c>
    </row>
    <row r="6601" customFormat="false" ht="15" hidden="false" customHeight="false" outlineLevel="0" collapsed="false">
      <c r="A6601" s="0" t="s">
        <v>3355</v>
      </c>
      <c r="B6601" s="0" t="s">
        <v>2966</v>
      </c>
      <c r="C6601" s="0" t="s">
        <v>2967</v>
      </c>
      <c r="D6601" s="0" t="n">
        <v>10</v>
      </c>
      <c r="E6601" s="6" t="n">
        <v>40876.5048611111</v>
      </c>
      <c r="F6601" s="0" t="n">
        <v>2.08</v>
      </c>
      <c r="G6601" s="0" t="n">
        <v>12627</v>
      </c>
      <c r="H6601" s="0" t="s">
        <v>33</v>
      </c>
      <c r="I6601" s="7" t="n">
        <f aca="false">IF(AND(LEFT(A6601,1)&lt;&gt;"C",D6601&gt;0,F6601&gt;0),1,0)</f>
        <v>1</v>
      </c>
      <c r="J6601" s="7" t="n">
        <f aca="false">IF(I6601=1,D6601*F6601,0)</f>
        <v>20.8</v>
      </c>
      <c r="K6601" s="7" t="n">
        <f aca="false">YEAR(E6601)*100+MONTH(E6601)</f>
        <v>201111</v>
      </c>
      <c r="L6601" s="7" t="n">
        <f aca="false">IF(AND(A6601&lt;&gt;A6600,LEFT(A6601,1)&lt;&gt;"C"),1,0)</f>
        <v>0</v>
      </c>
    </row>
    <row r="6602" customFormat="false" ht="15" hidden="false" customHeight="false" outlineLevel="0" collapsed="false">
      <c r="A6602" s="0" t="s">
        <v>3355</v>
      </c>
      <c r="B6602" s="0" t="s">
        <v>627</v>
      </c>
      <c r="C6602" s="0" t="s">
        <v>628</v>
      </c>
      <c r="D6602" s="0" t="n">
        <v>10</v>
      </c>
      <c r="E6602" s="6" t="n">
        <v>40876.5048611111</v>
      </c>
      <c r="F6602" s="0" t="n">
        <v>0.85</v>
      </c>
      <c r="G6602" s="0" t="n">
        <v>12627</v>
      </c>
      <c r="H6602" s="0" t="s">
        <v>33</v>
      </c>
      <c r="I6602" s="7" t="n">
        <f aca="false">IF(AND(LEFT(A6602,1)&lt;&gt;"C",D6602&gt;0,F6602&gt;0),1,0)</f>
        <v>1</v>
      </c>
      <c r="J6602" s="7" t="n">
        <f aca="false">IF(I6602=1,D6602*F6602,0)</f>
        <v>8.5</v>
      </c>
      <c r="K6602" s="7" t="n">
        <f aca="false">YEAR(E6602)*100+MONTH(E6602)</f>
        <v>201111</v>
      </c>
      <c r="L6602" s="7" t="n">
        <f aca="false">IF(AND(A6602&lt;&gt;A6601,LEFT(A6602,1)&lt;&gt;"C"),1,0)</f>
        <v>0</v>
      </c>
    </row>
    <row r="6603" customFormat="false" ht="15" hidden="false" customHeight="false" outlineLevel="0" collapsed="false">
      <c r="A6603" s="0" t="s">
        <v>3355</v>
      </c>
      <c r="B6603" s="0" t="s">
        <v>569</v>
      </c>
      <c r="C6603" s="0" t="s">
        <v>570</v>
      </c>
      <c r="D6603" s="0" t="n">
        <v>10</v>
      </c>
      <c r="E6603" s="6" t="n">
        <v>40876.5048611111</v>
      </c>
      <c r="F6603" s="0" t="n">
        <v>2.08</v>
      </c>
      <c r="G6603" s="0" t="n">
        <v>12627</v>
      </c>
      <c r="H6603" s="0" t="s">
        <v>33</v>
      </c>
      <c r="I6603" s="7" t="n">
        <f aca="false">IF(AND(LEFT(A6603,1)&lt;&gt;"C",D6603&gt;0,F6603&gt;0),1,0)</f>
        <v>1</v>
      </c>
      <c r="J6603" s="7" t="n">
        <f aca="false">IF(I6603=1,D6603*F6603,0)</f>
        <v>20.8</v>
      </c>
      <c r="K6603" s="7" t="n">
        <f aca="false">YEAR(E6603)*100+MONTH(E6603)</f>
        <v>201111</v>
      </c>
      <c r="L6603" s="7" t="n">
        <f aca="false">IF(AND(A6603&lt;&gt;A6602,LEFT(A6603,1)&lt;&gt;"C"),1,0)</f>
        <v>0</v>
      </c>
    </row>
    <row r="6604" customFormat="false" ht="15" hidden="false" customHeight="false" outlineLevel="0" collapsed="false">
      <c r="A6604" s="0" t="s">
        <v>3355</v>
      </c>
      <c r="B6604" s="0" t="s">
        <v>123</v>
      </c>
      <c r="C6604" s="0" t="s">
        <v>124</v>
      </c>
      <c r="D6604" s="0" t="n">
        <v>18</v>
      </c>
      <c r="E6604" s="6" t="n">
        <v>40876.5048611111</v>
      </c>
      <c r="F6604" s="0" t="n">
        <v>2.95</v>
      </c>
      <c r="G6604" s="0" t="n">
        <v>12627</v>
      </c>
      <c r="H6604" s="0" t="s">
        <v>33</v>
      </c>
      <c r="I6604" s="7" t="n">
        <f aca="false">IF(AND(LEFT(A6604,1)&lt;&gt;"C",D6604&gt;0,F6604&gt;0),1,0)</f>
        <v>1</v>
      </c>
      <c r="J6604" s="7" t="n">
        <f aca="false">IF(I6604=1,D6604*F6604,0)</f>
        <v>53.1</v>
      </c>
      <c r="K6604" s="7" t="n">
        <f aca="false">YEAR(E6604)*100+MONTH(E6604)</f>
        <v>201111</v>
      </c>
      <c r="L6604" s="7" t="n">
        <f aca="false">IF(AND(A6604&lt;&gt;A6603,LEFT(A6604,1)&lt;&gt;"C"),1,0)</f>
        <v>0</v>
      </c>
    </row>
    <row r="6605" customFormat="false" ht="15" hidden="false" customHeight="false" outlineLevel="0" collapsed="false">
      <c r="A6605" s="0" t="s">
        <v>3355</v>
      </c>
      <c r="B6605" s="0" t="s">
        <v>335</v>
      </c>
      <c r="C6605" s="0" t="s">
        <v>336</v>
      </c>
      <c r="D6605" s="0" t="n">
        <v>12</v>
      </c>
      <c r="E6605" s="6" t="n">
        <v>40876.5048611111</v>
      </c>
      <c r="F6605" s="0" t="n">
        <v>1.65</v>
      </c>
      <c r="G6605" s="0" t="n">
        <v>12627</v>
      </c>
      <c r="H6605" s="0" t="s">
        <v>33</v>
      </c>
      <c r="I6605" s="7" t="n">
        <f aca="false">IF(AND(LEFT(A6605,1)&lt;&gt;"C",D6605&gt;0,F6605&gt;0),1,0)</f>
        <v>1</v>
      </c>
      <c r="J6605" s="7" t="n">
        <f aca="false">IF(I6605=1,D6605*F6605,0)</f>
        <v>19.8</v>
      </c>
      <c r="K6605" s="7" t="n">
        <f aca="false">YEAR(E6605)*100+MONTH(E6605)</f>
        <v>201111</v>
      </c>
      <c r="L6605" s="7" t="n">
        <f aca="false">IF(AND(A6605&lt;&gt;A6604,LEFT(A6605,1)&lt;&gt;"C"),1,0)</f>
        <v>0</v>
      </c>
    </row>
    <row r="6606" customFormat="false" ht="15" hidden="false" customHeight="false" outlineLevel="0" collapsed="false">
      <c r="A6606" s="0" t="s">
        <v>3355</v>
      </c>
      <c r="B6606" s="0" t="s">
        <v>3360</v>
      </c>
      <c r="C6606" s="0" t="s">
        <v>3361</v>
      </c>
      <c r="D6606" s="0" t="n">
        <v>12</v>
      </c>
      <c r="E6606" s="6" t="n">
        <v>40876.5048611111</v>
      </c>
      <c r="F6606" s="0" t="n">
        <v>1.25</v>
      </c>
      <c r="G6606" s="0" t="n">
        <v>12627</v>
      </c>
      <c r="H6606" s="0" t="s">
        <v>33</v>
      </c>
      <c r="I6606" s="7" t="n">
        <f aca="false">IF(AND(LEFT(A6606,1)&lt;&gt;"C",D6606&gt;0,F6606&gt;0),1,0)</f>
        <v>1</v>
      </c>
      <c r="J6606" s="7" t="n">
        <f aca="false">IF(I6606=1,D6606*F6606,0)</f>
        <v>15</v>
      </c>
      <c r="K6606" s="7" t="n">
        <f aca="false">YEAR(E6606)*100+MONTH(E6606)</f>
        <v>201111</v>
      </c>
      <c r="L6606" s="7" t="n">
        <f aca="false">IF(AND(A6606&lt;&gt;A6605,LEFT(A6606,1)&lt;&gt;"C"),1,0)</f>
        <v>0</v>
      </c>
    </row>
    <row r="6607" customFormat="false" ht="15" hidden="false" customHeight="false" outlineLevel="0" collapsed="false">
      <c r="A6607" s="0" t="s">
        <v>3355</v>
      </c>
      <c r="B6607" s="0" t="s">
        <v>1296</v>
      </c>
      <c r="C6607" s="0" t="s">
        <v>1297</v>
      </c>
      <c r="D6607" s="0" t="n">
        <v>12</v>
      </c>
      <c r="E6607" s="6" t="n">
        <v>40876.5048611111</v>
      </c>
      <c r="F6607" s="0" t="n">
        <v>1.45</v>
      </c>
      <c r="G6607" s="0" t="n">
        <v>12627</v>
      </c>
      <c r="H6607" s="0" t="s">
        <v>33</v>
      </c>
      <c r="I6607" s="7" t="n">
        <f aca="false">IF(AND(LEFT(A6607,1)&lt;&gt;"C",D6607&gt;0,F6607&gt;0),1,0)</f>
        <v>1</v>
      </c>
      <c r="J6607" s="7" t="n">
        <f aca="false">IF(I6607=1,D6607*F6607,0)</f>
        <v>17.4</v>
      </c>
      <c r="K6607" s="7" t="n">
        <f aca="false">YEAR(E6607)*100+MONTH(E6607)</f>
        <v>201111</v>
      </c>
      <c r="L6607" s="7" t="n">
        <f aca="false">IF(AND(A6607&lt;&gt;A6606,LEFT(A6607,1)&lt;&gt;"C"),1,0)</f>
        <v>0</v>
      </c>
    </row>
    <row r="6608" customFormat="false" ht="15" hidden="false" customHeight="false" outlineLevel="0" collapsed="false">
      <c r="A6608" s="0" t="s">
        <v>3355</v>
      </c>
      <c r="B6608" s="0" t="s">
        <v>349</v>
      </c>
      <c r="C6608" s="0" t="s">
        <v>350</v>
      </c>
      <c r="D6608" s="0" t="n">
        <v>12</v>
      </c>
      <c r="E6608" s="6" t="n">
        <v>40876.5048611111</v>
      </c>
      <c r="F6608" s="0" t="n">
        <v>1.45</v>
      </c>
      <c r="G6608" s="0" t="n">
        <v>12627</v>
      </c>
      <c r="H6608" s="0" t="s">
        <v>33</v>
      </c>
      <c r="I6608" s="7" t="n">
        <f aca="false">IF(AND(LEFT(A6608,1)&lt;&gt;"C",D6608&gt;0,F6608&gt;0),1,0)</f>
        <v>1</v>
      </c>
      <c r="J6608" s="7" t="n">
        <f aca="false">IF(I6608=1,D6608*F6608,0)</f>
        <v>17.4</v>
      </c>
      <c r="K6608" s="7" t="n">
        <f aca="false">YEAR(E6608)*100+MONTH(E6608)</f>
        <v>201111</v>
      </c>
      <c r="L6608" s="7" t="n">
        <f aca="false">IF(AND(A6608&lt;&gt;A6607,LEFT(A6608,1)&lt;&gt;"C"),1,0)</f>
        <v>0</v>
      </c>
    </row>
    <row r="6609" customFormat="false" ht="15" hidden="false" customHeight="false" outlineLevel="0" collapsed="false">
      <c r="A6609" s="0" t="s">
        <v>3355</v>
      </c>
      <c r="B6609" s="0" t="s">
        <v>3362</v>
      </c>
      <c r="C6609" s="0" t="s">
        <v>3363</v>
      </c>
      <c r="D6609" s="0" t="n">
        <v>12</v>
      </c>
      <c r="E6609" s="6" t="n">
        <v>40876.5048611111</v>
      </c>
      <c r="F6609" s="0" t="n">
        <v>1.25</v>
      </c>
      <c r="G6609" s="0" t="n">
        <v>12627</v>
      </c>
      <c r="H6609" s="0" t="s">
        <v>33</v>
      </c>
      <c r="I6609" s="7" t="n">
        <f aca="false">IF(AND(LEFT(A6609,1)&lt;&gt;"C",D6609&gt;0,F6609&gt;0),1,0)</f>
        <v>1</v>
      </c>
      <c r="J6609" s="7" t="n">
        <f aca="false">IF(I6609=1,D6609*F6609,0)</f>
        <v>15</v>
      </c>
      <c r="K6609" s="7" t="n">
        <f aca="false">YEAR(E6609)*100+MONTH(E6609)</f>
        <v>201111</v>
      </c>
      <c r="L6609" s="7" t="n">
        <f aca="false">IF(AND(A6609&lt;&gt;A6608,LEFT(A6609,1)&lt;&gt;"C"),1,0)</f>
        <v>0</v>
      </c>
    </row>
    <row r="6610" customFormat="false" ht="15" hidden="false" customHeight="false" outlineLevel="0" collapsed="false">
      <c r="A6610" s="0" t="s">
        <v>3355</v>
      </c>
      <c r="B6610" s="0" t="s">
        <v>1563</v>
      </c>
      <c r="C6610" s="0" t="s">
        <v>1564</v>
      </c>
      <c r="D6610" s="0" t="n">
        <v>12</v>
      </c>
      <c r="E6610" s="6" t="n">
        <v>40876.5048611111</v>
      </c>
      <c r="F6610" s="0" t="n">
        <v>1.25</v>
      </c>
      <c r="G6610" s="0" t="n">
        <v>12627</v>
      </c>
      <c r="H6610" s="0" t="s">
        <v>33</v>
      </c>
      <c r="I6610" s="7" t="n">
        <f aca="false">IF(AND(LEFT(A6610,1)&lt;&gt;"C",D6610&gt;0,F6610&gt;0),1,0)</f>
        <v>1</v>
      </c>
      <c r="J6610" s="7" t="n">
        <f aca="false">IF(I6610=1,D6610*F6610,0)</f>
        <v>15</v>
      </c>
      <c r="K6610" s="7" t="n">
        <f aca="false">YEAR(E6610)*100+MONTH(E6610)</f>
        <v>201111</v>
      </c>
      <c r="L6610" s="7" t="n">
        <f aca="false">IF(AND(A6610&lt;&gt;A6609,LEFT(A6610,1)&lt;&gt;"C"),1,0)</f>
        <v>0</v>
      </c>
    </row>
    <row r="6611" customFormat="false" ht="15" hidden="false" customHeight="false" outlineLevel="0" collapsed="false">
      <c r="A6611" s="0" t="s">
        <v>3355</v>
      </c>
      <c r="B6611" s="0" t="s">
        <v>758</v>
      </c>
      <c r="C6611" s="0" t="s">
        <v>759</v>
      </c>
      <c r="D6611" s="0" t="n">
        <v>2</v>
      </c>
      <c r="E6611" s="6" t="n">
        <v>40876.5048611111</v>
      </c>
      <c r="F6611" s="0" t="n">
        <v>8.25</v>
      </c>
      <c r="G6611" s="0" t="n">
        <v>12627</v>
      </c>
      <c r="H6611" s="0" t="s">
        <v>33</v>
      </c>
      <c r="I6611" s="7" t="n">
        <f aca="false">IF(AND(LEFT(A6611,1)&lt;&gt;"C",D6611&gt;0,F6611&gt;0),1,0)</f>
        <v>1</v>
      </c>
      <c r="J6611" s="7" t="n">
        <f aca="false">IF(I6611=1,D6611*F6611,0)</f>
        <v>16.5</v>
      </c>
      <c r="K6611" s="7" t="n">
        <f aca="false">YEAR(E6611)*100+MONTH(E6611)</f>
        <v>201111</v>
      </c>
      <c r="L6611" s="7" t="n">
        <f aca="false">IF(AND(A6611&lt;&gt;A6610,LEFT(A6611,1)&lt;&gt;"C"),1,0)</f>
        <v>0</v>
      </c>
    </row>
    <row r="6612" customFormat="false" ht="15" hidden="false" customHeight="false" outlineLevel="0" collapsed="false">
      <c r="A6612" s="0" t="s">
        <v>3355</v>
      </c>
      <c r="B6612" s="0" t="s">
        <v>1019</v>
      </c>
      <c r="C6612" s="0" t="s">
        <v>1020</v>
      </c>
      <c r="D6612" s="0" t="n">
        <v>2</v>
      </c>
      <c r="E6612" s="6" t="n">
        <v>40876.5048611111</v>
      </c>
      <c r="F6612" s="0" t="n">
        <v>8.25</v>
      </c>
      <c r="G6612" s="0" t="n">
        <v>12627</v>
      </c>
      <c r="H6612" s="0" t="s">
        <v>33</v>
      </c>
      <c r="I6612" s="7" t="n">
        <f aca="false">IF(AND(LEFT(A6612,1)&lt;&gt;"C",D6612&gt;0,F6612&gt;0),1,0)</f>
        <v>1</v>
      </c>
      <c r="J6612" s="7" t="n">
        <f aca="false">IF(I6612=1,D6612*F6612,0)</f>
        <v>16.5</v>
      </c>
      <c r="K6612" s="7" t="n">
        <f aca="false">YEAR(E6612)*100+MONTH(E6612)</f>
        <v>201111</v>
      </c>
      <c r="L6612" s="7" t="n">
        <f aca="false">IF(AND(A6612&lt;&gt;A6611,LEFT(A6612,1)&lt;&gt;"C"),1,0)</f>
        <v>0</v>
      </c>
    </row>
    <row r="6613" customFormat="false" ht="15" hidden="false" customHeight="false" outlineLevel="0" collapsed="false">
      <c r="A6613" s="0" t="s">
        <v>3355</v>
      </c>
      <c r="B6613" s="0" t="s">
        <v>1025</v>
      </c>
      <c r="C6613" s="0" t="s">
        <v>1026</v>
      </c>
      <c r="D6613" s="0" t="n">
        <v>2</v>
      </c>
      <c r="E6613" s="6" t="n">
        <v>40876.5048611111</v>
      </c>
      <c r="F6613" s="0" t="n">
        <v>8.25</v>
      </c>
      <c r="G6613" s="0" t="n">
        <v>12627</v>
      </c>
      <c r="H6613" s="0" t="s">
        <v>33</v>
      </c>
      <c r="I6613" s="7" t="n">
        <f aca="false">IF(AND(LEFT(A6613,1)&lt;&gt;"C",D6613&gt;0,F6613&gt;0),1,0)</f>
        <v>1</v>
      </c>
      <c r="J6613" s="7" t="n">
        <f aca="false">IF(I6613=1,D6613*F6613,0)</f>
        <v>16.5</v>
      </c>
      <c r="K6613" s="7" t="n">
        <f aca="false">YEAR(E6613)*100+MONTH(E6613)</f>
        <v>201111</v>
      </c>
      <c r="L6613" s="7" t="n">
        <f aca="false">IF(AND(A6613&lt;&gt;A6612,LEFT(A6613,1)&lt;&gt;"C"),1,0)</f>
        <v>0</v>
      </c>
    </row>
    <row r="6614" customFormat="false" ht="15" hidden="false" customHeight="false" outlineLevel="0" collapsed="false">
      <c r="A6614" s="0" t="s">
        <v>3355</v>
      </c>
      <c r="B6614" s="0" t="s">
        <v>2549</v>
      </c>
      <c r="C6614" s="0" t="s">
        <v>2550</v>
      </c>
      <c r="D6614" s="0" t="n">
        <v>2</v>
      </c>
      <c r="E6614" s="6" t="n">
        <v>40876.5048611111</v>
      </c>
      <c r="F6614" s="0" t="n">
        <v>8.25</v>
      </c>
      <c r="G6614" s="0" t="n">
        <v>12627</v>
      </c>
      <c r="H6614" s="0" t="s">
        <v>33</v>
      </c>
      <c r="I6614" s="7" t="n">
        <f aca="false">IF(AND(LEFT(A6614,1)&lt;&gt;"C",D6614&gt;0,F6614&gt;0),1,0)</f>
        <v>1</v>
      </c>
      <c r="J6614" s="7" t="n">
        <f aca="false">IF(I6614=1,D6614*F6614,0)</f>
        <v>16.5</v>
      </c>
      <c r="K6614" s="7" t="n">
        <f aca="false">YEAR(E6614)*100+MONTH(E6614)</f>
        <v>201111</v>
      </c>
      <c r="L6614" s="7" t="n">
        <f aca="false">IF(AND(A6614&lt;&gt;A6613,LEFT(A6614,1)&lt;&gt;"C"),1,0)</f>
        <v>0</v>
      </c>
    </row>
    <row r="6615" customFormat="false" ht="15" hidden="false" customHeight="false" outlineLevel="0" collapsed="false">
      <c r="A6615" s="0" t="s">
        <v>3355</v>
      </c>
      <c r="B6615" s="0" t="s">
        <v>579</v>
      </c>
      <c r="C6615" s="0" t="s">
        <v>580</v>
      </c>
      <c r="D6615" s="0" t="n">
        <v>12</v>
      </c>
      <c r="E6615" s="6" t="n">
        <v>40876.5048611111</v>
      </c>
      <c r="F6615" s="0" t="n">
        <v>0.85</v>
      </c>
      <c r="G6615" s="0" t="n">
        <v>12627</v>
      </c>
      <c r="H6615" s="0" t="s">
        <v>33</v>
      </c>
      <c r="I6615" s="7" t="n">
        <f aca="false">IF(AND(LEFT(A6615,1)&lt;&gt;"C",D6615&gt;0,F6615&gt;0),1,0)</f>
        <v>1</v>
      </c>
      <c r="J6615" s="7" t="n">
        <f aca="false">IF(I6615=1,D6615*F6615,0)</f>
        <v>10.2</v>
      </c>
      <c r="K6615" s="7" t="n">
        <f aca="false">YEAR(E6615)*100+MONTH(E6615)</f>
        <v>201111</v>
      </c>
      <c r="L6615" s="7" t="n">
        <f aca="false">IF(AND(A6615&lt;&gt;A6614,LEFT(A6615,1)&lt;&gt;"C"),1,0)</f>
        <v>0</v>
      </c>
    </row>
    <row r="6616" customFormat="false" ht="15" hidden="false" customHeight="false" outlineLevel="0" collapsed="false">
      <c r="A6616" s="0" t="s">
        <v>3355</v>
      </c>
      <c r="B6616" s="0" t="s">
        <v>343</v>
      </c>
      <c r="C6616" s="0" t="s">
        <v>344</v>
      </c>
      <c r="D6616" s="0" t="n">
        <v>12</v>
      </c>
      <c r="E6616" s="6" t="n">
        <v>40876.5048611111</v>
      </c>
      <c r="F6616" s="0" t="n">
        <v>1.45</v>
      </c>
      <c r="G6616" s="0" t="n">
        <v>12627</v>
      </c>
      <c r="H6616" s="0" t="s">
        <v>33</v>
      </c>
      <c r="I6616" s="7" t="n">
        <f aca="false">IF(AND(LEFT(A6616,1)&lt;&gt;"C",D6616&gt;0,F6616&gt;0),1,0)</f>
        <v>1</v>
      </c>
      <c r="J6616" s="7" t="n">
        <f aca="false">IF(I6616=1,D6616*F6616,0)</f>
        <v>17.4</v>
      </c>
      <c r="K6616" s="7" t="n">
        <f aca="false">YEAR(E6616)*100+MONTH(E6616)</f>
        <v>201111</v>
      </c>
      <c r="L6616" s="7" t="n">
        <f aca="false">IF(AND(A6616&lt;&gt;A6615,LEFT(A6616,1)&lt;&gt;"C"),1,0)</f>
        <v>0</v>
      </c>
    </row>
    <row r="6617" customFormat="false" ht="15" hidden="false" customHeight="false" outlineLevel="0" collapsed="false">
      <c r="A6617" s="0" t="s">
        <v>3355</v>
      </c>
      <c r="B6617" s="0" t="s">
        <v>345</v>
      </c>
      <c r="C6617" s="0" t="s">
        <v>346</v>
      </c>
      <c r="D6617" s="0" t="n">
        <v>12</v>
      </c>
      <c r="E6617" s="6" t="n">
        <v>40876.5048611111</v>
      </c>
      <c r="F6617" s="0" t="n">
        <v>1.45</v>
      </c>
      <c r="G6617" s="0" t="n">
        <v>12627</v>
      </c>
      <c r="H6617" s="0" t="s">
        <v>33</v>
      </c>
      <c r="I6617" s="7" t="n">
        <f aca="false">IF(AND(LEFT(A6617,1)&lt;&gt;"C",D6617&gt;0,F6617&gt;0),1,0)</f>
        <v>1</v>
      </c>
      <c r="J6617" s="7" t="n">
        <f aca="false">IF(I6617=1,D6617*F6617,0)</f>
        <v>17.4</v>
      </c>
      <c r="K6617" s="7" t="n">
        <f aca="false">YEAR(E6617)*100+MONTH(E6617)</f>
        <v>201111</v>
      </c>
      <c r="L6617" s="7" t="n">
        <f aca="false">IF(AND(A6617&lt;&gt;A6616,LEFT(A6617,1)&lt;&gt;"C"),1,0)</f>
        <v>0</v>
      </c>
    </row>
    <row r="6618" customFormat="false" ht="15" hidden="false" customHeight="false" outlineLevel="0" collapsed="false">
      <c r="A6618" s="0" t="s">
        <v>3355</v>
      </c>
      <c r="B6618" s="0" t="s">
        <v>341</v>
      </c>
      <c r="C6618" s="0" t="s">
        <v>342</v>
      </c>
      <c r="D6618" s="0" t="n">
        <v>12</v>
      </c>
      <c r="E6618" s="6" t="n">
        <v>40876.5048611111</v>
      </c>
      <c r="F6618" s="0" t="n">
        <v>1.45</v>
      </c>
      <c r="G6618" s="0" t="n">
        <v>12627</v>
      </c>
      <c r="H6618" s="0" t="s">
        <v>33</v>
      </c>
      <c r="I6618" s="7" t="n">
        <f aca="false">IF(AND(LEFT(A6618,1)&lt;&gt;"C",D6618&gt;0,F6618&gt;0),1,0)</f>
        <v>1</v>
      </c>
      <c r="J6618" s="7" t="n">
        <f aca="false">IF(I6618=1,D6618*F6618,0)</f>
        <v>17.4</v>
      </c>
      <c r="K6618" s="7" t="n">
        <f aca="false">YEAR(E6618)*100+MONTH(E6618)</f>
        <v>201111</v>
      </c>
      <c r="L6618" s="7" t="n">
        <f aca="false">IF(AND(A6618&lt;&gt;A6617,LEFT(A6618,1)&lt;&gt;"C"),1,0)</f>
        <v>0</v>
      </c>
    </row>
    <row r="6619" customFormat="false" ht="15" hidden="false" customHeight="false" outlineLevel="0" collapsed="false">
      <c r="A6619" s="0" t="s">
        <v>3355</v>
      </c>
      <c r="B6619" s="0" t="s">
        <v>1416</v>
      </c>
      <c r="C6619" s="0" t="s">
        <v>1417</v>
      </c>
      <c r="D6619" s="0" t="n">
        <v>12</v>
      </c>
      <c r="E6619" s="6" t="n">
        <v>40876.5048611111</v>
      </c>
      <c r="F6619" s="0" t="n">
        <v>1.45</v>
      </c>
      <c r="G6619" s="0" t="n">
        <v>12627</v>
      </c>
      <c r="H6619" s="0" t="s">
        <v>33</v>
      </c>
      <c r="I6619" s="7" t="n">
        <f aca="false">IF(AND(LEFT(A6619,1)&lt;&gt;"C",D6619&gt;0,F6619&gt;0),1,0)</f>
        <v>1</v>
      </c>
      <c r="J6619" s="7" t="n">
        <f aca="false">IF(I6619=1,D6619*F6619,0)</f>
        <v>17.4</v>
      </c>
      <c r="K6619" s="7" t="n">
        <f aca="false">YEAR(E6619)*100+MONTH(E6619)</f>
        <v>201111</v>
      </c>
      <c r="L6619" s="7" t="n">
        <f aca="false">IF(AND(A6619&lt;&gt;A6618,LEFT(A6619,1)&lt;&gt;"C"),1,0)</f>
        <v>0</v>
      </c>
    </row>
    <row r="6620" customFormat="false" ht="15" hidden="false" customHeight="false" outlineLevel="0" collapsed="false">
      <c r="A6620" s="0" t="s">
        <v>3355</v>
      </c>
      <c r="B6620" s="0" t="s">
        <v>84</v>
      </c>
      <c r="C6620" s="0" t="s">
        <v>85</v>
      </c>
      <c r="D6620" s="0" t="n">
        <v>3</v>
      </c>
      <c r="E6620" s="6" t="n">
        <v>40876.5048611111</v>
      </c>
      <c r="F6620" s="0" t="n">
        <v>18</v>
      </c>
      <c r="G6620" s="0" t="n">
        <v>12627</v>
      </c>
      <c r="H6620" s="0" t="s">
        <v>33</v>
      </c>
      <c r="I6620" s="7" t="n">
        <f aca="false">IF(AND(LEFT(A6620,1)&lt;&gt;"C",D6620&gt;0,F6620&gt;0),1,0)</f>
        <v>1</v>
      </c>
      <c r="J6620" s="7" t="n">
        <f aca="false">IF(I6620=1,D6620*F6620,0)</f>
        <v>54</v>
      </c>
      <c r="K6620" s="7" t="n">
        <f aca="false">YEAR(E6620)*100+MONTH(E6620)</f>
        <v>201111</v>
      </c>
      <c r="L6620" s="7" t="n">
        <f aca="false">IF(AND(A6620&lt;&gt;A6619,LEFT(A6620,1)&lt;&gt;"C"),1,0)</f>
        <v>0</v>
      </c>
    </row>
    <row r="6621" customFormat="false" ht="15" hidden="false" customHeight="false" outlineLevel="0" collapsed="false">
      <c r="A6621" s="0" t="s">
        <v>3364</v>
      </c>
      <c r="B6621" s="0" t="s">
        <v>62</v>
      </c>
      <c r="C6621" s="0" t="s">
        <v>63</v>
      </c>
      <c r="D6621" s="0" t="n">
        <v>72</v>
      </c>
      <c r="E6621" s="6" t="n">
        <v>40876.5416666667</v>
      </c>
      <c r="F6621" s="0" t="n">
        <v>1.79</v>
      </c>
      <c r="G6621" s="0" t="n">
        <v>12471</v>
      </c>
      <c r="H6621" s="0" t="s">
        <v>33</v>
      </c>
      <c r="I6621" s="7" t="n">
        <f aca="false">IF(AND(LEFT(A6621,1)&lt;&gt;"C",D6621&gt;0,F6621&gt;0),1,0)</f>
        <v>1</v>
      </c>
      <c r="J6621" s="7" t="n">
        <f aca="false">IF(I6621=1,D6621*F6621,0)</f>
        <v>128.88</v>
      </c>
      <c r="K6621" s="7" t="n">
        <f aca="false">YEAR(E6621)*100+MONTH(E6621)</f>
        <v>201111</v>
      </c>
      <c r="L6621" s="7" t="n">
        <f aca="false">IF(AND(A6621&lt;&gt;A6620,LEFT(A6621,1)&lt;&gt;"C"),1,0)</f>
        <v>1</v>
      </c>
    </row>
    <row r="6622" customFormat="false" ht="15" hidden="false" customHeight="false" outlineLevel="0" collapsed="false">
      <c r="A6622" s="0" t="s">
        <v>3364</v>
      </c>
      <c r="B6622" s="0" t="s">
        <v>2655</v>
      </c>
      <c r="C6622" s="0" t="s">
        <v>2656</v>
      </c>
      <c r="D6622" s="0" t="n">
        <v>12</v>
      </c>
      <c r="E6622" s="6" t="n">
        <v>40876.5416666667</v>
      </c>
      <c r="F6622" s="0" t="n">
        <v>4.95</v>
      </c>
      <c r="G6622" s="0" t="n">
        <v>12471</v>
      </c>
      <c r="H6622" s="0" t="s">
        <v>33</v>
      </c>
      <c r="I6622" s="7" t="n">
        <f aca="false">IF(AND(LEFT(A6622,1)&lt;&gt;"C",D6622&gt;0,F6622&gt;0),1,0)</f>
        <v>1</v>
      </c>
      <c r="J6622" s="7" t="n">
        <f aca="false">IF(I6622=1,D6622*F6622,0)</f>
        <v>59.4</v>
      </c>
      <c r="K6622" s="7" t="n">
        <f aca="false">YEAR(E6622)*100+MONTH(E6622)</f>
        <v>201111</v>
      </c>
      <c r="L6622" s="7" t="n">
        <f aca="false">IF(AND(A6622&lt;&gt;A6621,LEFT(A6622,1)&lt;&gt;"C"),1,0)</f>
        <v>0</v>
      </c>
    </row>
    <row r="6623" customFormat="false" ht="15" hidden="false" customHeight="false" outlineLevel="0" collapsed="false">
      <c r="A6623" s="0" t="s">
        <v>3364</v>
      </c>
      <c r="B6623" s="0" t="s">
        <v>2573</v>
      </c>
      <c r="C6623" s="0" t="s">
        <v>2574</v>
      </c>
      <c r="D6623" s="0" t="n">
        <v>16</v>
      </c>
      <c r="E6623" s="6" t="n">
        <v>40876.5416666667</v>
      </c>
      <c r="F6623" s="0" t="n">
        <v>3.75</v>
      </c>
      <c r="G6623" s="0" t="n">
        <v>12471</v>
      </c>
      <c r="H6623" s="0" t="s">
        <v>33</v>
      </c>
      <c r="I6623" s="7" t="n">
        <f aca="false">IF(AND(LEFT(A6623,1)&lt;&gt;"C",D6623&gt;0,F6623&gt;0),1,0)</f>
        <v>1</v>
      </c>
      <c r="J6623" s="7" t="n">
        <f aca="false">IF(I6623=1,D6623*F6623,0)</f>
        <v>60</v>
      </c>
      <c r="K6623" s="7" t="n">
        <f aca="false">YEAR(E6623)*100+MONTH(E6623)</f>
        <v>201111</v>
      </c>
      <c r="L6623" s="7" t="n">
        <f aca="false">IF(AND(A6623&lt;&gt;A6622,LEFT(A6623,1)&lt;&gt;"C"),1,0)</f>
        <v>0</v>
      </c>
    </row>
    <row r="6624" customFormat="false" ht="15" hidden="false" customHeight="false" outlineLevel="0" collapsed="false">
      <c r="A6624" s="0" t="s">
        <v>3364</v>
      </c>
      <c r="B6624" s="0" t="s">
        <v>657</v>
      </c>
      <c r="C6624" s="0" t="s">
        <v>658</v>
      </c>
      <c r="D6624" s="0" t="n">
        <v>12</v>
      </c>
      <c r="E6624" s="6" t="n">
        <v>40876.5416666667</v>
      </c>
      <c r="F6624" s="0" t="n">
        <v>1.25</v>
      </c>
      <c r="G6624" s="0" t="n">
        <v>12471</v>
      </c>
      <c r="H6624" s="0" t="s">
        <v>33</v>
      </c>
      <c r="I6624" s="7" t="n">
        <f aca="false">IF(AND(LEFT(A6624,1)&lt;&gt;"C",D6624&gt;0,F6624&gt;0),1,0)</f>
        <v>1</v>
      </c>
      <c r="J6624" s="7" t="n">
        <f aca="false">IF(I6624=1,D6624*F6624,0)</f>
        <v>15</v>
      </c>
      <c r="K6624" s="7" t="n">
        <f aca="false">YEAR(E6624)*100+MONTH(E6624)</f>
        <v>201111</v>
      </c>
      <c r="L6624" s="7" t="n">
        <f aca="false">IF(AND(A6624&lt;&gt;A6623,LEFT(A6624,1)&lt;&gt;"C"),1,0)</f>
        <v>0</v>
      </c>
    </row>
    <row r="6625" customFormat="false" ht="15" hidden="false" customHeight="false" outlineLevel="0" collapsed="false">
      <c r="A6625" s="0" t="s">
        <v>3364</v>
      </c>
      <c r="B6625" s="0" t="s">
        <v>1341</v>
      </c>
      <c r="C6625" s="0" t="s">
        <v>1342</v>
      </c>
      <c r="D6625" s="0" t="n">
        <v>6</v>
      </c>
      <c r="E6625" s="6" t="n">
        <v>40876.5416666667</v>
      </c>
      <c r="F6625" s="0" t="n">
        <v>4.95</v>
      </c>
      <c r="G6625" s="0" t="n">
        <v>12471</v>
      </c>
      <c r="H6625" s="0" t="s">
        <v>33</v>
      </c>
      <c r="I6625" s="7" t="n">
        <f aca="false">IF(AND(LEFT(A6625,1)&lt;&gt;"C",D6625&gt;0,F6625&gt;0),1,0)</f>
        <v>1</v>
      </c>
      <c r="J6625" s="7" t="n">
        <f aca="false">IF(I6625=1,D6625*F6625,0)</f>
        <v>29.7</v>
      </c>
      <c r="K6625" s="7" t="n">
        <f aca="false">YEAR(E6625)*100+MONTH(E6625)</f>
        <v>201111</v>
      </c>
      <c r="L6625" s="7" t="n">
        <f aca="false">IF(AND(A6625&lt;&gt;A6624,LEFT(A6625,1)&lt;&gt;"C"),1,0)</f>
        <v>0</v>
      </c>
    </row>
    <row r="6626" customFormat="false" ht="15" hidden="false" customHeight="false" outlineLevel="0" collapsed="false">
      <c r="A6626" s="0" t="s">
        <v>3364</v>
      </c>
      <c r="B6626" s="0" t="s">
        <v>1099</v>
      </c>
      <c r="C6626" s="0" t="s">
        <v>1100</v>
      </c>
      <c r="D6626" s="0" t="n">
        <v>48</v>
      </c>
      <c r="E6626" s="6" t="n">
        <v>40876.5416666667</v>
      </c>
      <c r="F6626" s="0" t="n">
        <v>2.08</v>
      </c>
      <c r="G6626" s="0" t="n">
        <v>12471</v>
      </c>
      <c r="H6626" s="0" t="s">
        <v>33</v>
      </c>
      <c r="I6626" s="7" t="n">
        <f aca="false">IF(AND(LEFT(A6626,1)&lt;&gt;"C",D6626&gt;0,F6626&gt;0),1,0)</f>
        <v>1</v>
      </c>
      <c r="J6626" s="7" t="n">
        <f aca="false">IF(I6626=1,D6626*F6626,0)</f>
        <v>99.84</v>
      </c>
      <c r="K6626" s="7" t="n">
        <f aca="false">YEAR(E6626)*100+MONTH(E6626)</f>
        <v>201111</v>
      </c>
      <c r="L6626" s="7" t="n">
        <f aca="false">IF(AND(A6626&lt;&gt;A6625,LEFT(A6626,1)&lt;&gt;"C"),1,0)</f>
        <v>0</v>
      </c>
    </row>
    <row r="6627" customFormat="false" ht="15" hidden="false" customHeight="false" outlineLevel="0" collapsed="false">
      <c r="A6627" s="0" t="s">
        <v>3364</v>
      </c>
      <c r="B6627" s="0" t="s">
        <v>583</v>
      </c>
      <c r="C6627" s="0" t="s">
        <v>584</v>
      </c>
      <c r="D6627" s="0" t="n">
        <v>12</v>
      </c>
      <c r="E6627" s="6" t="n">
        <v>40876.5416666667</v>
      </c>
      <c r="F6627" s="0" t="n">
        <v>1.45</v>
      </c>
      <c r="G6627" s="0" t="n">
        <v>12471</v>
      </c>
      <c r="H6627" s="0" t="s">
        <v>33</v>
      </c>
      <c r="I6627" s="7" t="n">
        <f aca="false">IF(AND(LEFT(A6627,1)&lt;&gt;"C",D6627&gt;0,F6627&gt;0),1,0)</f>
        <v>1</v>
      </c>
      <c r="J6627" s="7" t="n">
        <f aca="false">IF(I6627=1,D6627*F6627,0)</f>
        <v>17.4</v>
      </c>
      <c r="K6627" s="7" t="n">
        <f aca="false">YEAR(E6627)*100+MONTH(E6627)</f>
        <v>201111</v>
      </c>
      <c r="L6627" s="7" t="n">
        <f aca="false">IF(AND(A6627&lt;&gt;A6626,LEFT(A6627,1)&lt;&gt;"C"),1,0)</f>
        <v>0</v>
      </c>
    </row>
    <row r="6628" customFormat="false" ht="15" hidden="false" customHeight="false" outlineLevel="0" collapsed="false">
      <c r="A6628" s="0" t="s">
        <v>3364</v>
      </c>
      <c r="B6628" s="0" t="s">
        <v>1221</v>
      </c>
      <c r="C6628" s="0" t="s">
        <v>1222</v>
      </c>
      <c r="D6628" s="0" t="n">
        <v>12</v>
      </c>
      <c r="E6628" s="6" t="n">
        <v>40876.5416666667</v>
      </c>
      <c r="F6628" s="0" t="n">
        <v>1.65</v>
      </c>
      <c r="G6628" s="0" t="n">
        <v>12471</v>
      </c>
      <c r="H6628" s="0" t="s">
        <v>33</v>
      </c>
      <c r="I6628" s="7" t="n">
        <f aca="false">IF(AND(LEFT(A6628,1)&lt;&gt;"C",D6628&gt;0,F6628&gt;0),1,0)</f>
        <v>1</v>
      </c>
      <c r="J6628" s="7" t="n">
        <f aca="false">IF(I6628=1,D6628*F6628,0)</f>
        <v>19.8</v>
      </c>
      <c r="K6628" s="7" t="n">
        <f aca="false">YEAR(E6628)*100+MONTH(E6628)</f>
        <v>201111</v>
      </c>
      <c r="L6628" s="7" t="n">
        <f aca="false">IF(AND(A6628&lt;&gt;A6627,LEFT(A6628,1)&lt;&gt;"C"),1,0)</f>
        <v>0</v>
      </c>
    </row>
    <row r="6629" customFormat="false" ht="15" hidden="false" customHeight="false" outlineLevel="0" collapsed="false">
      <c r="A6629" s="0" t="s">
        <v>3364</v>
      </c>
      <c r="B6629" s="0" t="s">
        <v>140</v>
      </c>
      <c r="C6629" s="0" t="s">
        <v>141</v>
      </c>
      <c r="D6629" s="0" t="n">
        <v>12</v>
      </c>
      <c r="E6629" s="6" t="n">
        <v>40876.5416666667</v>
      </c>
      <c r="F6629" s="0" t="n">
        <v>1.45</v>
      </c>
      <c r="G6629" s="0" t="n">
        <v>12471</v>
      </c>
      <c r="H6629" s="0" t="s">
        <v>33</v>
      </c>
      <c r="I6629" s="7" t="n">
        <f aca="false">IF(AND(LEFT(A6629,1)&lt;&gt;"C",D6629&gt;0,F6629&gt;0),1,0)</f>
        <v>1</v>
      </c>
      <c r="J6629" s="7" t="n">
        <f aca="false">IF(I6629=1,D6629*F6629,0)</f>
        <v>17.4</v>
      </c>
      <c r="K6629" s="7" t="n">
        <f aca="false">YEAR(E6629)*100+MONTH(E6629)</f>
        <v>201111</v>
      </c>
      <c r="L6629" s="7" t="n">
        <f aca="false">IF(AND(A6629&lt;&gt;A6628,LEFT(A6629,1)&lt;&gt;"C"),1,0)</f>
        <v>0</v>
      </c>
    </row>
    <row r="6630" customFormat="false" ht="15" hidden="false" customHeight="false" outlineLevel="0" collapsed="false">
      <c r="A6630" s="0" t="s">
        <v>3364</v>
      </c>
      <c r="B6630" s="0" t="s">
        <v>320</v>
      </c>
      <c r="C6630" s="0" t="s">
        <v>321</v>
      </c>
      <c r="D6630" s="0" t="n">
        <v>8</v>
      </c>
      <c r="E6630" s="6" t="n">
        <v>40876.5416666667</v>
      </c>
      <c r="F6630" s="0" t="n">
        <v>3.75</v>
      </c>
      <c r="G6630" s="0" t="n">
        <v>12471</v>
      </c>
      <c r="H6630" s="0" t="s">
        <v>33</v>
      </c>
      <c r="I6630" s="7" t="n">
        <f aca="false">IF(AND(LEFT(A6630,1)&lt;&gt;"C",D6630&gt;0,F6630&gt;0),1,0)</f>
        <v>1</v>
      </c>
      <c r="J6630" s="7" t="n">
        <f aca="false">IF(I6630=1,D6630*F6630,0)</f>
        <v>30</v>
      </c>
      <c r="K6630" s="7" t="n">
        <f aca="false">YEAR(E6630)*100+MONTH(E6630)</f>
        <v>201111</v>
      </c>
      <c r="L6630" s="7" t="n">
        <f aca="false">IF(AND(A6630&lt;&gt;A6629,LEFT(A6630,1)&lt;&gt;"C"),1,0)</f>
        <v>0</v>
      </c>
    </row>
    <row r="6631" customFormat="false" ht="15" hidden="false" customHeight="false" outlineLevel="0" collapsed="false">
      <c r="A6631" s="0" t="s">
        <v>3364</v>
      </c>
      <c r="B6631" s="0" t="s">
        <v>1175</v>
      </c>
      <c r="C6631" s="0" t="s">
        <v>1176</v>
      </c>
      <c r="D6631" s="0" t="n">
        <v>18</v>
      </c>
      <c r="E6631" s="6" t="n">
        <v>40876.5416666667</v>
      </c>
      <c r="F6631" s="0" t="n">
        <v>2.08</v>
      </c>
      <c r="G6631" s="0" t="n">
        <v>12471</v>
      </c>
      <c r="H6631" s="0" t="s">
        <v>33</v>
      </c>
      <c r="I6631" s="7" t="n">
        <f aca="false">IF(AND(LEFT(A6631,1)&lt;&gt;"C",D6631&gt;0,F6631&gt;0),1,0)</f>
        <v>1</v>
      </c>
      <c r="J6631" s="7" t="n">
        <f aca="false">IF(I6631=1,D6631*F6631,0)</f>
        <v>37.44</v>
      </c>
      <c r="K6631" s="7" t="n">
        <f aca="false">YEAR(E6631)*100+MONTH(E6631)</f>
        <v>201111</v>
      </c>
      <c r="L6631" s="7" t="n">
        <f aca="false">IF(AND(A6631&lt;&gt;A6630,LEFT(A6631,1)&lt;&gt;"C"),1,0)</f>
        <v>0</v>
      </c>
    </row>
    <row r="6632" customFormat="false" ht="15" hidden="false" customHeight="false" outlineLevel="0" collapsed="false">
      <c r="A6632" s="0" t="s">
        <v>3364</v>
      </c>
      <c r="B6632" s="0" t="s">
        <v>84</v>
      </c>
      <c r="C6632" s="0" t="s">
        <v>85</v>
      </c>
      <c r="D6632" s="0" t="n">
        <v>5</v>
      </c>
      <c r="E6632" s="6" t="n">
        <v>40876.5416666667</v>
      </c>
      <c r="F6632" s="0" t="n">
        <v>18</v>
      </c>
      <c r="G6632" s="0" t="n">
        <v>12471</v>
      </c>
      <c r="H6632" s="0" t="s">
        <v>33</v>
      </c>
      <c r="I6632" s="7" t="n">
        <f aca="false">IF(AND(LEFT(A6632,1)&lt;&gt;"C",D6632&gt;0,F6632&gt;0),1,0)</f>
        <v>1</v>
      </c>
      <c r="J6632" s="7" t="n">
        <f aca="false">IF(I6632=1,D6632*F6632,0)</f>
        <v>90</v>
      </c>
      <c r="K6632" s="7" t="n">
        <f aca="false">YEAR(E6632)*100+MONTH(E6632)</f>
        <v>201111</v>
      </c>
      <c r="L6632" s="7" t="n">
        <f aca="false">IF(AND(A6632&lt;&gt;A6631,LEFT(A6632,1)&lt;&gt;"C"),1,0)</f>
        <v>0</v>
      </c>
    </row>
    <row r="6633" customFormat="false" ht="15" hidden="false" customHeight="false" outlineLevel="0" collapsed="false">
      <c r="A6633" s="0" t="s">
        <v>3365</v>
      </c>
      <c r="B6633" s="0" t="s">
        <v>3358</v>
      </c>
      <c r="C6633" s="0" t="s">
        <v>3359</v>
      </c>
      <c r="D6633" s="0" t="n">
        <v>6</v>
      </c>
      <c r="E6633" s="6" t="n">
        <v>40876.5423611111</v>
      </c>
      <c r="F6633" s="0" t="n">
        <v>2.08</v>
      </c>
      <c r="G6633" s="0" t="n">
        <v>12471</v>
      </c>
      <c r="H6633" s="0" t="s">
        <v>33</v>
      </c>
      <c r="I6633" s="7" t="n">
        <f aca="false">IF(AND(LEFT(A6633,1)&lt;&gt;"C",D6633&gt;0,F6633&gt;0),1,0)</f>
        <v>1</v>
      </c>
      <c r="J6633" s="7" t="n">
        <f aca="false">IF(I6633=1,D6633*F6633,0)</f>
        <v>12.48</v>
      </c>
      <c r="K6633" s="7" t="n">
        <f aca="false">YEAR(E6633)*100+MONTH(E6633)</f>
        <v>201111</v>
      </c>
      <c r="L6633" s="7" t="n">
        <f aca="false">IF(AND(A6633&lt;&gt;A6632,LEFT(A6633,1)&lt;&gt;"C"),1,0)</f>
        <v>1</v>
      </c>
    </row>
    <row r="6634" customFormat="false" ht="15" hidden="false" customHeight="false" outlineLevel="0" collapsed="false">
      <c r="A6634" s="0" t="s">
        <v>3365</v>
      </c>
      <c r="B6634" s="0" t="s">
        <v>3356</v>
      </c>
      <c r="C6634" s="0" t="s">
        <v>3357</v>
      </c>
      <c r="D6634" s="0" t="n">
        <v>12</v>
      </c>
      <c r="E6634" s="6" t="n">
        <v>40876.5423611111</v>
      </c>
      <c r="F6634" s="0" t="n">
        <v>1.45</v>
      </c>
      <c r="G6634" s="0" t="n">
        <v>12471</v>
      </c>
      <c r="H6634" s="0" t="s">
        <v>33</v>
      </c>
      <c r="I6634" s="7" t="n">
        <f aca="false">IF(AND(LEFT(A6634,1)&lt;&gt;"C",D6634&gt;0,F6634&gt;0),1,0)</f>
        <v>1</v>
      </c>
      <c r="J6634" s="7" t="n">
        <f aca="false">IF(I6634=1,D6634*F6634,0)</f>
        <v>17.4</v>
      </c>
      <c r="K6634" s="7" t="n">
        <f aca="false">YEAR(E6634)*100+MONTH(E6634)</f>
        <v>201111</v>
      </c>
      <c r="L6634" s="7" t="n">
        <f aca="false">IF(AND(A6634&lt;&gt;A6633,LEFT(A6634,1)&lt;&gt;"C"),1,0)</f>
        <v>0</v>
      </c>
    </row>
    <row r="6635" customFormat="false" ht="15" hidden="false" customHeight="false" outlineLevel="0" collapsed="false">
      <c r="A6635" s="0" t="s">
        <v>3365</v>
      </c>
      <c r="B6635" s="0" t="s">
        <v>3366</v>
      </c>
      <c r="C6635" s="0" t="s">
        <v>3367</v>
      </c>
      <c r="D6635" s="0" t="n">
        <v>8</v>
      </c>
      <c r="E6635" s="6" t="n">
        <v>40876.5423611111</v>
      </c>
      <c r="F6635" s="0" t="n">
        <v>1.95</v>
      </c>
      <c r="G6635" s="0" t="n">
        <v>12471</v>
      </c>
      <c r="H6635" s="0" t="s">
        <v>33</v>
      </c>
      <c r="I6635" s="7" t="n">
        <f aca="false">IF(AND(LEFT(A6635,1)&lt;&gt;"C",D6635&gt;0,F6635&gt;0),1,0)</f>
        <v>1</v>
      </c>
      <c r="J6635" s="7" t="n">
        <f aca="false">IF(I6635=1,D6635*F6635,0)</f>
        <v>15.6</v>
      </c>
      <c r="K6635" s="7" t="n">
        <f aca="false">YEAR(E6635)*100+MONTH(E6635)</f>
        <v>201111</v>
      </c>
      <c r="L6635" s="7" t="n">
        <f aca="false">IF(AND(A6635&lt;&gt;A6634,LEFT(A6635,1)&lt;&gt;"C"),1,0)</f>
        <v>0</v>
      </c>
    </row>
    <row r="6636" customFormat="false" ht="15" hidden="false" customHeight="false" outlineLevel="0" collapsed="false">
      <c r="A6636" s="0" t="s">
        <v>3365</v>
      </c>
      <c r="B6636" s="0" t="s">
        <v>3368</v>
      </c>
      <c r="C6636" s="0" t="s">
        <v>3369</v>
      </c>
      <c r="D6636" s="0" t="n">
        <v>6</v>
      </c>
      <c r="E6636" s="6" t="n">
        <v>40876.5423611111</v>
      </c>
      <c r="F6636" s="0" t="n">
        <v>2.89</v>
      </c>
      <c r="G6636" s="0" t="n">
        <v>12471</v>
      </c>
      <c r="H6636" s="0" t="s">
        <v>33</v>
      </c>
      <c r="I6636" s="7" t="n">
        <f aca="false">IF(AND(LEFT(A6636,1)&lt;&gt;"C",D6636&gt;0,F6636&gt;0),1,0)</f>
        <v>1</v>
      </c>
      <c r="J6636" s="7" t="n">
        <f aca="false">IF(I6636=1,D6636*F6636,0)</f>
        <v>17.34</v>
      </c>
      <c r="K6636" s="7" t="n">
        <f aca="false">YEAR(E6636)*100+MONTH(E6636)</f>
        <v>201111</v>
      </c>
      <c r="L6636" s="7" t="n">
        <f aca="false">IF(AND(A6636&lt;&gt;A6635,LEFT(A6636,1)&lt;&gt;"C"),1,0)</f>
        <v>0</v>
      </c>
    </row>
    <row r="6637" customFormat="false" ht="15" hidden="false" customHeight="false" outlineLevel="0" collapsed="false">
      <c r="A6637" s="0" t="s">
        <v>3365</v>
      </c>
      <c r="B6637" s="0" t="s">
        <v>3370</v>
      </c>
      <c r="C6637" s="0" t="s">
        <v>3371</v>
      </c>
      <c r="D6637" s="0" t="n">
        <v>8</v>
      </c>
      <c r="E6637" s="6" t="n">
        <v>40876.5423611111</v>
      </c>
      <c r="F6637" s="0" t="n">
        <v>1.95</v>
      </c>
      <c r="G6637" s="0" t="n">
        <v>12471</v>
      </c>
      <c r="H6637" s="0" t="s">
        <v>33</v>
      </c>
      <c r="I6637" s="7" t="n">
        <f aca="false">IF(AND(LEFT(A6637,1)&lt;&gt;"C",D6637&gt;0,F6637&gt;0),1,0)</f>
        <v>1</v>
      </c>
      <c r="J6637" s="7" t="n">
        <f aca="false">IF(I6637=1,D6637*F6637,0)</f>
        <v>15.6</v>
      </c>
      <c r="K6637" s="7" t="n">
        <f aca="false">YEAR(E6637)*100+MONTH(E6637)</f>
        <v>201111</v>
      </c>
      <c r="L6637" s="7" t="n">
        <f aca="false">IF(AND(A6637&lt;&gt;A6636,LEFT(A6637,1)&lt;&gt;"C"),1,0)</f>
        <v>0</v>
      </c>
    </row>
    <row r="6638" customFormat="false" ht="15" hidden="false" customHeight="false" outlineLevel="0" collapsed="false">
      <c r="A6638" s="0" t="s">
        <v>3365</v>
      </c>
      <c r="B6638" s="0" t="s">
        <v>3372</v>
      </c>
      <c r="C6638" s="0" t="s">
        <v>3373</v>
      </c>
      <c r="D6638" s="0" t="n">
        <v>8</v>
      </c>
      <c r="E6638" s="6" t="n">
        <v>40876.5423611111</v>
      </c>
      <c r="F6638" s="0" t="n">
        <v>1.95</v>
      </c>
      <c r="G6638" s="0" t="n">
        <v>12471</v>
      </c>
      <c r="H6638" s="0" t="s">
        <v>33</v>
      </c>
      <c r="I6638" s="7" t="n">
        <f aca="false">IF(AND(LEFT(A6638,1)&lt;&gt;"C",D6638&gt;0,F6638&gt;0),1,0)</f>
        <v>1</v>
      </c>
      <c r="J6638" s="7" t="n">
        <f aca="false">IF(I6638=1,D6638*F6638,0)</f>
        <v>15.6</v>
      </c>
      <c r="K6638" s="7" t="n">
        <f aca="false">YEAR(E6638)*100+MONTH(E6638)</f>
        <v>201111</v>
      </c>
      <c r="L6638" s="7" t="n">
        <f aca="false">IF(AND(A6638&lt;&gt;A6637,LEFT(A6638,1)&lt;&gt;"C"),1,0)</f>
        <v>0</v>
      </c>
    </row>
    <row r="6639" customFormat="false" ht="15" hidden="false" customHeight="false" outlineLevel="0" collapsed="false">
      <c r="A6639" s="0" t="s">
        <v>3374</v>
      </c>
      <c r="B6639" s="0" t="s">
        <v>62</v>
      </c>
      <c r="C6639" s="0" t="s">
        <v>63</v>
      </c>
      <c r="D6639" s="0" t="n">
        <v>48</v>
      </c>
      <c r="E6639" s="6" t="n">
        <v>40876.6409722222</v>
      </c>
      <c r="F6639" s="0" t="n">
        <v>1.79</v>
      </c>
      <c r="G6639" s="0" t="n">
        <v>12670</v>
      </c>
      <c r="H6639" s="0" t="s">
        <v>43</v>
      </c>
      <c r="I6639" s="7" t="n">
        <f aca="false">IF(AND(LEFT(A6639,1)&lt;&gt;"C",D6639&gt;0,F6639&gt;0),1,0)</f>
        <v>1</v>
      </c>
      <c r="J6639" s="7" t="n">
        <f aca="false">IF(I6639=1,D6639*F6639,0)</f>
        <v>85.92</v>
      </c>
      <c r="K6639" s="7" t="n">
        <f aca="false">YEAR(E6639)*100+MONTH(E6639)</f>
        <v>201111</v>
      </c>
      <c r="L6639" s="7" t="n">
        <f aca="false">IF(AND(A6639&lt;&gt;A6638,LEFT(A6639,1)&lt;&gt;"C"),1,0)</f>
        <v>1</v>
      </c>
    </row>
    <row r="6640" customFormat="false" ht="15" hidden="false" customHeight="false" outlineLevel="0" collapsed="false">
      <c r="A6640" s="0" t="s">
        <v>3374</v>
      </c>
      <c r="B6640" s="0" t="s">
        <v>64</v>
      </c>
      <c r="C6640" s="0" t="s">
        <v>65</v>
      </c>
      <c r="D6640" s="0" t="n">
        <v>36</v>
      </c>
      <c r="E6640" s="6" t="n">
        <v>40876.6409722222</v>
      </c>
      <c r="F6640" s="0" t="n">
        <v>1.65</v>
      </c>
      <c r="G6640" s="0" t="n">
        <v>12670</v>
      </c>
      <c r="H6640" s="0" t="s">
        <v>43</v>
      </c>
      <c r="I6640" s="7" t="n">
        <f aca="false">IF(AND(LEFT(A6640,1)&lt;&gt;"C",D6640&gt;0,F6640&gt;0),1,0)</f>
        <v>1</v>
      </c>
      <c r="J6640" s="7" t="n">
        <f aca="false">IF(I6640=1,D6640*F6640,0)</f>
        <v>59.4</v>
      </c>
      <c r="K6640" s="7" t="n">
        <f aca="false">YEAR(E6640)*100+MONTH(E6640)</f>
        <v>201111</v>
      </c>
      <c r="L6640" s="7" t="n">
        <f aca="false">IF(AND(A6640&lt;&gt;A6639,LEFT(A6640,1)&lt;&gt;"C"),1,0)</f>
        <v>0</v>
      </c>
    </row>
    <row r="6641" customFormat="false" ht="15" hidden="false" customHeight="false" outlineLevel="0" collapsed="false">
      <c r="A6641" s="0" t="s">
        <v>3374</v>
      </c>
      <c r="B6641" s="0" t="s">
        <v>471</v>
      </c>
      <c r="C6641" s="0" t="s">
        <v>472</v>
      </c>
      <c r="D6641" s="0" t="n">
        <v>24</v>
      </c>
      <c r="E6641" s="6" t="n">
        <v>40876.6409722222</v>
      </c>
      <c r="F6641" s="0" t="n">
        <v>1.65</v>
      </c>
      <c r="G6641" s="0" t="n">
        <v>12670</v>
      </c>
      <c r="H6641" s="0" t="s">
        <v>43</v>
      </c>
      <c r="I6641" s="7" t="n">
        <f aca="false">IF(AND(LEFT(A6641,1)&lt;&gt;"C",D6641&gt;0,F6641&gt;0),1,0)</f>
        <v>1</v>
      </c>
      <c r="J6641" s="7" t="n">
        <f aca="false">IF(I6641=1,D6641*F6641,0)</f>
        <v>39.6</v>
      </c>
      <c r="K6641" s="7" t="n">
        <f aca="false">YEAR(E6641)*100+MONTH(E6641)</f>
        <v>201111</v>
      </c>
      <c r="L6641" s="7" t="n">
        <f aca="false">IF(AND(A6641&lt;&gt;A6640,LEFT(A6641,1)&lt;&gt;"C"),1,0)</f>
        <v>0</v>
      </c>
    </row>
    <row r="6642" customFormat="false" ht="15" hidden="false" customHeight="false" outlineLevel="0" collapsed="false">
      <c r="A6642" s="0" t="s">
        <v>3374</v>
      </c>
      <c r="B6642" s="0" t="s">
        <v>97</v>
      </c>
      <c r="C6642" s="0" t="s">
        <v>98</v>
      </c>
      <c r="D6642" s="0" t="n">
        <v>24</v>
      </c>
      <c r="E6642" s="6" t="n">
        <v>40876.6409722222</v>
      </c>
      <c r="F6642" s="0" t="n">
        <v>1.65</v>
      </c>
      <c r="G6642" s="0" t="n">
        <v>12670</v>
      </c>
      <c r="H6642" s="0" t="s">
        <v>43</v>
      </c>
      <c r="I6642" s="7" t="n">
        <f aca="false">IF(AND(LEFT(A6642,1)&lt;&gt;"C",D6642&gt;0,F6642&gt;0),1,0)</f>
        <v>1</v>
      </c>
      <c r="J6642" s="7" t="n">
        <f aca="false">IF(I6642=1,D6642*F6642,0)</f>
        <v>39.6</v>
      </c>
      <c r="K6642" s="7" t="n">
        <f aca="false">YEAR(E6642)*100+MONTH(E6642)</f>
        <v>201111</v>
      </c>
      <c r="L6642" s="7" t="n">
        <f aca="false">IF(AND(A6642&lt;&gt;A6641,LEFT(A6642,1)&lt;&gt;"C"),1,0)</f>
        <v>0</v>
      </c>
    </row>
    <row r="6643" customFormat="false" ht="15" hidden="false" customHeight="false" outlineLevel="0" collapsed="false">
      <c r="A6643" s="0" t="s">
        <v>3374</v>
      </c>
      <c r="B6643" s="0" t="s">
        <v>2211</v>
      </c>
      <c r="C6643" s="0" t="s">
        <v>2212</v>
      </c>
      <c r="D6643" s="0" t="n">
        <v>24</v>
      </c>
      <c r="E6643" s="6" t="n">
        <v>40876.6409722222</v>
      </c>
      <c r="F6643" s="0" t="n">
        <v>1.25</v>
      </c>
      <c r="G6643" s="0" t="n">
        <v>12670</v>
      </c>
      <c r="H6643" s="0" t="s">
        <v>43</v>
      </c>
      <c r="I6643" s="7" t="n">
        <f aca="false">IF(AND(LEFT(A6643,1)&lt;&gt;"C",D6643&gt;0,F6643&gt;0),1,0)</f>
        <v>1</v>
      </c>
      <c r="J6643" s="7" t="n">
        <f aca="false">IF(I6643=1,D6643*F6643,0)</f>
        <v>30</v>
      </c>
      <c r="K6643" s="7" t="n">
        <f aca="false">YEAR(E6643)*100+MONTH(E6643)</f>
        <v>201111</v>
      </c>
      <c r="L6643" s="7" t="n">
        <f aca="false">IF(AND(A6643&lt;&gt;A6642,LEFT(A6643,1)&lt;&gt;"C"),1,0)</f>
        <v>0</v>
      </c>
    </row>
    <row r="6644" customFormat="false" ht="15" hidden="false" customHeight="false" outlineLevel="0" collapsed="false">
      <c r="A6644" s="0" t="s">
        <v>3374</v>
      </c>
      <c r="B6644" s="0" t="s">
        <v>1027</v>
      </c>
      <c r="C6644" s="0" t="s">
        <v>1028</v>
      </c>
      <c r="D6644" s="0" t="n">
        <v>12</v>
      </c>
      <c r="E6644" s="6" t="n">
        <v>40876.6409722222</v>
      </c>
      <c r="F6644" s="0" t="n">
        <v>1.25</v>
      </c>
      <c r="G6644" s="0" t="n">
        <v>12670</v>
      </c>
      <c r="H6644" s="0" t="s">
        <v>43</v>
      </c>
      <c r="I6644" s="7" t="n">
        <f aca="false">IF(AND(LEFT(A6644,1)&lt;&gt;"C",D6644&gt;0,F6644&gt;0),1,0)</f>
        <v>1</v>
      </c>
      <c r="J6644" s="7" t="n">
        <f aca="false">IF(I6644=1,D6644*F6644,0)</f>
        <v>15</v>
      </c>
      <c r="K6644" s="7" t="n">
        <f aca="false">YEAR(E6644)*100+MONTH(E6644)</f>
        <v>201111</v>
      </c>
      <c r="L6644" s="7" t="n">
        <f aca="false">IF(AND(A6644&lt;&gt;A6643,LEFT(A6644,1)&lt;&gt;"C"),1,0)</f>
        <v>0</v>
      </c>
    </row>
    <row r="6645" customFormat="false" ht="15" hidden="false" customHeight="false" outlineLevel="0" collapsed="false">
      <c r="A6645" s="0" t="s">
        <v>3374</v>
      </c>
      <c r="B6645" s="0" t="s">
        <v>2573</v>
      </c>
      <c r="C6645" s="0" t="s">
        <v>2574</v>
      </c>
      <c r="D6645" s="0" t="n">
        <v>24</v>
      </c>
      <c r="E6645" s="6" t="n">
        <v>40876.6409722222</v>
      </c>
      <c r="F6645" s="0" t="n">
        <v>3.75</v>
      </c>
      <c r="G6645" s="0" t="n">
        <v>12670</v>
      </c>
      <c r="H6645" s="0" t="s">
        <v>43</v>
      </c>
      <c r="I6645" s="7" t="n">
        <f aca="false">IF(AND(LEFT(A6645,1)&lt;&gt;"C",D6645&gt;0,F6645&gt;0),1,0)</f>
        <v>1</v>
      </c>
      <c r="J6645" s="7" t="n">
        <f aca="false">IF(I6645=1,D6645*F6645,0)</f>
        <v>90</v>
      </c>
      <c r="K6645" s="7" t="n">
        <f aca="false">YEAR(E6645)*100+MONTH(E6645)</f>
        <v>201111</v>
      </c>
      <c r="L6645" s="7" t="n">
        <f aca="false">IF(AND(A6645&lt;&gt;A6644,LEFT(A6645,1)&lt;&gt;"C"),1,0)</f>
        <v>0</v>
      </c>
    </row>
    <row r="6646" customFormat="false" ht="15" hidden="false" customHeight="false" outlineLevel="0" collapsed="false">
      <c r="A6646" s="0" t="s">
        <v>3374</v>
      </c>
      <c r="B6646" s="0" t="s">
        <v>308</v>
      </c>
      <c r="C6646" s="0" t="s">
        <v>309</v>
      </c>
      <c r="D6646" s="0" t="n">
        <v>12</v>
      </c>
      <c r="E6646" s="6" t="n">
        <v>40876.6409722222</v>
      </c>
      <c r="F6646" s="0" t="n">
        <v>1.25</v>
      </c>
      <c r="G6646" s="0" t="n">
        <v>12670</v>
      </c>
      <c r="H6646" s="0" t="s">
        <v>43</v>
      </c>
      <c r="I6646" s="7" t="n">
        <f aca="false">IF(AND(LEFT(A6646,1)&lt;&gt;"C",D6646&gt;0,F6646&gt;0),1,0)</f>
        <v>1</v>
      </c>
      <c r="J6646" s="7" t="n">
        <f aca="false">IF(I6646=1,D6646*F6646,0)</f>
        <v>15</v>
      </c>
      <c r="K6646" s="7" t="n">
        <f aca="false">YEAR(E6646)*100+MONTH(E6646)</f>
        <v>201111</v>
      </c>
      <c r="L6646" s="7" t="n">
        <f aca="false">IF(AND(A6646&lt;&gt;A6645,LEFT(A6646,1)&lt;&gt;"C"),1,0)</f>
        <v>0</v>
      </c>
    </row>
    <row r="6647" customFormat="false" ht="15" hidden="false" customHeight="false" outlineLevel="0" collapsed="false">
      <c r="A6647" s="0" t="s">
        <v>3374</v>
      </c>
      <c r="B6647" s="0" t="s">
        <v>301</v>
      </c>
      <c r="C6647" s="0" t="s">
        <v>302</v>
      </c>
      <c r="D6647" s="0" t="n">
        <v>24</v>
      </c>
      <c r="E6647" s="6" t="n">
        <v>40876.6409722222</v>
      </c>
      <c r="F6647" s="0" t="n">
        <v>2.55</v>
      </c>
      <c r="G6647" s="0" t="n">
        <v>12670</v>
      </c>
      <c r="H6647" s="0" t="s">
        <v>43</v>
      </c>
      <c r="I6647" s="7" t="n">
        <f aca="false">IF(AND(LEFT(A6647,1)&lt;&gt;"C",D6647&gt;0,F6647&gt;0),1,0)</f>
        <v>1</v>
      </c>
      <c r="J6647" s="7" t="n">
        <f aca="false">IF(I6647=1,D6647*F6647,0)</f>
        <v>61.2</v>
      </c>
      <c r="K6647" s="7" t="n">
        <f aca="false">YEAR(E6647)*100+MONTH(E6647)</f>
        <v>201111</v>
      </c>
      <c r="L6647" s="7" t="n">
        <f aca="false">IF(AND(A6647&lt;&gt;A6646,LEFT(A6647,1)&lt;&gt;"C"),1,0)</f>
        <v>0</v>
      </c>
    </row>
    <row r="6648" customFormat="false" ht="15" hidden="false" customHeight="false" outlineLevel="0" collapsed="false">
      <c r="A6648" s="0" t="s">
        <v>3374</v>
      </c>
      <c r="B6648" s="0" t="s">
        <v>111</v>
      </c>
      <c r="C6648" s="0" t="s">
        <v>112</v>
      </c>
      <c r="D6648" s="0" t="n">
        <v>24</v>
      </c>
      <c r="E6648" s="6" t="n">
        <v>40876.6409722222</v>
      </c>
      <c r="F6648" s="0" t="n">
        <v>2.55</v>
      </c>
      <c r="G6648" s="0" t="n">
        <v>12670</v>
      </c>
      <c r="H6648" s="0" t="s">
        <v>43</v>
      </c>
      <c r="I6648" s="7" t="n">
        <f aca="false">IF(AND(LEFT(A6648,1)&lt;&gt;"C",D6648&gt;0,F6648&gt;0),1,0)</f>
        <v>1</v>
      </c>
      <c r="J6648" s="7" t="n">
        <f aca="false">IF(I6648=1,D6648*F6648,0)</f>
        <v>61.2</v>
      </c>
      <c r="K6648" s="7" t="n">
        <f aca="false">YEAR(E6648)*100+MONTH(E6648)</f>
        <v>201111</v>
      </c>
      <c r="L6648" s="7" t="n">
        <f aca="false">IF(AND(A6648&lt;&gt;A6647,LEFT(A6648,1)&lt;&gt;"C"),1,0)</f>
        <v>0</v>
      </c>
    </row>
    <row r="6649" customFormat="false" ht="15" hidden="false" customHeight="false" outlineLevel="0" collapsed="false">
      <c r="A6649" s="0" t="s">
        <v>3374</v>
      </c>
      <c r="B6649" s="0" t="s">
        <v>1652</v>
      </c>
      <c r="C6649" s="0" t="s">
        <v>1653</v>
      </c>
      <c r="D6649" s="0" t="n">
        <v>12</v>
      </c>
      <c r="E6649" s="6" t="n">
        <v>40876.6409722222</v>
      </c>
      <c r="F6649" s="0" t="n">
        <v>4.95</v>
      </c>
      <c r="G6649" s="0" t="n">
        <v>12670</v>
      </c>
      <c r="H6649" s="0" t="s">
        <v>43</v>
      </c>
      <c r="I6649" s="7" t="n">
        <f aca="false">IF(AND(LEFT(A6649,1)&lt;&gt;"C",D6649&gt;0,F6649&gt;0),1,0)</f>
        <v>1</v>
      </c>
      <c r="J6649" s="7" t="n">
        <f aca="false">IF(I6649=1,D6649*F6649,0)</f>
        <v>59.4</v>
      </c>
      <c r="K6649" s="7" t="n">
        <f aca="false">YEAR(E6649)*100+MONTH(E6649)</f>
        <v>201111</v>
      </c>
      <c r="L6649" s="7" t="n">
        <f aca="false">IF(AND(A6649&lt;&gt;A6648,LEFT(A6649,1)&lt;&gt;"C"),1,0)</f>
        <v>0</v>
      </c>
    </row>
    <row r="6650" customFormat="false" ht="15" hidden="false" customHeight="false" outlineLevel="0" collapsed="false">
      <c r="A6650" s="0" t="s">
        <v>3374</v>
      </c>
      <c r="B6650" s="0" t="s">
        <v>1029</v>
      </c>
      <c r="C6650" s="0" t="s">
        <v>1030</v>
      </c>
      <c r="D6650" s="0" t="n">
        <v>12</v>
      </c>
      <c r="E6650" s="6" t="n">
        <v>40876.6409722222</v>
      </c>
      <c r="F6650" s="0" t="n">
        <v>1.25</v>
      </c>
      <c r="G6650" s="0" t="n">
        <v>12670</v>
      </c>
      <c r="H6650" s="0" t="s">
        <v>43</v>
      </c>
      <c r="I6650" s="7" t="n">
        <f aca="false">IF(AND(LEFT(A6650,1)&lt;&gt;"C",D6650&gt;0,F6650&gt;0),1,0)</f>
        <v>1</v>
      </c>
      <c r="J6650" s="7" t="n">
        <f aca="false">IF(I6650=1,D6650*F6650,0)</f>
        <v>15</v>
      </c>
      <c r="K6650" s="7" t="n">
        <f aca="false">YEAR(E6650)*100+MONTH(E6650)</f>
        <v>201111</v>
      </c>
      <c r="L6650" s="7" t="n">
        <f aca="false">IF(AND(A6650&lt;&gt;A6649,LEFT(A6650,1)&lt;&gt;"C"),1,0)</f>
        <v>0</v>
      </c>
    </row>
    <row r="6651" customFormat="false" ht="15" hidden="false" customHeight="false" outlineLevel="0" collapsed="false">
      <c r="A6651" s="0" t="s">
        <v>3374</v>
      </c>
      <c r="B6651" s="0" t="s">
        <v>610</v>
      </c>
      <c r="C6651" s="0" t="s">
        <v>611</v>
      </c>
      <c r="D6651" s="0" t="n">
        <v>24</v>
      </c>
      <c r="E6651" s="6" t="n">
        <v>40876.6409722222</v>
      </c>
      <c r="F6651" s="0" t="n">
        <v>2.95</v>
      </c>
      <c r="G6651" s="0" t="n">
        <v>12670</v>
      </c>
      <c r="H6651" s="0" t="s">
        <v>43</v>
      </c>
      <c r="I6651" s="7" t="n">
        <f aca="false">IF(AND(LEFT(A6651,1)&lt;&gt;"C",D6651&gt;0,F6651&gt;0),1,0)</f>
        <v>1</v>
      </c>
      <c r="J6651" s="7" t="n">
        <f aca="false">IF(I6651=1,D6651*F6651,0)</f>
        <v>70.8</v>
      </c>
      <c r="K6651" s="7" t="n">
        <f aca="false">YEAR(E6651)*100+MONTH(E6651)</f>
        <v>201111</v>
      </c>
      <c r="L6651" s="7" t="n">
        <f aca="false">IF(AND(A6651&lt;&gt;A6650,LEFT(A6651,1)&lt;&gt;"C"),1,0)</f>
        <v>0</v>
      </c>
    </row>
    <row r="6652" customFormat="false" ht="15" hidden="false" customHeight="false" outlineLevel="0" collapsed="false">
      <c r="A6652" s="0" t="s">
        <v>3374</v>
      </c>
      <c r="B6652" s="0" t="s">
        <v>84</v>
      </c>
      <c r="C6652" s="0" t="s">
        <v>85</v>
      </c>
      <c r="D6652" s="0" t="n">
        <v>3</v>
      </c>
      <c r="E6652" s="6" t="n">
        <v>40876.6409722222</v>
      </c>
      <c r="F6652" s="0" t="n">
        <v>18</v>
      </c>
      <c r="G6652" s="0" t="n">
        <v>12670</v>
      </c>
      <c r="H6652" s="0" t="s">
        <v>43</v>
      </c>
      <c r="I6652" s="7" t="n">
        <f aca="false">IF(AND(LEFT(A6652,1)&lt;&gt;"C",D6652&gt;0,F6652&gt;0),1,0)</f>
        <v>1</v>
      </c>
      <c r="J6652" s="7" t="n">
        <f aca="false">IF(I6652=1,D6652*F6652,0)</f>
        <v>54</v>
      </c>
      <c r="K6652" s="7" t="n">
        <f aca="false">YEAR(E6652)*100+MONTH(E6652)</f>
        <v>201111</v>
      </c>
      <c r="L6652" s="7" t="n">
        <f aca="false">IF(AND(A6652&lt;&gt;A6651,LEFT(A6652,1)&lt;&gt;"C"),1,0)</f>
        <v>0</v>
      </c>
    </row>
    <row r="6653" customFormat="false" ht="15" hidden="false" customHeight="false" outlineLevel="0" collapsed="false">
      <c r="A6653" s="0" t="s">
        <v>3375</v>
      </c>
      <c r="B6653" s="0" t="s">
        <v>1436</v>
      </c>
      <c r="C6653" s="0" t="s">
        <v>1437</v>
      </c>
      <c r="D6653" s="0" t="n">
        <v>3</v>
      </c>
      <c r="E6653" s="6" t="n">
        <v>40877.3680555556</v>
      </c>
      <c r="F6653" s="0" t="n">
        <v>4.95</v>
      </c>
      <c r="G6653" s="0" t="n">
        <v>12488</v>
      </c>
      <c r="H6653" s="0" t="s">
        <v>43</v>
      </c>
      <c r="I6653" s="7" t="n">
        <f aca="false">IF(AND(LEFT(A6653,1)&lt;&gt;"C",D6653&gt;0,F6653&gt;0),1,0)</f>
        <v>1</v>
      </c>
      <c r="J6653" s="7" t="n">
        <f aca="false">IF(I6653=1,D6653*F6653,0)</f>
        <v>14.85</v>
      </c>
      <c r="K6653" s="7" t="n">
        <f aca="false">YEAR(E6653)*100+MONTH(E6653)</f>
        <v>201111</v>
      </c>
      <c r="L6653" s="7" t="n">
        <f aca="false">IF(AND(A6653&lt;&gt;A6652,LEFT(A6653,1)&lt;&gt;"C"),1,0)</f>
        <v>1</v>
      </c>
    </row>
    <row r="6654" customFormat="false" ht="15" hidden="false" customHeight="false" outlineLevel="0" collapsed="false">
      <c r="A6654" s="0" t="s">
        <v>3375</v>
      </c>
      <c r="B6654" s="0" t="s">
        <v>62</v>
      </c>
      <c r="C6654" s="0" t="s">
        <v>63</v>
      </c>
      <c r="D6654" s="0" t="n">
        <v>24</v>
      </c>
      <c r="E6654" s="6" t="n">
        <v>40877.3680555556</v>
      </c>
      <c r="F6654" s="0" t="n">
        <v>1.79</v>
      </c>
      <c r="G6654" s="0" t="n">
        <v>12488</v>
      </c>
      <c r="H6654" s="0" t="s">
        <v>43</v>
      </c>
      <c r="I6654" s="7" t="n">
        <f aca="false">IF(AND(LEFT(A6654,1)&lt;&gt;"C",D6654&gt;0,F6654&gt;0),1,0)</f>
        <v>1</v>
      </c>
      <c r="J6654" s="7" t="n">
        <f aca="false">IF(I6654=1,D6654*F6654,0)</f>
        <v>42.96</v>
      </c>
      <c r="K6654" s="7" t="n">
        <f aca="false">YEAR(E6654)*100+MONTH(E6654)</f>
        <v>201111</v>
      </c>
      <c r="L6654" s="7" t="n">
        <f aca="false">IF(AND(A6654&lt;&gt;A6653,LEFT(A6654,1)&lt;&gt;"C"),1,0)</f>
        <v>0</v>
      </c>
    </row>
    <row r="6655" customFormat="false" ht="15" hidden="false" customHeight="false" outlineLevel="0" collapsed="false">
      <c r="A6655" s="0" t="s">
        <v>3375</v>
      </c>
      <c r="B6655" s="0" t="s">
        <v>84</v>
      </c>
      <c r="C6655" s="0" t="s">
        <v>85</v>
      </c>
      <c r="D6655" s="0" t="n">
        <v>3</v>
      </c>
      <c r="E6655" s="6" t="n">
        <v>40877.3680555556</v>
      </c>
      <c r="F6655" s="0" t="n">
        <v>18</v>
      </c>
      <c r="G6655" s="0" t="n">
        <v>12488</v>
      </c>
      <c r="H6655" s="0" t="s">
        <v>43</v>
      </c>
      <c r="I6655" s="7" t="n">
        <f aca="false">IF(AND(LEFT(A6655,1)&lt;&gt;"C",D6655&gt;0,F6655&gt;0),1,0)</f>
        <v>1</v>
      </c>
      <c r="J6655" s="7" t="n">
        <f aca="false">IF(I6655=1,D6655*F6655,0)</f>
        <v>54</v>
      </c>
      <c r="K6655" s="7" t="n">
        <f aca="false">YEAR(E6655)*100+MONTH(E6655)</f>
        <v>201111</v>
      </c>
      <c r="L6655" s="7" t="n">
        <f aca="false">IF(AND(A6655&lt;&gt;A6654,LEFT(A6655,1)&lt;&gt;"C"),1,0)</f>
        <v>0</v>
      </c>
    </row>
    <row r="6656" customFormat="false" ht="15" hidden="false" customHeight="false" outlineLevel="0" collapsed="false">
      <c r="A6656" s="0" t="s">
        <v>3375</v>
      </c>
      <c r="B6656" s="0" t="s">
        <v>1432</v>
      </c>
      <c r="C6656" s="0" t="s">
        <v>1433</v>
      </c>
      <c r="D6656" s="0" t="n">
        <v>12</v>
      </c>
      <c r="E6656" s="6" t="n">
        <v>40877.3680555556</v>
      </c>
      <c r="F6656" s="0" t="n">
        <v>2.95</v>
      </c>
      <c r="G6656" s="0" t="n">
        <v>12488</v>
      </c>
      <c r="H6656" s="0" t="s">
        <v>43</v>
      </c>
      <c r="I6656" s="7" t="n">
        <f aca="false">IF(AND(LEFT(A6656,1)&lt;&gt;"C",D6656&gt;0,F6656&gt;0),1,0)</f>
        <v>1</v>
      </c>
      <c r="J6656" s="7" t="n">
        <f aca="false">IF(I6656=1,D6656*F6656,0)</f>
        <v>35.4</v>
      </c>
      <c r="K6656" s="7" t="n">
        <f aca="false">YEAR(E6656)*100+MONTH(E6656)</f>
        <v>201111</v>
      </c>
      <c r="L6656" s="7" t="n">
        <f aca="false">IF(AND(A6656&lt;&gt;A6655,LEFT(A6656,1)&lt;&gt;"C"),1,0)</f>
        <v>0</v>
      </c>
    </row>
    <row r="6657" customFormat="false" ht="15" hidden="false" customHeight="false" outlineLevel="0" collapsed="false">
      <c r="A6657" s="0" t="s">
        <v>3375</v>
      </c>
      <c r="B6657" s="0" t="s">
        <v>3376</v>
      </c>
      <c r="C6657" s="0" t="s">
        <v>3377</v>
      </c>
      <c r="D6657" s="0" t="n">
        <v>6</v>
      </c>
      <c r="E6657" s="6" t="n">
        <v>40877.3680555556</v>
      </c>
      <c r="F6657" s="0" t="n">
        <v>2.55</v>
      </c>
      <c r="G6657" s="0" t="n">
        <v>12488</v>
      </c>
      <c r="H6657" s="0" t="s">
        <v>43</v>
      </c>
      <c r="I6657" s="7" t="n">
        <f aca="false">IF(AND(LEFT(A6657,1)&lt;&gt;"C",D6657&gt;0,F6657&gt;0),1,0)</f>
        <v>1</v>
      </c>
      <c r="J6657" s="7" t="n">
        <f aca="false">IF(I6657=1,D6657*F6657,0)</f>
        <v>15.3</v>
      </c>
      <c r="K6657" s="7" t="n">
        <f aca="false">YEAR(E6657)*100+MONTH(E6657)</f>
        <v>201111</v>
      </c>
      <c r="L6657" s="7" t="n">
        <f aca="false">IF(AND(A6657&lt;&gt;A6656,LEFT(A6657,1)&lt;&gt;"C"),1,0)</f>
        <v>0</v>
      </c>
    </row>
    <row r="6658" customFormat="false" ht="15" hidden="false" customHeight="false" outlineLevel="0" collapsed="false">
      <c r="A6658" s="0" t="s">
        <v>3375</v>
      </c>
      <c r="B6658" s="0" t="s">
        <v>3338</v>
      </c>
      <c r="C6658" s="0" t="s">
        <v>3339</v>
      </c>
      <c r="D6658" s="0" t="n">
        <v>6</v>
      </c>
      <c r="E6658" s="6" t="n">
        <v>40877.3680555556</v>
      </c>
      <c r="F6658" s="0" t="n">
        <v>2.55</v>
      </c>
      <c r="G6658" s="0" t="n">
        <v>12488</v>
      </c>
      <c r="H6658" s="0" t="s">
        <v>43</v>
      </c>
      <c r="I6658" s="7" t="n">
        <f aca="false">IF(AND(LEFT(A6658,1)&lt;&gt;"C",D6658&gt;0,F6658&gt;0),1,0)</f>
        <v>1</v>
      </c>
      <c r="J6658" s="7" t="n">
        <f aca="false">IF(I6658=1,D6658*F6658,0)</f>
        <v>15.3</v>
      </c>
      <c r="K6658" s="7" t="n">
        <f aca="false">YEAR(E6658)*100+MONTH(E6658)</f>
        <v>201111</v>
      </c>
      <c r="L6658" s="7" t="n">
        <f aca="false">IF(AND(A6658&lt;&gt;A6657,LEFT(A6658,1)&lt;&gt;"C"),1,0)</f>
        <v>0</v>
      </c>
    </row>
    <row r="6659" customFormat="false" ht="15" hidden="false" customHeight="false" outlineLevel="0" collapsed="false">
      <c r="A6659" s="0" t="s">
        <v>3375</v>
      </c>
      <c r="B6659" s="0" t="s">
        <v>677</v>
      </c>
      <c r="C6659" s="0" t="s">
        <v>678</v>
      </c>
      <c r="D6659" s="0" t="n">
        <v>6</v>
      </c>
      <c r="E6659" s="6" t="n">
        <v>40877.3680555556</v>
      </c>
      <c r="F6659" s="0" t="n">
        <v>2.1</v>
      </c>
      <c r="G6659" s="0" t="n">
        <v>12488</v>
      </c>
      <c r="H6659" s="0" t="s">
        <v>43</v>
      </c>
      <c r="I6659" s="7" t="n">
        <f aca="false">IF(AND(LEFT(A6659,1)&lt;&gt;"C",D6659&gt;0,F6659&gt;0),1,0)</f>
        <v>1</v>
      </c>
      <c r="J6659" s="7" t="n">
        <f aca="false">IF(I6659=1,D6659*F6659,0)</f>
        <v>12.6</v>
      </c>
      <c r="K6659" s="7" t="n">
        <f aca="false">YEAR(E6659)*100+MONTH(E6659)</f>
        <v>201111</v>
      </c>
      <c r="L6659" s="7" t="n">
        <f aca="false">IF(AND(A6659&lt;&gt;A6658,LEFT(A6659,1)&lt;&gt;"C"),1,0)</f>
        <v>0</v>
      </c>
    </row>
    <row r="6660" customFormat="false" ht="15" hidden="false" customHeight="false" outlineLevel="0" collapsed="false">
      <c r="A6660" s="0" t="s">
        <v>3375</v>
      </c>
      <c r="B6660" s="0" t="s">
        <v>465</v>
      </c>
      <c r="C6660" s="0" t="s">
        <v>466</v>
      </c>
      <c r="D6660" s="0" t="n">
        <v>2</v>
      </c>
      <c r="E6660" s="6" t="n">
        <v>40877.3680555556</v>
      </c>
      <c r="F6660" s="0" t="n">
        <v>7.95</v>
      </c>
      <c r="G6660" s="0" t="n">
        <v>12488</v>
      </c>
      <c r="H6660" s="0" t="s">
        <v>43</v>
      </c>
      <c r="I6660" s="7" t="n">
        <f aca="false">IF(AND(LEFT(A6660,1)&lt;&gt;"C",D6660&gt;0,F6660&gt;0),1,0)</f>
        <v>1</v>
      </c>
      <c r="J6660" s="7" t="n">
        <f aca="false">IF(I6660=1,D6660*F6660,0)</f>
        <v>15.9</v>
      </c>
      <c r="K6660" s="7" t="n">
        <f aca="false">YEAR(E6660)*100+MONTH(E6660)</f>
        <v>201111</v>
      </c>
      <c r="L6660" s="7" t="n">
        <f aca="false">IF(AND(A6660&lt;&gt;A6659,LEFT(A6660,1)&lt;&gt;"C"),1,0)</f>
        <v>0</v>
      </c>
    </row>
    <row r="6661" customFormat="false" ht="15" hidden="false" customHeight="false" outlineLevel="0" collapsed="false">
      <c r="A6661" s="0" t="s">
        <v>3375</v>
      </c>
      <c r="B6661" s="0" t="s">
        <v>463</v>
      </c>
      <c r="C6661" s="0" t="s">
        <v>464</v>
      </c>
      <c r="D6661" s="0" t="n">
        <v>2</v>
      </c>
      <c r="E6661" s="6" t="n">
        <v>40877.3680555556</v>
      </c>
      <c r="F6661" s="0" t="n">
        <v>7.95</v>
      </c>
      <c r="G6661" s="0" t="n">
        <v>12488</v>
      </c>
      <c r="H6661" s="0" t="s">
        <v>43</v>
      </c>
      <c r="I6661" s="7" t="n">
        <f aca="false">IF(AND(LEFT(A6661,1)&lt;&gt;"C",D6661&gt;0,F6661&gt;0),1,0)</f>
        <v>1</v>
      </c>
      <c r="J6661" s="7" t="n">
        <f aca="false">IF(I6661=1,D6661*F6661,0)</f>
        <v>15.9</v>
      </c>
      <c r="K6661" s="7" t="n">
        <f aca="false">YEAR(E6661)*100+MONTH(E6661)</f>
        <v>201111</v>
      </c>
      <c r="L6661" s="7" t="n">
        <f aca="false">IF(AND(A6661&lt;&gt;A6660,LEFT(A6661,1)&lt;&gt;"C"),1,0)</f>
        <v>0</v>
      </c>
    </row>
    <row r="6662" customFormat="false" ht="15" hidden="false" customHeight="false" outlineLevel="0" collapsed="false">
      <c r="A6662" s="0" t="s">
        <v>3375</v>
      </c>
      <c r="B6662" s="0" t="s">
        <v>1579</v>
      </c>
      <c r="C6662" s="0" t="s">
        <v>1580</v>
      </c>
      <c r="D6662" s="0" t="n">
        <v>6</v>
      </c>
      <c r="E6662" s="6" t="n">
        <v>40877.3680555556</v>
      </c>
      <c r="F6662" s="0" t="n">
        <v>2.95</v>
      </c>
      <c r="G6662" s="0" t="n">
        <v>12488</v>
      </c>
      <c r="H6662" s="0" t="s">
        <v>43</v>
      </c>
      <c r="I6662" s="7" t="n">
        <f aca="false">IF(AND(LEFT(A6662,1)&lt;&gt;"C",D6662&gt;0,F6662&gt;0),1,0)</f>
        <v>1</v>
      </c>
      <c r="J6662" s="7" t="n">
        <f aca="false">IF(I6662=1,D6662*F6662,0)</f>
        <v>17.7</v>
      </c>
      <c r="K6662" s="7" t="n">
        <f aca="false">YEAR(E6662)*100+MONTH(E6662)</f>
        <v>201111</v>
      </c>
      <c r="L6662" s="7" t="n">
        <f aca="false">IF(AND(A6662&lt;&gt;A6661,LEFT(A6662,1)&lt;&gt;"C"),1,0)</f>
        <v>0</v>
      </c>
    </row>
    <row r="6663" customFormat="false" ht="15" hidden="false" customHeight="false" outlineLevel="0" collapsed="false">
      <c r="A6663" s="0" t="s">
        <v>3375</v>
      </c>
      <c r="B6663" s="0" t="s">
        <v>2273</v>
      </c>
      <c r="C6663" s="0" t="s">
        <v>2274</v>
      </c>
      <c r="D6663" s="0" t="n">
        <v>12</v>
      </c>
      <c r="E6663" s="6" t="n">
        <v>40877.3680555556</v>
      </c>
      <c r="F6663" s="0" t="n">
        <v>2.1</v>
      </c>
      <c r="G6663" s="0" t="n">
        <v>12488</v>
      </c>
      <c r="H6663" s="0" t="s">
        <v>43</v>
      </c>
      <c r="I6663" s="7" t="n">
        <f aca="false">IF(AND(LEFT(A6663,1)&lt;&gt;"C",D6663&gt;0,F6663&gt;0),1,0)</f>
        <v>1</v>
      </c>
      <c r="J6663" s="7" t="n">
        <f aca="false">IF(I6663=1,D6663*F6663,0)</f>
        <v>25.2</v>
      </c>
      <c r="K6663" s="7" t="n">
        <f aca="false">YEAR(E6663)*100+MONTH(E6663)</f>
        <v>201111</v>
      </c>
      <c r="L6663" s="7" t="n">
        <f aca="false">IF(AND(A6663&lt;&gt;A6662,LEFT(A6663,1)&lt;&gt;"C"),1,0)</f>
        <v>0</v>
      </c>
    </row>
    <row r="6664" customFormat="false" ht="15" hidden="false" customHeight="false" outlineLevel="0" collapsed="false">
      <c r="A6664" s="0" t="s">
        <v>3375</v>
      </c>
      <c r="B6664" s="0" t="s">
        <v>469</v>
      </c>
      <c r="C6664" s="0" t="s">
        <v>470</v>
      </c>
      <c r="D6664" s="0" t="n">
        <v>6</v>
      </c>
      <c r="E6664" s="6" t="n">
        <v>40877.3680555556</v>
      </c>
      <c r="F6664" s="0" t="n">
        <v>2.1</v>
      </c>
      <c r="G6664" s="0" t="n">
        <v>12488</v>
      </c>
      <c r="H6664" s="0" t="s">
        <v>43</v>
      </c>
      <c r="I6664" s="7" t="n">
        <f aca="false">IF(AND(LEFT(A6664,1)&lt;&gt;"C",D6664&gt;0,F6664&gt;0),1,0)</f>
        <v>1</v>
      </c>
      <c r="J6664" s="7" t="n">
        <f aca="false">IF(I6664=1,D6664*F6664,0)</f>
        <v>12.6</v>
      </c>
      <c r="K6664" s="7" t="n">
        <f aca="false">YEAR(E6664)*100+MONTH(E6664)</f>
        <v>201111</v>
      </c>
      <c r="L6664" s="7" t="n">
        <f aca="false">IF(AND(A6664&lt;&gt;A6663,LEFT(A6664,1)&lt;&gt;"C"),1,0)</f>
        <v>0</v>
      </c>
    </row>
    <row r="6665" customFormat="false" ht="15" hidden="false" customHeight="false" outlineLevel="0" collapsed="false">
      <c r="A6665" s="0" t="s">
        <v>3375</v>
      </c>
      <c r="B6665" s="0" t="s">
        <v>339</v>
      </c>
      <c r="C6665" s="0" t="s">
        <v>340</v>
      </c>
      <c r="D6665" s="0" t="n">
        <v>8</v>
      </c>
      <c r="E6665" s="6" t="n">
        <v>40877.3680555556</v>
      </c>
      <c r="F6665" s="0" t="n">
        <v>1.95</v>
      </c>
      <c r="G6665" s="0" t="n">
        <v>12488</v>
      </c>
      <c r="H6665" s="0" t="s">
        <v>43</v>
      </c>
      <c r="I6665" s="7" t="n">
        <f aca="false">IF(AND(LEFT(A6665,1)&lt;&gt;"C",D6665&gt;0,F6665&gt;0),1,0)</f>
        <v>1</v>
      </c>
      <c r="J6665" s="7" t="n">
        <f aca="false">IF(I6665=1,D6665*F6665,0)</f>
        <v>15.6</v>
      </c>
      <c r="K6665" s="7" t="n">
        <f aca="false">YEAR(E6665)*100+MONTH(E6665)</f>
        <v>201111</v>
      </c>
      <c r="L6665" s="7" t="n">
        <f aca="false">IF(AND(A6665&lt;&gt;A6664,LEFT(A6665,1)&lt;&gt;"C"),1,0)</f>
        <v>0</v>
      </c>
    </row>
    <row r="6666" customFormat="false" ht="15" hidden="false" customHeight="false" outlineLevel="0" collapsed="false">
      <c r="A6666" s="0" t="s">
        <v>3375</v>
      </c>
      <c r="B6666" s="0" t="s">
        <v>1266</v>
      </c>
      <c r="C6666" s="0" t="s">
        <v>1267</v>
      </c>
      <c r="D6666" s="0" t="n">
        <v>8</v>
      </c>
      <c r="E6666" s="6" t="n">
        <v>40877.3680555556</v>
      </c>
      <c r="F6666" s="0" t="n">
        <v>1.95</v>
      </c>
      <c r="G6666" s="0" t="n">
        <v>12488</v>
      </c>
      <c r="H6666" s="0" t="s">
        <v>43</v>
      </c>
      <c r="I6666" s="7" t="n">
        <f aca="false">IF(AND(LEFT(A6666,1)&lt;&gt;"C",D6666&gt;0,F6666&gt;0),1,0)</f>
        <v>1</v>
      </c>
      <c r="J6666" s="7" t="n">
        <f aca="false">IF(I6666=1,D6666*F6666,0)</f>
        <v>15.6</v>
      </c>
      <c r="K6666" s="7" t="n">
        <f aca="false">YEAR(E6666)*100+MONTH(E6666)</f>
        <v>201111</v>
      </c>
      <c r="L6666" s="7" t="n">
        <f aca="false">IF(AND(A6666&lt;&gt;A6665,LEFT(A6666,1)&lt;&gt;"C"),1,0)</f>
        <v>0</v>
      </c>
    </row>
    <row r="6667" customFormat="false" ht="15" hidden="false" customHeight="false" outlineLevel="0" collapsed="false">
      <c r="A6667" s="0" t="s">
        <v>3375</v>
      </c>
      <c r="B6667" s="0" t="s">
        <v>511</v>
      </c>
      <c r="C6667" s="0" t="s">
        <v>512</v>
      </c>
      <c r="D6667" s="0" t="n">
        <v>5</v>
      </c>
      <c r="E6667" s="6" t="n">
        <v>40877.3680555556</v>
      </c>
      <c r="F6667" s="0" t="n">
        <v>2.95</v>
      </c>
      <c r="G6667" s="0" t="n">
        <v>12488</v>
      </c>
      <c r="H6667" s="0" t="s">
        <v>43</v>
      </c>
      <c r="I6667" s="7" t="n">
        <f aca="false">IF(AND(LEFT(A6667,1)&lt;&gt;"C",D6667&gt;0,F6667&gt;0),1,0)</f>
        <v>1</v>
      </c>
      <c r="J6667" s="7" t="n">
        <f aca="false">IF(I6667=1,D6667*F6667,0)</f>
        <v>14.75</v>
      </c>
      <c r="K6667" s="7" t="n">
        <f aca="false">YEAR(E6667)*100+MONTH(E6667)</f>
        <v>201111</v>
      </c>
      <c r="L6667" s="7" t="n">
        <f aca="false">IF(AND(A6667&lt;&gt;A6666,LEFT(A6667,1)&lt;&gt;"C"),1,0)</f>
        <v>0</v>
      </c>
    </row>
    <row r="6668" customFormat="false" ht="15" hidden="false" customHeight="false" outlineLevel="0" collapsed="false">
      <c r="A6668" s="0" t="s">
        <v>3375</v>
      </c>
      <c r="B6668" s="0" t="s">
        <v>533</v>
      </c>
      <c r="C6668" s="0" t="s">
        <v>534</v>
      </c>
      <c r="D6668" s="0" t="n">
        <v>16</v>
      </c>
      <c r="E6668" s="6" t="n">
        <v>40877.3680555556</v>
      </c>
      <c r="F6668" s="0" t="n">
        <v>1.25</v>
      </c>
      <c r="G6668" s="0" t="n">
        <v>12488</v>
      </c>
      <c r="H6668" s="0" t="s">
        <v>43</v>
      </c>
      <c r="I6668" s="7" t="n">
        <f aca="false">IF(AND(LEFT(A6668,1)&lt;&gt;"C",D6668&gt;0,F6668&gt;0),1,0)</f>
        <v>1</v>
      </c>
      <c r="J6668" s="7" t="n">
        <f aca="false">IF(I6668=1,D6668*F6668,0)</f>
        <v>20</v>
      </c>
      <c r="K6668" s="7" t="n">
        <f aca="false">YEAR(E6668)*100+MONTH(E6668)</f>
        <v>201111</v>
      </c>
      <c r="L6668" s="7" t="n">
        <f aca="false">IF(AND(A6668&lt;&gt;A6667,LEFT(A6668,1)&lt;&gt;"C"),1,0)</f>
        <v>0</v>
      </c>
    </row>
    <row r="6669" customFormat="false" ht="15" hidden="false" customHeight="false" outlineLevel="0" collapsed="false">
      <c r="A6669" s="0" t="s">
        <v>3375</v>
      </c>
      <c r="B6669" s="0" t="s">
        <v>3378</v>
      </c>
      <c r="C6669" s="0" t="s">
        <v>3379</v>
      </c>
      <c r="D6669" s="0" t="n">
        <v>10</v>
      </c>
      <c r="E6669" s="6" t="n">
        <v>40877.3680555556</v>
      </c>
      <c r="F6669" s="0" t="n">
        <v>1.25</v>
      </c>
      <c r="G6669" s="0" t="n">
        <v>12488</v>
      </c>
      <c r="H6669" s="0" t="s">
        <v>43</v>
      </c>
      <c r="I6669" s="7" t="n">
        <f aca="false">IF(AND(LEFT(A6669,1)&lt;&gt;"C",D6669&gt;0,F6669&gt;0),1,0)</f>
        <v>1</v>
      </c>
      <c r="J6669" s="7" t="n">
        <f aca="false">IF(I6669=1,D6669*F6669,0)</f>
        <v>12.5</v>
      </c>
      <c r="K6669" s="7" t="n">
        <f aca="false">YEAR(E6669)*100+MONTH(E6669)</f>
        <v>201111</v>
      </c>
      <c r="L6669" s="7" t="n">
        <f aca="false">IF(AND(A6669&lt;&gt;A6668,LEFT(A6669,1)&lt;&gt;"C"),1,0)</f>
        <v>0</v>
      </c>
    </row>
    <row r="6670" customFormat="false" ht="15" hidden="false" customHeight="false" outlineLevel="0" collapsed="false">
      <c r="A6670" s="0" t="s">
        <v>3375</v>
      </c>
      <c r="B6670" s="0" t="s">
        <v>3335</v>
      </c>
      <c r="C6670" s="0" t="s">
        <v>3336</v>
      </c>
      <c r="D6670" s="0" t="n">
        <v>16</v>
      </c>
      <c r="E6670" s="6" t="n">
        <v>40877.3680555556</v>
      </c>
      <c r="F6670" s="0" t="n">
        <v>1.25</v>
      </c>
      <c r="G6670" s="0" t="n">
        <v>12488</v>
      </c>
      <c r="H6670" s="0" t="s">
        <v>43</v>
      </c>
      <c r="I6670" s="7" t="n">
        <f aca="false">IF(AND(LEFT(A6670,1)&lt;&gt;"C",D6670&gt;0,F6670&gt;0),1,0)</f>
        <v>1</v>
      </c>
      <c r="J6670" s="7" t="n">
        <f aca="false">IF(I6670=1,D6670*F6670,0)</f>
        <v>20</v>
      </c>
      <c r="K6670" s="7" t="n">
        <f aca="false">YEAR(E6670)*100+MONTH(E6670)</f>
        <v>201111</v>
      </c>
      <c r="L6670" s="7" t="n">
        <f aca="false">IF(AND(A6670&lt;&gt;A6669,LEFT(A6670,1)&lt;&gt;"C"),1,0)</f>
        <v>0</v>
      </c>
    </row>
    <row r="6671" customFormat="false" ht="15" hidden="false" customHeight="false" outlineLevel="0" collapsed="false">
      <c r="A6671" s="0" t="s">
        <v>3375</v>
      </c>
      <c r="B6671" s="0" t="s">
        <v>1680</v>
      </c>
      <c r="C6671" s="0" t="s">
        <v>1681</v>
      </c>
      <c r="D6671" s="0" t="n">
        <v>24</v>
      </c>
      <c r="E6671" s="6" t="n">
        <v>40877.3680555556</v>
      </c>
      <c r="F6671" s="0" t="n">
        <v>0.65</v>
      </c>
      <c r="G6671" s="0" t="n">
        <v>12488</v>
      </c>
      <c r="H6671" s="0" t="s">
        <v>43</v>
      </c>
      <c r="I6671" s="7" t="n">
        <f aca="false">IF(AND(LEFT(A6671,1)&lt;&gt;"C",D6671&gt;0,F6671&gt;0),1,0)</f>
        <v>1</v>
      </c>
      <c r="J6671" s="7" t="n">
        <f aca="false">IF(I6671=1,D6671*F6671,0)</f>
        <v>15.6</v>
      </c>
      <c r="K6671" s="7" t="n">
        <f aca="false">YEAR(E6671)*100+MONTH(E6671)</f>
        <v>201111</v>
      </c>
      <c r="L6671" s="7" t="n">
        <f aca="false">IF(AND(A6671&lt;&gt;A6670,LEFT(A6671,1)&lt;&gt;"C"),1,0)</f>
        <v>0</v>
      </c>
    </row>
    <row r="6672" customFormat="false" ht="15" hidden="false" customHeight="false" outlineLevel="0" collapsed="false">
      <c r="A6672" s="0" t="s">
        <v>3375</v>
      </c>
      <c r="B6672" s="0" t="s">
        <v>1453</v>
      </c>
      <c r="C6672" s="0" t="s">
        <v>1454</v>
      </c>
      <c r="D6672" s="0" t="n">
        <v>16</v>
      </c>
      <c r="E6672" s="6" t="n">
        <v>40877.3680555556</v>
      </c>
      <c r="F6672" s="0" t="n">
        <v>1.25</v>
      </c>
      <c r="G6672" s="0" t="n">
        <v>12488</v>
      </c>
      <c r="H6672" s="0" t="s">
        <v>43</v>
      </c>
      <c r="I6672" s="7" t="n">
        <f aca="false">IF(AND(LEFT(A6672,1)&lt;&gt;"C",D6672&gt;0,F6672&gt;0),1,0)</f>
        <v>1</v>
      </c>
      <c r="J6672" s="7" t="n">
        <f aca="false">IF(I6672=1,D6672*F6672,0)</f>
        <v>20</v>
      </c>
      <c r="K6672" s="7" t="n">
        <f aca="false">YEAR(E6672)*100+MONTH(E6672)</f>
        <v>201111</v>
      </c>
      <c r="L6672" s="7" t="n">
        <f aca="false">IF(AND(A6672&lt;&gt;A6671,LEFT(A6672,1)&lt;&gt;"C"),1,0)</f>
        <v>0</v>
      </c>
    </row>
    <row r="6673" customFormat="false" ht="15" hidden="false" customHeight="false" outlineLevel="0" collapsed="false">
      <c r="A6673" s="0" t="s">
        <v>3375</v>
      </c>
      <c r="B6673" s="0" t="s">
        <v>1568</v>
      </c>
      <c r="C6673" s="0" t="s">
        <v>1569</v>
      </c>
      <c r="D6673" s="0" t="n">
        <v>16</v>
      </c>
      <c r="E6673" s="6" t="n">
        <v>40877.3680555556</v>
      </c>
      <c r="F6673" s="0" t="n">
        <v>1.25</v>
      </c>
      <c r="G6673" s="0" t="n">
        <v>12488</v>
      </c>
      <c r="H6673" s="0" t="s">
        <v>43</v>
      </c>
      <c r="I6673" s="7" t="n">
        <f aca="false">IF(AND(LEFT(A6673,1)&lt;&gt;"C",D6673&gt;0,F6673&gt;0),1,0)</f>
        <v>1</v>
      </c>
      <c r="J6673" s="7" t="n">
        <f aca="false">IF(I6673=1,D6673*F6673,0)</f>
        <v>20</v>
      </c>
      <c r="K6673" s="7" t="n">
        <f aca="false">YEAR(E6673)*100+MONTH(E6673)</f>
        <v>201111</v>
      </c>
      <c r="L6673" s="7" t="n">
        <f aca="false">IF(AND(A6673&lt;&gt;A6672,LEFT(A6673,1)&lt;&gt;"C"),1,0)</f>
        <v>0</v>
      </c>
    </row>
    <row r="6674" customFormat="false" ht="15" hidden="false" customHeight="false" outlineLevel="0" collapsed="false">
      <c r="A6674" s="0" t="s">
        <v>3375</v>
      </c>
      <c r="B6674" s="0" t="s">
        <v>839</v>
      </c>
      <c r="C6674" s="0" t="s">
        <v>840</v>
      </c>
      <c r="D6674" s="0" t="n">
        <v>12</v>
      </c>
      <c r="E6674" s="6" t="n">
        <v>40877.3680555556</v>
      </c>
      <c r="F6674" s="0" t="n">
        <v>0.85</v>
      </c>
      <c r="G6674" s="0" t="n">
        <v>12488</v>
      </c>
      <c r="H6674" s="0" t="s">
        <v>43</v>
      </c>
      <c r="I6674" s="7" t="n">
        <f aca="false">IF(AND(LEFT(A6674,1)&lt;&gt;"C",D6674&gt;0,F6674&gt;0),1,0)</f>
        <v>1</v>
      </c>
      <c r="J6674" s="7" t="n">
        <f aca="false">IF(I6674=1,D6674*F6674,0)</f>
        <v>10.2</v>
      </c>
      <c r="K6674" s="7" t="n">
        <f aca="false">YEAR(E6674)*100+MONTH(E6674)</f>
        <v>201111</v>
      </c>
      <c r="L6674" s="7" t="n">
        <f aca="false">IF(AND(A6674&lt;&gt;A6673,LEFT(A6674,1)&lt;&gt;"C"),1,0)</f>
        <v>0</v>
      </c>
    </row>
    <row r="6675" customFormat="false" ht="15" hidden="false" customHeight="false" outlineLevel="0" collapsed="false">
      <c r="A6675" s="0" t="s">
        <v>3375</v>
      </c>
      <c r="B6675" s="0" t="s">
        <v>3116</v>
      </c>
      <c r="C6675" s="0" t="s">
        <v>3117</v>
      </c>
      <c r="D6675" s="0" t="n">
        <v>12</v>
      </c>
      <c r="E6675" s="6" t="n">
        <v>40877.3680555556</v>
      </c>
      <c r="F6675" s="0" t="n">
        <v>0.85</v>
      </c>
      <c r="G6675" s="0" t="n">
        <v>12488</v>
      </c>
      <c r="H6675" s="0" t="s">
        <v>43</v>
      </c>
      <c r="I6675" s="7" t="n">
        <f aca="false">IF(AND(LEFT(A6675,1)&lt;&gt;"C",D6675&gt;0,F6675&gt;0),1,0)</f>
        <v>1</v>
      </c>
      <c r="J6675" s="7" t="n">
        <f aca="false">IF(I6675=1,D6675*F6675,0)</f>
        <v>10.2</v>
      </c>
      <c r="K6675" s="7" t="n">
        <f aca="false">YEAR(E6675)*100+MONTH(E6675)</f>
        <v>201111</v>
      </c>
      <c r="L6675" s="7" t="n">
        <f aca="false">IF(AND(A6675&lt;&gt;A6674,LEFT(A6675,1)&lt;&gt;"C"),1,0)</f>
        <v>0</v>
      </c>
    </row>
    <row r="6676" customFormat="false" ht="15" hidden="false" customHeight="false" outlineLevel="0" collapsed="false">
      <c r="A6676" s="0" t="s">
        <v>3375</v>
      </c>
      <c r="B6676" s="0" t="s">
        <v>50</v>
      </c>
      <c r="C6676" s="0" t="s">
        <v>51</v>
      </c>
      <c r="D6676" s="0" t="n">
        <v>12</v>
      </c>
      <c r="E6676" s="6" t="n">
        <v>40877.3680555556</v>
      </c>
      <c r="F6676" s="0" t="n">
        <v>1.95</v>
      </c>
      <c r="G6676" s="0" t="n">
        <v>12488</v>
      </c>
      <c r="H6676" s="0" t="s">
        <v>43</v>
      </c>
      <c r="I6676" s="7" t="n">
        <f aca="false">IF(AND(LEFT(A6676,1)&lt;&gt;"C",D6676&gt;0,F6676&gt;0),1,0)</f>
        <v>1</v>
      </c>
      <c r="J6676" s="7" t="n">
        <f aca="false">IF(I6676=1,D6676*F6676,0)</f>
        <v>23.4</v>
      </c>
      <c r="K6676" s="7" t="n">
        <f aca="false">YEAR(E6676)*100+MONTH(E6676)</f>
        <v>201111</v>
      </c>
      <c r="L6676" s="7" t="n">
        <f aca="false">IF(AND(A6676&lt;&gt;A6675,LEFT(A6676,1)&lt;&gt;"C"),1,0)</f>
        <v>0</v>
      </c>
    </row>
    <row r="6677" customFormat="false" ht="15" hidden="false" customHeight="false" outlineLevel="0" collapsed="false">
      <c r="A6677" s="0" t="s">
        <v>3375</v>
      </c>
      <c r="B6677" s="0" t="s">
        <v>52</v>
      </c>
      <c r="C6677" s="0" t="s">
        <v>53</v>
      </c>
      <c r="D6677" s="0" t="n">
        <v>12</v>
      </c>
      <c r="E6677" s="6" t="n">
        <v>40877.3680555556</v>
      </c>
      <c r="F6677" s="0" t="n">
        <v>1.95</v>
      </c>
      <c r="G6677" s="0" t="n">
        <v>12488</v>
      </c>
      <c r="H6677" s="0" t="s">
        <v>43</v>
      </c>
      <c r="I6677" s="7" t="n">
        <f aca="false">IF(AND(LEFT(A6677,1)&lt;&gt;"C",D6677&gt;0,F6677&gt;0),1,0)</f>
        <v>1</v>
      </c>
      <c r="J6677" s="7" t="n">
        <f aca="false">IF(I6677=1,D6677*F6677,0)</f>
        <v>23.4</v>
      </c>
      <c r="K6677" s="7" t="n">
        <f aca="false">YEAR(E6677)*100+MONTH(E6677)</f>
        <v>201111</v>
      </c>
      <c r="L6677" s="7" t="n">
        <f aca="false">IF(AND(A6677&lt;&gt;A6676,LEFT(A6677,1)&lt;&gt;"C"),1,0)</f>
        <v>0</v>
      </c>
    </row>
    <row r="6678" customFormat="false" ht="15" hidden="false" customHeight="false" outlineLevel="0" collapsed="false">
      <c r="A6678" s="0" t="s">
        <v>3375</v>
      </c>
      <c r="B6678" s="0" t="s">
        <v>3331</v>
      </c>
      <c r="C6678" s="0" t="s">
        <v>3332</v>
      </c>
      <c r="D6678" s="0" t="n">
        <v>12</v>
      </c>
      <c r="E6678" s="6" t="n">
        <v>40877.3680555556</v>
      </c>
      <c r="F6678" s="0" t="n">
        <v>1.45</v>
      </c>
      <c r="G6678" s="0" t="n">
        <v>12488</v>
      </c>
      <c r="H6678" s="0" t="s">
        <v>43</v>
      </c>
      <c r="I6678" s="7" t="n">
        <f aca="false">IF(AND(LEFT(A6678,1)&lt;&gt;"C",D6678&gt;0,F6678&gt;0),1,0)</f>
        <v>1</v>
      </c>
      <c r="J6678" s="7" t="n">
        <f aca="false">IF(I6678=1,D6678*F6678,0)</f>
        <v>17.4</v>
      </c>
      <c r="K6678" s="7" t="n">
        <f aca="false">YEAR(E6678)*100+MONTH(E6678)</f>
        <v>201111</v>
      </c>
      <c r="L6678" s="7" t="n">
        <f aca="false">IF(AND(A6678&lt;&gt;A6677,LEFT(A6678,1)&lt;&gt;"C"),1,0)</f>
        <v>0</v>
      </c>
    </row>
    <row r="6679" customFormat="false" ht="15" hidden="false" customHeight="false" outlineLevel="0" collapsed="false">
      <c r="A6679" s="0" t="s">
        <v>3375</v>
      </c>
      <c r="B6679" s="0" t="s">
        <v>545</v>
      </c>
      <c r="C6679" s="0" t="s">
        <v>546</v>
      </c>
      <c r="D6679" s="0" t="n">
        <v>3</v>
      </c>
      <c r="E6679" s="6" t="n">
        <v>40877.3680555556</v>
      </c>
      <c r="F6679" s="0" t="n">
        <v>4.95</v>
      </c>
      <c r="G6679" s="0" t="n">
        <v>12488</v>
      </c>
      <c r="H6679" s="0" t="s">
        <v>43</v>
      </c>
      <c r="I6679" s="7" t="n">
        <f aca="false">IF(AND(LEFT(A6679,1)&lt;&gt;"C",D6679&gt;0,F6679&gt;0),1,0)</f>
        <v>1</v>
      </c>
      <c r="J6679" s="7" t="n">
        <f aca="false">IF(I6679=1,D6679*F6679,0)</f>
        <v>14.85</v>
      </c>
      <c r="K6679" s="7" t="n">
        <f aca="false">YEAR(E6679)*100+MONTH(E6679)</f>
        <v>201111</v>
      </c>
      <c r="L6679" s="7" t="n">
        <f aca="false">IF(AND(A6679&lt;&gt;A6678,LEFT(A6679,1)&lt;&gt;"C"),1,0)</f>
        <v>0</v>
      </c>
    </row>
    <row r="6680" customFormat="false" ht="15" hidden="false" customHeight="false" outlineLevel="0" collapsed="false">
      <c r="A6680" s="0" t="s">
        <v>3380</v>
      </c>
      <c r="B6680" s="0" t="s">
        <v>84</v>
      </c>
      <c r="C6680" s="0" t="s">
        <v>85</v>
      </c>
      <c r="D6680" s="0" t="n">
        <v>-1</v>
      </c>
      <c r="E6680" s="6" t="n">
        <v>40877.3895833333</v>
      </c>
      <c r="F6680" s="0" t="n">
        <v>18</v>
      </c>
      <c r="G6680" s="0" t="n">
        <v>12494</v>
      </c>
      <c r="H6680" s="0" t="s">
        <v>43</v>
      </c>
      <c r="I6680" s="7" t="n">
        <f aca="false">IF(AND(LEFT(A6680,1)&lt;&gt;"C",D6680&gt;0,F6680&gt;0),1,0)</f>
        <v>0</v>
      </c>
      <c r="J6680" s="7" t="n">
        <f aca="false">IF(I6680=1,D6680*F6680,0)</f>
        <v>0</v>
      </c>
      <c r="K6680" s="7" t="n">
        <f aca="false">YEAR(E6680)*100+MONTH(E6680)</f>
        <v>201111</v>
      </c>
      <c r="L6680" s="7" t="n">
        <f aca="false">IF(AND(A6680&lt;&gt;A6679,LEFT(A6680,1)&lt;&gt;"C"),1,0)</f>
        <v>0</v>
      </c>
    </row>
    <row r="6681" customFormat="false" ht="15" hidden="false" customHeight="false" outlineLevel="0" collapsed="false">
      <c r="A6681" s="0" t="s">
        <v>3380</v>
      </c>
      <c r="B6681" s="0" t="s">
        <v>901</v>
      </c>
      <c r="C6681" s="0" t="s">
        <v>902</v>
      </c>
      <c r="D6681" s="0" t="n">
        <v>-4</v>
      </c>
      <c r="E6681" s="6" t="n">
        <v>40877.3895833333</v>
      </c>
      <c r="F6681" s="0" t="n">
        <v>9.95</v>
      </c>
      <c r="G6681" s="0" t="n">
        <v>12494</v>
      </c>
      <c r="H6681" s="0" t="s">
        <v>43</v>
      </c>
      <c r="I6681" s="7" t="n">
        <f aca="false">IF(AND(LEFT(A6681,1)&lt;&gt;"C",D6681&gt;0,F6681&gt;0),1,0)</f>
        <v>0</v>
      </c>
      <c r="J6681" s="7" t="n">
        <f aca="false">IF(I6681=1,D6681*F6681,0)</f>
        <v>0</v>
      </c>
      <c r="K6681" s="7" t="n">
        <f aca="false">YEAR(E6681)*100+MONTH(E6681)</f>
        <v>201111</v>
      </c>
      <c r="L6681" s="7" t="n">
        <f aca="false">IF(AND(A6681&lt;&gt;A6680,LEFT(A6681,1)&lt;&gt;"C"),1,0)</f>
        <v>0</v>
      </c>
    </row>
    <row r="6682" customFormat="false" ht="15" hidden="false" customHeight="false" outlineLevel="0" collapsed="false">
      <c r="A6682" s="0" t="s">
        <v>3381</v>
      </c>
      <c r="B6682" s="0" t="s">
        <v>62</v>
      </c>
      <c r="C6682" s="0" t="s">
        <v>63</v>
      </c>
      <c r="D6682" s="0" t="n">
        <v>-1</v>
      </c>
      <c r="E6682" s="6" t="n">
        <v>40877.4854166667</v>
      </c>
      <c r="F6682" s="0" t="n">
        <v>2.08</v>
      </c>
      <c r="G6682" s="0" t="n">
        <v>12553</v>
      </c>
      <c r="H6682" s="0" t="s">
        <v>43</v>
      </c>
      <c r="I6682" s="7" t="n">
        <f aca="false">IF(AND(LEFT(A6682,1)&lt;&gt;"C",D6682&gt;0,F6682&gt;0),1,0)</f>
        <v>0</v>
      </c>
      <c r="J6682" s="7" t="n">
        <f aca="false">IF(I6682=1,D6682*F6682,0)</f>
        <v>0</v>
      </c>
      <c r="K6682" s="7" t="n">
        <f aca="false">YEAR(E6682)*100+MONTH(E6682)</f>
        <v>201111</v>
      </c>
      <c r="L6682" s="7" t="n">
        <f aca="false">IF(AND(A6682&lt;&gt;A6681,LEFT(A6682,1)&lt;&gt;"C"),1,0)</f>
        <v>0</v>
      </c>
    </row>
    <row r="6683" customFormat="false" ht="15" hidden="false" customHeight="false" outlineLevel="0" collapsed="false">
      <c r="A6683" s="0" t="s">
        <v>3381</v>
      </c>
      <c r="B6683" s="0" t="s">
        <v>64</v>
      </c>
      <c r="C6683" s="0" t="s">
        <v>65</v>
      </c>
      <c r="D6683" s="0" t="n">
        <v>-1</v>
      </c>
      <c r="E6683" s="6" t="n">
        <v>40877.4854166667</v>
      </c>
      <c r="F6683" s="0" t="n">
        <v>1.65</v>
      </c>
      <c r="G6683" s="0" t="n">
        <v>12553</v>
      </c>
      <c r="H6683" s="0" t="s">
        <v>43</v>
      </c>
      <c r="I6683" s="7" t="n">
        <f aca="false">IF(AND(LEFT(A6683,1)&lt;&gt;"C",D6683&gt;0,F6683&gt;0),1,0)</f>
        <v>0</v>
      </c>
      <c r="J6683" s="7" t="n">
        <f aca="false">IF(I6683=1,D6683*F6683,0)</f>
        <v>0</v>
      </c>
      <c r="K6683" s="7" t="n">
        <f aca="false">YEAR(E6683)*100+MONTH(E6683)</f>
        <v>201111</v>
      </c>
      <c r="L6683" s="7" t="n">
        <f aca="false">IF(AND(A6683&lt;&gt;A6682,LEFT(A6683,1)&lt;&gt;"C"),1,0)</f>
        <v>0</v>
      </c>
    </row>
    <row r="6684" customFormat="false" ht="15" hidden="false" customHeight="false" outlineLevel="0" collapsed="false">
      <c r="A6684" s="0" t="s">
        <v>3382</v>
      </c>
      <c r="B6684" s="0" t="s">
        <v>3370</v>
      </c>
      <c r="C6684" s="0" t="s">
        <v>3371</v>
      </c>
      <c r="D6684" s="0" t="n">
        <v>8</v>
      </c>
      <c r="E6684" s="6" t="n">
        <v>40877.5125</v>
      </c>
      <c r="F6684" s="0" t="n">
        <v>1.95</v>
      </c>
      <c r="G6684" s="0" t="n">
        <v>12598</v>
      </c>
      <c r="H6684" s="0" t="s">
        <v>43</v>
      </c>
      <c r="I6684" s="7" t="n">
        <f aca="false">IF(AND(LEFT(A6684,1)&lt;&gt;"C",D6684&gt;0,F6684&gt;0),1,0)</f>
        <v>1</v>
      </c>
      <c r="J6684" s="7" t="n">
        <f aca="false">IF(I6684=1,D6684*F6684,0)</f>
        <v>15.6</v>
      </c>
      <c r="K6684" s="7" t="n">
        <f aca="false">YEAR(E6684)*100+MONTH(E6684)</f>
        <v>201111</v>
      </c>
      <c r="L6684" s="7" t="n">
        <f aca="false">IF(AND(A6684&lt;&gt;A6683,LEFT(A6684,1)&lt;&gt;"C"),1,0)</f>
        <v>1</v>
      </c>
    </row>
    <row r="6685" customFormat="false" ht="15" hidden="false" customHeight="false" outlineLevel="0" collapsed="false">
      <c r="A6685" s="0" t="s">
        <v>3382</v>
      </c>
      <c r="B6685" s="0" t="s">
        <v>3383</v>
      </c>
      <c r="C6685" s="0" t="s">
        <v>3384</v>
      </c>
      <c r="D6685" s="0" t="n">
        <v>8</v>
      </c>
      <c r="E6685" s="6" t="n">
        <v>40877.5125</v>
      </c>
      <c r="F6685" s="0" t="n">
        <v>1.95</v>
      </c>
      <c r="G6685" s="0" t="n">
        <v>12598</v>
      </c>
      <c r="H6685" s="0" t="s">
        <v>43</v>
      </c>
      <c r="I6685" s="7" t="n">
        <f aca="false">IF(AND(LEFT(A6685,1)&lt;&gt;"C",D6685&gt;0,F6685&gt;0),1,0)</f>
        <v>1</v>
      </c>
      <c r="J6685" s="7" t="n">
        <f aca="false">IF(I6685=1,D6685*F6685,0)</f>
        <v>15.6</v>
      </c>
      <c r="K6685" s="7" t="n">
        <f aca="false">YEAR(E6685)*100+MONTH(E6685)</f>
        <v>201111</v>
      </c>
      <c r="L6685" s="7" t="n">
        <f aca="false">IF(AND(A6685&lt;&gt;A6684,LEFT(A6685,1)&lt;&gt;"C"),1,0)</f>
        <v>0</v>
      </c>
    </row>
    <row r="6686" customFormat="false" ht="15" hidden="false" customHeight="false" outlineLevel="0" collapsed="false">
      <c r="A6686" s="0" t="s">
        <v>3382</v>
      </c>
      <c r="B6686" s="0" t="s">
        <v>3385</v>
      </c>
      <c r="C6686" s="0" t="s">
        <v>3386</v>
      </c>
      <c r="D6686" s="0" t="n">
        <v>8</v>
      </c>
      <c r="E6686" s="6" t="n">
        <v>40877.5125</v>
      </c>
      <c r="F6686" s="0" t="n">
        <v>1.95</v>
      </c>
      <c r="G6686" s="0" t="n">
        <v>12598</v>
      </c>
      <c r="H6686" s="0" t="s">
        <v>43</v>
      </c>
      <c r="I6686" s="7" t="n">
        <f aca="false">IF(AND(LEFT(A6686,1)&lt;&gt;"C",D6686&gt;0,F6686&gt;0),1,0)</f>
        <v>1</v>
      </c>
      <c r="J6686" s="7" t="n">
        <f aca="false">IF(I6686=1,D6686*F6686,0)</f>
        <v>15.6</v>
      </c>
      <c r="K6686" s="7" t="n">
        <f aca="false">YEAR(E6686)*100+MONTH(E6686)</f>
        <v>201111</v>
      </c>
      <c r="L6686" s="7" t="n">
        <f aca="false">IF(AND(A6686&lt;&gt;A6685,LEFT(A6686,1)&lt;&gt;"C"),1,0)</f>
        <v>0</v>
      </c>
    </row>
    <row r="6687" customFormat="false" ht="15" hidden="false" customHeight="false" outlineLevel="0" collapsed="false">
      <c r="A6687" s="0" t="s">
        <v>3382</v>
      </c>
      <c r="B6687" s="0" t="s">
        <v>148</v>
      </c>
      <c r="C6687" s="0" t="s">
        <v>149</v>
      </c>
      <c r="D6687" s="0" t="n">
        <v>1</v>
      </c>
      <c r="E6687" s="6" t="n">
        <v>40877.5125</v>
      </c>
      <c r="F6687" s="0" t="n">
        <v>12.75</v>
      </c>
      <c r="G6687" s="0" t="n">
        <v>12598</v>
      </c>
      <c r="H6687" s="0" t="s">
        <v>43</v>
      </c>
      <c r="I6687" s="7" t="n">
        <f aca="false">IF(AND(LEFT(A6687,1)&lt;&gt;"C",D6687&gt;0,F6687&gt;0),1,0)</f>
        <v>1</v>
      </c>
      <c r="J6687" s="7" t="n">
        <f aca="false">IF(I6687=1,D6687*F6687,0)</f>
        <v>12.75</v>
      </c>
      <c r="K6687" s="7" t="n">
        <f aca="false">YEAR(E6687)*100+MONTH(E6687)</f>
        <v>201111</v>
      </c>
      <c r="L6687" s="7" t="n">
        <f aca="false">IF(AND(A6687&lt;&gt;A6686,LEFT(A6687,1)&lt;&gt;"C"),1,0)</f>
        <v>0</v>
      </c>
    </row>
    <row r="6688" customFormat="false" ht="15" hidden="false" customHeight="false" outlineLevel="0" collapsed="false">
      <c r="A6688" s="0" t="s">
        <v>3382</v>
      </c>
      <c r="B6688" s="0" t="s">
        <v>1600</v>
      </c>
      <c r="C6688" s="0" t="s">
        <v>1601</v>
      </c>
      <c r="D6688" s="0" t="n">
        <v>10</v>
      </c>
      <c r="E6688" s="6" t="n">
        <v>40877.5125</v>
      </c>
      <c r="F6688" s="0" t="n">
        <v>1.95</v>
      </c>
      <c r="G6688" s="0" t="n">
        <v>12598</v>
      </c>
      <c r="H6688" s="0" t="s">
        <v>43</v>
      </c>
      <c r="I6688" s="7" t="n">
        <f aca="false">IF(AND(LEFT(A6688,1)&lt;&gt;"C",D6688&gt;0,F6688&gt;0),1,0)</f>
        <v>1</v>
      </c>
      <c r="J6688" s="7" t="n">
        <f aca="false">IF(I6688=1,D6688*F6688,0)</f>
        <v>19.5</v>
      </c>
      <c r="K6688" s="7" t="n">
        <f aca="false">YEAR(E6688)*100+MONTH(E6688)</f>
        <v>201111</v>
      </c>
      <c r="L6688" s="7" t="n">
        <f aca="false">IF(AND(A6688&lt;&gt;A6687,LEFT(A6688,1)&lt;&gt;"C"),1,0)</f>
        <v>0</v>
      </c>
    </row>
    <row r="6689" customFormat="false" ht="15" hidden="false" customHeight="false" outlineLevel="0" collapsed="false">
      <c r="A6689" s="0" t="s">
        <v>3382</v>
      </c>
      <c r="B6689" s="0" t="s">
        <v>847</v>
      </c>
      <c r="C6689" s="0" t="s">
        <v>848</v>
      </c>
      <c r="D6689" s="0" t="n">
        <v>12</v>
      </c>
      <c r="E6689" s="6" t="n">
        <v>40877.5125</v>
      </c>
      <c r="F6689" s="0" t="n">
        <v>1.45</v>
      </c>
      <c r="G6689" s="0" t="n">
        <v>12598</v>
      </c>
      <c r="H6689" s="0" t="s">
        <v>43</v>
      </c>
      <c r="I6689" s="7" t="n">
        <f aca="false">IF(AND(LEFT(A6689,1)&lt;&gt;"C",D6689&gt;0,F6689&gt;0),1,0)</f>
        <v>1</v>
      </c>
      <c r="J6689" s="7" t="n">
        <f aca="false">IF(I6689=1,D6689*F6689,0)</f>
        <v>17.4</v>
      </c>
      <c r="K6689" s="7" t="n">
        <f aca="false">YEAR(E6689)*100+MONTH(E6689)</f>
        <v>201111</v>
      </c>
      <c r="L6689" s="7" t="n">
        <f aca="false">IF(AND(A6689&lt;&gt;A6688,LEFT(A6689,1)&lt;&gt;"C"),1,0)</f>
        <v>0</v>
      </c>
    </row>
    <row r="6690" customFormat="false" ht="15" hidden="false" customHeight="false" outlineLevel="0" collapsed="false">
      <c r="A6690" s="0" t="s">
        <v>3382</v>
      </c>
      <c r="B6690" s="0" t="s">
        <v>773</v>
      </c>
      <c r="C6690" s="0" t="s">
        <v>774</v>
      </c>
      <c r="D6690" s="0" t="n">
        <v>24</v>
      </c>
      <c r="E6690" s="6" t="n">
        <v>40877.5125</v>
      </c>
      <c r="F6690" s="0" t="n">
        <v>0.55</v>
      </c>
      <c r="G6690" s="0" t="n">
        <v>12598</v>
      </c>
      <c r="H6690" s="0" t="s">
        <v>43</v>
      </c>
      <c r="I6690" s="7" t="n">
        <f aca="false">IF(AND(LEFT(A6690,1)&lt;&gt;"C",D6690&gt;0,F6690&gt;0),1,0)</f>
        <v>1</v>
      </c>
      <c r="J6690" s="7" t="n">
        <f aca="false">IF(I6690=1,D6690*F6690,0)</f>
        <v>13.2</v>
      </c>
      <c r="K6690" s="7" t="n">
        <f aca="false">YEAR(E6690)*100+MONTH(E6690)</f>
        <v>201111</v>
      </c>
      <c r="L6690" s="7" t="n">
        <f aca="false">IF(AND(A6690&lt;&gt;A6689,LEFT(A6690,1)&lt;&gt;"C"),1,0)</f>
        <v>0</v>
      </c>
    </row>
    <row r="6691" customFormat="false" ht="15" hidden="false" customHeight="false" outlineLevel="0" collapsed="false">
      <c r="A6691" s="0" t="s">
        <v>3382</v>
      </c>
      <c r="B6691" s="0" t="s">
        <v>1710</v>
      </c>
      <c r="C6691" s="0" t="s">
        <v>1711</v>
      </c>
      <c r="D6691" s="0" t="n">
        <v>16</v>
      </c>
      <c r="E6691" s="6" t="n">
        <v>40877.5125</v>
      </c>
      <c r="F6691" s="0" t="n">
        <v>0.65</v>
      </c>
      <c r="G6691" s="0" t="n">
        <v>12598</v>
      </c>
      <c r="H6691" s="0" t="s">
        <v>43</v>
      </c>
      <c r="I6691" s="7" t="n">
        <f aca="false">IF(AND(LEFT(A6691,1)&lt;&gt;"C",D6691&gt;0,F6691&gt;0),1,0)</f>
        <v>1</v>
      </c>
      <c r="J6691" s="7" t="n">
        <f aca="false">IF(I6691=1,D6691*F6691,0)</f>
        <v>10.4</v>
      </c>
      <c r="K6691" s="7" t="n">
        <f aca="false">YEAR(E6691)*100+MONTH(E6691)</f>
        <v>201111</v>
      </c>
      <c r="L6691" s="7" t="n">
        <f aca="false">IF(AND(A6691&lt;&gt;A6690,LEFT(A6691,1)&lt;&gt;"C"),1,0)</f>
        <v>0</v>
      </c>
    </row>
    <row r="6692" customFormat="false" ht="15" hidden="false" customHeight="false" outlineLevel="0" collapsed="false">
      <c r="A6692" s="0" t="s">
        <v>3382</v>
      </c>
      <c r="B6692" s="0" t="s">
        <v>2599</v>
      </c>
      <c r="C6692" s="0" t="s">
        <v>2600</v>
      </c>
      <c r="D6692" s="0" t="n">
        <v>24</v>
      </c>
      <c r="E6692" s="6" t="n">
        <v>40877.5125</v>
      </c>
      <c r="F6692" s="0" t="n">
        <v>0.55</v>
      </c>
      <c r="G6692" s="0" t="n">
        <v>12598</v>
      </c>
      <c r="H6692" s="0" t="s">
        <v>43</v>
      </c>
      <c r="I6692" s="7" t="n">
        <f aca="false">IF(AND(LEFT(A6692,1)&lt;&gt;"C",D6692&gt;0,F6692&gt;0),1,0)</f>
        <v>1</v>
      </c>
      <c r="J6692" s="7" t="n">
        <f aca="false">IF(I6692=1,D6692*F6692,0)</f>
        <v>13.2</v>
      </c>
      <c r="K6692" s="7" t="n">
        <f aca="false">YEAR(E6692)*100+MONTH(E6692)</f>
        <v>201111</v>
      </c>
      <c r="L6692" s="7" t="n">
        <f aca="false">IF(AND(A6692&lt;&gt;A6691,LEFT(A6692,1)&lt;&gt;"C"),1,0)</f>
        <v>0</v>
      </c>
    </row>
    <row r="6693" customFormat="false" ht="15" hidden="false" customHeight="false" outlineLevel="0" collapsed="false">
      <c r="A6693" s="0" t="s">
        <v>3382</v>
      </c>
      <c r="B6693" s="0" t="s">
        <v>217</v>
      </c>
      <c r="C6693" s="0" t="s">
        <v>218</v>
      </c>
      <c r="D6693" s="0" t="n">
        <v>24</v>
      </c>
      <c r="E6693" s="6" t="n">
        <v>40877.5125</v>
      </c>
      <c r="F6693" s="0" t="n">
        <v>0.55</v>
      </c>
      <c r="G6693" s="0" t="n">
        <v>12598</v>
      </c>
      <c r="H6693" s="0" t="s">
        <v>43</v>
      </c>
      <c r="I6693" s="7" t="n">
        <f aca="false">IF(AND(LEFT(A6693,1)&lt;&gt;"C",D6693&gt;0,F6693&gt;0),1,0)</f>
        <v>1</v>
      </c>
      <c r="J6693" s="7" t="n">
        <f aca="false">IF(I6693=1,D6693*F6693,0)</f>
        <v>13.2</v>
      </c>
      <c r="K6693" s="7" t="n">
        <f aca="false">YEAR(E6693)*100+MONTH(E6693)</f>
        <v>201111</v>
      </c>
      <c r="L6693" s="7" t="n">
        <f aca="false">IF(AND(A6693&lt;&gt;A6692,LEFT(A6693,1)&lt;&gt;"C"),1,0)</f>
        <v>0</v>
      </c>
    </row>
    <row r="6694" customFormat="false" ht="15" hidden="false" customHeight="false" outlineLevel="0" collapsed="false">
      <c r="A6694" s="0" t="s">
        <v>3382</v>
      </c>
      <c r="B6694" s="0" t="s">
        <v>769</v>
      </c>
      <c r="C6694" s="0" t="s">
        <v>770</v>
      </c>
      <c r="D6694" s="0" t="n">
        <v>12</v>
      </c>
      <c r="E6694" s="6" t="n">
        <v>40877.5125</v>
      </c>
      <c r="F6694" s="0" t="n">
        <v>1.45</v>
      </c>
      <c r="G6694" s="0" t="n">
        <v>12598</v>
      </c>
      <c r="H6694" s="0" t="s">
        <v>43</v>
      </c>
      <c r="I6694" s="7" t="n">
        <f aca="false">IF(AND(LEFT(A6694,1)&lt;&gt;"C",D6694&gt;0,F6694&gt;0),1,0)</f>
        <v>1</v>
      </c>
      <c r="J6694" s="7" t="n">
        <f aca="false">IF(I6694=1,D6694*F6694,0)</f>
        <v>17.4</v>
      </c>
      <c r="K6694" s="7" t="n">
        <f aca="false">YEAR(E6694)*100+MONTH(E6694)</f>
        <v>201111</v>
      </c>
      <c r="L6694" s="7" t="n">
        <f aca="false">IF(AND(A6694&lt;&gt;A6693,LEFT(A6694,1)&lt;&gt;"C"),1,0)</f>
        <v>0</v>
      </c>
    </row>
    <row r="6695" customFormat="false" ht="15" hidden="false" customHeight="false" outlineLevel="0" collapsed="false">
      <c r="A6695" s="0" t="s">
        <v>3387</v>
      </c>
      <c r="B6695" s="0" t="s">
        <v>3028</v>
      </c>
      <c r="C6695" s="0" t="s">
        <v>3029</v>
      </c>
      <c r="D6695" s="0" t="n">
        <v>40</v>
      </c>
      <c r="E6695" s="6" t="n">
        <v>40877.5944444445</v>
      </c>
      <c r="F6695" s="0" t="n">
        <v>1.65</v>
      </c>
      <c r="G6695" s="0" t="n">
        <v>12682</v>
      </c>
      <c r="H6695" s="0" t="s">
        <v>43</v>
      </c>
      <c r="I6695" s="7" t="n">
        <f aca="false">IF(AND(LEFT(A6695,1)&lt;&gt;"C",D6695&gt;0,F6695&gt;0),1,0)</f>
        <v>1</v>
      </c>
      <c r="J6695" s="7" t="n">
        <f aca="false">IF(I6695=1,D6695*F6695,0)</f>
        <v>66</v>
      </c>
      <c r="K6695" s="7" t="n">
        <f aca="false">YEAR(E6695)*100+MONTH(E6695)</f>
        <v>201111</v>
      </c>
      <c r="L6695" s="7" t="n">
        <f aca="false">IF(AND(A6695&lt;&gt;A6694,LEFT(A6695,1)&lt;&gt;"C"),1,0)</f>
        <v>1</v>
      </c>
    </row>
    <row r="6696" customFormat="false" ht="15" hidden="false" customHeight="false" outlineLevel="0" collapsed="false">
      <c r="A6696" s="0" t="s">
        <v>3387</v>
      </c>
      <c r="B6696" s="0" t="s">
        <v>62</v>
      </c>
      <c r="C6696" s="0" t="s">
        <v>63</v>
      </c>
      <c r="D6696" s="0" t="n">
        <v>48</v>
      </c>
      <c r="E6696" s="6" t="n">
        <v>40877.5944444445</v>
      </c>
      <c r="F6696" s="0" t="n">
        <v>1.79</v>
      </c>
      <c r="G6696" s="0" t="n">
        <v>12682</v>
      </c>
      <c r="H6696" s="0" t="s">
        <v>43</v>
      </c>
      <c r="I6696" s="7" t="n">
        <f aca="false">IF(AND(LEFT(A6696,1)&lt;&gt;"C",D6696&gt;0,F6696&gt;0),1,0)</f>
        <v>1</v>
      </c>
      <c r="J6696" s="7" t="n">
        <f aca="false">IF(I6696=1,D6696*F6696,0)</f>
        <v>85.92</v>
      </c>
      <c r="K6696" s="7" t="n">
        <f aca="false">YEAR(E6696)*100+MONTH(E6696)</f>
        <v>201111</v>
      </c>
      <c r="L6696" s="7" t="n">
        <f aca="false">IF(AND(A6696&lt;&gt;A6695,LEFT(A6696,1)&lt;&gt;"C"),1,0)</f>
        <v>0</v>
      </c>
    </row>
    <row r="6697" customFormat="false" ht="15" hidden="false" customHeight="false" outlineLevel="0" collapsed="false">
      <c r="A6697" s="0" t="s">
        <v>3387</v>
      </c>
      <c r="B6697" s="0" t="s">
        <v>3030</v>
      </c>
      <c r="C6697" s="0" t="s">
        <v>3031</v>
      </c>
      <c r="D6697" s="0" t="n">
        <v>12</v>
      </c>
      <c r="E6697" s="6" t="n">
        <v>40877.5944444445</v>
      </c>
      <c r="F6697" s="0" t="n">
        <v>0.42</v>
      </c>
      <c r="G6697" s="0" t="n">
        <v>12682</v>
      </c>
      <c r="H6697" s="0" t="s">
        <v>43</v>
      </c>
      <c r="I6697" s="7" t="n">
        <f aca="false">IF(AND(LEFT(A6697,1)&lt;&gt;"C",D6697&gt;0,F6697&gt;0),1,0)</f>
        <v>1</v>
      </c>
      <c r="J6697" s="7" t="n">
        <f aca="false">IF(I6697=1,D6697*F6697,0)</f>
        <v>5.04</v>
      </c>
      <c r="K6697" s="7" t="n">
        <f aca="false">YEAR(E6697)*100+MONTH(E6697)</f>
        <v>201111</v>
      </c>
      <c r="L6697" s="7" t="n">
        <f aca="false">IF(AND(A6697&lt;&gt;A6696,LEFT(A6697,1)&lt;&gt;"C"),1,0)</f>
        <v>0</v>
      </c>
    </row>
    <row r="6698" customFormat="false" ht="15" hidden="false" customHeight="false" outlineLevel="0" collapsed="false">
      <c r="A6698" s="0" t="s">
        <v>3387</v>
      </c>
      <c r="B6698" s="0" t="s">
        <v>1146</v>
      </c>
      <c r="C6698" s="0" t="s">
        <v>1147</v>
      </c>
      <c r="D6698" s="0" t="n">
        <v>10</v>
      </c>
      <c r="E6698" s="6" t="n">
        <v>40877.5944444445</v>
      </c>
      <c r="F6698" s="0" t="n">
        <v>2.08</v>
      </c>
      <c r="G6698" s="0" t="n">
        <v>12682</v>
      </c>
      <c r="H6698" s="0" t="s">
        <v>43</v>
      </c>
      <c r="I6698" s="7" t="n">
        <f aca="false">IF(AND(LEFT(A6698,1)&lt;&gt;"C",D6698&gt;0,F6698&gt;0),1,0)</f>
        <v>1</v>
      </c>
      <c r="J6698" s="7" t="n">
        <f aca="false">IF(I6698=1,D6698*F6698,0)</f>
        <v>20.8</v>
      </c>
      <c r="K6698" s="7" t="n">
        <f aca="false">YEAR(E6698)*100+MONTH(E6698)</f>
        <v>201111</v>
      </c>
      <c r="L6698" s="7" t="n">
        <f aca="false">IF(AND(A6698&lt;&gt;A6697,LEFT(A6698,1)&lt;&gt;"C"),1,0)</f>
        <v>0</v>
      </c>
    </row>
    <row r="6699" customFormat="false" ht="15" hidden="false" customHeight="false" outlineLevel="0" collapsed="false">
      <c r="A6699" s="0" t="s">
        <v>3387</v>
      </c>
      <c r="B6699" s="0" t="s">
        <v>519</v>
      </c>
      <c r="C6699" s="0" t="s">
        <v>520</v>
      </c>
      <c r="D6699" s="0" t="n">
        <v>10</v>
      </c>
      <c r="E6699" s="6" t="n">
        <v>40877.5944444445</v>
      </c>
      <c r="F6699" s="0" t="n">
        <v>2.08</v>
      </c>
      <c r="G6699" s="0" t="n">
        <v>12682</v>
      </c>
      <c r="H6699" s="0" t="s">
        <v>43</v>
      </c>
      <c r="I6699" s="7" t="n">
        <f aca="false">IF(AND(LEFT(A6699,1)&lt;&gt;"C",D6699&gt;0,F6699&gt;0),1,0)</f>
        <v>1</v>
      </c>
      <c r="J6699" s="7" t="n">
        <f aca="false">IF(I6699=1,D6699*F6699,0)</f>
        <v>20.8</v>
      </c>
      <c r="K6699" s="7" t="n">
        <f aca="false">YEAR(E6699)*100+MONTH(E6699)</f>
        <v>201111</v>
      </c>
      <c r="L6699" s="7" t="n">
        <f aca="false">IF(AND(A6699&lt;&gt;A6698,LEFT(A6699,1)&lt;&gt;"C"),1,0)</f>
        <v>0</v>
      </c>
    </row>
    <row r="6700" customFormat="false" ht="15" hidden="false" customHeight="false" outlineLevel="0" collapsed="false">
      <c r="A6700" s="0" t="s">
        <v>3387</v>
      </c>
      <c r="B6700" s="0" t="s">
        <v>970</v>
      </c>
      <c r="C6700" s="0" t="s">
        <v>971</v>
      </c>
      <c r="D6700" s="0" t="n">
        <v>10</v>
      </c>
      <c r="E6700" s="6" t="n">
        <v>40877.5944444445</v>
      </c>
      <c r="F6700" s="0" t="n">
        <v>1.65</v>
      </c>
      <c r="G6700" s="0" t="n">
        <v>12682</v>
      </c>
      <c r="H6700" s="0" t="s">
        <v>43</v>
      </c>
      <c r="I6700" s="7" t="n">
        <f aca="false">IF(AND(LEFT(A6700,1)&lt;&gt;"C",D6700&gt;0,F6700&gt;0),1,0)</f>
        <v>1</v>
      </c>
      <c r="J6700" s="7" t="n">
        <f aca="false">IF(I6700=1,D6700*F6700,0)</f>
        <v>16.5</v>
      </c>
      <c r="K6700" s="7" t="n">
        <f aca="false">YEAR(E6700)*100+MONTH(E6700)</f>
        <v>201111</v>
      </c>
      <c r="L6700" s="7" t="n">
        <f aca="false">IF(AND(A6700&lt;&gt;A6699,LEFT(A6700,1)&lt;&gt;"C"),1,0)</f>
        <v>0</v>
      </c>
    </row>
    <row r="6701" customFormat="false" ht="15" hidden="false" customHeight="false" outlineLevel="0" collapsed="false">
      <c r="A6701" s="0" t="s">
        <v>3387</v>
      </c>
      <c r="B6701" s="0" t="s">
        <v>873</v>
      </c>
      <c r="C6701" s="0" t="s">
        <v>874</v>
      </c>
      <c r="D6701" s="0" t="n">
        <v>12</v>
      </c>
      <c r="E6701" s="6" t="n">
        <v>40877.5944444445</v>
      </c>
      <c r="F6701" s="0" t="n">
        <v>0.83</v>
      </c>
      <c r="G6701" s="0" t="n">
        <v>12682</v>
      </c>
      <c r="H6701" s="0" t="s">
        <v>43</v>
      </c>
      <c r="I6701" s="7" t="n">
        <f aca="false">IF(AND(LEFT(A6701,1)&lt;&gt;"C",D6701&gt;0,F6701&gt;0),1,0)</f>
        <v>1</v>
      </c>
      <c r="J6701" s="7" t="n">
        <f aca="false">IF(I6701=1,D6701*F6701,0)</f>
        <v>9.96</v>
      </c>
      <c r="K6701" s="7" t="n">
        <f aca="false">YEAR(E6701)*100+MONTH(E6701)</f>
        <v>201111</v>
      </c>
      <c r="L6701" s="7" t="n">
        <f aca="false">IF(AND(A6701&lt;&gt;A6700,LEFT(A6701,1)&lt;&gt;"C"),1,0)</f>
        <v>0</v>
      </c>
    </row>
    <row r="6702" customFormat="false" ht="15" hidden="false" customHeight="false" outlineLevel="0" collapsed="false">
      <c r="A6702" s="0" t="s">
        <v>3387</v>
      </c>
      <c r="B6702" s="0" t="s">
        <v>439</v>
      </c>
      <c r="C6702" s="0" t="s">
        <v>440</v>
      </c>
      <c r="D6702" s="0" t="n">
        <v>6</v>
      </c>
      <c r="E6702" s="6" t="n">
        <v>40877.5944444445</v>
      </c>
      <c r="F6702" s="0" t="n">
        <v>5.95</v>
      </c>
      <c r="G6702" s="0" t="n">
        <v>12682</v>
      </c>
      <c r="H6702" s="0" t="s">
        <v>43</v>
      </c>
      <c r="I6702" s="7" t="n">
        <f aca="false">IF(AND(LEFT(A6702,1)&lt;&gt;"C",D6702&gt;0,F6702&gt;0),1,0)</f>
        <v>1</v>
      </c>
      <c r="J6702" s="7" t="n">
        <f aca="false">IF(I6702=1,D6702*F6702,0)</f>
        <v>35.7</v>
      </c>
      <c r="K6702" s="7" t="n">
        <f aca="false">YEAR(E6702)*100+MONTH(E6702)</f>
        <v>201111</v>
      </c>
      <c r="L6702" s="7" t="n">
        <f aca="false">IF(AND(A6702&lt;&gt;A6701,LEFT(A6702,1)&lt;&gt;"C"),1,0)</f>
        <v>0</v>
      </c>
    </row>
    <row r="6703" customFormat="false" ht="15" hidden="false" customHeight="false" outlineLevel="0" collapsed="false">
      <c r="A6703" s="0" t="s">
        <v>3387</v>
      </c>
      <c r="B6703" s="0" t="s">
        <v>64</v>
      </c>
      <c r="C6703" s="0" t="s">
        <v>65</v>
      </c>
      <c r="D6703" s="0" t="n">
        <v>12</v>
      </c>
      <c r="E6703" s="6" t="n">
        <v>40877.5944444445</v>
      </c>
      <c r="F6703" s="0" t="n">
        <v>1.65</v>
      </c>
      <c r="G6703" s="0" t="n">
        <v>12682</v>
      </c>
      <c r="H6703" s="0" t="s">
        <v>43</v>
      </c>
      <c r="I6703" s="7" t="n">
        <f aca="false">IF(AND(LEFT(A6703,1)&lt;&gt;"C",D6703&gt;0,F6703&gt;0),1,0)</f>
        <v>1</v>
      </c>
      <c r="J6703" s="7" t="n">
        <f aca="false">IF(I6703=1,D6703*F6703,0)</f>
        <v>19.8</v>
      </c>
      <c r="K6703" s="7" t="n">
        <f aca="false">YEAR(E6703)*100+MONTH(E6703)</f>
        <v>201111</v>
      </c>
      <c r="L6703" s="7" t="n">
        <f aca="false">IF(AND(A6703&lt;&gt;A6702,LEFT(A6703,1)&lt;&gt;"C"),1,0)</f>
        <v>0</v>
      </c>
    </row>
    <row r="6704" customFormat="false" ht="15" hidden="false" customHeight="false" outlineLevel="0" collapsed="false">
      <c r="A6704" s="0" t="s">
        <v>3387</v>
      </c>
      <c r="B6704" s="0" t="s">
        <v>583</v>
      </c>
      <c r="C6704" s="0" t="s">
        <v>584</v>
      </c>
      <c r="D6704" s="0" t="n">
        <v>12</v>
      </c>
      <c r="E6704" s="6" t="n">
        <v>40877.5944444445</v>
      </c>
      <c r="F6704" s="0" t="n">
        <v>1.45</v>
      </c>
      <c r="G6704" s="0" t="n">
        <v>12682</v>
      </c>
      <c r="H6704" s="0" t="s">
        <v>43</v>
      </c>
      <c r="I6704" s="7" t="n">
        <f aca="false">IF(AND(LEFT(A6704,1)&lt;&gt;"C",D6704&gt;0,F6704&gt;0),1,0)</f>
        <v>1</v>
      </c>
      <c r="J6704" s="7" t="n">
        <f aca="false">IF(I6704=1,D6704*F6704,0)</f>
        <v>17.4</v>
      </c>
      <c r="K6704" s="7" t="n">
        <f aca="false">YEAR(E6704)*100+MONTH(E6704)</f>
        <v>201111</v>
      </c>
      <c r="L6704" s="7" t="n">
        <f aca="false">IF(AND(A6704&lt;&gt;A6703,LEFT(A6704,1)&lt;&gt;"C"),1,0)</f>
        <v>0</v>
      </c>
    </row>
    <row r="6705" customFormat="false" ht="15" hidden="false" customHeight="false" outlineLevel="0" collapsed="false">
      <c r="A6705" s="0" t="s">
        <v>3387</v>
      </c>
      <c r="B6705" s="0" t="s">
        <v>68</v>
      </c>
      <c r="C6705" s="0" t="s">
        <v>69</v>
      </c>
      <c r="D6705" s="0" t="n">
        <v>10</v>
      </c>
      <c r="E6705" s="6" t="n">
        <v>40877.5944444445</v>
      </c>
      <c r="F6705" s="0" t="n">
        <v>1.65</v>
      </c>
      <c r="G6705" s="0" t="n">
        <v>12682</v>
      </c>
      <c r="H6705" s="0" t="s">
        <v>43</v>
      </c>
      <c r="I6705" s="7" t="n">
        <f aca="false">IF(AND(LEFT(A6705,1)&lt;&gt;"C",D6705&gt;0,F6705&gt;0),1,0)</f>
        <v>1</v>
      </c>
      <c r="J6705" s="7" t="n">
        <f aca="false">IF(I6705=1,D6705*F6705,0)</f>
        <v>16.5</v>
      </c>
      <c r="K6705" s="7" t="n">
        <f aca="false">YEAR(E6705)*100+MONTH(E6705)</f>
        <v>201111</v>
      </c>
      <c r="L6705" s="7" t="n">
        <f aca="false">IF(AND(A6705&lt;&gt;A6704,LEFT(A6705,1)&lt;&gt;"C"),1,0)</f>
        <v>0</v>
      </c>
    </row>
    <row r="6706" customFormat="false" ht="15" hidden="false" customHeight="false" outlineLevel="0" collapsed="false">
      <c r="A6706" s="0" t="s">
        <v>3387</v>
      </c>
      <c r="B6706" s="0" t="s">
        <v>567</v>
      </c>
      <c r="C6706" s="0" t="s">
        <v>568</v>
      </c>
      <c r="D6706" s="0" t="n">
        <v>10</v>
      </c>
      <c r="E6706" s="6" t="n">
        <v>40877.5944444445</v>
      </c>
      <c r="F6706" s="0" t="n">
        <v>1.65</v>
      </c>
      <c r="G6706" s="0" t="n">
        <v>12682</v>
      </c>
      <c r="H6706" s="0" t="s">
        <v>43</v>
      </c>
      <c r="I6706" s="7" t="n">
        <f aca="false">IF(AND(LEFT(A6706,1)&lt;&gt;"C",D6706&gt;0,F6706&gt;0),1,0)</f>
        <v>1</v>
      </c>
      <c r="J6706" s="7" t="n">
        <f aca="false">IF(I6706=1,D6706*F6706,0)</f>
        <v>16.5</v>
      </c>
      <c r="K6706" s="7" t="n">
        <f aca="false">YEAR(E6706)*100+MONTH(E6706)</f>
        <v>201111</v>
      </c>
      <c r="L6706" s="7" t="n">
        <f aca="false">IF(AND(A6706&lt;&gt;A6705,LEFT(A6706,1)&lt;&gt;"C"),1,0)</f>
        <v>0</v>
      </c>
    </row>
    <row r="6707" customFormat="false" ht="15" hidden="false" customHeight="false" outlineLevel="0" collapsed="false">
      <c r="A6707" s="0" t="s">
        <v>3387</v>
      </c>
      <c r="B6707" s="0" t="s">
        <v>2573</v>
      </c>
      <c r="C6707" s="0" t="s">
        <v>2574</v>
      </c>
      <c r="D6707" s="0" t="n">
        <v>4</v>
      </c>
      <c r="E6707" s="6" t="n">
        <v>40877.5944444445</v>
      </c>
      <c r="F6707" s="0" t="n">
        <v>3.75</v>
      </c>
      <c r="G6707" s="0" t="n">
        <v>12682</v>
      </c>
      <c r="H6707" s="0" t="s">
        <v>43</v>
      </c>
      <c r="I6707" s="7" t="n">
        <f aca="false">IF(AND(LEFT(A6707,1)&lt;&gt;"C",D6707&gt;0,F6707&gt;0),1,0)</f>
        <v>1</v>
      </c>
      <c r="J6707" s="7" t="n">
        <f aca="false">IF(I6707=1,D6707*F6707,0)</f>
        <v>15</v>
      </c>
      <c r="K6707" s="7" t="n">
        <f aca="false">YEAR(E6707)*100+MONTH(E6707)</f>
        <v>201111</v>
      </c>
      <c r="L6707" s="7" t="n">
        <f aca="false">IF(AND(A6707&lt;&gt;A6706,LEFT(A6707,1)&lt;&gt;"C"),1,0)</f>
        <v>0</v>
      </c>
    </row>
    <row r="6708" customFormat="false" ht="15" hidden="false" customHeight="false" outlineLevel="0" collapsed="false">
      <c r="A6708" s="0" t="s">
        <v>3387</v>
      </c>
      <c r="B6708" s="0" t="s">
        <v>1646</v>
      </c>
      <c r="C6708" s="0" t="s">
        <v>1647</v>
      </c>
      <c r="D6708" s="0" t="n">
        <v>10</v>
      </c>
      <c r="E6708" s="6" t="n">
        <v>40877.5944444445</v>
      </c>
      <c r="F6708" s="0" t="n">
        <v>1.65</v>
      </c>
      <c r="G6708" s="0" t="n">
        <v>12682</v>
      </c>
      <c r="H6708" s="0" t="s">
        <v>43</v>
      </c>
      <c r="I6708" s="7" t="n">
        <f aca="false">IF(AND(LEFT(A6708,1)&lt;&gt;"C",D6708&gt;0,F6708&gt;0),1,0)</f>
        <v>1</v>
      </c>
      <c r="J6708" s="7" t="n">
        <f aca="false">IF(I6708=1,D6708*F6708,0)</f>
        <v>16.5</v>
      </c>
      <c r="K6708" s="7" t="n">
        <f aca="false">YEAR(E6708)*100+MONTH(E6708)</f>
        <v>201111</v>
      </c>
      <c r="L6708" s="7" t="n">
        <f aca="false">IF(AND(A6708&lt;&gt;A6707,LEFT(A6708,1)&lt;&gt;"C"),1,0)</f>
        <v>0</v>
      </c>
    </row>
    <row r="6709" customFormat="false" ht="15" hidden="false" customHeight="false" outlineLevel="0" collapsed="false">
      <c r="A6709" s="0" t="s">
        <v>3387</v>
      </c>
      <c r="B6709" s="0" t="s">
        <v>537</v>
      </c>
      <c r="C6709" s="0" t="s">
        <v>538</v>
      </c>
      <c r="D6709" s="0" t="n">
        <v>6</v>
      </c>
      <c r="E6709" s="6" t="n">
        <v>40877.5944444445</v>
      </c>
      <c r="F6709" s="0" t="n">
        <v>4.15</v>
      </c>
      <c r="G6709" s="0" t="n">
        <v>12682</v>
      </c>
      <c r="H6709" s="0" t="s">
        <v>43</v>
      </c>
      <c r="I6709" s="7" t="n">
        <f aca="false">IF(AND(LEFT(A6709,1)&lt;&gt;"C",D6709&gt;0,F6709&gt;0),1,0)</f>
        <v>1</v>
      </c>
      <c r="J6709" s="7" t="n">
        <f aca="false">IF(I6709=1,D6709*F6709,0)</f>
        <v>24.9</v>
      </c>
      <c r="K6709" s="7" t="n">
        <f aca="false">YEAR(E6709)*100+MONTH(E6709)</f>
        <v>201111</v>
      </c>
      <c r="L6709" s="7" t="n">
        <f aca="false">IF(AND(A6709&lt;&gt;A6708,LEFT(A6709,1)&lt;&gt;"C"),1,0)</f>
        <v>0</v>
      </c>
    </row>
    <row r="6710" customFormat="false" ht="15" hidden="false" customHeight="false" outlineLevel="0" collapsed="false">
      <c r="A6710" s="0" t="s">
        <v>3387</v>
      </c>
      <c r="B6710" s="0" t="s">
        <v>837</v>
      </c>
      <c r="C6710" s="0" t="s">
        <v>838</v>
      </c>
      <c r="D6710" s="0" t="n">
        <v>6</v>
      </c>
      <c r="E6710" s="6" t="n">
        <v>40877.5944444445</v>
      </c>
      <c r="F6710" s="0" t="n">
        <v>4.15</v>
      </c>
      <c r="G6710" s="0" t="n">
        <v>12682</v>
      </c>
      <c r="H6710" s="0" t="s">
        <v>43</v>
      </c>
      <c r="I6710" s="7" t="n">
        <f aca="false">IF(AND(LEFT(A6710,1)&lt;&gt;"C",D6710&gt;0,F6710&gt;0),1,0)</f>
        <v>1</v>
      </c>
      <c r="J6710" s="7" t="n">
        <f aca="false">IF(I6710=1,D6710*F6710,0)</f>
        <v>24.9</v>
      </c>
      <c r="K6710" s="7" t="n">
        <f aca="false">YEAR(E6710)*100+MONTH(E6710)</f>
        <v>201111</v>
      </c>
      <c r="L6710" s="7" t="n">
        <f aca="false">IF(AND(A6710&lt;&gt;A6709,LEFT(A6710,1)&lt;&gt;"C"),1,0)</f>
        <v>0</v>
      </c>
    </row>
    <row r="6711" customFormat="false" ht="15" hidden="false" customHeight="false" outlineLevel="0" collapsed="false">
      <c r="A6711" s="0" t="s">
        <v>3387</v>
      </c>
      <c r="B6711" s="0" t="s">
        <v>2546</v>
      </c>
      <c r="C6711" s="0" t="s">
        <v>2547</v>
      </c>
      <c r="D6711" s="0" t="n">
        <v>6</v>
      </c>
      <c r="E6711" s="6" t="n">
        <v>40877.5944444445</v>
      </c>
      <c r="F6711" s="0" t="n">
        <v>2.95</v>
      </c>
      <c r="G6711" s="0" t="n">
        <v>12682</v>
      </c>
      <c r="H6711" s="0" t="s">
        <v>43</v>
      </c>
      <c r="I6711" s="7" t="n">
        <f aca="false">IF(AND(LEFT(A6711,1)&lt;&gt;"C",D6711&gt;0,F6711&gt;0),1,0)</f>
        <v>1</v>
      </c>
      <c r="J6711" s="7" t="n">
        <f aca="false">IF(I6711=1,D6711*F6711,0)</f>
        <v>17.7</v>
      </c>
      <c r="K6711" s="7" t="n">
        <f aca="false">YEAR(E6711)*100+MONTH(E6711)</f>
        <v>201111</v>
      </c>
      <c r="L6711" s="7" t="n">
        <f aca="false">IF(AND(A6711&lt;&gt;A6710,LEFT(A6711,1)&lt;&gt;"C"),1,0)</f>
        <v>0</v>
      </c>
    </row>
    <row r="6712" customFormat="false" ht="15" hidden="false" customHeight="false" outlineLevel="0" collapsed="false">
      <c r="A6712" s="0" t="s">
        <v>3387</v>
      </c>
      <c r="B6712" s="0" t="s">
        <v>606</v>
      </c>
      <c r="C6712" s="0" t="s">
        <v>607</v>
      </c>
      <c r="D6712" s="0" t="n">
        <v>12</v>
      </c>
      <c r="E6712" s="6" t="n">
        <v>40877.5944444445</v>
      </c>
      <c r="F6712" s="0" t="n">
        <v>0.42</v>
      </c>
      <c r="G6712" s="0" t="n">
        <v>12682</v>
      </c>
      <c r="H6712" s="0" t="s">
        <v>43</v>
      </c>
      <c r="I6712" s="7" t="n">
        <f aca="false">IF(AND(LEFT(A6712,1)&lt;&gt;"C",D6712&gt;0,F6712&gt;0),1,0)</f>
        <v>1</v>
      </c>
      <c r="J6712" s="7" t="n">
        <f aca="false">IF(I6712=1,D6712*F6712,0)</f>
        <v>5.04</v>
      </c>
      <c r="K6712" s="7" t="n">
        <f aca="false">YEAR(E6712)*100+MONTH(E6712)</f>
        <v>201111</v>
      </c>
      <c r="L6712" s="7" t="n">
        <f aca="false">IF(AND(A6712&lt;&gt;A6711,LEFT(A6712,1)&lt;&gt;"C"),1,0)</f>
        <v>0</v>
      </c>
    </row>
    <row r="6713" customFormat="false" ht="15" hidden="false" customHeight="false" outlineLevel="0" collapsed="false">
      <c r="A6713" s="0" t="s">
        <v>3387</v>
      </c>
      <c r="B6713" s="0" t="s">
        <v>84</v>
      </c>
      <c r="C6713" s="0" t="s">
        <v>85</v>
      </c>
      <c r="D6713" s="0" t="n">
        <v>4</v>
      </c>
      <c r="E6713" s="6" t="n">
        <v>40877.5944444445</v>
      </c>
      <c r="F6713" s="0" t="n">
        <v>18</v>
      </c>
      <c r="G6713" s="0" t="n">
        <v>12682</v>
      </c>
      <c r="H6713" s="0" t="s">
        <v>43</v>
      </c>
      <c r="I6713" s="7" t="n">
        <f aca="false">IF(AND(LEFT(A6713,1)&lt;&gt;"C",D6713&gt;0,F6713&gt;0),1,0)</f>
        <v>1</v>
      </c>
      <c r="J6713" s="7" t="n">
        <f aca="false">IF(I6713=1,D6713*F6713,0)</f>
        <v>72</v>
      </c>
      <c r="K6713" s="7" t="n">
        <f aca="false">YEAR(E6713)*100+MONTH(E6713)</f>
        <v>201111</v>
      </c>
      <c r="L6713" s="7" t="n">
        <f aca="false">IF(AND(A6713&lt;&gt;A6712,LEFT(A6713,1)&lt;&gt;"C"),1,0)</f>
        <v>0</v>
      </c>
    </row>
    <row r="6714" customFormat="false" ht="15" hidden="false" customHeight="false" outlineLevel="0" collapsed="false">
      <c r="A6714" s="0" t="s">
        <v>3388</v>
      </c>
      <c r="B6714" s="0" t="s">
        <v>144</v>
      </c>
      <c r="C6714" s="0" t="s">
        <v>2576</v>
      </c>
      <c r="D6714" s="0" t="n">
        <v>24</v>
      </c>
      <c r="E6714" s="6" t="n">
        <v>40877.6111111111</v>
      </c>
      <c r="F6714" s="0" t="n">
        <v>1.25</v>
      </c>
      <c r="G6714" s="0" t="n">
        <v>12528</v>
      </c>
      <c r="H6714" s="0" t="s">
        <v>33</v>
      </c>
      <c r="I6714" s="7" t="n">
        <f aca="false">IF(AND(LEFT(A6714,1)&lt;&gt;"C",D6714&gt;0,F6714&gt;0),1,0)</f>
        <v>1</v>
      </c>
      <c r="J6714" s="7" t="n">
        <f aca="false">IF(I6714=1,D6714*F6714,0)</f>
        <v>30</v>
      </c>
      <c r="K6714" s="7" t="n">
        <f aca="false">YEAR(E6714)*100+MONTH(E6714)</f>
        <v>201111</v>
      </c>
      <c r="L6714" s="7" t="n">
        <f aca="false">IF(AND(A6714&lt;&gt;A6713,LEFT(A6714,1)&lt;&gt;"C"),1,0)</f>
        <v>1</v>
      </c>
    </row>
    <row r="6715" customFormat="false" ht="15" hidden="false" customHeight="false" outlineLevel="0" collapsed="false">
      <c r="A6715" s="0" t="s">
        <v>3388</v>
      </c>
      <c r="B6715" s="0" t="s">
        <v>552</v>
      </c>
      <c r="C6715" s="0" t="s">
        <v>553</v>
      </c>
      <c r="D6715" s="0" t="n">
        <v>8</v>
      </c>
      <c r="E6715" s="6" t="n">
        <v>40877.6111111111</v>
      </c>
      <c r="F6715" s="0" t="n">
        <v>4.95</v>
      </c>
      <c r="G6715" s="0" t="n">
        <v>12528</v>
      </c>
      <c r="H6715" s="0" t="s">
        <v>33</v>
      </c>
      <c r="I6715" s="7" t="n">
        <f aca="false">IF(AND(LEFT(A6715,1)&lt;&gt;"C",D6715&gt;0,F6715&gt;0),1,0)</f>
        <v>1</v>
      </c>
      <c r="J6715" s="7" t="n">
        <f aca="false">IF(I6715=1,D6715*F6715,0)</f>
        <v>39.6</v>
      </c>
      <c r="K6715" s="7" t="n">
        <f aca="false">YEAR(E6715)*100+MONTH(E6715)</f>
        <v>201111</v>
      </c>
      <c r="L6715" s="7" t="n">
        <f aca="false">IF(AND(A6715&lt;&gt;A6714,LEFT(A6715,1)&lt;&gt;"C"),1,0)</f>
        <v>0</v>
      </c>
    </row>
    <row r="6716" customFormat="false" ht="15" hidden="false" customHeight="false" outlineLevel="0" collapsed="false">
      <c r="A6716" s="0" t="s">
        <v>3388</v>
      </c>
      <c r="B6716" s="0" t="s">
        <v>1266</v>
      </c>
      <c r="C6716" s="0" t="s">
        <v>1267</v>
      </c>
      <c r="D6716" s="0" t="n">
        <v>8</v>
      </c>
      <c r="E6716" s="6" t="n">
        <v>40877.6111111111</v>
      </c>
      <c r="F6716" s="0" t="n">
        <v>1.95</v>
      </c>
      <c r="G6716" s="0" t="n">
        <v>12528</v>
      </c>
      <c r="H6716" s="0" t="s">
        <v>33</v>
      </c>
      <c r="I6716" s="7" t="n">
        <f aca="false">IF(AND(LEFT(A6716,1)&lt;&gt;"C",D6716&gt;0,F6716&gt;0),1,0)</f>
        <v>1</v>
      </c>
      <c r="J6716" s="7" t="n">
        <f aca="false">IF(I6716=1,D6716*F6716,0)</f>
        <v>15.6</v>
      </c>
      <c r="K6716" s="7" t="n">
        <f aca="false">YEAR(E6716)*100+MONTH(E6716)</f>
        <v>201111</v>
      </c>
      <c r="L6716" s="7" t="n">
        <f aca="false">IF(AND(A6716&lt;&gt;A6715,LEFT(A6716,1)&lt;&gt;"C"),1,0)</f>
        <v>0</v>
      </c>
    </row>
    <row r="6717" customFormat="false" ht="15" hidden="false" customHeight="false" outlineLevel="0" collapsed="false">
      <c r="A6717" s="0" t="s">
        <v>3388</v>
      </c>
      <c r="B6717" s="0" t="s">
        <v>1964</v>
      </c>
      <c r="C6717" s="0" t="s">
        <v>1965</v>
      </c>
      <c r="D6717" s="0" t="n">
        <v>4</v>
      </c>
      <c r="E6717" s="6" t="n">
        <v>40877.6111111111</v>
      </c>
      <c r="F6717" s="0" t="n">
        <v>8.25</v>
      </c>
      <c r="G6717" s="0" t="n">
        <v>12528</v>
      </c>
      <c r="H6717" s="0" t="s">
        <v>33</v>
      </c>
      <c r="I6717" s="7" t="n">
        <f aca="false">IF(AND(LEFT(A6717,1)&lt;&gt;"C",D6717&gt;0,F6717&gt;0),1,0)</f>
        <v>1</v>
      </c>
      <c r="J6717" s="7" t="n">
        <f aca="false">IF(I6717=1,D6717*F6717,0)</f>
        <v>33</v>
      </c>
      <c r="K6717" s="7" t="n">
        <f aca="false">YEAR(E6717)*100+MONTH(E6717)</f>
        <v>201111</v>
      </c>
      <c r="L6717" s="7" t="n">
        <f aca="false">IF(AND(A6717&lt;&gt;A6716,LEFT(A6717,1)&lt;&gt;"C"),1,0)</f>
        <v>0</v>
      </c>
    </row>
    <row r="6718" customFormat="false" ht="15" hidden="false" customHeight="false" outlineLevel="0" collapsed="false">
      <c r="A6718" s="0" t="s">
        <v>3388</v>
      </c>
      <c r="B6718" s="0" t="s">
        <v>554</v>
      </c>
      <c r="C6718" s="0" t="s">
        <v>555</v>
      </c>
      <c r="D6718" s="0" t="n">
        <v>6</v>
      </c>
      <c r="E6718" s="6" t="n">
        <v>40877.6111111111</v>
      </c>
      <c r="F6718" s="0" t="n">
        <v>5.95</v>
      </c>
      <c r="G6718" s="0" t="n">
        <v>12528</v>
      </c>
      <c r="H6718" s="0" t="s">
        <v>33</v>
      </c>
      <c r="I6718" s="7" t="n">
        <f aca="false">IF(AND(LEFT(A6718,1)&lt;&gt;"C",D6718&gt;0,F6718&gt;0),1,0)</f>
        <v>1</v>
      </c>
      <c r="J6718" s="7" t="n">
        <f aca="false">IF(I6718=1,D6718*F6718,0)</f>
        <v>35.7</v>
      </c>
      <c r="K6718" s="7" t="n">
        <f aca="false">YEAR(E6718)*100+MONTH(E6718)</f>
        <v>201111</v>
      </c>
      <c r="L6718" s="7" t="n">
        <f aca="false">IF(AND(A6718&lt;&gt;A6717,LEFT(A6718,1)&lt;&gt;"C"),1,0)</f>
        <v>0</v>
      </c>
    </row>
    <row r="6719" customFormat="false" ht="15" hidden="false" customHeight="false" outlineLevel="0" collapsed="false">
      <c r="A6719" s="0" t="s">
        <v>3388</v>
      </c>
      <c r="B6719" s="0" t="s">
        <v>125</v>
      </c>
      <c r="C6719" s="0" t="s">
        <v>126</v>
      </c>
      <c r="D6719" s="0" t="n">
        <v>24</v>
      </c>
      <c r="E6719" s="6" t="n">
        <v>40877.6111111111</v>
      </c>
      <c r="F6719" s="0" t="n">
        <v>1.25</v>
      </c>
      <c r="G6719" s="0" t="n">
        <v>12528</v>
      </c>
      <c r="H6719" s="0" t="s">
        <v>33</v>
      </c>
      <c r="I6719" s="7" t="n">
        <f aca="false">IF(AND(LEFT(A6719,1)&lt;&gt;"C",D6719&gt;0,F6719&gt;0),1,0)</f>
        <v>1</v>
      </c>
      <c r="J6719" s="7" t="n">
        <f aca="false">IF(I6719=1,D6719*F6719,0)</f>
        <v>30</v>
      </c>
      <c r="K6719" s="7" t="n">
        <f aca="false">YEAR(E6719)*100+MONTH(E6719)</f>
        <v>201111</v>
      </c>
      <c r="L6719" s="7" t="n">
        <f aca="false">IF(AND(A6719&lt;&gt;A6718,LEFT(A6719,1)&lt;&gt;"C"),1,0)</f>
        <v>0</v>
      </c>
    </row>
    <row r="6720" customFormat="false" ht="15" hidden="false" customHeight="false" outlineLevel="0" collapsed="false">
      <c r="A6720" s="0" t="s">
        <v>3388</v>
      </c>
      <c r="B6720" s="0" t="s">
        <v>616</v>
      </c>
      <c r="C6720" s="0" t="s">
        <v>617</v>
      </c>
      <c r="D6720" s="0" t="n">
        <v>24</v>
      </c>
      <c r="E6720" s="6" t="n">
        <v>40877.6111111111</v>
      </c>
      <c r="F6720" s="0" t="n">
        <v>1.25</v>
      </c>
      <c r="G6720" s="0" t="n">
        <v>12528</v>
      </c>
      <c r="H6720" s="0" t="s">
        <v>33</v>
      </c>
      <c r="I6720" s="7" t="n">
        <f aca="false">IF(AND(LEFT(A6720,1)&lt;&gt;"C",D6720&gt;0,F6720&gt;0),1,0)</f>
        <v>1</v>
      </c>
      <c r="J6720" s="7" t="n">
        <f aca="false">IF(I6720=1,D6720*F6720,0)</f>
        <v>30</v>
      </c>
      <c r="K6720" s="7" t="n">
        <f aca="false">YEAR(E6720)*100+MONTH(E6720)</f>
        <v>201111</v>
      </c>
      <c r="L6720" s="7" t="n">
        <f aca="false">IF(AND(A6720&lt;&gt;A6719,LEFT(A6720,1)&lt;&gt;"C"),1,0)</f>
        <v>0</v>
      </c>
    </row>
    <row r="6721" customFormat="false" ht="15" hidden="false" customHeight="false" outlineLevel="0" collapsed="false">
      <c r="A6721" s="0" t="s">
        <v>3388</v>
      </c>
      <c r="B6721" s="0" t="s">
        <v>586</v>
      </c>
      <c r="C6721" s="0" t="s">
        <v>587</v>
      </c>
      <c r="D6721" s="0" t="n">
        <v>24</v>
      </c>
      <c r="E6721" s="6" t="n">
        <v>40877.6111111111</v>
      </c>
      <c r="F6721" s="0" t="n">
        <v>1.25</v>
      </c>
      <c r="G6721" s="0" t="n">
        <v>12528</v>
      </c>
      <c r="H6721" s="0" t="s">
        <v>33</v>
      </c>
      <c r="I6721" s="7" t="n">
        <f aca="false">IF(AND(LEFT(A6721,1)&lt;&gt;"C",D6721&gt;0,F6721&gt;0),1,0)</f>
        <v>1</v>
      </c>
      <c r="J6721" s="7" t="n">
        <f aca="false">IF(I6721=1,D6721*F6721,0)</f>
        <v>30</v>
      </c>
      <c r="K6721" s="7" t="n">
        <f aca="false">YEAR(E6721)*100+MONTH(E6721)</f>
        <v>201111</v>
      </c>
      <c r="L6721" s="7" t="n">
        <f aca="false">IF(AND(A6721&lt;&gt;A6720,LEFT(A6721,1)&lt;&gt;"C"),1,0)</f>
        <v>0</v>
      </c>
    </row>
    <row r="6722" customFormat="false" ht="15" hidden="false" customHeight="false" outlineLevel="0" collapsed="false">
      <c r="A6722" s="0" t="s">
        <v>3388</v>
      </c>
      <c r="B6722" s="0" t="s">
        <v>148</v>
      </c>
      <c r="C6722" s="0" t="s">
        <v>149</v>
      </c>
      <c r="D6722" s="0" t="n">
        <v>4</v>
      </c>
      <c r="E6722" s="6" t="n">
        <v>40877.6111111111</v>
      </c>
      <c r="F6722" s="0" t="n">
        <v>12.75</v>
      </c>
      <c r="G6722" s="0" t="n">
        <v>12528</v>
      </c>
      <c r="H6722" s="0" t="s">
        <v>33</v>
      </c>
      <c r="I6722" s="7" t="n">
        <f aca="false">IF(AND(LEFT(A6722,1)&lt;&gt;"C",D6722&gt;0,F6722&gt;0),1,0)</f>
        <v>1</v>
      </c>
      <c r="J6722" s="7" t="n">
        <f aca="false">IF(I6722=1,D6722*F6722,0)</f>
        <v>51</v>
      </c>
      <c r="K6722" s="7" t="n">
        <f aca="false">YEAR(E6722)*100+MONTH(E6722)</f>
        <v>201111</v>
      </c>
      <c r="L6722" s="7" t="n">
        <f aca="false">IF(AND(A6722&lt;&gt;A6721,LEFT(A6722,1)&lt;&gt;"C"),1,0)</f>
        <v>0</v>
      </c>
    </row>
    <row r="6723" customFormat="false" ht="15" hidden="false" customHeight="false" outlineLevel="0" collapsed="false">
      <c r="A6723" s="0" t="s">
        <v>3388</v>
      </c>
      <c r="B6723" s="0" t="s">
        <v>3194</v>
      </c>
      <c r="C6723" s="0" t="s">
        <v>3195</v>
      </c>
      <c r="D6723" s="0" t="n">
        <v>12</v>
      </c>
      <c r="E6723" s="6" t="n">
        <v>40877.6111111111</v>
      </c>
      <c r="F6723" s="0" t="n">
        <v>0.85</v>
      </c>
      <c r="G6723" s="0" t="n">
        <v>12528</v>
      </c>
      <c r="H6723" s="0" t="s">
        <v>33</v>
      </c>
      <c r="I6723" s="7" t="n">
        <f aca="false">IF(AND(LEFT(A6723,1)&lt;&gt;"C",D6723&gt;0,F6723&gt;0),1,0)</f>
        <v>1</v>
      </c>
      <c r="J6723" s="7" t="n">
        <f aca="false">IF(I6723=1,D6723*F6723,0)</f>
        <v>10.2</v>
      </c>
      <c r="K6723" s="7" t="n">
        <f aca="false">YEAR(E6723)*100+MONTH(E6723)</f>
        <v>201111</v>
      </c>
      <c r="L6723" s="7" t="n">
        <f aca="false">IF(AND(A6723&lt;&gt;A6722,LEFT(A6723,1)&lt;&gt;"C"),1,0)</f>
        <v>0</v>
      </c>
    </row>
    <row r="6724" customFormat="false" ht="15" hidden="false" customHeight="false" outlineLevel="0" collapsed="false">
      <c r="A6724" s="0" t="s">
        <v>3388</v>
      </c>
      <c r="B6724" s="0" t="s">
        <v>951</v>
      </c>
      <c r="C6724" s="0" t="s">
        <v>952</v>
      </c>
      <c r="D6724" s="0" t="n">
        <v>10</v>
      </c>
      <c r="E6724" s="6" t="n">
        <v>40877.6111111111</v>
      </c>
      <c r="F6724" s="0" t="n">
        <v>1.25</v>
      </c>
      <c r="G6724" s="0" t="n">
        <v>12528</v>
      </c>
      <c r="H6724" s="0" t="s">
        <v>33</v>
      </c>
      <c r="I6724" s="7" t="n">
        <f aca="false">IF(AND(LEFT(A6724,1)&lt;&gt;"C",D6724&gt;0,F6724&gt;0),1,0)</f>
        <v>1</v>
      </c>
      <c r="J6724" s="7" t="n">
        <f aca="false">IF(I6724=1,D6724*F6724,0)</f>
        <v>12.5</v>
      </c>
      <c r="K6724" s="7" t="n">
        <f aca="false">YEAR(E6724)*100+MONTH(E6724)</f>
        <v>201111</v>
      </c>
      <c r="L6724" s="7" t="n">
        <f aca="false">IF(AND(A6724&lt;&gt;A6723,LEFT(A6724,1)&lt;&gt;"C"),1,0)</f>
        <v>0</v>
      </c>
    </row>
    <row r="6725" customFormat="false" ht="15" hidden="false" customHeight="false" outlineLevel="0" collapsed="false">
      <c r="A6725" s="0" t="s">
        <v>3388</v>
      </c>
      <c r="B6725" s="0" t="s">
        <v>84</v>
      </c>
      <c r="C6725" s="0" t="s">
        <v>85</v>
      </c>
      <c r="D6725" s="0" t="n">
        <v>3</v>
      </c>
      <c r="E6725" s="6" t="n">
        <v>40877.6111111111</v>
      </c>
      <c r="F6725" s="0" t="n">
        <v>18</v>
      </c>
      <c r="G6725" s="0" t="n">
        <v>12528</v>
      </c>
      <c r="H6725" s="0" t="s">
        <v>33</v>
      </c>
      <c r="I6725" s="7" t="n">
        <f aca="false">IF(AND(LEFT(A6725,1)&lt;&gt;"C",D6725&gt;0,F6725&gt;0),1,0)</f>
        <v>1</v>
      </c>
      <c r="J6725" s="7" t="n">
        <f aca="false">IF(I6725=1,D6725*F6725,0)</f>
        <v>54</v>
      </c>
      <c r="K6725" s="7" t="n">
        <f aca="false">YEAR(E6725)*100+MONTH(E6725)</f>
        <v>201111</v>
      </c>
      <c r="L6725" s="7" t="n">
        <f aca="false">IF(AND(A6725&lt;&gt;A6724,LEFT(A6725,1)&lt;&gt;"C"),1,0)</f>
        <v>0</v>
      </c>
    </row>
    <row r="6726" customFormat="false" ht="15" hidden="false" customHeight="false" outlineLevel="0" collapsed="false">
      <c r="A6726" s="0" t="s">
        <v>3389</v>
      </c>
      <c r="B6726" s="0" t="s">
        <v>123</v>
      </c>
      <c r="C6726" s="0" t="s">
        <v>124</v>
      </c>
      <c r="D6726" s="0" t="n">
        <v>48</v>
      </c>
      <c r="E6726" s="6" t="n">
        <v>40877.6465277778</v>
      </c>
      <c r="F6726" s="0" t="n">
        <v>2.55</v>
      </c>
      <c r="G6726" s="0" t="n">
        <v>12524</v>
      </c>
      <c r="H6726" s="0" t="s">
        <v>33</v>
      </c>
      <c r="I6726" s="7" t="n">
        <f aca="false">IF(AND(LEFT(A6726,1)&lt;&gt;"C",D6726&gt;0,F6726&gt;0),1,0)</f>
        <v>1</v>
      </c>
      <c r="J6726" s="7" t="n">
        <f aca="false">IF(I6726=1,D6726*F6726,0)</f>
        <v>122.4</v>
      </c>
      <c r="K6726" s="7" t="n">
        <f aca="false">YEAR(E6726)*100+MONTH(E6726)</f>
        <v>201111</v>
      </c>
      <c r="L6726" s="7" t="n">
        <f aca="false">IF(AND(A6726&lt;&gt;A6725,LEFT(A6726,1)&lt;&gt;"C"),1,0)</f>
        <v>1</v>
      </c>
    </row>
    <row r="6727" customFormat="false" ht="15" hidden="false" customHeight="false" outlineLevel="0" collapsed="false">
      <c r="A6727" s="0" t="s">
        <v>3389</v>
      </c>
      <c r="B6727" s="0" t="s">
        <v>3390</v>
      </c>
      <c r="C6727" s="0" t="s">
        <v>3391</v>
      </c>
      <c r="D6727" s="0" t="n">
        <v>12</v>
      </c>
      <c r="E6727" s="6" t="n">
        <v>40877.6465277778</v>
      </c>
      <c r="F6727" s="0" t="n">
        <v>2.25</v>
      </c>
      <c r="G6727" s="0" t="n">
        <v>12524</v>
      </c>
      <c r="H6727" s="0" t="s">
        <v>33</v>
      </c>
      <c r="I6727" s="7" t="n">
        <f aca="false">IF(AND(LEFT(A6727,1)&lt;&gt;"C",D6727&gt;0,F6727&gt;0),1,0)</f>
        <v>1</v>
      </c>
      <c r="J6727" s="7" t="n">
        <f aca="false">IF(I6727=1,D6727*F6727,0)</f>
        <v>27</v>
      </c>
      <c r="K6727" s="7" t="n">
        <f aca="false">YEAR(E6727)*100+MONTH(E6727)</f>
        <v>201111</v>
      </c>
      <c r="L6727" s="7" t="n">
        <f aca="false">IF(AND(A6727&lt;&gt;A6726,LEFT(A6727,1)&lt;&gt;"C"),1,0)</f>
        <v>0</v>
      </c>
    </row>
    <row r="6728" customFormat="false" ht="15" hidden="false" customHeight="false" outlineLevel="0" collapsed="false">
      <c r="A6728" s="0" t="s">
        <v>3389</v>
      </c>
      <c r="B6728" s="0" t="s">
        <v>359</v>
      </c>
      <c r="C6728" s="0" t="s">
        <v>360</v>
      </c>
      <c r="D6728" s="0" t="n">
        <v>48</v>
      </c>
      <c r="E6728" s="6" t="n">
        <v>40877.6465277778</v>
      </c>
      <c r="F6728" s="0" t="n">
        <v>2.55</v>
      </c>
      <c r="G6728" s="0" t="n">
        <v>12524</v>
      </c>
      <c r="H6728" s="0" t="s">
        <v>33</v>
      </c>
      <c r="I6728" s="7" t="n">
        <f aca="false">IF(AND(LEFT(A6728,1)&lt;&gt;"C",D6728&gt;0,F6728&gt;0),1,0)</f>
        <v>1</v>
      </c>
      <c r="J6728" s="7" t="n">
        <f aca="false">IF(I6728=1,D6728*F6728,0)</f>
        <v>122.4</v>
      </c>
      <c r="K6728" s="7" t="n">
        <f aca="false">YEAR(E6728)*100+MONTH(E6728)</f>
        <v>201111</v>
      </c>
      <c r="L6728" s="7" t="n">
        <f aca="false">IF(AND(A6728&lt;&gt;A6727,LEFT(A6728,1)&lt;&gt;"C"),1,0)</f>
        <v>0</v>
      </c>
    </row>
    <row r="6729" customFormat="false" ht="15" hidden="false" customHeight="false" outlineLevel="0" collapsed="false">
      <c r="A6729" s="0" t="s">
        <v>3389</v>
      </c>
      <c r="B6729" s="0" t="s">
        <v>84</v>
      </c>
      <c r="C6729" s="0" t="s">
        <v>85</v>
      </c>
      <c r="D6729" s="0" t="n">
        <v>2</v>
      </c>
      <c r="E6729" s="6" t="n">
        <v>40877.6465277778</v>
      </c>
      <c r="F6729" s="0" t="n">
        <v>18</v>
      </c>
      <c r="G6729" s="0" t="n">
        <v>12524</v>
      </c>
      <c r="H6729" s="0" t="s">
        <v>33</v>
      </c>
      <c r="I6729" s="7" t="n">
        <f aca="false">IF(AND(LEFT(A6729,1)&lt;&gt;"C",D6729&gt;0,F6729&gt;0),1,0)</f>
        <v>1</v>
      </c>
      <c r="J6729" s="7" t="n">
        <f aca="false">IF(I6729=1,D6729*F6729,0)</f>
        <v>36</v>
      </c>
      <c r="K6729" s="7" t="n">
        <f aca="false">YEAR(E6729)*100+MONTH(E6729)</f>
        <v>201111</v>
      </c>
      <c r="L6729" s="7" t="n">
        <f aca="false">IF(AND(A6729&lt;&gt;A6728,LEFT(A6729,1)&lt;&gt;"C"),1,0)</f>
        <v>0</v>
      </c>
    </row>
    <row r="6730" customFormat="false" ht="15" hidden="false" customHeight="false" outlineLevel="0" collapsed="false">
      <c r="A6730" s="0" t="s">
        <v>3392</v>
      </c>
      <c r="B6730" s="0" t="s">
        <v>2405</v>
      </c>
      <c r="C6730" s="0" t="s">
        <v>2406</v>
      </c>
      <c r="D6730" s="0" t="n">
        <v>20</v>
      </c>
      <c r="E6730" s="6" t="n">
        <v>40877.6548611111</v>
      </c>
      <c r="F6730" s="0" t="n">
        <v>0.65</v>
      </c>
      <c r="G6730" s="0" t="n">
        <v>12714</v>
      </c>
      <c r="H6730" s="0" t="s">
        <v>43</v>
      </c>
      <c r="I6730" s="7" t="n">
        <f aca="false">IF(AND(LEFT(A6730,1)&lt;&gt;"C",D6730&gt;0,F6730&gt;0),1,0)</f>
        <v>1</v>
      </c>
      <c r="J6730" s="7" t="n">
        <f aca="false">IF(I6730=1,D6730*F6730,0)</f>
        <v>13</v>
      </c>
      <c r="K6730" s="7" t="n">
        <f aca="false">YEAR(E6730)*100+MONTH(E6730)</f>
        <v>201111</v>
      </c>
      <c r="L6730" s="7" t="n">
        <f aca="false">IF(AND(A6730&lt;&gt;A6729,LEFT(A6730,1)&lt;&gt;"C"),1,0)</f>
        <v>1</v>
      </c>
    </row>
    <row r="6731" customFormat="false" ht="15" hidden="false" customHeight="false" outlineLevel="0" collapsed="false">
      <c r="A6731" s="0" t="s">
        <v>3392</v>
      </c>
      <c r="B6731" s="0" t="s">
        <v>983</v>
      </c>
      <c r="C6731" s="0" t="s">
        <v>984</v>
      </c>
      <c r="D6731" s="0" t="n">
        <v>20</v>
      </c>
      <c r="E6731" s="6" t="n">
        <v>40877.6548611111</v>
      </c>
      <c r="F6731" s="0" t="n">
        <v>0.85</v>
      </c>
      <c r="G6731" s="0" t="n">
        <v>12714</v>
      </c>
      <c r="H6731" s="0" t="s">
        <v>43</v>
      </c>
      <c r="I6731" s="7" t="n">
        <f aca="false">IF(AND(LEFT(A6731,1)&lt;&gt;"C",D6731&gt;0,F6731&gt;0),1,0)</f>
        <v>1</v>
      </c>
      <c r="J6731" s="7" t="n">
        <f aca="false">IF(I6731=1,D6731*F6731,0)</f>
        <v>17</v>
      </c>
      <c r="K6731" s="7" t="n">
        <f aca="false">YEAR(E6731)*100+MONTH(E6731)</f>
        <v>201111</v>
      </c>
      <c r="L6731" s="7" t="n">
        <f aca="false">IF(AND(A6731&lt;&gt;A6730,LEFT(A6731,1)&lt;&gt;"C"),1,0)</f>
        <v>0</v>
      </c>
    </row>
    <row r="6732" customFormat="false" ht="15" hidden="false" customHeight="false" outlineLevel="0" collapsed="false">
      <c r="A6732" s="0" t="s">
        <v>3392</v>
      </c>
      <c r="B6732" s="0" t="s">
        <v>2314</v>
      </c>
      <c r="C6732" s="0" t="s">
        <v>2315</v>
      </c>
      <c r="D6732" s="0" t="n">
        <v>8</v>
      </c>
      <c r="E6732" s="6" t="n">
        <v>40877.6548611111</v>
      </c>
      <c r="F6732" s="0" t="n">
        <v>3.75</v>
      </c>
      <c r="G6732" s="0" t="n">
        <v>12714</v>
      </c>
      <c r="H6732" s="0" t="s">
        <v>43</v>
      </c>
      <c r="I6732" s="7" t="n">
        <f aca="false">IF(AND(LEFT(A6732,1)&lt;&gt;"C",D6732&gt;0,F6732&gt;0),1,0)</f>
        <v>1</v>
      </c>
      <c r="J6732" s="7" t="n">
        <f aca="false">IF(I6732=1,D6732*F6732,0)</f>
        <v>30</v>
      </c>
      <c r="K6732" s="7" t="n">
        <f aca="false">YEAR(E6732)*100+MONTH(E6732)</f>
        <v>201111</v>
      </c>
      <c r="L6732" s="7" t="n">
        <f aca="false">IF(AND(A6732&lt;&gt;A6731,LEFT(A6732,1)&lt;&gt;"C"),1,0)</f>
        <v>0</v>
      </c>
    </row>
    <row r="6733" customFormat="false" ht="15" hidden="false" customHeight="false" outlineLevel="0" collapsed="false">
      <c r="A6733" s="0" t="s">
        <v>3392</v>
      </c>
      <c r="B6733" s="0" t="s">
        <v>3393</v>
      </c>
      <c r="C6733" s="0" t="s">
        <v>3394</v>
      </c>
      <c r="D6733" s="0" t="n">
        <v>12</v>
      </c>
      <c r="E6733" s="6" t="n">
        <v>40877.6548611111</v>
      </c>
      <c r="F6733" s="0" t="n">
        <v>1.25</v>
      </c>
      <c r="G6733" s="0" t="n">
        <v>12714</v>
      </c>
      <c r="H6733" s="0" t="s">
        <v>43</v>
      </c>
      <c r="I6733" s="7" t="n">
        <f aca="false">IF(AND(LEFT(A6733,1)&lt;&gt;"C",D6733&gt;0,F6733&gt;0),1,0)</f>
        <v>1</v>
      </c>
      <c r="J6733" s="7" t="n">
        <f aca="false">IF(I6733=1,D6733*F6733,0)</f>
        <v>15</v>
      </c>
      <c r="K6733" s="7" t="n">
        <f aca="false">YEAR(E6733)*100+MONTH(E6733)</f>
        <v>201111</v>
      </c>
      <c r="L6733" s="7" t="n">
        <f aca="false">IF(AND(A6733&lt;&gt;A6732,LEFT(A6733,1)&lt;&gt;"C"),1,0)</f>
        <v>0</v>
      </c>
    </row>
    <row r="6734" customFormat="false" ht="15" hidden="false" customHeight="false" outlineLevel="0" collapsed="false">
      <c r="A6734" s="0" t="s">
        <v>3392</v>
      </c>
      <c r="B6734" s="0" t="s">
        <v>2650</v>
      </c>
      <c r="C6734" s="0" t="s">
        <v>2651</v>
      </c>
      <c r="D6734" s="0" t="n">
        <v>12</v>
      </c>
      <c r="E6734" s="6" t="n">
        <v>40877.6548611111</v>
      </c>
      <c r="F6734" s="0" t="n">
        <v>0.83</v>
      </c>
      <c r="G6734" s="0" t="n">
        <v>12714</v>
      </c>
      <c r="H6734" s="0" t="s">
        <v>43</v>
      </c>
      <c r="I6734" s="7" t="n">
        <f aca="false">IF(AND(LEFT(A6734,1)&lt;&gt;"C",D6734&gt;0,F6734&gt;0),1,0)</f>
        <v>1</v>
      </c>
      <c r="J6734" s="7" t="n">
        <f aca="false">IF(I6734=1,D6734*F6734,0)</f>
        <v>9.96</v>
      </c>
      <c r="K6734" s="7" t="n">
        <f aca="false">YEAR(E6734)*100+MONTH(E6734)</f>
        <v>201111</v>
      </c>
      <c r="L6734" s="7" t="n">
        <f aca="false">IF(AND(A6734&lt;&gt;A6733,LEFT(A6734,1)&lt;&gt;"C"),1,0)</f>
        <v>0</v>
      </c>
    </row>
    <row r="6735" customFormat="false" ht="15" hidden="false" customHeight="false" outlineLevel="0" collapsed="false">
      <c r="A6735" s="0" t="s">
        <v>3392</v>
      </c>
      <c r="B6735" s="0" t="s">
        <v>2705</v>
      </c>
      <c r="C6735" s="0" t="s">
        <v>2706</v>
      </c>
      <c r="D6735" s="0" t="n">
        <v>12</v>
      </c>
      <c r="E6735" s="6" t="n">
        <v>40877.6548611111</v>
      </c>
      <c r="F6735" s="0" t="n">
        <v>0.83</v>
      </c>
      <c r="G6735" s="0" t="n">
        <v>12714</v>
      </c>
      <c r="H6735" s="0" t="s">
        <v>43</v>
      </c>
      <c r="I6735" s="7" t="n">
        <f aca="false">IF(AND(LEFT(A6735,1)&lt;&gt;"C",D6735&gt;0,F6735&gt;0),1,0)</f>
        <v>1</v>
      </c>
      <c r="J6735" s="7" t="n">
        <f aca="false">IF(I6735=1,D6735*F6735,0)</f>
        <v>9.96</v>
      </c>
      <c r="K6735" s="7" t="n">
        <f aca="false">YEAR(E6735)*100+MONTH(E6735)</f>
        <v>201111</v>
      </c>
      <c r="L6735" s="7" t="n">
        <f aca="false">IF(AND(A6735&lt;&gt;A6734,LEFT(A6735,1)&lt;&gt;"C"),1,0)</f>
        <v>0</v>
      </c>
    </row>
    <row r="6736" customFormat="false" ht="15" hidden="false" customHeight="false" outlineLevel="0" collapsed="false">
      <c r="A6736" s="0" t="s">
        <v>3392</v>
      </c>
      <c r="B6736" s="0" t="s">
        <v>2589</v>
      </c>
      <c r="C6736" s="0" t="s">
        <v>2590</v>
      </c>
      <c r="D6736" s="0" t="n">
        <v>12</v>
      </c>
      <c r="E6736" s="6" t="n">
        <v>40877.6548611111</v>
      </c>
      <c r="F6736" s="0" t="n">
        <v>1.25</v>
      </c>
      <c r="G6736" s="0" t="n">
        <v>12714</v>
      </c>
      <c r="H6736" s="0" t="s">
        <v>43</v>
      </c>
      <c r="I6736" s="7" t="n">
        <f aca="false">IF(AND(LEFT(A6736,1)&lt;&gt;"C",D6736&gt;0,F6736&gt;0),1,0)</f>
        <v>1</v>
      </c>
      <c r="J6736" s="7" t="n">
        <f aca="false">IF(I6736=1,D6736*F6736,0)</f>
        <v>15</v>
      </c>
      <c r="K6736" s="7" t="n">
        <f aca="false">YEAR(E6736)*100+MONTH(E6736)</f>
        <v>201111</v>
      </c>
      <c r="L6736" s="7" t="n">
        <f aca="false">IF(AND(A6736&lt;&gt;A6735,LEFT(A6736,1)&lt;&gt;"C"),1,0)</f>
        <v>0</v>
      </c>
    </row>
    <row r="6737" customFormat="false" ht="15" hidden="false" customHeight="false" outlineLevel="0" collapsed="false">
      <c r="A6737" s="0" t="s">
        <v>3392</v>
      </c>
      <c r="B6737" s="0" t="s">
        <v>2591</v>
      </c>
      <c r="C6737" s="0" t="s">
        <v>2592</v>
      </c>
      <c r="D6737" s="0" t="n">
        <v>12</v>
      </c>
      <c r="E6737" s="6" t="n">
        <v>40877.6548611111</v>
      </c>
      <c r="F6737" s="0" t="n">
        <v>0.83</v>
      </c>
      <c r="G6737" s="0" t="n">
        <v>12714</v>
      </c>
      <c r="H6737" s="0" t="s">
        <v>43</v>
      </c>
      <c r="I6737" s="7" t="n">
        <f aca="false">IF(AND(LEFT(A6737,1)&lt;&gt;"C",D6737&gt;0,F6737&gt;0),1,0)</f>
        <v>1</v>
      </c>
      <c r="J6737" s="7" t="n">
        <f aca="false">IF(I6737=1,D6737*F6737,0)</f>
        <v>9.96</v>
      </c>
      <c r="K6737" s="7" t="n">
        <f aca="false">YEAR(E6737)*100+MONTH(E6737)</f>
        <v>201111</v>
      </c>
      <c r="L6737" s="7" t="n">
        <f aca="false">IF(AND(A6737&lt;&gt;A6736,LEFT(A6737,1)&lt;&gt;"C"),1,0)</f>
        <v>0</v>
      </c>
    </row>
    <row r="6738" customFormat="false" ht="15" hidden="false" customHeight="false" outlineLevel="0" collapsed="false">
      <c r="A6738" s="0" t="s">
        <v>3392</v>
      </c>
      <c r="B6738" s="0" t="s">
        <v>3395</v>
      </c>
      <c r="C6738" s="0" t="s">
        <v>3396</v>
      </c>
      <c r="D6738" s="0" t="n">
        <v>12</v>
      </c>
      <c r="E6738" s="6" t="n">
        <v>40877.6548611111</v>
      </c>
      <c r="F6738" s="0" t="n">
        <v>1.25</v>
      </c>
      <c r="G6738" s="0" t="n">
        <v>12714</v>
      </c>
      <c r="H6738" s="0" t="s">
        <v>43</v>
      </c>
      <c r="I6738" s="7" t="n">
        <f aca="false">IF(AND(LEFT(A6738,1)&lt;&gt;"C",D6738&gt;0,F6738&gt;0),1,0)</f>
        <v>1</v>
      </c>
      <c r="J6738" s="7" t="n">
        <f aca="false">IF(I6738=1,D6738*F6738,0)</f>
        <v>15</v>
      </c>
      <c r="K6738" s="7" t="n">
        <f aca="false">YEAR(E6738)*100+MONTH(E6738)</f>
        <v>201111</v>
      </c>
      <c r="L6738" s="7" t="n">
        <f aca="false">IF(AND(A6738&lt;&gt;A6737,LEFT(A6738,1)&lt;&gt;"C"),1,0)</f>
        <v>0</v>
      </c>
    </row>
    <row r="6739" customFormat="false" ht="15" hidden="false" customHeight="false" outlineLevel="0" collapsed="false">
      <c r="A6739" s="0" t="s">
        <v>3392</v>
      </c>
      <c r="B6739" s="0" t="s">
        <v>62</v>
      </c>
      <c r="C6739" s="0" t="s">
        <v>63</v>
      </c>
      <c r="D6739" s="0" t="n">
        <v>24</v>
      </c>
      <c r="E6739" s="6" t="n">
        <v>40877.6548611111</v>
      </c>
      <c r="F6739" s="0" t="n">
        <v>1.79</v>
      </c>
      <c r="G6739" s="0" t="n">
        <v>12714</v>
      </c>
      <c r="H6739" s="0" t="s">
        <v>43</v>
      </c>
      <c r="I6739" s="7" t="n">
        <f aca="false">IF(AND(LEFT(A6739,1)&lt;&gt;"C",D6739&gt;0,F6739&gt;0),1,0)</f>
        <v>1</v>
      </c>
      <c r="J6739" s="7" t="n">
        <f aca="false">IF(I6739=1,D6739*F6739,0)</f>
        <v>42.96</v>
      </c>
      <c r="K6739" s="7" t="n">
        <f aca="false">YEAR(E6739)*100+MONTH(E6739)</f>
        <v>201111</v>
      </c>
      <c r="L6739" s="7" t="n">
        <f aca="false">IF(AND(A6739&lt;&gt;A6738,LEFT(A6739,1)&lt;&gt;"C"),1,0)</f>
        <v>0</v>
      </c>
    </row>
    <row r="6740" customFormat="false" ht="15" hidden="false" customHeight="false" outlineLevel="0" collapsed="false">
      <c r="A6740" s="0" t="s">
        <v>3392</v>
      </c>
      <c r="B6740" s="0" t="s">
        <v>3028</v>
      </c>
      <c r="C6740" s="0" t="s">
        <v>3029</v>
      </c>
      <c r="D6740" s="0" t="n">
        <v>20</v>
      </c>
      <c r="E6740" s="6" t="n">
        <v>40877.6548611111</v>
      </c>
      <c r="F6740" s="0" t="n">
        <v>1.65</v>
      </c>
      <c r="G6740" s="0" t="n">
        <v>12714</v>
      </c>
      <c r="H6740" s="0" t="s">
        <v>43</v>
      </c>
      <c r="I6740" s="7" t="n">
        <f aca="false">IF(AND(LEFT(A6740,1)&lt;&gt;"C",D6740&gt;0,F6740&gt;0),1,0)</f>
        <v>1</v>
      </c>
      <c r="J6740" s="7" t="n">
        <f aca="false">IF(I6740=1,D6740*F6740,0)</f>
        <v>33</v>
      </c>
      <c r="K6740" s="7" t="n">
        <f aca="false">YEAR(E6740)*100+MONTH(E6740)</f>
        <v>201111</v>
      </c>
      <c r="L6740" s="7" t="n">
        <f aca="false">IF(AND(A6740&lt;&gt;A6739,LEFT(A6740,1)&lt;&gt;"C"),1,0)</f>
        <v>0</v>
      </c>
    </row>
    <row r="6741" customFormat="false" ht="15" hidden="false" customHeight="false" outlineLevel="0" collapsed="false">
      <c r="A6741" s="0" t="s">
        <v>3392</v>
      </c>
      <c r="B6741" s="0" t="s">
        <v>2780</v>
      </c>
      <c r="C6741" s="0" t="s">
        <v>2781</v>
      </c>
      <c r="D6741" s="0" t="n">
        <v>20</v>
      </c>
      <c r="E6741" s="6" t="n">
        <v>40877.6548611111</v>
      </c>
      <c r="F6741" s="0" t="n">
        <v>1.65</v>
      </c>
      <c r="G6741" s="0" t="n">
        <v>12714</v>
      </c>
      <c r="H6741" s="0" t="s">
        <v>43</v>
      </c>
      <c r="I6741" s="7" t="n">
        <f aca="false">IF(AND(LEFT(A6741,1)&lt;&gt;"C",D6741&gt;0,F6741&gt;0),1,0)</f>
        <v>1</v>
      </c>
      <c r="J6741" s="7" t="n">
        <f aca="false">IF(I6741=1,D6741*F6741,0)</f>
        <v>33</v>
      </c>
      <c r="K6741" s="7" t="n">
        <f aca="false">YEAR(E6741)*100+MONTH(E6741)</f>
        <v>201111</v>
      </c>
      <c r="L6741" s="7" t="n">
        <f aca="false">IF(AND(A6741&lt;&gt;A6740,LEFT(A6741,1)&lt;&gt;"C"),1,0)</f>
        <v>0</v>
      </c>
    </row>
    <row r="6742" customFormat="false" ht="15" hidden="false" customHeight="false" outlineLevel="0" collapsed="false">
      <c r="A6742" s="0" t="s">
        <v>3392</v>
      </c>
      <c r="B6742" s="0" t="s">
        <v>1294</v>
      </c>
      <c r="C6742" s="0" t="s">
        <v>1295</v>
      </c>
      <c r="D6742" s="0" t="n">
        <v>12</v>
      </c>
      <c r="E6742" s="6" t="n">
        <v>40877.6548611111</v>
      </c>
      <c r="F6742" s="0" t="n">
        <v>0.42</v>
      </c>
      <c r="G6742" s="0" t="n">
        <v>12714</v>
      </c>
      <c r="H6742" s="0" t="s">
        <v>43</v>
      </c>
      <c r="I6742" s="7" t="n">
        <f aca="false">IF(AND(LEFT(A6742,1)&lt;&gt;"C",D6742&gt;0,F6742&gt;0),1,0)</f>
        <v>1</v>
      </c>
      <c r="J6742" s="7" t="n">
        <f aca="false">IF(I6742=1,D6742*F6742,0)</f>
        <v>5.04</v>
      </c>
      <c r="K6742" s="7" t="n">
        <f aca="false">YEAR(E6742)*100+MONTH(E6742)</f>
        <v>201111</v>
      </c>
      <c r="L6742" s="7" t="n">
        <f aca="false">IF(AND(A6742&lt;&gt;A6741,LEFT(A6742,1)&lt;&gt;"C"),1,0)</f>
        <v>0</v>
      </c>
    </row>
    <row r="6743" customFormat="false" ht="15" hidden="false" customHeight="false" outlineLevel="0" collapsed="false">
      <c r="A6743" s="0" t="s">
        <v>3392</v>
      </c>
      <c r="B6743" s="0" t="s">
        <v>1555</v>
      </c>
      <c r="C6743" s="0" t="s">
        <v>1556</v>
      </c>
      <c r="D6743" s="0" t="n">
        <v>12</v>
      </c>
      <c r="E6743" s="6" t="n">
        <v>40877.6548611111</v>
      </c>
      <c r="F6743" s="0" t="n">
        <v>0.42</v>
      </c>
      <c r="G6743" s="0" t="n">
        <v>12714</v>
      </c>
      <c r="H6743" s="0" t="s">
        <v>43</v>
      </c>
      <c r="I6743" s="7" t="n">
        <f aca="false">IF(AND(LEFT(A6743,1)&lt;&gt;"C",D6743&gt;0,F6743&gt;0),1,0)</f>
        <v>1</v>
      </c>
      <c r="J6743" s="7" t="n">
        <f aca="false">IF(I6743=1,D6743*F6743,0)</f>
        <v>5.04</v>
      </c>
      <c r="K6743" s="7" t="n">
        <f aca="false">YEAR(E6743)*100+MONTH(E6743)</f>
        <v>201111</v>
      </c>
      <c r="L6743" s="7" t="n">
        <f aca="false">IF(AND(A6743&lt;&gt;A6742,LEFT(A6743,1)&lt;&gt;"C"),1,0)</f>
        <v>0</v>
      </c>
    </row>
    <row r="6744" customFormat="false" ht="15" hidden="false" customHeight="false" outlineLevel="0" collapsed="false">
      <c r="A6744" s="0" t="s">
        <v>3392</v>
      </c>
      <c r="B6744" s="0" t="s">
        <v>2002</v>
      </c>
      <c r="C6744" s="0" t="s">
        <v>2003</v>
      </c>
      <c r="D6744" s="0" t="n">
        <v>24</v>
      </c>
      <c r="E6744" s="6" t="n">
        <v>40877.6548611111</v>
      </c>
      <c r="F6744" s="0" t="n">
        <v>0.29</v>
      </c>
      <c r="G6744" s="0" t="n">
        <v>12714</v>
      </c>
      <c r="H6744" s="0" t="s">
        <v>43</v>
      </c>
      <c r="I6744" s="7" t="n">
        <f aca="false">IF(AND(LEFT(A6744,1)&lt;&gt;"C",D6744&gt;0,F6744&gt;0),1,0)</f>
        <v>1</v>
      </c>
      <c r="J6744" s="7" t="n">
        <f aca="false">IF(I6744=1,D6744*F6744,0)</f>
        <v>6.96</v>
      </c>
      <c r="K6744" s="7" t="n">
        <f aca="false">YEAR(E6744)*100+MONTH(E6744)</f>
        <v>201111</v>
      </c>
      <c r="L6744" s="7" t="n">
        <f aca="false">IF(AND(A6744&lt;&gt;A6743,LEFT(A6744,1)&lt;&gt;"C"),1,0)</f>
        <v>0</v>
      </c>
    </row>
    <row r="6745" customFormat="false" ht="15" hidden="false" customHeight="false" outlineLevel="0" collapsed="false">
      <c r="A6745" s="0" t="s">
        <v>3392</v>
      </c>
      <c r="B6745" s="0" t="s">
        <v>2248</v>
      </c>
      <c r="C6745" s="0" t="s">
        <v>2249</v>
      </c>
      <c r="D6745" s="0" t="n">
        <v>12</v>
      </c>
      <c r="E6745" s="6" t="n">
        <v>40877.6548611111</v>
      </c>
      <c r="F6745" s="0" t="n">
        <v>0.85</v>
      </c>
      <c r="G6745" s="0" t="n">
        <v>12714</v>
      </c>
      <c r="H6745" s="0" t="s">
        <v>43</v>
      </c>
      <c r="I6745" s="7" t="n">
        <f aca="false">IF(AND(LEFT(A6745,1)&lt;&gt;"C",D6745&gt;0,F6745&gt;0),1,0)</f>
        <v>1</v>
      </c>
      <c r="J6745" s="7" t="n">
        <f aca="false">IF(I6745=1,D6745*F6745,0)</f>
        <v>10.2</v>
      </c>
      <c r="K6745" s="7" t="n">
        <f aca="false">YEAR(E6745)*100+MONTH(E6745)</f>
        <v>201111</v>
      </c>
      <c r="L6745" s="7" t="n">
        <f aca="false">IF(AND(A6745&lt;&gt;A6744,LEFT(A6745,1)&lt;&gt;"C"),1,0)</f>
        <v>0</v>
      </c>
    </row>
    <row r="6746" customFormat="false" ht="15" hidden="false" customHeight="false" outlineLevel="0" collapsed="false">
      <c r="A6746" s="0" t="s">
        <v>3392</v>
      </c>
      <c r="B6746" s="0" t="s">
        <v>2714</v>
      </c>
      <c r="C6746" s="0" t="s">
        <v>2715</v>
      </c>
      <c r="D6746" s="0" t="n">
        <v>12</v>
      </c>
      <c r="E6746" s="6" t="n">
        <v>40877.6548611111</v>
      </c>
      <c r="F6746" s="0" t="n">
        <v>0.85</v>
      </c>
      <c r="G6746" s="0" t="n">
        <v>12714</v>
      </c>
      <c r="H6746" s="0" t="s">
        <v>43</v>
      </c>
      <c r="I6746" s="7" t="n">
        <f aca="false">IF(AND(LEFT(A6746,1)&lt;&gt;"C",D6746&gt;0,F6746&gt;0),1,0)</f>
        <v>1</v>
      </c>
      <c r="J6746" s="7" t="n">
        <f aca="false">IF(I6746=1,D6746*F6746,0)</f>
        <v>10.2</v>
      </c>
      <c r="K6746" s="7" t="n">
        <f aca="false">YEAR(E6746)*100+MONTH(E6746)</f>
        <v>201111</v>
      </c>
      <c r="L6746" s="7" t="n">
        <f aca="false">IF(AND(A6746&lt;&gt;A6745,LEFT(A6746,1)&lt;&gt;"C"),1,0)</f>
        <v>0</v>
      </c>
    </row>
    <row r="6747" customFormat="false" ht="15" hidden="false" customHeight="false" outlineLevel="0" collapsed="false">
      <c r="A6747" s="0" t="s">
        <v>3392</v>
      </c>
      <c r="B6747" s="0" t="s">
        <v>705</v>
      </c>
      <c r="C6747" s="0" t="s">
        <v>706</v>
      </c>
      <c r="D6747" s="0" t="n">
        <v>12</v>
      </c>
      <c r="E6747" s="6" t="n">
        <v>40877.6548611111</v>
      </c>
      <c r="F6747" s="0" t="n">
        <v>0.85</v>
      </c>
      <c r="G6747" s="0" t="n">
        <v>12714</v>
      </c>
      <c r="H6747" s="0" t="s">
        <v>43</v>
      </c>
      <c r="I6747" s="7" t="n">
        <f aca="false">IF(AND(LEFT(A6747,1)&lt;&gt;"C",D6747&gt;0,F6747&gt;0),1,0)</f>
        <v>1</v>
      </c>
      <c r="J6747" s="7" t="n">
        <f aca="false">IF(I6747=1,D6747*F6747,0)</f>
        <v>10.2</v>
      </c>
      <c r="K6747" s="7" t="n">
        <f aca="false">YEAR(E6747)*100+MONTH(E6747)</f>
        <v>201111</v>
      </c>
      <c r="L6747" s="7" t="n">
        <f aca="false">IF(AND(A6747&lt;&gt;A6746,LEFT(A6747,1)&lt;&gt;"C"),1,0)</f>
        <v>0</v>
      </c>
    </row>
    <row r="6748" customFormat="false" ht="15" hidden="false" customHeight="false" outlineLevel="0" collapsed="false">
      <c r="A6748" s="0" t="s">
        <v>3392</v>
      </c>
      <c r="B6748" s="0" t="s">
        <v>2463</v>
      </c>
      <c r="C6748" s="0" t="s">
        <v>2464</v>
      </c>
      <c r="D6748" s="0" t="n">
        <v>24</v>
      </c>
      <c r="E6748" s="6" t="n">
        <v>40877.6548611111</v>
      </c>
      <c r="F6748" s="0" t="n">
        <v>1.25</v>
      </c>
      <c r="G6748" s="0" t="n">
        <v>12714</v>
      </c>
      <c r="H6748" s="0" t="s">
        <v>43</v>
      </c>
      <c r="I6748" s="7" t="n">
        <f aca="false">IF(AND(LEFT(A6748,1)&lt;&gt;"C",D6748&gt;0,F6748&gt;0),1,0)</f>
        <v>1</v>
      </c>
      <c r="J6748" s="7" t="n">
        <f aca="false">IF(I6748=1,D6748*F6748,0)</f>
        <v>30</v>
      </c>
      <c r="K6748" s="7" t="n">
        <f aca="false">YEAR(E6748)*100+MONTH(E6748)</f>
        <v>201111</v>
      </c>
      <c r="L6748" s="7" t="n">
        <f aca="false">IF(AND(A6748&lt;&gt;A6747,LEFT(A6748,1)&lt;&gt;"C"),1,0)</f>
        <v>0</v>
      </c>
    </row>
    <row r="6749" customFormat="false" ht="15" hidden="false" customHeight="false" outlineLevel="0" collapsed="false">
      <c r="A6749" s="0" t="s">
        <v>3392</v>
      </c>
      <c r="B6749" s="0" t="s">
        <v>2465</v>
      </c>
      <c r="C6749" s="0" t="s">
        <v>2466</v>
      </c>
      <c r="D6749" s="0" t="n">
        <v>24</v>
      </c>
      <c r="E6749" s="6" t="n">
        <v>40877.6548611111</v>
      </c>
      <c r="F6749" s="0" t="n">
        <v>1.25</v>
      </c>
      <c r="G6749" s="0" t="n">
        <v>12714</v>
      </c>
      <c r="H6749" s="0" t="s">
        <v>43</v>
      </c>
      <c r="I6749" s="7" t="n">
        <f aca="false">IF(AND(LEFT(A6749,1)&lt;&gt;"C",D6749&gt;0,F6749&gt;0),1,0)</f>
        <v>1</v>
      </c>
      <c r="J6749" s="7" t="n">
        <f aca="false">IF(I6749=1,D6749*F6749,0)</f>
        <v>30</v>
      </c>
      <c r="K6749" s="7" t="n">
        <f aca="false">YEAR(E6749)*100+MONTH(E6749)</f>
        <v>201111</v>
      </c>
      <c r="L6749" s="7" t="n">
        <f aca="false">IF(AND(A6749&lt;&gt;A6748,LEFT(A6749,1)&lt;&gt;"C"),1,0)</f>
        <v>0</v>
      </c>
    </row>
    <row r="6750" customFormat="false" ht="15" hidden="false" customHeight="false" outlineLevel="0" collapsed="false">
      <c r="A6750" s="0" t="s">
        <v>3392</v>
      </c>
      <c r="B6750" s="0" t="s">
        <v>861</v>
      </c>
      <c r="C6750" s="0" t="s">
        <v>862</v>
      </c>
      <c r="D6750" s="0" t="n">
        <v>6</v>
      </c>
      <c r="E6750" s="6" t="n">
        <v>40877.6548611111</v>
      </c>
      <c r="F6750" s="0" t="n">
        <v>2.55</v>
      </c>
      <c r="G6750" s="0" t="n">
        <v>12714</v>
      </c>
      <c r="H6750" s="0" t="s">
        <v>43</v>
      </c>
      <c r="I6750" s="7" t="n">
        <f aca="false">IF(AND(LEFT(A6750,1)&lt;&gt;"C",D6750&gt;0,F6750&gt;0),1,0)</f>
        <v>1</v>
      </c>
      <c r="J6750" s="7" t="n">
        <f aca="false">IF(I6750=1,D6750*F6750,0)</f>
        <v>15.3</v>
      </c>
      <c r="K6750" s="7" t="n">
        <f aca="false">YEAR(E6750)*100+MONTH(E6750)</f>
        <v>201111</v>
      </c>
      <c r="L6750" s="7" t="n">
        <f aca="false">IF(AND(A6750&lt;&gt;A6749,LEFT(A6750,1)&lt;&gt;"C"),1,0)</f>
        <v>0</v>
      </c>
    </row>
    <row r="6751" customFormat="false" ht="15" hidden="false" customHeight="false" outlineLevel="0" collapsed="false">
      <c r="A6751" s="0" t="s">
        <v>3392</v>
      </c>
      <c r="B6751" s="0" t="s">
        <v>2813</v>
      </c>
      <c r="C6751" s="0" t="s">
        <v>2814</v>
      </c>
      <c r="D6751" s="0" t="n">
        <v>12</v>
      </c>
      <c r="E6751" s="6" t="n">
        <v>40877.6548611111</v>
      </c>
      <c r="F6751" s="0" t="n">
        <v>0.85</v>
      </c>
      <c r="G6751" s="0" t="n">
        <v>12714</v>
      </c>
      <c r="H6751" s="0" t="s">
        <v>43</v>
      </c>
      <c r="I6751" s="7" t="n">
        <f aca="false">IF(AND(LEFT(A6751,1)&lt;&gt;"C",D6751&gt;0,F6751&gt;0),1,0)</f>
        <v>1</v>
      </c>
      <c r="J6751" s="7" t="n">
        <f aca="false">IF(I6751=1,D6751*F6751,0)</f>
        <v>10.2</v>
      </c>
      <c r="K6751" s="7" t="n">
        <f aca="false">YEAR(E6751)*100+MONTH(E6751)</f>
        <v>201111</v>
      </c>
      <c r="L6751" s="7" t="n">
        <f aca="false">IF(AND(A6751&lt;&gt;A6750,LEFT(A6751,1)&lt;&gt;"C"),1,0)</f>
        <v>0</v>
      </c>
    </row>
    <row r="6752" customFormat="false" ht="15" hidden="false" customHeight="false" outlineLevel="0" collapsed="false">
      <c r="A6752" s="0" t="s">
        <v>3392</v>
      </c>
      <c r="B6752" s="0" t="s">
        <v>3307</v>
      </c>
      <c r="C6752" s="0" t="s">
        <v>3308</v>
      </c>
      <c r="D6752" s="0" t="n">
        <v>12</v>
      </c>
      <c r="E6752" s="6" t="n">
        <v>40877.6548611111</v>
      </c>
      <c r="F6752" s="0" t="n">
        <v>0.85</v>
      </c>
      <c r="G6752" s="0" t="n">
        <v>12714</v>
      </c>
      <c r="H6752" s="0" t="s">
        <v>43</v>
      </c>
      <c r="I6752" s="7" t="n">
        <f aca="false">IF(AND(LEFT(A6752,1)&lt;&gt;"C",D6752&gt;0,F6752&gt;0),1,0)</f>
        <v>1</v>
      </c>
      <c r="J6752" s="7" t="n">
        <f aca="false">IF(I6752=1,D6752*F6752,0)</f>
        <v>10.2</v>
      </c>
      <c r="K6752" s="7" t="n">
        <f aca="false">YEAR(E6752)*100+MONTH(E6752)</f>
        <v>201111</v>
      </c>
      <c r="L6752" s="7" t="n">
        <f aca="false">IF(AND(A6752&lt;&gt;A6751,LEFT(A6752,1)&lt;&gt;"C"),1,0)</f>
        <v>0</v>
      </c>
    </row>
    <row r="6753" customFormat="false" ht="15" hidden="false" customHeight="false" outlineLevel="0" collapsed="false">
      <c r="A6753" s="0" t="s">
        <v>3392</v>
      </c>
      <c r="B6753" s="0" t="s">
        <v>709</v>
      </c>
      <c r="C6753" s="0" t="s">
        <v>710</v>
      </c>
      <c r="D6753" s="0" t="n">
        <v>24</v>
      </c>
      <c r="E6753" s="6" t="n">
        <v>40877.6548611111</v>
      </c>
      <c r="F6753" s="0" t="n">
        <v>0.85</v>
      </c>
      <c r="G6753" s="0" t="n">
        <v>12714</v>
      </c>
      <c r="H6753" s="0" t="s">
        <v>43</v>
      </c>
      <c r="I6753" s="7" t="n">
        <f aca="false">IF(AND(LEFT(A6753,1)&lt;&gt;"C",D6753&gt;0,F6753&gt;0),1,0)</f>
        <v>1</v>
      </c>
      <c r="J6753" s="7" t="n">
        <f aca="false">IF(I6753=1,D6753*F6753,0)</f>
        <v>20.4</v>
      </c>
      <c r="K6753" s="7" t="n">
        <f aca="false">YEAR(E6753)*100+MONTH(E6753)</f>
        <v>201111</v>
      </c>
      <c r="L6753" s="7" t="n">
        <f aca="false">IF(AND(A6753&lt;&gt;A6752,LEFT(A6753,1)&lt;&gt;"C"),1,0)</f>
        <v>0</v>
      </c>
    </row>
    <row r="6754" customFormat="false" ht="15" hidden="false" customHeight="false" outlineLevel="0" collapsed="false">
      <c r="A6754" s="0" t="s">
        <v>3392</v>
      </c>
      <c r="B6754" s="0" t="s">
        <v>2585</v>
      </c>
      <c r="C6754" s="0" t="s">
        <v>2586</v>
      </c>
      <c r="D6754" s="0" t="n">
        <v>12</v>
      </c>
      <c r="E6754" s="6" t="n">
        <v>40877.6548611111</v>
      </c>
      <c r="F6754" s="0" t="n">
        <v>0.85</v>
      </c>
      <c r="G6754" s="0" t="n">
        <v>12714</v>
      </c>
      <c r="H6754" s="0" t="s">
        <v>43</v>
      </c>
      <c r="I6754" s="7" t="n">
        <f aca="false">IF(AND(LEFT(A6754,1)&lt;&gt;"C",D6754&gt;0,F6754&gt;0),1,0)</f>
        <v>1</v>
      </c>
      <c r="J6754" s="7" t="n">
        <f aca="false">IF(I6754=1,D6754*F6754,0)</f>
        <v>10.2</v>
      </c>
      <c r="K6754" s="7" t="n">
        <f aca="false">YEAR(E6754)*100+MONTH(E6754)</f>
        <v>201111</v>
      </c>
      <c r="L6754" s="7" t="n">
        <f aca="false">IF(AND(A6754&lt;&gt;A6753,LEFT(A6754,1)&lt;&gt;"C"),1,0)</f>
        <v>0</v>
      </c>
    </row>
    <row r="6755" customFormat="false" ht="15" hidden="false" customHeight="false" outlineLevel="0" collapsed="false">
      <c r="A6755" s="0" t="s">
        <v>3392</v>
      </c>
      <c r="B6755" s="0" t="s">
        <v>2116</v>
      </c>
      <c r="C6755" s="0" t="s">
        <v>2117</v>
      </c>
      <c r="D6755" s="0" t="n">
        <v>12</v>
      </c>
      <c r="E6755" s="6" t="n">
        <v>40877.6548611111</v>
      </c>
      <c r="F6755" s="0" t="n">
        <v>0.85</v>
      </c>
      <c r="G6755" s="0" t="n">
        <v>12714</v>
      </c>
      <c r="H6755" s="0" t="s">
        <v>43</v>
      </c>
      <c r="I6755" s="7" t="n">
        <f aca="false">IF(AND(LEFT(A6755,1)&lt;&gt;"C",D6755&gt;0,F6755&gt;0),1,0)</f>
        <v>1</v>
      </c>
      <c r="J6755" s="7" t="n">
        <f aca="false">IF(I6755=1,D6755*F6755,0)</f>
        <v>10.2</v>
      </c>
      <c r="K6755" s="7" t="n">
        <f aca="false">YEAR(E6755)*100+MONTH(E6755)</f>
        <v>201111</v>
      </c>
      <c r="L6755" s="7" t="n">
        <f aca="false">IF(AND(A6755&lt;&gt;A6754,LEFT(A6755,1)&lt;&gt;"C"),1,0)</f>
        <v>0</v>
      </c>
    </row>
    <row r="6756" customFormat="false" ht="15" hidden="false" customHeight="false" outlineLevel="0" collapsed="false">
      <c r="A6756" s="0" t="s">
        <v>3392</v>
      </c>
      <c r="B6756" s="0" t="s">
        <v>2587</v>
      </c>
      <c r="C6756" s="0" t="s">
        <v>2588</v>
      </c>
      <c r="D6756" s="0" t="n">
        <v>12</v>
      </c>
      <c r="E6756" s="6" t="n">
        <v>40877.6548611111</v>
      </c>
      <c r="F6756" s="0" t="n">
        <v>0.85</v>
      </c>
      <c r="G6756" s="0" t="n">
        <v>12714</v>
      </c>
      <c r="H6756" s="0" t="s">
        <v>43</v>
      </c>
      <c r="I6756" s="7" t="n">
        <f aca="false">IF(AND(LEFT(A6756,1)&lt;&gt;"C",D6756&gt;0,F6756&gt;0),1,0)</f>
        <v>1</v>
      </c>
      <c r="J6756" s="7" t="n">
        <f aca="false">IF(I6756=1,D6756*F6756,0)</f>
        <v>10.2</v>
      </c>
      <c r="K6756" s="7" t="n">
        <f aca="false">YEAR(E6756)*100+MONTH(E6756)</f>
        <v>201111</v>
      </c>
      <c r="L6756" s="7" t="n">
        <f aca="false">IF(AND(A6756&lt;&gt;A6755,LEFT(A6756,1)&lt;&gt;"C"),1,0)</f>
        <v>0</v>
      </c>
    </row>
    <row r="6757" customFormat="false" ht="15" hidden="false" customHeight="false" outlineLevel="0" collapsed="false">
      <c r="A6757" s="0" t="s">
        <v>3392</v>
      </c>
      <c r="B6757" s="0" t="s">
        <v>701</v>
      </c>
      <c r="C6757" s="0" t="s">
        <v>702</v>
      </c>
      <c r="D6757" s="0" t="n">
        <v>12</v>
      </c>
      <c r="E6757" s="6" t="n">
        <v>40877.6548611111</v>
      </c>
      <c r="F6757" s="0" t="n">
        <v>1.25</v>
      </c>
      <c r="G6757" s="0" t="n">
        <v>12714</v>
      </c>
      <c r="H6757" s="0" t="s">
        <v>43</v>
      </c>
      <c r="I6757" s="7" t="n">
        <f aca="false">IF(AND(LEFT(A6757,1)&lt;&gt;"C",D6757&gt;0,F6757&gt;0),1,0)</f>
        <v>1</v>
      </c>
      <c r="J6757" s="7" t="n">
        <f aca="false">IF(I6757=1,D6757*F6757,0)</f>
        <v>15</v>
      </c>
      <c r="K6757" s="7" t="n">
        <f aca="false">YEAR(E6757)*100+MONTH(E6757)</f>
        <v>201111</v>
      </c>
      <c r="L6757" s="7" t="n">
        <f aca="false">IF(AND(A6757&lt;&gt;A6756,LEFT(A6757,1)&lt;&gt;"C"),1,0)</f>
        <v>0</v>
      </c>
    </row>
    <row r="6758" customFormat="false" ht="15" hidden="false" customHeight="false" outlineLevel="0" collapsed="false">
      <c r="A6758" s="0" t="s">
        <v>3392</v>
      </c>
      <c r="B6758" s="0" t="s">
        <v>2896</v>
      </c>
      <c r="C6758" s="0" t="s">
        <v>2897</v>
      </c>
      <c r="D6758" s="0" t="n">
        <v>24</v>
      </c>
      <c r="E6758" s="6" t="n">
        <v>40877.6548611111</v>
      </c>
      <c r="F6758" s="0" t="n">
        <v>0.42</v>
      </c>
      <c r="G6758" s="0" t="n">
        <v>12714</v>
      </c>
      <c r="H6758" s="0" t="s">
        <v>43</v>
      </c>
      <c r="I6758" s="7" t="n">
        <f aca="false">IF(AND(LEFT(A6758,1)&lt;&gt;"C",D6758&gt;0,F6758&gt;0),1,0)</f>
        <v>1</v>
      </c>
      <c r="J6758" s="7" t="n">
        <f aca="false">IF(I6758=1,D6758*F6758,0)</f>
        <v>10.08</v>
      </c>
      <c r="K6758" s="7" t="n">
        <f aca="false">YEAR(E6758)*100+MONTH(E6758)</f>
        <v>201111</v>
      </c>
      <c r="L6758" s="7" t="n">
        <f aca="false">IF(AND(A6758&lt;&gt;A6757,LEFT(A6758,1)&lt;&gt;"C"),1,0)</f>
        <v>0</v>
      </c>
    </row>
    <row r="6759" customFormat="false" ht="15" hidden="false" customHeight="false" outlineLevel="0" collapsed="false">
      <c r="A6759" s="0" t="s">
        <v>3392</v>
      </c>
      <c r="B6759" s="0" t="s">
        <v>1640</v>
      </c>
      <c r="C6759" s="0" t="s">
        <v>1641</v>
      </c>
      <c r="D6759" s="0" t="n">
        <v>12</v>
      </c>
      <c r="E6759" s="6" t="n">
        <v>40877.6548611111</v>
      </c>
      <c r="F6759" s="0" t="n">
        <v>0.39</v>
      </c>
      <c r="G6759" s="0" t="n">
        <v>12714</v>
      </c>
      <c r="H6759" s="0" t="s">
        <v>43</v>
      </c>
      <c r="I6759" s="7" t="n">
        <f aca="false">IF(AND(LEFT(A6759,1)&lt;&gt;"C",D6759&gt;0,F6759&gt;0),1,0)</f>
        <v>1</v>
      </c>
      <c r="J6759" s="7" t="n">
        <f aca="false">IF(I6759=1,D6759*F6759,0)</f>
        <v>4.68</v>
      </c>
      <c r="K6759" s="7" t="n">
        <f aca="false">YEAR(E6759)*100+MONTH(E6759)</f>
        <v>201111</v>
      </c>
      <c r="L6759" s="7" t="n">
        <f aca="false">IF(AND(A6759&lt;&gt;A6758,LEFT(A6759,1)&lt;&gt;"C"),1,0)</f>
        <v>0</v>
      </c>
    </row>
    <row r="6760" customFormat="false" ht="15" hidden="false" customHeight="false" outlineLevel="0" collapsed="false">
      <c r="A6760" s="0" t="s">
        <v>3392</v>
      </c>
      <c r="B6760" s="0" t="s">
        <v>649</v>
      </c>
      <c r="C6760" s="0" t="s">
        <v>650</v>
      </c>
      <c r="D6760" s="0" t="n">
        <v>12</v>
      </c>
      <c r="E6760" s="6" t="n">
        <v>40877.6548611111</v>
      </c>
      <c r="F6760" s="0" t="n">
        <v>0.39</v>
      </c>
      <c r="G6760" s="0" t="n">
        <v>12714</v>
      </c>
      <c r="H6760" s="0" t="s">
        <v>43</v>
      </c>
      <c r="I6760" s="7" t="n">
        <f aca="false">IF(AND(LEFT(A6760,1)&lt;&gt;"C",D6760&gt;0,F6760&gt;0),1,0)</f>
        <v>1</v>
      </c>
      <c r="J6760" s="7" t="n">
        <f aca="false">IF(I6760=1,D6760*F6760,0)</f>
        <v>4.68</v>
      </c>
      <c r="K6760" s="7" t="n">
        <f aca="false">YEAR(E6760)*100+MONTH(E6760)</f>
        <v>201111</v>
      </c>
      <c r="L6760" s="7" t="n">
        <f aca="false">IF(AND(A6760&lt;&gt;A6759,LEFT(A6760,1)&lt;&gt;"C"),1,0)</f>
        <v>0</v>
      </c>
    </row>
    <row r="6761" customFormat="false" ht="15" hidden="false" customHeight="false" outlineLevel="0" collapsed="false">
      <c r="A6761" s="0" t="s">
        <v>3392</v>
      </c>
      <c r="B6761" s="0" t="s">
        <v>887</v>
      </c>
      <c r="C6761" s="0" t="s">
        <v>888</v>
      </c>
      <c r="D6761" s="0" t="n">
        <v>12</v>
      </c>
      <c r="E6761" s="6" t="n">
        <v>40877.6548611111</v>
      </c>
      <c r="F6761" s="0" t="n">
        <v>0.39</v>
      </c>
      <c r="G6761" s="0" t="n">
        <v>12714</v>
      </c>
      <c r="H6761" s="0" t="s">
        <v>43</v>
      </c>
      <c r="I6761" s="7" t="n">
        <f aca="false">IF(AND(LEFT(A6761,1)&lt;&gt;"C",D6761&gt;0,F6761&gt;0),1,0)</f>
        <v>1</v>
      </c>
      <c r="J6761" s="7" t="n">
        <f aca="false">IF(I6761=1,D6761*F6761,0)</f>
        <v>4.68</v>
      </c>
      <c r="K6761" s="7" t="n">
        <f aca="false">YEAR(E6761)*100+MONTH(E6761)</f>
        <v>201111</v>
      </c>
      <c r="L6761" s="7" t="n">
        <f aca="false">IF(AND(A6761&lt;&gt;A6760,LEFT(A6761,1)&lt;&gt;"C"),1,0)</f>
        <v>0</v>
      </c>
    </row>
    <row r="6762" customFormat="false" ht="15" hidden="false" customHeight="false" outlineLevel="0" collapsed="false">
      <c r="A6762" s="0" t="s">
        <v>3392</v>
      </c>
      <c r="B6762" s="0" t="s">
        <v>2094</v>
      </c>
      <c r="C6762" s="0" t="s">
        <v>2095</v>
      </c>
      <c r="D6762" s="0" t="n">
        <v>12</v>
      </c>
      <c r="E6762" s="6" t="n">
        <v>40877.6548611111</v>
      </c>
      <c r="F6762" s="0" t="n">
        <v>0.39</v>
      </c>
      <c r="G6762" s="0" t="n">
        <v>12714</v>
      </c>
      <c r="H6762" s="0" t="s">
        <v>43</v>
      </c>
      <c r="I6762" s="7" t="n">
        <f aca="false">IF(AND(LEFT(A6762,1)&lt;&gt;"C",D6762&gt;0,F6762&gt;0),1,0)</f>
        <v>1</v>
      </c>
      <c r="J6762" s="7" t="n">
        <f aca="false">IF(I6762=1,D6762*F6762,0)</f>
        <v>4.68</v>
      </c>
      <c r="K6762" s="7" t="n">
        <f aca="false">YEAR(E6762)*100+MONTH(E6762)</f>
        <v>201111</v>
      </c>
      <c r="L6762" s="7" t="n">
        <f aca="false">IF(AND(A6762&lt;&gt;A6761,LEFT(A6762,1)&lt;&gt;"C"),1,0)</f>
        <v>0</v>
      </c>
    </row>
    <row r="6763" customFormat="false" ht="15" hidden="false" customHeight="false" outlineLevel="0" collapsed="false">
      <c r="A6763" s="0" t="s">
        <v>3392</v>
      </c>
      <c r="B6763" s="0" t="s">
        <v>2369</v>
      </c>
      <c r="C6763" s="0" t="s">
        <v>2370</v>
      </c>
      <c r="D6763" s="0" t="n">
        <v>12</v>
      </c>
      <c r="E6763" s="6" t="n">
        <v>40877.6548611111</v>
      </c>
      <c r="F6763" s="0" t="n">
        <v>0.39</v>
      </c>
      <c r="G6763" s="0" t="n">
        <v>12714</v>
      </c>
      <c r="H6763" s="0" t="s">
        <v>43</v>
      </c>
      <c r="I6763" s="7" t="n">
        <f aca="false">IF(AND(LEFT(A6763,1)&lt;&gt;"C",D6763&gt;0,F6763&gt;0),1,0)</f>
        <v>1</v>
      </c>
      <c r="J6763" s="7" t="n">
        <f aca="false">IF(I6763=1,D6763*F6763,0)</f>
        <v>4.68</v>
      </c>
      <c r="K6763" s="7" t="n">
        <f aca="false">YEAR(E6763)*100+MONTH(E6763)</f>
        <v>201111</v>
      </c>
      <c r="L6763" s="7" t="n">
        <f aca="false">IF(AND(A6763&lt;&gt;A6762,LEFT(A6763,1)&lt;&gt;"C"),1,0)</f>
        <v>0</v>
      </c>
    </row>
    <row r="6764" customFormat="false" ht="15" hidden="false" customHeight="false" outlineLevel="0" collapsed="false">
      <c r="A6764" s="0" t="s">
        <v>3392</v>
      </c>
      <c r="B6764" s="0" t="s">
        <v>3397</v>
      </c>
      <c r="C6764" s="0" t="s">
        <v>3398</v>
      </c>
      <c r="D6764" s="0" t="n">
        <v>12</v>
      </c>
      <c r="E6764" s="6" t="n">
        <v>40877.6548611111</v>
      </c>
      <c r="F6764" s="0" t="n">
        <v>1.25</v>
      </c>
      <c r="G6764" s="0" t="n">
        <v>12714</v>
      </c>
      <c r="H6764" s="0" t="s">
        <v>43</v>
      </c>
      <c r="I6764" s="7" t="n">
        <f aca="false">IF(AND(LEFT(A6764,1)&lt;&gt;"C",D6764&gt;0,F6764&gt;0),1,0)</f>
        <v>1</v>
      </c>
      <c r="J6764" s="7" t="n">
        <f aca="false">IF(I6764=1,D6764*F6764,0)</f>
        <v>15</v>
      </c>
      <c r="K6764" s="7" t="n">
        <f aca="false">YEAR(E6764)*100+MONTH(E6764)</f>
        <v>201111</v>
      </c>
      <c r="L6764" s="7" t="n">
        <f aca="false">IF(AND(A6764&lt;&gt;A6763,LEFT(A6764,1)&lt;&gt;"C"),1,0)</f>
        <v>0</v>
      </c>
    </row>
    <row r="6765" customFormat="false" ht="15" hidden="false" customHeight="false" outlineLevel="0" collapsed="false">
      <c r="A6765" s="0" t="s">
        <v>3392</v>
      </c>
      <c r="B6765" s="0" t="s">
        <v>367</v>
      </c>
      <c r="C6765" s="0" t="s">
        <v>368</v>
      </c>
      <c r="D6765" s="0" t="n">
        <v>12</v>
      </c>
      <c r="E6765" s="6" t="n">
        <v>40877.6548611111</v>
      </c>
      <c r="F6765" s="0" t="n">
        <v>0.85</v>
      </c>
      <c r="G6765" s="0" t="n">
        <v>12714</v>
      </c>
      <c r="H6765" s="0" t="s">
        <v>43</v>
      </c>
      <c r="I6765" s="7" t="n">
        <f aca="false">IF(AND(LEFT(A6765,1)&lt;&gt;"C",D6765&gt;0,F6765&gt;0),1,0)</f>
        <v>1</v>
      </c>
      <c r="J6765" s="7" t="n">
        <f aca="false">IF(I6765=1,D6765*F6765,0)</f>
        <v>10.2</v>
      </c>
      <c r="K6765" s="7" t="n">
        <f aca="false">YEAR(E6765)*100+MONTH(E6765)</f>
        <v>201111</v>
      </c>
      <c r="L6765" s="7" t="n">
        <f aca="false">IF(AND(A6765&lt;&gt;A6764,LEFT(A6765,1)&lt;&gt;"C"),1,0)</f>
        <v>0</v>
      </c>
    </row>
    <row r="6766" customFormat="false" ht="15" hidden="false" customHeight="false" outlineLevel="0" collapsed="false">
      <c r="A6766" s="0" t="s">
        <v>3392</v>
      </c>
      <c r="B6766" s="0" t="s">
        <v>839</v>
      </c>
      <c r="C6766" s="0" t="s">
        <v>840</v>
      </c>
      <c r="D6766" s="0" t="n">
        <v>12</v>
      </c>
      <c r="E6766" s="6" t="n">
        <v>40877.6548611111</v>
      </c>
      <c r="F6766" s="0" t="n">
        <v>0.85</v>
      </c>
      <c r="G6766" s="0" t="n">
        <v>12714</v>
      </c>
      <c r="H6766" s="0" t="s">
        <v>43</v>
      </c>
      <c r="I6766" s="7" t="n">
        <f aca="false">IF(AND(LEFT(A6766,1)&lt;&gt;"C",D6766&gt;0,F6766&gt;0),1,0)</f>
        <v>1</v>
      </c>
      <c r="J6766" s="7" t="n">
        <f aca="false">IF(I6766=1,D6766*F6766,0)</f>
        <v>10.2</v>
      </c>
      <c r="K6766" s="7" t="n">
        <f aca="false">YEAR(E6766)*100+MONTH(E6766)</f>
        <v>201111</v>
      </c>
      <c r="L6766" s="7" t="n">
        <f aca="false">IF(AND(A6766&lt;&gt;A6765,LEFT(A6766,1)&lt;&gt;"C"),1,0)</f>
        <v>0</v>
      </c>
    </row>
    <row r="6767" customFormat="false" ht="15" hidden="false" customHeight="false" outlineLevel="0" collapsed="false">
      <c r="A6767" s="0" t="s">
        <v>3392</v>
      </c>
      <c r="B6767" s="0" t="s">
        <v>3399</v>
      </c>
      <c r="C6767" s="0" t="s">
        <v>3400</v>
      </c>
      <c r="D6767" s="0" t="n">
        <v>12</v>
      </c>
      <c r="E6767" s="6" t="n">
        <v>40877.6548611111</v>
      </c>
      <c r="F6767" s="0" t="n">
        <v>1.25</v>
      </c>
      <c r="G6767" s="0" t="n">
        <v>12714</v>
      </c>
      <c r="H6767" s="0" t="s">
        <v>43</v>
      </c>
      <c r="I6767" s="7" t="n">
        <f aca="false">IF(AND(LEFT(A6767,1)&lt;&gt;"C",D6767&gt;0,F6767&gt;0),1,0)</f>
        <v>1</v>
      </c>
      <c r="J6767" s="7" t="n">
        <f aca="false">IF(I6767=1,D6767*F6767,0)</f>
        <v>15</v>
      </c>
      <c r="K6767" s="7" t="n">
        <f aca="false">YEAR(E6767)*100+MONTH(E6767)</f>
        <v>201111</v>
      </c>
      <c r="L6767" s="7" t="n">
        <f aca="false">IF(AND(A6767&lt;&gt;A6766,LEFT(A6767,1)&lt;&gt;"C"),1,0)</f>
        <v>0</v>
      </c>
    </row>
    <row r="6768" customFormat="false" ht="15" hidden="false" customHeight="false" outlineLevel="0" collapsed="false">
      <c r="A6768" s="0" t="s">
        <v>3392</v>
      </c>
      <c r="B6768" s="0" t="s">
        <v>3401</v>
      </c>
      <c r="C6768" s="0" t="s">
        <v>3402</v>
      </c>
      <c r="D6768" s="0" t="n">
        <v>12</v>
      </c>
      <c r="E6768" s="6" t="n">
        <v>40877.6548611111</v>
      </c>
      <c r="F6768" s="0" t="n">
        <v>1.25</v>
      </c>
      <c r="G6768" s="0" t="n">
        <v>12714</v>
      </c>
      <c r="H6768" s="0" t="s">
        <v>43</v>
      </c>
      <c r="I6768" s="7" t="n">
        <f aca="false">IF(AND(LEFT(A6768,1)&lt;&gt;"C",D6768&gt;0,F6768&gt;0),1,0)</f>
        <v>1</v>
      </c>
      <c r="J6768" s="7" t="n">
        <f aca="false">IF(I6768=1,D6768*F6768,0)</f>
        <v>15</v>
      </c>
      <c r="K6768" s="7" t="n">
        <f aca="false">YEAR(E6768)*100+MONTH(E6768)</f>
        <v>201111</v>
      </c>
      <c r="L6768" s="7" t="n">
        <f aca="false">IF(AND(A6768&lt;&gt;A6767,LEFT(A6768,1)&lt;&gt;"C"),1,0)</f>
        <v>0</v>
      </c>
    </row>
    <row r="6769" customFormat="false" ht="15" hidden="false" customHeight="false" outlineLevel="0" collapsed="false">
      <c r="A6769" s="0" t="s">
        <v>3392</v>
      </c>
      <c r="B6769" s="0" t="s">
        <v>3116</v>
      </c>
      <c r="C6769" s="0" t="s">
        <v>3117</v>
      </c>
      <c r="D6769" s="0" t="n">
        <v>12</v>
      </c>
      <c r="E6769" s="6" t="n">
        <v>40877.6548611111</v>
      </c>
      <c r="F6769" s="0" t="n">
        <v>0.85</v>
      </c>
      <c r="G6769" s="0" t="n">
        <v>12714</v>
      </c>
      <c r="H6769" s="0" t="s">
        <v>43</v>
      </c>
      <c r="I6769" s="7" t="n">
        <f aca="false">IF(AND(LEFT(A6769,1)&lt;&gt;"C",D6769&gt;0,F6769&gt;0),1,0)</f>
        <v>1</v>
      </c>
      <c r="J6769" s="7" t="n">
        <f aca="false">IF(I6769=1,D6769*F6769,0)</f>
        <v>10.2</v>
      </c>
      <c r="K6769" s="7" t="n">
        <f aca="false">YEAR(E6769)*100+MONTH(E6769)</f>
        <v>201111</v>
      </c>
      <c r="L6769" s="7" t="n">
        <f aca="false">IF(AND(A6769&lt;&gt;A6768,LEFT(A6769,1)&lt;&gt;"C"),1,0)</f>
        <v>0</v>
      </c>
    </row>
    <row r="6770" customFormat="false" ht="15" hidden="false" customHeight="false" outlineLevel="0" collapsed="false">
      <c r="A6770" s="0" t="s">
        <v>3392</v>
      </c>
      <c r="B6770" s="0" t="s">
        <v>629</v>
      </c>
      <c r="C6770" s="0" t="s">
        <v>630</v>
      </c>
      <c r="D6770" s="0" t="n">
        <v>8</v>
      </c>
      <c r="E6770" s="6" t="n">
        <v>40877.6548611111</v>
      </c>
      <c r="F6770" s="0" t="n">
        <v>8.5</v>
      </c>
      <c r="G6770" s="0" t="n">
        <v>12714</v>
      </c>
      <c r="H6770" s="0" t="s">
        <v>43</v>
      </c>
      <c r="I6770" s="7" t="n">
        <f aca="false">IF(AND(LEFT(A6770,1)&lt;&gt;"C",D6770&gt;0,F6770&gt;0),1,0)</f>
        <v>1</v>
      </c>
      <c r="J6770" s="7" t="n">
        <f aca="false">IF(I6770=1,D6770*F6770,0)</f>
        <v>68</v>
      </c>
      <c r="K6770" s="7" t="n">
        <f aca="false">YEAR(E6770)*100+MONTH(E6770)</f>
        <v>201111</v>
      </c>
      <c r="L6770" s="7" t="n">
        <f aca="false">IF(AND(A6770&lt;&gt;A6769,LEFT(A6770,1)&lt;&gt;"C"),1,0)</f>
        <v>0</v>
      </c>
    </row>
    <row r="6771" customFormat="false" ht="15" hidden="false" customHeight="false" outlineLevel="0" collapsed="false">
      <c r="A6771" s="0" t="s">
        <v>3392</v>
      </c>
      <c r="B6771" s="0" t="s">
        <v>1149</v>
      </c>
      <c r="C6771" s="0" t="s">
        <v>1150</v>
      </c>
      <c r="D6771" s="0" t="n">
        <v>3</v>
      </c>
      <c r="E6771" s="6" t="n">
        <v>40877.6548611111</v>
      </c>
      <c r="F6771" s="0" t="n">
        <v>5.95</v>
      </c>
      <c r="G6771" s="0" t="n">
        <v>12714</v>
      </c>
      <c r="H6771" s="0" t="s">
        <v>43</v>
      </c>
      <c r="I6771" s="7" t="n">
        <f aca="false">IF(AND(LEFT(A6771,1)&lt;&gt;"C",D6771&gt;0,F6771&gt;0),1,0)</f>
        <v>1</v>
      </c>
      <c r="J6771" s="7" t="n">
        <f aca="false">IF(I6771=1,D6771*F6771,0)</f>
        <v>17.85</v>
      </c>
      <c r="K6771" s="7" t="n">
        <f aca="false">YEAR(E6771)*100+MONTH(E6771)</f>
        <v>201111</v>
      </c>
      <c r="L6771" s="7" t="n">
        <f aca="false">IF(AND(A6771&lt;&gt;A6770,LEFT(A6771,1)&lt;&gt;"C"),1,0)</f>
        <v>0</v>
      </c>
    </row>
    <row r="6772" customFormat="false" ht="15" hidden="false" customHeight="false" outlineLevel="0" collapsed="false">
      <c r="A6772" s="0" t="s">
        <v>3392</v>
      </c>
      <c r="B6772" s="0" t="s">
        <v>958</v>
      </c>
      <c r="C6772" s="0" t="s">
        <v>959</v>
      </c>
      <c r="D6772" s="0" t="n">
        <v>3</v>
      </c>
      <c r="E6772" s="6" t="n">
        <v>40877.6548611111</v>
      </c>
      <c r="F6772" s="0" t="n">
        <v>5.95</v>
      </c>
      <c r="G6772" s="0" t="n">
        <v>12714</v>
      </c>
      <c r="H6772" s="0" t="s">
        <v>43</v>
      </c>
      <c r="I6772" s="7" t="n">
        <f aca="false">IF(AND(LEFT(A6772,1)&lt;&gt;"C",D6772&gt;0,F6772&gt;0),1,0)</f>
        <v>1</v>
      </c>
      <c r="J6772" s="7" t="n">
        <f aca="false">IF(I6772=1,D6772*F6772,0)</f>
        <v>17.85</v>
      </c>
      <c r="K6772" s="7" t="n">
        <f aca="false">YEAR(E6772)*100+MONTH(E6772)</f>
        <v>201111</v>
      </c>
      <c r="L6772" s="7" t="n">
        <f aca="false">IF(AND(A6772&lt;&gt;A6771,LEFT(A6772,1)&lt;&gt;"C"),1,0)</f>
        <v>0</v>
      </c>
    </row>
    <row r="6773" customFormat="false" ht="15" hidden="false" customHeight="false" outlineLevel="0" collapsed="false">
      <c r="A6773" s="0" t="s">
        <v>3392</v>
      </c>
      <c r="B6773" s="0" t="s">
        <v>756</v>
      </c>
      <c r="C6773" s="0" t="s">
        <v>757</v>
      </c>
      <c r="D6773" s="0" t="n">
        <v>8</v>
      </c>
      <c r="E6773" s="6" t="n">
        <v>40877.6548611111</v>
      </c>
      <c r="F6773" s="0" t="n">
        <v>3.75</v>
      </c>
      <c r="G6773" s="0" t="n">
        <v>12714</v>
      </c>
      <c r="H6773" s="0" t="s">
        <v>43</v>
      </c>
      <c r="I6773" s="7" t="n">
        <f aca="false">IF(AND(LEFT(A6773,1)&lt;&gt;"C",D6773&gt;0,F6773&gt;0),1,0)</f>
        <v>1</v>
      </c>
      <c r="J6773" s="7" t="n">
        <f aca="false">IF(I6773=1,D6773*F6773,0)</f>
        <v>30</v>
      </c>
      <c r="K6773" s="7" t="n">
        <f aca="false">YEAR(E6773)*100+MONTH(E6773)</f>
        <v>201111</v>
      </c>
      <c r="L6773" s="7" t="n">
        <f aca="false">IF(AND(A6773&lt;&gt;A6772,LEFT(A6773,1)&lt;&gt;"C"),1,0)</f>
        <v>0</v>
      </c>
    </row>
    <row r="6774" customFormat="false" ht="15" hidden="false" customHeight="false" outlineLevel="0" collapsed="false">
      <c r="A6774" s="0" t="s">
        <v>3392</v>
      </c>
      <c r="B6774" s="0" t="s">
        <v>2611</v>
      </c>
      <c r="C6774" s="0" t="s">
        <v>2612</v>
      </c>
      <c r="D6774" s="0" t="n">
        <v>8</v>
      </c>
      <c r="E6774" s="6" t="n">
        <v>40877.6548611111</v>
      </c>
      <c r="F6774" s="0" t="n">
        <v>4.25</v>
      </c>
      <c r="G6774" s="0" t="n">
        <v>12714</v>
      </c>
      <c r="H6774" s="0" t="s">
        <v>43</v>
      </c>
      <c r="I6774" s="7" t="n">
        <f aca="false">IF(AND(LEFT(A6774,1)&lt;&gt;"C",D6774&gt;0,F6774&gt;0),1,0)</f>
        <v>1</v>
      </c>
      <c r="J6774" s="7" t="n">
        <f aca="false">IF(I6774=1,D6774*F6774,0)</f>
        <v>34</v>
      </c>
      <c r="K6774" s="7" t="n">
        <f aca="false">YEAR(E6774)*100+MONTH(E6774)</f>
        <v>201111</v>
      </c>
      <c r="L6774" s="7" t="n">
        <f aca="false">IF(AND(A6774&lt;&gt;A6773,LEFT(A6774,1)&lt;&gt;"C"),1,0)</f>
        <v>0</v>
      </c>
    </row>
    <row r="6775" customFormat="false" ht="15" hidden="false" customHeight="false" outlineLevel="0" collapsed="false">
      <c r="A6775" s="0" t="s">
        <v>3392</v>
      </c>
      <c r="B6775" s="0" t="s">
        <v>1521</v>
      </c>
      <c r="C6775" s="0" t="s">
        <v>1522</v>
      </c>
      <c r="D6775" s="0" t="n">
        <v>4</v>
      </c>
      <c r="E6775" s="6" t="n">
        <v>40877.6548611111</v>
      </c>
      <c r="F6775" s="0" t="n">
        <v>4.25</v>
      </c>
      <c r="G6775" s="0" t="n">
        <v>12714</v>
      </c>
      <c r="H6775" s="0" t="s">
        <v>43</v>
      </c>
      <c r="I6775" s="7" t="n">
        <f aca="false">IF(AND(LEFT(A6775,1)&lt;&gt;"C",D6775&gt;0,F6775&gt;0),1,0)</f>
        <v>1</v>
      </c>
      <c r="J6775" s="7" t="n">
        <f aca="false">IF(I6775=1,D6775*F6775,0)</f>
        <v>17</v>
      </c>
      <c r="K6775" s="7" t="n">
        <f aca="false">YEAR(E6775)*100+MONTH(E6775)</f>
        <v>201111</v>
      </c>
      <c r="L6775" s="7" t="n">
        <f aca="false">IF(AND(A6775&lt;&gt;A6774,LEFT(A6775,1)&lt;&gt;"C"),1,0)</f>
        <v>0</v>
      </c>
    </row>
    <row r="6776" customFormat="false" ht="15" hidden="false" customHeight="false" outlineLevel="0" collapsed="false">
      <c r="A6776" s="0" t="s">
        <v>3392</v>
      </c>
      <c r="B6776" s="0" t="s">
        <v>469</v>
      </c>
      <c r="C6776" s="0" t="s">
        <v>470</v>
      </c>
      <c r="D6776" s="0" t="n">
        <v>6</v>
      </c>
      <c r="E6776" s="6" t="n">
        <v>40877.6548611111</v>
      </c>
      <c r="F6776" s="0" t="n">
        <v>2.1</v>
      </c>
      <c r="G6776" s="0" t="n">
        <v>12714</v>
      </c>
      <c r="H6776" s="0" t="s">
        <v>43</v>
      </c>
      <c r="I6776" s="7" t="n">
        <f aca="false">IF(AND(LEFT(A6776,1)&lt;&gt;"C",D6776&gt;0,F6776&gt;0),1,0)</f>
        <v>1</v>
      </c>
      <c r="J6776" s="7" t="n">
        <f aca="false">IF(I6776=1,D6776*F6776,0)</f>
        <v>12.6</v>
      </c>
      <c r="K6776" s="7" t="n">
        <f aca="false">YEAR(E6776)*100+MONTH(E6776)</f>
        <v>201111</v>
      </c>
      <c r="L6776" s="7" t="n">
        <f aca="false">IF(AND(A6776&lt;&gt;A6775,LEFT(A6776,1)&lt;&gt;"C"),1,0)</f>
        <v>0</v>
      </c>
    </row>
    <row r="6777" customFormat="false" ht="15" hidden="false" customHeight="false" outlineLevel="0" collapsed="false">
      <c r="A6777" s="0" t="s">
        <v>3392</v>
      </c>
      <c r="B6777" s="0" t="s">
        <v>123</v>
      </c>
      <c r="C6777" s="0" t="s">
        <v>124</v>
      </c>
      <c r="D6777" s="0" t="n">
        <v>12</v>
      </c>
      <c r="E6777" s="6" t="n">
        <v>40877.6548611111</v>
      </c>
      <c r="F6777" s="0" t="n">
        <v>2.95</v>
      </c>
      <c r="G6777" s="0" t="n">
        <v>12714</v>
      </c>
      <c r="H6777" s="0" t="s">
        <v>43</v>
      </c>
      <c r="I6777" s="7" t="n">
        <f aca="false">IF(AND(LEFT(A6777,1)&lt;&gt;"C",D6777&gt;0,F6777&gt;0),1,0)</f>
        <v>1</v>
      </c>
      <c r="J6777" s="7" t="n">
        <f aca="false">IF(I6777=1,D6777*F6777,0)</f>
        <v>35.4</v>
      </c>
      <c r="K6777" s="7" t="n">
        <f aca="false">YEAR(E6777)*100+MONTH(E6777)</f>
        <v>201111</v>
      </c>
      <c r="L6777" s="7" t="n">
        <f aca="false">IF(AND(A6777&lt;&gt;A6776,LEFT(A6777,1)&lt;&gt;"C"),1,0)</f>
        <v>0</v>
      </c>
    </row>
    <row r="6778" customFormat="false" ht="15" hidden="false" customHeight="false" outlineLevel="0" collapsed="false">
      <c r="A6778" s="0" t="s">
        <v>3392</v>
      </c>
      <c r="B6778" s="0" t="s">
        <v>610</v>
      </c>
      <c r="C6778" s="0" t="s">
        <v>611</v>
      </c>
      <c r="D6778" s="0" t="n">
        <v>6</v>
      </c>
      <c r="E6778" s="6" t="n">
        <v>40877.6548611111</v>
      </c>
      <c r="F6778" s="0" t="n">
        <v>2.95</v>
      </c>
      <c r="G6778" s="0" t="n">
        <v>12714</v>
      </c>
      <c r="H6778" s="0" t="s">
        <v>43</v>
      </c>
      <c r="I6778" s="7" t="n">
        <f aca="false">IF(AND(LEFT(A6778,1)&lt;&gt;"C",D6778&gt;0,F6778&gt;0),1,0)</f>
        <v>1</v>
      </c>
      <c r="J6778" s="7" t="n">
        <f aca="false">IF(I6778=1,D6778*F6778,0)</f>
        <v>17.7</v>
      </c>
      <c r="K6778" s="7" t="n">
        <f aca="false">YEAR(E6778)*100+MONTH(E6778)</f>
        <v>201111</v>
      </c>
      <c r="L6778" s="7" t="n">
        <f aca="false">IF(AND(A6778&lt;&gt;A6777,LEFT(A6778,1)&lt;&gt;"C"),1,0)</f>
        <v>0</v>
      </c>
    </row>
    <row r="6779" customFormat="false" ht="15" hidden="false" customHeight="false" outlineLevel="0" collapsed="false">
      <c r="A6779" s="0" t="s">
        <v>3392</v>
      </c>
      <c r="B6779" s="0" t="s">
        <v>567</v>
      </c>
      <c r="C6779" s="0" t="s">
        <v>568</v>
      </c>
      <c r="D6779" s="0" t="n">
        <v>10</v>
      </c>
      <c r="E6779" s="6" t="n">
        <v>40877.6548611111</v>
      </c>
      <c r="F6779" s="0" t="n">
        <v>1.65</v>
      </c>
      <c r="G6779" s="0" t="n">
        <v>12714</v>
      </c>
      <c r="H6779" s="0" t="s">
        <v>43</v>
      </c>
      <c r="I6779" s="7" t="n">
        <f aca="false">IF(AND(LEFT(A6779,1)&lt;&gt;"C",D6779&gt;0,F6779&gt;0),1,0)</f>
        <v>1</v>
      </c>
      <c r="J6779" s="7" t="n">
        <f aca="false">IF(I6779=1,D6779*F6779,0)</f>
        <v>16.5</v>
      </c>
      <c r="K6779" s="7" t="n">
        <f aca="false">YEAR(E6779)*100+MONTH(E6779)</f>
        <v>201111</v>
      </c>
      <c r="L6779" s="7" t="n">
        <f aca="false">IF(AND(A6779&lt;&gt;A6778,LEFT(A6779,1)&lt;&gt;"C"),1,0)</f>
        <v>0</v>
      </c>
    </row>
    <row r="6780" customFormat="false" ht="15" hidden="false" customHeight="false" outlineLevel="0" collapsed="false">
      <c r="A6780" s="0" t="s">
        <v>3392</v>
      </c>
      <c r="B6780" s="0" t="s">
        <v>651</v>
      </c>
      <c r="C6780" s="0" t="s">
        <v>652</v>
      </c>
      <c r="D6780" s="0" t="n">
        <v>10</v>
      </c>
      <c r="E6780" s="6" t="n">
        <v>40877.6548611111</v>
      </c>
      <c r="F6780" s="0" t="n">
        <v>1.65</v>
      </c>
      <c r="G6780" s="0" t="n">
        <v>12714</v>
      </c>
      <c r="H6780" s="0" t="s">
        <v>43</v>
      </c>
      <c r="I6780" s="7" t="n">
        <f aca="false">IF(AND(LEFT(A6780,1)&lt;&gt;"C",D6780&gt;0,F6780&gt;0),1,0)</f>
        <v>1</v>
      </c>
      <c r="J6780" s="7" t="n">
        <f aca="false">IF(I6780=1,D6780*F6780,0)</f>
        <v>16.5</v>
      </c>
      <c r="K6780" s="7" t="n">
        <f aca="false">YEAR(E6780)*100+MONTH(E6780)</f>
        <v>201111</v>
      </c>
      <c r="L6780" s="7" t="n">
        <f aca="false">IF(AND(A6780&lt;&gt;A6779,LEFT(A6780,1)&lt;&gt;"C"),1,0)</f>
        <v>0</v>
      </c>
    </row>
    <row r="6781" customFormat="false" ht="15" hidden="false" customHeight="false" outlineLevel="0" collapsed="false">
      <c r="A6781" s="0" t="s">
        <v>3392</v>
      </c>
      <c r="B6781" s="0" t="s">
        <v>752</v>
      </c>
      <c r="C6781" s="0" t="s">
        <v>753</v>
      </c>
      <c r="D6781" s="0" t="n">
        <v>12</v>
      </c>
      <c r="E6781" s="6" t="n">
        <v>40877.6548611111</v>
      </c>
      <c r="F6781" s="0" t="n">
        <v>1.65</v>
      </c>
      <c r="G6781" s="0" t="n">
        <v>12714</v>
      </c>
      <c r="H6781" s="0" t="s">
        <v>43</v>
      </c>
      <c r="I6781" s="7" t="n">
        <f aca="false">IF(AND(LEFT(A6781,1)&lt;&gt;"C",D6781&gt;0,F6781&gt;0),1,0)</f>
        <v>1</v>
      </c>
      <c r="J6781" s="7" t="n">
        <f aca="false">IF(I6781=1,D6781*F6781,0)</f>
        <v>19.8</v>
      </c>
      <c r="K6781" s="7" t="n">
        <f aca="false">YEAR(E6781)*100+MONTH(E6781)</f>
        <v>201111</v>
      </c>
      <c r="L6781" s="7" t="n">
        <f aca="false">IF(AND(A6781&lt;&gt;A6780,LEFT(A6781,1)&lt;&gt;"C"),1,0)</f>
        <v>0</v>
      </c>
    </row>
    <row r="6782" customFormat="false" ht="15" hidden="false" customHeight="false" outlineLevel="0" collapsed="false">
      <c r="A6782" s="0" t="s">
        <v>3392</v>
      </c>
      <c r="B6782" s="0" t="s">
        <v>1108</v>
      </c>
      <c r="C6782" s="0" t="s">
        <v>1109</v>
      </c>
      <c r="D6782" s="0" t="n">
        <v>12</v>
      </c>
      <c r="E6782" s="6" t="n">
        <v>40877.6548611111</v>
      </c>
      <c r="F6782" s="0" t="n">
        <v>0.85</v>
      </c>
      <c r="G6782" s="0" t="n">
        <v>12714</v>
      </c>
      <c r="H6782" s="0" t="s">
        <v>43</v>
      </c>
      <c r="I6782" s="7" t="n">
        <f aca="false">IF(AND(LEFT(A6782,1)&lt;&gt;"C",D6782&gt;0,F6782&gt;0),1,0)</f>
        <v>1</v>
      </c>
      <c r="J6782" s="7" t="n">
        <f aca="false">IF(I6782=1,D6782*F6782,0)</f>
        <v>10.2</v>
      </c>
      <c r="K6782" s="7" t="n">
        <f aca="false">YEAR(E6782)*100+MONTH(E6782)</f>
        <v>201111</v>
      </c>
      <c r="L6782" s="7" t="n">
        <f aca="false">IF(AND(A6782&lt;&gt;A6781,LEFT(A6782,1)&lt;&gt;"C"),1,0)</f>
        <v>0</v>
      </c>
    </row>
    <row r="6783" customFormat="false" ht="15" hidden="false" customHeight="false" outlineLevel="0" collapsed="false">
      <c r="A6783" s="0" t="s">
        <v>3392</v>
      </c>
      <c r="B6783" s="0" t="s">
        <v>164</v>
      </c>
      <c r="C6783" s="0" t="s">
        <v>165</v>
      </c>
      <c r="D6783" s="0" t="n">
        <v>8</v>
      </c>
      <c r="E6783" s="6" t="n">
        <v>40877.6548611111</v>
      </c>
      <c r="F6783" s="0" t="n">
        <v>1.25</v>
      </c>
      <c r="G6783" s="0" t="n">
        <v>12714</v>
      </c>
      <c r="H6783" s="0" t="s">
        <v>43</v>
      </c>
      <c r="I6783" s="7" t="n">
        <f aca="false">IF(AND(LEFT(A6783,1)&lt;&gt;"C",D6783&gt;0,F6783&gt;0),1,0)</f>
        <v>1</v>
      </c>
      <c r="J6783" s="7" t="n">
        <f aca="false">IF(I6783=1,D6783*F6783,0)</f>
        <v>10</v>
      </c>
      <c r="K6783" s="7" t="n">
        <f aca="false">YEAR(E6783)*100+MONTH(E6783)</f>
        <v>201111</v>
      </c>
      <c r="L6783" s="7" t="n">
        <f aca="false">IF(AND(A6783&lt;&gt;A6782,LEFT(A6783,1)&lt;&gt;"C"),1,0)</f>
        <v>0</v>
      </c>
    </row>
    <row r="6784" customFormat="false" ht="15" hidden="false" customHeight="false" outlineLevel="0" collapsed="false">
      <c r="A6784" s="0" t="s">
        <v>3392</v>
      </c>
      <c r="B6784" s="0" t="s">
        <v>1214</v>
      </c>
      <c r="C6784" s="0" t="s">
        <v>1215</v>
      </c>
      <c r="D6784" s="0" t="n">
        <v>8</v>
      </c>
      <c r="E6784" s="6" t="n">
        <v>40877.6548611111</v>
      </c>
      <c r="F6784" s="0" t="n">
        <v>1.25</v>
      </c>
      <c r="G6784" s="0" t="n">
        <v>12714</v>
      </c>
      <c r="H6784" s="0" t="s">
        <v>43</v>
      </c>
      <c r="I6784" s="7" t="n">
        <f aca="false">IF(AND(LEFT(A6784,1)&lt;&gt;"C",D6784&gt;0,F6784&gt;0),1,0)</f>
        <v>1</v>
      </c>
      <c r="J6784" s="7" t="n">
        <f aca="false">IF(I6784=1,D6784*F6784,0)</f>
        <v>10</v>
      </c>
      <c r="K6784" s="7" t="n">
        <f aca="false">YEAR(E6784)*100+MONTH(E6784)</f>
        <v>201111</v>
      </c>
      <c r="L6784" s="7" t="n">
        <f aca="false">IF(AND(A6784&lt;&gt;A6783,LEFT(A6784,1)&lt;&gt;"C"),1,0)</f>
        <v>0</v>
      </c>
    </row>
    <row r="6785" customFormat="false" ht="15" hidden="false" customHeight="false" outlineLevel="0" collapsed="false">
      <c r="A6785" s="0" t="s">
        <v>3392</v>
      </c>
      <c r="B6785" s="0" t="s">
        <v>166</v>
      </c>
      <c r="C6785" s="0" t="s">
        <v>167</v>
      </c>
      <c r="D6785" s="0" t="n">
        <v>8</v>
      </c>
      <c r="E6785" s="6" t="n">
        <v>40877.6548611111</v>
      </c>
      <c r="F6785" s="0" t="n">
        <v>1.25</v>
      </c>
      <c r="G6785" s="0" t="n">
        <v>12714</v>
      </c>
      <c r="H6785" s="0" t="s">
        <v>43</v>
      </c>
      <c r="I6785" s="7" t="n">
        <f aca="false">IF(AND(LEFT(A6785,1)&lt;&gt;"C",D6785&gt;0,F6785&gt;0),1,0)</f>
        <v>1</v>
      </c>
      <c r="J6785" s="7" t="n">
        <f aca="false">IF(I6785=1,D6785*F6785,0)</f>
        <v>10</v>
      </c>
      <c r="K6785" s="7" t="n">
        <f aca="false">YEAR(E6785)*100+MONTH(E6785)</f>
        <v>201111</v>
      </c>
      <c r="L6785" s="7" t="n">
        <f aca="false">IF(AND(A6785&lt;&gt;A6784,LEFT(A6785,1)&lt;&gt;"C"),1,0)</f>
        <v>0</v>
      </c>
    </row>
    <row r="6786" customFormat="false" ht="15" hidden="false" customHeight="false" outlineLevel="0" collapsed="false">
      <c r="A6786" s="0" t="s">
        <v>3392</v>
      </c>
      <c r="B6786" s="0" t="s">
        <v>473</v>
      </c>
      <c r="C6786" s="0" t="s">
        <v>474</v>
      </c>
      <c r="D6786" s="0" t="n">
        <v>4</v>
      </c>
      <c r="E6786" s="6" t="n">
        <v>40877.6548611111</v>
      </c>
      <c r="F6786" s="0" t="n">
        <v>9.95</v>
      </c>
      <c r="G6786" s="0" t="n">
        <v>12714</v>
      </c>
      <c r="H6786" s="0" t="s">
        <v>43</v>
      </c>
      <c r="I6786" s="7" t="n">
        <f aca="false">IF(AND(LEFT(A6786,1)&lt;&gt;"C",D6786&gt;0,F6786&gt;0),1,0)</f>
        <v>1</v>
      </c>
      <c r="J6786" s="7" t="n">
        <f aca="false">IF(I6786=1,D6786*F6786,0)</f>
        <v>39.8</v>
      </c>
      <c r="K6786" s="7" t="n">
        <f aca="false">YEAR(E6786)*100+MONTH(E6786)</f>
        <v>201111</v>
      </c>
      <c r="L6786" s="7" t="n">
        <f aca="false">IF(AND(A6786&lt;&gt;A6785,LEFT(A6786,1)&lt;&gt;"C"),1,0)</f>
        <v>0</v>
      </c>
    </row>
    <row r="6787" customFormat="false" ht="15" hidden="false" customHeight="false" outlineLevel="0" collapsed="false">
      <c r="A6787" s="0" t="s">
        <v>3392</v>
      </c>
      <c r="B6787" s="0" t="s">
        <v>475</v>
      </c>
      <c r="C6787" s="0" t="s">
        <v>476</v>
      </c>
      <c r="D6787" s="0" t="n">
        <v>6</v>
      </c>
      <c r="E6787" s="6" t="n">
        <v>40877.6548611111</v>
      </c>
      <c r="F6787" s="0" t="n">
        <v>9.95</v>
      </c>
      <c r="G6787" s="0" t="n">
        <v>12714</v>
      </c>
      <c r="H6787" s="0" t="s">
        <v>43</v>
      </c>
      <c r="I6787" s="7" t="n">
        <f aca="false">IF(AND(LEFT(A6787,1)&lt;&gt;"C",D6787&gt;0,F6787&gt;0),1,0)</f>
        <v>1</v>
      </c>
      <c r="J6787" s="7" t="n">
        <f aca="false">IF(I6787=1,D6787*F6787,0)</f>
        <v>59.7</v>
      </c>
      <c r="K6787" s="7" t="n">
        <f aca="false">YEAR(E6787)*100+MONTH(E6787)</f>
        <v>201111</v>
      </c>
      <c r="L6787" s="7" t="n">
        <f aca="false">IF(AND(A6787&lt;&gt;A6786,LEFT(A6787,1)&lt;&gt;"C"),1,0)</f>
        <v>0</v>
      </c>
    </row>
    <row r="6788" customFormat="false" ht="15" hidden="false" customHeight="false" outlineLevel="0" collapsed="false">
      <c r="A6788" s="0" t="s">
        <v>3392</v>
      </c>
      <c r="B6788" s="0" t="s">
        <v>93</v>
      </c>
      <c r="C6788" s="0" t="s">
        <v>94</v>
      </c>
      <c r="D6788" s="0" t="n">
        <v>8</v>
      </c>
      <c r="E6788" s="6" t="n">
        <v>40877.6548611111</v>
      </c>
      <c r="F6788" s="0" t="n">
        <v>4.15</v>
      </c>
      <c r="G6788" s="0" t="n">
        <v>12714</v>
      </c>
      <c r="H6788" s="0" t="s">
        <v>43</v>
      </c>
      <c r="I6788" s="7" t="n">
        <f aca="false">IF(AND(LEFT(A6788,1)&lt;&gt;"C",D6788&gt;0,F6788&gt;0),1,0)</f>
        <v>1</v>
      </c>
      <c r="J6788" s="7" t="n">
        <f aca="false">IF(I6788=1,D6788*F6788,0)</f>
        <v>33.2</v>
      </c>
      <c r="K6788" s="7" t="n">
        <f aca="false">YEAR(E6788)*100+MONTH(E6788)</f>
        <v>201111</v>
      </c>
      <c r="L6788" s="7" t="n">
        <f aca="false">IF(AND(A6788&lt;&gt;A6787,LEFT(A6788,1)&lt;&gt;"C"),1,0)</f>
        <v>0</v>
      </c>
    </row>
    <row r="6789" customFormat="false" ht="15" hidden="false" customHeight="false" outlineLevel="0" collapsed="false">
      <c r="A6789" s="0" t="s">
        <v>3392</v>
      </c>
      <c r="B6789" s="0" t="s">
        <v>89</v>
      </c>
      <c r="C6789" s="0" t="s">
        <v>90</v>
      </c>
      <c r="D6789" s="0" t="n">
        <v>8</v>
      </c>
      <c r="E6789" s="6" t="n">
        <v>40877.6548611111</v>
      </c>
      <c r="F6789" s="0" t="n">
        <v>4.15</v>
      </c>
      <c r="G6789" s="0" t="n">
        <v>12714</v>
      </c>
      <c r="H6789" s="0" t="s">
        <v>43</v>
      </c>
      <c r="I6789" s="7" t="n">
        <f aca="false">IF(AND(LEFT(A6789,1)&lt;&gt;"C",D6789&gt;0,F6789&gt;0),1,0)</f>
        <v>1</v>
      </c>
      <c r="J6789" s="7" t="n">
        <f aca="false">IF(I6789=1,D6789*F6789,0)</f>
        <v>33.2</v>
      </c>
      <c r="K6789" s="7" t="n">
        <f aca="false">YEAR(E6789)*100+MONTH(E6789)</f>
        <v>201111</v>
      </c>
      <c r="L6789" s="7" t="n">
        <f aca="false">IF(AND(A6789&lt;&gt;A6788,LEFT(A6789,1)&lt;&gt;"C"),1,0)</f>
        <v>0</v>
      </c>
    </row>
    <row r="6790" customFormat="false" ht="15" hidden="false" customHeight="false" outlineLevel="0" collapsed="false">
      <c r="A6790" s="0" t="s">
        <v>3392</v>
      </c>
      <c r="B6790" s="0" t="s">
        <v>87</v>
      </c>
      <c r="C6790" s="0" t="s">
        <v>88</v>
      </c>
      <c r="D6790" s="0" t="n">
        <v>8</v>
      </c>
      <c r="E6790" s="6" t="n">
        <v>40877.6548611111</v>
      </c>
      <c r="F6790" s="0" t="n">
        <v>4.15</v>
      </c>
      <c r="G6790" s="0" t="n">
        <v>12714</v>
      </c>
      <c r="H6790" s="0" t="s">
        <v>43</v>
      </c>
      <c r="I6790" s="7" t="n">
        <f aca="false">IF(AND(LEFT(A6790,1)&lt;&gt;"C",D6790&gt;0,F6790&gt;0),1,0)</f>
        <v>1</v>
      </c>
      <c r="J6790" s="7" t="n">
        <f aca="false">IF(I6790=1,D6790*F6790,0)</f>
        <v>33.2</v>
      </c>
      <c r="K6790" s="7" t="n">
        <f aca="false">YEAR(E6790)*100+MONTH(E6790)</f>
        <v>201111</v>
      </c>
      <c r="L6790" s="7" t="n">
        <f aca="false">IF(AND(A6790&lt;&gt;A6789,LEFT(A6790,1)&lt;&gt;"C"),1,0)</f>
        <v>0</v>
      </c>
    </row>
    <row r="6791" customFormat="false" ht="15" hidden="false" customHeight="false" outlineLevel="0" collapsed="false">
      <c r="A6791" s="0" t="s">
        <v>3392</v>
      </c>
      <c r="B6791" s="0" t="s">
        <v>91</v>
      </c>
      <c r="C6791" s="0" t="s">
        <v>92</v>
      </c>
      <c r="D6791" s="0" t="n">
        <v>8</v>
      </c>
      <c r="E6791" s="6" t="n">
        <v>40877.6548611111</v>
      </c>
      <c r="F6791" s="0" t="n">
        <v>4.15</v>
      </c>
      <c r="G6791" s="0" t="n">
        <v>12714</v>
      </c>
      <c r="H6791" s="0" t="s">
        <v>43</v>
      </c>
      <c r="I6791" s="7" t="n">
        <f aca="false">IF(AND(LEFT(A6791,1)&lt;&gt;"C",D6791&gt;0,F6791&gt;0),1,0)</f>
        <v>1</v>
      </c>
      <c r="J6791" s="7" t="n">
        <f aca="false">IF(I6791=1,D6791*F6791,0)</f>
        <v>33.2</v>
      </c>
      <c r="K6791" s="7" t="n">
        <f aca="false">YEAR(E6791)*100+MONTH(E6791)</f>
        <v>201111</v>
      </c>
      <c r="L6791" s="7" t="n">
        <f aca="false">IF(AND(A6791&lt;&gt;A6790,LEFT(A6791,1)&lt;&gt;"C"),1,0)</f>
        <v>0</v>
      </c>
    </row>
    <row r="6792" customFormat="false" ht="15" hidden="false" customHeight="false" outlineLevel="0" collapsed="false">
      <c r="A6792" s="0" t="s">
        <v>3392</v>
      </c>
      <c r="B6792" s="0" t="s">
        <v>545</v>
      </c>
      <c r="C6792" s="0" t="s">
        <v>546</v>
      </c>
      <c r="D6792" s="0" t="n">
        <v>6</v>
      </c>
      <c r="E6792" s="6" t="n">
        <v>40877.6548611111</v>
      </c>
      <c r="F6792" s="0" t="n">
        <v>4.95</v>
      </c>
      <c r="G6792" s="0" t="n">
        <v>12714</v>
      </c>
      <c r="H6792" s="0" t="s">
        <v>43</v>
      </c>
      <c r="I6792" s="7" t="n">
        <f aca="false">IF(AND(LEFT(A6792,1)&lt;&gt;"C",D6792&gt;0,F6792&gt;0),1,0)</f>
        <v>1</v>
      </c>
      <c r="J6792" s="7" t="n">
        <f aca="false">IF(I6792=1,D6792*F6792,0)</f>
        <v>29.7</v>
      </c>
      <c r="K6792" s="7" t="n">
        <f aca="false">YEAR(E6792)*100+MONTH(E6792)</f>
        <v>201111</v>
      </c>
      <c r="L6792" s="7" t="n">
        <f aca="false">IF(AND(A6792&lt;&gt;A6791,LEFT(A6792,1)&lt;&gt;"C"),1,0)</f>
        <v>0</v>
      </c>
    </row>
    <row r="6793" customFormat="false" ht="15" hidden="false" customHeight="false" outlineLevel="0" collapsed="false">
      <c r="A6793" s="0" t="s">
        <v>3392</v>
      </c>
      <c r="B6793" s="0" t="s">
        <v>547</v>
      </c>
      <c r="C6793" s="0" t="s">
        <v>548</v>
      </c>
      <c r="D6793" s="0" t="n">
        <v>6</v>
      </c>
      <c r="E6793" s="6" t="n">
        <v>40877.6548611111</v>
      </c>
      <c r="F6793" s="0" t="n">
        <v>4.95</v>
      </c>
      <c r="G6793" s="0" t="n">
        <v>12714</v>
      </c>
      <c r="H6793" s="0" t="s">
        <v>43</v>
      </c>
      <c r="I6793" s="7" t="n">
        <f aca="false">IF(AND(LEFT(A6793,1)&lt;&gt;"C",D6793&gt;0,F6793&gt;0),1,0)</f>
        <v>1</v>
      </c>
      <c r="J6793" s="7" t="n">
        <f aca="false">IF(I6793=1,D6793*F6793,0)</f>
        <v>29.7</v>
      </c>
      <c r="K6793" s="7" t="n">
        <f aca="false">YEAR(E6793)*100+MONTH(E6793)</f>
        <v>201111</v>
      </c>
      <c r="L6793" s="7" t="n">
        <f aca="false">IF(AND(A6793&lt;&gt;A6792,LEFT(A6793,1)&lt;&gt;"C"),1,0)</f>
        <v>0</v>
      </c>
    </row>
    <row r="6794" customFormat="false" ht="15" hidden="false" customHeight="false" outlineLevel="0" collapsed="false">
      <c r="A6794" s="0" t="s">
        <v>3392</v>
      </c>
      <c r="B6794" s="0" t="s">
        <v>113</v>
      </c>
      <c r="C6794" s="0" t="s">
        <v>114</v>
      </c>
      <c r="D6794" s="0" t="n">
        <v>12</v>
      </c>
      <c r="E6794" s="6" t="n">
        <v>40877.6548611111</v>
      </c>
      <c r="F6794" s="0" t="n">
        <v>1.25</v>
      </c>
      <c r="G6794" s="0" t="n">
        <v>12714</v>
      </c>
      <c r="H6794" s="0" t="s">
        <v>43</v>
      </c>
      <c r="I6794" s="7" t="n">
        <f aca="false">IF(AND(LEFT(A6794,1)&lt;&gt;"C",D6794&gt;0,F6794&gt;0),1,0)</f>
        <v>1</v>
      </c>
      <c r="J6794" s="7" t="n">
        <f aca="false">IF(I6794=1,D6794*F6794,0)</f>
        <v>15</v>
      </c>
      <c r="K6794" s="7" t="n">
        <f aca="false">YEAR(E6794)*100+MONTH(E6794)</f>
        <v>201111</v>
      </c>
      <c r="L6794" s="7" t="n">
        <f aca="false">IF(AND(A6794&lt;&gt;A6793,LEFT(A6794,1)&lt;&gt;"C"),1,0)</f>
        <v>0</v>
      </c>
    </row>
    <row r="6795" customFormat="false" ht="15" hidden="false" customHeight="false" outlineLevel="0" collapsed="false">
      <c r="A6795" s="0" t="s">
        <v>3392</v>
      </c>
      <c r="B6795" s="0" t="s">
        <v>1613</v>
      </c>
      <c r="C6795" s="0" t="s">
        <v>1614</v>
      </c>
      <c r="D6795" s="0" t="n">
        <v>20</v>
      </c>
      <c r="E6795" s="6" t="n">
        <v>40877.6548611111</v>
      </c>
      <c r="F6795" s="0" t="n">
        <v>0.42</v>
      </c>
      <c r="G6795" s="0" t="n">
        <v>12714</v>
      </c>
      <c r="H6795" s="0" t="s">
        <v>43</v>
      </c>
      <c r="I6795" s="7" t="n">
        <f aca="false">IF(AND(LEFT(A6795,1)&lt;&gt;"C",D6795&gt;0,F6795&gt;0),1,0)</f>
        <v>1</v>
      </c>
      <c r="J6795" s="7" t="n">
        <f aca="false">IF(I6795=1,D6795*F6795,0)</f>
        <v>8.4</v>
      </c>
      <c r="K6795" s="7" t="n">
        <f aca="false">YEAR(E6795)*100+MONTH(E6795)</f>
        <v>201111</v>
      </c>
      <c r="L6795" s="7" t="n">
        <f aca="false">IF(AND(A6795&lt;&gt;A6794,LEFT(A6795,1)&lt;&gt;"C"),1,0)</f>
        <v>0</v>
      </c>
    </row>
    <row r="6796" customFormat="false" ht="15" hidden="false" customHeight="false" outlineLevel="0" collapsed="false">
      <c r="A6796" s="0" t="s">
        <v>3392</v>
      </c>
      <c r="B6796" s="0" t="s">
        <v>1611</v>
      </c>
      <c r="C6796" s="0" t="s">
        <v>1612</v>
      </c>
      <c r="D6796" s="0" t="n">
        <v>20</v>
      </c>
      <c r="E6796" s="6" t="n">
        <v>40877.6548611111</v>
      </c>
      <c r="F6796" s="0" t="n">
        <v>0.42</v>
      </c>
      <c r="G6796" s="0" t="n">
        <v>12714</v>
      </c>
      <c r="H6796" s="0" t="s">
        <v>43</v>
      </c>
      <c r="I6796" s="7" t="n">
        <f aca="false">IF(AND(LEFT(A6796,1)&lt;&gt;"C",D6796&gt;0,F6796&gt;0),1,0)</f>
        <v>1</v>
      </c>
      <c r="J6796" s="7" t="n">
        <f aca="false">IF(I6796=1,D6796*F6796,0)</f>
        <v>8.4</v>
      </c>
      <c r="K6796" s="7" t="n">
        <f aca="false">YEAR(E6796)*100+MONTH(E6796)</f>
        <v>201111</v>
      </c>
      <c r="L6796" s="7" t="n">
        <f aca="false">IF(AND(A6796&lt;&gt;A6795,LEFT(A6796,1)&lt;&gt;"C"),1,0)</f>
        <v>0</v>
      </c>
    </row>
    <row r="6797" customFormat="false" ht="15" hidden="false" customHeight="false" outlineLevel="0" collapsed="false">
      <c r="A6797" s="0" t="s">
        <v>3392</v>
      </c>
      <c r="B6797" s="0" t="s">
        <v>84</v>
      </c>
      <c r="C6797" s="0" t="s">
        <v>85</v>
      </c>
      <c r="D6797" s="0" t="n">
        <v>5</v>
      </c>
      <c r="E6797" s="6" t="n">
        <v>40877.6548611111</v>
      </c>
      <c r="F6797" s="0" t="n">
        <v>18</v>
      </c>
      <c r="G6797" s="0" t="n">
        <v>12714</v>
      </c>
      <c r="H6797" s="0" t="s">
        <v>43</v>
      </c>
      <c r="I6797" s="7" t="n">
        <f aca="false">IF(AND(LEFT(A6797,1)&lt;&gt;"C",D6797&gt;0,F6797&gt;0),1,0)</f>
        <v>1</v>
      </c>
      <c r="J6797" s="7" t="n">
        <f aca="false">IF(I6797=1,D6797*F6797,0)</f>
        <v>90</v>
      </c>
      <c r="K6797" s="7" t="n">
        <f aca="false">YEAR(E6797)*100+MONTH(E6797)</f>
        <v>201111</v>
      </c>
      <c r="L6797" s="7" t="n">
        <f aca="false">IF(AND(A6797&lt;&gt;A6796,LEFT(A6797,1)&lt;&gt;"C"),1,0)</f>
        <v>0</v>
      </c>
    </row>
    <row r="6798" customFormat="false" ht="15" hidden="false" customHeight="false" outlineLevel="0" collapsed="false">
      <c r="A6798" s="0" t="s">
        <v>3403</v>
      </c>
      <c r="B6798" s="0" t="s">
        <v>64</v>
      </c>
      <c r="C6798" s="0" t="s">
        <v>65</v>
      </c>
      <c r="D6798" s="0" t="n">
        <v>12</v>
      </c>
      <c r="E6798" s="6" t="n">
        <v>40877.6993055556</v>
      </c>
      <c r="F6798" s="0" t="n">
        <v>1.65</v>
      </c>
      <c r="G6798" s="0" t="n">
        <v>12437</v>
      </c>
      <c r="H6798" s="0" t="s">
        <v>43</v>
      </c>
      <c r="I6798" s="7" t="n">
        <f aca="false">IF(AND(LEFT(A6798,1)&lt;&gt;"C",D6798&gt;0,F6798&gt;0),1,0)</f>
        <v>1</v>
      </c>
      <c r="J6798" s="7" t="n">
        <f aca="false">IF(I6798=1,D6798*F6798,0)</f>
        <v>19.8</v>
      </c>
      <c r="K6798" s="7" t="n">
        <f aca="false">YEAR(E6798)*100+MONTH(E6798)</f>
        <v>201111</v>
      </c>
      <c r="L6798" s="7" t="n">
        <f aca="false">IF(AND(A6798&lt;&gt;A6797,LEFT(A6798,1)&lt;&gt;"C"),1,0)</f>
        <v>1</v>
      </c>
    </row>
    <row r="6799" customFormat="false" ht="15" hidden="false" customHeight="false" outlineLevel="0" collapsed="false">
      <c r="A6799" s="0" t="s">
        <v>3403</v>
      </c>
      <c r="B6799" s="0" t="s">
        <v>62</v>
      </c>
      <c r="C6799" s="0" t="s">
        <v>63</v>
      </c>
      <c r="D6799" s="0" t="n">
        <v>24</v>
      </c>
      <c r="E6799" s="6" t="n">
        <v>40877.6993055556</v>
      </c>
      <c r="F6799" s="0" t="n">
        <v>1.79</v>
      </c>
      <c r="G6799" s="0" t="n">
        <v>12437</v>
      </c>
      <c r="H6799" s="0" t="s">
        <v>43</v>
      </c>
      <c r="I6799" s="7" t="n">
        <f aca="false">IF(AND(LEFT(A6799,1)&lt;&gt;"C",D6799&gt;0,F6799&gt;0),1,0)</f>
        <v>1</v>
      </c>
      <c r="J6799" s="7" t="n">
        <f aca="false">IF(I6799=1,D6799*F6799,0)</f>
        <v>42.96</v>
      </c>
      <c r="K6799" s="7" t="n">
        <f aca="false">YEAR(E6799)*100+MONTH(E6799)</f>
        <v>201111</v>
      </c>
      <c r="L6799" s="7" t="n">
        <f aca="false">IF(AND(A6799&lt;&gt;A6798,LEFT(A6799,1)&lt;&gt;"C"),1,0)</f>
        <v>0</v>
      </c>
    </row>
    <row r="6800" customFormat="false" ht="15" hidden="false" customHeight="false" outlineLevel="0" collapsed="false">
      <c r="A6800" s="0" t="s">
        <v>3403</v>
      </c>
      <c r="B6800" s="0" t="s">
        <v>363</v>
      </c>
      <c r="C6800" s="0" t="s">
        <v>364</v>
      </c>
      <c r="D6800" s="0" t="n">
        <v>6</v>
      </c>
      <c r="E6800" s="6" t="n">
        <v>40877.6993055556</v>
      </c>
      <c r="F6800" s="0" t="n">
        <v>2.25</v>
      </c>
      <c r="G6800" s="0" t="n">
        <v>12437</v>
      </c>
      <c r="H6800" s="0" t="s">
        <v>43</v>
      </c>
      <c r="I6800" s="7" t="n">
        <f aca="false">IF(AND(LEFT(A6800,1)&lt;&gt;"C",D6800&gt;0,F6800&gt;0),1,0)</f>
        <v>1</v>
      </c>
      <c r="J6800" s="7" t="n">
        <f aca="false">IF(I6800=1,D6800*F6800,0)</f>
        <v>13.5</v>
      </c>
      <c r="K6800" s="7" t="n">
        <f aca="false">YEAR(E6800)*100+MONTH(E6800)</f>
        <v>201111</v>
      </c>
      <c r="L6800" s="7" t="n">
        <f aca="false">IF(AND(A6800&lt;&gt;A6799,LEFT(A6800,1)&lt;&gt;"C"),1,0)</f>
        <v>0</v>
      </c>
    </row>
    <row r="6801" customFormat="false" ht="15" hidden="false" customHeight="false" outlineLevel="0" collapsed="false">
      <c r="A6801" s="0" t="s">
        <v>3403</v>
      </c>
      <c r="B6801" s="0" t="s">
        <v>1200</v>
      </c>
      <c r="C6801" s="0" t="s">
        <v>1201</v>
      </c>
      <c r="D6801" s="0" t="n">
        <v>12</v>
      </c>
      <c r="E6801" s="6" t="n">
        <v>40877.6993055556</v>
      </c>
      <c r="F6801" s="0" t="n">
        <v>1.45</v>
      </c>
      <c r="G6801" s="0" t="n">
        <v>12437</v>
      </c>
      <c r="H6801" s="0" t="s">
        <v>43</v>
      </c>
      <c r="I6801" s="7" t="n">
        <f aca="false">IF(AND(LEFT(A6801,1)&lt;&gt;"C",D6801&gt;0,F6801&gt;0),1,0)</f>
        <v>1</v>
      </c>
      <c r="J6801" s="7" t="n">
        <f aca="false">IF(I6801=1,D6801*F6801,0)</f>
        <v>17.4</v>
      </c>
      <c r="K6801" s="7" t="n">
        <f aca="false">YEAR(E6801)*100+MONTH(E6801)</f>
        <v>201111</v>
      </c>
      <c r="L6801" s="7" t="n">
        <f aca="false">IF(AND(A6801&lt;&gt;A6800,LEFT(A6801,1)&lt;&gt;"C"),1,0)</f>
        <v>0</v>
      </c>
    </row>
    <row r="6802" customFormat="false" ht="15" hidden="false" customHeight="false" outlineLevel="0" collapsed="false">
      <c r="A6802" s="0" t="s">
        <v>3403</v>
      </c>
      <c r="B6802" s="0" t="s">
        <v>3072</v>
      </c>
      <c r="C6802" s="0" t="s">
        <v>3073</v>
      </c>
      <c r="D6802" s="0" t="n">
        <v>2</v>
      </c>
      <c r="E6802" s="6" t="n">
        <v>40877.6993055556</v>
      </c>
      <c r="F6802" s="0" t="n">
        <v>8.25</v>
      </c>
      <c r="G6802" s="0" t="n">
        <v>12437</v>
      </c>
      <c r="H6802" s="0" t="s">
        <v>43</v>
      </c>
      <c r="I6802" s="7" t="n">
        <f aca="false">IF(AND(LEFT(A6802,1)&lt;&gt;"C",D6802&gt;0,F6802&gt;0),1,0)</f>
        <v>1</v>
      </c>
      <c r="J6802" s="7" t="n">
        <f aca="false">IF(I6802=1,D6802*F6802,0)</f>
        <v>16.5</v>
      </c>
      <c r="K6802" s="7" t="n">
        <f aca="false">YEAR(E6802)*100+MONTH(E6802)</f>
        <v>201111</v>
      </c>
      <c r="L6802" s="7" t="n">
        <f aca="false">IF(AND(A6802&lt;&gt;A6801,LEFT(A6802,1)&lt;&gt;"C"),1,0)</f>
        <v>0</v>
      </c>
    </row>
    <row r="6803" customFormat="false" ht="15" hidden="false" customHeight="false" outlineLevel="0" collapsed="false">
      <c r="A6803" s="0" t="s">
        <v>3403</v>
      </c>
      <c r="B6803" s="0" t="s">
        <v>2788</v>
      </c>
      <c r="C6803" s="0" t="s">
        <v>2789</v>
      </c>
      <c r="D6803" s="0" t="n">
        <v>2</v>
      </c>
      <c r="E6803" s="6" t="n">
        <v>40877.6993055556</v>
      </c>
      <c r="F6803" s="0" t="n">
        <v>8.25</v>
      </c>
      <c r="G6803" s="0" t="n">
        <v>12437</v>
      </c>
      <c r="H6803" s="0" t="s">
        <v>43</v>
      </c>
      <c r="I6803" s="7" t="n">
        <f aca="false">IF(AND(LEFT(A6803,1)&lt;&gt;"C",D6803&gt;0,F6803&gt;0),1,0)</f>
        <v>1</v>
      </c>
      <c r="J6803" s="7" t="n">
        <f aca="false">IF(I6803=1,D6803*F6803,0)</f>
        <v>16.5</v>
      </c>
      <c r="K6803" s="7" t="n">
        <f aca="false">YEAR(E6803)*100+MONTH(E6803)</f>
        <v>201111</v>
      </c>
      <c r="L6803" s="7" t="n">
        <f aca="false">IF(AND(A6803&lt;&gt;A6802,LEFT(A6803,1)&lt;&gt;"C"),1,0)</f>
        <v>0</v>
      </c>
    </row>
    <row r="6804" customFormat="false" ht="15" hidden="false" customHeight="false" outlineLevel="0" collapsed="false">
      <c r="A6804" s="0" t="s">
        <v>3403</v>
      </c>
      <c r="B6804" s="0" t="s">
        <v>760</v>
      </c>
      <c r="C6804" s="0" t="s">
        <v>761</v>
      </c>
      <c r="D6804" s="0" t="n">
        <v>6</v>
      </c>
      <c r="E6804" s="6" t="n">
        <v>40877.6993055556</v>
      </c>
      <c r="F6804" s="0" t="n">
        <v>4.25</v>
      </c>
      <c r="G6804" s="0" t="n">
        <v>12437</v>
      </c>
      <c r="H6804" s="0" t="s">
        <v>43</v>
      </c>
      <c r="I6804" s="7" t="n">
        <f aca="false">IF(AND(LEFT(A6804,1)&lt;&gt;"C",D6804&gt;0,F6804&gt;0),1,0)</f>
        <v>1</v>
      </c>
      <c r="J6804" s="7" t="n">
        <f aca="false">IF(I6804=1,D6804*F6804,0)</f>
        <v>25.5</v>
      </c>
      <c r="K6804" s="7" t="n">
        <f aca="false">YEAR(E6804)*100+MONTH(E6804)</f>
        <v>201111</v>
      </c>
      <c r="L6804" s="7" t="n">
        <f aca="false">IF(AND(A6804&lt;&gt;A6803,LEFT(A6804,1)&lt;&gt;"C"),1,0)</f>
        <v>0</v>
      </c>
    </row>
    <row r="6805" customFormat="false" ht="15" hidden="false" customHeight="false" outlineLevel="0" collapsed="false">
      <c r="A6805" s="0" t="s">
        <v>3403</v>
      </c>
      <c r="B6805" s="0" t="s">
        <v>148</v>
      </c>
      <c r="C6805" s="0" t="s">
        <v>149</v>
      </c>
      <c r="D6805" s="0" t="n">
        <v>1</v>
      </c>
      <c r="E6805" s="6" t="n">
        <v>40877.6993055556</v>
      </c>
      <c r="F6805" s="0" t="n">
        <v>12.75</v>
      </c>
      <c r="G6805" s="0" t="n">
        <v>12437</v>
      </c>
      <c r="H6805" s="0" t="s">
        <v>43</v>
      </c>
      <c r="I6805" s="7" t="n">
        <f aca="false">IF(AND(LEFT(A6805,1)&lt;&gt;"C",D6805&gt;0,F6805&gt;0),1,0)</f>
        <v>1</v>
      </c>
      <c r="J6805" s="7" t="n">
        <f aca="false">IF(I6805=1,D6805*F6805,0)</f>
        <v>12.75</v>
      </c>
      <c r="K6805" s="7" t="n">
        <f aca="false">YEAR(E6805)*100+MONTH(E6805)</f>
        <v>201111</v>
      </c>
      <c r="L6805" s="7" t="n">
        <f aca="false">IF(AND(A6805&lt;&gt;A6804,LEFT(A6805,1)&lt;&gt;"C"),1,0)</f>
        <v>0</v>
      </c>
    </row>
    <row r="6806" customFormat="false" ht="15" hidden="false" customHeight="false" outlineLevel="0" collapsed="false">
      <c r="A6806" s="0" t="s">
        <v>3403</v>
      </c>
      <c r="B6806" s="0" t="s">
        <v>473</v>
      </c>
      <c r="C6806" s="0" t="s">
        <v>474</v>
      </c>
      <c r="D6806" s="0" t="n">
        <v>2</v>
      </c>
      <c r="E6806" s="6" t="n">
        <v>40877.6993055556</v>
      </c>
      <c r="F6806" s="0" t="n">
        <v>9.95</v>
      </c>
      <c r="G6806" s="0" t="n">
        <v>12437</v>
      </c>
      <c r="H6806" s="0" t="s">
        <v>43</v>
      </c>
      <c r="I6806" s="7" t="n">
        <f aca="false">IF(AND(LEFT(A6806,1)&lt;&gt;"C",D6806&gt;0,F6806&gt;0),1,0)</f>
        <v>1</v>
      </c>
      <c r="J6806" s="7" t="n">
        <f aca="false">IF(I6806=1,D6806*F6806,0)</f>
        <v>19.9</v>
      </c>
      <c r="K6806" s="7" t="n">
        <f aca="false">YEAR(E6806)*100+MONTH(E6806)</f>
        <v>201111</v>
      </c>
      <c r="L6806" s="7" t="n">
        <f aca="false">IF(AND(A6806&lt;&gt;A6805,LEFT(A6806,1)&lt;&gt;"C"),1,0)</f>
        <v>0</v>
      </c>
    </row>
    <row r="6807" customFormat="false" ht="15" hidden="false" customHeight="false" outlineLevel="0" collapsed="false">
      <c r="A6807" s="0" t="s">
        <v>3403</v>
      </c>
      <c r="B6807" s="0" t="s">
        <v>1425</v>
      </c>
      <c r="C6807" s="0" t="s">
        <v>1426</v>
      </c>
      <c r="D6807" s="0" t="n">
        <v>2</v>
      </c>
      <c r="E6807" s="6" t="n">
        <v>40877.6993055556</v>
      </c>
      <c r="F6807" s="0" t="n">
        <v>8.5</v>
      </c>
      <c r="G6807" s="0" t="n">
        <v>12437</v>
      </c>
      <c r="H6807" s="0" t="s">
        <v>43</v>
      </c>
      <c r="I6807" s="7" t="n">
        <f aca="false">IF(AND(LEFT(A6807,1)&lt;&gt;"C",D6807&gt;0,F6807&gt;0),1,0)</f>
        <v>1</v>
      </c>
      <c r="J6807" s="7" t="n">
        <f aca="false">IF(I6807=1,D6807*F6807,0)</f>
        <v>17</v>
      </c>
      <c r="K6807" s="7" t="n">
        <f aca="false">YEAR(E6807)*100+MONTH(E6807)</f>
        <v>201111</v>
      </c>
      <c r="L6807" s="7" t="n">
        <f aca="false">IF(AND(A6807&lt;&gt;A6806,LEFT(A6807,1)&lt;&gt;"C"),1,0)</f>
        <v>0</v>
      </c>
    </row>
    <row r="6808" customFormat="false" ht="15" hidden="false" customHeight="false" outlineLevel="0" collapsed="false">
      <c r="A6808" s="0" t="s">
        <v>3403</v>
      </c>
      <c r="B6808" s="0" t="s">
        <v>2178</v>
      </c>
      <c r="C6808" s="0" t="s">
        <v>2179</v>
      </c>
      <c r="D6808" s="0" t="n">
        <v>4</v>
      </c>
      <c r="E6808" s="6" t="n">
        <v>40877.6993055556</v>
      </c>
      <c r="F6808" s="0" t="n">
        <v>3.75</v>
      </c>
      <c r="G6808" s="0" t="n">
        <v>12437</v>
      </c>
      <c r="H6808" s="0" t="s">
        <v>43</v>
      </c>
      <c r="I6808" s="7" t="n">
        <f aca="false">IF(AND(LEFT(A6808,1)&lt;&gt;"C",D6808&gt;0,F6808&gt;0),1,0)</f>
        <v>1</v>
      </c>
      <c r="J6808" s="7" t="n">
        <f aca="false">IF(I6808=1,D6808*F6808,0)</f>
        <v>15</v>
      </c>
      <c r="K6808" s="7" t="n">
        <f aca="false">YEAR(E6808)*100+MONTH(E6808)</f>
        <v>201111</v>
      </c>
      <c r="L6808" s="7" t="n">
        <f aca="false">IF(AND(A6808&lt;&gt;A6807,LEFT(A6808,1)&lt;&gt;"C"),1,0)</f>
        <v>0</v>
      </c>
    </row>
    <row r="6809" customFormat="false" ht="15" hidden="false" customHeight="false" outlineLevel="0" collapsed="false">
      <c r="A6809" s="0" t="s">
        <v>3403</v>
      </c>
      <c r="B6809" s="0" t="s">
        <v>333</v>
      </c>
      <c r="C6809" s="0" t="s">
        <v>334</v>
      </c>
      <c r="D6809" s="0" t="n">
        <v>12</v>
      </c>
      <c r="E6809" s="6" t="n">
        <v>40877.6993055556</v>
      </c>
      <c r="F6809" s="0" t="n">
        <v>1.65</v>
      </c>
      <c r="G6809" s="0" t="n">
        <v>12437</v>
      </c>
      <c r="H6809" s="0" t="s">
        <v>43</v>
      </c>
      <c r="I6809" s="7" t="n">
        <f aca="false">IF(AND(LEFT(A6809,1)&lt;&gt;"C",D6809&gt;0,F6809&gt;0),1,0)</f>
        <v>1</v>
      </c>
      <c r="J6809" s="7" t="n">
        <f aca="false">IF(I6809=1,D6809*F6809,0)</f>
        <v>19.8</v>
      </c>
      <c r="K6809" s="7" t="n">
        <f aca="false">YEAR(E6809)*100+MONTH(E6809)</f>
        <v>201111</v>
      </c>
      <c r="L6809" s="7" t="n">
        <f aca="false">IF(AND(A6809&lt;&gt;A6808,LEFT(A6809,1)&lt;&gt;"C"),1,0)</f>
        <v>0</v>
      </c>
    </row>
    <row r="6810" customFormat="false" ht="15" hidden="false" customHeight="false" outlineLevel="0" collapsed="false">
      <c r="A6810" s="0" t="s">
        <v>3403</v>
      </c>
      <c r="B6810" s="0" t="s">
        <v>335</v>
      </c>
      <c r="C6810" s="0" t="s">
        <v>336</v>
      </c>
      <c r="D6810" s="0" t="n">
        <v>12</v>
      </c>
      <c r="E6810" s="6" t="n">
        <v>40877.6993055556</v>
      </c>
      <c r="F6810" s="0" t="n">
        <v>1.65</v>
      </c>
      <c r="G6810" s="0" t="n">
        <v>12437</v>
      </c>
      <c r="H6810" s="0" t="s">
        <v>43</v>
      </c>
      <c r="I6810" s="7" t="n">
        <f aca="false">IF(AND(LEFT(A6810,1)&lt;&gt;"C",D6810&gt;0,F6810&gt;0),1,0)</f>
        <v>1</v>
      </c>
      <c r="J6810" s="7" t="n">
        <f aca="false">IF(I6810=1,D6810*F6810,0)</f>
        <v>19.8</v>
      </c>
      <c r="K6810" s="7" t="n">
        <f aca="false">YEAR(E6810)*100+MONTH(E6810)</f>
        <v>201111</v>
      </c>
      <c r="L6810" s="7" t="n">
        <f aca="false">IF(AND(A6810&lt;&gt;A6809,LEFT(A6810,1)&lt;&gt;"C"),1,0)</f>
        <v>0</v>
      </c>
    </row>
    <row r="6811" customFormat="false" ht="15" hidden="false" customHeight="false" outlineLevel="0" collapsed="false">
      <c r="A6811" s="0" t="s">
        <v>3403</v>
      </c>
      <c r="B6811" s="0" t="s">
        <v>84</v>
      </c>
      <c r="C6811" s="0" t="s">
        <v>85</v>
      </c>
      <c r="D6811" s="0" t="n">
        <v>2</v>
      </c>
      <c r="E6811" s="6" t="n">
        <v>40877.6993055556</v>
      </c>
      <c r="F6811" s="0" t="n">
        <v>18</v>
      </c>
      <c r="G6811" s="0" t="n">
        <v>12437</v>
      </c>
      <c r="H6811" s="0" t="s">
        <v>43</v>
      </c>
      <c r="I6811" s="7" t="n">
        <f aca="false">IF(AND(LEFT(A6811,1)&lt;&gt;"C",D6811&gt;0,F6811&gt;0),1,0)</f>
        <v>1</v>
      </c>
      <c r="J6811" s="7" t="n">
        <f aca="false">IF(I6811=1,D6811*F6811,0)</f>
        <v>36</v>
      </c>
      <c r="K6811" s="7" t="n">
        <f aca="false">YEAR(E6811)*100+MONTH(E6811)</f>
        <v>201111</v>
      </c>
      <c r="L6811" s="7" t="n">
        <f aca="false">IF(AND(A6811&lt;&gt;A6810,LEFT(A6811,1)&lt;&gt;"C"),1,0)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13"/>
    <col collapsed="false" customWidth="true" hidden="false" outlineLevel="0" max="7" min="7" style="0" width="30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2" t="s">
        <v>3404</v>
      </c>
      <c r="G1" s="2" t="s">
        <v>3405</v>
      </c>
    </row>
    <row r="2" customFormat="false" ht="15" hidden="false" customHeight="false" outlineLevel="0" collapsed="false">
      <c r="B2" s="2" t="n">
        <v>201109</v>
      </c>
      <c r="C2" s="2" t="n">
        <v>201110</v>
      </c>
      <c r="D2" s="2" t="n">
        <v>201111</v>
      </c>
      <c r="E2" s="2" t="s">
        <v>3406</v>
      </c>
      <c r="G2" s="0" t="s">
        <v>3407</v>
      </c>
      <c r="H2" s="7" t="n">
        <f aca="false">COUNTA(Data!$A$2:$A$6811)</f>
        <v>6810</v>
      </c>
    </row>
    <row r="3" customFormat="false" ht="15" hidden="false" customHeight="false" outlineLevel="0" collapsed="false">
      <c r="A3" s="2" t="s">
        <v>33</v>
      </c>
      <c r="B3" s="8" t="n">
        <f aca="false">SUMIFS(Data!$J$2:$J$6811,Data!$H$2:$H$6811,$A3,Data!$K$2:$K$6811,B$2)</f>
        <v>18091.22</v>
      </c>
      <c r="C3" s="8" t="n">
        <f aca="false">SUMIFS(Data!$J$2:$J$6811,Data!$H$2:$H$6811,$A3,Data!$K$2:$K$6811,C$2)</f>
        <v>31638.42</v>
      </c>
      <c r="D3" s="8" t="n">
        <f aca="false">SUMIFS(Data!$J$2:$J$6811,Data!$H$2:$H$6811,$A3,Data!$K$2:$K$6811,D$2)</f>
        <v>28025.02</v>
      </c>
      <c r="E3" s="8" t="n">
        <f aca="false">SUM(B3:D3)</f>
        <v>77754.66</v>
      </c>
      <c r="G3" s="0" t="s">
        <v>3408</v>
      </c>
      <c r="H3" s="7" t="n">
        <f aca="false">SUM(Data!$I$2:$I$6811)</f>
        <v>6622</v>
      </c>
    </row>
    <row r="4" customFormat="false" ht="15" hidden="false" customHeight="false" outlineLevel="0" collapsed="false">
      <c r="A4" s="2" t="s">
        <v>43</v>
      </c>
      <c r="B4" s="8" t="n">
        <f aca="false">SUMIFS(Data!$J$2:$J$6811,Data!$H$2:$H$6811,$A4,Data!$K$2:$K$6811,B$2)</f>
        <v>23428.04</v>
      </c>
      <c r="C4" s="8" t="n">
        <f aca="false">SUMIFS(Data!$J$2:$J$6811,Data!$H$2:$H$6811,$A4,Data!$K$2:$K$6811,C$2)</f>
        <v>33485.45</v>
      </c>
      <c r="D4" s="8" t="n">
        <f aca="false">SUMIFS(Data!$J$2:$J$6811,Data!$H$2:$H$6811,$A4,Data!$K$2:$K$6811,D$2)</f>
        <v>31758.71</v>
      </c>
      <c r="E4" s="8" t="n">
        <f aca="false">SUM(B4:D4)</f>
        <v>88672.2</v>
      </c>
      <c r="G4" s="0" t="s">
        <v>3409</v>
      </c>
      <c r="H4" s="7" t="n">
        <f aca="false">AVERAGEIF(Data!$I$2:$I$6811,1,Data!$J$2:$J$6811)</f>
        <v>25.1324161884627</v>
      </c>
    </row>
    <row r="5" customFormat="false" ht="15" hidden="false" customHeight="false" outlineLevel="0" collapsed="false">
      <c r="A5" s="2" t="s">
        <v>3410</v>
      </c>
      <c r="B5" s="8" t="n">
        <f aca="false">SUM(B3:B4)</f>
        <v>41519.26</v>
      </c>
      <c r="C5" s="8" t="n">
        <f aca="false">SUM(C3:C4)</f>
        <v>65123.87</v>
      </c>
      <c r="D5" s="8" t="n">
        <f aca="false">SUM(D3:D4)</f>
        <v>59783.73</v>
      </c>
      <c r="E5" s="8" t="n">
        <f aca="false">SUM(E3:E4)</f>
        <v>166426.86</v>
      </c>
      <c r="G5" s="0" t="s">
        <v>3411</v>
      </c>
      <c r="H5" s="7" t="n">
        <f aca="false">MAX(Data!$J$2:$J$6811)</f>
        <v>4161.06</v>
      </c>
    </row>
    <row r="6" customFormat="false" ht="15" hidden="false" customHeight="false" outlineLevel="0" collapsed="false">
      <c r="A6" s="2" t="s">
        <v>3412</v>
      </c>
      <c r="G6" s="0" t="s">
        <v>3413</v>
      </c>
      <c r="H6" s="9" t="n">
        <f aca="false">MIN(Data!$E$2:$E$6811)</f>
        <v>40787.4027777778</v>
      </c>
    </row>
    <row r="7" customFormat="false" ht="15" hidden="false" customHeight="false" outlineLevel="0" collapsed="false">
      <c r="B7" s="2" t="n">
        <v>201109</v>
      </c>
      <c r="C7" s="2" t="n">
        <v>201110</v>
      </c>
      <c r="D7" s="2" t="n">
        <v>201111</v>
      </c>
      <c r="E7" s="2" t="s">
        <v>3406</v>
      </c>
      <c r="G7" s="0" t="s">
        <v>3414</v>
      </c>
      <c r="H7" s="9" t="n">
        <f aca="false">MAX(Data!$E$2:$E$6811)</f>
        <v>40877.6993055556</v>
      </c>
    </row>
    <row r="8" customFormat="false" ht="15" hidden="false" customHeight="false" outlineLevel="0" collapsed="false">
      <c r="A8" s="2" t="s">
        <v>33</v>
      </c>
      <c r="B8" s="7" t="n">
        <f aca="false">COUNTIFS(Data!$L$2:$L$6811,1,Data!$H$2:$H$6811,$A8,Data!$K$2:$K$6811,B$7)</f>
        <v>41</v>
      </c>
      <c r="C8" s="7" t="n">
        <f aca="false">COUNTIFS(Data!$L$2:$L$6811,1,Data!$H$2:$H$6811,$A8,Data!$K$2:$K$6811,C$7)</f>
        <v>58</v>
      </c>
      <c r="D8" s="7" t="n">
        <f aca="false">COUNTIFS(Data!$L$2:$L$6811,1,Data!$H$2:$H$6811,$A8,Data!$K$2:$K$6811,D$7)</f>
        <v>68</v>
      </c>
      <c r="E8" s="7" t="n">
        <f aca="false">SUM(B8:D8)</f>
        <v>167</v>
      </c>
      <c r="G8" s="0" t="s">
        <v>3415</v>
      </c>
      <c r="H8" s="7" t="n">
        <f aca="false">COUNT(Data!$G$2:$G$6811)</f>
        <v>6761</v>
      </c>
    </row>
    <row r="9" customFormat="false" ht="15" hidden="false" customHeight="false" outlineLevel="0" collapsed="false">
      <c r="A9" s="2" t="s">
        <v>43</v>
      </c>
      <c r="B9" s="7" t="n">
        <f aca="false">COUNTIFS(Data!$L$2:$L$6811,1,Data!$H$2:$H$6811,$A9,Data!$K$2:$K$6811,B$7)</f>
        <v>45</v>
      </c>
      <c r="C9" s="7" t="n">
        <f aca="false">COUNTIFS(Data!$L$2:$L$6811,1,Data!$H$2:$H$6811,$A9,Data!$K$2:$K$6811,C$7)</f>
        <v>35</v>
      </c>
      <c r="D9" s="7" t="n">
        <f aca="false">COUNTIFS(Data!$L$2:$L$6811,1,Data!$H$2:$H$6811,$A9,Data!$K$2:$K$6811,D$7)</f>
        <v>64</v>
      </c>
      <c r="E9" s="7" t="n">
        <f aca="false">SUM(B9:D9)</f>
        <v>144</v>
      </c>
    </row>
    <row r="10" customFormat="false" ht="15" hidden="false" customHeight="false" outlineLevel="0" collapsed="false">
      <c r="A10" s="2" t="s">
        <v>3410</v>
      </c>
      <c r="B10" s="7" t="n">
        <f aca="false">SUM(B8:B9)</f>
        <v>86</v>
      </c>
      <c r="C10" s="7" t="n">
        <f aca="false">SUM(C8:C9)</f>
        <v>93</v>
      </c>
      <c r="D10" s="7" t="n">
        <f aca="false">SUM(D8:D9)</f>
        <v>132</v>
      </c>
      <c r="E10" s="7" t="n">
        <f aca="false">SUM(E8:E9)</f>
        <v>311</v>
      </c>
    </row>
    <row r="11" customFormat="false" ht="15" hidden="false" customHeight="false" outlineLevel="0" collapsed="false">
      <c r="A11" s="2" t="s">
        <v>3416</v>
      </c>
    </row>
    <row r="12" customFormat="false" ht="15" hidden="false" customHeight="false" outlineLevel="0" collapsed="false">
      <c r="B12" s="2" t="n">
        <v>201109</v>
      </c>
      <c r="C12" s="2" t="n">
        <v>201110</v>
      </c>
      <c r="D12" s="2" t="n">
        <v>201111</v>
      </c>
      <c r="E12" s="2" t="s">
        <v>3406</v>
      </c>
    </row>
    <row r="13" customFormat="false" ht="15" hidden="false" customHeight="false" outlineLevel="0" collapsed="false">
      <c r="A13" s="2" t="s">
        <v>33</v>
      </c>
      <c r="B13" s="8" t="n">
        <f aca="false">B3/B8</f>
        <v>441.249268292683</v>
      </c>
      <c r="C13" s="8" t="n">
        <f aca="false">C3/C8</f>
        <v>545.49</v>
      </c>
      <c r="D13" s="8" t="n">
        <f aca="false">D3/D8</f>
        <v>412.132647058824</v>
      </c>
      <c r="E13" s="8" t="n">
        <f aca="false">E3/E8</f>
        <v>465.596766467066</v>
      </c>
    </row>
    <row r="14" customFormat="false" ht="15" hidden="false" customHeight="false" outlineLevel="0" collapsed="false">
      <c r="A14" s="2" t="s">
        <v>43</v>
      </c>
      <c r="B14" s="8" t="n">
        <f aca="false">B4/B9</f>
        <v>520.623111111111</v>
      </c>
      <c r="C14" s="8" t="n">
        <f aca="false">C4/C9</f>
        <v>956.727142857143</v>
      </c>
      <c r="D14" s="8" t="n">
        <f aca="false">D4/D9</f>
        <v>496.22984375</v>
      </c>
      <c r="E14" s="8" t="n">
        <f aca="false">E4/E9</f>
        <v>615.779166666667</v>
      </c>
    </row>
    <row r="15" customFormat="false" ht="15" hidden="false" customHeight="false" outlineLevel="0" collapsed="false">
      <c r="A15" s="2" t="s">
        <v>3417</v>
      </c>
      <c r="B15" s="8" t="n">
        <f aca="false">B5/B10</f>
        <v>482.782093023256</v>
      </c>
      <c r="C15" s="8" t="n">
        <f aca="false">C5/C10</f>
        <v>700.256666666667</v>
      </c>
      <c r="D15" s="8" t="n">
        <f aca="false">D5/D10</f>
        <v>452.907045454545</v>
      </c>
      <c r="E15" s="8" t="n">
        <f aca="false">E5/E10</f>
        <v>535.13459807074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2026-10-30T04:39:06Z</dcterms:created>
  <dc:creator>openpyxl</dc:creator>
  <dc:description/>
  <dc:language>en-US</dc:language>
  <cp:lastModifiedBy/>
  <dcterms:modified xsi:type="dcterms:W3CDTF">2026-10-30T04:39:07Z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