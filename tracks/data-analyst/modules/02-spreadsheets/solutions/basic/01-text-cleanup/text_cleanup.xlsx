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in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I2" authorId="0">
      <text>
        <r>
          <rPr>
            <sz val="10"/>
            <rFont val="Arial"/>
            <family val="2"/>
          </rPr>
          <t xml:space="preserve">TODO: Mã hàng: bỏ khoảng trắng, viết HOA (UPPER + TRIM)</t>
        </r>
      </text>
    </comment>
    <comment ref="J2" authorId="0">
      <text>
        <r>
          <rPr>
            <sz val="10"/>
            <rFont val="Arial"/>
            <family val="2"/>
          </rPr>
          <t xml:space="preserve">TODO: Mô tả: bỏ khoảng trắng thừa, viết hoa chữ đầu mỗi từ (PROPER + TRIM)</t>
        </r>
      </text>
    </comment>
    <comment ref="K2" authorId="0">
      <text>
        <r>
          <rPr>
            <sz val="10"/>
            <rFont val="Arial"/>
            <family val="2"/>
          </rPr>
          <t xml:space="preserve">TODO: Đổi EIRE→Ireland, RSA→South Africa, USA→United States (SUBSTITUTE lồng nhau)</t>
        </r>
      </text>
    </comment>
    <comment ref="L2" authorId="0">
      <text>
        <r>
          <rPr>
            <sz val="10"/>
            <rFont val="Arial"/>
            <family val="2"/>
          </rPr>
          <t xml:space="preserve">TODO: Mã hoá đơn bắt đầu bằng C → "Cancel", còn lại "Sale"</t>
        </r>
      </text>
    </comment>
    <comment ref="M2" authorId="0">
      <text>
        <r>
          <rPr>
            <sz val="10"/>
            <rFont val="Arial"/>
            <family val="2"/>
          </rPr>
          <t xml:space="preserve">TODO: Che ký tự 3–4 của mã khách bằng ** (REPLACE); trống → "Guest"</t>
        </r>
      </text>
    </comment>
    <comment ref="N2" authorId="0">
      <text>
        <r>
          <rPr>
            <sz val="10"/>
            <rFont val="Arial"/>
            <family val="2"/>
          </rPr>
          <t xml:space="preserve">TODO: Khoá dòng = Invoice-StockCode_clean (CONCAT)</t>
        </r>
      </text>
    </comment>
    <comment ref="O2" authorId="0">
      <text>
        <r>
          <rPr>
            <sz val="10"/>
            <rFont val="Arial"/>
            <family val="2"/>
          </rPr>
          <t xml:space="preserve">TODO: Slug cho web: chữ thường, khoảng trắng thành - (LOWER + SUBSTITUTE + TRIM)</t>
        </r>
      </text>
    </comment>
    <comment ref="P2" authorId="0">
      <text>
        <r>
          <rPr>
            <sz val="10"/>
            <rFont val="Arial"/>
            <family val="2"/>
          </rPr>
          <t xml:space="preserve">TODO: 1 nếu mô tả gốc có khoảng trắng thừa (EXACT + TRIM), ngược lại 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B2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3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4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5" authorId="0">
      <text>
        <r>
          <rPr>
            <sz val="10"/>
            <rFont val="Arial"/>
            <family val="2"/>
          </rPr>
          <t xml:space="preserve">TODO: điền công thức</t>
        </r>
      </text>
    </comment>
  </commentList>
</comments>
</file>

<file path=xl/sharedStrings.xml><?xml version="1.0" encoding="utf-8"?>
<sst xmlns="http://schemas.openxmlformats.org/spreadsheetml/2006/main" count="1237" uniqueCount="871">
  <si>
    <t xml:space="preserve">Bài 01 — Làm sạch văn bản bằng hàm Excel</t>
  </si>
  <si>
    <t xml:space="preserve">Nguồn dữ liệu</t>
  </si>
  <si>
    <t xml:space="preserve">Online Retail II (UCI Machine Learning Repository, Daqing Chen, 2019), https://archive.ics.uci.edu/dataset/502/online+retail+ii — giấy phép CC BY 4.0</t>
  </si>
  <si>
    <t xml:space="preserve">Trích mẫu</t>
  </si>
  <si>
    <t xml:space="preserve">300 dòng từ sheet 'Year 2010-2011': 255 dòng chọn ngẫu nhiên (seed 2) cộng các dòng có quốc gia EIRE/RSA/USA, mã hàng chữ thường, mô tả có hai dấu cách liền nhau. Giữ nguyên giá trị gốc, kể cả khoảng trắng thừa.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</si>
  <si>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</si>
  <si>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</si>
  <si>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</si>
  <si>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</si>
  <si>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</si>
  <si>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</si>
  <si>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</si>
  <si>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</si>
  <si>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</si>
  <si>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Sheet Lines: điền công thức vào hàng 2 các cột I–P (ô vàng, xem ghi chú trên ô), rồi kéo xuống tới hàng 301.</t>
  </si>
  <si>
    <t xml:space="preserve">2. Sheet Summary: điền 4 công thức B2:B5.</t>
  </si>
  <si>
    <t xml:space="preserve">3. Lưu .xlsx rồi chạy test.</t>
  </si>
  <si>
    <t xml:space="preserve">Invoice</t>
  </si>
  <si>
    <t xml:space="preserve">StockCode</t>
  </si>
  <si>
    <t xml:space="preserve">Description</t>
  </si>
  <si>
    <t xml:space="preserve">Quantity</t>
  </si>
  <si>
    <t xml:space="preserve">InvoiceDate</t>
  </si>
  <si>
    <t xml:space="preserve">Price</t>
  </si>
  <si>
    <t xml:space="preserve">Customer ID</t>
  </si>
  <si>
    <t xml:space="preserve">Country</t>
  </si>
  <si>
    <t xml:space="preserve">StockCode_clean</t>
  </si>
  <si>
    <t xml:space="preserve">Description_clean</t>
  </si>
  <si>
    <t xml:space="preserve">Country_clean</t>
  </si>
  <si>
    <t xml:space="preserve">Line_type</t>
  </si>
  <si>
    <t xml:space="preserve">Customer_masked</t>
  </si>
  <si>
    <t xml:space="preserve">Line_key</t>
  </si>
  <si>
    <t xml:space="preserve">Slug</t>
  </si>
  <si>
    <t xml:space="preserve">Had_extra_spaces</t>
  </si>
  <si>
    <t xml:space="preserve">536406</t>
  </si>
  <si>
    <t xml:space="preserve">21730</t>
  </si>
  <si>
    <t xml:space="preserve">GLASS STAR FROSTED T-LIGHT HOLDER</t>
  </si>
  <si>
    <t xml:space="preserve">United Kingdom</t>
  </si>
  <si>
    <t xml:space="preserve">536544</t>
  </si>
  <si>
    <t xml:space="preserve">84832</t>
  </si>
  <si>
    <t xml:space="preserve">ZINC WILLIE WINKIE  CANDLE STICK</t>
  </si>
  <si>
    <t xml:space="preserve">536592</t>
  </si>
  <si>
    <t xml:space="preserve">22791</t>
  </si>
  <si>
    <t xml:space="preserve">T-LIGHT GLASS FLUTED ANTIQUE</t>
  </si>
  <si>
    <t xml:space="preserve">536796</t>
  </si>
  <si>
    <t xml:space="preserve">21578</t>
  </si>
  <si>
    <t xml:space="preserve">WOODLAND DESIGN  COTTON TOTE BAG</t>
  </si>
  <si>
    <t xml:space="preserve">536865</t>
  </si>
  <si>
    <t xml:space="preserve">15056bl</t>
  </si>
  <si>
    <t xml:space="preserve">EDWARDIAN PARASOL BLACK</t>
  </si>
  <si>
    <t xml:space="preserve">C537203</t>
  </si>
  <si>
    <t xml:space="preserve">21424</t>
  </si>
  <si>
    <t xml:space="preserve">WOODLAND STORAGE BOX LARGE </t>
  </si>
  <si>
    <t xml:space="preserve">537240</t>
  </si>
  <si>
    <t xml:space="preserve">22084</t>
  </si>
  <si>
    <t xml:space="preserve">PAPER CHAIN KIT EMPIRE</t>
  </si>
  <si>
    <t xml:space="preserve">537265</t>
  </si>
  <si>
    <t xml:space="preserve">22413</t>
  </si>
  <si>
    <t xml:space="preserve">METAL SIGN TAKE IT OR LEAVE IT </t>
  </si>
  <si>
    <t xml:space="preserve">537638</t>
  </si>
  <si>
    <t xml:space="preserve">22851</t>
  </si>
  <si>
    <t xml:space="preserve">SET 20 NAPKINS FAIRY CAKES DESIGN </t>
  </si>
  <si>
    <t xml:space="preserve">538040</t>
  </si>
  <si>
    <t xml:space="preserve">22115</t>
  </si>
  <si>
    <t xml:space="preserve">METAL SIGN EMPIRE TEA</t>
  </si>
  <si>
    <t xml:space="preserve">538166</t>
  </si>
  <si>
    <t xml:space="preserve">85123A</t>
  </si>
  <si>
    <t xml:space="preserve">WHITE HANGING HEART T-LIGHT HOLDER</t>
  </si>
  <si>
    <t xml:space="preserve">538311</t>
  </si>
  <si>
    <t xml:space="preserve">20725</t>
  </si>
  <si>
    <t xml:space="preserve">LUNCH BAG RED RETROSPOT</t>
  </si>
  <si>
    <t xml:space="preserve">Portugal</t>
  </si>
  <si>
    <t xml:space="preserve">538349</t>
  </si>
  <si>
    <t xml:space="preserve">72351A</t>
  </si>
  <si>
    <t xml:space="preserve">SET/6 TURQUOISE BUTTERFLY T-LIGHTS</t>
  </si>
  <si>
    <t xml:space="preserve">539042</t>
  </si>
  <si>
    <t xml:space="preserve">84212</t>
  </si>
  <si>
    <t xml:space="preserve">ASSORTED FLOWER COLOUR "LEIS"</t>
  </si>
  <si>
    <t xml:space="preserve">C539221</t>
  </si>
  <si>
    <t xml:space="preserve">22592</t>
  </si>
  <si>
    <t xml:space="preserve">CARDHOLDER HOLLY WREATH METAL</t>
  </si>
  <si>
    <t xml:space="preserve">EIRE</t>
  </si>
  <si>
    <t xml:space="preserve">539404</t>
  </si>
  <si>
    <t xml:space="preserve">22652</t>
  </si>
  <si>
    <t xml:space="preserve">TRAVEL SEWING KIT</t>
  </si>
  <si>
    <t xml:space="preserve">539676</t>
  </si>
  <si>
    <t xml:space="preserve">22661</t>
  </si>
  <si>
    <t xml:space="preserve">CHARLOTTE BAG DOLLY GIRL DESIGN</t>
  </si>
  <si>
    <t xml:space="preserve">Belgium</t>
  </si>
  <si>
    <t xml:space="preserve">539742</t>
  </si>
  <si>
    <t xml:space="preserve">82600</t>
  </si>
  <si>
    <t xml:space="preserve">NO SINGING METAL SIGN</t>
  </si>
  <si>
    <t xml:space="preserve">540154</t>
  </si>
  <si>
    <t xml:space="preserve">22543</t>
  </si>
  <si>
    <t xml:space="preserve">MINI JIGSAW BAKE A CAKE </t>
  </si>
  <si>
    <t xml:space="preserve">540255</t>
  </si>
  <si>
    <t xml:space="preserve">47504K</t>
  </si>
  <si>
    <t xml:space="preserve">ENGLISH ROSE GARDEN SECATEURS</t>
  </si>
  <si>
    <t xml:space="preserve">540468</t>
  </si>
  <si>
    <t xml:space="preserve">84968A</t>
  </si>
  <si>
    <t xml:space="preserve">SET OF 16 VINTAGE ROSE CUTLERY</t>
  </si>
  <si>
    <t xml:space="preserve">540469</t>
  </si>
  <si>
    <t xml:space="preserve">84380</t>
  </si>
  <si>
    <t xml:space="preserve">SET OF 3 BUTTERFLY COOKIE CUTTERS</t>
  </si>
  <si>
    <t xml:space="preserve">Spain</t>
  </si>
  <si>
    <t xml:space="preserve">540551</t>
  </si>
  <si>
    <t xml:space="preserve">22812</t>
  </si>
  <si>
    <t xml:space="preserve">PACK 3 BOXES CHRISTMAS PANNETONE</t>
  </si>
  <si>
    <t xml:space="preserve">540834</t>
  </si>
  <si>
    <t xml:space="preserve">21531</t>
  </si>
  <si>
    <t xml:space="preserve">RED RETROSPOT SUGAR JAM BOWL</t>
  </si>
  <si>
    <t xml:space="preserve">540976</t>
  </si>
  <si>
    <t xml:space="preserve">84817</t>
  </si>
  <si>
    <t xml:space="preserve">DANISH ROSE DECORATIVE PLATE</t>
  </si>
  <si>
    <t xml:space="preserve">France</t>
  </si>
  <si>
    <t xml:space="preserve">540995</t>
  </si>
  <si>
    <t xml:space="preserve">20972</t>
  </si>
  <si>
    <t xml:space="preserve">PINK CREAM FELT CRAFT TRINKET BOX </t>
  </si>
  <si>
    <t xml:space="preserve">541516</t>
  </si>
  <si>
    <t xml:space="preserve">22322</t>
  </si>
  <si>
    <t xml:space="preserve">BIRD DECORATION GREEN POLKADOT</t>
  </si>
  <si>
    <t xml:space="preserve">541711</t>
  </si>
  <si>
    <t xml:space="preserve">22245</t>
  </si>
  <si>
    <t xml:space="preserve">HOOK, 1 HANGER ,MAGIC GARDEN</t>
  </si>
  <si>
    <t xml:space="preserve">Netherlands</t>
  </si>
  <si>
    <t xml:space="preserve">541842</t>
  </si>
  <si>
    <t xml:space="preserve">21790</t>
  </si>
  <si>
    <t xml:space="preserve">VINTAGE SNAP CARDS</t>
  </si>
  <si>
    <t xml:space="preserve">541871</t>
  </si>
  <si>
    <t xml:space="preserve">48173C</t>
  </si>
  <si>
    <t xml:space="preserve">DOORMAT BLACK FLOCK </t>
  </si>
  <si>
    <t xml:space="preserve">541999</t>
  </si>
  <si>
    <t xml:space="preserve">85015</t>
  </si>
  <si>
    <t xml:space="preserve">SET OF 12  VINTAGE POSTCARD SET</t>
  </si>
  <si>
    <t xml:space="preserve">542278</t>
  </si>
  <si>
    <t xml:space="preserve">47594B</t>
  </si>
  <si>
    <t xml:space="preserve">SCOTTIES DESIGN WASHBAG</t>
  </si>
  <si>
    <t xml:space="preserve">542733</t>
  </si>
  <si>
    <t xml:space="preserve">15056BL</t>
  </si>
  <si>
    <t xml:space="preserve">542868</t>
  </si>
  <si>
    <t xml:space="preserve">20846</t>
  </si>
  <si>
    <t xml:space="preserve">ZINC HEART LATTICE T-LIGHT HOLDER</t>
  </si>
  <si>
    <t xml:space="preserve">542906</t>
  </si>
  <si>
    <t xml:space="preserve">21850</t>
  </si>
  <si>
    <t xml:space="preserve">BLUE  DIAMANTE PEN IN GIFT BOX</t>
  </si>
  <si>
    <t xml:space="preserve">543349</t>
  </si>
  <si>
    <t xml:space="preserve">21535</t>
  </si>
  <si>
    <t xml:space="preserve">RED RETROSPOT SMALL MILK JUG</t>
  </si>
  <si>
    <t xml:space="preserve">543713</t>
  </si>
  <si>
    <t xml:space="preserve">21239</t>
  </si>
  <si>
    <t xml:space="preserve">PINK  POLKADOT CUP</t>
  </si>
  <si>
    <t xml:space="preserve">47566</t>
  </si>
  <si>
    <t xml:space="preserve">PARTY BUNTING</t>
  </si>
  <si>
    <t xml:space="preserve">543973</t>
  </si>
  <si>
    <t xml:space="preserve">22699</t>
  </si>
  <si>
    <t xml:space="preserve">ROSES REGENCY TEACUP AND SAUCER </t>
  </si>
  <si>
    <t xml:space="preserve">544068</t>
  </si>
  <si>
    <t xml:space="preserve">22197</t>
  </si>
  <si>
    <t xml:space="preserve">SMALL POPCORN HOLDER</t>
  </si>
  <si>
    <t xml:space="preserve">544074</t>
  </si>
  <si>
    <t xml:space="preserve">21717</t>
  </si>
  <si>
    <t xml:space="preserve">EASTER TIN BUCKET</t>
  </si>
  <si>
    <t xml:space="preserve">544201</t>
  </si>
  <si>
    <t xml:space="preserve">84970s</t>
  </si>
  <si>
    <t xml:space="preserve">HANGING HEART ZINC T-LIGHT HOLDER</t>
  </si>
  <si>
    <t xml:space="preserve">544206</t>
  </si>
  <si>
    <t xml:space="preserve">72349b</t>
  </si>
  <si>
    <t xml:space="preserve">SET/6 PURPLE BUTTERFLY T-LIGHTS</t>
  </si>
  <si>
    <t xml:space="preserve">544467</t>
  </si>
  <si>
    <t xml:space="preserve">22178</t>
  </si>
  <si>
    <t xml:space="preserve">VICTORIAN GLASS HANGING T-LIGHT</t>
  </si>
  <si>
    <t xml:space="preserve">544476</t>
  </si>
  <si>
    <t xml:space="preserve">47591D</t>
  </si>
  <si>
    <t xml:space="preserve">PINK FAIRY CAKE CHILDRENS APRON</t>
  </si>
  <si>
    <t xml:space="preserve">22294</t>
  </si>
  <si>
    <t xml:space="preserve">HEART FILIGREE DOVE  SMALL</t>
  </si>
  <si>
    <t xml:space="preserve">544701</t>
  </si>
  <si>
    <t xml:space="preserve">22665</t>
  </si>
  <si>
    <t xml:space="preserve">RECIPE BOX BLUE SKETCHBOOK DESIGN</t>
  </si>
  <si>
    <t xml:space="preserve">544812</t>
  </si>
  <si>
    <t xml:space="preserve">22508</t>
  </si>
  <si>
    <t xml:space="preserve">DOORSTOP RETROSPOT HEART</t>
  </si>
  <si>
    <t xml:space="preserve">545227</t>
  </si>
  <si>
    <t xml:space="preserve">Finland</t>
  </si>
  <si>
    <t xml:space="preserve">22706</t>
  </si>
  <si>
    <t xml:space="preserve">WRAP COWBOYS  </t>
  </si>
  <si>
    <t xml:space="preserve">545468</t>
  </si>
  <si>
    <t xml:space="preserve">22989</t>
  </si>
  <si>
    <t xml:space="preserve">SET 2 PANTRY DESIGN TEA TOWELS</t>
  </si>
  <si>
    <t xml:space="preserve">546155</t>
  </si>
  <si>
    <t xml:space="preserve">82552</t>
  </si>
  <si>
    <t xml:space="preserve">WASHROOM METAL SIGN</t>
  </si>
  <si>
    <t xml:space="preserve">546406</t>
  </si>
  <si>
    <t xml:space="preserve">22366</t>
  </si>
  <si>
    <t xml:space="preserve">DOORMAT AIRMAIL </t>
  </si>
  <si>
    <t xml:space="preserve">546424</t>
  </si>
  <si>
    <t xml:space="preserve">22173</t>
  </si>
  <si>
    <t xml:space="preserve">METAL 4 HOOK HANGER FRENCH CHATEAU</t>
  </si>
  <si>
    <t xml:space="preserve">546538</t>
  </si>
  <si>
    <t xml:space="preserve">546688</t>
  </si>
  <si>
    <t xml:space="preserve">22789</t>
  </si>
  <si>
    <t xml:space="preserve">T-LIGHT HOLDER SWEETHEART HANGING</t>
  </si>
  <si>
    <t xml:space="preserve">546787</t>
  </si>
  <si>
    <t xml:space="preserve">21136</t>
  </si>
  <si>
    <t xml:space="preserve">PAINTED METAL PEARS ASSORTED</t>
  </si>
  <si>
    <t xml:space="preserve">547021</t>
  </si>
  <si>
    <t xml:space="preserve">22720</t>
  </si>
  <si>
    <t xml:space="preserve">SET OF 3 CAKE TINS PANTRY DESIGN </t>
  </si>
  <si>
    <t xml:space="preserve">547223</t>
  </si>
  <si>
    <t xml:space="preserve">21211</t>
  </si>
  <si>
    <t xml:space="preserve">SET OF 72 SKULL PAPER  DOILIES</t>
  </si>
  <si>
    <t xml:space="preserve">547248</t>
  </si>
  <si>
    <t xml:space="preserve">22072</t>
  </si>
  <si>
    <t xml:space="preserve">RED RETROSPOT TEA CUP AND SAUCER </t>
  </si>
  <si>
    <t xml:space="preserve">547358</t>
  </si>
  <si>
    <t xml:space="preserve">84558A</t>
  </si>
  <si>
    <t xml:space="preserve">3D DOG PICTURE PLAYING CARDS</t>
  </si>
  <si>
    <t xml:space="preserve">547359</t>
  </si>
  <si>
    <t xml:space="preserve">22066</t>
  </si>
  <si>
    <t xml:space="preserve">LOVE HEART TRINKET POT</t>
  </si>
  <si>
    <t xml:space="preserve">547651</t>
  </si>
  <si>
    <t xml:space="preserve">22467</t>
  </si>
  <si>
    <t xml:space="preserve">GUMBALL COAT RACK</t>
  </si>
  <si>
    <t xml:space="preserve">548162</t>
  </si>
  <si>
    <t xml:space="preserve">84997d</t>
  </si>
  <si>
    <t xml:space="preserve">CHILDRENS CUTLERY POLKADOT PINK</t>
  </si>
  <si>
    <t xml:space="preserve">548448</t>
  </si>
  <si>
    <t xml:space="preserve">22133</t>
  </si>
  <si>
    <t xml:space="preserve">PINK LOVE HEART SHAPE CUP</t>
  </si>
  <si>
    <t xml:space="preserve">548916</t>
  </si>
  <si>
    <t xml:space="preserve">22920</t>
  </si>
  <si>
    <t xml:space="preserve">HERB MARKER BASIL</t>
  </si>
  <si>
    <t xml:space="preserve">549241</t>
  </si>
  <si>
    <t xml:space="preserve">21929</t>
  </si>
  <si>
    <t xml:space="preserve">JUMBO BAG PINK VINTAGE PAISLEY</t>
  </si>
  <si>
    <t xml:space="preserve">549284</t>
  </si>
  <si>
    <t xml:space="preserve">22619</t>
  </si>
  <si>
    <t xml:space="preserve">SET OF 6 SOLDIER SKITTLES</t>
  </si>
  <si>
    <t xml:space="preserve">549586</t>
  </si>
  <si>
    <t xml:space="preserve">47559b</t>
  </si>
  <si>
    <t xml:space="preserve">TEA TIME OVEN GLOVE</t>
  </si>
  <si>
    <t xml:space="preserve">549695</t>
  </si>
  <si>
    <t xml:space="preserve">84751B</t>
  </si>
  <si>
    <t xml:space="preserve">549714</t>
  </si>
  <si>
    <t xml:space="preserve">22937</t>
  </si>
  <si>
    <t xml:space="preserve">BAKING MOULD CHOCOLATE CUPCAKES</t>
  </si>
  <si>
    <t xml:space="preserve">549915</t>
  </si>
  <si>
    <t xml:space="preserve">22677</t>
  </si>
  <si>
    <t xml:space="preserve">FRENCH BLUE METAL DOOR SIGN 2</t>
  </si>
  <si>
    <t xml:space="preserve">550213</t>
  </si>
  <si>
    <t xml:space="preserve">15056p</t>
  </si>
  <si>
    <t xml:space="preserve">EDWARDIAN PARASOL PINK</t>
  </si>
  <si>
    <t xml:space="preserve">550458</t>
  </si>
  <si>
    <t xml:space="preserve">85150</t>
  </si>
  <si>
    <t xml:space="preserve">LADIES &amp; GENTLEMEN METAL SIGN</t>
  </si>
  <si>
    <t xml:space="preserve">550469</t>
  </si>
  <si>
    <t xml:space="preserve">37413</t>
  </si>
  <si>
    <t xml:space="preserve">ICON MUG REVOLUTIONARY</t>
  </si>
  <si>
    <t xml:space="preserve">550618</t>
  </si>
  <si>
    <t xml:space="preserve">21981</t>
  </si>
  <si>
    <t xml:space="preserve">PACK OF 12 WOODLAND TISSUES </t>
  </si>
  <si>
    <t xml:space="preserve">550644</t>
  </si>
  <si>
    <t xml:space="preserve">22129</t>
  </si>
  <si>
    <t xml:space="preserve">PARTY CONES CANDY TREE DECORATION</t>
  </si>
  <si>
    <t xml:space="preserve">USA</t>
  </si>
  <si>
    <t xml:space="preserve">551339</t>
  </si>
  <si>
    <t xml:space="preserve">22233</t>
  </si>
  <si>
    <t xml:space="preserve">JIGSAW RABBIT AND BIRDHOUSE</t>
  </si>
  <si>
    <t xml:space="preserve">551656</t>
  </si>
  <si>
    <t xml:space="preserve">21242</t>
  </si>
  <si>
    <t xml:space="preserve">RED RETROSPOT PLATE </t>
  </si>
  <si>
    <t xml:space="preserve">552229</t>
  </si>
  <si>
    <t xml:space="preserve">85032D</t>
  </si>
  <si>
    <t xml:space="preserve">YULETIDE IMAGES GIFT WRAP SET</t>
  </si>
  <si>
    <t xml:space="preserve">552264</t>
  </si>
  <si>
    <t xml:space="preserve">22918</t>
  </si>
  <si>
    <t xml:space="preserve">HERB MARKER PARSLEY</t>
  </si>
  <si>
    <t xml:space="preserve">552281</t>
  </si>
  <si>
    <t xml:space="preserve">22907</t>
  </si>
  <si>
    <t xml:space="preserve">PACK OF 20 NAPKINS PANTRY DESIGN</t>
  </si>
  <si>
    <t xml:space="preserve">552306</t>
  </si>
  <si>
    <t xml:space="preserve">21874</t>
  </si>
  <si>
    <t xml:space="preserve">GIN AND TONIC MUG</t>
  </si>
  <si>
    <t xml:space="preserve">552446</t>
  </si>
  <si>
    <t xml:space="preserve">22729</t>
  </si>
  <si>
    <t xml:space="preserve">ALARM CLOCK BAKELIKE ORANGE</t>
  </si>
  <si>
    <t xml:space="preserve">552493</t>
  </si>
  <si>
    <t xml:space="preserve">22993</t>
  </si>
  <si>
    <t xml:space="preserve">SET OF 4 PANTRY JELLY MOULDS</t>
  </si>
  <si>
    <t xml:space="preserve">552514</t>
  </si>
  <si>
    <t xml:space="preserve">22251</t>
  </si>
  <si>
    <t xml:space="preserve">BIRDHOUSE DECORATION MAGIC GARDEN</t>
  </si>
  <si>
    <t xml:space="preserve">552548</t>
  </si>
  <si>
    <t xml:space="preserve">48187</t>
  </si>
  <si>
    <t xml:space="preserve">DOORMAT NEW ENGLAND</t>
  </si>
  <si>
    <t xml:space="preserve">552563</t>
  </si>
  <si>
    <t xml:space="preserve">21913</t>
  </si>
  <si>
    <t xml:space="preserve">VINTAGE SEASIDE JIGSAW PUZZLES</t>
  </si>
  <si>
    <t xml:space="preserve">C553533</t>
  </si>
  <si>
    <t xml:space="preserve">22167</t>
  </si>
  <si>
    <t xml:space="preserve"> OVAL WALL MIRROR DIAMANTE </t>
  </si>
  <si>
    <t xml:space="preserve">553546</t>
  </si>
  <si>
    <t xml:space="preserve">22914</t>
  </si>
  <si>
    <t xml:space="preserve">BLUE COAT RACK PARIS FASHION</t>
  </si>
  <si>
    <t xml:space="preserve">Australia</t>
  </si>
  <si>
    <t xml:space="preserve">553767</t>
  </si>
  <si>
    <t xml:space="preserve">47566b</t>
  </si>
  <si>
    <t xml:space="preserve">TEA TIME PARTY BUNTING</t>
  </si>
  <si>
    <t xml:space="preserve">554113</t>
  </si>
  <si>
    <t xml:space="preserve">23300</t>
  </si>
  <si>
    <t xml:space="preserve">GARDENERS KNEELING PAD CUP OF TEA </t>
  </si>
  <si>
    <t xml:space="preserve">554139</t>
  </si>
  <si>
    <t xml:space="preserve">22296</t>
  </si>
  <si>
    <t xml:space="preserve">HEART IVORY TRELLIS LARGE</t>
  </si>
  <si>
    <t xml:space="preserve">554147</t>
  </si>
  <si>
    <t xml:space="preserve">POST</t>
  </si>
  <si>
    <t xml:space="preserve">POSTAGE</t>
  </si>
  <si>
    <t xml:space="preserve">554770</t>
  </si>
  <si>
    <t xml:space="preserve">C2</t>
  </si>
  <si>
    <t xml:space="preserve">CARRIAGE</t>
  </si>
  <si>
    <t xml:space="preserve">555263</t>
  </si>
  <si>
    <t xml:space="preserve">21380</t>
  </si>
  <si>
    <t xml:space="preserve">WOODEN HAPPY BIRTHDAY GARLAND</t>
  </si>
  <si>
    <t xml:space="preserve">555282</t>
  </si>
  <si>
    <t xml:space="preserve">22627</t>
  </si>
  <si>
    <t xml:space="preserve">MINT KITCHEN SCALES</t>
  </si>
  <si>
    <t xml:space="preserve">Germany</t>
  </si>
  <si>
    <t xml:space="preserve">555284</t>
  </si>
  <si>
    <t xml:space="preserve">72741</t>
  </si>
  <si>
    <t xml:space="preserve">GRAND CHOCOLATECANDLE</t>
  </si>
  <si>
    <t xml:space="preserve">555343</t>
  </si>
  <si>
    <t xml:space="preserve">22319</t>
  </si>
  <si>
    <t xml:space="preserve">HAIRCLIPS FORTIES FABRIC ASSORTED</t>
  </si>
  <si>
    <t xml:space="preserve">555509</t>
  </si>
  <si>
    <t xml:space="preserve">21658</t>
  </si>
  <si>
    <t xml:space="preserve">GLASS  BEURRE DISH</t>
  </si>
  <si>
    <t xml:space="preserve">555510</t>
  </si>
  <si>
    <t xml:space="preserve">84637</t>
  </si>
  <si>
    <t xml:space="preserve">KITCHEN FLOWER POTS WALL PLAQUE</t>
  </si>
  <si>
    <t xml:space="preserve">555722</t>
  </si>
  <si>
    <t xml:space="preserve">23167</t>
  </si>
  <si>
    <t xml:space="preserve">SMALL CERAMIC TOP STORAGE JAR </t>
  </si>
  <si>
    <t xml:space="preserve">556087</t>
  </si>
  <si>
    <t xml:space="preserve">22379</t>
  </si>
  <si>
    <t xml:space="preserve">RECYCLING BAG RETROSPOT </t>
  </si>
  <si>
    <t xml:space="preserve">556108</t>
  </si>
  <si>
    <t xml:space="preserve">556125</t>
  </si>
  <si>
    <t xml:space="preserve">22913</t>
  </si>
  <si>
    <t xml:space="preserve">RED COAT RACK PARIS FASHION</t>
  </si>
  <si>
    <t xml:space="preserve">556284</t>
  </si>
  <si>
    <t xml:space="preserve">556891</t>
  </si>
  <si>
    <t xml:space="preserve">23287</t>
  </si>
  <si>
    <t xml:space="preserve">RED VINTAGE SPOT BEAKER</t>
  </si>
  <si>
    <t xml:space="preserve">557136</t>
  </si>
  <si>
    <t xml:space="preserve">23108</t>
  </si>
  <si>
    <t xml:space="preserve">SET OF 10 LED DOLLY LIGHTS</t>
  </si>
  <si>
    <t xml:space="preserve">557595</t>
  </si>
  <si>
    <t xml:space="preserve">22960</t>
  </si>
  <si>
    <t xml:space="preserve">JAM MAKING SET WITH JARS</t>
  </si>
  <si>
    <t xml:space="preserve">557759</t>
  </si>
  <si>
    <t xml:space="preserve">20984</t>
  </si>
  <si>
    <t xml:space="preserve">12 PENCILS TALL TUBE POSY</t>
  </si>
  <si>
    <t xml:space="preserve">557782</t>
  </si>
  <si>
    <t xml:space="preserve">22252</t>
  </si>
  <si>
    <t xml:space="preserve">BIRDCAGE DECORATION TEALIGHT HOLDER</t>
  </si>
  <si>
    <t xml:space="preserve">558089</t>
  </si>
  <si>
    <t xml:space="preserve">Switzerland</t>
  </si>
  <si>
    <t xml:space="preserve">558119</t>
  </si>
  <si>
    <t xml:space="preserve">85114b</t>
  </si>
  <si>
    <t xml:space="preserve">IVORY ENCHANTED FOREST PLACEMAT</t>
  </si>
  <si>
    <t xml:space="preserve">558232</t>
  </si>
  <si>
    <t xml:space="preserve">22169</t>
  </si>
  <si>
    <t xml:space="preserve">FAMILY ALBUM WHITE PICTURE FRAME</t>
  </si>
  <si>
    <t xml:space="preserve">558384</t>
  </si>
  <si>
    <t xml:space="preserve">558475</t>
  </si>
  <si>
    <t xml:space="preserve">16225</t>
  </si>
  <si>
    <t xml:space="preserve">RATTLE SNAKE EGGS</t>
  </si>
  <si>
    <t xml:space="preserve">558705</t>
  </si>
  <si>
    <t xml:space="preserve">21386</t>
  </si>
  <si>
    <t xml:space="preserve">IVORY HANGING DECORATION  EGG</t>
  </si>
  <si>
    <t xml:space="preserve">558770</t>
  </si>
  <si>
    <t xml:space="preserve">23171</t>
  </si>
  <si>
    <t xml:space="preserve">REGENCY TEA PLATE GREEN </t>
  </si>
  <si>
    <t xml:space="preserve">559052</t>
  </si>
  <si>
    <t xml:space="preserve">22246</t>
  </si>
  <si>
    <t xml:space="preserve">MAGIC GARDEN FELT GARLAND </t>
  </si>
  <si>
    <t xml:space="preserve">559055</t>
  </si>
  <si>
    <t xml:space="preserve">22975</t>
  </si>
  <si>
    <t xml:space="preserve">SPACEBOY CHILDRENS EGG CUP</t>
  </si>
  <si>
    <t xml:space="preserve">559124</t>
  </si>
  <si>
    <t xml:space="preserve">22698</t>
  </si>
  <si>
    <t xml:space="preserve">PINK REGENCY TEACUP AND SAUCER</t>
  </si>
  <si>
    <t xml:space="preserve">559134</t>
  </si>
  <si>
    <t xml:space="preserve">23291</t>
  </si>
  <si>
    <t xml:space="preserve">DOLLY GIRL CHILDRENS CUP</t>
  </si>
  <si>
    <t xml:space="preserve">559155</t>
  </si>
  <si>
    <t xml:space="preserve">559165</t>
  </si>
  <si>
    <t xml:space="preserve">37489D</t>
  </si>
  <si>
    <t xml:space="preserve">PINK/GREEN FLOWER DESIGN BIG MUG</t>
  </si>
  <si>
    <t xml:space="preserve">559170</t>
  </si>
  <si>
    <t xml:space="preserve">20723</t>
  </si>
  <si>
    <t xml:space="preserve">STRAWBERRY CHARLOTTE BAG</t>
  </si>
  <si>
    <t xml:space="preserve">559174</t>
  </si>
  <si>
    <t xml:space="preserve">21932</t>
  </si>
  <si>
    <t xml:space="preserve">SCANDINAVIAN PAISLEY PICNIC BAG</t>
  </si>
  <si>
    <t xml:space="preserve">559362</t>
  </si>
  <si>
    <t xml:space="preserve">22302</t>
  </si>
  <si>
    <t xml:space="preserve">COFFEE MUG PEARS  DESIGN</t>
  </si>
  <si>
    <t xml:space="preserve">559686</t>
  </si>
  <si>
    <t xml:space="preserve">21791</t>
  </si>
  <si>
    <t xml:space="preserve">VINTAGE HEADS AND TAILS CARD GAME </t>
  </si>
  <si>
    <t xml:space="preserve">559693</t>
  </si>
  <si>
    <t xml:space="preserve">22328</t>
  </si>
  <si>
    <t xml:space="preserve">ROUND SNACK BOXES SET OF 4 FRUITS </t>
  </si>
  <si>
    <t xml:space="preserve">84692</t>
  </si>
  <si>
    <t xml:space="preserve">BOX OF 24 COCKTAIL PARASOLS</t>
  </si>
  <si>
    <t xml:space="preserve">559814</t>
  </si>
  <si>
    <t xml:space="preserve">21238</t>
  </si>
  <si>
    <t xml:space="preserve">RED RETROSPOT CUP</t>
  </si>
  <si>
    <t xml:space="preserve">559928</t>
  </si>
  <si>
    <t xml:space="preserve">21199</t>
  </si>
  <si>
    <t xml:space="preserve">PINK  HEART CONFETTI IN TUBE</t>
  </si>
  <si>
    <t xml:space="preserve">560047</t>
  </si>
  <si>
    <t xml:space="preserve">21467</t>
  </si>
  <si>
    <t xml:space="preserve">CHERRY CROCHET FOOD COVER</t>
  </si>
  <si>
    <t xml:space="preserve">560229</t>
  </si>
  <si>
    <t xml:space="preserve">560290</t>
  </si>
  <si>
    <t xml:space="preserve">22077</t>
  </si>
  <si>
    <t xml:space="preserve">6 RIBBONS RUSTIC CHARM</t>
  </si>
  <si>
    <t xml:space="preserve">560291</t>
  </si>
  <si>
    <t xml:space="preserve">84997a</t>
  </si>
  <si>
    <t xml:space="preserve">CHILDRENS CUTLERY POLKADOT GREEN </t>
  </si>
  <si>
    <t xml:space="preserve">560410</t>
  </si>
  <si>
    <t xml:space="preserve">23232</t>
  </si>
  <si>
    <t xml:space="preserve">WRAP VINTAGE LEAF DESIGN</t>
  </si>
  <si>
    <t xml:space="preserve">560504</t>
  </si>
  <si>
    <t xml:space="preserve">21749</t>
  </si>
  <si>
    <t xml:space="preserve">LARGE RED RETROSPOT WINDMILL</t>
  </si>
  <si>
    <t xml:space="preserve">560590</t>
  </si>
  <si>
    <t xml:space="preserve">23290</t>
  </si>
  <si>
    <t xml:space="preserve">SPACEBOY CHILDRENS BOWL</t>
  </si>
  <si>
    <t xml:space="preserve">560773</t>
  </si>
  <si>
    <t xml:space="preserve">22383</t>
  </si>
  <si>
    <t xml:space="preserve">LUNCH BAG SUKI DESIGN </t>
  </si>
  <si>
    <t xml:space="preserve">560926</t>
  </si>
  <si>
    <t xml:space="preserve">23344</t>
  </si>
  <si>
    <t xml:space="preserve">JUMBO BAG 50'S CHRISTMAS </t>
  </si>
  <si>
    <t xml:space="preserve">560937</t>
  </si>
  <si>
    <t xml:space="preserve">22546</t>
  </si>
  <si>
    <t xml:space="preserve">MINI JIGSAW PURDEY</t>
  </si>
  <si>
    <t xml:space="preserve">560938</t>
  </si>
  <si>
    <t xml:space="preserve">23168</t>
  </si>
  <si>
    <t xml:space="preserve">CLASSIC CAFE SUGAR DISPENSER</t>
  </si>
  <si>
    <t xml:space="preserve">561113</t>
  </si>
  <si>
    <t xml:space="preserve">23298</t>
  </si>
  <si>
    <t xml:space="preserve">SPOTTY BUNTING</t>
  </si>
  <si>
    <t xml:space="preserve">561258</t>
  </si>
  <si>
    <t xml:space="preserve">22030</t>
  </si>
  <si>
    <t xml:space="preserve">SWALLOWS GREETING CARD</t>
  </si>
  <si>
    <t xml:space="preserve">561507</t>
  </si>
  <si>
    <t xml:space="preserve">22969</t>
  </si>
  <si>
    <t xml:space="preserve">HOMEMADE JAM SCENTED CANDLES</t>
  </si>
  <si>
    <t xml:space="preserve">561656</t>
  </si>
  <si>
    <t xml:space="preserve">23196</t>
  </si>
  <si>
    <t xml:space="preserve">VINTAGE LEAF MAGNETIC NOTEPAD</t>
  </si>
  <si>
    <t xml:space="preserve">561820</t>
  </si>
  <si>
    <t xml:space="preserve">561926</t>
  </si>
  <si>
    <t xml:space="preserve">23018</t>
  </si>
  <si>
    <t xml:space="preserve">LARGE APOTHECARY MEASURING JAR </t>
  </si>
  <si>
    <t xml:space="preserve">562101</t>
  </si>
  <si>
    <t xml:space="preserve">23436</t>
  </si>
  <si>
    <t xml:space="preserve">GIFT BAG LARGE VINTAGE CHRISTMAS</t>
  </si>
  <si>
    <t xml:space="preserve">C562375</t>
  </si>
  <si>
    <t xml:space="preserve">22945</t>
  </si>
  <si>
    <t xml:space="preserve">CHRISTMAS METAL TAGS ASSORTED </t>
  </si>
  <si>
    <t xml:space="preserve">562558</t>
  </si>
  <si>
    <t xml:space="preserve">562779</t>
  </si>
  <si>
    <t xml:space="preserve">22771</t>
  </si>
  <si>
    <t xml:space="preserve">CLEAR DRAWER KNOB ACRYLIC EDWARDIAN</t>
  </si>
  <si>
    <t xml:space="preserve">563369</t>
  </si>
  <si>
    <t xml:space="preserve">47504H</t>
  </si>
  <si>
    <t xml:space="preserve">ENGLISH ROSE SPIRIT LEVEL </t>
  </si>
  <si>
    <t xml:space="preserve">563557</t>
  </si>
  <si>
    <t xml:space="preserve">22615</t>
  </si>
  <si>
    <t xml:space="preserve">PACK OF 12 CIRCUS PARADE TISSUES </t>
  </si>
  <si>
    <t xml:space="preserve">564091</t>
  </si>
  <si>
    <t xml:space="preserve">16016</t>
  </si>
  <si>
    <t xml:space="preserve">LARGE CHINESE STYLE SCISSOR</t>
  </si>
  <si>
    <t xml:space="preserve">564221</t>
  </si>
  <si>
    <t xml:space="preserve">85123a</t>
  </si>
  <si>
    <t xml:space="preserve">564317</t>
  </si>
  <si>
    <t xml:space="preserve">23103</t>
  </si>
  <si>
    <t xml:space="preserve">JINGLE BELL HEART DECORATION</t>
  </si>
  <si>
    <t xml:space="preserve">564561</t>
  </si>
  <si>
    <t xml:space="preserve">23350</t>
  </si>
  <si>
    <t xml:space="preserve">ROLL WRAP VINTAGE SPOT </t>
  </si>
  <si>
    <t xml:space="preserve">564756</t>
  </si>
  <si>
    <t xml:space="preserve">84660C</t>
  </si>
  <si>
    <t xml:space="preserve">PINK STITCHED WALL CLOCK</t>
  </si>
  <si>
    <t xml:space="preserve">564857</t>
  </si>
  <si>
    <t xml:space="preserve">21936</t>
  </si>
  <si>
    <t xml:space="preserve">RED RETROSPOT PICNIC BAG</t>
  </si>
  <si>
    <t xml:space="preserve">565232</t>
  </si>
  <si>
    <t xml:space="preserve">22804</t>
  </si>
  <si>
    <t xml:space="preserve">CANDLEHOLDER PINK HANGING HEART</t>
  </si>
  <si>
    <t xml:space="preserve">22200</t>
  </si>
  <si>
    <t xml:space="preserve">FRYING PAN PINK POLKADOT</t>
  </si>
  <si>
    <t xml:space="preserve">565234</t>
  </si>
  <si>
    <t xml:space="preserve">23207</t>
  </si>
  <si>
    <t xml:space="preserve">LUNCH BAG ALPHABET DESIGN</t>
  </si>
  <si>
    <t xml:space="preserve">565445</t>
  </si>
  <si>
    <t xml:space="preserve">21035</t>
  </si>
  <si>
    <t xml:space="preserve">SET/2 RED RETROSPOT TEA TOWELS </t>
  </si>
  <si>
    <t xml:space="preserve">565457</t>
  </si>
  <si>
    <t xml:space="preserve">565471</t>
  </si>
  <si>
    <t xml:space="preserve">84987</t>
  </si>
  <si>
    <t xml:space="preserve">SET OF 36 TEATIME PAPER DOILIES</t>
  </si>
  <si>
    <t xml:space="preserve">565800</t>
  </si>
  <si>
    <t xml:space="preserve">22577</t>
  </si>
  <si>
    <t xml:space="preserve">WOODEN HEART CHRISTMAS SCANDINAVIAN</t>
  </si>
  <si>
    <t xml:space="preserve">565857</t>
  </si>
  <si>
    <t xml:space="preserve">22466</t>
  </si>
  <si>
    <t xml:space="preserve">FAIRY TALE COTTAGE NIGHT LIGHT</t>
  </si>
  <si>
    <t xml:space="preserve">565916</t>
  </si>
  <si>
    <t xml:space="preserve">565927</t>
  </si>
  <si>
    <t xml:space="preserve">22602</t>
  </si>
  <si>
    <t xml:space="preserve">RETROSPOT WOODEN HEART DECORATION</t>
  </si>
  <si>
    <t xml:space="preserve">566123</t>
  </si>
  <si>
    <t xml:space="preserve">21669</t>
  </si>
  <si>
    <t xml:space="preserve">BLUE STRIPE CERAMIC DRAWER KNOB</t>
  </si>
  <si>
    <t xml:space="preserve">566572</t>
  </si>
  <si>
    <t xml:space="preserve">566630</t>
  </si>
  <si>
    <t xml:space="preserve">22579</t>
  </si>
  <si>
    <t xml:space="preserve">WOODEN TREE CHRISTMAS SCANDINAVIAN</t>
  </si>
  <si>
    <t xml:space="preserve">566917</t>
  </si>
  <si>
    <t xml:space="preserve">22111</t>
  </si>
  <si>
    <t xml:space="preserve">SCOTTIE DOG HOT WATER BOTTLE</t>
  </si>
  <si>
    <t xml:space="preserve">567206</t>
  </si>
  <si>
    <t xml:space="preserve">85099C</t>
  </si>
  <si>
    <t xml:space="preserve">JUMBO  BAG BAROQUE BLACK WHITE</t>
  </si>
  <si>
    <t xml:space="preserve">567616</t>
  </si>
  <si>
    <t xml:space="preserve">567622</t>
  </si>
  <si>
    <t xml:space="preserve">22282</t>
  </si>
  <si>
    <t xml:space="preserve">12 EGG HOUSE PAINTED WOOD</t>
  </si>
  <si>
    <t xml:space="preserve">567662</t>
  </si>
  <si>
    <t xml:space="preserve">22075</t>
  </si>
  <si>
    <t xml:space="preserve">6 RIBBONS ELEGANT CHRISTMAS </t>
  </si>
  <si>
    <t xml:space="preserve">567670</t>
  </si>
  <si>
    <t xml:space="preserve">22673</t>
  </si>
  <si>
    <t xml:space="preserve">FRENCH GARDEN SIGN BLUE METAL</t>
  </si>
  <si>
    <t xml:space="preserve">567972</t>
  </si>
  <si>
    <t xml:space="preserve">21892</t>
  </si>
  <si>
    <t xml:space="preserve">TRADITIONAL WOODEN CATCH CUP GAME </t>
  </si>
  <si>
    <t xml:space="preserve">568048</t>
  </si>
  <si>
    <t xml:space="preserve">23358</t>
  </si>
  <si>
    <t xml:space="preserve">HOT STUFF HOT WATER BOTTLE</t>
  </si>
  <si>
    <t xml:space="preserve">568057</t>
  </si>
  <si>
    <t xml:space="preserve">568080</t>
  </si>
  <si>
    <t xml:space="preserve">44236</t>
  </si>
  <si>
    <t xml:space="preserve">568158</t>
  </si>
  <si>
    <t xml:space="preserve">20749</t>
  </si>
  <si>
    <t xml:space="preserve">ASSORTED COLOUR MINI CASES</t>
  </si>
  <si>
    <t xml:space="preserve">568310</t>
  </si>
  <si>
    <t xml:space="preserve">23198</t>
  </si>
  <si>
    <t xml:space="preserve">PANTRY MAGNETIC  SHOPPING LIST</t>
  </si>
  <si>
    <t xml:space="preserve">568916</t>
  </si>
  <si>
    <t xml:space="preserve">23322</t>
  </si>
  <si>
    <t xml:space="preserve">LARGE WHITE HEART OF WICKER</t>
  </si>
  <si>
    <t xml:space="preserve">568945</t>
  </si>
  <si>
    <t xml:space="preserve">569220</t>
  </si>
  <si>
    <t xml:space="preserve">21914</t>
  </si>
  <si>
    <t xml:space="preserve">BLUE HARMONICA IN BOX </t>
  </si>
  <si>
    <t xml:space="preserve">569406</t>
  </si>
  <si>
    <t xml:space="preserve">21509</t>
  </si>
  <si>
    <t xml:space="preserve">COWBOYS AND INDIANS BIRTHDAY CARD </t>
  </si>
  <si>
    <t xml:space="preserve">569545</t>
  </si>
  <si>
    <t xml:space="preserve">22337</t>
  </si>
  <si>
    <t xml:space="preserve">ANGEL DECORATION PAINTED ZINC </t>
  </si>
  <si>
    <t xml:space="preserve">569739</t>
  </si>
  <si>
    <t xml:space="preserve">23268</t>
  </si>
  <si>
    <t xml:space="preserve">SET OF 2 CERAMIC CHRISTMAS REINDEER</t>
  </si>
  <si>
    <t xml:space="preserve">569898</t>
  </si>
  <si>
    <t xml:space="preserve">22468</t>
  </si>
  <si>
    <t xml:space="preserve">BABUSHKA LIGHTS STRING OF 10</t>
  </si>
  <si>
    <t xml:space="preserve">570008</t>
  </si>
  <si>
    <t xml:space="preserve">570030</t>
  </si>
  <si>
    <t xml:space="preserve">22432</t>
  </si>
  <si>
    <t xml:space="preserve">WATERING CAN PINK BUNNY</t>
  </si>
  <si>
    <t xml:space="preserve">570087</t>
  </si>
  <si>
    <t xml:space="preserve">84997b</t>
  </si>
  <si>
    <t xml:space="preserve">CHILDRENS CUTLERY RETROSPOT RED </t>
  </si>
  <si>
    <t xml:space="preserve">570187</t>
  </si>
  <si>
    <t xml:space="preserve">35471D</t>
  </si>
  <si>
    <t xml:space="preserve">SET OF 3 BIRD LIGHT PINK FEATHER </t>
  </si>
  <si>
    <t xml:space="preserve">570293</t>
  </si>
  <si>
    <t xml:space="preserve">23399</t>
  </si>
  <si>
    <t xml:space="preserve">HOME SWEET HOME HANGING HEART</t>
  </si>
  <si>
    <t xml:space="preserve">570521</t>
  </si>
  <si>
    <t xml:space="preserve">23356</t>
  </si>
  <si>
    <t xml:space="preserve">LOVE HOT WATER BOTTLE</t>
  </si>
  <si>
    <t xml:space="preserve">571105</t>
  </si>
  <si>
    <t xml:space="preserve">85066</t>
  </si>
  <si>
    <t xml:space="preserve">CREAM SWEETHEART MINI CHEST</t>
  </si>
  <si>
    <t xml:space="preserve">571239</t>
  </si>
  <si>
    <t xml:space="preserve">23229</t>
  </si>
  <si>
    <t xml:space="preserve">VINTAGE DONKEY TAIL GAME </t>
  </si>
  <si>
    <t xml:space="preserve">Singapore</t>
  </si>
  <si>
    <t xml:space="preserve">571243</t>
  </si>
  <si>
    <t xml:space="preserve">23388</t>
  </si>
  <si>
    <t xml:space="preserve">WOODLAND MINI BACKPACK</t>
  </si>
  <si>
    <t xml:space="preserve">571290</t>
  </si>
  <si>
    <t xml:space="preserve">84029G</t>
  </si>
  <si>
    <t xml:space="preserve">KNITTED UNION FLAG HOT WATER BOTTLE</t>
  </si>
  <si>
    <t xml:space="preserve">571308</t>
  </si>
  <si>
    <t xml:space="preserve">21915</t>
  </si>
  <si>
    <t xml:space="preserve">RED  HARMONICA IN BOX </t>
  </si>
  <si>
    <t xml:space="preserve">571475</t>
  </si>
  <si>
    <t xml:space="preserve">21703</t>
  </si>
  <si>
    <t xml:space="preserve">BAG 125g SWIRLY MARBLES</t>
  </si>
  <si>
    <t xml:space="preserve">571601</t>
  </si>
  <si>
    <t xml:space="preserve">21587</t>
  </si>
  <si>
    <t xml:space="preserve">COSY HOUR GIANT TUBE MATCHES</t>
  </si>
  <si>
    <t xml:space="preserve">571653</t>
  </si>
  <si>
    <t xml:space="preserve">23531</t>
  </si>
  <si>
    <t xml:space="preserve">WALL ART BIG LOVE </t>
  </si>
  <si>
    <t xml:space="preserve">571676</t>
  </si>
  <si>
    <t xml:space="preserve">21485</t>
  </si>
  <si>
    <t xml:space="preserve">RETROSPOT HEART HOT WATER BOTTLE</t>
  </si>
  <si>
    <t xml:space="preserve">572035</t>
  </si>
  <si>
    <t xml:space="preserve">21559</t>
  </si>
  <si>
    <t xml:space="preserve">STRAWBERRY LUNCH BOX WITH CUTLERY</t>
  </si>
  <si>
    <t xml:space="preserve">572063</t>
  </si>
  <si>
    <t xml:space="preserve">572284</t>
  </si>
  <si>
    <t xml:space="preserve">572291</t>
  </si>
  <si>
    <t xml:space="preserve">21823</t>
  </si>
  <si>
    <t xml:space="preserve">PAINTED METAL HEART WITH HOLLY BELL</t>
  </si>
  <si>
    <t xml:space="preserve">572312</t>
  </si>
  <si>
    <t xml:space="preserve">572330</t>
  </si>
  <si>
    <t xml:space="preserve">22433</t>
  </si>
  <si>
    <t xml:space="preserve">WATERING CAN GREEN DINOSAUR</t>
  </si>
  <si>
    <t xml:space="preserve">572552</t>
  </si>
  <si>
    <t xml:space="preserve">51014L</t>
  </si>
  <si>
    <t xml:space="preserve">FEATHER PEN,LIGHT PINK</t>
  </si>
  <si>
    <t xml:space="preserve">572769</t>
  </si>
  <si>
    <t xml:space="preserve">22633</t>
  </si>
  <si>
    <t xml:space="preserve">HAND WARMER UNION JACK</t>
  </si>
  <si>
    <t xml:space="preserve">572846</t>
  </si>
  <si>
    <t xml:space="preserve">23319</t>
  </si>
  <si>
    <t xml:space="preserve">BOX OF 6 MINI 50'S CRACKERS</t>
  </si>
  <si>
    <t xml:space="preserve">572867</t>
  </si>
  <si>
    <t xml:space="preserve">VINTAGE CHRISTMAS GIFT BAG LARGE </t>
  </si>
  <si>
    <t xml:space="preserve">573116</t>
  </si>
  <si>
    <t xml:space="preserve">23163</t>
  </si>
  <si>
    <t xml:space="preserve">REGENCY SUGAR TONGS</t>
  </si>
  <si>
    <t xml:space="preserve">573273</t>
  </si>
  <si>
    <t xml:space="preserve">23497</t>
  </si>
  <si>
    <t xml:space="preserve">CLASSIC CHROME BICYCLE BELL </t>
  </si>
  <si>
    <t xml:space="preserve">573300</t>
  </si>
  <si>
    <t xml:space="preserve">85035C</t>
  </si>
  <si>
    <t xml:space="preserve">ROSE 3 WICK MORRIS BOX CANDLE</t>
  </si>
  <si>
    <t xml:space="preserve">573323</t>
  </si>
  <si>
    <t xml:space="preserve">23197</t>
  </si>
  <si>
    <t xml:space="preserve">SKETCHBOOK MAGNETIC SHOPPING LIST</t>
  </si>
  <si>
    <t xml:space="preserve">23532</t>
  </si>
  <si>
    <t xml:space="preserve">WALL ART WORK REST AND PLAY  </t>
  </si>
  <si>
    <t xml:space="preserve">573362</t>
  </si>
  <si>
    <t xml:space="preserve">20712</t>
  </si>
  <si>
    <t xml:space="preserve">JUMBO BAG WOODLAND ANIMALS</t>
  </si>
  <si>
    <t xml:space="preserve">573426</t>
  </si>
  <si>
    <t xml:space="preserve">22726</t>
  </si>
  <si>
    <t xml:space="preserve">ALARM CLOCK BAKELIKE GREEN</t>
  </si>
  <si>
    <t xml:space="preserve">573511</t>
  </si>
  <si>
    <t xml:space="preserve">22725</t>
  </si>
  <si>
    <t xml:space="preserve">ALARM CLOCK BAKELIKE CHOCOLATE</t>
  </si>
  <si>
    <t xml:space="preserve">Iceland</t>
  </si>
  <si>
    <t xml:space="preserve">573543</t>
  </si>
  <si>
    <t xml:space="preserve">23408</t>
  </si>
  <si>
    <t xml:space="preserve">PHOTO FRAME LINEN AND LACE SMALL</t>
  </si>
  <si>
    <t xml:space="preserve">573580</t>
  </si>
  <si>
    <t xml:space="preserve">573585</t>
  </si>
  <si>
    <t xml:space="preserve">22995</t>
  </si>
  <si>
    <t xml:space="preserve">TRAVEL CARD WALLET SUKI</t>
  </si>
  <si>
    <t xml:space="preserve">90184c</t>
  </si>
  <si>
    <t xml:space="preserve">BLACK CHUNKY BEAD BRACELET W STRAP</t>
  </si>
  <si>
    <t xml:space="preserve">573748</t>
  </si>
  <si>
    <t xml:space="preserve">22271</t>
  </si>
  <si>
    <t xml:space="preserve">FELTCRAFT DOLL ROSIE</t>
  </si>
  <si>
    <t xml:space="preserve">573773</t>
  </si>
  <si>
    <t xml:space="preserve">22766</t>
  </si>
  <si>
    <t xml:space="preserve">PHOTO FRAME CORNICE</t>
  </si>
  <si>
    <t xml:space="preserve">574074</t>
  </si>
  <si>
    <t xml:space="preserve">23480</t>
  </si>
  <si>
    <t xml:space="preserve">MINI LIGHTS WOODLAND MUSHROOMS</t>
  </si>
  <si>
    <t xml:space="preserve">574075</t>
  </si>
  <si>
    <t xml:space="preserve">16169E</t>
  </si>
  <si>
    <t xml:space="preserve">WRAP 50'S  CHRISTMAS</t>
  </si>
  <si>
    <t xml:space="preserve">574270</t>
  </si>
  <si>
    <t xml:space="preserve">22621</t>
  </si>
  <si>
    <t xml:space="preserve">TRADITIONAL KNITTING NANCY</t>
  </si>
  <si>
    <t xml:space="preserve">574308</t>
  </si>
  <si>
    <t xml:space="preserve">574356</t>
  </si>
  <si>
    <t xml:space="preserve">574484</t>
  </si>
  <si>
    <t xml:space="preserve">85099B</t>
  </si>
  <si>
    <t xml:space="preserve">JUMBO BAG RED RETROSPOT</t>
  </si>
  <si>
    <t xml:space="preserve">574532</t>
  </si>
  <si>
    <t xml:space="preserve">22384</t>
  </si>
  <si>
    <t xml:space="preserve">LUNCH BAG PINK POLKADOT</t>
  </si>
  <si>
    <t xml:space="preserve">574587</t>
  </si>
  <si>
    <t xml:space="preserve">22961</t>
  </si>
  <si>
    <t xml:space="preserve">JAM MAKING SET PRINTED</t>
  </si>
  <si>
    <t xml:space="preserve">Channel Islands</t>
  </si>
  <si>
    <t xml:space="preserve">574714</t>
  </si>
  <si>
    <t xml:space="preserve">84596B</t>
  </si>
  <si>
    <t xml:space="preserve">SMALL DOLLY MIX DESIGN ORANGE BOWL</t>
  </si>
  <si>
    <t xml:space="preserve">574732</t>
  </si>
  <si>
    <t xml:space="preserve">574950</t>
  </si>
  <si>
    <t xml:space="preserve">84510A</t>
  </si>
  <si>
    <t xml:space="preserve">SET OF 4 ENGLISH ROSE COASTERS</t>
  </si>
  <si>
    <t xml:space="preserve">575138</t>
  </si>
  <si>
    <t xml:space="preserve">21430</t>
  </si>
  <si>
    <t xml:space="preserve">SET/3 RED GINGHAM ROSE STORAGE BOX</t>
  </si>
  <si>
    <t xml:space="preserve">575852</t>
  </si>
  <si>
    <t xml:space="preserve">22866</t>
  </si>
  <si>
    <t xml:space="preserve">HAND WARMER SCOTTY DOG DESIGN</t>
  </si>
  <si>
    <t xml:space="preserve">575930</t>
  </si>
  <si>
    <t xml:space="preserve">22639</t>
  </si>
  <si>
    <t xml:space="preserve">SET OF 4 NAPKIN CHARMS HEARTS</t>
  </si>
  <si>
    <t xml:space="preserve">575947</t>
  </si>
  <si>
    <t xml:space="preserve">22174</t>
  </si>
  <si>
    <t xml:space="preserve">PHOTO CUBE</t>
  </si>
  <si>
    <t xml:space="preserve">576176</t>
  </si>
  <si>
    <t xml:space="preserve">22992</t>
  </si>
  <si>
    <t xml:space="preserve">REVOLVER WOODEN RULER </t>
  </si>
  <si>
    <t xml:space="preserve">576189</t>
  </si>
  <si>
    <t xml:space="preserve">576328</t>
  </si>
  <si>
    <t xml:space="preserve">23311</t>
  </si>
  <si>
    <t xml:space="preserve">VINTAGE CHRISTMAS STOCKING </t>
  </si>
  <si>
    <t xml:space="preserve">576379</t>
  </si>
  <si>
    <t xml:space="preserve">22910</t>
  </si>
  <si>
    <t xml:space="preserve">PAPER CHAIN KIT VINTAGE CHRISTMAS</t>
  </si>
  <si>
    <t xml:space="preserve">576463</t>
  </si>
  <si>
    <t xml:space="preserve">20961</t>
  </si>
  <si>
    <t xml:space="preserve">STRAWBERRY BATH SPONGE </t>
  </si>
  <si>
    <t xml:space="preserve">576617</t>
  </si>
  <si>
    <t xml:space="preserve">22460</t>
  </si>
  <si>
    <t xml:space="preserve">EMBOSSED GLASS TEALIGHT HOLDER</t>
  </si>
  <si>
    <t xml:space="preserve">576618</t>
  </si>
  <si>
    <t xml:space="preserve">22391</t>
  </si>
  <si>
    <t xml:space="preserve">PAPERWEIGHT HOME SWEET HOME</t>
  </si>
  <si>
    <t xml:space="preserve">576660</t>
  </si>
  <si>
    <t xml:space="preserve">84078A</t>
  </si>
  <si>
    <t xml:space="preserve">SET/4 WHITE RETRO STORAGE CUBES </t>
  </si>
  <si>
    <t xml:space="preserve">576857</t>
  </si>
  <si>
    <t xml:space="preserve">21331</t>
  </si>
  <si>
    <t xml:space="preserve">MOROCCAN BEATEN METAL DISH LARGE</t>
  </si>
  <si>
    <t xml:space="preserve">576861</t>
  </si>
  <si>
    <t xml:space="preserve">21210</t>
  </si>
  <si>
    <t xml:space="preserve">SET OF 72 RETROSPOT PAPER  DOILIES</t>
  </si>
  <si>
    <t xml:space="preserve">577046</t>
  </si>
  <si>
    <t xml:space="preserve">21285</t>
  </si>
  <si>
    <t xml:space="preserve">RETROSPOT CANDLE  MEDIUM</t>
  </si>
  <si>
    <t xml:space="preserve">577155</t>
  </si>
  <si>
    <t xml:space="preserve">22144</t>
  </si>
  <si>
    <t xml:space="preserve">CHRISTMAS CRAFT LITTLE FRIENDS</t>
  </si>
  <si>
    <t xml:space="preserve">577171</t>
  </si>
  <si>
    <t xml:space="preserve">22479</t>
  </si>
  <si>
    <t xml:space="preserve">DAISY GARDEN MARKER</t>
  </si>
  <si>
    <t xml:space="preserve">577469</t>
  </si>
  <si>
    <t xml:space="preserve">22364</t>
  </si>
  <si>
    <t xml:space="preserve">GLASS JAR DIGESTIVE BISCUITS</t>
  </si>
  <si>
    <t xml:space="preserve">577613</t>
  </si>
  <si>
    <t xml:space="preserve">21985</t>
  </si>
  <si>
    <t xml:space="preserve">PACK OF 12 HEARTS DESIGN TISSUES </t>
  </si>
  <si>
    <t xml:space="preserve">577691</t>
  </si>
  <si>
    <t xml:space="preserve">577700</t>
  </si>
  <si>
    <t xml:space="preserve">21624</t>
  </si>
  <si>
    <t xml:space="preserve">VINTAGE UNION JACK DOORSTOP</t>
  </si>
  <si>
    <t xml:space="preserve">577768</t>
  </si>
  <si>
    <t xml:space="preserve">23424</t>
  </si>
  <si>
    <t xml:space="preserve">GINGHAM RECIPE BOOK BOX</t>
  </si>
  <si>
    <t xml:space="preserve">578067</t>
  </si>
  <si>
    <t xml:space="preserve">20914</t>
  </si>
  <si>
    <t xml:space="preserve">SET/5 RED RETROSPOT LID GLASS BOWLS</t>
  </si>
  <si>
    <t xml:space="preserve">578307</t>
  </si>
  <si>
    <t xml:space="preserve">578344</t>
  </si>
  <si>
    <t xml:space="preserve">23534</t>
  </si>
  <si>
    <t xml:space="preserve">WALL ART STOP FOR TEA </t>
  </si>
  <si>
    <t xml:space="preserve">578347</t>
  </si>
  <si>
    <t xml:space="preserve">22999</t>
  </si>
  <si>
    <t xml:space="preserve">TRAVEL CARD WALLET VINTAGE LEAF</t>
  </si>
  <si>
    <t xml:space="preserve">578369</t>
  </si>
  <si>
    <t xml:space="preserve">23452</t>
  </si>
  <si>
    <t xml:space="preserve">HEART MINI PORTRAIT FRAME</t>
  </si>
  <si>
    <t xml:space="preserve">578817</t>
  </si>
  <si>
    <t xml:space="preserve">84836</t>
  </si>
  <si>
    <t xml:space="preserve">ZINC METAL HEART DECORATION</t>
  </si>
  <si>
    <t xml:space="preserve">578844</t>
  </si>
  <si>
    <t xml:space="preserve">578936</t>
  </si>
  <si>
    <t xml:space="preserve">22697</t>
  </si>
  <si>
    <t xml:space="preserve">GREEN REGENCY TEACUP AND SAUCER</t>
  </si>
  <si>
    <t xml:space="preserve">578942</t>
  </si>
  <si>
    <t xml:space="preserve">35964</t>
  </si>
  <si>
    <t xml:space="preserve">FOLKART CLIP ON STARS</t>
  </si>
  <si>
    <t xml:space="preserve">579014</t>
  </si>
  <si>
    <t xml:space="preserve">22616</t>
  </si>
  <si>
    <t xml:space="preserve">PACK OF 12 LONDON TISSUES </t>
  </si>
  <si>
    <t xml:space="preserve">579143</t>
  </si>
  <si>
    <t xml:space="preserve">21615</t>
  </si>
  <si>
    <t xml:space="preserve">4 LAVENDER BOTANICAL DINNER CANDLES</t>
  </si>
  <si>
    <t xml:space="preserve">579147</t>
  </si>
  <si>
    <t xml:space="preserve">23321</t>
  </si>
  <si>
    <t xml:space="preserve">SMALL WHITE HEART OF WICKER</t>
  </si>
  <si>
    <t xml:space="preserve">579187</t>
  </si>
  <si>
    <t xml:space="preserve">22962</t>
  </si>
  <si>
    <t xml:space="preserve">JAM JAR WITH PINK LID</t>
  </si>
  <si>
    <t xml:space="preserve">22195</t>
  </si>
  <si>
    <t xml:space="preserve">LARGE HEART MEASURING SPOONS</t>
  </si>
  <si>
    <t xml:space="preserve">579291</t>
  </si>
  <si>
    <t xml:space="preserve">C579739</t>
  </si>
  <si>
    <t xml:space="preserve">22762</t>
  </si>
  <si>
    <t xml:space="preserve">CUPBOARD 3 DRAWER MA CAMPAGNE</t>
  </si>
  <si>
    <t xml:space="preserve">579777</t>
  </si>
  <si>
    <t xml:space="preserve">22816</t>
  </si>
  <si>
    <t xml:space="preserve">CARD MOTORBIKE SANTA</t>
  </si>
  <si>
    <t xml:space="preserve">579910</t>
  </si>
  <si>
    <t xml:space="preserve">22749</t>
  </si>
  <si>
    <t xml:space="preserve">FELTCRAFT PRINCESS CHARLOTTE DOLL</t>
  </si>
  <si>
    <t xml:space="preserve">580115</t>
  </si>
  <si>
    <t xml:space="preserve">22189</t>
  </si>
  <si>
    <t xml:space="preserve">CREAM HEART CARD HOLDER</t>
  </si>
  <si>
    <t xml:space="preserve">580124</t>
  </si>
  <si>
    <t xml:space="preserve">580279</t>
  </si>
  <si>
    <t xml:space="preserve">23580</t>
  </si>
  <si>
    <t xml:space="preserve">SNACK TRAY HAPPY FOREST  </t>
  </si>
  <si>
    <t xml:space="preserve">580308</t>
  </si>
  <si>
    <t xml:space="preserve">23517</t>
  </si>
  <si>
    <t xml:space="preserve">EMBROIDERED RIBBON REEL REBECCA </t>
  </si>
  <si>
    <t xml:space="preserve">580367</t>
  </si>
  <si>
    <t xml:space="preserve">580635</t>
  </si>
  <si>
    <t xml:space="preserve">23493</t>
  </si>
  <si>
    <t xml:space="preserve">VINTAGE DOILY TRAVEL SEWING KIT</t>
  </si>
  <si>
    <t xml:space="preserve">580688</t>
  </si>
  <si>
    <t xml:space="preserve">22083</t>
  </si>
  <si>
    <t xml:space="preserve">PAPER CHAIN KIT RETROSPOT</t>
  </si>
  <si>
    <t xml:space="preserve">580776</t>
  </si>
  <si>
    <t xml:space="preserve">23280</t>
  </si>
  <si>
    <t xml:space="preserve">FOLDING BUTTERFLY MIRROR HOT PINK </t>
  </si>
  <si>
    <t xml:space="preserve">580983</t>
  </si>
  <si>
    <t xml:space="preserve">85199S</t>
  </si>
  <si>
    <t xml:space="preserve">SMALL HANGING IVORY/RED WOOD BIRD</t>
  </si>
  <si>
    <t xml:space="preserve">581188</t>
  </si>
  <si>
    <t xml:space="preserve">22845</t>
  </si>
  <si>
    <t xml:space="preserve">VINTAGE CREAM CAT FOOD CONTAINER</t>
  </si>
  <si>
    <t xml:space="preserve">581191</t>
  </si>
  <si>
    <t xml:space="preserve">22730</t>
  </si>
  <si>
    <t xml:space="preserve">ALARM CLOCK BAKELIKE IVORY</t>
  </si>
  <si>
    <t xml:space="preserve">581217</t>
  </si>
  <si>
    <t xml:space="preserve">35953</t>
  </si>
  <si>
    <t xml:space="preserve">FOLKART STAR CHRISTMAS DECORATIONS</t>
  </si>
  <si>
    <t xml:space="preserve">581219</t>
  </si>
  <si>
    <t xml:space="preserve">85025B</t>
  </si>
  <si>
    <t xml:space="preserve">EAU DE NILE HEART SHAPE PHOTO FRAME</t>
  </si>
  <si>
    <t xml:space="preserve">581256</t>
  </si>
  <si>
    <t xml:space="preserve">84030e</t>
  </si>
  <si>
    <t xml:space="preserve">ENGLISH ROSE HOT WATER BOTTLE</t>
  </si>
  <si>
    <t xml:space="preserve">581578</t>
  </si>
  <si>
    <t xml:space="preserve">Chỉ số</t>
  </si>
  <si>
    <t xml:space="preserve">Giá trị</t>
  </si>
  <si>
    <t xml:space="preserve">Số dòng mô tả có khoảng trắng thừa</t>
  </si>
  <si>
    <t xml:space="preserve">Số dòng huỷ (Cancel)</t>
  </si>
  <si>
    <t xml:space="preserve">Số dòng khách vãng lai (Guest)</t>
  </si>
  <si>
    <t xml:space="preserve">Số mã hàng gốc có chữ thường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</si>
</sst>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3" style="0" width="38"/>
    <col collapsed="false" customWidth="true" hidden="false" outlineLevel="0" max="5" min="5" style="0" width="17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38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40"/>
    <col collapsed="false" customWidth="true" hidden="false" outlineLevel="0" max="16" min="16" style="0" width="16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  <c r="D2" s="0" t="n">
        <v>6</v>
      </c>
      <c r="E2" s="6" t="n">
        <v>40513.48125</v>
      </c>
      <c r="F2" s="0" t="n">
        <v>4.25</v>
      </c>
      <c r="G2" s="0" t="n">
        <v>17850</v>
      </c>
      <c r="H2" s="0" t="s">
        <v>36</v>
      </c>
      <c r="I2" s="7" t="str">
        <f aca="false">UPPER(TRIM(B2))</f>
        <v>21730</v>
      </c>
      <c r="J2" s="7" t="str">
        <f aca="false">PROPER(TRIM(C2))</f>
        <v>Glass Star Frosted T-Light Holder</v>
      </c>
      <c r="K2" s="7" t="str">
        <f aca="false">SUBSTITUTE(SUBSTITUTE(SUBSTITUTE(H2,"EIRE","Ireland"),"RSA","South Africa"),"USA","United States")</f>
        <v>United Kingdom</v>
      </c>
      <c r="L2" s="7" t="str">
        <f aca="false">IF(LEFT(A2,1)="C","Cancel","Sale")</f>
        <v>Sale</v>
      </c>
      <c r="M2" s="7" t="str">
        <f aca="false">IF(G2="","Guest",REPLACE(G2,3,2,"**"))</f>
        <v>17**0</v>
      </c>
      <c r="N2" s="7" t="str">
        <f aca="false">_xlfn.CONCAT(A2,"-",I2)</f>
        <v>536406-21730</v>
      </c>
      <c r="O2" s="7" t="str">
        <f aca="false">LOWER(SUBSTITUTE(TRIM(C2)," ","-"))</f>
        <v>glass-star-frosted-t-light-holder</v>
      </c>
      <c r="P2" s="7" t="n">
        <f aca="false">IF(EXACT(C2,TRIM(C2)),0,1)</f>
        <v>0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39</v>
      </c>
      <c r="D3" s="0" t="n">
        <v>3</v>
      </c>
      <c r="E3" s="6" t="n">
        <v>40513.6055555556</v>
      </c>
      <c r="F3" s="0" t="n">
        <v>1.66</v>
      </c>
      <c r="H3" s="0" t="s">
        <v>36</v>
      </c>
      <c r="I3" s="7" t="str">
        <f aca="false">UPPER(TRIM(B3))</f>
        <v>84832</v>
      </c>
      <c r="J3" s="7" t="str">
        <f aca="false">PROPER(TRIM(C3))</f>
        <v>Zinc Willie Winkie Candle Stick</v>
      </c>
      <c r="K3" s="7" t="str">
        <f aca="false">SUBSTITUTE(SUBSTITUTE(SUBSTITUTE(H3,"EIRE","Ireland"),"RSA","South Africa"),"USA","United States")</f>
        <v>United Kingdom</v>
      </c>
      <c r="L3" s="7" t="str">
        <f aca="false">IF(LEFT(A3,1)="C","Cancel","Sale")</f>
        <v>Sale</v>
      </c>
      <c r="M3" s="7" t="str">
        <f aca="false">IF(G3="","Guest",REPLACE(G3,3,2,"**"))</f>
        <v>Guest</v>
      </c>
      <c r="N3" s="7" t="str">
        <f aca="false">_xlfn.CONCAT(A3,"-",I3)</f>
        <v>536544-84832</v>
      </c>
      <c r="O3" s="7" t="str">
        <f aca="false">LOWER(SUBSTITUTE(TRIM(C3)," ","-"))</f>
        <v>zinc-willie-winkie-candle-stick</v>
      </c>
      <c r="P3" s="7" t="n">
        <f aca="false">IF(EXACT(C3,TRIM(C3)),0,1)</f>
        <v>1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42</v>
      </c>
      <c r="D4" s="0" t="n">
        <v>4</v>
      </c>
      <c r="E4" s="6" t="n">
        <v>40513.7125</v>
      </c>
      <c r="F4" s="0" t="n">
        <v>2.51</v>
      </c>
      <c r="H4" s="0" t="s">
        <v>36</v>
      </c>
      <c r="I4" s="7" t="str">
        <f aca="false">UPPER(TRIM(B4))</f>
        <v>22791</v>
      </c>
      <c r="J4" s="7" t="str">
        <f aca="false">PROPER(TRIM(C4))</f>
        <v>T-Light Glass Fluted Antique</v>
      </c>
      <c r="K4" s="7" t="str">
        <f aca="false">SUBSTITUTE(SUBSTITUTE(SUBSTITUTE(H4,"EIRE","Ireland"),"RSA","South Africa"),"USA","United States")</f>
        <v>United Kingdom</v>
      </c>
      <c r="L4" s="7" t="str">
        <f aca="false">IF(LEFT(A4,1)="C","Cancel","Sale")</f>
        <v>Sale</v>
      </c>
      <c r="M4" s="7" t="str">
        <f aca="false">IF(G4="","Guest",REPLACE(G4,3,2,"**"))</f>
        <v>Guest</v>
      </c>
      <c r="N4" s="7" t="str">
        <f aca="false">_xlfn.CONCAT(A4,"-",I4)</f>
        <v>536592-22791</v>
      </c>
      <c r="O4" s="7" t="str">
        <f aca="false">LOWER(SUBSTITUTE(TRIM(C4)," ","-"))</f>
        <v>t-light-glass-fluted-antique</v>
      </c>
      <c r="P4" s="7" t="n">
        <f aca="false">IF(EXACT(C4,TRIM(C4)),0,1)</f>
        <v>0</v>
      </c>
    </row>
    <row r="5" customFormat="false" ht="15" hidden="false" customHeight="false" outlineLevel="0" collapsed="false">
      <c r="A5" s="0" t="s">
        <v>43</v>
      </c>
      <c r="B5" s="0" t="s">
        <v>44</v>
      </c>
      <c r="C5" s="0" t="s">
        <v>45</v>
      </c>
      <c r="D5" s="0" t="n">
        <v>1</v>
      </c>
      <c r="E5" s="6" t="n">
        <v>40514.6569444445</v>
      </c>
      <c r="F5" s="0" t="n">
        <v>2.25</v>
      </c>
      <c r="G5" s="0" t="n">
        <v>15574</v>
      </c>
      <c r="H5" s="0" t="s">
        <v>36</v>
      </c>
      <c r="I5" s="7" t="str">
        <f aca="false">UPPER(TRIM(B5))</f>
        <v>21578</v>
      </c>
      <c r="J5" s="7" t="str">
        <f aca="false">PROPER(TRIM(C5))</f>
        <v>Woodland Design Cotton Tote Bag</v>
      </c>
      <c r="K5" s="7" t="str">
        <f aca="false">SUBSTITUTE(SUBSTITUTE(SUBSTITUTE(H5,"EIRE","Ireland"),"RSA","South Africa"),"USA","United States")</f>
        <v>United Kingdom</v>
      </c>
      <c r="L5" s="7" t="str">
        <f aca="false">IF(LEFT(A5,1)="C","Cancel","Sale")</f>
        <v>Sale</v>
      </c>
      <c r="M5" s="7" t="str">
        <f aca="false">IF(G5="","Guest",REPLACE(G5,3,2,"**"))</f>
        <v>15**4</v>
      </c>
      <c r="N5" s="7" t="str">
        <f aca="false">_xlfn.CONCAT(A5,"-",I5)</f>
        <v>536796-21578</v>
      </c>
      <c r="O5" s="7" t="str">
        <f aca="false">LOWER(SUBSTITUTE(TRIM(C5)," ","-"))</f>
        <v>woodland-design-cotton-tote-bag</v>
      </c>
      <c r="P5" s="7" t="n">
        <f aca="false">IF(EXACT(C5,TRIM(C5)),0,1)</f>
        <v>1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s">
        <v>48</v>
      </c>
      <c r="D6" s="0" t="n">
        <v>2</v>
      </c>
      <c r="E6" s="6" t="n">
        <v>40515.4777777778</v>
      </c>
      <c r="F6" s="0" t="n">
        <v>12.72</v>
      </c>
      <c r="H6" s="0" t="s">
        <v>36</v>
      </c>
      <c r="I6" s="7" t="str">
        <f aca="false">UPPER(TRIM(B6))</f>
        <v>15056BL</v>
      </c>
      <c r="J6" s="7" t="str">
        <f aca="false">PROPER(TRIM(C6))</f>
        <v>Edwardian Parasol Black</v>
      </c>
      <c r="K6" s="7" t="str">
        <f aca="false">SUBSTITUTE(SUBSTITUTE(SUBSTITUTE(H6,"EIRE","Ireland"),"RSA","South Africa"),"USA","United States")</f>
        <v>United Kingdom</v>
      </c>
      <c r="L6" s="7" t="str">
        <f aca="false">IF(LEFT(A6,1)="C","Cancel","Sale")</f>
        <v>Sale</v>
      </c>
      <c r="M6" s="7" t="str">
        <f aca="false">IF(G6="","Guest",REPLACE(G6,3,2,"**"))</f>
        <v>Guest</v>
      </c>
      <c r="N6" s="7" t="str">
        <f aca="false">_xlfn.CONCAT(A6,"-",I6)</f>
        <v>536865-15056BL</v>
      </c>
      <c r="O6" s="7" t="str">
        <f aca="false">LOWER(SUBSTITUTE(TRIM(C6)," ","-"))</f>
        <v>edwardian-parasol-black</v>
      </c>
      <c r="P6" s="7" t="n">
        <f aca="false">IF(EXACT(C6,TRIM(C6)),0,1)</f>
        <v>0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s">
        <v>51</v>
      </c>
      <c r="D7" s="0" t="n">
        <v>-1</v>
      </c>
      <c r="E7" s="6" t="n">
        <v>40517.6138888889</v>
      </c>
      <c r="F7" s="0" t="n">
        <v>2.95</v>
      </c>
      <c r="G7" s="0" t="n">
        <v>14606</v>
      </c>
      <c r="H7" s="0" t="s">
        <v>36</v>
      </c>
      <c r="I7" s="7" t="str">
        <f aca="false">UPPER(TRIM(B7))</f>
        <v>21424</v>
      </c>
      <c r="J7" s="7" t="str">
        <f aca="false">PROPER(TRIM(C7))</f>
        <v>Woodland Storage Box Large</v>
      </c>
      <c r="K7" s="7" t="str">
        <f aca="false">SUBSTITUTE(SUBSTITUTE(SUBSTITUTE(H7,"EIRE","Ireland"),"RSA","South Africa"),"USA","United States")</f>
        <v>United Kingdom</v>
      </c>
      <c r="L7" s="7" t="str">
        <f aca="false">IF(LEFT(A7,1)="C","Cancel","Sale")</f>
        <v>Cancel</v>
      </c>
      <c r="M7" s="7" t="str">
        <f aca="false">IF(G7="","Guest",REPLACE(G7,3,2,"**"))</f>
        <v>14**6</v>
      </c>
      <c r="N7" s="7" t="str">
        <f aca="false">_xlfn.CONCAT(A7,"-",I7)</f>
        <v>C537203-21424</v>
      </c>
      <c r="O7" s="7" t="str">
        <f aca="false">LOWER(SUBSTITUTE(TRIM(C7)," ","-"))</f>
        <v>woodland-storage-box-large</v>
      </c>
      <c r="P7" s="7" t="n">
        <f aca="false">IF(EXACT(C7,TRIM(C7)),0,1)</f>
        <v>1</v>
      </c>
    </row>
    <row r="8" customFormat="false" ht="15" hidden="false" customHeight="false" outlineLevel="0" collapsed="false">
      <c r="A8" s="0" t="s">
        <v>52</v>
      </c>
      <c r="B8" s="0" t="s">
        <v>53</v>
      </c>
      <c r="C8" s="0" t="s">
        <v>54</v>
      </c>
      <c r="D8" s="0" t="n">
        <v>10</v>
      </c>
      <c r="E8" s="6" t="n">
        <v>40518.4222222222</v>
      </c>
      <c r="F8" s="0" t="n">
        <v>5.91</v>
      </c>
      <c r="H8" s="0" t="s">
        <v>36</v>
      </c>
      <c r="I8" s="7" t="str">
        <f aca="false">UPPER(TRIM(B8))</f>
        <v>22084</v>
      </c>
      <c r="J8" s="7" t="str">
        <f aca="false">PROPER(TRIM(C8))</f>
        <v>Paper Chain Kit Empire</v>
      </c>
      <c r="K8" s="7" t="str">
        <f aca="false">SUBSTITUTE(SUBSTITUTE(SUBSTITUTE(H8,"EIRE","Ireland"),"RSA","South Africa"),"USA","United States")</f>
        <v>United Kingdom</v>
      </c>
      <c r="L8" s="7" t="str">
        <f aca="false">IF(LEFT(A8,1)="C","Cancel","Sale")</f>
        <v>Sale</v>
      </c>
      <c r="M8" s="7" t="str">
        <f aca="false">IF(G8="","Guest",REPLACE(G8,3,2,"**"))</f>
        <v>Guest</v>
      </c>
      <c r="N8" s="7" t="str">
        <f aca="false">_xlfn.CONCAT(A8,"-",I8)</f>
        <v>537240-22084</v>
      </c>
      <c r="O8" s="7" t="str">
        <f aca="false">LOWER(SUBSTITUTE(TRIM(C8)," ","-"))</f>
        <v>paper-chain-kit-empire</v>
      </c>
      <c r="P8" s="7" t="n">
        <f aca="false">IF(EXACT(C8,TRIM(C8)),0,1)</f>
        <v>0</v>
      </c>
    </row>
    <row r="9" customFormat="false" ht="15" hidden="false" customHeight="false" outlineLevel="0" collapsed="false">
      <c r="A9" s="0" t="s">
        <v>55</v>
      </c>
      <c r="B9" s="0" t="s">
        <v>56</v>
      </c>
      <c r="C9" s="0" t="s">
        <v>57</v>
      </c>
      <c r="D9" s="0" t="n">
        <v>1</v>
      </c>
      <c r="E9" s="6" t="n">
        <v>40518.4763888889</v>
      </c>
      <c r="F9" s="0" t="n">
        <v>2.95</v>
      </c>
      <c r="G9" s="0" t="n">
        <v>15919</v>
      </c>
      <c r="H9" s="0" t="s">
        <v>36</v>
      </c>
      <c r="I9" s="7" t="str">
        <f aca="false">UPPER(TRIM(B9))</f>
        <v>22413</v>
      </c>
      <c r="J9" s="7" t="str">
        <f aca="false">PROPER(TRIM(C9))</f>
        <v>Metal Sign Take It Or Leave It</v>
      </c>
      <c r="K9" s="7" t="str">
        <f aca="false">SUBSTITUTE(SUBSTITUTE(SUBSTITUTE(H9,"EIRE","Ireland"),"RSA","South Africa"),"USA","United States")</f>
        <v>United Kingdom</v>
      </c>
      <c r="L9" s="7" t="str">
        <f aca="false">IF(LEFT(A9,1)="C","Cancel","Sale")</f>
        <v>Sale</v>
      </c>
      <c r="M9" s="7" t="str">
        <f aca="false">IF(G9="","Guest",REPLACE(G9,3,2,"**"))</f>
        <v>15**9</v>
      </c>
      <c r="N9" s="7" t="str">
        <f aca="false">_xlfn.CONCAT(A9,"-",I9)</f>
        <v>537265-22413</v>
      </c>
      <c r="O9" s="7" t="str">
        <f aca="false">LOWER(SUBSTITUTE(TRIM(C9)," ","-"))</f>
        <v>metal-sign-take-it-or-leave-it</v>
      </c>
      <c r="P9" s="7" t="n">
        <f aca="false">IF(EXACT(C9,TRIM(C9)),0,1)</f>
        <v>1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0" t="s">
        <v>60</v>
      </c>
      <c r="D10" s="0" t="n">
        <v>2</v>
      </c>
      <c r="E10" s="6" t="n">
        <v>40519.6444444444</v>
      </c>
      <c r="F10" s="0" t="n">
        <v>1.66</v>
      </c>
      <c r="H10" s="0" t="s">
        <v>36</v>
      </c>
      <c r="I10" s="7" t="str">
        <f aca="false">UPPER(TRIM(B10))</f>
        <v>22851</v>
      </c>
      <c r="J10" s="7" t="str">
        <f aca="false">PROPER(TRIM(C10))</f>
        <v>Set 20 Napkins Fairy Cakes Design</v>
      </c>
      <c r="K10" s="7" t="str">
        <f aca="false">SUBSTITUTE(SUBSTITUTE(SUBSTITUTE(H10,"EIRE","Ireland"),"RSA","South Africa"),"USA","United States")</f>
        <v>United Kingdom</v>
      </c>
      <c r="L10" s="7" t="str">
        <f aca="false">IF(LEFT(A10,1)="C","Cancel","Sale")</f>
        <v>Sale</v>
      </c>
      <c r="M10" s="7" t="str">
        <f aca="false">IF(G10="","Guest",REPLACE(G10,3,2,"**"))</f>
        <v>Guest</v>
      </c>
      <c r="N10" s="7" t="str">
        <f aca="false">_xlfn.CONCAT(A10,"-",I10)</f>
        <v>537638-22851</v>
      </c>
      <c r="O10" s="7" t="str">
        <f aca="false">LOWER(SUBSTITUTE(TRIM(C10)," ","-"))</f>
        <v>set-20-napkins-fairy-cakes-design</v>
      </c>
      <c r="P10" s="7" t="n">
        <f aca="false">IF(EXACT(C10,TRIM(C10)),0,1)</f>
        <v>1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n">
        <v>1</v>
      </c>
      <c r="E11" s="6" t="n">
        <v>40521.5472222222</v>
      </c>
      <c r="F11" s="0" t="n">
        <v>2.95</v>
      </c>
      <c r="G11" s="0" t="n">
        <v>16520</v>
      </c>
      <c r="H11" s="0" t="s">
        <v>36</v>
      </c>
      <c r="I11" s="7" t="str">
        <f aca="false">UPPER(TRIM(B11))</f>
        <v>22115</v>
      </c>
      <c r="J11" s="7" t="str">
        <f aca="false">PROPER(TRIM(C11))</f>
        <v>Metal Sign Empire Tea</v>
      </c>
      <c r="K11" s="7" t="str">
        <f aca="false">SUBSTITUTE(SUBSTITUTE(SUBSTITUTE(H11,"EIRE","Ireland"),"RSA","South Africa"),"USA","United States")</f>
        <v>United Kingdom</v>
      </c>
      <c r="L11" s="7" t="str">
        <f aca="false">IF(LEFT(A11,1)="C","Cancel","Sale")</f>
        <v>Sale</v>
      </c>
      <c r="M11" s="7" t="str">
        <f aca="false">IF(G11="","Guest",REPLACE(G11,3,2,"**"))</f>
        <v>16**0</v>
      </c>
      <c r="N11" s="7" t="str">
        <f aca="false">_xlfn.CONCAT(A11,"-",I11)</f>
        <v>538040-22115</v>
      </c>
      <c r="O11" s="7" t="str">
        <f aca="false">LOWER(SUBSTITUTE(TRIM(C11)," ","-"))</f>
        <v>metal-sign-empire-tea</v>
      </c>
      <c r="P11" s="7" t="n">
        <f aca="false">IF(EXACT(C11,TRIM(C11)),0,1)</f>
        <v>0</v>
      </c>
    </row>
    <row r="12" customFormat="false" ht="15" hidden="false" customHeight="false" outlineLevel="0" collapsed="false">
      <c r="A12" s="0" t="s">
        <v>64</v>
      </c>
      <c r="B12" s="0" t="s">
        <v>65</v>
      </c>
      <c r="C12" s="0" t="s">
        <v>66</v>
      </c>
      <c r="D12" s="0" t="n">
        <v>3</v>
      </c>
      <c r="E12" s="6" t="n">
        <v>40521.75625</v>
      </c>
      <c r="F12" s="0" t="n">
        <v>2.95</v>
      </c>
      <c r="G12" s="0" t="n">
        <v>17965</v>
      </c>
      <c r="H12" s="0" t="s">
        <v>36</v>
      </c>
      <c r="I12" s="7" t="str">
        <f aca="false">UPPER(TRIM(B12))</f>
        <v>85123A</v>
      </c>
      <c r="J12" s="7" t="str">
        <f aca="false">PROPER(TRIM(C12))</f>
        <v>White Hanging Heart T-Light Holder</v>
      </c>
      <c r="K12" s="7" t="str">
        <f aca="false">SUBSTITUTE(SUBSTITUTE(SUBSTITUTE(H12,"EIRE","Ireland"),"RSA","South Africa"),"USA","United States")</f>
        <v>United Kingdom</v>
      </c>
      <c r="L12" s="7" t="str">
        <f aca="false">IF(LEFT(A12,1)="C","Cancel","Sale")</f>
        <v>Sale</v>
      </c>
      <c r="M12" s="7" t="str">
        <f aca="false">IF(G12="","Guest",REPLACE(G12,3,2,"**"))</f>
        <v>17**5</v>
      </c>
      <c r="N12" s="7" t="str">
        <f aca="false">_xlfn.CONCAT(A12,"-",I12)</f>
        <v>538166-85123A</v>
      </c>
      <c r="O12" s="7" t="str">
        <f aca="false">LOWER(SUBSTITUTE(TRIM(C12)," ","-"))</f>
        <v>white-hanging-heart-t-light-holder</v>
      </c>
      <c r="P12" s="7" t="n">
        <f aca="false">IF(EXACT(C12,TRIM(C12)),0,1)</f>
        <v>0</v>
      </c>
    </row>
    <row r="13" customFormat="false" ht="15" hidden="false" customHeight="false" outlineLevel="0" collapsed="false">
      <c r="A13" s="0" t="s">
        <v>67</v>
      </c>
      <c r="B13" s="0" t="s">
        <v>68</v>
      </c>
      <c r="C13" s="0" t="s">
        <v>69</v>
      </c>
      <c r="D13" s="0" t="n">
        <v>10</v>
      </c>
      <c r="E13" s="6" t="n">
        <v>40522.575</v>
      </c>
      <c r="F13" s="0" t="n">
        <v>1.65</v>
      </c>
      <c r="G13" s="0" t="n">
        <v>12785</v>
      </c>
      <c r="H13" s="0" t="s">
        <v>70</v>
      </c>
      <c r="I13" s="7" t="str">
        <f aca="false">UPPER(TRIM(B13))</f>
        <v>20725</v>
      </c>
      <c r="J13" s="7" t="str">
        <f aca="false">PROPER(TRIM(C13))</f>
        <v>Lunch Bag Red Retrospot</v>
      </c>
      <c r="K13" s="7" t="str">
        <f aca="false">SUBSTITUTE(SUBSTITUTE(SUBSTITUTE(H13,"EIRE","Ireland"),"RSA","South Africa"),"USA","United States")</f>
        <v>Portugal</v>
      </c>
      <c r="L13" s="7" t="str">
        <f aca="false">IF(LEFT(A13,1)="C","Cancel","Sale")</f>
        <v>Sale</v>
      </c>
      <c r="M13" s="7" t="str">
        <f aca="false">IF(G13="","Guest",REPLACE(G13,3,2,"**"))</f>
        <v>12**5</v>
      </c>
      <c r="N13" s="7" t="str">
        <f aca="false">_xlfn.CONCAT(A13,"-",I13)</f>
        <v>538311-20725</v>
      </c>
      <c r="O13" s="7" t="str">
        <f aca="false">LOWER(SUBSTITUTE(TRIM(C13)," ","-"))</f>
        <v>lunch-bag-red-retrospot</v>
      </c>
      <c r="P13" s="7" t="n">
        <f aca="false">IF(EXACT(C13,TRIM(C13)),0,1)</f>
        <v>0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s">
        <v>73</v>
      </c>
      <c r="D14" s="0" t="n">
        <v>1</v>
      </c>
      <c r="E14" s="6" t="n">
        <v>40522.6243055556</v>
      </c>
      <c r="F14" s="0" t="n">
        <v>4.21</v>
      </c>
      <c r="H14" s="0" t="s">
        <v>36</v>
      </c>
      <c r="I14" s="7" t="str">
        <f aca="false">UPPER(TRIM(B14))</f>
        <v>72351A</v>
      </c>
      <c r="J14" s="7" t="str">
        <f aca="false">PROPER(TRIM(C14))</f>
        <v>Set/6 Turquoise Butterfly T-Lights</v>
      </c>
      <c r="K14" s="7" t="str">
        <f aca="false">SUBSTITUTE(SUBSTITUTE(SUBSTITUTE(H14,"EIRE","Ireland"),"RSA","South Africa"),"USA","United States")</f>
        <v>United Kingdom</v>
      </c>
      <c r="L14" s="7" t="str">
        <f aca="false">IF(LEFT(A14,1)="C","Cancel","Sale")</f>
        <v>Sale</v>
      </c>
      <c r="M14" s="7" t="str">
        <f aca="false">IF(G14="","Guest",REPLACE(G14,3,2,"**"))</f>
        <v>Guest</v>
      </c>
      <c r="N14" s="7" t="str">
        <f aca="false">_xlfn.CONCAT(A14,"-",I14)</f>
        <v>538349-72351A</v>
      </c>
      <c r="O14" s="7" t="str">
        <f aca="false">LOWER(SUBSTITUTE(TRIM(C14)," ","-"))</f>
        <v>set/6-turquoise-butterfly-t-lights</v>
      </c>
      <c r="P14" s="7" t="n">
        <f aca="false">IF(EXACT(C14,TRIM(C14)),0,1)</f>
        <v>0</v>
      </c>
    </row>
    <row r="15" customFormat="false" ht="15" hidden="false" customHeight="false" outlineLevel="0" collapsed="false">
      <c r="A15" s="0" t="s">
        <v>74</v>
      </c>
      <c r="B15" s="0" t="s">
        <v>75</v>
      </c>
      <c r="C15" s="0" t="s">
        <v>76</v>
      </c>
      <c r="D15" s="0" t="n">
        <v>24</v>
      </c>
      <c r="E15" s="6" t="n">
        <v>40527.6506944444</v>
      </c>
      <c r="F15" s="0" t="n">
        <v>0.65</v>
      </c>
      <c r="G15" s="0" t="n">
        <v>15062</v>
      </c>
      <c r="H15" s="0" t="s">
        <v>36</v>
      </c>
      <c r="I15" s="7" t="str">
        <f aca="false">UPPER(TRIM(B15))</f>
        <v>84212</v>
      </c>
      <c r="J15" s="7" t="str">
        <f aca="false">PROPER(TRIM(C15))</f>
        <v>Assorted Flower Colour "Leis"</v>
      </c>
      <c r="K15" s="7" t="str">
        <f aca="false">SUBSTITUTE(SUBSTITUTE(SUBSTITUTE(H15,"EIRE","Ireland"),"RSA","South Africa"),"USA","United States")</f>
        <v>United Kingdom</v>
      </c>
      <c r="L15" s="7" t="str">
        <f aca="false">IF(LEFT(A15,1)="C","Cancel","Sale")</f>
        <v>Sale</v>
      </c>
      <c r="M15" s="7" t="str">
        <f aca="false">IF(G15="","Guest",REPLACE(G15,3,2,"**"))</f>
        <v>15**2</v>
      </c>
      <c r="N15" s="7" t="str">
        <f aca="false">_xlfn.CONCAT(A15,"-",I15)</f>
        <v>539042-84212</v>
      </c>
      <c r="O15" s="7" t="str">
        <f aca="false">LOWER(SUBSTITUTE(TRIM(C15)," ","-"))</f>
        <v>assorted-flower-colour-"leis"</v>
      </c>
      <c r="P15" s="7" t="n">
        <f aca="false">IF(EXACT(C15,TRIM(C15)),0,1)</f>
        <v>0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s">
        <v>79</v>
      </c>
      <c r="D16" s="0" t="n">
        <v>-1</v>
      </c>
      <c r="E16" s="6" t="n">
        <v>40528.5388888889</v>
      </c>
      <c r="F16" s="0" t="n">
        <v>3.75</v>
      </c>
      <c r="G16" s="0" t="n">
        <v>14911</v>
      </c>
      <c r="H16" s="0" t="s">
        <v>80</v>
      </c>
      <c r="I16" s="7" t="str">
        <f aca="false">UPPER(TRIM(B16))</f>
        <v>22592</v>
      </c>
      <c r="J16" s="7" t="str">
        <f aca="false">PROPER(TRIM(C16))</f>
        <v>Cardholder Holly Wreath Metal</v>
      </c>
      <c r="K16" s="7" t="str">
        <f aca="false">SUBSTITUTE(SUBSTITUTE(SUBSTITUTE(H16,"EIRE","Ireland"),"RSA","South Africa"),"USA","United States")</f>
        <v>Ireland</v>
      </c>
      <c r="L16" s="7" t="str">
        <f aca="false">IF(LEFT(A16,1)="C","Cancel","Sale")</f>
        <v>Cancel</v>
      </c>
      <c r="M16" s="7" t="str">
        <f aca="false">IF(G16="","Guest",REPLACE(G16,3,2,"**"))</f>
        <v>14**1</v>
      </c>
      <c r="N16" s="7" t="str">
        <f aca="false">_xlfn.CONCAT(A16,"-",I16)</f>
        <v>C539221-22592</v>
      </c>
      <c r="O16" s="7" t="str">
        <f aca="false">LOWER(SUBSTITUTE(TRIM(C16)," ","-"))</f>
        <v>cardholder-holly-wreath-metal</v>
      </c>
      <c r="P16" s="7" t="n">
        <f aca="false">IF(EXACT(C16,TRIM(C16)),0,1)</f>
        <v>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s">
        <v>83</v>
      </c>
      <c r="D17" s="0" t="n">
        <v>1</v>
      </c>
      <c r="E17" s="6" t="n">
        <v>40529.5166666667</v>
      </c>
      <c r="F17" s="0" t="n">
        <v>1.65</v>
      </c>
      <c r="G17" s="0" t="n">
        <v>17315</v>
      </c>
      <c r="H17" s="0" t="s">
        <v>36</v>
      </c>
      <c r="I17" s="7" t="str">
        <f aca="false">UPPER(TRIM(B17))</f>
        <v>22652</v>
      </c>
      <c r="J17" s="7" t="str">
        <f aca="false">PROPER(TRIM(C17))</f>
        <v>Travel Sewing Kit</v>
      </c>
      <c r="K17" s="7" t="str">
        <f aca="false">SUBSTITUTE(SUBSTITUTE(SUBSTITUTE(H17,"EIRE","Ireland"),"RSA","South Africa"),"USA","United States")</f>
        <v>United Kingdom</v>
      </c>
      <c r="L17" s="7" t="str">
        <f aca="false">IF(LEFT(A17,1)="C","Cancel","Sale")</f>
        <v>Sale</v>
      </c>
      <c r="M17" s="7" t="str">
        <f aca="false">IF(G17="","Guest",REPLACE(G17,3,2,"**"))</f>
        <v>17**5</v>
      </c>
      <c r="N17" s="7" t="str">
        <f aca="false">_xlfn.CONCAT(A17,"-",I17)</f>
        <v>539404-22652</v>
      </c>
      <c r="O17" s="7" t="str">
        <f aca="false">LOWER(SUBSTITUTE(TRIM(C17)," ","-"))</f>
        <v>travel-sewing-kit</v>
      </c>
      <c r="P17" s="7" t="n">
        <f aca="false">IF(EXACT(C17,TRIM(C17)),0,1)</f>
        <v>0</v>
      </c>
    </row>
    <row r="18" customFormat="false" ht="15" hidden="false" customHeight="false" outlineLevel="0" collapsed="false">
      <c r="A18" s="0" t="s">
        <v>84</v>
      </c>
      <c r="B18" s="0" t="s">
        <v>85</v>
      </c>
      <c r="C18" s="0" t="s">
        <v>86</v>
      </c>
      <c r="D18" s="0" t="n">
        <v>10</v>
      </c>
      <c r="E18" s="6" t="n">
        <v>40533.4541666667</v>
      </c>
      <c r="F18" s="0" t="n">
        <v>0.85</v>
      </c>
      <c r="G18" s="0" t="n">
        <v>12423</v>
      </c>
      <c r="H18" s="0" t="s">
        <v>87</v>
      </c>
      <c r="I18" s="7" t="str">
        <f aca="false">UPPER(TRIM(B18))</f>
        <v>22661</v>
      </c>
      <c r="J18" s="7" t="str">
        <f aca="false">PROPER(TRIM(C18))</f>
        <v>Charlotte Bag Dolly Girl Design</v>
      </c>
      <c r="K18" s="7" t="str">
        <f aca="false">SUBSTITUTE(SUBSTITUTE(SUBSTITUTE(H18,"EIRE","Ireland"),"RSA","South Africa"),"USA","United States")</f>
        <v>Belgium</v>
      </c>
      <c r="L18" s="7" t="str">
        <f aca="false">IF(LEFT(A18,1)="C","Cancel","Sale")</f>
        <v>Sale</v>
      </c>
      <c r="M18" s="7" t="str">
        <f aca="false">IF(G18="","Guest",REPLACE(G18,3,2,"**"))</f>
        <v>12**3</v>
      </c>
      <c r="N18" s="7" t="str">
        <f aca="false">_xlfn.CONCAT(A18,"-",I18)</f>
        <v>539676-22661</v>
      </c>
      <c r="O18" s="7" t="str">
        <f aca="false">LOWER(SUBSTITUTE(TRIM(C18)," ","-"))</f>
        <v>charlotte-bag-dolly-girl-design</v>
      </c>
      <c r="P18" s="7" t="n">
        <f aca="false">IF(EXACT(C18,TRIM(C18)),0,1)</f>
        <v>0</v>
      </c>
    </row>
    <row r="19" customFormat="false" ht="15" hidden="false" customHeight="false" outlineLevel="0" collapsed="false">
      <c r="A19" s="0" t="s">
        <v>88</v>
      </c>
      <c r="B19" s="0" t="s">
        <v>89</v>
      </c>
      <c r="C19" s="0" t="s">
        <v>90</v>
      </c>
      <c r="D19" s="0" t="n">
        <v>1</v>
      </c>
      <c r="E19" s="6" t="n">
        <v>40533.6388888889</v>
      </c>
      <c r="F19" s="0" t="n">
        <v>4.21</v>
      </c>
      <c r="H19" s="0" t="s">
        <v>36</v>
      </c>
      <c r="I19" s="7" t="str">
        <f aca="false">UPPER(TRIM(B19))</f>
        <v>82600</v>
      </c>
      <c r="J19" s="7" t="str">
        <f aca="false">PROPER(TRIM(C19))</f>
        <v>No Singing Metal Sign</v>
      </c>
      <c r="K19" s="7" t="str">
        <f aca="false">SUBSTITUTE(SUBSTITUTE(SUBSTITUTE(H19,"EIRE","Ireland"),"RSA","South Africa"),"USA","United States")</f>
        <v>United Kingdom</v>
      </c>
      <c r="L19" s="7" t="str">
        <f aca="false">IF(LEFT(A19,1)="C","Cancel","Sale")</f>
        <v>Sale</v>
      </c>
      <c r="M19" s="7" t="str">
        <f aca="false">IF(G19="","Guest",REPLACE(G19,3,2,"**"))</f>
        <v>Guest</v>
      </c>
      <c r="N19" s="7" t="str">
        <f aca="false">_xlfn.CONCAT(A19,"-",I19)</f>
        <v>539742-82600</v>
      </c>
      <c r="O19" s="7" t="str">
        <f aca="false">LOWER(SUBSTITUTE(TRIM(C19)," ","-"))</f>
        <v>no-singing-metal-sign</v>
      </c>
      <c r="P19" s="7" t="n">
        <f aca="false">IF(EXACT(C19,TRIM(C19)),0,1)</f>
        <v>0</v>
      </c>
    </row>
    <row r="20" customFormat="false" ht="15" hidden="false" customHeight="false" outlineLevel="0" collapsed="false">
      <c r="A20" s="0" t="s">
        <v>91</v>
      </c>
      <c r="B20" s="0" t="s">
        <v>92</v>
      </c>
      <c r="C20" s="0" t="s">
        <v>93</v>
      </c>
      <c r="D20" s="0" t="n">
        <v>1</v>
      </c>
      <c r="E20" s="6" t="n">
        <v>40548.4791666667</v>
      </c>
      <c r="F20" s="0" t="n">
        <v>0.85</v>
      </c>
      <c r="H20" s="0" t="s">
        <v>36</v>
      </c>
      <c r="I20" s="7" t="str">
        <f aca="false">UPPER(TRIM(B20))</f>
        <v>22543</v>
      </c>
      <c r="J20" s="7" t="str">
        <f aca="false">PROPER(TRIM(C20))</f>
        <v>Mini Jigsaw Bake A Cake</v>
      </c>
      <c r="K20" s="7" t="str">
        <f aca="false">SUBSTITUTE(SUBSTITUTE(SUBSTITUTE(H20,"EIRE","Ireland"),"RSA","South Africa"),"USA","United States")</f>
        <v>United Kingdom</v>
      </c>
      <c r="L20" s="7" t="str">
        <f aca="false">IF(LEFT(A20,1)="C","Cancel","Sale")</f>
        <v>Sale</v>
      </c>
      <c r="M20" s="7" t="str">
        <f aca="false">IF(G20="","Guest",REPLACE(G20,3,2,"**"))</f>
        <v>Guest</v>
      </c>
      <c r="N20" s="7" t="str">
        <f aca="false">_xlfn.CONCAT(A20,"-",I20)</f>
        <v>540154-22543</v>
      </c>
      <c r="O20" s="7" t="str">
        <f aca="false">LOWER(SUBSTITUTE(TRIM(C20)," ","-"))</f>
        <v>mini-jigsaw-bake-a-cake</v>
      </c>
      <c r="P20" s="7" t="n">
        <f aca="false">IF(EXACT(C20,TRIM(C20)),0,1)</f>
        <v>1</v>
      </c>
    </row>
    <row r="21" customFormat="false" ht="15" hidden="false" customHeight="false" outlineLevel="0" collapsed="false">
      <c r="A21" s="0" t="s">
        <v>94</v>
      </c>
      <c r="B21" s="0" t="s">
        <v>95</v>
      </c>
      <c r="C21" s="0" t="s">
        <v>96</v>
      </c>
      <c r="D21" s="0" t="n">
        <v>1</v>
      </c>
      <c r="E21" s="6" t="n">
        <v>40548.7013888889</v>
      </c>
      <c r="F21" s="0" t="n">
        <v>3.36</v>
      </c>
      <c r="H21" s="0" t="s">
        <v>36</v>
      </c>
      <c r="I21" s="7" t="str">
        <f aca="false">UPPER(TRIM(B21))</f>
        <v>47504K</v>
      </c>
      <c r="J21" s="7" t="str">
        <f aca="false">PROPER(TRIM(C21))</f>
        <v>English Rose Garden Secateurs</v>
      </c>
      <c r="K21" s="7" t="str">
        <f aca="false">SUBSTITUTE(SUBSTITUTE(SUBSTITUTE(H21,"EIRE","Ireland"),"RSA","South Africa"),"USA","United States")</f>
        <v>United Kingdom</v>
      </c>
      <c r="L21" s="7" t="str">
        <f aca="false">IF(LEFT(A21,1)="C","Cancel","Sale")</f>
        <v>Sale</v>
      </c>
      <c r="M21" s="7" t="str">
        <f aca="false">IF(G21="","Guest",REPLACE(G21,3,2,"**"))</f>
        <v>Guest</v>
      </c>
      <c r="N21" s="7" t="str">
        <f aca="false">_xlfn.CONCAT(A21,"-",I21)</f>
        <v>540255-47504K</v>
      </c>
      <c r="O21" s="7" t="str">
        <f aca="false">LOWER(SUBSTITUTE(TRIM(C21)," ","-"))</f>
        <v>english-rose-garden-secateurs</v>
      </c>
      <c r="P21" s="7" t="n">
        <f aca="false">IF(EXACT(C21,TRIM(C21)),0,1)</f>
        <v>0</v>
      </c>
    </row>
    <row r="22" customFormat="false" ht="15" hidden="false" customHeight="false" outlineLevel="0" collapsed="false">
      <c r="A22" s="0" t="s">
        <v>97</v>
      </c>
      <c r="B22" s="0" t="s">
        <v>98</v>
      </c>
      <c r="C22" s="0" t="s">
        <v>99</v>
      </c>
      <c r="D22" s="0" t="n">
        <v>1</v>
      </c>
      <c r="E22" s="6" t="n">
        <v>40550.5798611111</v>
      </c>
      <c r="F22" s="0" t="n">
        <v>8.47</v>
      </c>
      <c r="H22" s="0" t="s">
        <v>36</v>
      </c>
      <c r="I22" s="7" t="str">
        <f aca="false">UPPER(TRIM(B22))</f>
        <v>84968A</v>
      </c>
      <c r="J22" s="7" t="str">
        <f aca="false">PROPER(TRIM(C22))</f>
        <v>Set Of 16 Vintage Rose Cutlery</v>
      </c>
      <c r="K22" s="7" t="str">
        <f aca="false">SUBSTITUTE(SUBSTITUTE(SUBSTITUTE(H22,"EIRE","Ireland"),"RSA","South Africa"),"USA","United States")</f>
        <v>United Kingdom</v>
      </c>
      <c r="L22" s="7" t="str">
        <f aca="false">IF(LEFT(A22,1)="C","Cancel","Sale")</f>
        <v>Sale</v>
      </c>
      <c r="M22" s="7" t="str">
        <f aca="false">IF(G22="","Guest",REPLACE(G22,3,2,"**"))</f>
        <v>Guest</v>
      </c>
      <c r="N22" s="7" t="str">
        <f aca="false">_xlfn.CONCAT(A22,"-",I22)</f>
        <v>540468-84968A</v>
      </c>
      <c r="O22" s="7" t="str">
        <f aca="false">LOWER(SUBSTITUTE(TRIM(C22)," ","-"))</f>
        <v>set-of-16-vintage-rose-cutlery</v>
      </c>
      <c r="P22" s="7" t="n">
        <f aca="false">IF(EXACT(C22,TRIM(C22)),0,1)</f>
        <v>0</v>
      </c>
    </row>
    <row r="23" customFormat="false" ht="15" hidden="false" customHeight="false" outlineLevel="0" collapsed="false">
      <c r="A23" s="0" t="s">
        <v>100</v>
      </c>
      <c r="B23" s="0" t="s">
        <v>101</v>
      </c>
      <c r="C23" s="0" t="s">
        <v>102</v>
      </c>
      <c r="D23" s="0" t="n">
        <v>4</v>
      </c>
      <c r="E23" s="6" t="n">
        <v>40550.5861111111</v>
      </c>
      <c r="F23" s="0" t="n">
        <v>1.25</v>
      </c>
      <c r="G23" s="0" t="n">
        <v>12484</v>
      </c>
      <c r="H23" s="0" t="s">
        <v>103</v>
      </c>
      <c r="I23" s="7" t="str">
        <f aca="false">UPPER(TRIM(B23))</f>
        <v>84380</v>
      </c>
      <c r="J23" s="7" t="str">
        <f aca="false">PROPER(TRIM(C23))</f>
        <v>Set Of 3 Butterfly Cookie Cutters</v>
      </c>
      <c r="K23" s="7" t="str">
        <f aca="false">SUBSTITUTE(SUBSTITUTE(SUBSTITUTE(H23,"EIRE","Ireland"),"RSA","South Africa"),"USA","United States")</f>
        <v>Spain</v>
      </c>
      <c r="L23" s="7" t="str">
        <f aca="false">IF(LEFT(A23,1)="C","Cancel","Sale")</f>
        <v>Sale</v>
      </c>
      <c r="M23" s="7" t="str">
        <f aca="false">IF(G23="","Guest",REPLACE(G23,3,2,"**"))</f>
        <v>12**4</v>
      </c>
      <c r="N23" s="7" t="str">
        <f aca="false">_xlfn.CONCAT(A23,"-",I23)</f>
        <v>540469-84380</v>
      </c>
      <c r="O23" s="7" t="str">
        <f aca="false">LOWER(SUBSTITUTE(TRIM(C23)," ","-"))</f>
        <v>set-of-3-butterfly-cookie-cutters</v>
      </c>
      <c r="P23" s="7" t="n">
        <f aca="false">IF(EXACT(C23,TRIM(C23)),0,1)</f>
        <v>0</v>
      </c>
    </row>
    <row r="24" customFormat="false" ht="15" hidden="false" customHeight="false" outlineLevel="0" collapsed="false">
      <c r="A24" s="0" t="s">
        <v>104</v>
      </c>
      <c r="B24" s="0" t="s">
        <v>105</v>
      </c>
      <c r="C24" s="0" t="s">
        <v>106</v>
      </c>
      <c r="D24" s="0" t="n">
        <v>1</v>
      </c>
      <c r="E24" s="6" t="n">
        <v>40553.4048611111</v>
      </c>
      <c r="F24" s="0" t="n">
        <v>4.21</v>
      </c>
      <c r="H24" s="0" t="s">
        <v>36</v>
      </c>
      <c r="I24" s="7" t="str">
        <f aca="false">UPPER(TRIM(B24))</f>
        <v>22812</v>
      </c>
      <c r="J24" s="7" t="str">
        <f aca="false">PROPER(TRIM(C24))</f>
        <v>Pack 3 Boxes Christmas Pannetone</v>
      </c>
      <c r="K24" s="7" t="str">
        <f aca="false">SUBSTITUTE(SUBSTITUTE(SUBSTITUTE(H24,"EIRE","Ireland"),"RSA","South Africa"),"USA","United States")</f>
        <v>United Kingdom</v>
      </c>
      <c r="L24" s="7" t="str">
        <f aca="false">IF(LEFT(A24,1)="C","Cancel","Sale")</f>
        <v>Sale</v>
      </c>
      <c r="M24" s="7" t="str">
        <f aca="false">IF(G24="","Guest",REPLACE(G24,3,2,"**"))</f>
        <v>Guest</v>
      </c>
      <c r="N24" s="7" t="str">
        <f aca="false">_xlfn.CONCAT(A24,"-",I24)</f>
        <v>540551-22812</v>
      </c>
      <c r="O24" s="7" t="str">
        <f aca="false">LOWER(SUBSTITUTE(TRIM(C24)," ","-"))</f>
        <v>pack-3-boxes-christmas-pannetone</v>
      </c>
      <c r="P24" s="7" t="n">
        <f aca="false">IF(EXACT(C24,TRIM(C24)),0,1)</f>
        <v>0</v>
      </c>
    </row>
    <row r="25" customFormat="false" ht="15" hidden="false" customHeight="false" outlineLevel="0" collapsed="false">
      <c r="A25" s="0" t="s">
        <v>107</v>
      </c>
      <c r="B25" s="0" t="s">
        <v>108</v>
      </c>
      <c r="C25" s="0" t="s">
        <v>109</v>
      </c>
      <c r="D25" s="0" t="n">
        <v>3</v>
      </c>
      <c r="E25" s="6" t="n">
        <v>40554.6180555556</v>
      </c>
      <c r="F25" s="0" t="n">
        <v>2.55</v>
      </c>
      <c r="G25" s="0" t="n">
        <v>14733</v>
      </c>
      <c r="H25" s="0" t="s">
        <v>36</v>
      </c>
      <c r="I25" s="7" t="str">
        <f aca="false">UPPER(TRIM(B25))</f>
        <v>21531</v>
      </c>
      <c r="J25" s="7" t="str">
        <f aca="false">PROPER(TRIM(C25))</f>
        <v>Red Retrospot Sugar Jam Bowl</v>
      </c>
      <c r="K25" s="7" t="str">
        <f aca="false">SUBSTITUTE(SUBSTITUTE(SUBSTITUTE(H25,"EIRE","Ireland"),"RSA","South Africa"),"USA","United States")</f>
        <v>United Kingdom</v>
      </c>
      <c r="L25" s="7" t="str">
        <f aca="false">IF(LEFT(A25,1)="C","Cancel","Sale")</f>
        <v>Sale</v>
      </c>
      <c r="M25" s="7" t="str">
        <f aca="false">IF(G25="","Guest",REPLACE(G25,3,2,"**"))</f>
        <v>14**3</v>
      </c>
      <c r="N25" s="7" t="str">
        <f aca="false">_xlfn.CONCAT(A25,"-",I25)</f>
        <v>540834-21531</v>
      </c>
      <c r="O25" s="7" t="str">
        <f aca="false">LOWER(SUBSTITUTE(TRIM(C25)," ","-"))</f>
        <v>red-retrospot-sugar-jam-bowl</v>
      </c>
      <c r="P25" s="7" t="n">
        <f aca="false">IF(EXACT(C25,TRIM(C25)),0,1)</f>
        <v>0</v>
      </c>
    </row>
    <row r="26" customFormat="false" ht="15" hidden="false" customHeight="false" outlineLevel="0" collapsed="false">
      <c r="A26" s="0" t="s">
        <v>110</v>
      </c>
      <c r="B26" s="0" t="s">
        <v>111</v>
      </c>
      <c r="C26" s="0" t="s">
        <v>112</v>
      </c>
      <c r="D26" s="0" t="n">
        <v>24</v>
      </c>
      <c r="E26" s="6" t="n">
        <v>40555.625</v>
      </c>
      <c r="F26" s="0" t="n">
        <v>0.42</v>
      </c>
      <c r="G26" s="0" t="n">
        <v>12652</v>
      </c>
      <c r="H26" s="0" t="s">
        <v>113</v>
      </c>
      <c r="I26" s="7" t="str">
        <f aca="false">UPPER(TRIM(B26))</f>
        <v>84817</v>
      </c>
      <c r="J26" s="7" t="str">
        <f aca="false">PROPER(TRIM(C26))</f>
        <v>Danish Rose Decorative Plate</v>
      </c>
      <c r="K26" s="7" t="str">
        <f aca="false">SUBSTITUTE(SUBSTITUTE(SUBSTITUTE(H26,"EIRE","Ireland"),"RSA","South Africa"),"USA","United States")</f>
        <v>France</v>
      </c>
      <c r="L26" s="7" t="str">
        <f aca="false">IF(LEFT(A26,1)="C","Cancel","Sale")</f>
        <v>Sale</v>
      </c>
      <c r="M26" s="7" t="str">
        <f aca="false">IF(G26="","Guest",REPLACE(G26,3,2,"**"))</f>
        <v>12**2</v>
      </c>
      <c r="N26" s="7" t="str">
        <f aca="false">_xlfn.CONCAT(A26,"-",I26)</f>
        <v>540976-84817</v>
      </c>
      <c r="O26" s="7" t="str">
        <f aca="false">LOWER(SUBSTITUTE(TRIM(C26)," ","-"))</f>
        <v>danish-rose-decorative-plate</v>
      </c>
      <c r="P26" s="7" t="n">
        <f aca="false">IF(EXACT(C26,TRIM(C26)),0,1)</f>
        <v>0</v>
      </c>
    </row>
    <row r="27" customFormat="false" ht="15" hidden="false" customHeight="false" outlineLevel="0" collapsed="false">
      <c r="A27" s="0" t="s">
        <v>114</v>
      </c>
      <c r="B27" s="0" t="s">
        <v>115</v>
      </c>
      <c r="C27" s="0" t="s">
        <v>116</v>
      </c>
      <c r="D27" s="0" t="n">
        <v>1</v>
      </c>
      <c r="E27" s="6" t="n">
        <v>40556.3958333333</v>
      </c>
      <c r="F27" s="0" t="n">
        <v>2.46</v>
      </c>
      <c r="H27" s="0" t="s">
        <v>36</v>
      </c>
      <c r="I27" s="7" t="str">
        <f aca="false">UPPER(TRIM(B27))</f>
        <v>20972</v>
      </c>
      <c r="J27" s="7" t="str">
        <f aca="false">PROPER(TRIM(C27))</f>
        <v>Pink Cream Felt Craft Trinket Box</v>
      </c>
      <c r="K27" s="7" t="str">
        <f aca="false">SUBSTITUTE(SUBSTITUTE(SUBSTITUTE(H27,"EIRE","Ireland"),"RSA","South Africa"),"USA","United States")</f>
        <v>United Kingdom</v>
      </c>
      <c r="L27" s="7" t="str">
        <f aca="false">IF(LEFT(A27,1)="C","Cancel","Sale")</f>
        <v>Sale</v>
      </c>
      <c r="M27" s="7" t="str">
        <f aca="false">IF(G27="","Guest",REPLACE(G27,3,2,"**"))</f>
        <v>Guest</v>
      </c>
      <c r="N27" s="7" t="str">
        <f aca="false">_xlfn.CONCAT(A27,"-",I27)</f>
        <v>540995-20972</v>
      </c>
      <c r="O27" s="7" t="str">
        <f aca="false">LOWER(SUBSTITUTE(TRIM(C27)," ","-"))</f>
        <v>pink-cream-felt-craft-trinket-box</v>
      </c>
      <c r="P27" s="7" t="n">
        <f aca="false">IF(EXACT(C27,TRIM(C27)),0,1)</f>
        <v>1</v>
      </c>
    </row>
    <row r="28" customFormat="false" ht="15" hidden="false" customHeight="false" outlineLevel="0" collapsed="false">
      <c r="A28" s="0" t="s">
        <v>117</v>
      </c>
      <c r="B28" s="0" t="s">
        <v>118</v>
      </c>
      <c r="C28" s="0" t="s">
        <v>119</v>
      </c>
      <c r="D28" s="0" t="n">
        <v>6</v>
      </c>
      <c r="E28" s="6" t="n">
        <v>40561.7319444444</v>
      </c>
      <c r="F28" s="0" t="n">
        <v>0.79</v>
      </c>
      <c r="H28" s="0" t="s">
        <v>36</v>
      </c>
      <c r="I28" s="7" t="str">
        <f aca="false">UPPER(TRIM(B28))</f>
        <v>22322</v>
      </c>
      <c r="J28" s="7" t="str">
        <f aca="false">PROPER(TRIM(C28))</f>
        <v>Bird Decoration Green Polkadot</v>
      </c>
      <c r="K28" s="7" t="str">
        <f aca="false">SUBSTITUTE(SUBSTITUTE(SUBSTITUTE(H28,"EIRE","Ireland"),"RSA","South Africa"),"USA","United States")</f>
        <v>United Kingdom</v>
      </c>
      <c r="L28" s="7" t="str">
        <f aca="false">IF(LEFT(A28,1)="C","Cancel","Sale")</f>
        <v>Sale</v>
      </c>
      <c r="M28" s="7" t="str">
        <f aca="false">IF(G28="","Guest",REPLACE(G28,3,2,"**"))</f>
        <v>Guest</v>
      </c>
      <c r="N28" s="7" t="str">
        <f aca="false">_xlfn.CONCAT(A28,"-",I28)</f>
        <v>541516-22322</v>
      </c>
      <c r="O28" s="7" t="str">
        <f aca="false">LOWER(SUBSTITUTE(TRIM(C28)," ","-"))</f>
        <v>bird-decoration-green-polkadot</v>
      </c>
      <c r="P28" s="7" t="n">
        <f aca="false">IF(EXACT(C28,TRIM(C28)),0,1)</f>
        <v>0</v>
      </c>
    </row>
    <row r="29" customFormat="false" ht="15" hidden="false" customHeight="false" outlineLevel="0" collapsed="false">
      <c r="A29" s="0" t="s">
        <v>120</v>
      </c>
      <c r="B29" s="0" t="s">
        <v>121</v>
      </c>
      <c r="C29" s="0" t="s">
        <v>122</v>
      </c>
      <c r="D29" s="0" t="n">
        <v>72</v>
      </c>
      <c r="E29" s="6" t="n">
        <v>40564.4708333333</v>
      </c>
      <c r="F29" s="0" t="n">
        <v>0.85</v>
      </c>
      <c r="G29" s="0" t="n">
        <v>14646</v>
      </c>
      <c r="H29" s="0" t="s">
        <v>123</v>
      </c>
      <c r="I29" s="7" t="str">
        <f aca="false">UPPER(TRIM(B29))</f>
        <v>22245</v>
      </c>
      <c r="J29" s="7" t="str">
        <f aca="false">PROPER(TRIM(C29))</f>
        <v>Hook, 1 Hanger ,Magic Garden</v>
      </c>
      <c r="K29" s="7" t="str">
        <f aca="false">SUBSTITUTE(SUBSTITUTE(SUBSTITUTE(H29,"EIRE","Ireland"),"RSA","South Africa"),"USA","United States")</f>
        <v>Netherlands</v>
      </c>
      <c r="L29" s="7" t="str">
        <f aca="false">IF(LEFT(A29,1)="C","Cancel","Sale")</f>
        <v>Sale</v>
      </c>
      <c r="M29" s="7" t="str">
        <f aca="false">IF(G29="","Guest",REPLACE(G29,3,2,"**"))</f>
        <v>14**6</v>
      </c>
      <c r="N29" s="7" t="str">
        <f aca="false">_xlfn.CONCAT(A29,"-",I29)</f>
        <v>541711-22245</v>
      </c>
      <c r="O29" s="7" t="str">
        <f aca="false">LOWER(SUBSTITUTE(TRIM(C29)," ","-"))</f>
        <v>hook,-1-hanger-,magic-garden</v>
      </c>
      <c r="P29" s="7" t="n">
        <f aca="false">IF(EXACT(C29,TRIM(C29)),0,1)</f>
        <v>0</v>
      </c>
    </row>
    <row r="30" customFormat="false" ht="15" hidden="false" customHeight="false" outlineLevel="0" collapsed="false">
      <c r="A30" s="0" t="s">
        <v>124</v>
      </c>
      <c r="B30" s="0" t="s">
        <v>125</v>
      </c>
      <c r="C30" s="0" t="s">
        <v>126</v>
      </c>
      <c r="D30" s="0" t="n">
        <v>3</v>
      </c>
      <c r="E30" s="6" t="n">
        <v>40566.5048611111</v>
      </c>
      <c r="F30" s="0" t="n">
        <v>0.85</v>
      </c>
      <c r="G30" s="0" t="n">
        <v>16085</v>
      </c>
      <c r="H30" s="0" t="s">
        <v>36</v>
      </c>
      <c r="I30" s="7" t="str">
        <f aca="false">UPPER(TRIM(B30))</f>
        <v>21790</v>
      </c>
      <c r="J30" s="7" t="str">
        <f aca="false">PROPER(TRIM(C30))</f>
        <v>Vintage Snap Cards</v>
      </c>
      <c r="K30" s="7" t="str">
        <f aca="false">SUBSTITUTE(SUBSTITUTE(SUBSTITUTE(H30,"EIRE","Ireland"),"RSA","South Africa"),"USA","United States")</f>
        <v>United Kingdom</v>
      </c>
      <c r="L30" s="7" t="str">
        <f aca="false">IF(LEFT(A30,1)="C","Cancel","Sale")</f>
        <v>Sale</v>
      </c>
      <c r="M30" s="7" t="str">
        <f aca="false">IF(G30="","Guest",REPLACE(G30,3,2,"**"))</f>
        <v>16**5</v>
      </c>
      <c r="N30" s="7" t="str">
        <f aca="false">_xlfn.CONCAT(A30,"-",I30)</f>
        <v>541842-21790</v>
      </c>
      <c r="O30" s="7" t="str">
        <f aca="false">LOWER(SUBSTITUTE(TRIM(C30)," ","-"))</f>
        <v>vintage-snap-cards</v>
      </c>
      <c r="P30" s="7" t="n">
        <f aca="false">IF(EXACT(C30,TRIM(C30)),0,1)</f>
        <v>0</v>
      </c>
    </row>
    <row r="31" customFormat="false" ht="15" hidden="false" customHeight="false" outlineLevel="0" collapsed="false">
      <c r="A31" s="0" t="s">
        <v>127</v>
      </c>
      <c r="B31" s="0" t="s">
        <v>128</v>
      </c>
      <c r="C31" s="0" t="s">
        <v>129</v>
      </c>
      <c r="D31" s="0" t="n">
        <v>1</v>
      </c>
      <c r="E31" s="6" t="n">
        <v>40567.4034722222</v>
      </c>
      <c r="F31" s="0" t="n">
        <v>14.13</v>
      </c>
      <c r="H31" s="0" t="s">
        <v>36</v>
      </c>
      <c r="I31" s="7" t="str">
        <f aca="false">UPPER(TRIM(B31))</f>
        <v>48173C</v>
      </c>
      <c r="J31" s="7" t="str">
        <f aca="false">PROPER(TRIM(C31))</f>
        <v>Doormat Black Flock</v>
      </c>
      <c r="K31" s="7" t="str">
        <f aca="false">SUBSTITUTE(SUBSTITUTE(SUBSTITUTE(H31,"EIRE","Ireland"),"RSA","South Africa"),"USA","United States")</f>
        <v>United Kingdom</v>
      </c>
      <c r="L31" s="7" t="str">
        <f aca="false">IF(LEFT(A31,1)="C","Cancel","Sale")</f>
        <v>Sale</v>
      </c>
      <c r="M31" s="7" t="str">
        <f aca="false">IF(G31="","Guest",REPLACE(G31,3,2,"**"))</f>
        <v>Guest</v>
      </c>
      <c r="N31" s="7" t="str">
        <f aca="false">_xlfn.CONCAT(A31,"-",I31)</f>
        <v>541871-48173C</v>
      </c>
      <c r="O31" s="7" t="str">
        <f aca="false">LOWER(SUBSTITUTE(TRIM(C31)," ","-"))</f>
        <v>doormat-black-flock</v>
      </c>
      <c r="P31" s="7" t="n">
        <f aca="false">IF(EXACT(C31,TRIM(C31)),0,1)</f>
        <v>1</v>
      </c>
    </row>
    <row r="32" customFormat="false" ht="15" hidden="false" customHeight="false" outlineLevel="0" collapsed="false">
      <c r="A32" s="0" t="s">
        <v>130</v>
      </c>
      <c r="B32" s="0" t="s">
        <v>131</v>
      </c>
      <c r="C32" s="0" t="s">
        <v>132</v>
      </c>
      <c r="D32" s="0" t="n">
        <v>1</v>
      </c>
      <c r="E32" s="6" t="n">
        <v>40568.4479166667</v>
      </c>
      <c r="F32" s="0" t="n">
        <v>2.46</v>
      </c>
      <c r="H32" s="0" t="s">
        <v>36</v>
      </c>
      <c r="I32" s="7" t="str">
        <f aca="false">UPPER(TRIM(B32))</f>
        <v>85015</v>
      </c>
      <c r="J32" s="7" t="str">
        <f aca="false">PROPER(TRIM(C32))</f>
        <v>Set Of 12 Vintage Postcard Set</v>
      </c>
      <c r="K32" s="7" t="str">
        <f aca="false">SUBSTITUTE(SUBSTITUTE(SUBSTITUTE(H32,"EIRE","Ireland"),"RSA","South Africa"),"USA","United States")</f>
        <v>United Kingdom</v>
      </c>
      <c r="L32" s="7" t="str">
        <f aca="false">IF(LEFT(A32,1)="C","Cancel","Sale")</f>
        <v>Sale</v>
      </c>
      <c r="M32" s="7" t="str">
        <f aca="false">IF(G32="","Guest",REPLACE(G32,3,2,"**"))</f>
        <v>Guest</v>
      </c>
      <c r="N32" s="7" t="str">
        <f aca="false">_xlfn.CONCAT(A32,"-",I32)</f>
        <v>541999-85015</v>
      </c>
      <c r="O32" s="7" t="str">
        <f aca="false">LOWER(SUBSTITUTE(TRIM(C32)," ","-"))</f>
        <v>set-of-12-vintage-postcard-set</v>
      </c>
      <c r="P32" s="7" t="n">
        <f aca="false">IF(EXACT(C32,TRIM(C32)),0,1)</f>
        <v>1</v>
      </c>
    </row>
    <row r="33" customFormat="false" ht="15" hidden="false" customHeight="false" outlineLevel="0" collapsed="false">
      <c r="A33" s="0" t="s">
        <v>133</v>
      </c>
      <c r="B33" s="0" t="s">
        <v>134</v>
      </c>
      <c r="C33" s="0" t="s">
        <v>135</v>
      </c>
      <c r="D33" s="0" t="n">
        <v>6</v>
      </c>
      <c r="E33" s="6" t="n">
        <v>40570.4465277778</v>
      </c>
      <c r="F33" s="0" t="n">
        <v>1.95</v>
      </c>
      <c r="G33" s="0" t="n">
        <v>14911</v>
      </c>
      <c r="H33" s="0" t="s">
        <v>80</v>
      </c>
      <c r="I33" s="7" t="str">
        <f aca="false">UPPER(TRIM(B33))</f>
        <v>47594B</v>
      </c>
      <c r="J33" s="7" t="str">
        <f aca="false">PROPER(TRIM(C33))</f>
        <v>Scotties Design Washbag</v>
      </c>
      <c r="K33" s="7" t="str">
        <f aca="false">SUBSTITUTE(SUBSTITUTE(SUBSTITUTE(H33,"EIRE","Ireland"),"RSA","South Africa"),"USA","United States")</f>
        <v>Ireland</v>
      </c>
      <c r="L33" s="7" t="str">
        <f aca="false">IF(LEFT(A33,1)="C","Cancel","Sale")</f>
        <v>Sale</v>
      </c>
      <c r="M33" s="7" t="str">
        <f aca="false">IF(G33="","Guest",REPLACE(G33,3,2,"**"))</f>
        <v>14**1</v>
      </c>
      <c r="N33" s="7" t="str">
        <f aca="false">_xlfn.CONCAT(A33,"-",I33)</f>
        <v>542278-47594B</v>
      </c>
      <c r="O33" s="7" t="str">
        <f aca="false">LOWER(SUBSTITUTE(TRIM(C33)," ","-"))</f>
        <v>scotties-design-washbag</v>
      </c>
      <c r="P33" s="7" t="n">
        <f aca="false">IF(EXACT(C33,TRIM(C33)),0,1)</f>
        <v>0</v>
      </c>
    </row>
    <row r="34" customFormat="false" ht="15" hidden="false" customHeight="false" outlineLevel="0" collapsed="false">
      <c r="A34" s="0" t="s">
        <v>136</v>
      </c>
      <c r="B34" s="0" t="s">
        <v>137</v>
      </c>
      <c r="C34" s="0" t="s">
        <v>48</v>
      </c>
      <c r="D34" s="0" t="n">
        <v>2</v>
      </c>
      <c r="E34" s="6" t="n">
        <v>40574.6493055556</v>
      </c>
      <c r="F34" s="0" t="n">
        <v>5.95</v>
      </c>
      <c r="G34" s="0" t="n">
        <v>15058</v>
      </c>
      <c r="H34" s="0" t="s">
        <v>36</v>
      </c>
      <c r="I34" s="7" t="str">
        <f aca="false">UPPER(TRIM(B34))</f>
        <v>15056BL</v>
      </c>
      <c r="J34" s="7" t="str">
        <f aca="false">PROPER(TRIM(C34))</f>
        <v>Edwardian Parasol Black</v>
      </c>
      <c r="K34" s="7" t="str">
        <f aca="false">SUBSTITUTE(SUBSTITUTE(SUBSTITUTE(H34,"EIRE","Ireland"),"RSA","South Africa"),"USA","United States")</f>
        <v>United Kingdom</v>
      </c>
      <c r="L34" s="7" t="str">
        <f aca="false">IF(LEFT(A34,1)="C","Cancel","Sale")</f>
        <v>Sale</v>
      </c>
      <c r="M34" s="7" t="str">
        <f aca="false">IF(G34="","Guest",REPLACE(G34,3,2,"**"))</f>
        <v>15**8</v>
      </c>
      <c r="N34" s="7" t="str">
        <f aca="false">_xlfn.CONCAT(A34,"-",I34)</f>
        <v>542733-15056BL</v>
      </c>
      <c r="O34" s="7" t="str">
        <f aca="false">LOWER(SUBSTITUTE(TRIM(C34)," ","-"))</f>
        <v>edwardian-parasol-black</v>
      </c>
      <c r="P34" s="7" t="n">
        <f aca="false">IF(EXACT(C34,TRIM(C34)),0,1)</f>
        <v>0</v>
      </c>
    </row>
    <row r="35" customFormat="false" ht="15" hidden="false" customHeight="false" outlineLevel="0" collapsed="false">
      <c r="A35" s="0" t="s">
        <v>138</v>
      </c>
      <c r="B35" s="0" t="s">
        <v>139</v>
      </c>
      <c r="C35" s="0" t="s">
        <v>140</v>
      </c>
      <c r="D35" s="0" t="n">
        <v>7</v>
      </c>
      <c r="E35" s="6" t="n">
        <v>40575.5173611111</v>
      </c>
      <c r="F35" s="0" t="n">
        <v>1.25</v>
      </c>
      <c r="G35" s="0" t="n">
        <v>16419</v>
      </c>
      <c r="H35" s="0" t="s">
        <v>36</v>
      </c>
      <c r="I35" s="7" t="str">
        <f aca="false">UPPER(TRIM(B35))</f>
        <v>20846</v>
      </c>
      <c r="J35" s="7" t="str">
        <f aca="false">PROPER(TRIM(C35))</f>
        <v>Zinc Heart Lattice T-Light Holder</v>
      </c>
      <c r="K35" s="7" t="str">
        <f aca="false">SUBSTITUTE(SUBSTITUTE(SUBSTITUTE(H35,"EIRE","Ireland"),"RSA","South Africa"),"USA","United States")</f>
        <v>United Kingdom</v>
      </c>
      <c r="L35" s="7" t="str">
        <f aca="false">IF(LEFT(A35,1)="C","Cancel","Sale")</f>
        <v>Sale</v>
      </c>
      <c r="M35" s="7" t="str">
        <f aca="false">IF(G35="","Guest",REPLACE(G35,3,2,"**"))</f>
        <v>16**9</v>
      </c>
      <c r="N35" s="7" t="str">
        <f aca="false">_xlfn.CONCAT(A35,"-",I35)</f>
        <v>542868-20846</v>
      </c>
      <c r="O35" s="7" t="str">
        <f aca="false">LOWER(SUBSTITUTE(TRIM(C35)," ","-"))</f>
        <v>zinc-heart-lattice-t-light-holder</v>
      </c>
      <c r="P35" s="7" t="n">
        <f aca="false">IF(EXACT(C35,TRIM(C35)),0,1)</f>
        <v>0</v>
      </c>
    </row>
    <row r="36" customFormat="false" ht="15" hidden="false" customHeight="false" outlineLevel="0" collapsed="false">
      <c r="A36" s="0" t="s">
        <v>141</v>
      </c>
      <c r="B36" s="0" t="s">
        <v>142</v>
      </c>
      <c r="C36" s="0" t="s">
        <v>143</v>
      </c>
      <c r="D36" s="0" t="n">
        <v>1</v>
      </c>
      <c r="E36" s="6" t="n">
        <v>40575.6333333333</v>
      </c>
      <c r="F36" s="0" t="n">
        <v>4.13</v>
      </c>
      <c r="H36" s="0" t="s">
        <v>36</v>
      </c>
      <c r="I36" s="7" t="str">
        <f aca="false">UPPER(TRIM(B36))</f>
        <v>21850</v>
      </c>
      <c r="J36" s="7" t="str">
        <f aca="false">PROPER(TRIM(C36))</f>
        <v>Blue Diamante Pen In Gift Box</v>
      </c>
      <c r="K36" s="7" t="str">
        <f aca="false">SUBSTITUTE(SUBSTITUTE(SUBSTITUTE(H36,"EIRE","Ireland"),"RSA","South Africa"),"USA","United States")</f>
        <v>United Kingdom</v>
      </c>
      <c r="L36" s="7" t="str">
        <f aca="false">IF(LEFT(A36,1)="C","Cancel","Sale")</f>
        <v>Sale</v>
      </c>
      <c r="M36" s="7" t="str">
        <f aca="false">IF(G36="","Guest",REPLACE(G36,3,2,"**"))</f>
        <v>Guest</v>
      </c>
      <c r="N36" s="7" t="str">
        <f aca="false">_xlfn.CONCAT(A36,"-",I36)</f>
        <v>542906-21850</v>
      </c>
      <c r="O36" s="7" t="str">
        <f aca="false">LOWER(SUBSTITUTE(TRIM(C36)," ","-"))</f>
        <v>blue-diamante-pen-in-gift-box</v>
      </c>
      <c r="P36" s="7" t="n">
        <f aca="false">IF(EXACT(C36,TRIM(C36)),0,1)</f>
        <v>1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146</v>
      </c>
      <c r="D37" s="0" t="n">
        <v>1</v>
      </c>
      <c r="E37" s="6" t="n">
        <v>40581.5506944444</v>
      </c>
      <c r="F37" s="0" t="n">
        <v>2.55</v>
      </c>
      <c r="G37" s="0" t="n">
        <v>17774</v>
      </c>
      <c r="H37" s="0" t="s">
        <v>36</v>
      </c>
      <c r="I37" s="7" t="str">
        <f aca="false">UPPER(TRIM(B37))</f>
        <v>21535</v>
      </c>
      <c r="J37" s="7" t="str">
        <f aca="false">PROPER(TRIM(C37))</f>
        <v>Red Retrospot Small Milk Jug</v>
      </c>
      <c r="K37" s="7" t="str">
        <f aca="false">SUBSTITUTE(SUBSTITUTE(SUBSTITUTE(H37,"EIRE","Ireland"),"RSA","South Africa"),"USA","United States")</f>
        <v>United Kingdom</v>
      </c>
      <c r="L37" s="7" t="str">
        <f aca="false">IF(LEFT(A37,1)="C","Cancel","Sale")</f>
        <v>Sale</v>
      </c>
      <c r="M37" s="7" t="str">
        <f aca="false">IF(G37="","Guest",REPLACE(G37,3,2,"**"))</f>
        <v>17**4</v>
      </c>
      <c r="N37" s="7" t="str">
        <f aca="false">_xlfn.CONCAT(A37,"-",I37)</f>
        <v>543349-21535</v>
      </c>
      <c r="O37" s="7" t="str">
        <f aca="false">LOWER(SUBSTITUTE(TRIM(C37)," ","-"))</f>
        <v>red-retrospot-small-milk-jug</v>
      </c>
      <c r="P37" s="7" t="n">
        <f aca="false">IF(EXACT(C37,TRIM(C37)),0,1)</f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0" t="s">
        <v>149</v>
      </c>
      <c r="D38" s="0" t="n">
        <v>3</v>
      </c>
      <c r="E38" s="6" t="n">
        <v>40585.4902777778</v>
      </c>
      <c r="F38" s="0" t="n">
        <v>1.63</v>
      </c>
      <c r="H38" s="0" t="s">
        <v>36</v>
      </c>
      <c r="I38" s="7" t="str">
        <f aca="false">UPPER(TRIM(B38))</f>
        <v>21239</v>
      </c>
      <c r="J38" s="7" t="str">
        <f aca="false">PROPER(TRIM(C38))</f>
        <v>Pink Polkadot Cup</v>
      </c>
      <c r="K38" s="7" t="str">
        <f aca="false">SUBSTITUTE(SUBSTITUTE(SUBSTITUTE(H38,"EIRE","Ireland"),"RSA","South Africa"),"USA","United States")</f>
        <v>United Kingdom</v>
      </c>
      <c r="L38" s="7" t="str">
        <f aca="false">IF(LEFT(A38,1)="C","Cancel","Sale")</f>
        <v>Sale</v>
      </c>
      <c r="M38" s="7" t="str">
        <f aca="false">IF(G38="","Guest",REPLACE(G38,3,2,"**"))</f>
        <v>Guest</v>
      </c>
      <c r="N38" s="7" t="str">
        <f aca="false">_xlfn.CONCAT(A38,"-",I38)</f>
        <v>543713-21239</v>
      </c>
      <c r="O38" s="7" t="str">
        <f aca="false">LOWER(SUBSTITUTE(TRIM(C38)," ","-"))</f>
        <v>pink-polkadot-cup</v>
      </c>
      <c r="P38" s="7" t="n">
        <f aca="false">IF(EXACT(C38,TRIM(C38)),0,1)</f>
        <v>1</v>
      </c>
    </row>
    <row r="39" customFormat="false" ht="15" hidden="false" customHeight="false" outlineLevel="0" collapsed="false">
      <c r="A39" s="0" t="s">
        <v>147</v>
      </c>
      <c r="B39" s="0" t="s">
        <v>150</v>
      </c>
      <c r="C39" s="0" t="s">
        <v>151</v>
      </c>
      <c r="D39" s="0" t="n">
        <v>6</v>
      </c>
      <c r="E39" s="6" t="n">
        <v>40585.4902777778</v>
      </c>
      <c r="F39" s="0" t="n">
        <v>10.79</v>
      </c>
      <c r="H39" s="0" t="s">
        <v>36</v>
      </c>
      <c r="I39" s="7" t="str">
        <f aca="false">UPPER(TRIM(B39))</f>
        <v>47566</v>
      </c>
      <c r="J39" s="7" t="str">
        <f aca="false">PROPER(TRIM(C39))</f>
        <v>Party Bunting</v>
      </c>
      <c r="K39" s="7" t="str">
        <f aca="false">SUBSTITUTE(SUBSTITUTE(SUBSTITUTE(H39,"EIRE","Ireland"),"RSA","South Africa"),"USA","United States")</f>
        <v>United Kingdom</v>
      </c>
      <c r="L39" s="7" t="str">
        <f aca="false">IF(LEFT(A39,1)="C","Cancel","Sale")</f>
        <v>Sale</v>
      </c>
      <c r="M39" s="7" t="str">
        <f aca="false">IF(G39="","Guest",REPLACE(G39,3,2,"**"))</f>
        <v>Guest</v>
      </c>
      <c r="N39" s="7" t="str">
        <f aca="false">_xlfn.CONCAT(A39,"-",I39)</f>
        <v>543713-47566</v>
      </c>
      <c r="O39" s="7" t="str">
        <f aca="false">LOWER(SUBSTITUTE(TRIM(C39)," ","-"))</f>
        <v>party-bunting</v>
      </c>
      <c r="P39" s="7" t="n">
        <f aca="false">IF(EXACT(C39,TRIM(C39)),0,1)</f>
        <v>0</v>
      </c>
    </row>
    <row r="40" customFormat="false" ht="15" hidden="false" customHeight="false" outlineLevel="0" collapsed="false">
      <c r="A40" s="0" t="s">
        <v>152</v>
      </c>
      <c r="B40" s="0" t="s">
        <v>153</v>
      </c>
      <c r="C40" s="0" t="s">
        <v>154</v>
      </c>
      <c r="D40" s="0" t="n">
        <v>2</v>
      </c>
      <c r="E40" s="6" t="n">
        <v>40588.6354166667</v>
      </c>
      <c r="F40" s="0" t="n">
        <v>2.95</v>
      </c>
      <c r="G40" s="0" t="n">
        <v>17571</v>
      </c>
      <c r="H40" s="0" t="s">
        <v>36</v>
      </c>
      <c r="I40" s="7" t="str">
        <f aca="false">UPPER(TRIM(B40))</f>
        <v>22699</v>
      </c>
      <c r="J40" s="7" t="str">
        <f aca="false">PROPER(TRIM(C40))</f>
        <v>Roses Regency Teacup And Saucer</v>
      </c>
      <c r="K40" s="7" t="str">
        <f aca="false">SUBSTITUTE(SUBSTITUTE(SUBSTITUTE(H40,"EIRE","Ireland"),"RSA","South Africa"),"USA","United States")</f>
        <v>United Kingdom</v>
      </c>
      <c r="L40" s="7" t="str">
        <f aca="false">IF(LEFT(A40,1)="C","Cancel","Sale")</f>
        <v>Sale</v>
      </c>
      <c r="M40" s="7" t="str">
        <f aca="false">IF(G40="","Guest",REPLACE(G40,3,2,"**"))</f>
        <v>17**1</v>
      </c>
      <c r="N40" s="7" t="str">
        <f aca="false">_xlfn.CONCAT(A40,"-",I40)</f>
        <v>543973-22699</v>
      </c>
      <c r="O40" s="7" t="str">
        <f aca="false">LOWER(SUBSTITUTE(TRIM(C40)," ","-"))</f>
        <v>roses-regency-teacup-and-saucer</v>
      </c>
      <c r="P40" s="7" t="n">
        <f aca="false">IF(EXACT(C40,TRIM(C40)),0,1)</f>
        <v>1</v>
      </c>
    </row>
    <row r="41" customFormat="false" ht="15" hidden="false" customHeight="false" outlineLevel="0" collapsed="false">
      <c r="A41" s="0" t="s">
        <v>155</v>
      </c>
      <c r="B41" s="0" t="s">
        <v>156</v>
      </c>
      <c r="C41" s="0" t="s">
        <v>157</v>
      </c>
      <c r="D41" s="0" t="n">
        <v>2</v>
      </c>
      <c r="E41" s="6" t="n">
        <v>40589.5888888889</v>
      </c>
      <c r="F41" s="0" t="n">
        <v>0.85</v>
      </c>
      <c r="G41" s="0" t="n">
        <v>16431</v>
      </c>
      <c r="H41" s="0" t="s">
        <v>36</v>
      </c>
      <c r="I41" s="7" t="str">
        <f aca="false">UPPER(TRIM(B41))</f>
        <v>22197</v>
      </c>
      <c r="J41" s="7" t="str">
        <f aca="false">PROPER(TRIM(C41))</f>
        <v>Small Popcorn Holder</v>
      </c>
      <c r="K41" s="7" t="str">
        <f aca="false">SUBSTITUTE(SUBSTITUTE(SUBSTITUTE(H41,"EIRE","Ireland"),"RSA","South Africa"),"USA","United States")</f>
        <v>United Kingdom</v>
      </c>
      <c r="L41" s="7" t="str">
        <f aca="false">IF(LEFT(A41,1)="C","Cancel","Sale")</f>
        <v>Sale</v>
      </c>
      <c r="M41" s="7" t="str">
        <f aca="false">IF(G41="","Guest",REPLACE(G41,3,2,"**"))</f>
        <v>16**1</v>
      </c>
      <c r="N41" s="7" t="str">
        <f aca="false">_xlfn.CONCAT(A41,"-",I41)</f>
        <v>544068-22197</v>
      </c>
      <c r="O41" s="7" t="str">
        <f aca="false">LOWER(SUBSTITUTE(TRIM(C41)," ","-"))</f>
        <v>small-popcorn-holder</v>
      </c>
      <c r="P41" s="7" t="n">
        <f aca="false">IF(EXACT(C41,TRIM(C41)),0,1)</f>
        <v>0</v>
      </c>
    </row>
    <row r="42" customFormat="false" ht="15" hidden="false" customHeight="false" outlineLevel="0" collapsed="false">
      <c r="A42" s="0" t="s">
        <v>158</v>
      </c>
      <c r="B42" s="0" t="s">
        <v>159</v>
      </c>
      <c r="C42" s="0" t="s">
        <v>160</v>
      </c>
      <c r="D42" s="0" t="n">
        <v>4</v>
      </c>
      <c r="E42" s="6" t="n">
        <v>40589.6173611111</v>
      </c>
      <c r="F42" s="0" t="n">
        <v>2.55</v>
      </c>
      <c r="G42" s="0" t="n">
        <v>14156</v>
      </c>
      <c r="H42" s="0" t="s">
        <v>80</v>
      </c>
      <c r="I42" s="7" t="str">
        <f aca="false">UPPER(TRIM(B42))</f>
        <v>21717</v>
      </c>
      <c r="J42" s="7" t="str">
        <f aca="false">PROPER(TRIM(C42))</f>
        <v>Easter Tin Bucket</v>
      </c>
      <c r="K42" s="7" t="str">
        <f aca="false">SUBSTITUTE(SUBSTITUTE(SUBSTITUTE(H42,"EIRE","Ireland"),"RSA","South Africa"),"USA","United States")</f>
        <v>Ireland</v>
      </c>
      <c r="L42" s="7" t="str">
        <f aca="false">IF(LEFT(A42,1)="C","Cancel","Sale")</f>
        <v>Sale</v>
      </c>
      <c r="M42" s="7" t="str">
        <f aca="false">IF(G42="","Guest",REPLACE(G42,3,2,"**"))</f>
        <v>14**6</v>
      </c>
      <c r="N42" s="7" t="str">
        <f aca="false">_xlfn.CONCAT(A42,"-",I42)</f>
        <v>544074-21717</v>
      </c>
      <c r="O42" s="7" t="str">
        <f aca="false">LOWER(SUBSTITUTE(TRIM(C42)," ","-"))</f>
        <v>easter-tin-bucket</v>
      </c>
      <c r="P42" s="7" t="n">
        <f aca="false">IF(EXACT(C42,TRIM(C42)),0,1)</f>
        <v>0</v>
      </c>
    </row>
    <row r="43" customFormat="false" ht="15" hidden="false" customHeight="false" outlineLevel="0" collapsed="false">
      <c r="A43" s="0" t="s">
        <v>161</v>
      </c>
      <c r="B43" s="0" t="s">
        <v>162</v>
      </c>
      <c r="C43" s="0" t="s">
        <v>163</v>
      </c>
      <c r="D43" s="0" t="n">
        <v>1</v>
      </c>
      <c r="E43" s="6" t="n">
        <v>40591.4243055556</v>
      </c>
      <c r="F43" s="0" t="n">
        <v>2.08</v>
      </c>
      <c r="H43" s="0" t="s">
        <v>36</v>
      </c>
      <c r="I43" s="7" t="str">
        <f aca="false">UPPER(TRIM(B43))</f>
        <v>84970S</v>
      </c>
      <c r="J43" s="7" t="str">
        <f aca="false">PROPER(TRIM(C43))</f>
        <v>Hanging Heart Zinc T-Light Holder</v>
      </c>
      <c r="K43" s="7" t="str">
        <f aca="false">SUBSTITUTE(SUBSTITUTE(SUBSTITUTE(H43,"EIRE","Ireland"),"RSA","South Africa"),"USA","United States")</f>
        <v>United Kingdom</v>
      </c>
      <c r="L43" s="7" t="str">
        <f aca="false">IF(LEFT(A43,1)="C","Cancel","Sale")</f>
        <v>Sale</v>
      </c>
      <c r="M43" s="7" t="str">
        <f aca="false">IF(G43="","Guest",REPLACE(G43,3,2,"**"))</f>
        <v>Guest</v>
      </c>
      <c r="N43" s="7" t="str">
        <f aca="false">_xlfn.CONCAT(A43,"-",I43)</f>
        <v>544201-84970S</v>
      </c>
      <c r="O43" s="7" t="str">
        <f aca="false">LOWER(SUBSTITUTE(TRIM(C43)," ","-"))</f>
        <v>hanging-heart-zinc-t-light-holder</v>
      </c>
      <c r="P43" s="7" t="n">
        <f aca="false">IF(EXACT(C43,TRIM(C43)),0,1)</f>
        <v>0</v>
      </c>
    </row>
    <row r="44" customFormat="false" ht="15" hidden="false" customHeight="false" outlineLevel="0" collapsed="false">
      <c r="A44" s="0" t="s">
        <v>164</v>
      </c>
      <c r="B44" s="0" t="s">
        <v>165</v>
      </c>
      <c r="C44" s="0" t="s">
        <v>166</v>
      </c>
      <c r="D44" s="0" t="n">
        <v>1</v>
      </c>
      <c r="E44" s="6" t="n">
        <v>40591.4395833333</v>
      </c>
      <c r="F44" s="0" t="n">
        <v>4.13</v>
      </c>
      <c r="H44" s="0" t="s">
        <v>36</v>
      </c>
      <c r="I44" s="7" t="str">
        <f aca="false">UPPER(TRIM(B44))</f>
        <v>72349B</v>
      </c>
      <c r="J44" s="7" t="str">
        <f aca="false">PROPER(TRIM(C44))</f>
        <v>Set/6 Purple Butterfly T-Lights</v>
      </c>
      <c r="K44" s="7" t="str">
        <f aca="false">SUBSTITUTE(SUBSTITUTE(SUBSTITUTE(H44,"EIRE","Ireland"),"RSA","South Africa"),"USA","United States")</f>
        <v>United Kingdom</v>
      </c>
      <c r="L44" s="7" t="str">
        <f aca="false">IF(LEFT(A44,1)="C","Cancel","Sale")</f>
        <v>Sale</v>
      </c>
      <c r="M44" s="7" t="str">
        <f aca="false">IF(G44="","Guest",REPLACE(G44,3,2,"**"))</f>
        <v>Guest</v>
      </c>
      <c r="N44" s="7" t="str">
        <f aca="false">_xlfn.CONCAT(A44,"-",I44)</f>
        <v>544206-72349B</v>
      </c>
      <c r="O44" s="7" t="str">
        <f aca="false">LOWER(SUBSTITUTE(TRIM(C44)," ","-"))</f>
        <v>set/6-purple-butterfly-t-lights</v>
      </c>
      <c r="P44" s="7" t="n">
        <f aca="false">IF(EXACT(C44,TRIM(C44)),0,1)</f>
        <v>0</v>
      </c>
    </row>
    <row r="45" customFormat="false" ht="15" hidden="false" customHeight="false" outlineLevel="0" collapsed="false">
      <c r="A45" s="0" t="s">
        <v>167</v>
      </c>
      <c r="B45" s="0" t="s">
        <v>168</v>
      </c>
      <c r="C45" s="0" t="s">
        <v>169</v>
      </c>
      <c r="D45" s="0" t="n">
        <v>2</v>
      </c>
      <c r="E45" s="6" t="n">
        <v>40594.6604166667</v>
      </c>
      <c r="F45" s="0" t="n">
        <v>1.25</v>
      </c>
      <c r="G45" s="0" t="n">
        <v>14502</v>
      </c>
      <c r="H45" s="0" t="s">
        <v>36</v>
      </c>
      <c r="I45" s="7" t="str">
        <f aca="false">UPPER(TRIM(B45))</f>
        <v>22178</v>
      </c>
      <c r="J45" s="7" t="str">
        <f aca="false">PROPER(TRIM(C45))</f>
        <v>Victorian Glass Hanging T-Light</v>
      </c>
      <c r="K45" s="7" t="str">
        <f aca="false">SUBSTITUTE(SUBSTITUTE(SUBSTITUTE(H45,"EIRE","Ireland"),"RSA","South Africa"),"USA","United States")</f>
        <v>United Kingdom</v>
      </c>
      <c r="L45" s="7" t="str">
        <f aca="false">IF(LEFT(A45,1)="C","Cancel","Sale")</f>
        <v>Sale</v>
      </c>
      <c r="M45" s="7" t="str">
        <f aca="false">IF(G45="","Guest",REPLACE(G45,3,2,"**"))</f>
        <v>14**2</v>
      </c>
      <c r="N45" s="7" t="str">
        <f aca="false">_xlfn.CONCAT(A45,"-",I45)</f>
        <v>544467-22178</v>
      </c>
      <c r="O45" s="7" t="str">
        <f aca="false">LOWER(SUBSTITUTE(TRIM(C45)," ","-"))</f>
        <v>victorian-glass-hanging-t-light</v>
      </c>
      <c r="P45" s="7" t="n">
        <f aca="false">IF(EXACT(C45,TRIM(C45)),0,1)</f>
        <v>0</v>
      </c>
    </row>
    <row r="46" customFormat="false" ht="15" hidden="false" customHeight="false" outlineLevel="0" collapsed="false">
      <c r="A46" s="0" t="s">
        <v>170</v>
      </c>
      <c r="B46" s="0" t="s">
        <v>171</v>
      </c>
      <c r="C46" s="0" t="s">
        <v>172</v>
      </c>
      <c r="D46" s="0" t="n">
        <v>2</v>
      </c>
      <c r="E46" s="6" t="n">
        <v>40595.4152777778</v>
      </c>
      <c r="F46" s="0" t="n">
        <v>1.95</v>
      </c>
      <c r="G46" s="0" t="n">
        <v>14796</v>
      </c>
      <c r="H46" s="0" t="s">
        <v>36</v>
      </c>
      <c r="I46" s="7" t="str">
        <f aca="false">UPPER(TRIM(B46))</f>
        <v>47591D</v>
      </c>
      <c r="J46" s="7" t="str">
        <f aca="false">PROPER(TRIM(C46))</f>
        <v>Pink Fairy Cake Childrens Apron</v>
      </c>
      <c r="K46" s="7" t="str">
        <f aca="false">SUBSTITUTE(SUBSTITUTE(SUBSTITUTE(H46,"EIRE","Ireland"),"RSA","South Africa"),"USA","United States")</f>
        <v>United Kingdom</v>
      </c>
      <c r="L46" s="7" t="str">
        <f aca="false">IF(LEFT(A46,1)="C","Cancel","Sale")</f>
        <v>Sale</v>
      </c>
      <c r="M46" s="7" t="str">
        <f aca="false">IF(G46="","Guest",REPLACE(G46,3,2,"**"))</f>
        <v>14**6</v>
      </c>
      <c r="N46" s="7" t="str">
        <f aca="false">_xlfn.CONCAT(A46,"-",I46)</f>
        <v>544476-47591D</v>
      </c>
      <c r="O46" s="7" t="str">
        <f aca="false">LOWER(SUBSTITUTE(TRIM(C46)," ","-"))</f>
        <v>pink-fairy-cake-childrens-apron</v>
      </c>
      <c r="P46" s="7" t="n">
        <f aca="false">IF(EXACT(C46,TRIM(C46)),0,1)</f>
        <v>0</v>
      </c>
    </row>
    <row r="47" customFormat="false" ht="15" hidden="false" customHeight="false" outlineLevel="0" collapsed="false">
      <c r="A47" s="0" t="s">
        <v>170</v>
      </c>
      <c r="B47" s="0" t="s">
        <v>173</v>
      </c>
      <c r="C47" s="0" t="s">
        <v>174</v>
      </c>
      <c r="D47" s="0" t="n">
        <v>4</v>
      </c>
      <c r="E47" s="6" t="n">
        <v>40595.4152777778</v>
      </c>
      <c r="F47" s="0" t="n">
        <v>1.25</v>
      </c>
      <c r="G47" s="0" t="n">
        <v>14796</v>
      </c>
      <c r="H47" s="0" t="s">
        <v>36</v>
      </c>
      <c r="I47" s="7" t="str">
        <f aca="false">UPPER(TRIM(B47))</f>
        <v>22294</v>
      </c>
      <c r="J47" s="7" t="str">
        <f aca="false">PROPER(TRIM(C47))</f>
        <v>Heart Filigree Dove Small</v>
      </c>
      <c r="K47" s="7" t="str">
        <f aca="false">SUBSTITUTE(SUBSTITUTE(SUBSTITUTE(H47,"EIRE","Ireland"),"RSA","South Africa"),"USA","United States")</f>
        <v>United Kingdom</v>
      </c>
      <c r="L47" s="7" t="str">
        <f aca="false">IF(LEFT(A47,1)="C","Cancel","Sale")</f>
        <v>Sale</v>
      </c>
      <c r="M47" s="7" t="str">
        <f aca="false">IF(G47="","Guest",REPLACE(G47,3,2,"**"))</f>
        <v>14**6</v>
      </c>
      <c r="N47" s="7" t="str">
        <f aca="false">_xlfn.CONCAT(A47,"-",I47)</f>
        <v>544476-22294</v>
      </c>
      <c r="O47" s="7" t="str">
        <f aca="false">LOWER(SUBSTITUTE(TRIM(C47)," ","-"))</f>
        <v>heart-filigree-dove-small</v>
      </c>
      <c r="P47" s="7" t="n">
        <f aca="false">IF(EXACT(C47,TRIM(C47)),0,1)</f>
        <v>1</v>
      </c>
    </row>
    <row r="48" customFormat="false" ht="15" hidden="false" customHeight="false" outlineLevel="0" collapsed="false">
      <c r="A48" s="0" t="s">
        <v>175</v>
      </c>
      <c r="B48" s="0" t="s">
        <v>176</v>
      </c>
      <c r="C48" s="0" t="s">
        <v>177</v>
      </c>
      <c r="D48" s="0" t="n">
        <v>6</v>
      </c>
      <c r="E48" s="6" t="n">
        <v>40597.4354166667</v>
      </c>
      <c r="F48" s="0" t="n">
        <v>2.95</v>
      </c>
      <c r="G48" s="0" t="n">
        <v>17428</v>
      </c>
      <c r="H48" s="0" t="s">
        <v>36</v>
      </c>
      <c r="I48" s="7" t="str">
        <f aca="false">UPPER(TRIM(B48))</f>
        <v>22665</v>
      </c>
      <c r="J48" s="7" t="str">
        <f aca="false">PROPER(TRIM(C48))</f>
        <v>Recipe Box Blue Sketchbook Design</v>
      </c>
      <c r="K48" s="7" t="str">
        <f aca="false">SUBSTITUTE(SUBSTITUTE(SUBSTITUTE(H48,"EIRE","Ireland"),"RSA","South Africa"),"USA","United States")</f>
        <v>United Kingdom</v>
      </c>
      <c r="L48" s="7" t="str">
        <f aca="false">IF(LEFT(A48,1)="C","Cancel","Sale")</f>
        <v>Sale</v>
      </c>
      <c r="M48" s="7" t="str">
        <f aca="false">IF(G48="","Guest",REPLACE(G48,3,2,"**"))</f>
        <v>17**8</v>
      </c>
      <c r="N48" s="7" t="str">
        <f aca="false">_xlfn.CONCAT(A48,"-",I48)</f>
        <v>544701-22665</v>
      </c>
      <c r="O48" s="7" t="str">
        <f aca="false">LOWER(SUBSTITUTE(TRIM(C48)," ","-"))</f>
        <v>recipe-box-blue-sketchbook-design</v>
      </c>
      <c r="P48" s="7" t="n">
        <f aca="false">IF(EXACT(C48,TRIM(C48)),0,1)</f>
        <v>0</v>
      </c>
    </row>
    <row r="49" customFormat="false" ht="15" hidden="false" customHeight="false" outlineLevel="0" collapsed="false">
      <c r="A49" s="0" t="s">
        <v>178</v>
      </c>
      <c r="B49" s="0" t="s">
        <v>179</v>
      </c>
      <c r="C49" s="0" t="s">
        <v>180</v>
      </c>
      <c r="D49" s="0" t="n">
        <v>2</v>
      </c>
      <c r="E49" s="6" t="n">
        <v>40597.6652777778</v>
      </c>
      <c r="F49" s="0" t="n">
        <v>7.46</v>
      </c>
      <c r="H49" s="0" t="s">
        <v>36</v>
      </c>
      <c r="I49" s="7" t="str">
        <f aca="false">UPPER(TRIM(B49))</f>
        <v>22508</v>
      </c>
      <c r="J49" s="7" t="str">
        <f aca="false">PROPER(TRIM(C49))</f>
        <v>Doorstop Retrospot Heart</v>
      </c>
      <c r="K49" s="7" t="str">
        <f aca="false">SUBSTITUTE(SUBSTITUTE(SUBSTITUTE(H49,"EIRE","Ireland"),"RSA","South Africa"),"USA","United States")</f>
        <v>United Kingdom</v>
      </c>
      <c r="L49" s="7" t="str">
        <f aca="false">IF(LEFT(A49,1)="C","Cancel","Sale")</f>
        <v>Sale</v>
      </c>
      <c r="M49" s="7" t="str">
        <f aca="false">IF(G49="","Guest",REPLACE(G49,3,2,"**"))</f>
        <v>Guest</v>
      </c>
      <c r="N49" s="7" t="str">
        <f aca="false">_xlfn.CONCAT(A49,"-",I49)</f>
        <v>544812-22508</v>
      </c>
      <c r="O49" s="7" t="str">
        <f aca="false">LOWER(SUBSTITUTE(TRIM(C49)," ","-"))</f>
        <v>doorstop-retrospot-heart</v>
      </c>
      <c r="P49" s="7" t="n">
        <f aca="false">IF(EXACT(C49,TRIM(C49)),0,1)</f>
        <v>0</v>
      </c>
    </row>
    <row r="50" customFormat="false" ht="15" hidden="false" customHeight="false" outlineLevel="0" collapsed="false">
      <c r="A50" s="0" t="s">
        <v>181</v>
      </c>
      <c r="B50" s="0" t="s">
        <v>59</v>
      </c>
      <c r="C50" s="0" t="s">
        <v>60</v>
      </c>
      <c r="D50" s="0" t="n">
        <v>12</v>
      </c>
      <c r="E50" s="6" t="n">
        <v>40603.3993055556</v>
      </c>
      <c r="F50" s="0" t="n">
        <v>0.85</v>
      </c>
      <c r="G50" s="0" t="n">
        <v>12428</v>
      </c>
      <c r="H50" s="0" t="s">
        <v>182</v>
      </c>
      <c r="I50" s="7" t="str">
        <f aca="false">UPPER(TRIM(B50))</f>
        <v>22851</v>
      </c>
      <c r="J50" s="7" t="str">
        <f aca="false">PROPER(TRIM(C50))</f>
        <v>Set 20 Napkins Fairy Cakes Design</v>
      </c>
      <c r="K50" s="7" t="str">
        <f aca="false">SUBSTITUTE(SUBSTITUTE(SUBSTITUTE(H50,"EIRE","Ireland"),"RSA","South Africa"),"USA","United States")</f>
        <v>Finland</v>
      </c>
      <c r="L50" s="7" t="str">
        <f aca="false">IF(LEFT(A50,1)="C","Cancel","Sale")</f>
        <v>Sale</v>
      </c>
      <c r="M50" s="7" t="str">
        <f aca="false">IF(G50="","Guest",REPLACE(G50,3,2,"**"))</f>
        <v>12**8</v>
      </c>
      <c r="N50" s="7" t="str">
        <f aca="false">_xlfn.CONCAT(A50,"-",I50)</f>
        <v>545227-22851</v>
      </c>
      <c r="O50" s="7" t="str">
        <f aca="false">LOWER(SUBSTITUTE(TRIM(C50)," ","-"))</f>
        <v>set-20-napkins-fairy-cakes-design</v>
      </c>
      <c r="P50" s="7" t="n">
        <f aca="false">IF(EXACT(C50,TRIM(C50)),0,1)</f>
        <v>1</v>
      </c>
    </row>
    <row r="51" customFormat="false" ht="15" hidden="false" customHeight="false" outlineLevel="0" collapsed="false">
      <c r="A51" s="0" t="s">
        <v>181</v>
      </c>
      <c r="B51" s="0" t="s">
        <v>183</v>
      </c>
      <c r="C51" s="0" t="s">
        <v>184</v>
      </c>
      <c r="D51" s="0" t="n">
        <v>25</v>
      </c>
      <c r="E51" s="6" t="n">
        <v>40603.3993055556</v>
      </c>
      <c r="F51" s="0" t="n">
        <v>0.42</v>
      </c>
      <c r="G51" s="0" t="n">
        <v>12428</v>
      </c>
      <c r="H51" s="0" t="s">
        <v>182</v>
      </c>
      <c r="I51" s="7" t="str">
        <f aca="false">UPPER(TRIM(B51))</f>
        <v>22706</v>
      </c>
      <c r="J51" s="7" t="str">
        <f aca="false">PROPER(TRIM(C51))</f>
        <v>Wrap Cowboys</v>
      </c>
      <c r="K51" s="7" t="str">
        <f aca="false">SUBSTITUTE(SUBSTITUTE(SUBSTITUTE(H51,"EIRE","Ireland"),"RSA","South Africa"),"USA","United States")</f>
        <v>Finland</v>
      </c>
      <c r="L51" s="7" t="str">
        <f aca="false">IF(LEFT(A51,1)="C","Cancel","Sale")</f>
        <v>Sale</v>
      </c>
      <c r="M51" s="7" t="str">
        <f aca="false">IF(G51="","Guest",REPLACE(G51,3,2,"**"))</f>
        <v>12**8</v>
      </c>
      <c r="N51" s="7" t="str">
        <f aca="false">_xlfn.CONCAT(A51,"-",I51)</f>
        <v>545227-22706</v>
      </c>
      <c r="O51" s="7" t="str">
        <f aca="false">LOWER(SUBSTITUTE(TRIM(C51)," ","-"))</f>
        <v>wrap-cowboys</v>
      </c>
      <c r="P51" s="7" t="n">
        <f aca="false">IF(EXACT(C51,TRIM(C51)),0,1)</f>
        <v>1</v>
      </c>
    </row>
    <row r="52" customFormat="false" ht="15" hidden="false" customHeight="false" outlineLevel="0" collapsed="false">
      <c r="A52" s="0" t="s">
        <v>185</v>
      </c>
      <c r="B52" s="0" t="s">
        <v>186</v>
      </c>
      <c r="C52" s="0" t="s">
        <v>187</v>
      </c>
      <c r="D52" s="0" t="n">
        <v>6</v>
      </c>
      <c r="E52" s="6" t="n">
        <v>40605.4034722222</v>
      </c>
      <c r="F52" s="0" t="n">
        <v>3.25</v>
      </c>
      <c r="G52" s="0" t="n">
        <v>16571</v>
      </c>
      <c r="H52" s="0" t="s">
        <v>36</v>
      </c>
      <c r="I52" s="7" t="str">
        <f aca="false">UPPER(TRIM(B52))</f>
        <v>22989</v>
      </c>
      <c r="J52" s="7" t="str">
        <f aca="false">PROPER(TRIM(C52))</f>
        <v>Set 2 Pantry Design Tea Towels</v>
      </c>
      <c r="K52" s="7" t="str">
        <f aca="false">SUBSTITUTE(SUBSTITUTE(SUBSTITUTE(H52,"EIRE","Ireland"),"RSA","South Africa"),"USA","United States")</f>
        <v>United Kingdom</v>
      </c>
      <c r="L52" s="7" t="str">
        <f aca="false">IF(LEFT(A52,1)="C","Cancel","Sale")</f>
        <v>Sale</v>
      </c>
      <c r="M52" s="7" t="str">
        <f aca="false">IF(G52="","Guest",REPLACE(G52,3,2,"**"))</f>
        <v>16**1</v>
      </c>
      <c r="N52" s="7" t="str">
        <f aca="false">_xlfn.CONCAT(A52,"-",I52)</f>
        <v>545468-22989</v>
      </c>
      <c r="O52" s="7" t="str">
        <f aca="false">LOWER(SUBSTITUTE(TRIM(C52)," ","-"))</f>
        <v>set-2-pantry-design-tea-towels</v>
      </c>
      <c r="P52" s="7" t="n">
        <f aca="false">IF(EXACT(C52,TRIM(C52)),0,1)</f>
        <v>0</v>
      </c>
    </row>
    <row r="53" customFormat="false" ht="15" hidden="false" customHeight="false" outlineLevel="0" collapsed="false">
      <c r="A53" s="0" t="s">
        <v>188</v>
      </c>
      <c r="B53" s="0" t="s">
        <v>189</v>
      </c>
      <c r="C53" s="0" t="s">
        <v>190</v>
      </c>
      <c r="D53" s="0" t="n">
        <v>12</v>
      </c>
      <c r="E53" s="6" t="n">
        <v>40612.3534722222</v>
      </c>
      <c r="F53" s="0" t="n">
        <v>1.45</v>
      </c>
      <c r="G53" s="0" t="n">
        <v>15632</v>
      </c>
      <c r="H53" s="0" t="s">
        <v>36</v>
      </c>
      <c r="I53" s="7" t="str">
        <f aca="false">UPPER(TRIM(B53))</f>
        <v>82552</v>
      </c>
      <c r="J53" s="7" t="str">
        <f aca="false">PROPER(TRIM(C53))</f>
        <v>Washroom Metal Sign</v>
      </c>
      <c r="K53" s="7" t="str">
        <f aca="false">SUBSTITUTE(SUBSTITUTE(SUBSTITUTE(H53,"EIRE","Ireland"),"RSA","South Africa"),"USA","United States")</f>
        <v>United Kingdom</v>
      </c>
      <c r="L53" s="7" t="str">
        <f aca="false">IF(LEFT(A53,1)="C","Cancel","Sale")</f>
        <v>Sale</v>
      </c>
      <c r="M53" s="7" t="str">
        <f aca="false">IF(G53="","Guest",REPLACE(G53,3,2,"**"))</f>
        <v>15**2</v>
      </c>
      <c r="N53" s="7" t="str">
        <f aca="false">_xlfn.CONCAT(A53,"-",I53)</f>
        <v>546155-82552</v>
      </c>
      <c r="O53" s="7" t="str">
        <f aca="false">LOWER(SUBSTITUTE(TRIM(C53)," ","-"))</f>
        <v>washroom-metal-sign</v>
      </c>
      <c r="P53" s="7" t="n">
        <f aca="false">IF(EXACT(C53,TRIM(C53)),0,1)</f>
        <v>0</v>
      </c>
    </row>
    <row r="54" customFormat="false" ht="15" hidden="false" customHeight="false" outlineLevel="0" collapsed="false">
      <c r="A54" s="0" t="s">
        <v>191</v>
      </c>
      <c r="B54" s="0" t="s">
        <v>192</v>
      </c>
      <c r="C54" s="0" t="s">
        <v>193</v>
      </c>
      <c r="D54" s="0" t="n">
        <v>1</v>
      </c>
      <c r="E54" s="6" t="n">
        <v>40613.68125</v>
      </c>
      <c r="F54" s="0" t="n">
        <v>15.79</v>
      </c>
      <c r="H54" s="0" t="s">
        <v>36</v>
      </c>
      <c r="I54" s="7" t="str">
        <f aca="false">UPPER(TRIM(B54))</f>
        <v>22366</v>
      </c>
      <c r="J54" s="7" t="str">
        <f aca="false">PROPER(TRIM(C54))</f>
        <v>Doormat Airmail</v>
      </c>
      <c r="K54" s="7" t="str">
        <f aca="false">SUBSTITUTE(SUBSTITUTE(SUBSTITUTE(H54,"EIRE","Ireland"),"RSA","South Africa"),"USA","United States")</f>
        <v>United Kingdom</v>
      </c>
      <c r="L54" s="7" t="str">
        <f aca="false">IF(LEFT(A54,1)="C","Cancel","Sale")</f>
        <v>Sale</v>
      </c>
      <c r="M54" s="7" t="str">
        <f aca="false">IF(G54="","Guest",REPLACE(G54,3,2,"**"))</f>
        <v>Guest</v>
      </c>
      <c r="N54" s="7" t="str">
        <f aca="false">_xlfn.CONCAT(A54,"-",I54)</f>
        <v>546406-22366</v>
      </c>
      <c r="O54" s="7" t="str">
        <f aca="false">LOWER(SUBSTITUTE(TRIM(C54)," ","-"))</f>
        <v>doormat-airmail</v>
      </c>
      <c r="P54" s="7" t="n">
        <f aca="false">IF(EXACT(C54,TRIM(C54)),0,1)</f>
        <v>1</v>
      </c>
    </row>
    <row r="55" customFormat="false" ht="15" hidden="false" customHeight="false" outlineLevel="0" collapsed="false">
      <c r="A55" s="0" t="s">
        <v>194</v>
      </c>
      <c r="B55" s="0" t="s">
        <v>195</v>
      </c>
      <c r="C55" s="0" t="s">
        <v>196</v>
      </c>
      <c r="D55" s="0" t="n">
        <v>1</v>
      </c>
      <c r="E55" s="6" t="n">
        <v>40615.5354166667</v>
      </c>
      <c r="F55" s="0" t="n">
        <v>2.95</v>
      </c>
      <c r="G55" s="0" t="n">
        <v>13956</v>
      </c>
      <c r="H55" s="0" t="s">
        <v>36</v>
      </c>
      <c r="I55" s="7" t="str">
        <f aca="false">UPPER(TRIM(B55))</f>
        <v>22173</v>
      </c>
      <c r="J55" s="7" t="str">
        <f aca="false">PROPER(TRIM(C55))</f>
        <v>Metal 4 Hook Hanger French Chateau</v>
      </c>
      <c r="K55" s="7" t="str">
        <f aca="false">SUBSTITUTE(SUBSTITUTE(SUBSTITUTE(H55,"EIRE","Ireland"),"RSA","South Africa"),"USA","United States")</f>
        <v>United Kingdom</v>
      </c>
      <c r="L55" s="7" t="str">
        <f aca="false">IF(LEFT(A55,1)="C","Cancel","Sale")</f>
        <v>Sale</v>
      </c>
      <c r="M55" s="7" t="str">
        <f aca="false">IF(G55="","Guest",REPLACE(G55,3,2,"**"))</f>
        <v>13**6</v>
      </c>
      <c r="N55" s="7" t="str">
        <f aca="false">_xlfn.CONCAT(A55,"-",I55)</f>
        <v>546424-22173</v>
      </c>
      <c r="O55" s="7" t="str">
        <f aca="false">LOWER(SUBSTITUTE(TRIM(C55)," ","-"))</f>
        <v>metal-4-hook-hanger-french-chateau</v>
      </c>
      <c r="P55" s="7" t="n">
        <f aca="false">IF(EXACT(C55,TRIM(C55)),0,1)</f>
        <v>0</v>
      </c>
    </row>
    <row r="56" customFormat="false" ht="15" hidden="false" customHeight="false" outlineLevel="0" collapsed="false">
      <c r="A56" s="0" t="s">
        <v>197</v>
      </c>
      <c r="B56" s="0" t="s">
        <v>171</v>
      </c>
      <c r="C56" s="0" t="s">
        <v>172</v>
      </c>
      <c r="D56" s="0" t="n">
        <v>8</v>
      </c>
      <c r="E56" s="6" t="n">
        <v>40616.61875</v>
      </c>
      <c r="F56" s="0" t="n">
        <v>1.95</v>
      </c>
      <c r="G56" s="0" t="n">
        <v>16327</v>
      </c>
      <c r="H56" s="0" t="s">
        <v>36</v>
      </c>
      <c r="I56" s="7" t="str">
        <f aca="false">UPPER(TRIM(B56))</f>
        <v>47591D</v>
      </c>
      <c r="J56" s="7" t="str">
        <f aca="false">PROPER(TRIM(C56))</f>
        <v>Pink Fairy Cake Childrens Apron</v>
      </c>
      <c r="K56" s="7" t="str">
        <f aca="false">SUBSTITUTE(SUBSTITUTE(SUBSTITUTE(H56,"EIRE","Ireland"),"RSA","South Africa"),"USA","United States")</f>
        <v>United Kingdom</v>
      </c>
      <c r="L56" s="7" t="str">
        <f aca="false">IF(LEFT(A56,1)="C","Cancel","Sale")</f>
        <v>Sale</v>
      </c>
      <c r="M56" s="7" t="str">
        <f aca="false">IF(G56="","Guest",REPLACE(G56,3,2,"**"))</f>
        <v>16**7</v>
      </c>
      <c r="N56" s="7" t="str">
        <f aca="false">_xlfn.CONCAT(A56,"-",I56)</f>
        <v>546538-47591D</v>
      </c>
      <c r="O56" s="7" t="str">
        <f aca="false">LOWER(SUBSTITUTE(TRIM(C56)," ","-"))</f>
        <v>pink-fairy-cake-childrens-apron</v>
      </c>
      <c r="P56" s="7" t="n">
        <f aca="false">IF(EXACT(C56,TRIM(C56)),0,1)</f>
        <v>0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0" t="s">
        <v>200</v>
      </c>
      <c r="D57" s="0" t="n">
        <v>8</v>
      </c>
      <c r="E57" s="6" t="n">
        <v>40618.4284722222</v>
      </c>
      <c r="F57" s="0" t="n">
        <v>1.95</v>
      </c>
      <c r="G57" s="0" t="n">
        <v>16497</v>
      </c>
      <c r="H57" s="0" t="s">
        <v>36</v>
      </c>
      <c r="I57" s="7" t="str">
        <f aca="false">UPPER(TRIM(B57))</f>
        <v>22789</v>
      </c>
      <c r="J57" s="7" t="str">
        <f aca="false">PROPER(TRIM(C57))</f>
        <v>T-Light Holder Sweetheart Hanging</v>
      </c>
      <c r="K57" s="7" t="str">
        <f aca="false">SUBSTITUTE(SUBSTITUTE(SUBSTITUTE(H57,"EIRE","Ireland"),"RSA","South Africa"),"USA","United States")</f>
        <v>United Kingdom</v>
      </c>
      <c r="L57" s="7" t="str">
        <f aca="false">IF(LEFT(A57,1)="C","Cancel","Sale")</f>
        <v>Sale</v>
      </c>
      <c r="M57" s="7" t="str">
        <f aca="false">IF(G57="","Guest",REPLACE(G57,3,2,"**"))</f>
        <v>16**7</v>
      </c>
      <c r="N57" s="7" t="str">
        <f aca="false">_xlfn.CONCAT(A57,"-",I57)</f>
        <v>546688-22789</v>
      </c>
      <c r="O57" s="7" t="str">
        <f aca="false">LOWER(SUBSTITUTE(TRIM(C57)," ","-"))</f>
        <v>t-light-holder-sweetheart-hanging</v>
      </c>
      <c r="P57" s="7" t="n">
        <f aca="false">IF(EXACT(C57,TRIM(C57)),0,1)</f>
        <v>0</v>
      </c>
    </row>
    <row r="58" customFormat="false" ht="15" hidden="false" customHeight="false" outlineLevel="0" collapsed="false">
      <c r="A58" s="0" t="s">
        <v>201</v>
      </c>
      <c r="B58" s="0" t="s">
        <v>202</v>
      </c>
      <c r="C58" s="0" t="s">
        <v>203</v>
      </c>
      <c r="D58" s="0" t="n">
        <v>16</v>
      </c>
      <c r="E58" s="6" t="n">
        <v>40619.4173611111</v>
      </c>
      <c r="F58" s="0" t="n">
        <v>1.69</v>
      </c>
      <c r="G58" s="0" t="n">
        <v>14035</v>
      </c>
      <c r="H58" s="0" t="s">
        <v>36</v>
      </c>
      <c r="I58" s="7" t="str">
        <f aca="false">UPPER(TRIM(B58))</f>
        <v>21136</v>
      </c>
      <c r="J58" s="7" t="str">
        <f aca="false">PROPER(TRIM(C58))</f>
        <v>Painted Metal Pears Assorted</v>
      </c>
      <c r="K58" s="7" t="str">
        <f aca="false">SUBSTITUTE(SUBSTITUTE(SUBSTITUTE(H58,"EIRE","Ireland"),"RSA","South Africa"),"USA","United States")</f>
        <v>United Kingdom</v>
      </c>
      <c r="L58" s="7" t="str">
        <f aca="false">IF(LEFT(A58,1)="C","Cancel","Sale")</f>
        <v>Sale</v>
      </c>
      <c r="M58" s="7" t="str">
        <f aca="false">IF(G58="","Guest",REPLACE(G58,3,2,"**"))</f>
        <v>14**5</v>
      </c>
      <c r="N58" s="7" t="str">
        <f aca="false">_xlfn.CONCAT(A58,"-",I58)</f>
        <v>546787-21136</v>
      </c>
      <c r="O58" s="7" t="str">
        <f aca="false">LOWER(SUBSTITUTE(TRIM(C58)," ","-"))</f>
        <v>painted-metal-pears-assorted</v>
      </c>
      <c r="P58" s="7" t="n">
        <f aca="false">IF(EXACT(C58,TRIM(C58)),0,1)</f>
        <v>0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0" t="s">
        <v>206</v>
      </c>
      <c r="D59" s="0" t="n">
        <v>3</v>
      </c>
      <c r="E59" s="6" t="n">
        <v>40620.6548611111</v>
      </c>
      <c r="F59" s="0" t="n">
        <v>4.95</v>
      </c>
      <c r="G59" s="0" t="n">
        <v>13046</v>
      </c>
      <c r="H59" s="0" t="s">
        <v>36</v>
      </c>
      <c r="I59" s="7" t="str">
        <f aca="false">UPPER(TRIM(B59))</f>
        <v>22720</v>
      </c>
      <c r="J59" s="7" t="str">
        <f aca="false">PROPER(TRIM(C59))</f>
        <v>Set Of 3 Cake Tins Pantry Design</v>
      </c>
      <c r="K59" s="7" t="str">
        <f aca="false">SUBSTITUTE(SUBSTITUTE(SUBSTITUTE(H59,"EIRE","Ireland"),"RSA","South Africa"),"USA","United States")</f>
        <v>United Kingdom</v>
      </c>
      <c r="L59" s="7" t="str">
        <f aca="false">IF(LEFT(A59,1)="C","Cancel","Sale")</f>
        <v>Sale</v>
      </c>
      <c r="M59" s="7" t="str">
        <f aca="false">IF(G59="","Guest",REPLACE(G59,3,2,"**"))</f>
        <v>13**6</v>
      </c>
      <c r="N59" s="7" t="str">
        <f aca="false">_xlfn.CONCAT(A59,"-",I59)</f>
        <v>547021-22720</v>
      </c>
      <c r="O59" s="7" t="str">
        <f aca="false">LOWER(SUBSTITUTE(TRIM(C59)," ","-"))</f>
        <v>set-of-3-cake-tins-pantry-design</v>
      </c>
      <c r="P59" s="7" t="n">
        <f aca="false">IF(EXACT(C59,TRIM(C59)),0,1)</f>
        <v>1</v>
      </c>
    </row>
    <row r="60" customFormat="false" ht="15" hidden="false" customHeight="false" outlineLevel="0" collapsed="false">
      <c r="A60" s="0" t="s">
        <v>207</v>
      </c>
      <c r="B60" s="0" t="s">
        <v>208</v>
      </c>
      <c r="C60" s="0" t="s">
        <v>209</v>
      </c>
      <c r="D60" s="0" t="n">
        <v>1</v>
      </c>
      <c r="E60" s="6" t="n">
        <v>40623.6319444445</v>
      </c>
      <c r="F60" s="0" t="n">
        <v>1.45</v>
      </c>
      <c r="G60" s="0" t="n">
        <v>12867</v>
      </c>
      <c r="H60" s="0" t="s">
        <v>36</v>
      </c>
      <c r="I60" s="7" t="str">
        <f aca="false">UPPER(TRIM(B60))</f>
        <v>21211</v>
      </c>
      <c r="J60" s="7" t="str">
        <f aca="false">PROPER(TRIM(C60))</f>
        <v>Set Of 72 Skull Paper Doilies</v>
      </c>
      <c r="K60" s="7" t="str">
        <f aca="false">SUBSTITUTE(SUBSTITUTE(SUBSTITUTE(H60,"EIRE","Ireland"),"RSA","South Africa"),"USA","United States")</f>
        <v>United Kingdom</v>
      </c>
      <c r="L60" s="7" t="str">
        <f aca="false">IF(LEFT(A60,1)="C","Cancel","Sale")</f>
        <v>Sale</v>
      </c>
      <c r="M60" s="7" t="str">
        <f aca="false">IF(G60="","Guest",REPLACE(G60,3,2,"**"))</f>
        <v>12**7</v>
      </c>
      <c r="N60" s="7" t="str">
        <f aca="false">_xlfn.CONCAT(A60,"-",I60)</f>
        <v>547223-21211</v>
      </c>
      <c r="O60" s="7" t="str">
        <f aca="false">LOWER(SUBSTITUTE(TRIM(C60)," ","-"))</f>
        <v>set-of-72-skull-paper-doilies</v>
      </c>
      <c r="P60" s="7" t="n">
        <f aca="false">IF(EXACT(C60,TRIM(C60)),0,1)</f>
        <v>1</v>
      </c>
    </row>
    <row r="61" customFormat="false" ht="15" hidden="false" customHeight="false" outlineLevel="0" collapsed="false">
      <c r="A61" s="0" t="s">
        <v>210</v>
      </c>
      <c r="B61" s="0" t="s">
        <v>211</v>
      </c>
      <c r="C61" s="0" t="s">
        <v>212</v>
      </c>
      <c r="D61" s="0" t="n">
        <v>2</v>
      </c>
      <c r="E61" s="6" t="n">
        <v>40624.3909722222</v>
      </c>
      <c r="F61" s="0" t="n">
        <v>7.46</v>
      </c>
      <c r="H61" s="0" t="s">
        <v>36</v>
      </c>
      <c r="I61" s="7" t="str">
        <f aca="false">UPPER(TRIM(B61))</f>
        <v>22072</v>
      </c>
      <c r="J61" s="7" t="str">
        <f aca="false">PROPER(TRIM(C61))</f>
        <v>Red Retrospot Tea Cup And Saucer</v>
      </c>
      <c r="K61" s="7" t="str">
        <f aca="false">SUBSTITUTE(SUBSTITUTE(SUBSTITUTE(H61,"EIRE","Ireland"),"RSA","South Africa"),"USA","United States")</f>
        <v>United Kingdom</v>
      </c>
      <c r="L61" s="7" t="str">
        <f aca="false">IF(LEFT(A61,1)="C","Cancel","Sale")</f>
        <v>Sale</v>
      </c>
      <c r="M61" s="7" t="str">
        <f aca="false">IF(G61="","Guest",REPLACE(G61,3,2,"**"))</f>
        <v>Guest</v>
      </c>
      <c r="N61" s="7" t="str">
        <f aca="false">_xlfn.CONCAT(A61,"-",I61)</f>
        <v>547248-22072</v>
      </c>
      <c r="O61" s="7" t="str">
        <f aca="false">LOWER(SUBSTITUTE(TRIM(C61)," ","-"))</f>
        <v>red-retrospot-tea-cup-and-saucer</v>
      </c>
      <c r="P61" s="7" t="n">
        <f aca="false">IF(EXACT(C61,TRIM(C61)),0,1)</f>
        <v>1</v>
      </c>
    </row>
    <row r="62" customFormat="false" ht="15" hidden="false" customHeight="false" outlineLevel="0" collapsed="false">
      <c r="A62" s="0" t="s">
        <v>213</v>
      </c>
      <c r="B62" s="0" t="s">
        <v>214</v>
      </c>
      <c r="C62" s="0" t="s">
        <v>215</v>
      </c>
      <c r="D62" s="0" t="n">
        <v>2</v>
      </c>
      <c r="E62" s="6" t="n">
        <v>40624.5173611111</v>
      </c>
      <c r="F62" s="0" t="n">
        <v>2.95</v>
      </c>
      <c r="G62" s="0" t="n">
        <v>15998</v>
      </c>
      <c r="H62" s="0" t="s">
        <v>36</v>
      </c>
      <c r="I62" s="7" t="str">
        <f aca="false">UPPER(TRIM(B62))</f>
        <v>84558A</v>
      </c>
      <c r="J62" s="7" t="str">
        <f aca="false">PROPER(TRIM(C62))</f>
        <v>3D Dog Picture Playing Cards</v>
      </c>
      <c r="K62" s="7" t="str">
        <f aca="false">SUBSTITUTE(SUBSTITUTE(SUBSTITUTE(H62,"EIRE","Ireland"),"RSA","South Africa"),"USA","United States")</f>
        <v>United Kingdom</v>
      </c>
      <c r="L62" s="7" t="str">
        <f aca="false">IF(LEFT(A62,1)="C","Cancel","Sale")</f>
        <v>Sale</v>
      </c>
      <c r="M62" s="7" t="str">
        <f aca="false">IF(G62="","Guest",REPLACE(G62,3,2,"**"))</f>
        <v>15**8</v>
      </c>
      <c r="N62" s="7" t="str">
        <f aca="false">_xlfn.CONCAT(A62,"-",I62)</f>
        <v>547358-84558A</v>
      </c>
      <c r="O62" s="7" t="str">
        <f aca="false">LOWER(SUBSTITUTE(TRIM(C62)," ","-"))</f>
        <v>3d-dog-picture-playing-cards</v>
      </c>
      <c r="P62" s="7" t="n">
        <f aca="false">IF(EXACT(C62,TRIM(C62)),0,1)</f>
        <v>0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0" t="s">
        <v>218</v>
      </c>
      <c r="D63" s="0" t="n">
        <v>6</v>
      </c>
      <c r="E63" s="6" t="n">
        <v>40624.51875</v>
      </c>
      <c r="F63" s="0" t="n">
        <v>0.39</v>
      </c>
      <c r="G63" s="0" t="n">
        <v>15719</v>
      </c>
      <c r="H63" s="0" t="s">
        <v>36</v>
      </c>
      <c r="I63" s="7" t="str">
        <f aca="false">UPPER(TRIM(B63))</f>
        <v>22066</v>
      </c>
      <c r="J63" s="7" t="str">
        <f aca="false">PROPER(TRIM(C63))</f>
        <v>Love Heart Trinket Pot</v>
      </c>
      <c r="K63" s="7" t="str">
        <f aca="false">SUBSTITUTE(SUBSTITUTE(SUBSTITUTE(H63,"EIRE","Ireland"),"RSA","South Africa"),"USA","United States")</f>
        <v>United Kingdom</v>
      </c>
      <c r="L63" s="7" t="str">
        <f aca="false">IF(LEFT(A63,1)="C","Cancel","Sale")</f>
        <v>Sale</v>
      </c>
      <c r="M63" s="7" t="str">
        <f aca="false">IF(G63="","Guest",REPLACE(G63,3,2,"**"))</f>
        <v>15**9</v>
      </c>
      <c r="N63" s="7" t="str">
        <f aca="false">_xlfn.CONCAT(A63,"-",I63)</f>
        <v>547359-22066</v>
      </c>
      <c r="O63" s="7" t="str">
        <f aca="false">LOWER(SUBSTITUTE(TRIM(C63)," ","-"))</f>
        <v>love-heart-trinket-pot</v>
      </c>
      <c r="P63" s="7" t="n">
        <f aca="false">IF(EXACT(C63,TRIM(C63)),0,1)</f>
        <v>0</v>
      </c>
    </row>
    <row r="64" customFormat="false" ht="15" hidden="false" customHeight="false" outlineLevel="0" collapsed="false">
      <c r="A64" s="0" t="s">
        <v>219</v>
      </c>
      <c r="B64" s="0" t="s">
        <v>220</v>
      </c>
      <c r="C64" s="0" t="s">
        <v>221</v>
      </c>
      <c r="D64" s="0" t="n">
        <v>1</v>
      </c>
      <c r="E64" s="6" t="n">
        <v>40626.5076388889</v>
      </c>
      <c r="F64" s="0" t="n">
        <v>2.55</v>
      </c>
      <c r="G64" s="0" t="n">
        <v>16904</v>
      </c>
      <c r="H64" s="0" t="s">
        <v>36</v>
      </c>
      <c r="I64" s="7" t="str">
        <f aca="false">UPPER(TRIM(B64))</f>
        <v>22467</v>
      </c>
      <c r="J64" s="7" t="str">
        <f aca="false">PROPER(TRIM(C64))</f>
        <v>Gumball Coat Rack</v>
      </c>
      <c r="K64" s="7" t="str">
        <f aca="false">SUBSTITUTE(SUBSTITUTE(SUBSTITUTE(H64,"EIRE","Ireland"),"RSA","South Africa"),"USA","United States")</f>
        <v>United Kingdom</v>
      </c>
      <c r="L64" s="7" t="str">
        <f aca="false">IF(LEFT(A64,1)="C","Cancel","Sale")</f>
        <v>Sale</v>
      </c>
      <c r="M64" s="7" t="str">
        <f aca="false">IF(G64="","Guest",REPLACE(G64,3,2,"**"))</f>
        <v>16**4</v>
      </c>
      <c r="N64" s="7" t="str">
        <f aca="false">_xlfn.CONCAT(A64,"-",I64)</f>
        <v>547651-22467</v>
      </c>
      <c r="O64" s="7" t="str">
        <f aca="false">LOWER(SUBSTITUTE(TRIM(C64)," ","-"))</f>
        <v>gumball-coat-rack</v>
      </c>
      <c r="P64" s="7" t="n">
        <f aca="false">IF(EXACT(C64,TRIM(C64)),0,1)</f>
        <v>0</v>
      </c>
    </row>
    <row r="65" customFormat="false" ht="15" hidden="false" customHeight="false" outlineLevel="0" collapsed="false">
      <c r="A65" s="0" t="s">
        <v>222</v>
      </c>
      <c r="B65" s="0" t="s">
        <v>223</v>
      </c>
      <c r="C65" s="0" t="s">
        <v>224</v>
      </c>
      <c r="D65" s="0" t="n">
        <v>3</v>
      </c>
      <c r="E65" s="6" t="n">
        <v>40631.5708333333</v>
      </c>
      <c r="F65" s="0" t="n">
        <v>8.29</v>
      </c>
      <c r="H65" s="0" t="s">
        <v>36</v>
      </c>
      <c r="I65" s="7" t="str">
        <f aca="false">UPPER(TRIM(B65))</f>
        <v>84997D</v>
      </c>
      <c r="J65" s="7" t="str">
        <f aca="false">PROPER(TRIM(C65))</f>
        <v>Childrens Cutlery Polkadot Pink</v>
      </c>
      <c r="K65" s="7" t="str">
        <f aca="false">SUBSTITUTE(SUBSTITUTE(SUBSTITUTE(H65,"EIRE","Ireland"),"RSA","South Africa"),"USA","United States")</f>
        <v>United Kingdom</v>
      </c>
      <c r="L65" s="7" t="str">
        <f aca="false">IF(LEFT(A65,1)="C","Cancel","Sale")</f>
        <v>Sale</v>
      </c>
      <c r="M65" s="7" t="str">
        <f aca="false">IF(G65="","Guest",REPLACE(G65,3,2,"**"))</f>
        <v>Guest</v>
      </c>
      <c r="N65" s="7" t="str">
        <f aca="false">_xlfn.CONCAT(A65,"-",I65)</f>
        <v>548162-84997D</v>
      </c>
      <c r="O65" s="7" t="str">
        <f aca="false">LOWER(SUBSTITUTE(TRIM(C65)," ","-"))</f>
        <v>childrens-cutlery-polkadot-pink</v>
      </c>
      <c r="P65" s="7" t="n">
        <f aca="false">IF(EXACT(C65,TRIM(C65)),0,1)</f>
        <v>0</v>
      </c>
    </row>
    <row r="66" customFormat="false" ht="15" hidden="false" customHeight="false" outlineLevel="0" collapsed="false">
      <c r="A66" s="0" t="s">
        <v>225</v>
      </c>
      <c r="B66" s="0" t="s">
        <v>226</v>
      </c>
      <c r="C66" s="0" t="s">
        <v>227</v>
      </c>
      <c r="D66" s="0" t="n">
        <v>12</v>
      </c>
      <c r="E66" s="6" t="n">
        <v>40633.4631944444</v>
      </c>
      <c r="F66" s="0" t="n">
        <v>0.85</v>
      </c>
      <c r="G66" s="0" t="n">
        <v>18041</v>
      </c>
      <c r="H66" s="0" t="s">
        <v>36</v>
      </c>
      <c r="I66" s="7" t="str">
        <f aca="false">UPPER(TRIM(B66))</f>
        <v>22133</v>
      </c>
      <c r="J66" s="7" t="str">
        <f aca="false">PROPER(TRIM(C66))</f>
        <v>Pink Love Heart Shape Cup</v>
      </c>
      <c r="K66" s="7" t="str">
        <f aca="false">SUBSTITUTE(SUBSTITUTE(SUBSTITUTE(H66,"EIRE","Ireland"),"RSA","South Africa"),"USA","United States")</f>
        <v>United Kingdom</v>
      </c>
      <c r="L66" s="7" t="str">
        <f aca="false">IF(LEFT(A66,1)="C","Cancel","Sale")</f>
        <v>Sale</v>
      </c>
      <c r="M66" s="7" t="str">
        <f aca="false">IF(G66="","Guest",REPLACE(G66,3,2,"**"))</f>
        <v>18**1</v>
      </c>
      <c r="N66" s="7" t="str">
        <f aca="false">_xlfn.CONCAT(A66,"-",I66)</f>
        <v>548448-22133</v>
      </c>
      <c r="O66" s="7" t="str">
        <f aca="false">LOWER(SUBSTITUTE(TRIM(C66)," ","-"))</f>
        <v>pink-love-heart-shape-cup</v>
      </c>
      <c r="P66" s="7" t="n">
        <f aca="false">IF(EXACT(C66,TRIM(C66)),0,1)</f>
        <v>0</v>
      </c>
    </row>
    <row r="67" customFormat="false" ht="15" hidden="false" customHeight="false" outlineLevel="0" collapsed="false">
      <c r="A67" s="0" t="s">
        <v>228</v>
      </c>
      <c r="B67" s="0" t="s">
        <v>229</v>
      </c>
      <c r="C67" s="0" t="s">
        <v>230</v>
      </c>
      <c r="D67" s="0" t="n">
        <v>12</v>
      </c>
      <c r="E67" s="6" t="n">
        <v>40638.4215277778</v>
      </c>
      <c r="F67" s="0" t="n">
        <v>0.65</v>
      </c>
      <c r="G67" s="0" t="n">
        <v>14849</v>
      </c>
      <c r="H67" s="0" t="s">
        <v>36</v>
      </c>
      <c r="I67" s="7" t="str">
        <f aca="false">UPPER(TRIM(B67))</f>
        <v>22920</v>
      </c>
      <c r="J67" s="7" t="str">
        <f aca="false">PROPER(TRIM(C67))</f>
        <v>Herb Marker Basil</v>
      </c>
      <c r="K67" s="7" t="str">
        <f aca="false">SUBSTITUTE(SUBSTITUTE(SUBSTITUTE(H67,"EIRE","Ireland"),"RSA","South Africa"),"USA","United States")</f>
        <v>United Kingdom</v>
      </c>
      <c r="L67" s="7" t="str">
        <f aca="false">IF(LEFT(A67,1)="C","Cancel","Sale")</f>
        <v>Sale</v>
      </c>
      <c r="M67" s="7" t="str">
        <f aca="false">IF(G67="","Guest",REPLACE(G67,3,2,"**"))</f>
        <v>14**9</v>
      </c>
      <c r="N67" s="7" t="str">
        <f aca="false">_xlfn.CONCAT(A67,"-",I67)</f>
        <v>548916-22920</v>
      </c>
      <c r="O67" s="7" t="str">
        <f aca="false">LOWER(SUBSTITUTE(TRIM(C67)," ","-"))</f>
        <v>herb-marker-basil</v>
      </c>
      <c r="P67" s="7" t="n">
        <f aca="false">IF(EXACT(C67,TRIM(C67)),0,1)</f>
        <v>0</v>
      </c>
    </row>
    <row r="68" customFormat="false" ht="15" hidden="false" customHeight="false" outlineLevel="0" collapsed="false">
      <c r="A68" s="0" t="s">
        <v>231</v>
      </c>
      <c r="B68" s="0" t="s">
        <v>232</v>
      </c>
      <c r="C68" s="0" t="s">
        <v>233</v>
      </c>
      <c r="D68" s="0" t="n">
        <v>2</v>
      </c>
      <c r="E68" s="6" t="n">
        <v>40640.4861111111</v>
      </c>
      <c r="F68" s="0" t="n">
        <v>2.08</v>
      </c>
      <c r="G68" s="0" t="n">
        <v>15719</v>
      </c>
      <c r="H68" s="0" t="s">
        <v>36</v>
      </c>
      <c r="I68" s="7" t="str">
        <f aca="false">UPPER(TRIM(B68))</f>
        <v>21929</v>
      </c>
      <c r="J68" s="7" t="str">
        <f aca="false">PROPER(TRIM(C68))</f>
        <v>Jumbo Bag Pink Vintage Paisley</v>
      </c>
      <c r="K68" s="7" t="str">
        <f aca="false">SUBSTITUTE(SUBSTITUTE(SUBSTITUTE(H68,"EIRE","Ireland"),"RSA","South Africa"),"USA","United States")</f>
        <v>United Kingdom</v>
      </c>
      <c r="L68" s="7" t="str">
        <f aca="false">IF(LEFT(A68,1)="C","Cancel","Sale")</f>
        <v>Sale</v>
      </c>
      <c r="M68" s="7" t="str">
        <f aca="false">IF(G68="","Guest",REPLACE(G68,3,2,"**"))</f>
        <v>15**9</v>
      </c>
      <c r="N68" s="7" t="str">
        <f aca="false">_xlfn.CONCAT(A68,"-",I68)</f>
        <v>549241-21929</v>
      </c>
      <c r="O68" s="7" t="str">
        <f aca="false">LOWER(SUBSTITUTE(TRIM(C68)," ","-"))</f>
        <v>jumbo-bag-pink-vintage-paisley</v>
      </c>
      <c r="P68" s="7" t="n">
        <f aca="false">IF(EXACT(C68,TRIM(C68)),0,1)</f>
        <v>0</v>
      </c>
    </row>
    <row r="69" customFormat="false" ht="15" hidden="false" customHeight="false" outlineLevel="0" collapsed="false">
      <c r="A69" s="0" t="s">
        <v>234</v>
      </c>
      <c r="B69" s="0" t="s">
        <v>235</v>
      </c>
      <c r="C69" s="0" t="s">
        <v>236</v>
      </c>
      <c r="D69" s="0" t="n">
        <v>4</v>
      </c>
      <c r="E69" s="6" t="n">
        <v>40640.5673611111</v>
      </c>
      <c r="F69" s="0" t="n">
        <v>3.75</v>
      </c>
      <c r="G69" s="0" t="n">
        <v>15694</v>
      </c>
      <c r="H69" s="0" t="s">
        <v>36</v>
      </c>
      <c r="I69" s="7" t="str">
        <f aca="false">UPPER(TRIM(B69))</f>
        <v>22619</v>
      </c>
      <c r="J69" s="7" t="str">
        <f aca="false">PROPER(TRIM(C69))</f>
        <v>Set Of 6 Soldier Skittles</v>
      </c>
      <c r="K69" s="7" t="str">
        <f aca="false">SUBSTITUTE(SUBSTITUTE(SUBSTITUTE(H69,"EIRE","Ireland"),"RSA","South Africa"),"USA","United States")</f>
        <v>United Kingdom</v>
      </c>
      <c r="L69" s="7" t="str">
        <f aca="false">IF(LEFT(A69,1)="C","Cancel","Sale")</f>
        <v>Sale</v>
      </c>
      <c r="M69" s="7" t="str">
        <f aca="false">IF(G69="","Guest",REPLACE(G69,3,2,"**"))</f>
        <v>15**4</v>
      </c>
      <c r="N69" s="7" t="str">
        <f aca="false">_xlfn.CONCAT(A69,"-",I69)</f>
        <v>549284-22619</v>
      </c>
      <c r="O69" s="7" t="str">
        <f aca="false">LOWER(SUBSTITUTE(TRIM(C69)," ","-"))</f>
        <v>set-of-6-soldier-skittles</v>
      </c>
      <c r="P69" s="7" t="n">
        <f aca="false">IF(EXACT(C69,TRIM(C69)),0,1)</f>
        <v>0</v>
      </c>
    </row>
    <row r="70" customFormat="false" ht="15" hidden="false" customHeight="false" outlineLevel="0" collapsed="false">
      <c r="A70" s="0" t="s">
        <v>237</v>
      </c>
      <c r="B70" s="0" t="s">
        <v>238</v>
      </c>
      <c r="C70" s="0" t="s">
        <v>239</v>
      </c>
      <c r="D70" s="0" t="n">
        <v>1</v>
      </c>
      <c r="E70" s="6" t="n">
        <v>40644.4166666667</v>
      </c>
      <c r="F70" s="0" t="n">
        <v>3.29</v>
      </c>
      <c r="H70" s="0" t="s">
        <v>36</v>
      </c>
      <c r="I70" s="7" t="str">
        <f aca="false">UPPER(TRIM(B70))</f>
        <v>47559B</v>
      </c>
      <c r="J70" s="7" t="str">
        <f aca="false">PROPER(TRIM(C70))</f>
        <v>Tea Time Oven Glove</v>
      </c>
      <c r="K70" s="7" t="str">
        <f aca="false">SUBSTITUTE(SUBSTITUTE(SUBSTITUTE(H70,"EIRE","Ireland"),"RSA","South Africa"),"USA","United States")</f>
        <v>United Kingdom</v>
      </c>
      <c r="L70" s="7" t="str">
        <f aca="false">IF(LEFT(A70,1)="C","Cancel","Sale")</f>
        <v>Sale</v>
      </c>
      <c r="M70" s="7" t="str">
        <f aca="false">IF(G70="","Guest",REPLACE(G70,3,2,"**"))</f>
        <v>Guest</v>
      </c>
      <c r="N70" s="7" t="str">
        <f aca="false">_xlfn.CONCAT(A70,"-",I70)</f>
        <v>549586-47559B</v>
      </c>
      <c r="O70" s="7" t="str">
        <f aca="false">LOWER(SUBSTITUTE(TRIM(C70)," ","-"))</f>
        <v>tea-time-oven-glove</v>
      </c>
      <c r="P70" s="7" t="n">
        <f aca="false">IF(EXACT(C70,TRIM(C70)),0,1)</f>
        <v>0</v>
      </c>
    </row>
    <row r="71" customFormat="false" ht="15" hidden="false" customHeight="false" outlineLevel="0" collapsed="false">
      <c r="A71" s="0" t="s">
        <v>240</v>
      </c>
      <c r="B71" s="0" t="s">
        <v>241</v>
      </c>
      <c r="D71" s="0" t="n">
        <v>-24</v>
      </c>
      <c r="E71" s="6" t="n">
        <v>40644.5763888889</v>
      </c>
      <c r="F71" s="0" t="n">
        <v>0</v>
      </c>
      <c r="H71" s="0" t="s">
        <v>36</v>
      </c>
      <c r="I71" s="7" t="str">
        <f aca="false">UPPER(TRIM(B71))</f>
        <v>84751B</v>
      </c>
      <c r="J71" s="7" t="str">
        <f aca="false">PROPER(TRIM(C71))</f>
        <v/>
      </c>
      <c r="K71" s="7" t="str">
        <f aca="false">SUBSTITUTE(SUBSTITUTE(SUBSTITUTE(H71,"EIRE","Ireland"),"RSA","South Africa"),"USA","United States")</f>
        <v>United Kingdom</v>
      </c>
      <c r="L71" s="7" t="str">
        <f aca="false">IF(LEFT(A71,1)="C","Cancel","Sale")</f>
        <v>Sale</v>
      </c>
      <c r="M71" s="7" t="str">
        <f aca="false">IF(G71="","Guest",REPLACE(G71,3,2,"**"))</f>
        <v>Guest</v>
      </c>
      <c r="N71" s="7" t="str">
        <f aca="false">_xlfn.CONCAT(A71,"-",I71)</f>
        <v>549695-84751B</v>
      </c>
      <c r="O71" s="7" t="str">
        <f aca="false">LOWER(SUBSTITUTE(TRIM(C71)," ","-"))</f>
        <v/>
      </c>
      <c r="P71" s="7" t="n">
        <f aca="false">IF(EXACT(C71,TRIM(C71)),0,1)</f>
        <v>0</v>
      </c>
    </row>
    <row r="72" customFormat="false" ht="15" hidden="false" customHeight="false" outlineLevel="0" collapsed="false">
      <c r="A72" s="0" t="s">
        <v>242</v>
      </c>
      <c r="B72" s="0" t="s">
        <v>243</v>
      </c>
      <c r="C72" s="0" t="s">
        <v>244</v>
      </c>
      <c r="D72" s="0" t="n">
        <v>2</v>
      </c>
      <c r="E72" s="6" t="n">
        <v>40644.5923611111</v>
      </c>
      <c r="F72" s="0" t="n">
        <v>2.55</v>
      </c>
      <c r="H72" s="0" t="s">
        <v>36</v>
      </c>
      <c r="I72" s="7" t="str">
        <f aca="false">UPPER(TRIM(B72))</f>
        <v>22937</v>
      </c>
      <c r="J72" s="7" t="str">
        <f aca="false">PROPER(TRIM(C72))</f>
        <v>Baking Mould Chocolate Cupcakes</v>
      </c>
      <c r="K72" s="7" t="str">
        <f aca="false">SUBSTITUTE(SUBSTITUTE(SUBSTITUTE(H72,"EIRE","Ireland"),"RSA","South Africa"),"USA","United States")</f>
        <v>United Kingdom</v>
      </c>
      <c r="L72" s="7" t="str">
        <f aca="false">IF(LEFT(A72,1)="C","Cancel","Sale")</f>
        <v>Sale</v>
      </c>
      <c r="M72" s="7" t="str">
        <f aca="false">IF(G72="","Guest",REPLACE(G72,3,2,"**"))</f>
        <v>Guest</v>
      </c>
      <c r="N72" s="7" t="str">
        <f aca="false">_xlfn.CONCAT(A72,"-",I72)</f>
        <v>549714-22937</v>
      </c>
      <c r="O72" s="7" t="str">
        <f aca="false">LOWER(SUBSTITUTE(TRIM(C72)," ","-"))</f>
        <v>baking-mould-chocolate-cupcakes</v>
      </c>
      <c r="P72" s="7" t="n">
        <f aca="false">IF(EXACT(C72,TRIM(C72)),0,1)</f>
        <v>0</v>
      </c>
    </row>
    <row r="73" customFormat="false" ht="15" hidden="false" customHeight="false" outlineLevel="0" collapsed="false">
      <c r="A73" s="0" t="s">
        <v>245</v>
      </c>
      <c r="B73" s="0" t="s">
        <v>246</v>
      </c>
      <c r="C73" s="0" t="s">
        <v>247</v>
      </c>
      <c r="D73" s="0" t="n">
        <v>10</v>
      </c>
      <c r="E73" s="6" t="n">
        <v>40646.3972222222</v>
      </c>
      <c r="F73" s="0" t="n">
        <v>1.25</v>
      </c>
      <c r="G73" s="0" t="n">
        <v>18231</v>
      </c>
      <c r="H73" s="0" t="s">
        <v>36</v>
      </c>
      <c r="I73" s="7" t="str">
        <f aca="false">UPPER(TRIM(B73))</f>
        <v>22677</v>
      </c>
      <c r="J73" s="7" t="str">
        <f aca="false">PROPER(TRIM(C73))</f>
        <v>French Blue Metal Door Sign 2</v>
      </c>
      <c r="K73" s="7" t="str">
        <f aca="false">SUBSTITUTE(SUBSTITUTE(SUBSTITUTE(H73,"EIRE","Ireland"),"RSA","South Africa"),"USA","United States")</f>
        <v>United Kingdom</v>
      </c>
      <c r="L73" s="7" t="str">
        <f aca="false">IF(LEFT(A73,1)="C","Cancel","Sale")</f>
        <v>Sale</v>
      </c>
      <c r="M73" s="7" t="str">
        <f aca="false">IF(G73="","Guest",REPLACE(G73,3,2,"**"))</f>
        <v>18**1</v>
      </c>
      <c r="N73" s="7" t="str">
        <f aca="false">_xlfn.CONCAT(A73,"-",I73)</f>
        <v>549915-22677</v>
      </c>
      <c r="O73" s="7" t="str">
        <f aca="false">LOWER(SUBSTITUTE(TRIM(C73)," ","-"))</f>
        <v>french-blue-metal-door-sign-2</v>
      </c>
      <c r="P73" s="7" t="n">
        <f aca="false">IF(EXACT(C73,TRIM(C73)),0,1)</f>
        <v>0</v>
      </c>
    </row>
    <row r="74" customFormat="false" ht="15" hidden="false" customHeight="false" outlineLevel="0" collapsed="false">
      <c r="A74" s="0" t="s">
        <v>248</v>
      </c>
      <c r="B74" s="0" t="s">
        <v>249</v>
      </c>
      <c r="C74" s="0" t="s">
        <v>250</v>
      </c>
      <c r="D74" s="0" t="n">
        <v>1</v>
      </c>
      <c r="E74" s="6" t="n">
        <v>40648.4458333333</v>
      </c>
      <c r="F74" s="0" t="n">
        <v>12.46</v>
      </c>
      <c r="H74" s="0" t="s">
        <v>36</v>
      </c>
      <c r="I74" s="7" t="str">
        <f aca="false">UPPER(TRIM(B74))</f>
        <v>15056P</v>
      </c>
      <c r="J74" s="7" t="str">
        <f aca="false">PROPER(TRIM(C74))</f>
        <v>Edwardian Parasol Pink</v>
      </c>
      <c r="K74" s="7" t="str">
        <f aca="false">SUBSTITUTE(SUBSTITUTE(SUBSTITUTE(H74,"EIRE","Ireland"),"RSA","South Africa"),"USA","United States")</f>
        <v>United Kingdom</v>
      </c>
      <c r="L74" s="7" t="str">
        <f aca="false">IF(LEFT(A74,1)="C","Cancel","Sale")</f>
        <v>Sale</v>
      </c>
      <c r="M74" s="7" t="str">
        <f aca="false">IF(G74="","Guest",REPLACE(G74,3,2,"**"))</f>
        <v>Guest</v>
      </c>
      <c r="N74" s="7" t="str">
        <f aca="false">_xlfn.CONCAT(A74,"-",I74)</f>
        <v>550213-15056P</v>
      </c>
      <c r="O74" s="7" t="str">
        <f aca="false">LOWER(SUBSTITUTE(TRIM(C74)," ","-"))</f>
        <v>edwardian-parasol-pink</v>
      </c>
      <c r="P74" s="7" t="n">
        <f aca="false">IF(EXACT(C74,TRIM(C74)),0,1)</f>
        <v>0</v>
      </c>
    </row>
    <row r="75" customFormat="false" ht="15" hidden="false" customHeight="false" outlineLevel="0" collapsed="false">
      <c r="A75" s="0" t="s">
        <v>251</v>
      </c>
      <c r="B75" s="0" t="s">
        <v>252</v>
      </c>
      <c r="C75" s="0" t="s">
        <v>253</v>
      </c>
      <c r="D75" s="0" t="n">
        <v>1</v>
      </c>
      <c r="E75" s="6" t="n">
        <v>40651.5506944444</v>
      </c>
      <c r="F75" s="0" t="n">
        <v>4.96</v>
      </c>
      <c r="H75" s="0" t="s">
        <v>36</v>
      </c>
      <c r="I75" s="7" t="str">
        <f aca="false">UPPER(TRIM(B75))</f>
        <v>85150</v>
      </c>
      <c r="J75" s="7" t="str">
        <f aca="false">PROPER(TRIM(C75))</f>
        <v>Ladies &amp; Gentlemen Metal Sign</v>
      </c>
      <c r="K75" s="7" t="str">
        <f aca="false">SUBSTITUTE(SUBSTITUTE(SUBSTITUTE(H75,"EIRE","Ireland"),"RSA","South Africa"),"USA","United States")</f>
        <v>United Kingdom</v>
      </c>
      <c r="L75" s="7" t="str">
        <f aca="false">IF(LEFT(A75,1)="C","Cancel","Sale")</f>
        <v>Sale</v>
      </c>
      <c r="M75" s="7" t="str">
        <f aca="false">IF(G75="","Guest",REPLACE(G75,3,2,"**"))</f>
        <v>Guest</v>
      </c>
      <c r="N75" s="7" t="str">
        <f aca="false">_xlfn.CONCAT(A75,"-",I75)</f>
        <v>550458-85150</v>
      </c>
      <c r="O75" s="7" t="str">
        <f aca="false">LOWER(SUBSTITUTE(TRIM(C75)," ","-"))</f>
        <v>ladies-&amp;-gentlemen-metal-sign</v>
      </c>
      <c r="P75" s="7" t="n">
        <f aca="false">IF(EXACT(C75,TRIM(C75)),0,1)</f>
        <v>0</v>
      </c>
    </row>
    <row r="76" customFormat="false" ht="15" hidden="false" customHeight="false" outlineLevel="0" collapsed="false">
      <c r="A76" s="0" t="s">
        <v>254</v>
      </c>
      <c r="B76" s="0" t="s">
        <v>255</v>
      </c>
      <c r="C76" s="0" t="s">
        <v>256</v>
      </c>
      <c r="D76" s="0" t="n">
        <v>6</v>
      </c>
      <c r="E76" s="6" t="n">
        <v>40651.5736111111</v>
      </c>
      <c r="F76" s="0" t="n">
        <v>0.39</v>
      </c>
      <c r="G76" s="0" t="n">
        <v>16399</v>
      </c>
      <c r="H76" s="0" t="s">
        <v>36</v>
      </c>
      <c r="I76" s="7" t="str">
        <f aca="false">UPPER(TRIM(B76))</f>
        <v>37413</v>
      </c>
      <c r="J76" s="7" t="str">
        <f aca="false">PROPER(TRIM(C76))</f>
        <v>Icon Mug Revolutionary</v>
      </c>
      <c r="K76" s="7" t="str">
        <f aca="false">SUBSTITUTE(SUBSTITUTE(SUBSTITUTE(H76,"EIRE","Ireland"),"RSA","South Africa"),"USA","United States")</f>
        <v>United Kingdom</v>
      </c>
      <c r="L76" s="7" t="str">
        <f aca="false">IF(LEFT(A76,1)="C","Cancel","Sale")</f>
        <v>Sale</v>
      </c>
      <c r="M76" s="7" t="str">
        <f aca="false">IF(G76="","Guest",REPLACE(G76,3,2,"**"))</f>
        <v>16**9</v>
      </c>
      <c r="N76" s="7" t="str">
        <f aca="false">_xlfn.CONCAT(A76,"-",I76)</f>
        <v>550469-37413</v>
      </c>
      <c r="O76" s="7" t="str">
        <f aca="false">LOWER(SUBSTITUTE(TRIM(C76)," ","-"))</f>
        <v>icon-mug-revolutionary</v>
      </c>
      <c r="P76" s="7" t="n">
        <f aca="false">IF(EXACT(C76,TRIM(C76)),0,1)</f>
        <v>0</v>
      </c>
    </row>
    <row r="77" customFormat="false" ht="15" hidden="false" customHeight="false" outlineLevel="0" collapsed="false">
      <c r="A77" s="0" t="s">
        <v>257</v>
      </c>
      <c r="B77" s="0" t="s">
        <v>258</v>
      </c>
      <c r="C77" s="0" t="s">
        <v>259</v>
      </c>
      <c r="D77" s="0" t="n">
        <v>24</v>
      </c>
      <c r="E77" s="6" t="n">
        <v>40652.5479166667</v>
      </c>
      <c r="F77" s="0" t="n">
        <v>0.29</v>
      </c>
      <c r="G77" s="0" t="n">
        <v>14156</v>
      </c>
      <c r="H77" s="0" t="s">
        <v>80</v>
      </c>
      <c r="I77" s="7" t="str">
        <f aca="false">UPPER(TRIM(B77))</f>
        <v>21981</v>
      </c>
      <c r="J77" s="7" t="str">
        <f aca="false">PROPER(TRIM(C77))</f>
        <v>Pack Of 12 Woodland Tissues</v>
      </c>
      <c r="K77" s="7" t="str">
        <f aca="false">SUBSTITUTE(SUBSTITUTE(SUBSTITUTE(H77,"EIRE","Ireland"),"RSA","South Africa"),"USA","United States")</f>
        <v>Ireland</v>
      </c>
      <c r="L77" s="7" t="str">
        <f aca="false">IF(LEFT(A77,1)="C","Cancel","Sale")</f>
        <v>Sale</v>
      </c>
      <c r="M77" s="7" t="str">
        <f aca="false">IF(G77="","Guest",REPLACE(G77,3,2,"**"))</f>
        <v>14**6</v>
      </c>
      <c r="N77" s="7" t="str">
        <f aca="false">_xlfn.CONCAT(A77,"-",I77)</f>
        <v>550618-21981</v>
      </c>
      <c r="O77" s="7" t="str">
        <f aca="false">LOWER(SUBSTITUTE(TRIM(C77)," ","-"))</f>
        <v>pack-of-12-woodland-tissues</v>
      </c>
      <c r="P77" s="7" t="n">
        <f aca="false">IF(EXACT(C77,TRIM(C77)),0,1)</f>
        <v>1</v>
      </c>
    </row>
    <row r="78" customFormat="false" ht="15" hidden="false" customHeight="false" outlineLevel="0" collapsed="false">
      <c r="A78" s="0" t="s">
        <v>260</v>
      </c>
      <c r="B78" s="0" t="s">
        <v>261</v>
      </c>
      <c r="C78" s="0" t="s">
        <v>262</v>
      </c>
      <c r="D78" s="0" t="n">
        <v>36</v>
      </c>
      <c r="E78" s="6" t="n">
        <v>40652.6798611111</v>
      </c>
      <c r="F78" s="0" t="n">
        <v>0.85</v>
      </c>
      <c r="G78" s="0" t="n">
        <v>12733</v>
      </c>
      <c r="H78" s="0" t="s">
        <v>263</v>
      </c>
      <c r="I78" s="7" t="str">
        <f aca="false">UPPER(TRIM(B78))</f>
        <v>22129</v>
      </c>
      <c r="J78" s="7" t="str">
        <f aca="false">PROPER(TRIM(C78))</f>
        <v>Party Cones Candy Tree Decoration</v>
      </c>
      <c r="K78" s="7" t="str">
        <f aca="false">SUBSTITUTE(SUBSTITUTE(SUBSTITUTE(H78,"EIRE","Ireland"),"RSA","South Africa"),"USA","United States")</f>
        <v>United States</v>
      </c>
      <c r="L78" s="7" t="str">
        <f aca="false">IF(LEFT(A78,1)="C","Cancel","Sale")</f>
        <v>Sale</v>
      </c>
      <c r="M78" s="7" t="str">
        <f aca="false">IF(G78="","Guest",REPLACE(G78,3,2,"**"))</f>
        <v>12**3</v>
      </c>
      <c r="N78" s="7" t="str">
        <f aca="false">_xlfn.CONCAT(A78,"-",I78)</f>
        <v>550644-22129</v>
      </c>
      <c r="O78" s="7" t="str">
        <f aca="false">LOWER(SUBSTITUTE(TRIM(C78)," ","-"))</f>
        <v>party-cones-candy-tree-decoration</v>
      </c>
      <c r="P78" s="7" t="n">
        <f aca="false">IF(EXACT(C78,TRIM(C78)),0,1)</f>
        <v>0</v>
      </c>
    </row>
    <row r="79" customFormat="false" ht="15" hidden="false" customHeight="false" outlineLevel="0" collapsed="false">
      <c r="A79" s="0" t="s">
        <v>264</v>
      </c>
      <c r="B79" s="0" t="s">
        <v>265</v>
      </c>
      <c r="C79" s="0" t="s">
        <v>266</v>
      </c>
      <c r="D79" s="0" t="n">
        <v>1</v>
      </c>
      <c r="E79" s="6" t="n">
        <v>40660.7208333333</v>
      </c>
      <c r="F79" s="0" t="n">
        <v>3.29</v>
      </c>
      <c r="H79" s="0" t="s">
        <v>36</v>
      </c>
      <c r="I79" s="7" t="str">
        <f aca="false">UPPER(TRIM(B79))</f>
        <v>22233</v>
      </c>
      <c r="J79" s="7" t="str">
        <f aca="false">PROPER(TRIM(C79))</f>
        <v>Jigsaw Rabbit And Birdhouse</v>
      </c>
      <c r="K79" s="7" t="str">
        <f aca="false">SUBSTITUTE(SUBSTITUTE(SUBSTITUTE(H79,"EIRE","Ireland"),"RSA","South Africa"),"USA","United States")</f>
        <v>United Kingdom</v>
      </c>
      <c r="L79" s="7" t="str">
        <f aca="false">IF(LEFT(A79,1)="C","Cancel","Sale")</f>
        <v>Sale</v>
      </c>
      <c r="M79" s="7" t="str">
        <f aca="false">IF(G79="","Guest",REPLACE(G79,3,2,"**"))</f>
        <v>Guest</v>
      </c>
      <c r="N79" s="7" t="str">
        <f aca="false">_xlfn.CONCAT(A79,"-",I79)</f>
        <v>551339-22233</v>
      </c>
      <c r="O79" s="7" t="str">
        <f aca="false">LOWER(SUBSTITUTE(TRIM(C79)," ","-"))</f>
        <v>jigsaw-rabbit-and-birdhouse</v>
      </c>
      <c r="P79" s="7" t="n">
        <f aca="false">IF(EXACT(C79,TRIM(C79)),0,1)</f>
        <v>0</v>
      </c>
    </row>
    <row r="80" customFormat="false" ht="15" hidden="false" customHeight="false" outlineLevel="0" collapsed="false">
      <c r="A80" s="0" t="s">
        <v>267</v>
      </c>
      <c r="B80" s="0" t="s">
        <v>268</v>
      </c>
      <c r="C80" s="0" t="s">
        <v>269</v>
      </c>
      <c r="D80" s="0" t="n">
        <v>8</v>
      </c>
      <c r="E80" s="6" t="n">
        <v>40666.5069444445</v>
      </c>
      <c r="F80" s="0" t="n">
        <v>1.69</v>
      </c>
      <c r="G80" s="0" t="n">
        <v>14911</v>
      </c>
      <c r="H80" s="0" t="s">
        <v>80</v>
      </c>
      <c r="I80" s="7" t="str">
        <f aca="false">UPPER(TRIM(B80))</f>
        <v>21242</v>
      </c>
      <c r="J80" s="7" t="str">
        <f aca="false">PROPER(TRIM(C80))</f>
        <v>Red Retrospot Plate</v>
      </c>
      <c r="K80" s="7" t="str">
        <f aca="false">SUBSTITUTE(SUBSTITUTE(SUBSTITUTE(H80,"EIRE","Ireland"),"RSA","South Africa"),"USA","United States")</f>
        <v>Ireland</v>
      </c>
      <c r="L80" s="7" t="str">
        <f aca="false">IF(LEFT(A80,1)="C","Cancel","Sale")</f>
        <v>Sale</v>
      </c>
      <c r="M80" s="7" t="str">
        <f aca="false">IF(G80="","Guest",REPLACE(G80,3,2,"**"))</f>
        <v>14**1</v>
      </c>
      <c r="N80" s="7" t="str">
        <f aca="false">_xlfn.CONCAT(A80,"-",I80)</f>
        <v>551656-21242</v>
      </c>
      <c r="O80" s="7" t="str">
        <f aca="false">LOWER(SUBSTITUTE(TRIM(C80)," ","-"))</f>
        <v>red-retrospot-plate</v>
      </c>
      <c r="P80" s="7" t="n">
        <f aca="false">IF(EXACT(C80,TRIM(C80)),0,1)</f>
        <v>1</v>
      </c>
    </row>
    <row r="81" customFormat="false" ht="15" hidden="false" customHeight="false" outlineLevel="0" collapsed="false">
      <c r="A81" s="0" t="s">
        <v>270</v>
      </c>
      <c r="B81" s="0" t="s">
        <v>271</v>
      </c>
      <c r="C81" s="0" t="s">
        <v>272</v>
      </c>
      <c r="D81" s="0" t="n">
        <v>2</v>
      </c>
      <c r="E81" s="6" t="n">
        <v>40669.6527777778</v>
      </c>
      <c r="F81" s="0" t="n">
        <v>1.63</v>
      </c>
      <c r="H81" s="0" t="s">
        <v>36</v>
      </c>
      <c r="I81" s="7" t="str">
        <f aca="false">UPPER(TRIM(B81))</f>
        <v>85032D</v>
      </c>
      <c r="J81" s="7" t="str">
        <f aca="false">PROPER(TRIM(C81))</f>
        <v>Yuletide Images Gift Wrap Set</v>
      </c>
      <c r="K81" s="7" t="str">
        <f aca="false">SUBSTITUTE(SUBSTITUTE(SUBSTITUTE(H81,"EIRE","Ireland"),"RSA","South Africa"),"USA","United States")</f>
        <v>United Kingdom</v>
      </c>
      <c r="L81" s="7" t="str">
        <f aca="false">IF(LEFT(A81,1)="C","Cancel","Sale")</f>
        <v>Sale</v>
      </c>
      <c r="M81" s="7" t="str">
        <f aca="false">IF(G81="","Guest",REPLACE(G81,3,2,"**"))</f>
        <v>Guest</v>
      </c>
      <c r="N81" s="7" t="str">
        <f aca="false">_xlfn.CONCAT(A81,"-",I81)</f>
        <v>552229-85032D</v>
      </c>
      <c r="O81" s="7" t="str">
        <f aca="false">LOWER(SUBSTITUTE(TRIM(C81)," ","-"))</f>
        <v>yuletide-images-gift-wrap-set</v>
      </c>
      <c r="P81" s="7" t="n">
        <f aca="false">IF(EXACT(C81,TRIM(C81)),0,1)</f>
        <v>0</v>
      </c>
    </row>
    <row r="82" customFormat="false" ht="15" hidden="false" customHeight="false" outlineLevel="0" collapsed="false">
      <c r="A82" s="0" t="s">
        <v>273</v>
      </c>
      <c r="B82" s="0" t="s">
        <v>274</v>
      </c>
      <c r="C82" s="0" t="s">
        <v>275</v>
      </c>
      <c r="D82" s="0" t="n">
        <v>6</v>
      </c>
      <c r="E82" s="6" t="n">
        <v>40671.4847222222</v>
      </c>
      <c r="F82" s="0" t="n">
        <v>0.65</v>
      </c>
      <c r="G82" s="0" t="n">
        <v>14959</v>
      </c>
      <c r="H82" s="0" t="s">
        <v>36</v>
      </c>
      <c r="I82" s="7" t="str">
        <f aca="false">UPPER(TRIM(B82))</f>
        <v>22918</v>
      </c>
      <c r="J82" s="7" t="str">
        <f aca="false">PROPER(TRIM(C82))</f>
        <v>Herb Marker Parsley</v>
      </c>
      <c r="K82" s="7" t="str">
        <f aca="false">SUBSTITUTE(SUBSTITUTE(SUBSTITUTE(H82,"EIRE","Ireland"),"RSA","South Africa"),"USA","United States")</f>
        <v>United Kingdom</v>
      </c>
      <c r="L82" s="7" t="str">
        <f aca="false">IF(LEFT(A82,1)="C","Cancel","Sale")</f>
        <v>Sale</v>
      </c>
      <c r="M82" s="7" t="str">
        <f aca="false">IF(G82="","Guest",REPLACE(G82,3,2,"**"))</f>
        <v>14**9</v>
      </c>
      <c r="N82" s="7" t="str">
        <f aca="false">_xlfn.CONCAT(A82,"-",I82)</f>
        <v>552264-22918</v>
      </c>
      <c r="O82" s="7" t="str">
        <f aca="false">LOWER(SUBSTITUTE(TRIM(C82)," ","-"))</f>
        <v>herb-marker-parsley</v>
      </c>
      <c r="P82" s="7" t="n">
        <f aca="false">IF(EXACT(C82,TRIM(C82)),0,1)</f>
        <v>0</v>
      </c>
    </row>
    <row r="83" customFormat="false" ht="15" hidden="false" customHeight="false" outlineLevel="0" collapsed="false">
      <c r="A83" s="0" t="s">
        <v>276</v>
      </c>
      <c r="B83" s="0" t="s">
        <v>277</v>
      </c>
      <c r="C83" s="0" t="s">
        <v>278</v>
      </c>
      <c r="D83" s="0" t="n">
        <v>6</v>
      </c>
      <c r="E83" s="6" t="n">
        <v>40671.5291666667</v>
      </c>
      <c r="F83" s="0" t="n">
        <v>0.85</v>
      </c>
      <c r="G83" s="0" t="n">
        <v>15704</v>
      </c>
      <c r="H83" s="0" t="s">
        <v>36</v>
      </c>
      <c r="I83" s="7" t="str">
        <f aca="false">UPPER(TRIM(B83))</f>
        <v>22907</v>
      </c>
      <c r="J83" s="7" t="str">
        <f aca="false">PROPER(TRIM(C83))</f>
        <v>Pack Of 20 Napkins Pantry Design</v>
      </c>
      <c r="K83" s="7" t="str">
        <f aca="false">SUBSTITUTE(SUBSTITUTE(SUBSTITUTE(H83,"EIRE","Ireland"),"RSA","South Africa"),"USA","United States")</f>
        <v>United Kingdom</v>
      </c>
      <c r="L83" s="7" t="str">
        <f aca="false">IF(LEFT(A83,1)="C","Cancel","Sale")</f>
        <v>Sale</v>
      </c>
      <c r="M83" s="7" t="str">
        <f aca="false">IF(G83="","Guest",REPLACE(G83,3,2,"**"))</f>
        <v>15**4</v>
      </c>
      <c r="N83" s="7" t="str">
        <f aca="false">_xlfn.CONCAT(A83,"-",I83)</f>
        <v>552281-22907</v>
      </c>
      <c r="O83" s="7" t="str">
        <f aca="false">LOWER(SUBSTITUTE(TRIM(C83)," ","-"))</f>
        <v>pack-of-20-napkins-pantry-design</v>
      </c>
      <c r="P83" s="7" t="n">
        <f aca="false">IF(EXACT(C83,TRIM(C83)),0,1)</f>
        <v>0</v>
      </c>
    </row>
    <row r="84" customFormat="false" ht="15" hidden="false" customHeight="false" outlineLevel="0" collapsed="false">
      <c r="A84" s="0" t="s">
        <v>279</v>
      </c>
      <c r="B84" s="0" t="s">
        <v>280</v>
      </c>
      <c r="C84" s="0" t="s">
        <v>281</v>
      </c>
      <c r="D84" s="0" t="n">
        <v>12</v>
      </c>
      <c r="E84" s="6" t="n">
        <v>40671.6388888889</v>
      </c>
      <c r="F84" s="0" t="n">
        <v>1.25</v>
      </c>
      <c r="G84" s="0" t="n">
        <v>13911</v>
      </c>
      <c r="H84" s="0" t="s">
        <v>36</v>
      </c>
      <c r="I84" s="7" t="str">
        <f aca="false">UPPER(TRIM(B84))</f>
        <v>21874</v>
      </c>
      <c r="J84" s="7" t="str">
        <f aca="false">PROPER(TRIM(C84))</f>
        <v>Gin And Tonic Mug</v>
      </c>
      <c r="K84" s="7" t="str">
        <f aca="false">SUBSTITUTE(SUBSTITUTE(SUBSTITUTE(H84,"EIRE","Ireland"),"RSA","South Africa"),"USA","United States")</f>
        <v>United Kingdom</v>
      </c>
      <c r="L84" s="7" t="str">
        <f aca="false">IF(LEFT(A84,1)="C","Cancel","Sale")</f>
        <v>Sale</v>
      </c>
      <c r="M84" s="7" t="str">
        <f aca="false">IF(G84="","Guest",REPLACE(G84,3,2,"**"))</f>
        <v>13**1</v>
      </c>
      <c r="N84" s="7" t="str">
        <f aca="false">_xlfn.CONCAT(A84,"-",I84)</f>
        <v>552306-21874</v>
      </c>
      <c r="O84" s="7" t="str">
        <f aca="false">LOWER(SUBSTITUTE(TRIM(C84)," ","-"))</f>
        <v>gin-and-tonic-mug</v>
      </c>
      <c r="P84" s="7" t="n">
        <f aca="false">IF(EXACT(C84,TRIM(C84)),0,1)</f>
        <v>0</v>
      </c>
    </row>
    <row r="85" customFormat="false" ht="15" hidden="false" customHeight="false" outlineLevel="0" collapsed="false">
      <c r="A85" s="0" t="s">
        <v>282</v>
      </c>
      <c r="B85" s="0" t="s">
        <v>283</v>
      </c>
      <c r="C85" s="0" t="s">
        <v>284</v>
      </c>
      <c r="D85" s="0" t="n">
        <v>4</v>
      </c>
      <c r="E85" s="6" t="n">
        <v>40672.5611111111</v>
      </c>
      <c r="F85" s="0" t="n">
        <v>3.75</v>
      </c>
      <c r="G85" s="0" t="n">
        <v>16729</v>
      </c>
      <c r="H85" s="0" t="s">
        <v>36</v>
      </c>
      <c r="I85" s="7" t="str">
        <f aca="false">UPPER(TRIM(B85))</f>
        <v>22729</v>
      </c>
      <c r="J85" s="7" t="str">
        <f aca="false">PROPER(TRIM(C85))</f>
        <v>Alarm Clock Bakelike Orange</v>
      </c>
      <c r="K85" s="7" t="str">
        <f aca="false">SUBSTITUTE(SUBSTITUTE(SUBSTITUTE(H85,"EIRE","Ireland"),"RSA","South Africa"),"USA","United States")</f>
        <v>United Kingdom</v>
      </c>
      <c r="L85" s="7" t="str">
        <f aca="false">IF(LEFT(A85,1)="C","Cancel","Sale")</f>
        <v>Sale</v>
      </c>
      <c r="M85" s="7" t="str">
        <f aca="false">IF(G85="","Guest",REPLACE(G85,3,2,"**"))</f>
        <v>16**9</v>
      </c>
      <c r="N85" s="7" t="str">
        <f aca="false">_xlfn.CONCAT(A85,"-",I85)</f>
        <v>552446-22729</v>
      </c>
      <c r="O85" s="7" t="str">
        <f aca="false">LOWER(SUBSTITUTE(TRIM(C85)," ","-"))</f>
        <v>alarm-clock-bakelike-orange</v>
      </c>
      <c r="P85" s="7" t="n">
        <f aca="false">IF(EXACT(C85,TRIM(C85)),0,1)</f>
        <v>0</v>
      </c>
    </row>
    <row r="86" customFormat="false" ht="15" hidden="false" customHeight="false" outlineLevel="0" collapsed="false">
      <c r="A86" s="0" t="s">
        <v>285</v>
      </c>
      <c r="B86" s="0" t="s">
        <v>286</v>
      </c>
      <c r="C86" s="0" t="s">
        <v>287</v>
      </c>
      <c r="D86" s="0" t="n">
        <v>1</v>
      </c>
      <c r="E86" s="6" t="n">
        <v>40672.68125</v>
      </c>
      <c r="F86" s="0" t="n">
        <v>2.46</v>
      </c>
      <c r="H86" s="0" t="s">
        <v>36</v>
      </c>
      <c r="I86" s="7" t="str">
        <f aca="false">UPPER(TRIM(B86))</f>
        <v>22993</v>
      </c>
      <c r="J86" s="7" t="str">
        <f aca="false">PROPER(TRIM(C86))</f>
        <v>Set Of 4 Pantry Jelly Moulds</v>
      </c>
      <c r="K86" s="7" t="str">
        <f aca="false">SUBSTITUTE(SUBSTITUTE(SUBSTITUTE(H86,"EIRE","Ireland"),"RSA","South Africa"),"USA","United States")</f>
        <v>United Kingdom</v>
      </c>
      <c r="L86" s="7" t="str">
        <f aca="false">IF(LEFT(A86,1)="C","Cancel","Sale")</f>
        <v>Sale</v>
      </c>
      <c r="M86" s="7" t="str">
        <f aca="false">IF(G86="","Guest",REPLACE(G86,3,2,"**"))</f>
        <v>Guest</v>
      </c>
      <c r="N86" s="7" t="str">
        <f aca="false">_xlfn.CONCAT(A86,"-",I86)</f>
        <v>552493-22993</v>
      </c>
      <c r="O86" s="7" t="str">
        <f aca="false">LOWER(SUBSTITUTE(TRIM(C86)," ","-"))</f>
        <v>set-of-4-pantry-jelly-moulds</v>
      </c>
      <c r="P86" s="7" t="n">
        <f aca="false">IF(EXACT(C86,TRIM(C86)),0,1)</f>
        <v>0</v>
      </c>
    </row>
    <row r="87" customFormat="false" ht="15" hidden="false" customHeight="false" outlineLevel="0" collapsed="false">
      <c r="A87" s="0" t="s">
        <v>288</v>
      </c>
      <c r="B87" s="0" t="s">
        <v>289</v>
      </c>
      <c r="C87" s="0" t="s">
        <v>290</v>
      </c>
      <c r="D87" s="0" t="n">
        <v>1</v>
      </c>
      <c r="E87" s="6" t="n">
        <v>40672.6875</v>
      </c>
      <c r="F87" s="0" t="n">
        <v>2.46</v>
      </c>
      <c r="H87" s="0" t="s">
        <v>36</v>
      </c>
      <c r="I87" s="7" t="str">
        <f aca="false">UPPER(TRIM(B87))</f>
        <v>22251</v>
      </c>
      <c r="J87" s="7" t="str">
        <f aca="false">PROPER(TRIM(C87))</f>
        <v>Birdhouse Decoration Magic Garden</v>
      </c>
      <c r="K87" s="7" t="str">
        <f aca="false">SUBSTITUTE(SUBSTITUTE(SUBSTITUTE(H87,"EIRE","Ireland"),"RSA","South Africa"),"USA","United States")</f>
        <v>United Kingdom</v>
      </c>
      <c r="L87" s="7" t="str">
        <f aca="false">IF(LEFT(A87,1)="C","Cancel","Sale")</f>
        <v>Sale</v>
      </c>
      <c r="M87" s="7" t="str">
        <f aca="false">IF(G87="","Guest",REPLACE(G87,3,2,"**"))</f>
        <v>Guest</v>
      </c>
      <c r="N87" s="7" t="str">
        <f aca="false">_xlfn.CONCAT(A87,"-",I87)</f>
        <v>552514-22251</v>
      </c>
      <c r="O87" s="7" t="str">
        <f aca="false">LOWER(SUBSTITUTE(TRIM(C87)," ","-"))</f>
        <v>birdhouse-decoration-magic-garden</v>
      </c>
      <c r="P87" s="7" t="n">
        <f aca="false">IF(EXACT(C87,TRIM(C87)),0,1)</f>
        <v>0</v>
      </c>
    </row>
    <row r="88" customFormat="false" ht="15" hidden="false" customHeight="false" outlineLevel="0" collapsed="false">
      <c r="A88" s="0" t="s">
        <v>291</v>
      </c>
      <c r="B88" s="0" t="s">
        <v>292</v>
      </c>
      <c r="C88" s="0" t="s">
        <v>293</v>
      </c>
      <c r="D88" s="0" t="n">
        <v>2</v>
      </c>
      <c r="E88" s="6" t="n">
        <v>40673.4409722222</v>
      </c>
      <c r="F88" s="0" t="n">
        <v>7.95</v>
      </c>
      <c r="G88" s="0" t="n">
        <v>16357</v>
      </c>
      <c r="H88" s="0" t="s">
        <v>36</v>
      </c>
      <c r="I88" s="7" t="str">
        <f aca="false">UPPER(TRIM(B88))</f>
        <v>48187</v>
      </c>
      <c r="J88" s="7" t="str">
        <f aca="false">PROPER(TRIM(C88))</f>
        <v>Doormat New England</v>
      </c>
      <c r="K88" s="7" t="str">
        <f aca="false">SUBSTITUTE(SUBSTITUTE(SUBSTITUTE(H88,"EIRE","Ireland"),"RSA","South Africa"),"USA","United States")</f>
        <v>United Kingdom</v>
      </c>
      <c r="L88" s="7" t="str">
        <f aca="false">IF(LEFT(A88,1)="C","Cancel","Sale")</f>
        <v>Sale</v>
      </c>
      <c r="M88" s="7" t="str">
        <f aca="false">IF(G88="","Guest",REPLACE(G88,3,2,"**"))</f>
        <v>16**7</v>
      </c>
      <c r="N88" s="7" t="str">
        <f aca="false">_xlfn.CONCAT(A88,"-",I88)</f>
        <v>552548-48187</v>
      </c>
      <c r="O88" s="7" t="str">
        <f aca="false">LOWER(SUBSTITUTE(TRIM(C88)," ","-"))</f>
        <v>doormat-new-england</v>
      </c>
      <c r="P88" s="7" t="n">
        <f aca="false">IF(EXACT(C88,TRIM(C88)),0,1)</f>
        <v>0</v>
      </c>
    </row>
    <row r="89" customFormat="false" ht="15" hidden="false" customHeight="false" outlineLevel="0" collapsed="false">
      <c r="A89" s="0" t="s">
        <v>294</v>
      </c>
      <c r="B89" s="0" t="s">
        <v>295</v>
      </c>
      <c r="C89" s="0" t="s">
        <v>296</v>
      </c>
      <c r="D89" s="0" t="n">
        <v>24</v>
      </c>
      <c r="E89" s="6" t="n">
        <v>40673.4958333333</v>
      </c>
      <c r="F89" s="0" t="n">
        <v>3.39</v>
      </c>
      <c r="G89" s="0" t="n">
        <v>17597</v>
      </c>
      <c r="H89" s="0" t="s">
        <v>36</v>
      </c>
      <c r="I89" s="7" t="str">
        <f aca="false">UPPER(TRIM(B89))</f>
        <v>21913</v>
      </c>
      <c r="J89" s="7" t="str">
        <f aca="false">PROPER(TRIM(C89))</f>
        <v>Vintage Seaside Jigsaw Puzzles</v>
      </c>
      <c r="K89" s="7" t="str">
        <f aca="false">SUBSTITUTE(SUBSTITUTE(SUBSTITUTE(H89,"EIRE","Ireland"),"RSA","South Africa"),"USA","United States")</f>
        <v>United Kingdom</v>
      </c>
      <c r="L89" s="7" t="str">
        <f aca="false">IF(LEFT(A89,1)="C","Cancel","Sale")</f>
        <v>Sale</v>
      </c>
      <c r="M89" s="7" t="str">
        <f aca="false">IF(G89="","Guest",REPLACE(G89,3,2,"**"))</f>
        <v>17**7</v>
      </c>
      <c r="N89" s="7" t="str">
        <f aca="false">_xlfn.CONCAT(A89,"-",I89)</f>
        <v>552563-21913</v>
      </c>
      <c r="O89" s="7" t="str">
        <f aca="false">LOWER(SUBSTITUTE(TRIM(C89)," ","-"))</f>
        <v>vintage-seaside-jigsaw-puzzles</v>
      </c>
      <c r="P89" s="7" t="n">
        <f aca="false">IF(EXACT(C89,TRIM(C89)),0,1)</f>
        <v>0</v>
      </c>
    </row>
    <row r="90" customFormat="false" ht="15" hidden="false" customHeight="false" outlineLevel="0" collapsed="false">
      <c r="A90" s="0" t="s">
        <v>297</v>
      </c>
      <c r="B90" s="0" t="s">
        <v>298</v>
      </c>
      <c r="C90" s="0" t="s">
        <v>299</v>
      </c>
      <c r="D90" s="0" t="n">
        <v>-1</v>
      </c>
      <c r="E90" s="6" t="n">
        <v>40680.6340277778</v>
      </c>
      <c r="F90" s="0" t="n">
        <v>9.95</v>
      </c>
      <c r="G90" s="0" t="n">
        <v>17612</v>
      </c>
      <c r="H90" s="0" t="s">
        <v>36</v>
      </c>
      <c r="I90" s="7" t="str">
        <f aca="false">UPPER(TRIM(B90))</f>
        <v>22167</v>
      </c>
      <c r="J90" s="7" t="str">
        <f aca="false">PROPER(TRIM(C90))</f>
        <v>Oval Wall Mirror Diamante</v>
      </c>
      <c r="K90" s="7" t="str">
        <f aca="false">SUBSTITUTE(SUBSTITUTE(SUBSTITUTE(H90,"EIRE","Ireland"),"RSA","South Africa"),"USA","United States")</f>
        <v>United Kingdom</v>
      </c>
      <c r="L90" s="7" t="str">
        <f aca="false">IF(LEFT(A90,1)="C","Cancel","Sale")</f>
        <v>Cancel</v>
      </c>
      <c r="M90" s="7" t="str">
        <f aca="false">IF(G90="","Guest",REPLACE(G90,3,2,"**"))</f>
        <v>17**2</v>
      </c>
      <c r="N90" s="7" t="str">
        <f aca="false">_xlfn.CONCAT(A90,"-",I90)</f>
        <v>C553533-22167</v>
      </c>
      <c r="O90" s="7" t="str">
        <f aca="false">LOWER(SUBSTITUTE(TRIM(C90)," ","-"))</f>
        <v>oval-wall-mirror-diamante</v>
      </c>
      <c r="P90" s="7" t="n">
        <f aca="false">IF(EXACT(C90,TRIM(C90)),0,1)</f>
        <v>1</v>
      </c>
    </row>
    <row r="91" customFormat="false" ht="15" hidden="false" customHeight="false" outlineLevel="0" collapsed="false">
      <c r="A91" s="0" t="s">
        <v>300</v>
      </c>
      <c r="B91" s="0" t="s">
        <v>301</v>
      </c>
      <c r="C91" s="0" t="s">
        <v>302</v>
      </c>
      <c r="D91" s="0" t="n">
        <v>36</v>
      </c>
      <c r="E91" s="6" t="n">
        <v>40680.6541666667</v>
      </c>
      <c r="F91" s="0" t="n">
        <v>4.25</v>
      </c>
      <c r="G91" s="0" t="n">
        <v>12415</v>
      </c>
      <c r="H91" s="0" t="s">
        <v>303</v>
      </c>
      <c r="I91" s="7" t="str">
        <f aca="false">UPPER(TRIM(B91))</f>
        <v>22914</v>
      </c>
      <c r="J91" s="7" t="str">
        <f aca="false">PROPER(TRIM(C91))</f>
        <v>Blue Coat Rack Paris Fashion</v>
      </c>
      <c r="K91" s="7" t="str">
        <f aca="false">SUBSTITUTE(SUBSTITUTE(SUBSTITUTE(H91,"EIRE","Ireland"),"RSA","South Africa"),"USA","United States")</f>
        <v>Australia</v>
      </c>
      <c r="L91" s="7" t="str">
        <f aca="false">IF(LEFT(A91,1)="C","Cancel","Sale")</f>
        <v>Sale</v>
      </c>
      <c r="M91" s="7" t="str">
        <f aca="false">IF(G91="","Guest",REPLACE(G91,3,2,"**"))</f>
        <v>12**5</v>
      </c>
      <c r="N91" s="7" t="str">
        <f aca="false">_xlfn.CONCAT(A91,"-",I91)</f>
        <v>553546-22914</v>
      </c>
      <c r="O91" s="7" t="str">
        <f aca="false">LOWER(SUBSTITUTE(TRIM(C91)," ","-"))</f>
        <v>blue-coat-rack-paris-fashion</v>
      </c>
      <c r="P91" s="7" t="n">
        <f aca="false">IF(EXACT(C91,TRIM(C91)),0,1)</f>
        <v>0</v>
      </c>
    </row>
    <row r="92" customFormat="false" ht="15" hidden="false" customHeight="false" outlineLevel="0" collapsed="false">
      <c r="A92" s="0" t="s">
        <v>304</v>
      </c>
      <c r="B92" s="0" t="s">
        <v>305</v>
      </c>
      <c r="C92" s="0" t="s">
        <v>306</v>
      </c>
      <c r="D92" s="0" t="n">
        <v>6</v>
      </c>
      <c r="E92" s="6" t="n">
        <v>40682.4486111111</v>
      </c>
      <c r="F92" s="0" t="n">
        <v>8.29</v>
      </c>
      <c r="H92" s="0" t="s">
        <v>36</v>
      </c>
      <c r="I92" s="7" t="str">
        <f aca="false">UPPER(TRIM(B92))</f>
        <v>47566B</v>
      </c>
      <c r="J92" s="7" t="str">
        <f aca="false">PROPER(TRIM(C92))</f>
        <v>Tea Time Party Bunting</v>
      </c>
      <c r="K92" s="7" t="str">
        <f aca="false">SUBSTITUTE(SUBSTITUTE(SUBSTITUTE(H92,"EIRE","Ireland"),"RSA","South Africa"),"USA","United States")</f>
        <v>United Kingdom</v>
      </c>
      <c r="L92" s="7" t="str">
        <f aca="false">IF(LEFT(A92,1)="C","Cancel","Sale")</f>
        <v>Sale</v>
      </c>
      <c r="M92" s="7" t="str">
        <f aca="false">IF(G92="","Guest",REPLACE(G92,3,2,"**"))</f>
        <v>Guest</v>
      </c>
      <c r="N92" s="7" t="str">
        <f aca="false">_xlfn.CONCAT(A92,"-",I92)</f>
        <v>553767-47566B</v>
      </c>
      <c r="O92" s="7" t="str">
        <f aca="false">LOWER(SUBSTITUTE(TRIM(C92)," ","-"))</f>
        <v>tea-time-party-bunting</v>
      </c>
      <c r="P92" s="7" t="n">
        <f aca="false">IF(EXACT(C92,TRIM(C92)),0,1)</f>
        <v>0</v>
      </c>
    </row>
    <row r="93" customFormat="false" ht="15" hidden="false" customHeight="false" outlineLevel="0" collapsed="false">
      <c r="A93" s="0" t="s">
        <v>307</v>
      </c>
      <c r="B93" s="0" t="s">
        <v>308</v>
      </c>
      <c r="C93" s="0" t="s">
        <v>309</v>
      </c>
      <c r="D93" s="0" t="n">
        <v>12</v>
      </c>
      <c r="E93" s="6" t="n">
        <v>40685.6201388889</v>
      </c>
      <c r="F93" s="0" t="n">
        <v>1.65</v>
      </c>
      <c r="G93" s="0" t="n">
        <v>16700</v>
      </c>
      <c r="H93" s="0" t="s">
        <v>36</v>
      </c>
      <c r="I93" s="7" t="str">
        <f aca="false">UPPER(TRIM(B93))</f>
        <v>23300</v>
      </c>
      <c r="J93" s="7" t="str">
        <f aca="false">PROPER(TRIM(C93))</f>
        <v>Gardeners Kneeling Pad Cup Of Tea</v>
      </c>
      <c r="K93" s="7" t="str">
        <f aca="false">SUBSTITUTE(SUBSTITUTE(SUBSTITUTE(H93,"EIRE","Ireland"),"RSA","South Africa"),"USA","United States")</f>
        <v>United Kingdom</v>
      </c>
      <c r="L93" s="7" t="str">
        <f aca="false">IF(LEFT(A93,1)="C","Cancel","Sale")</f>
        <v>Sale</v>
      </c>
      <c r="M93" s="7" t="str">
        <f aca="false">IF(G93="","Guest",REPLACE(G93,3,2,"**"))</f>
        <v>16**0</v>
      </c>
      <c r="N93" s="7" t="str">
        <f aca="false">_xlfn.CONCAT(A93,"-",I93)</f>
        <v>554113-23300</v>
      </c>
      <c r="O93" s="7" t="str">
        <f aca="false">LOWER(SUBSTITUTE(TRIM(C93)," ","-"))</f>
        <v>gardeners-kneeling-pad-cup-of-tea</v>
      </c>
      <c r="P93" s="7" t="n">
        <f aca="false">IF(EXACT(C93,TRIM(C93)),0,1)</f>
        <v>1</v>
      </c>
    </row>
    <row r="94" customFormat="false" ht="15" hidden="false" customHeight="false" outlineLevel="0" collapsed="false">
      <c r="A94" s="0" t="s">
        <v>310</v>
      </c>
      <c r="B94" s="0" t="s">
        <v>311</v>
      </c>
      <c r="C94" s="0" t="s">
        <v>312</v>
      </c>
      <c r="D94" s="0" t="n">
        <v>12</v>
      </c>
      <c r="E94" s="6" t="n">
        <v>40686.4402777778</v>
      </c>
      <c r="F94" s="0" t="n">
        <v>1.65</v>
      </c>
      <c r="G94" s="0" t="n">
        <v>14911</v>
      </c>
      <c r="H94" s="0" t="s">
        <v>80</v>
      </c>
      <c r="I94" s="7" t="str">
        <f aca="false">UPPER(TRIM(B94))</f>
        <v>22296</v>
      </c>
      <c r="J94" s="7" t="str">
        <f aca="false">PROPER(TRIM(C94))</f>
        <v>Heart Ivory Trellis Large</v>
      </c>
      <c r="K94" s="7" t="str">
        <f aca="false">SUBSTITUTE(SUBSTITUTE(SUBSTITUTE(H94,"EIRE","Ireland"),"RSA","South Africa"),"USA","United States")</f>
        <v>Ireland</v>
      </c>
      <c r="L94" s="7" t="str">
        <f aca="false">IF(LEFT(A94,1)="C","Cancel","Sale")</f>
        <v>Sale</v>
      </c>
      <c r="M94" s="7" t="str">
        <f aca="false">IF(G94="","Guest",REPLACE(G94,3,2,"**"))</f>
        <v>14**1</v>
      </c>
      <c r="N94" s="7" t="str">
        <f aca="false">_xlfn.CONCAT(A94,"-",I94)</f>
        <v>554139-22296</v>
      </c>
      <c r="O94" s="7" t="str">
        <f aca="false">LOWER(SUBSTITUTE(TRIM(C94)," ","-"))</f>
        <v>heart-ivory-trellis-large</v>
      </c>
      <c r="P94" s="7" t="n">
        <f aca="false">IF(EXACT(C94,TRIM(C94)),0,1)</f>
        <v>0</v>
      </c>
    </row>
    <row r="95" customFormat="false" ht="15" hidden="false" customHeight="false" outlineLevel="0" collapsed="false">
      <c r="A95" s="0" t="s">
        <v>313</v>
      </c>
      <c r="B95" s="0" t="s">
        <v>314</v>
      </c>
      <c r="C95" s="0" t="s">
        <v>315</v>
      </c>
      <c r="D95" s="0" t="n">
        <v>2</v>
      </c>
      <c r="E95" s="6" t="n">
        <v>40686.45</v>
      </c>
      <c r="F95" s="0" t="n">
        <v>15</v>
      </c>
      <c r="G95" s="0" t="n">
        <v>12423</v>
      </c>
      <c r="H95" s="0" t="s">
        <v>87</v>
      </c>
      <c r="I95" s="7" t="str">
        <f aca="false">UPPER(TRIM(B95))</f>
        <v>POST</v>
      </c>
      <c r="J95" s="7" t="str">
        <f aca="false">PROPER(TRIM(C95))</f>
        <v>Postage</v>
      </c>
      <c r="K95" s="7" t="str">
        <f aca="false">SUBSTITUTE(SUBSTITUTE(SUBSTITUTE(H95,"EIRE","Ireland"),"RSA","South Africa"),"USA","United States")</f>
        <v>Belgium</v>
      </c>
      <c r="L95" s="7" t="str">
        <f aca="false">IF(LEFT(A95,1)="C","Cancel","Sale")</f>
        <v>Sale</v>
      </c>
      <c r="M95" s="7" t="str">
        <f aca="false">IF(G95="","Guest",REPLACE(G95,3,2,"**"))</f>
        <v>12**3</v>
      </c>
      <c r="N95" s="7" t="str">
        <f aca="false">_xlfn.CONCAT(A95,"-",I95)</f>
        <v>554147-POST</v>
      </c>
      <c r="O95" s="7" t="str">
        <f aca="false">LOWER(SUBSTITUTE(TRIM(C95)," ","-"))</f>
        <v>postage</v>
      </c>
      <c r="P95" s="7" t="n">
        <f aca="false">IF(EXACT(C95,TRIM(C95)),0,1)</f>
        <v>0</v>
      </c>
    </row>
    <row r="96" customFormat="false" ht="15" hidden="false" customHeight="false" outlineLevel="0" collapsed="false">
      <c r="A96" s="0" t="s">
        <v>316</v>
      </c>
      <c r="B96" s="0" t="s">
        <v>317</v>
      </c>
      <c r="C96" s="0" t="s">
        <v>318</v>
      </c>
      <c r="D96" s="0" t="n">
        <v>1</v>
      </c>
      <c r="E96" s="6" t="n">
        <v>40689.4861111111</v>
      </c>
      <c r="F96" s="0" t="n">
        <v>50</v>
      </c>
      <c r="G96" s="0" t="n">
        <v>14911</v>
      </c>
      <c r="H96" s="0" t="s">
        <v>80</v>
      </c>
      <c r="I96" s="7" t="str">
        <f aca="false">UPPER(TRIM(B96))</f>
        <v>C2</v>
      </c>
      <c r="J96" s="7" t="str">
        <f aca="false">PROPER(TRIM(C96))</f>
        <v>Carriage</v>
      </c>
      <c r="K96" s="7" t="str">
        <f aca="false">SUBSTITUTE(SUBSTITUTE(SUBSTITUTE(H96,"EIRE","Ireland"),"RSA","South Africa"),"USA","United States")</f>
        <v>Ireland</v>
      </c>
      <c r="L96" s="7" t="str">
        <f aca="false">IF(LEFT(A96,1)="C","Cancel","Sale")</f>
        <v>Sale</v>
      </c>
      <c r="M96" s="7" t="str">
        <f aca="false">IF(G96="","Guest",REPLACE(G96,3,2,"**"))</f>
        <v>14**1</v>
      </c>
      <c r="N96" s="7" t="str">
        <f aca="false">_xlfn.CONCAT(A96,"-",I96)</f>
        <v>554770-C2</v>
      </c>
      <c r="O96" s="7" t="str">
        <f aca="false">LOWER(SUBSTITUTE(TRIM(C96)," ","-"))</f>
        <v>carriage</v>
      </c>
      <c r="P96" s="7" t="n">
        <f aca="false">IF(EXACT(C96,TRIM(C96)),0,1)</f>
        <v>0</v>
      </c>
    </row>
    <row r="97" customFormat="false" ht="15" hidden="false" customHeight="false" outlineLevel="0" collapsed="false">
      <c r="A97" s="0" t="s">
        <v>319</v>
      </c>
      <c r="B97" s="0" t="s">
        <v>320</v>
      </c>
      <c r="C97" s="0" t="s">
        <v>321</v>
      </c>
      <c r="D97" s="0" t="n">
        <v>6</v>
      </c>
      <c r="E97" s="6" t="n">
        <v>40695.6576388889</v>
      </c>
      <c r="F97" s="0" t="n">
        <v>2.95</v>
      </c>
      <c r="G97" s="0" t="n">
        <v>15192</v>
      </c>
      <c r="H97" s="0" t="s">
        <v>36</v>
      </c>
      <c r="I97" s="7" t="str">
        <f aca="false">UPPER(TRIM(B97))</f>
        <v>21380</v>
      </c>
      <c r="J97" s="7" t="str">
        <f aca="false">PROPER(TRIM(C97))</f>
        <v>Wooden Happy Birthday Garland</v>
      </c>
      <c r="K97" s="7" t="str">
        <f aca="false">SUBSTITUTE(SUBSTITUTE(SUBSTITUTE(H97,"EIRE","Ireland"),"RSA","South Africa"),"USA","United States")</f>
        <v>United Kingdom</v>
      </c>
      <c r="L97" s="7" t="str">
        <f aca="false">IF(LEFT(A97,1)="C","Cancel","Sale")</f>
        <v>Sale</v>
      </c>
      <c r="M97" s="7" t="str">
        <f aca="false">IF(G97="","Guest",REPLACE(G97,3,2,"**"))</f>
        <v>15**2</v>
      </c>
      <c r="N97" s="7" t="str">
        <f aca="false">_xlfn.CONCAT(A97,"-",I97)</f>
        <v>555263-21380</v>
      </c>
      <c r="O97" s="7" t="str">
        <f aca="false">LOWER(SUBSTITUTE(TRIM(C97)," ","-"))</f>
        <v>wooden-happy-birthday-garland</v>
      </c>
      <c r="P97" s="7" t="n">
        <f aca="false">IF(EXACT(C97,TRIM(C97)),0,1)</f>
        <v>0</v>
      </c>
    </row>
    <row r="98" customFormat="false" ht="15" hidden="false" customHeight="false" outlineLevel="0" collapsed="false">
      <c r="A98" s="0" t="s">
        <v>322</v>
      </c>
      <c r="B98" s="0" t="s">
        <v>323</v>
      </c>
      <c r="C98" s="0" t="s">
        <v>324</v>
      </c>
      <c r="D98" s="0" t="n">
        <v>12</v>
      </c>
      <c r="E98" s="6" t="n">
        <v>40696.3777777778</v>
      </c>
      <c r="F98" s="0" t="n">
        <v>7.65</v>
      </c>
      <c r="G98" s="0" t="n">
        <v>12709</v>
      </c>
      <c r="H98" s="0" t="s">
        <v>325</v>
      </c>
      <c r="I98" s="7" t="str">
        <f aca="false">UPPER(TRIM(B98))</f>
        <v>22627</v>
      </c>
      <c r="J98" s="7" t="str">
        <f aca="false">PROPER(TRIM(C98))</f>
        <v>Mint Kitchen Scales</v>
      </c>
      <c r="K98" s="7" t="str">
        <f aca="false">SUBSTITUTE(SUBSTITUTE(SUBSTITUTE(H98,"EIRE","Ireland"),"RSA","South Africa"),"USA","United States")</f>
        <v>Germany</v>
      </c>
      <c r="L98" s="7" t="str">
        <f aca="false">IF(LEFT(A98,1)="C","Cancel","Sale")</f>
        <v>Sale</v>
      </c>
      <c r="M98" s="7" t="str">
        <f aca="false">IF(G98="","Guest",REPLACE(G98,3,2,"**"))</f>
        <v>12**9</v>
      </c>
      <c r="N98" s="7" t="str">
        <f aca="false">_xlfn.CONCAT(A98,"-",I98)</f>
        <v>555282-22627</v>
      </c>
      <c r="O98" s="7" t="str">
        <f aca="false">LOWER(SUBSTITUTE(TRIM(C98)," ","-"))</f>
        <v>mint-kitchen-scales</v>
      </c>
      <c r="P98" s="7" t="n">
        <f aca="false">IF(EXACT(C98,TRIM(C98)),0,1)</f>
        <v>0</v>
      </c>
    </row>
    <row r="99" customFormat="false" ht="15" hidden="false" customHeight="false" outlineLevel="0" collapsed="false">
      <c r="A99" s="0" t="s">
        <v>326</v>
      </c>
      <c r="B99" s="0" t="s">
        <v>327</v>
      </c>
      <c r="C99" s="0" t="s">
        <v>328</v>
      </c>
      <c r="D99" s="0" t="n">
        <v>36</v>
      </c>
      <c r="E99" s="6" t="n">
        <v>40696.4006944444</v>
      </c>
      <c r="F99" s="0" t="n">
        <v>1.25</v>
      </c>
      <c r="G99" s="0" t="n">
        <v>14298</v>
      </c>
      <c r="H99" s="0" t="s">
        <v>36</v>
      </c>
      <c r="I99" s="7" t="str">
        <f aca="false">UPPER(TRIM(B99))</f>
        <v>72741</v>
      </c>
      <c r="J99" s="7" t="str">
        <f aca="false">PROPER(TRIM(C99))</f>
        <v>Grand Chocolatecandle</v>
      </c>
      <c r="K99" s="7" t="str">
        <f aca="false">SUBSTITUTE(SUBSTITUTE(SUBSTITUTE(H99,"EIRE","Ireland"),"RSA","South Africa"),"USA","United States")</f>
        <v>United Kingdom</v>
      </c>
      <c r="L99" s="7" t="str">
        <f aca="false">IF(LEFT(A99,1)="C","Cancel","Sale")</f>
        <v>Sale</v>
      </c>
      <c r="M99" s="7" t="str">
        <f aca="false">IF(G99="","Guest",REPLACE(G99,3,2,"**"))</f>
        <v>14**8</v>
      </c>
      <c r="N99" s="7" t="str">
        <f aca="false">_xlfn.CONCAT(A99,"-",I99)</f>
        <v>555284-72741</v>
      </c>
      <c r="O99" s="7" t="str">
        <f aca="false">LOWER(SUBSTITUTE(TRIM(C99)," ","-"))</f>
        <v>grand-chocolatecandle</v>
      </c>
      <c r="P99" s="7" t="n">
        <f aca="false">IF(EXACT(C99,TRIM(C99)),0,1)</f>
        <v>0</v>
      </c>
    </row>
    <row r="100" customFormat="false" ht="15" hidden="false" customHeight="false" outlineLevel="0" collapsed="false">
      <c r="A100" s="0" t="s">
        <v>329</v>
      </c>
      <c r="B100" s="0" t="s">
        <v>330</v>
      </c>
      <c r="C100" s="0" t="s">
        <v>331</v>
      </c>
      <c r="D100" s="0" t="n">
        <v>12</v>
      </c>
      <c r="E100" s="6" t="n">
        <v>40696.4875</v>
      </c>
      <c r="F100" s="0" t="n">
        <v>0.65</v>
      </c>
      <c r="G100" s="0" t="n">
        <v>15918</v>
      </c>
      <c r="H100" s="0" t="s">
        <v>36</v>
      </c>
      <c r="I100" s="7" t="str">
        <f aca="false">UPPER(TRIM(B100))</f>
        <v>22319</v>
      </c>
      <c r="J100" s="7" t="str">
        <f aca="false">PROPER(TRIM(C100))</f>
        <v>Hairclips Forties Fabric Assorted</v>
      </c>
      <c r="K100" s="7" t="str">
        <f aca="false">SUBSTITUTE(SUBSTITUTE(SUBSTITUTE(H100,"EIRE","Ireland"),"RSA","South Africa"),"USA","United States")</f>
        <v>United Kingdom</v>
      </c>
      <c r="L100" s="7" t="str">
        <f aca="false">IF(LEFT(A100,1)="C","Cancel","Sale")</f>
        <v>Sale</v>
      </c>
      <c r="M100" s="7" t="str">
        <f aca="false">IF(G100="","Guest",REPLACE(G100,3,2,"**"))</f>
        <v>15**8</v>
      </c>
      <c r="N100" s="7" t="str">
        <f aca="false">_xlfn.CONCAT(A100,"-",I100)</f>
        <v>555343-22319</v>
      </c>
      <c r="O100" s="7" t="str">
        <f aca="false">LOWER(SUBSTITUTE(TRIM(C100)," ","-"))</f>
        <v>hairclips-forties-fabric-assorted</v>
      </c>
      <c r="P100" s="7" t="n">
        <f aca="false">IF(EXACT(C100,TRIM(C100)),0,1)</f>
        <v>0</v>
      </c>
    </row>
    <row r="101" customFormat="false" ht="15" hidden="false" customHeight="false" outlineLevel="0" collapsed="false">
      <c r="A101" s="0" t="s">
        <v>332</v>
      </c>
      <c r="B101" s="0" t="s">
        <v>333</v>
      </c>
      <c r="C101" s="0" t="s">
        <v>334</v>
      </c>
      <c r="D101" s="0" t="n">
        <v>6</v>
      </c>
      <c r="E101" s="6" t="n">
        <v>40697.7131944444</v>
      </c>
      <c r="F101" s="0" t="n">
        <v>3.95</v>
      </c>
      <c r="G101" s="0" t="n">
        <v>13435</v>
      </c>
      <c r="H101" s="0" t="s">
        <v>36</v>
      </c>
      <c r="I101" s="7" t="str">
        <f aca="false">UPPER(TRIM(B101))</f>
        <v>21658</v>
      </c>
      <c r="J101" s="7" t="str">
        <f aca="false">PROPER(TRIM(C101))</f>
        <v>Glass Beurre Dish</v>
      </c>
      <c r="K101" s="7" t="str">
        <f aca="false">SUBSTITUTE(SUBSTITUTE(SUBSTITUTE(H101,"EIRE","Ireland"),"RSA","South Africa"),"USA","United States")</f>
        <v>United Kingdom</v>
      </c>
      <c r="L101" s="7" t="str">
        <f aca="false">IF(LEFT(A101,1)="C","Cancel","Sale")</f>
        <v>Sale</v>
      </c>
      <c r="M101" s="7" t="str">
        <f aca="false">IF(G101="","Guest",REPLACE(G101,3,2,"**"))</f>
        <v>13**5</v>
      </c>
      <c r="N101" s="7" t="str">
        <f aca="false">_xlfn.CONCAT(A101,"-",I101)</f>
        <v>555509-21658</v>
      </c>
      <c r="O101" s="7" t="str">
        <f aca="false">LOWER(SUBSTITUTE(TRIM(C101)," ","-"))</f>
        <v>glass-beurre-dish</v>
      </c>
      <c r="P101" s="7" t="n">
        <f aca="false">IF(EXACT(C101,TRIM(C101)),0,1)</f>
        <v>1</v>
      </c>
    </row>
    <row r="102" customFormat="false" ht="15" hidden="false" customHeight="false" outlineLevel="0" collapsed="false">
      <c r="A102" s="0" t="s">
        <v>335</v>
      </c>
      <c r="B102" s="0" t="s">
        <v>336</v>
      </c>
      <c r="C102" s="0" t="s">
        <v>337</v>
      </c>
      <c r="D102" s="0" t="n">
        <v>1</v>
      </c>
      <c r="E102" s="6" t="n">
        <v>40697.7145833333</v>
      </c>
      <c r="F102" s="0" t="n">
        <v>4.96</v>
      </c>
      <c r="H102" s="0" t="s">
        <v>36</v>
      </c>
      <c r="I102" s="7" t="str">
        <f aca="false">UPPER(TRIM(B102))</f>
        <v>84637</v>
      </c>
      <c r="J102" s="7" t="str">
        <f aca="false">PROPER(TRIM(C102))</f>
        <v>Kitchen Flower Pots Wall Plaque</v>
      </c>
      <c r="K102" s="7" t="str">
        <f aca="false">SUBSTITUTE(SUBSTITUTE(SUBSTITUTE(H102,"EIRE","Ireland"),"RSA","South Africa"),"USA","United States")</f>
        <v>United Kingdom</v>
      </c>
      <c r="L102" s="7" t="str">
        <f aca="false">IF(LEFT(A102,1)="C","Cancel","Sale")</f>
        <v>Sale</v>
      </c>
      <c r="M102" s="7" t="str">
        <f aca="false">IF(G102="","Guest",REPLACE(G102,3,2,"**"))</f>
        <v>Guest</v>
      </c>
      <c r="N102" s="7" t="str">
        <f aca="false">_xlfn.CONCAT(A102,"-",I102)</f>
        <v>555510-84637</v>
      </c>
      <c r="O102" s="7" t="str">
        <f aca="false">LOWER(SUBSTITUTE(TRIM(C102)," ","-"))</f>
        <v>kitchen-flower-pots-wall-plaque</v>
      </c>
      <c r="P102" s="7" t="n">
        <f aca="false">IF(EXACT(C102,TRIM(C102)),0,1)</f>
        <v>0</v>
      </c>
    </row>
    <row r="103" customFormat="false" ht="15" hidden="false" customHeight="false" outlineLevel="0" collapsed="false">
      <c r="A103" s="0" t="s">
        <v>338</v>
      </c>
      <c r="B103" s="0" t="s">
        <v>339</v>
      </c>
      <c r="C103" s="0" t="s">
        <v>340</v>
      </c>
      <c r="D103" s="0" t="n">
        <v>2</v>
      </c>
      <c r="E103" s="6" t="n">
        <v>40700.6708333333</v>
      </c>
      <c r="F103" s="0" t="n">
        <v>1.63</v>
      </c>
      <c r="H103" s="0" t="s">
        <v>36</v>
      </c>
      <c r="I103" s="7" t="str">
        <f aca="false">UPPER(TRIM(B103))</f>
        <v>23167</v>
      </c>
      <c r="J103" s="7" t="str">
        <f aca="false">PROPER(TRIM(C103))</f>
        <v>Small Ceramic Top Storage Jar</v>
      </c>
      <c r="K103" s="7" t="str">
        <f aca="false">SUBSTITUTE(SUBSTITUTE(SUBSTITUTE(H103,"EIRE","Ireland"),"RSA","South Africa"),"USA","United States")</f>
        <v>United Kingdom</v>
      </c>
      <c r="L103" s="7" t="str">
        <f aca="false">IF(LEFT(A103,1)="C","Cancel","Sale")</f>
        <v>Sale</v>
      </c>
      <c r="M103" s="7" t="str">
        <f aca="false">IF(G103="","Guest",REPLACE(G103,3,2,"**"))</f>
        <v>Guest</v>
      </c>
      <c r="N103" s="7" t="str">
        <f aca="false">_xlfn.CONCAT(A103,"-",I103)</f>
        <v>555722-23167</v>
      </c>
      <c r="O103" s="7" t="str">
        <f aca="false">LOWER(SUBSTITUTE(TRIM(C103)," ","-"))</f>
        <v>small-ceramic-top-storage-jar</v>
      </c>
      <c r="P103" s="7" t="n">
        <f aca="false">IF(EXACT(C103,TRIM(C103)),0,1)</f>
        <v>1</v>
      </c>
    </row>
    <row r="104" customFormat="false" ht="15" hidden="false" customHeight="false" outlineLevel="0" collapsed="false">
      <c r="A104" s="0" t="s">
        <v>341</v>
      </c>
      <c r="B104" s="0" t="s">
        <v>342</v>
      </c>
      <c r="C104" s="0" t="s">
        <v>343</v>
      </c>
      <c r="D104" s="0" t="n">
        <v>1</v>
      </c>
      <c r="E104" s="6" t="n">
        <v>40702.6416666667</v>
      </c>
      <c r="F104" s="0" t="n">
        <v>4.96</v>
      </c>
      <c r="H104" s="0" t="s">
        <v>36</v>
      </c>
      <c r="I104" s="7" t="str">
        <f aca="false">UPPER(TRIM(B104))</f>
        <v>22379</v>
      </c>
      <c r="J104" s="7" t="str">
        <f aca="false">PROPER(TRIM(C104))</f>
        <v>Recycling Bag Retrospot</v>
      </c>
      <c r="K104" s="7" t="str">
        <f aca="false">SUBSTITUTE(SUBSTITUTE(SUBSTITUTE(H104,"EIRE","Ireland"),"RSA","South Africa"),"USA","United States")</f>
        <v>United Kingdom</v>
      </c>
      <c r="L104" s="7" t="str">
        <f aca="false">IF(LEFT(A104,1)="C","Cancel","Sale")</f>
        <v>Sale</v>
      </c>
      <c r="M104" s="7" t="str">
        <f aca="false">IF(G104="","Guest",REPLACE(G104,3,2,"**"))</f>
        <v>Guest</v>
      </c>
      <c r="N104" s="7" t="str">
        <f aca="false">_xlfn.CONCAT(A104,"-",I104)</f>
        <v>556087-22379</v>
      </c>
      <c r="O104" s="7" t="str">
        <f aca="false">LOWER(SUBSTITUTE(TRIM(C104)," ","-"))</f>
        <v>recycling-bag-retrospot</v>
      </c>
      <c r="P104" s="7" t="n">
        <f aca="false">IF(EXACT(C104,TRIM(C104)),0,1)</f>
        <v>1</v>
      </c>
    </row>
    <row r="105" customFormat="false" ht="15" hidden="false" customHeight="false" outlineLevel="0" collapsed="false">
      <c r="A105" s="0" t="s">
        <v>344</v>
      </c>
      <c r="B105" s="0" t="s">
        <v>168</v>
      </c>
      <c r="C105" s="0" t="s">
        <v>169</v>
      </c>
      <c r="D105" s="0" t="n">
        <v>14</v>
      </c>
      <c r="E105" s="6" t="n">
        <v>40702.7493055556</v>
      </c>
      <c r="F105" s="0" t="n">
        <v>2.46</v>
      </c>
      <c r="H105" s="0" t="s">
        <v>36</v>
      </c>
      <c r="I105" s="7" t="str">
        <f aca="false">UPPER(TRIM(B105))</f>
        <v>22178</v>
      </c>
      <c r="J105" s="7" t="str">
        <f aca="false">PROPER(TRIM(C105))</f>
        <v>Victorian Glass Hanging T-Light</v>
      </c>
      <c r="K105" s="7" t="str">
        <f aca="false">SUBSTITUTE(SUBSTITUTE(SUBSTITUTE(H105,"EIRE","Ireland"),"RSA","South Africa"),"USA","United States")</f>
        <v>United Kingdom</v>
      </c>
      <c r="L105" s="7" t="str">
        <f aca="false">IF(LEFT(A105,1)="C","Cancel","Sale")</f>
        <v>Sale</v>
      </c>
      <c r="M105" s="7" t="str">
        <f aca="false">IF(G105="","Guest",REPLACE(G105,3,2,"**"))</f>
        <v>Guest</v>
      </c>
      <c r="N105" s="7" t="str">
        <f aca="false">_xlfn.CONCAT(A105,"-",I105)</f>
        <v>556108-22178</v>
      </c>
      <c r="O105" s="7" t="str">
        <f aca="false">LOWER(SUBSTITUTE(TRIM(C105)," ","-"))</f>
        <v>victorian-glass-hanging-t-light</v>
      </c>
      <c r="P105" s="7" t="n">
        <f aca="false">IF(EXACT(C105,TRIM(C105)),0,1)</f>
        <v>0</v>
      </c>
    </row>
    <row r="106" customFormat="false" ht="15" hidden="false" customHeight="false" outlineLevel="0" collapsed="false">
      <c r="A106" s="0" t="s">
        <v>345</v>
      </c>
      <c r="B106" s="0" t="s">
        <v>346</v>
      </c>
      <c r="C106" s="0" t="s">
        <v>347</v>
      </c>
      <c r="D106" s="0" t="n">
        <v>3</v>
      </c>
      <c r="E106" s="6" t="n">
        <v>40703.4305555556</v>
      </c>
      <c r="F106" s="0" t="n">
        <v>4.95</v>
      </c>
      <c r="G106" s="0" t="n">
        <v>12947</v>
      </c>
      <c r="H106" s="0" t="s">
        <v>36</v>
      </c>
      <c r="I106" s="7" t="str">
        <f aca="false">UPPER(TRIM(B106))</f>
        <v>22913</v>
      </c>
      <c r="J106" s="7" t="str">
        <f aca="false">PROPER(TRIM(C106))</f>
        <v>Red Coat Rack Paris Fashion</v>
      </c>
      <c r="K106" s="7" t="str">
        <f aca="false">SUBSTITUTE(SUBSTITUTE(SUBSTITUTE(H106,"EIRE","Ireland"),"RSA","South Africa"),"USA","United States")</f>
        <v>United Kingdom</v>
      </c>
      <c r="L106" s="7" t="str">
        <f aca="false">IF(LEFT(A106,1)="C","Cancel","Sale")</f>
        <v>Sale</v>
      </c>
      <c r="M106" s="7" t="str">
        <f aca="false">IF(G106="","Guest",REPLACE(G106,3,2,"**"))</f>
        <v>12**7</v>
      </c>
      <c r="N106" s="7" t="str">
        <f aca="false">_xlfn.CONCAT(A106,"-",I106)</f>
        <v>556125-22913</v>
      </c>
      <c r="O106" s="7" t="str">
        <f aca="false">LOWER(SUBSTITUTE(TRIM(C106)," ","-"))</f>
        <v>red-coat-rack-paris-fashion</v>
      </c>
      <c r="P106" s="7" t="n">
        <f aca="false">IF(EXACT(C106,TRIM(C106)),0,1)</f>
        <v>0</v>
      </c>
    </row>
    <row r="107" customFormat="false" ht="15" hidden="false" customHeight="false" outlineLevel="0" collapsed="false">
      <c r="A107" s="0" t="s">
        <v>348</v>
      </c>
      <c r="B107" s="0" t="s">
        <v>65</v>
      </c>
      <c r="C107" s="0" t="s">
        <v>66</v>
      </c>
      <c r="D107" s="0" t="n">
        <v>12</v>
      </c>
      <c r="E107" s="6" t="n">
        <v>40704.3708333333</v>
      </c>
      <c r="F107" s="0" t="n">
        <v>2.95</v>
      </c>
      <c r="G107" s="0" t="n">
        <v>17115</v>
      </c>
      <c r="H107" s="0" t="s">
        <v>36</v>
      </c>
      <c r="I107" s="7" t="str">
        <f aca="false">UPPER(TRIM(B107))</f>
        <v>85123A</v>
      </c>
      <c r="J107" s="7" t="str">
        <f aca="false">PROPER(TRIM(C107))</f>
        <v>White Hanging Heart T-Light Holder</v>
      </c>
      <c r="K107" s="7" t="str">
        <f aca="false">SUBSTITUTE(SUBSTITUTE(SUBSTITUTE(H107,"EIRE","Ireland"),"RSA","South Africa"),"USA","United States")</f>
        <v>United Kingdom</v>
      </c>
      <c r="L107" s="7" t="str">
        <f aca="false">IF(LEFT(A107,1)="C","Cancel","Sale")</f>
        <v>Sale</v>
      </c>
      <c r="M107" s="7" t="str">
        <f aca="false">IF(G107="","Guest",REPLACE(G107,3,2,"**"))</f>
        <v>17**5</v>
      </c>
      <c r="N107" s="7" t="str">
        <f aca="false">_xlfn.CONCAT(A107,"-",I107)</f>
        <v>556284-85123A</v>
      </c>
      <c r="O107" s="7" t="str">
        <f aca="false">LOWER(SUBSTITUTE(TRIM(C107)," ","-"))</f>
        <v>white-hanging-heart-t-light-holder</v>
      </c>
      <c r="P107" s="7" t="n">
        <f aca="false">IF(EXACT(C107,TRIM(C107)),0,1)</f>
        <v>0</v>
      </c>
    </row>
    <row r="108" customFormat="false" ht="15" hidden="false" customHeight="false" outlineLevel="0" collapsed="false">
      <c r="A108" s="0" t="s">
        <v>349</v>
      </c>
      <c r="B108" s="0" t="s">
        <v>350</v>
      </c>
      <c r="C108" s="0" t="s">
        <v>351</v>
      </c>
      <c r="D108" s="0" t="n">
        <v>8</v>
      </c>
      <c r="E108" s="6" t="n">
        <v>40709.5333333333</v>
      </c>
      <c r="F108" s="0" t="n">
        <v>0.85</v>
      </c>
      <c r="G108" s="0" t="n">
        <v>17581</v>
      </c>
      <c r="H108" s="0" t="s">
        <v>36</v>
      </c>
      <c r="I108" s="7" t="str">
        <f aca="false">UPPER(TRIM(B108))</f>
        <v>23287</v>
      </c>
      <c r="J108" s="7" t="str">
        <f aca="false">PROPER(TRIM(C108))</f>
        <v>Red Vintage Spot Beaker</v>
      </c>
      <c r="K108" s="7" t="str">
        <f aca="false">SUBSTITUTE(SUBSTITUTE(SUBSTITUTE(H108,"EIRE","Ireland"),"RSA","South Africa"),"USA","United States")</f>
        <v>United Kingdom</v>
      </c>
      <c r="L108" s="7" t="str">
        <f aca="false">IF(LEFT(A108,1)="C","Cancel","Sale")</f>
        <v>Sale</v>
      </c>
      <c r="M108" s="7" t="str">
        <f aca="false">IF(G108="","Guest",REPLACE(G108,3,2,"**"))</f>
        <v>17**1</v>
      </c>
      <c r="N108" s="7" t="str">
        <f aca="false">_xlfn.CONCAT(A108,"-",I108)</f>
        <v>556891-23287</v>
      </c>
      <c r="O108" s="7" t="str">
        <f aca="false">LOWER(SUBSTITUTE(TRIM(C108)," ","-"))</f>
        <v>red-vintage-spot-beaker</v>
      </c>
      <c r="P108" s="7" t="n">
        <f aca="false">IF(EXACT(C108,TRIM(C108)),0,1)</f>
        <v>0</v>
      </c>
    </row>
    <row r="109" customFormat="false" ht="15" hidden="false" customHeight="false" outlineLevel="0" collapsed="false">
      <c r="A109" s="0" t="s">
        <v>352</v>
      </c>
      <c r="B109" s="0" t="s">
        <v>353</v>
      </c>
      <c r="C109" s="0" t="s">
        <v>354</v>
      </c>
      <c r="D109" s="0" t="n">
        <v>2</v>
      </c>
      <c r="E109" s="6" t="n">
        <v>40711.3909722222</v>
      </c>
      <c r="F109" s="0" t="n">
        <v>6.25</v>
      </c>
      <c r="G109" s="0" t="n">
        <v>14911</v>
      </c>
      <c r="H109" s="0" t="s">
        <v>80</v>
      </c>
      <c r="I109" s="7" t="str">
        <f aca="false">UPPER(TRIM(B109))</f>
        <v>23108</v>
      </c>
      <c r="J109" s="7" t="str">
        <f aca="false">PROPER(TRIM(C109))</f>
        <v>Set Of 10 Led Dolly Lights</v>
      </c>
      <c r="K109" s="7" t="str">
        <f aca="false">SUBSTITUTE(SUBSTITUTE(SUBSTITUTE(H109,"EIRE","Ireland"),"RSA","South Africa"),"USA","United States")</f>
        <v>Ireland</v>
      </c>
      <c r="L109" s="7" t="str">
        <f aca="false">IF(LEFT(A109,1)="C","Cancel","Sale")</f>
        <v>Sale</v>
      </c>
      <c r="M109" s="7" t="str">
        <f aca="false">IF(G109="","Guest",REPLACE(G109,3,2,"**"))</f>
        <v>14**1</v>
      </c>
      <c r="N109" s="7" t="str">
        <f aca="false">_xlfn.CONCAT(A109,"-",I109)</f>
        <v>557136-23108</v>
      </c>
      <c r="O109" s="7" t="str">
        <f aca="false">LOWER(SUBSTITUTE(TRIM(C109)," ","-"))</f>
        <v>set-of-10-led-dolly-lights</v>
      </c>
      <c r="P109" s="7" t="n">
        <f aca="false">IF(EXACT(C109,TRIM(C109)),0,1)</f>
        <v>0</v>
      </c>
    </row>
    <row r="110" customFormat="false" ht="15" hidden="false" customHeight="false" outlineLevel="0" collapsed="false">
      <c r="A110" s="0" t="s">
        <v>355</v>
      </c>
      <c r="B110" s="0" t="s">
        <v>356</v>
      </c>
      <c r="C110" s="0" t="s">
        <v>357</v>
      </c>
      <c r="D110" s="0" t="n">
        <v>4</v>
      </c>
      <c r="E110" s="6" t="n">
        <v>40715.4715277778</v>
      </c>
      <c r="F110" s="0" t="n">
        <v>4.25</v>
      </c>
      <c r="G110" s="0" t="n">
        <v>15507</v>
      </c>
      <c r="H110" s="0" t="s">
        <v>36</v>
      </c>
      <c r="I110" s="7" t="str">
        <f aca="false">UPPER(TRIM(B110))</f>
        <v>22960</v>
      </c>
      <c r="J110" s="7" t="str">
        <f aca="false">PROPER(TRIM(C110))</f>
        <v>Jam Making Set With Jars</v>
      </c>
      <c r="K110" s="7" t="str">
        <f aca="false">SUBSTITUTE(SUBSTITUTE(SUBSTITUTE(H110,"EIRE","Ireland"),"RSA","South Africa"),"USA","United States")</f>
        <v>United Kingdom</v>
      </c>
      <c r="L110" s="7" t="str">
        <f aca="false">IF(LEFT(A110,1)="C","Cancel","Sale")</f>
        <v>Sale</v>
      </c>
      <c r="M110" s="7" t="str">
        <f aca="false">IF(G110="","Guest",REPLACE(G110,3,2,"**"))</f>
        <v>15**7</v>
      </c>
      <c r="N110" s="7" t="str">
        <f aca="false">_xlfn.CONCAT(A110,"-",I110)</f>
        <v>557595-22960</v>
      </c>
      <c r="O110" s="7" t="str">
        <f aca="false">LOWER(SUBSTITUTE(TRIM(C110)," ","-"))</f>
        <v>jam-making-set-with-jars</v>
      </c>
      <c r="P110" s="7" t="n">
        <f aca="false">IF(EXACT(C110,TRIM(C110)),0,1)</f>
        <v>0</v>
      </c>
    </row>
    <row r="111" customFormat="false" ht="15" hidden="false" customHeight="false" outlineLevel="0" collapsed="false">
      <c r="A111" s="0" t="s">
        <v>358</v>
      </c>
      <c r="B111" s="0" t="s">
        <v>359</v>
      </c>
      <c r="C111" s="0" t="s">
        <v>360</v>
      </c>
      <c r="D111" s="0" t="n">
        <v>48</v>
      </c>
      <c r="E111" s="6" t="n">
        <v>40716.5777777778</v>
      </c>
      <c r="F111" s="0" t="n">
        <v>0.29</v>
      </c>
      <c r="G111" s="0" t="n">
        <v>14156</v>
      </c>
      <c r="H111" s="0" t="s">
        <v>80</v>
      </c>
      <c r="I111" s="7" t="str">
        <f aca="false">UPPER(TRIM(B111))</f>
        <v>20984</v>
      </c>
      <c r="J111" s="7" t="str">
        <f aca="false">PROPER(TRIM(C111))</f>
        <v>12 Pencils Tall Tube Posy</v>
      </c>
      <c r="K111" s="7" t="str">
        <f aca="false">SUBSTITUTE(SUBSTITUTE(SUBSTITUTE(H111,"EIRE","Ireland"),"RSA","South Africa"),"USA","United States")</f>
        <v>Ireland</v>
      </c>
      <c r="L111" s="7" t="str">
        <f aca="false">IF(LEFT(A111,1)="C","Cancel","Sale")</f>
        <v>Sale</v>
      </c>
      <c r="M111" s="7" t="str">
        <f aca="false">IF(G111="","Guest",REPLACE(G111,3,2,"**"))</f>
        <v>14**6</v>
      </c>
      <c r="N111" s="7" t="str">
        <f aca="false">_xlfn.CONCAT(A111,"-",I111)</f>
        <v>557759-20984</v>
      </c>
      <c r="O111" s="7" t="str">
        <f aca="false">LOWER(SUBSTITUTE(TRIM(C111)," ","-"))</f>
        <v>12-pencils-tall-tube-posy</v>
      </c>
      <c r="P111" s="7" t="n">
        <f aca="false">IF(EXACT(C111,TRIM(C111)),0,1)</f>
        <v>0</v>
      </c>
    </row>
    <row r="112" customFormat="false" ht="15" hidden="false" customHeight="false" outlineLevel="0" collapsed="false">
      <c r="A112" s="0" t="s">
        <v>361</v>
      </c>
      <c r="B112" s="0" t="s">
        <v>362</v>
      </c>
      <c r="C112" s="0" t="s">
        <v>363</v>
      </c>
      <c r="D112" s="0" t="n">
        <v>12</v>
      </c>
      <c r="E112" s="6" t="n">
        <v>40716.6534722222</v>
      </c>
      <c r="F112" s="0" t="n">
        <v>1.25</v>
      </c>
      <c r="G112" s="0" t="n">
        <v>14640</v>
      </c>
      <c r="H112" s="0" t="s">
        <v>36</v>
      </c>
      <c r="I112" s="7" t="str">
        <f aca="false">UPPER(TRIM(B112))</f>
        <v>22252</v>
      </c>
      <c r="J112" s="7" t="str">
        <f aca="false">PROPER(TRIM(C112))</f>
        <v>Birdcage Decoration Tealight Holder</v>
      </c>
      <c r="K112" s="7" t="str">
        <f aca="false">SUBSTITUTE(SUBSTITUTE(SUBSTITUTE(H112,"EIRE","Ireland"),"RSA","South Africa"),"USA","United States")</f>
        <v>United Kingdom</v>
      </c>
      <c r="L112" s="7" t="str">
        <f aca="false">IF(LEFT(A112,1)="C","Cancel","Sale")</f>
        <v>Sale</v>
      </c>
      <c r="M112" s="7" t="str">
        <f aca="false">IF(G112="","Guest",REPLACE(G112,3,2,"**"))</f>
        <v>14**0</v>
      </c>
      <c r="N112" s="7" t="str">
        <f aca="false">_xlfn.CONCAT(A112,"-",I112)</f>
        <v>557782-22252</v>
      </c>
      <c r="O112" s="7" t="str">
        <f aca="false">LOWER(SUBSTITUTE(TRIM(C112)," ","-"))</f>
        <v>birdcage-decoration-tealight-holder</v>
      </c>
      <c r="P112" s="7" t="n">
        <f aca="false">IF(EXACT(C112,TRIM(C112)),0,1)</f>
        <v>0</v>
      </c>
    </row>
    <row r="113" customFormat="false" ht="15" hidden="false" customHeight="false" outlineLevel="0" collapsed="false">
      <c r="A113" s="0" t="s">
        <v>364</v>
      </c>
      <c r="B113" s="0" t="s">
        <v>153</v>
      </c>
      <c r="C113" s="0" t="s">
        <v>154</v>
      </c>
      <c r="D113" s="0" t="n">
        <v>18</v>
      </c>
      <c r="E113" s="6" t="n">
        <v>40720.525</v>
      </c>
      <c r="F113" s="0" t="n">
        <v>2.95</v>
      </c>
      <c r="G113" s="0" t="n">
        <v>13505</v>
      </c>
      <c r="H113" s="0" t="s">
        <v>365</v>
      </c>
      <c r="I113" s="7" t="str">
        <f aca="false">UPPER(TRIM(B113))</f>
        <v>22699</v>
      </c>
      <c r="J113" s="7" t="str">
        <f aca="false">PROPER(TRIM(C113))</f>
        <v>Roses Regency Teacup And Saucer</v>
      </c>
      <c r="K113" s="7" t="str">
        <f aca="false">SUBSTITUTE(SUBSTITUTE(SUBSTITUTE(H113,"EIRE","Ireland"),"RSA","South Africa"),"USA","United States")</f>
        <v>Switzerland</v>
      </c>
      <c r="L113" s="7" t="str">
        <f aca="false">IF(LEFT(A113,1)="C","Cancel","Sale")</f>
        <v>Sale</v>
      </c>
      <c r="M113" s="7" t="str">
        <f aca="false">IF(G113="","Guest",REPLACE(G113,3,2,"**"))</f>
        <v>13**5</v>
      </c>
      <c r="N113" s="7" t="str">
        <f aca="false">_xlfn.CONCAT(A113,"-",I113)</f>
        <v>558089-22699</v>
      </c>
      <c r="O113" s="7" t="str">
        <f aca="false">LOWER(SUBSTITUTE(TRIM(C113)," ","-"))</f>
        <v>roses-regency-teacup-and-saucer</v>
      </c>
      <c r="P113" s="7" t="n">
        <f aca="false">IF(EXACT(C113,TRIM(C113)),0,1)</f>
        <v>1</v>
      </c>
    </row>
    <row r="114" customFormat="false" ht="15" hidden="false" customHeight="false" outlineLevel="0" collapsed="false">
      <c r="A114" s="0" t="s">
        <v>366</v>
      </c>
      <c r="B114" s="0" t="s">
        <v>367</v>
      </c>
      <c r="C114" s="0" t="s">
        <v>368</v>
      </c>
      <c r="D114" s="0" t="n">
        <v>1</v>
      </c>
      <c r="E114" s="6" t="n">
        <v>40721.3833333333</v>
      </c>
      <c r="F114" s="0" t="n">
        <v>3.29</v>
      </c>
      <c r="H114" s="0" t="s">
        <v>36</v>
      </c>
      <c r="I114" s="7" t="str">
        <f aca="false">UPPER(TRIM(B114))</f>
        <v>85114B</v>
      </c>
      <c r="J114" s="7" t="str">
        <f aca="false">PROPER(TRIM(C114))</f>
        <v>Ivory Enchanted Forest Placemat</v>
      </c>
      <c r="K114" s="7" t="str">
        <f aca="false">SUBSTITUTE(SUBSTITUTE(SUBSTITUTE(H114,"EIRE","Ireland"),"RSA","South Africa"),"USA","United States")</f>
        <v>United Kingdom</v>
      </c>
      <c r="L114" s="7" t="str">
        <f aca="false">IF(LEFT(A114,1)="C","Cancel","Sale")</f>
        <v>Sale</v>
      </c>
      <c r="M114" s="7" t="str">
        <f aca="false">IF(G114="","Guest",REPLACE(G114,3,2,"**"))</f>
        <v>Guest</v>
      </c>
      <c r="N114" s="7" t="str">
        <f aca="false">_xlfn.CONCAT(A114,"-",I114)</f>
        <v>558119-85114B</v>
      </c>
      <c r="O114" s="7" t="str">
        <f aca="false">LOWER(SUBSTITUTE(TRIM(C114)," ","-"))</f>
        <v>ivory-enchanted-forest-placemat</v>
      </c>
      <c r="P114" s="7" t="n">
        <f aca="false">IF(EXACT(C114,TRIM(C114)),0,1)</f>
        <v>0</v>
      </c>
    </row>
    <row r="115" customFormat="false" ht="15" hidden="false" customHeight="false" outlineLevel="0" collapsed="false">
      <c r="A115" s="0" t="s">
        <v>369</v>
      </c>
      <c r="B115" s="0" t="s">
        <v>370</v>
      </c>
      <c r="C115" s="0" t="s">
        <v>371</v>
      </c>
      <c r="D115" s="0" t="n">
        <v>1</v>
      </c>
      <c r="E115" s="6" t="n">
        <v>40721.6041666667</v>
      </c>
      <c r="F115" s="0" t="n">
        <v>8.5</v>
      </c>
      <c r="G115" s="0" t="n">
        <v>17841</v>
      </c>
      <c r="H115" s="0" t="s">
        <v>36</v>
      </c>
      <c r="I115" s="7" t="str">
        <f aca="false">UPPER(TRIM(B115))</f>
        <v>22169</v>
      </c>
      <c r="J115" s="7" t="str">
        <f aca="false">PROPER(TRIM(C115))</f>
        <v>Family Album White Picture Frame</v>
      </c>
      <c r="K115" s="7" t="str">
        <f aca="false">SUBSTITUTE(SUBSTITUTE(SUBSTITUTE(H115,"EIRE","Ireland"),"RSA","South Africa"),"USA","United States")</f>
        <v>United Kingdom</v>
      </c>
      <c r="L115" s="7" t="str">
        <f aca="false">IF(LEFT(A115,1)="C","Cancel","Sale")</f>
        <v>Sale</v>
      </c>
      <c r="M115" s="7" t="str">
        <f aca="false">IF(G115="","Guest",REPLACE(G115,3,2,"**"))</f>
        <v>17**1</v>
      </c>
      <c r="N115" s="7" t="str">
        <f aca="false">_xlfn.CONCAT(A115,"-",I115)</f>
        <v>558232-22169</v>
      </c>
      <c r="O115" s="7" t="str">
        <f aca="false">LOWER(SUBSTITUTE(TRIM(C115)," ","-"))</f>
        <v>family-album-white-picture-frame</v>
      </c>
      <c r="P115" s="7" t="n">
        <f aca="false">IF(EXACT(C115,TRIM(C115)),0,1)</f>
        <v>0</v>
      </c>
    </row>
    <row r="116" customFormat="false" ht="15" hidden="false" customHeight="false" outlineLevel="0" collapsed="false">
      <c r="A116" s="0" t="s">
        <v>372</v>
      </c>
      <c r="B116" s="0" t="s">
        <v>356</v>
      </c>
      <c r="C116" s="0" t="s">
        <v>357</v>
      </c>
      <c r="D116" s="0" t="n">
        <v>6</v>
      </c>
      <c r="E116" s="6" t="n">
        <v>40723.38125</v>
      </c>
      <c r="F116" s="0" t="n">
        <v>4.25</v>
      </c>
      <c r="G116" s="0" t="n">
        <v>17389</v>
      </c>
      <c r="H116" s="0" t="s">
        <v>36</v>
      </c>
      <c r="I116" s="7" t="str">
        <f aca="false">UPPER(TRIM(B116))</f>
        <v>22960</v>
      </c>
      <c r="J116" s="7" t="str">
        <f aca="false">PROPER(TRIM(C116))</f>
        <v>Jam Making Set With Jars</v>
      </c>
      <c r="K116" s="7" t="str">
        <f aca="false">SUBSTITUTE(SUBSTITUTE(SUBSTITUTE(H116,"EIRE","Ireland"),"RSA","South Africa"),"USA","United States")</f>
        <v>United Kingdom</v>
      </c>
      <c r="L116" s="7" t="str">
        <f aca="false">IF(LEFT(A116,1)="C","Cancel","Sale")</f>
        <v>Sale</v>
      </c>
      <c r="M116" s="7" t="str">
        <f aca="false">IF(G116="","Guest",REPLACE(G116,3,2,"**"))</f>
        <v>17**9</v>
      </c>
      <c r="N116" s="7" t="str">
        <f aca="false">_xlfn.CONCAT(A116,"-",I116)</f>
        <v>558384-22960</v>
      </c>
      <c r="O116" s="7" t="str">
        <f aca="false">LOWER(SUBSTITUTE(TRIM(C116)," ","-"))</f>
        <v>jam-making-set-with-jars</v>
      </c>
      <c r="P116" s="7" t="n">
        <f aca="false">IF(EXACT(C116,TRIM(C116)),0,1)</f>
        <v>0</v>
      </c>
    </row>
    <row r="117" customFormat="false" ht="15" hidden="false" customHeight="false" outlineLevel="0" collapsed="false">
      <c r="A117" s="0" t="s">
        <v>373</v>
      </c>
      <c r="B117" s="0" t="s">
        <v>374</v>
      </c>
      <c r="C117" s="0" t="s">
        <v>375</v>
      </c>
      <c r="D117" s="0" t="n">
        <v>1</v>
      </c>
      <c r="E117" s="6" t="n">
        <v>40723.6652777778</v>
      </c>
      <c r="F117" s="0" t="n">
        <v>3.29</v>
      </c>
      <c r="H117" s="0" t="s">
        <v>36</v>
      </c>
      <c r="I117" s="7" t="str">
        <f aca="false">UPPER(TRIM(B117))</f>
        <v>16225</v>
      </c>
      <c r="J117" s="7" t="str">
        <f aca="false">PROPER(TRIM(C117))</f>
        <v>Rattle Snake Eggs</v>
      </c>
      <c r="K117" s="7" t="str">
        <f aca="false">SUBSTITUTE(SUBSTITUTE(SUBSTITUTE(H117,"EIRE","Ireland"),"RSA","South Africa"),"USA","United States")</f>
        <v>United Kingdom</v>
      </c>
      <c r="L117" s="7" t="str">
        <f aca="false">IF(LEFT(A117,1)="C","Cancel","Sale")</f>
        <v>Sale</v>
      </c>
      <c r="M117" s="7" t="str">
        <f aca="false">IF(G117="","Guest",REPLACE(G117,3,2,"**"))</f>
        <v>Guest</v>
      </c>
      <c r="N117" s="7" t="str">
        <f aca="false">_xlfn.CONCAT(A117,"-",I117)</f>
        <v>558475-16225</v>
      </c>
      <c r="O117" s="7" t="str">
        <f aca="false">LOWER(SUBSTITUTE(TRIM(C117)," ","-"))</f>
        <v>rattle-snake-eggs</v>
      </c>
      <c r="P117" s="7" t="n">
        <f aca="false">IF(EXACT(C117,TRIM(C117)),0,1)</f>
        <v>0</v>
      </c>
    </row>
    <row r="118" customFormat="false" ht="15" hidden="false" customHeight="false" outlineLevel="0" collapsed="false">
      <c r="A118" s="0" t="s">
        <v>376</v>
      </c>
      <c r="B118" s="0" t="s">
        <v>377</v>
      </c>
      <c r="C118" s="0" t="s">
        <v>378</v>
      </c>
      <c r="D118" s="0" t="n">
        <v>3</v>
      </c>
      <c r="E118" s="6" t="n">
        <v>40725.5361111111</v>
      </c>
      <c r="F118" s="0" t="n">
        <v>0.19</v>
      </c>
      <c r="G118" s="0" t="n">
        <v>12748</v>
      </c>
      <c r="H118" s="0" t="s">
        <v>36</v>
      </c>
      <c r="I118" s="7" t="str">
        <f aca="false">UPPER(TRIM(B118))</f>
        <v>21386</v>
      </c>
      <c r="J118" s="7" t="str">
        <f aca="false">PROPER(TRIM(C118))</f>
        <v>Ivory Hanging Decoration Egg</v>
      </c>
      <c r="K118" s="7" t="str">
        <f aca="false">SUBSTITUTE(SUBSTITUTE(SUBSTITUTE(H118,"EIRE","Ireland"),"RSA","South Africa"),"USA","United States")</f>
        <v>United Kingdom</v>
      </c>
      <c r="L118" s="7" t="str">
        <f aca="false">IF(LEFT(A118,1)="C","Cancel","Sale")</f>
        <v>Sale</v>
      </c>
      <c r="M118" s="7" t="str">
        <f aca="false">IF(G118="","Guest",REPLACE(G118,3,2,"**"))</f>
        <v>12**8</v>
      </c>
      <c r="N118" s="7" t="str">
        <f aca="false">_xlfn.CONCAT(A118,"-",I118)</f>
        <v>558705-21386</v>
      </c>
      <c r="O118" s="7" t="str">
        <f aca="false">LOWER(SUBSTITUTE(TRIM(C118)," ","-"))</f>
        <v>ivory-hanging-decoration-egg</v>
      </c>
      <c r="P118" s="7" t="n">
        <f aca="false">IF(EXACT(C118,TRIM(C118)),0,1)</f>
        <v>1</v>
      </c>
    </row>
    <row r="119" customFormat="false" ht="15" hidden="false" customHeight="false" outlineLevel="0" collapsed="false">
      <c r="A119" s="0" t="s">
        <v>379</v>
      </c>
      <c r="B119" s="0" t="s">
        <v>380</v>
      </c>
      <c r="C119" s="0" t="s">
        <v>381</v>
      </c>
      <c r="D119" s="0" t="n">
        <v>6</v>
      </c>
      <c r="E119" s="6" t="n">
        <v>40727.6381944444</v>
      </c>
      <c r="F119" s="0" t="n">
        <v>1.65</v>
      </c>
      <c r="G119" s="0" t="n">
        <v>12748</v>
      </c>
      <c r="H119" s="0" t="s">
        <v>36</v>
      </c>
      <c r="I119" s="7" t="str">
        <f aca="false">UPPER(TRIM(B119))</f>
        <v>23171</v>
      </c>
      <c r="J119" s="7" t="str">
        <f aca="false">PROPER(TRIM(C119))</f>
        <v>Regency Tea Plate Green</v>
      </c>
      <c r="K119" s="7" t="str">
        <f aca="false">SUBSTITUTE(SUBSTITUTE(SUBSTITUTE(H119,"EIRE","Ireland"),"RSA","South Africa"),"USA","United States")</f>
        <v>United Kingdom</v>
      </c>
      <c r="L119" s="7" t="str">
        <f aca="false">IF(LEFT(A119,1)="C","Cancel","Sale")</f>
        <v>Sale</v>
      </c>
      <c r="M119" s="7" t="str">
        <f aca="false">IF(G119="","Guest",REPLACE(G119,3,2,"**"))</f>
        <v>12**8</v>
      </c>
      <c r="N119" s="7" t="str">
        <f aca="false">_xlfn.CONCAT(A119,"-",I119)</f>
        <v>558770-23171</v>
      </c>
      <c r="O119" s="7" t="str">
        <f aca="false">LOWER(SUBSTITUTE(TRIM(C119)," ","-"))</f>
        <v>regency-tea-plate-green</v>
      </c>
      <c r="P119" s="7" t="n">
        <f aca="false">IF(EXACT(C119,TRIM(C119)),0,1)</f>
        <v>1</v>
      </c>
    </row>
    <row r="120" customFormat="false" ht="15" hidden="false" customHeight="false" outlineLevel="0" collapsed="false">
      <c r="A120" s="0" t="s">
        <v>382</v>
      </c>
      <c r="B120" s="0" t="s">
        <v>383</v>
      </c>
      <c r="C120" s="0" t="s">
        <v>384</v>
      </c>
      <c r="D120" s="0" t="n">
        <v>2</v>
      </c>
      <c r="E120" s="6" t="n">
        <v>40729.7034722222</v>
      </c>
      <c r="F120" s="0" t="n">
        <v>1.63</v>
      </c>
      <c r="H120" s="0" t="s">
        <v>36</v>
      </c>
      <c r="I120" s="7" t="str">
        <f aca="false">UPPER(TRIM(B120))</f>
        <v>22246</v>
      </c>
      <c r="J120" s="7" t="str">
        <f aca="false">PROPER(TRIM(C120))</f>
        <v>Magic Garden Felt Garland</v>
      </c>
      <c r="K120" s="7" t="str">
        <f aca="false">SUBSTITUTE(SUBSTITUTE(SUBSTITUTE(H120,"EIRE","Ireland"),"RSA","South Africa"),"USA","United States")</f>
        <v>United Kingdom</v>
      </c>
      <c r="L120" s="7" t="str">
        <f aca="false">IF(LEFT(A120,1)="C","Cancel","Sale")</f>
        <v>Sale</v>
      </c>
      <c r="M120" s="7" t="str">
        <f aca="false">IF(G120="","Guest",REPLACE(G120,3,2,"**"))</f>
        <v>Guest</v>
      </c>
      <c r="N120" s="7" t="str">
        <f aca="false">_xlfn.CONCAT(A120,"-",I120)</f>
        <v>559052-22246</v>
      </c>
      <c r="O120" s="7" t="str">
        <f aca="false">LOWER(SUBSTITUTE(TRIM(C120)," ","-"))</f>
        <v>magic-garden-felt-garland</v>
      </c>
      <c r="P120" s="7" t="n">
        <f aca="false">IF(EXACT(C120,TRIM(C120)),0,1)</f>
        <v>1</v>
      </c>
    </row>
    <row r="121" customFormat="false" ht="15" hidden="false" customHeight="false" outlineLevel="0" collapsed="false">
      <c r="A121" s="0" t="s">
        <v>385</v>
      </c>
      <c r="B121" s="0" t="s">
        <v>386</v>
      </c>
      <c r="C121" s="0" t="s">
        <v>387</v>
      </c>
      <c r="D121" s="0" t="n">
        <v>1</v>
      </c>
      <c r="E121" s="6" t="n">
        <v>40729.7145833333</v>
      </c>
      <c r="F121" s="0" t="n">
        <v>2.46</v>
      </c>
      <c r="H121" s="0" t="s">
        <v>36</v>
      </c>
      <c r="I121" s="7" t="str">
        <f aca="false">UPPER(TRIM(B121))</f>
        <v>22975</v>
      </c>
      <c r="J121" s="7" t="str">
        <f aca="false">PROPER(TRIM(C121))</f>
        <v>Spaceboy Childrens Egg Cup</v>
      </c>
      <c r="K121" s="7" t="str">
        <f aca="false">SUBSTITUTE(SUBSTITUTE(SUBSTITUTE(H121,"EIRE","Ireland"),"RSA","South Africa"),"USA","United States")</f>
        <v>United Kingdom</v>
      </c>
      <c r="L121" s="7" t="str">
        <f aca="false">IF(LEFT(A121,1)="C","Cancel","Sale")</f>
        <v>Sale</v>
      </c>
      <c r="M121" s="7" t="str">
        <f aca="false">IF(G121="","Guest",REPLACE(G121,3,2,"**"))</f>
        <v>Guest</v>
      </c>
      <c r="N121" s="7" t="str">
        <f aca="false">_xlfn.CONCAT(A121,"-",I121)</f>
        <v>559055-22975</v>
      </c>
      <c r="O121" s="7" t="str">
        <f aca="false">LOWER(SUBSTITUTE(TRIM(C121)," ","-"))</f>
        <v>spaceboy-childrens-egg-cup</v>
      </c>
      <c r="P121" s="7" t="n">
        <f aca="false">IF(EXACT(C121,TRIM(C121)),0,1)</f>
        <v>0</v>
      </c>
    </row>
    <row r="122" customFormat="false" ht="15" hidden="false" customHeight="false" outlineLevel="0" collapsed="false">
      <c r="A122" s="0" t="s">
        <v>388</v>
      </c>
      <c r="B122" s="0" t="s">
        <v>389</v>
      </c>
      <c r="C122" s="0" t="s">
        <v>390</v>
      </c>
      <c r="D122" s="0" t="n">
        <v>6</v>
      </c>
      <c r="E122" s="6" t="n">
        <v>40730.5215277778</v>
      </c>
      <c r="F122" s="0" t="n">
        <v>2.95</v>
      </c>
      <c r="G122" s="0" t="n">
        <v>14621</v>
      </c>
      <c r="H122" s="0" t="s">
        <v>36</v>
      </c>
      <c r="I122" s="7" t="str">
        <f aca="false">UPPER(TRIM(B122))</f>
        <v>22698</v>
      </c>
      <c r="J122" s="7" t="str">
        <f aca="false">PROPER(TRIM(C122))</f>
        <v>Pink Regency Teacup And Saucer</v>
      </c>
      <c r="K122" s="7" t="str">
        <f aca="false">SUBSTITUTE(SUBSTITUTE(SUBSTITUTE(H122,"EIRE","Ireland"),"RSA","South Africa"),"USA","United States")</f>
        <v>United Kingdom</v>
      </c>
      <c r="L122" s="7" t="str">
        <f aca="false">IF(LEFT(A122,1)="C","Cancel","Sale")</f>
        <v>Sale</v>
      </c>
      <c r="M122" s="7" t="str">
        <f aca="false">IF(G122="","Guest",REPLACE(G122,3,2,"**"))</f>
        <v>14**1</v>
      </c>
      <c r="N122" s="7" t="str">
        <f aca="false">_xlfn.CONCAT(A122,"-",I122)</f>
        <v>559124-22698</v>
      </c>
      <c r="O122" s="7" t="str">
        <f aca="false">LOWER(SUBSTITUTE(TRIM(C122)," ","-"))</f>
        <v>pink-regency-teacup-and-saucer</v>
      </c>
      <c r="P122" s="7" t="n">
        <f aca="false">IF(EXACT(C122,TRIM(C122)),0,1)</f>
        <v>0</v>
      </c>
    </row>
    <row r="123" customFormat="false" ht="15" hidden="false" customHeight="false" outlineLevel="0" collapsed="false">
      <c r="A123" s="0" t="s">
        <v>391</v>
      </c>
      <c r="B123" s="0" t="s">
        <v>392</v>
      </c>
      <c r="C123" s="0" t="s">
        <v>393</v>
      </c>
      <c r="D123" s="0" t="n">
        <v>8</v>
      </c>
      <c r="E123" s="6" t="n">
        <v>40730.5513888889</v>
      </c>
      <c r="F123" s="0" t="n">
        <v>1.25</v>
      </c>
      <c r="G123" s="0" t="n">
        <v>12700</v>
      </c>
      <c r="H123" s="0" t="s">
        <v>113</v>
      </c>
      <c r="I123" s="7" t="str">
        <f aca="false">UPPER(TRIM(B123))</f>
        <v>23291</v>
      </c>
      <c r="J123" s="7" t="str">
        <f aca="false">PROPER(TRIM(C123))</f>
        <v>Dolly Girl Childrens Cup</v>
      </c>
      <c r="K123" s="7" t="str">
        <f aca="false">SUBSTITUTE(SUBSTITUTE(SUBSTITUTE(H123,"EIRE","Ireland"),"RSA","South Africa"),"USA","United States")</f>
        <v>France</v>
      </c>
      <c r="L123" s="7" t="str">
        <f aca="false">IF(LEFT(A123,1)="C","Cancel","Sale")</f>
        <v>Sale</v>
      </c>
      <c r="M123" s="7" t="str">
        <f aca="false">IF(G123="","Guest",REPLACE(G123,3,2,"**"))</f>
        <v>12**0</v>
      </c>
      <c r="N123" s="7" t="str">
        <f aca="false">_xlfn.CONCAT(A123,"-",I123)</f>
        <v>559134-23291</v>
      </c>
      <c r="O123" s="7" t="str">
        <f aca="false">LOWER(SUBSTITUTE(TRIM(C123)," ","-"))</f>
        <v>dolly-girl-childrens-cup</v>
      </c>
      <c r="P123" s="7" t="n">
        <f aca="false">IF(EXACT(C123,TRIM(C123)),0,1)</f>
        <v>0</v>
      </c>
    </row>
    <row r="124" customFormat="false" ht="15" hidden="false" customHeight="false" outlineLevel="0" collapsed="false">
      <c r="A124" s="0" t="s">
        <v>394</v>
      </c>
      <c r="B124" s="0" t="s">
        <v>62</v>
      </c>
      <c r="C124" s="0" t="s">
        <v>63</v>
      </c>
      <c r="D124" s="0" t="n">
        <v>12</v>
      </c>
      <c r="E124" s="6" t="n">
        <v>40730.6590277778</v>
      </c>
      <c r="F124" s="0" t="n">
        <v>0.79</v>
      </c>
      <c r="G124" s="0" t="n">
        <v>13418</v>
      </c>
      <c r="H124" s="0" t="s">
        <v>36</v>
      </c>
      <c r="I124" s="7" t="str">
        <f aca="false">UPPER(TRIM(B124))</f>
        <v>22115</v>
      </c>
      <c r="J124" s="7" t="str">
        <f aca="false">PROPER(TRIM(C124))</f>
        <v>Metal Sign Empire Tea</v>
      </c>
      <c r="K124" s="7" t="str">
        <f aca="false">SUBSTITUTE(SUBSTITUTE(SUBSTITUTE(H124,"EIRE","Ireland"),"RSA","South Africa"),"USA","United States")</f>
        <v>United Kingdom</v>
      </c>
      <c r="L124" s="7" t="str">
        <f aca="false">IF(LEFT(A124,1)="C","Cancel","Sale")</f>
        <v>Sale</v>
      </c>
      <c r="M124" s="7" t="str">
        <f aca="false">IF(G124="","Guest",REPLACE(G124,3,2,"**"))</f>
        <v>13**8</v>
      </c>
      <c r="N124" s="7" t="str">
        <f aca="false">_xlfn.CONCAT(A124,"-",I124)</f>
        <v>559155-22115</v>
      </c>
      <c r="O124" s="7" t="str">
        <f aca="false">LOWER(SUBSTITUTE(TRIM(C124)," ","-"))</f>
        <v>metal-sign-empire-tea</v>
      </c>
      <c r="P124" s="7" t="n">
        <f aca="false">IF(EXACT(C124,TRIM(C124)),0,1)</f>
        <v>0</v>
      </c>
    </row>
    <row r="125" customFormat="false" ht="15" hidden="false" customHeight="false" outlineLevel="0" collapsed="false">
      <c r="A125" s="0" t="s">
        <v>395</v>
      </c>
      <c r="B125" s="0" t="s">
        <v>396</v>
      </c>
      <c r="C125" s="0" t="s">
        <v>397</v>
      </c>
      <c r="D125" s="0" t="n">
        <v>1</v>
      </c>
      <c r="E125" s="6" t="n">
        <v>40730.6944444445</v>
      </c>
      <c r="F125" s="0" t="n">
        <v>0.39</v>
      </c>
      <c r="G125" s="0" t="n">
        <v>12977</v>
      </c>
      <c r="H125" s="0" t="s">
        <v>36</v>
      </c>
      <c r="I125" s="7" t="str">
        <f aca="false">UPPER(TRIM(B125))</f>
        <v>37489D</v>
      </c>
      <c r="J125" s="7" t="str">
        <f aca="false">PROPER(TRIM(C125))</f>
        <v>Pink/Green Flower Design Big Mug</v>
      </c>
      <c r="K125" s="7" t="str">
        <f aca="false">SUBSTITUTE(SUBSTITUTE(SUBSTITUTE(H125,"EIRE","Ireland"),"RSA","South Africa"),"USA","United States")</f>
        <v>United Kingdom</v>
      </c>
      <c r="L125" s="7" t="str">
        <f aca="false">IF(LEFT(A125,1)="C","Cancel","Sale")</f>
        <v>Sale</v>
      </c>
      <c r="M125" s="7" t="str">
        <f aca="false">IF(G125="","Guest",REPLACE(G125,3,2,"**"))</f>
        <v>12**7</v>
      </c>
      <c r="N125" s="7" t="str">
        <f aca="false">_xlfn.CONCAT(A125,"-",I125)</f>
        <v>559165-37489D</v>
      </c>
      <c r="O125" s="7" t="str">
        <f aca="false">LOWER(SUBSTITUTE(TRIM(C125)," ","-"))</f>
        <v>pink/green-flower-design-big-mug</v>
      </c>
      <c r="P125" s="7" t="n">
        <f aca="false">IF(EXACT(C125,TRIM(C125)),0,1)</f>
        <v>0</v>
      </c>
    </row>
    <row r="126" customFormat="false" ht="15" hidden="false" customHeight="false" outlineLevel="0" collapsed="false">
      <c r="A126" s="0" t="s">
        <v>398</v>
      </c>
      <c r="B126" s="0" t="s">
        <v>399</v>
      </c>
      <c r="C126" s="0" t="s">
        <v>400</v>
      </c>
      <c r="D126" s="0" t="n">
        <v>1</v>
      </c>
      <c r="E126" s="6" t="n">
        <v>40730.7298611111</v>
      </c>
      <c r="F126" s="0" t="n">
        <v>0.85</v>
      </c>
      <c r="G126" s="0" t="n">
        <v>16942</v>
      </c>
      <c r="H126" s="0" t="s">
        <v>36</v>
      </c>
      <c r="I126" s="7" t="str">
        <f aca="false">UPPER(TRIM(B126))</f>
        <v>20723</v>
      </c>
      <c r="J126" s="7" t="str">
        <f aca="false">PROPER(TRIM(C126))</f>
        <v>Strawberry Charlotte Bag</v>
      </c>
      <c r="K126" s="7" t="str">
        <f aca="false">SUBSTITUTE(SUBSTITUTE(SUBSTITUTE(H126,"EIRE","Ireland"),"RSA","South Africa"),"USA","United States")</f>
        <v>United Kingdom</v>
      </c>
      <c r="L126" s="7" t="str">
        <f aca="false">IF(LEFT(A126,1)="C","Cancel","Sale")</f>
        <v>Sale</v>
      </c>
      <c r="M126" s="7" t="str">
        <f aca="false">IF(G126="","Guest",REPLACE(G126,3,2,"**"))</f>
        <v>16**2</v>
      </c>
      <c r="N126" s="7" t="str">
        <f aca="false">_xlfn.CONCAT(A126,"-",I126)</f>
        <v>559170-20723</v>
      </c>
      <c r="O126" s="7" t="str">
        <f aca="false">LOWER(SUBSTITUTE(TRIM(C126)," ","-"))</f>
        <v>strawberry-charlotte-bag</v>
      </c>
      <c r="P126" s="7" t="n">
        <f aca="false">IF(EXACT(C126,TRIM(C126)),0,1)</f>
        <v>0</v>
      </c>
    </row>
    <row r="127" customFormat="false" ht="15" hidden="false" customHeight="false" outlineLevel="0" collapsed="false">
      <c r="A127" s="0" t="s">
        <v>401</v>
      </c>
      <c r="B127" s="0" t="s">
        <v>402</v>
      </c>
      <c r="C127" s="0" t="s">
        <v>403</v>
      </c>
      <c r="D127" s="0" t="n">
        <v>10</v>
      </c>
      <c r="E127" s="6" t="n">
        <v>40731.4194444444</v>
      </c>
      <c r="F127" s="0" t="n">
        <v>1.65</v>
      </c>
      <c r="G127" s="0" t="n">
        <v>18263</v>
      </c>
      <c r="H127" s="0" t="s">
        <v>36</v>
      </c>
      <c r="I127" s="7" t="str">
        <f aca="false">UPPER(TRIM(B127))</f>
        <v>21932</v>
      </c>
      <c r="J127" s="7" t="str">
        <f aca="false">PROPER(TRIM(C127))</f>
        <v>Scandinavian Paisley Picnic Bag</v>
      </c>
      <c r="K127" s="7" t="str">
        <f aca="false">SUBSTITUTE(SUBSTITUTE(SUBSTITUTE(H127,"EIRE","Ireland"),"RSA","South Africa"),"USA","United States")</f>
        <v>United Kingdom</v>
      </c>
      <c r="L127" s="7" t="str">
        <f aca="false">IF(LEFT(A127,1)="C","Cancel","Sale")</f>
        <v>Sale</v>
      </c>
      <c r="M127" s="7" t="str">
        <f aca="false">IF(G127="","Guest",REPLACE(G127,3,2,"**"))</f>
        <v>18**3</v>
      </c>
      <c r="N127" s="7" t="str">
        <f aca="false">_xlfn.CONCAT(A127,"-",I127)</f>
        <v>559174-21932</v>
      </c>
      <c r="O127" s="7" t="str">
        <f aca="false">LOWER(SUBSTITUTE(TRIM(C127)," ","-"))</f>
        <v>scandinavian-paisley-picnic-bag</v>
      </c>
      <c r="P127" s="7" t="n">
        <f aca="false">IF(EXACT(C127,TRIM(C127)),0,1)</f>
        <v>0</v>
      </c>
    </row>
    <row r="128" customFormat="false" ht="15" hidden="false" customHeight="false" outlineLevel="0" collapsed="false">
      <c r="A128" s="0" t="s">
        <v>404</v>
      </c>
      <c r="B128" s="0" t="s">
        <v>405</v>
      </c>
      <c r="C128" s="0" t="s">
        <v>406</v>
      </c>
      <c r="D128" s="0" t="n">
        <v>6</v>
      </c>
      <c r="E128" s="6" t="n">
        <v>40732.3631944444</v>
      </c>
      <c r="F128" s="0" t="n">
        <v>2.55</v>
      </c>
      <c r="G128" s="0" t="n">
        <v>12635</v>
      </c>
      <c r="H128" s="0" t="s">
        <v>325</v>
      </c>
      <c r="I128" s="7" t="str">
        <f aca="false">UPPER(TRIM(B128))</f>
        <v>22302</v>
      </c>
      <c r="J128" s="7" t="str">
        <f aca="false">PROPER(TRIM(C128))</f>
        <v>Coffee Mug Pears Design</v>
      </c>
      <c r="K128" s="7" t="str">
        <f aca="false">SUBSTITUTE(SUBSTITUTE(SUBSTITUTE(H128,"EIRE","Ireland"),"RSA","South Africa"),"USA","United States")</f>
        <v>Germany</v>
      </c>
      <c r="L128" s="7" t="str">
        <f aca="false">IF(LEFT(A128,1)="C","Cancel","Sale")</f>
        <v>Sale</v>
      </c>
      <c r="M128" s="7" t="str">
        <f aca="false">IF(G128="","Guest",REPLACE(G128,3,2,"**"))</f>
        <v>12**5</v>
      </c>
      <c r="N128" s="7" t="str">
        <f aca="false">_xlfn.CONCAT(A128,"-",I128)</f>
        <v>559362-22302</v>
      </c>
      <c r="O128" s="7" t="str">
        <f aca="false">LOWER(SUBSTITUTE(TRIM(C128)," ","-"))</f>
        <v>coffee-mug-pears-design</v>
      </c>
      <c r="P128" s="7" t="n">
        <f aca="false">IF(EXACT(C128,TRIM(C128)),0,1)</f>
        <v>1</v>
      </c>
    </row>
    <row r="129" customFormat="false" ht="15" hidden="false" customHeight="false" outlineLevel="0" collapsed="false">
      <c r="A129" s="0" t="s">
        <v>407</v>
      </c>
      <c r="B129" s="0" t="s">
        <v>408</v>
      </c>
      <c r="C129" s="0" t="s">
        <v>409</v>
      </c>
      <c r="D129" s="0" t="n">
        <v>1</v>
      </c>
      <c r="E129" s="6" t="n">
        <v>40735.6430555556</v>
      </c>
      <c r="F129" s="0" t="n">
        <v>1.25</v>
      </c>
      <c r="G129" s="0" t="n">
        <v>17966</v>
      </c>
      <c r="H129" s="0" t="s">
        <v>36</v>
      </c>
      <c r="I129" s="7" t="str">
        <f aca="false">UPPER(TRIM(B129))</f>
        <v>21791</v>
      </c>
      <c r="J129" s="7" t="str">
        <f aca="false">PROPER(TRIM(C129))</f>
        <v>Vintage Heads And Tails Card Game</v>
      </c>
      <c r="K129" s="7" t="str">
        <f aca="false">SUBSTITUTE(SUBSTITUTE(SUBSTITUTE(H129,"EIRE","Ireland"),"RSA","South Africa"),"USA","United States")</f>
        <v>United Kingdom</v>
      </c>
      <c r="L129" s="7" t="str">
        <f aca="false">IF(LEFT(A129,1)="C","Cancel","Sale")</f>
        <v>Sale</v>
      </c>
      <c r="M129" s="7" t="str">
        <f aca="false">IF(G129="","Guest",REPLACE(G129,3,2,"**"))</f>
        <v>17**6</v>
      </c>
      <c r="N129" s="7" t="str">
        <f aca="false">_xlfn.CONCAT(A129,"-",I129)</f>
        <v>559686-21791</v>
      </c>
      <c r="O129" s="7" t="str">
        <f aca="false">LOWER(SUBSTITUTE(TRIM(C129)," ","-"))</f>
        <v>vintage-heads-and-tails-card-game</v>
      </c>
      <c r="P129" s="7" t="n">
        <f aca="false">IF(EXACT(C129,TRIM(C129)),0,1)</f>
        <v>1</v>
      </c>
    </row>
    <row r="130" customFormat="false" ht="15" hidden="false" customHeight="false" outlineLevel="0" collapsed="false">
      <c r="A130" s="0" t="s">
        <v>410</v>
      </c>
      <c r="B130" s="0" t="s">
        <v>411</v>
      </c>
      <c r="C130" s="0" t="s">
        <v>412</v>
      </c>
      <c r="D130" s="0" t="n">
        <v>3</v>
      </c>
      <c r="E130" s="6" t="n">
        <v>40735.68125</v>
      </c>
      <c r="F130" s="0" t="n">
        <v>2.95</v>
      </c>
      <c r="H130" s="0" t="s">
        <v>36</v>
      </c>
      <c r="I130" s="7" t="str">
        <f aca="false">UPPER(TRIM(B130))</f>
        <v>22328</v>
      </c>
      <c r="J130" s="7" t="str">
        <f aca="false">PROPER(TRIM(C130))</f>
        <v>Round Snack Boxes Set Of 4 Fruits</v>
      </c>
      <c r="K130" s="7" t="str">
        <f aca="false">SUBSTITUTE(SUBSTITUTE(SUBSTITUTE(H130,"EIRE","Ireland"),"RSA","South Africa"),"USA","United States")</f>
        <v>United Kingdom</v>
      </c>
      <c r="L130" s="7" t="str">
        <f aca="false">IF(LEFT(A130,1)="C","Cancel","Sale")</f>
        <v>Sale</v>
      </c>
      <c r="M130" s="7" t="str">
        <f aca="false">IF(G130="","Guest",REPLACE(G130,3,2,"**"))</f>
        <v>Guest</v>
      </c>
      <c r="N130" s="7" t="str">
        <f aca="false">_xlfn.CONCAT(A130,"-",I130)</f>
        <v>559693-22328</v>
      </c>
      <c r="O130" s="7" t="str">
        <f aca="false">LOWER(SUBSTITUTE(TRIM(C130)," ","-"))</f>
        <v>round-snack-boxes-set-of-4-fruits</v>
      </c>
      <c r="P130" s="7" t="n">
        <f aca="false">IF(EXACT(C130,TRIM(C130)),0,1)</f>
        <v>1</v>
      </c>
    </row>
    <row r="131" customFormat="false" ht="15" hidden="false" customHeight="false" outlineLevel="0" collapsed="false">
      <c r="A131" s="0" t="s">
        <v>410</v>
      </c>
      <c r="B131" s="0" t="s">
        <v>413</v>
      </c>
      <c r="C131" s="0" t="s">
        <v>414</v>
      </c>
      <c r="D131" s="0" t="n">
        <v>2</v>
      </c>
      <c r="E131" s="6" t="n">
        <v>40735.68125</v>
      </c>
      <c r="F131" s="0" t="n">
        <v>0.83</v>
      </c>
      <c r="H131" s="0" t="s">
        <v>36</v>
      </c>
      <c r="I131" s="7" t="str">
        <f aca="false">UPPER(TRIM(B131))</f>
        <v>84692</v>
      </c>
      <c r="J131" s="7" t="str">
        <f aca="false">PROPER(TRIM(C131))</f>
        <v>Box Of 24 Cocktail Parasols</v>
      </c>
      <c r="K131" s="7" t="str">
        <f aca="false">SUBSTITUTE(SUBSTITUTE(SUBSTITUTE(H131,"EIRE","Ireland"),"RSA","South Africa"),"USA","United States")</f>
        <v>United Kingdom</v>
      </c>
      <c r="L131" s="7" t="str">
        <f aca="false">IF(LEFT(A131,1)="C","Cancel","Sale")</f>
        <v>Sale</v>
      </c>
      <c r="M131" s="7" t="str">
        <f aca="false">IF(G131="","Guest",REPLACE(G131,3,2,"**"))</f>
        <v>Guest</v>
      </c>
      <c r="N131" s="7" t="str">
        <f aca="false">_xlfn.CONCAT(A131,"-",I131)</f>
        <v>559693-84692</v>
      </c>
      <c r="O131" s="7" t="str">
        <f aca="false">LOWER(SUBSTITUTE(TRIM(C131)," ","-"))</f>
        <v>box-of-24-cocktail-parasols</v>
      </c>
      <c r="P131" s="7" t="n">
        <f aca="false">IF(EXACT(C131,TRIM(C131)),0,1)</f>
        <v>0</v>
      </c>
    </row>
    <row r="132" customFormat="false" ht="15" hidden="false" customHeight="false" outlineLevel="0" collapsed="false">
      <c r="A132" s="0" t="s">
        <v>415</v>
      </c>
      <c r="B132" s="0" t="s">
        <v>416</v>
      </c>
      <c r="C132" s="0" t="s">
        <v>417</v>
      </c>
      <c r="D132" s="0" t="n">
        <v>8</v>
      </c>
      <c r="E132" s="6" t="n">
        <v>40736.6590277778</v>
      </c>
      <c r="F132" s="0" t="n">
        <v>0.85</v>
      </c>
      <c r="G132" s="0" t="n">
        <v>15544</v>
      </c>
      <c r="H132" s="0" t="s">
        <v>36</v>
      </c>
      <c r="I132" s="7" t="str">
        <f aca="false">UPPER(TRIM(B132))</f>
        <v>21238</v>
      </c>
      <c r="J132" s="7" t="str">
        <f aca="false">PROPER(TRIM(C132))</f>
        <v>Red Retrospot Cup</v>
      </c>
      <c r="K132" s="7" t="str">
        <f aca="false">SUBSTITUTE(SUBSTITUTE(SUBSTITUTE(H132,"EIRE","Ireland"),"RSA","South Africa"),"USA","United States")</f>
        <v>United Kingdom</v>
      </c>
      <c r="L132" s="7" t="str">
        <f aca="false">IF(LEFT(A132,1)="C","Cancel","Sale")</f>
        <v>Sale</v>
      </c>
      <c r="M132" s="7" t="str">
        <f aca="false">IF(G132="","Guest",REPLACE(G132,3,2,"**"))</f>
        <v>15**4</v>
      </c>
      <c r="N132" s="7" t="str">
        <f aca="false">_xlfn.CONCAT(A132,"-",I132)</f>
        <v>559814-21238</v>
      </c>
      <c r="O132" s="7" t="str">
        <f aca="false">LOWER(SUBSTITUTE(TRIM(C132)," ","-"))</f>
        <v>red-retrospot-cup</v>
      </c>
      <c r="P132" s="7" t="n">
        <f aca="false">IF(EXACT(C132,TRIM(C132)),0,1)</f>
        <v>0</v>
      </c>
    </row>
    <row r="133" customFormat="false" ht="15" hidden="false" customHeight="false" outlineLevel="0" collapsed="false">
      <c r="A133" s="0" t="s">
        <v>418</v>
      </c>
      <c r="B133" s="0" t="s">
        <v>419</v>
      </c>
      <c r="C133" s="0" t="s">
        <v>420</v>
      </c>
      <c r="D133" s="0" t="n">
        <v>12</v>
      </c>
      <c r="E133" s="6" t="n">
        <v>40738.3694444444</v>
      </c>
      <c r="F133" s="0" t="n">
        <v>1.65</v>
      </c>
      <c r="G133" s="0" t="n">
        <v>12405</v>
      </c>
      <c r="H133" s="0" t="s">
        <v>182</v>
      </c>
      <c r="I133" s="7" t="str">
        <f aca="false">UPPER(TRIM(B133))</f>
        <v>21199</v>
      </c>
      <c r="J133" s="7" t="str">
        <f aca="false">PROPER(TRIM(C133))</f>
        <v>Pink Heart Confetti In Tube</v>
      </c>
      <c r="K133" s="7" t="str">
        <f aca="false">SUBSTITUTE(SUBSTITUTE(SUBSTITUTE(H133,"EIRE","Ireland"),"RSA","South Africa"),"USA","United States")</f>
        <v>Finland</v>
      </c>
      <c r="L133" s="7" t="str">
        <f aca="false">IF(LEFT(A133,1)="C","Cancel","Sale")</f>
        <v>Sale</v>
      </c>
      <c r="M133" s="7" t="str">
        <f aca="false">IF(G133="","Guest",REPLACE(G133,3,2,"**"))</f>
        <v>12**5</v>
      </c>
      <c r="N133" s="7" t="str">
        <f aca="false">_xlfn.CONCAT(A133,"-",I133)</f>
        <v>559928-21199</v>
      </c>
      <c r="O133" s="7" t="str">
        <f aca="false">LOWER(SUBSTITUTE(TRIM(C133)," ","-"))</f>
        <v>pink-heart-confetti-in-tube</v>
      </c>
      <c r="P133" s="7" t="n">
        <f aca="false">IF(EXACT(C133,TRIM(C133)),0,1)</f>
        <v>1</v>
      </c>
    </row>
    <row r="134" customFormat="false" ht="15" hidden="false" customHeight="false" outlineLevel="0" collapsed="false">
      <c r="A134" s="0" t="s">
        <v>421</v>
      </c>
      <c r="B134" s="0" t="s">
        <v>422</v>
      </c>
      <c r="C134" s="0" t="s">
        <v>423</v>
      </c>
      <c r="D134" s="0" t="n">
        <v>3</v>
      </c>
      <c r="E134" s="6" t="n">
        <v>40738.6256944445</v>
      </c>
      <c r="F134" s="0" t="n">
        <v>3.75</v>
      </c>
      <c r="G134" s="0" t="n">
        <v>17259</v>
      </c>
      <c r="H134" s="0" t="s">
        <v>36</v>
      </c>
      <c r="I134" s="7" t="str">
        <f aca="false">UPPER(TRIM(B134))</f>
        <v>21467</v>
      </c>
      <c r="J134" s="7" t="str">
        <f aca="false">PROPER(TRIM(C134))</f>
        <v>Cherry Crochet Food Cover</v>
      </c>
      <c r="K134" s="7" t="str">
        <f aca="false">SUBSTITUTE(SUBSTITUTE(SUBSTITUTE(H134,"EIRE","Ireland"),"RSA","South Africa"),"USA","United States")</f>
        <v>United Kingdom</v>
      </c>
      <c r="L134" s="7" t="str">
        <f aca="false">IF(LEFT(A134,1)="C","Cancel","Sale")</f>
        <v>Sale</v>
      </c>
      <c r="M134" s="7" t="str">
        <f aca="false">IF(G134="","Guest",REPLACE(G134,3,2,"**"))</f>
        <v>17**9</v>
      </c>
      <c r="N134" s="7" t="str">
        <f aca="false">_xlfn.CONCAT(A134,"-",I134)</f>
        <v>560047-21467</v>
      </c>
      <c r="O134" s="7" t="str">
        <f aca="false">LOWER(SUBSTITUTE(TRIM(C134)," ","-"))</f>
        <v>cherry-crochet-food-cover</v>
      </c>
      <c r="P134" s="7" t="n">
        <f aca="false">IF(EXACT(C134,TRIM(C134)),0,1)</f>
        <v>0</v>
      </c>
    </row>
    <row r="135" customFormat="false" ht="15" hidden="false" customHeight="false" outlineLevel="0" collapsed="false">
      <c r="A135" s="0" t="s">
        <v>424</v>
      </c>
      <c r="B135" s="0" t="s">
        <v>350</v>
      </c>
      <c r="C135" s="0" t="s">
        <v>351</v>
      </c>
      <c r="D135" s="0" t="n">
        <v>8</v>
      </c>
      <c r="E135" s="6" t="n">
        <v>40741.44375</v>
      </c>
      <c r="F135" s="0" t="n">
        <v>0.85</v>
      </c>
      <c r="G135" s="0" t="n">
        <v>14013</v>
      </c>
      <c r="H135" s="0" t="s">
        <v>36</v>
      </c>
      <c r="I135" s="7" t="str">
        <f aca="false">UPPER(TRIM(B135))</f>
        <v>23287</v>
      </c>
      <c r="J135" s="7" t="str">
        <f aca="false">PROPER(TRIM(C135))</f>
        <v>Red Vintage Spot Beaker</v>
      </c>
      <c r="K135" s="7" t="str">
        <f aca="false">SUBSTITUTE(SUBSTITUTE(SUBSTITUTE(H135,"EIRE","Ireland"),"RSA","South Africa"),"USA","United States")</f>
        <v>United Kingdom</v>
      </c>
      <c r="L135" s="7" t="str">
        <f aca="false">IF(LEFT(A135,1)="C","Cancel","Sale")</f>
        <v>Sale</v>
      </c>
      <c r="M135" s="7" t="str">
        <f aca="false">IF(G135="","Guest",REPLACE(G135,3,2,"**"))</f>
        <v>14**3</v>
      </c>
      <c r="N135" s="7" t="str">
        <f aca="false">_xlfn.CONCAT(A135,"-",I135)</f>
        <v>560229-23287</v>
      </c>
      <c r="O135" s="7" t="str">
        <f aca="false">LOWER(SUBSTITUTE(TRIM(C135)," ","-"))</f>
        <v>red-vintage-spot-beaker</v>
      </c>
      <c r="P135" s="7" t="n">
        <f aca="false">IF(EXACT(C135,TRIM(C135)),0,1)</f>
        <v>0</v>
      </c>
    </row>
    <row r="136" customFormat="false" ht="15" hidden="false" customHeight="false" outlineLevel="0" collapsed="false">
      <c r="A136" s="0" t="s">
        <v>425</v>
      </c>
      <c r="B136" s="0" t="s">
        <v>426</v>
      </c>
      <c r="C136" s="0" t="s">
        <v>427</v>
      </c>
      <c r="D136" s="0" t="n">
        <v>1</v>
      </c>
      <c r="E136" s="6" t="n">
        <v>40742.4284722222</v>
      </c>
      <c r="F136" s="0" t="n">
        <v>4.13</v>
      </c>
      <c r="H136" s="0" t="s">
        <v>36</v>
      </c>
      <c r="I136" s="7" t="str">
        <f aca="false">UPPER(TRIM(B136))</f>
        <v>22077</v>
      </c>
      <c r="J136" s="7" t="str">
        <f aca="false">PROPER(TRIM(C136))</f>
        <v>6 Ribbons Rustic Charm</v>
      </c>
      <c r="K136" s="7" t="str">
        <f aca="false">SUBSTITUTE(SUBSTITUTE(SUBSTITUTE(H136,"EIRE","Ireland"),"RSA","South Africa"),"USA","United States")</f>
        <v>United Kingdom</v>
      </c>
      <c r="L136" s="7" t="str">
        <f aca="false">IF(LEFT(A136,1)="C","Cancel","Sale")</f>
        <v>Sale</v>
      </c>
      <c r="M136" s="7" t="str">
        <f aca="false">IF(G136="","Guest",REPLACE(G136,3,2,"**"))</f>
        <v>Guest</v>
      </c>
      <c r="N136" s="7" t="str">
        <f aca="false">_xlfn.CONCAT(A136,"-",I136)</f>
        <v>560290-22077</v>
      </c>
      <c r="O136" s="7" t="str">
        <f aca="false">LOWER(SUBSTITUTE(TRIM(C136)," ","-"))</f>
        <v>6-ribbons-rustic-charm</v>
      </c>
      <c r="P136" s="7" t="n">
        <f aca="false">IF(EXACT(C136,TRIM(C136)),0,1)</f>
        <v>0</v>
      </c>
    </row>
    <row r="137" customFormat="false" ht="15" hidden="false" customHeight="false" outlineLevel="0" collapsed="false">
      <c r="A137" s="0" t="s">
        <v>428</v>
      </c>
      <c r="B137" s="0" t="s">
        <v>429</v>
      </c>
      <c r="C137" s="0" t="s">
        <v>430</v>
      </c>
      <c r="D137" s="0" t="n">
        <v>3</v>
      </c>
      <c r="E137" s="6" t="n">
        <v>40742.4284722222</v>
      </c>
      <c r="F137" s="0" t="n">
        <v>8.29</v>
      </c>
      <c r="H137" s="0" t="s">
        <v>36</v>
      </c>
      <c r="I137" s="7" t="str">
        <f aca="false">UPPER(TRIM(B137))</f>
        <v>84997A</v>
      </c>
      <c r="J137" s="7" t="str">
        <f aca="false">PROPER(TRIM(C137))</f>
        <v>Childrens Cutlery Polkadot Green</v>
      </c>
      <c r="K137" s="7" t="str">
        <f aca="false">SUBSTITUTE(SUBSTITUTE(SUBSTITUTE(H137,"EIRE","Ireland"),"RSA","South Africa"),"USA","United States")</f>
        <v>United Kingdom</v>
      </c>
      <c r="L137" s="7" t="str">
        <f aca="false">IF(LEFT(A137,1)="C","Cancel","Sale")</f>
        <v>Sale</v>
      </c>
      <c r="M137" s="7" t="str">
        <f aca="false">IF(G137="","Guest",REPLACE(G137,3,2,"**"))</f>
        <v>Guest</v>
      </c>
      <c r="N137" s="7" t="str">
        <f aca="false">_xlfn.CONCAT(A137,"-",I137)</f>
        <v>560291-84997A</v>
      </c>
      <c r="O137" s="7" t="str">
        <f aca="false">LOWER(SUBSTITUTE(TRIM(C137)," ","-"))</f>
        <v>childrens-cutlery-polkadot-green</v>
      </c>
      <c r="P137" s="7" t="n">
        <f aca="false">IF(EXACT(C137,TRIM(C137)),0,1)</f>
        <v>1</v>
      </c>
    </row>
    <row r="138" customFormat="false" ht="15" hidden="false" customHeight="false" outlineLevel="0" collapsed="false">
      <c r="A138" s="0" t="s">
        <v>431</v>
      </c>
      <c r="B138" s="0" t="s">
        <v>432</v>
      </c>
      <c r="C138" s="0" t="s">
        <v>433</v>
      </c>
      <c r="D138" s="0" t="n">
        <v>25</v>
      </c>
      <c r="E138" s="6" t="n">
        <v>40742.6027777778</v>
      </c>
      <c r="F138" s="0" t="n">
        <v>0.42</v>
      </c>
      <c r="G138" s="0" t="n">
        <v>17213</v>
      </c>
      <c r="H138" s="0" t="s">
        <v>36</v>
      </c>
      <c r="I138" s="7" t="str">
        <f aca="false">UPPER(TRIM(B138))</f>
        <v>23232</v>
      </c>
      <c r="J138" s="7" t="str">
        <f aca="false">PROPER(TRIM(C138))</f>
        <v>Wrap Vintage Leaf Design</v>
      </c>
      <c r="K138" s="7" t="str">
        <f aca="false">SUBSTITUTE(SUBSTITUTE(SUBSTITUTE(H138,"EIRE","Ireland"),"RSA","South Africa"),"USA","United States")</f>
        <v>United Kingdom</v>
      </c>
      <c r="L138" s="7" t="str">
        <f aca="false">IF(LEFT(A138,1)="C","Cancel","Sale")</f>
        <v>Sale</v>
      </c>
      <c r="M138" s="7" t="str">
        <f aca="false">IF(G138="","Guest",REPLACE(G138,3,2,"**"))</f>
        <v>17**3</v>
      </c>
      <c r="N138" s="7" t="str">
        <f aca="false">_xlfn.CONCAT(A138,"-",I138)</f>
        <v>560410-23232</v>
      </c>
      <c r="O138" s="7" t="str">
        <f aca="false">LOWER(SUBSTITUTE(TRIM(C138)," ","-"))</f>
        <v>wrap-vintage-leaf-design</v>
      </c>
      <c r="P138" s="7" t="n">
        <f aca="false">IF(EXACT(C138,TRIM(C138)),0,1)</f>
        <v>0</v>
      </c>
    </row>
    <row r="139" customFormat="false" ht="15" hidden="false" customHeight="false" outlineLevel="0" collapsed="false">
      <c r="A139" s="0" t="s">
        <v>434</v>
      </c>
      <c r="B139" s="0" t="s">
        <v>435</v>
      </c>
      <c r="C139" s="0" t="s">
        <v>436</v>
      </c>
      <c r="D139" s="0" t="n">
        <v>6</v>
      </c>
      <c r="E139" s="6" t="n">
        <v>40743.4909722222</v>
      </c>
      <c r="F139" s="0" t="n">
        <v>2.1</v>
      </c>
      <c r="G139" s="0" t="n">
        <v>13081</v>
      </c>
      <c r="H139" s="0" t="s">
        <v>36</v>
      </c>
      <c r="I139" s="7" t="str">
        <f aca="false">UPPER(TRIM(B139))</f>
        <v>21749</v>
      </c>
      <c r="J139" s="7" t="str">
        <f aca="false">PROPER(TRIM(C139))</f>
        <v>Large Red Retrospot Windmill</v>
      </c>
      <c r="K139" s="7" t="str">
        <f aca="false">SUBSTITUTE(SUBSTITUTE(SUBSTITUTE(H139,"EIRE","Ireland"),"RSA","South Africa"),"USA","United States")</f>
        <v>United Kingdom</v>
      </c>
      <c r="L139" s="7" t="str">
        <f aca="false">IF(LEFT(A139,1)="C","Cancel","Sale")</f>
        <v>Sale</v>
      </c>
      <c r="M139" s="7" t="str">
        <f aca="false">IF(G139="","Guest",REPLACE(G139,3,2,"**"))</f>
        <v>13**1</v>
      </c>
      <c r="N139" s="7" t="str">
        <f aca="false">_xlfn.CONCAT(A139,"-",I139)</f>
        <v>560504-21749</v>
      </c>
      <c r="O139" s="7" t="str">
        <f aca="false">LOWER(SUBSTITUTE(TRIM(C139)," ","-"))</f>
        <v>large-red-retrospot-windmill</v>
      </c>
      <c r="P139" s="7" t="n">
        <f aca="false">IF(EXACT(C139,TRIM(C139)),0,1)</f>
        <v>0</v>
      </c>
    </row>
    <row r="140" customFormat="false" ht="15" hidden="false" customHeight="false" outlineLevel="0" collapsed="false">
      <c r="A140" s="0" t="s">
        <v>437</v>
      </c>
      <c r="B140" s="0" t="s">
        <v>438</v>
      </c>
      <c r="C140" s="0" t="s">
        <v>439</v>
      </c>
      <c r="D140" s="0" t="n">
        <v>16</v>
      </c>
      <c r="E140" s="6" t="n">
        <v>40743.6631944445</v>
      </c>
      <c r="F140" s="0" t="n">
        <v>1.25</v>
      </c>
      <c r="G140" s="0" t="n">
        <v>12560</v>
      </c>
      <c r="H140" s="0" t="s">
        <v>325</v>
      </c>
      <c r="I140" s="7" t="str">
        <f aca="false">UPPER(TRIM(B140))</f>
        <v>23290</v>
      </c>
      <c r="J140" s="7" t="str">
        <f aca="false">PROPER(TRIM(C140))</f>
        <v>Spaceboy Childrens Bowl</v>
      </c>
      <c r="K140" s="7" t="str">
        <f aca="false">SUBSTITUTE(SUBSTITUTE(SUBSTITUTE(H140,"EIRE","Ireland"),"RSA","South Africa"),"USA","United States")</f>
        <v>Germany</v>
      </c>
      <c r="L140" s="7" t="str">
        <f aca="false">IF(LEFT(A140,1)="C","Cancel","Sale")</f>
        <v>Sale</v>
      </c>
      <c r="M140" s="7" t="str">
        <f aca="false">IF(G140="","Guest",REPLACE(G140,3,2,"**"))</f>
        <v>12**0</v>
      </c>
      <c r="N140" s="7" t="str">
        <f aca="false">_xlfn.CONCAT(A140,"-",I140)</f>
        <v>560590-23290</v>
      </c>
      <c r="O140" s="7" t="str">
        <f aca="false">LOWER(SUBSTITUTE(TRIM(C140)," ","-"))</f>
        <v>spaceboy-childrens-bowl</v>
      </c>
      <c r="P140" s="7" t="n">
        <f aca="false">IF(EXACT(C140,TRIM(C140)),0,1)</f>
        <v>0</v>
      </c>
    </row>
    <row r="141" customFormat="false" ht="15" hidden="false" customHeight="false" outlineLevel="0" collapsed="false">
      <c r="A141" s="0" t="s">
        <v>440</v>
      </c>
      <c r="B141" s="0" t="s">
        <v>441</v>
      </c>
      <c r="C141" s="0" t="s">
        <v>442</v>
      </c>
      <c r="D141" s="0" t="n">
        <v>4</v>
      </c>
      <c r="E141" s="6" t="n">
        <v>40744.6784722222</v>
      </c>
      <c r="F141" s="0" t="n">
        <v>1.65</v>
      </c>
      <c r="H141" s="0" t="s">
        <v>36</v>
      </c>
      <c r="I141" s="7" t="str">
        <f aca="false">UPPER(TRIM(B141))</f>
        <v>22383</v>
      </c>
      <c r="J141" s="7" t="str">
        <f aca="false">PROPER(TRIM(C141))</f>
        <v>Lunch Bag Suki Design</v>
      </c>
      <c r="K141" s="7" t="str">
        <f aca="false">SUBSTITUTE(SUBSTITUTE(SUBSTITUTE(H141,"EIRE","Ireland"),"RSA","South Africa"),"USA","United States")</f>
        <v>United Kingdom</v>
      </c>
      <c r="L141" s="7" t="str">
        <f aca="false">IF(LEFT(A141,1)="C","Cancel","Sale")</f>
        <v>Sale</v>
      </c>
      <c r="M141" s="7" t="str">
        <f aca="false">IF(G141="","Guest",REPLACE(G141,3,2,"**"))</f>
        <v>Guest</v>
      </c>
      <c r="N141" s="7" t="str">
        <f aca="false">_xlfn.CONCAT(A141,"-",I141)</f>
        <v>560773-22383</v>
      </c>
      <c r="O141" s="7" t="str">
        <f aca="false">LOWER(SUBSTITUTE(TRIM(C141)," ","-"))</f>
        <v>lunch-bag-suki-design</v>
      </c>
      <c r="P141" s="7" t="n">
        <f aca="false">IF(EXACT(C141,TRIM(C141)),0,1)</f>
        <v>1</v>
      </c>
    </row>
    <row r="142" customFormat="false" ht="15" hidden="false" customHeight="false" outlineLevel="0" collapsed="false">
      <c r="A142" s="0" t="s">
        <v>443</v>
      </c>
      <c r="B142" s="0" t="s">
        <v>444</v>
      </c>
      <c r="C142" s="0" t="s">
        <v>445</v>
      </c>
      <c r="D142" s="0" t="n">
        <v>3</v>
      </c>
      <c r="E142" s="6" t="n">
        <v>40746.3888888889</v>
      </c>
      <c r="F142" s="0" t="n">
        <v>4.13</v>
      </c>
      <c r="H142" s="0" t="s">
        <v>36</v>
      </c>
      <c r="I142" s="7" t="str">
        <f aca="false">UPPER(TRIM(B142))</f>
        <v>23344</v>
      </c>
      <c r="J142" s="7" t="str">
        <f aca="false">PROPER(TRIM(C142))</f>
        <v>Jumbo Bag 50'S Christmas</v>
      </c>
      <c r="K142" s="7" t="str">
        <f aca="false">SUBSTITUTE(SUBSTITUTE(SUBSTITUTE(H142,"EIRE","Ireland"),"RSA","South Africa"),"USA","United States")</f>
        <v>United Kingdom</v>
      </c>
      <c r="L142" s="7" t="str">
        <f aca="false">IF(LEFT(A142,1)="C","Cancel","Sale")</f>
        <v>Sale</v>
      </c>
      <c r="M142" s="7" t="str">
        <f aca="false">IF(G142="","Guest",REPLACE(G142,3,2,"**"))</f>
        <v>Guest</v>
      </c>
      <c r="N142" s="7" t="str">
        <f aca="false">_xlfn.CONCAT(A142,"-",I142)</f>
        <v>560926-23344</v>
      </c>
      <c r="O142" s="7" t="str">
        <f aca="false">LOWER(SUBSTITUTE(TRIM(C142)," ","-"))</f>
        <v>jumbo-bag-50's-christmas</v>
      </c>
      <c r="P142" s="7" t="n">
        <f aca="false">IF(EXACT(C142,TRIM(C142)),0,1)</f>
        <v>1</v>
      </c>
    </row>
    <row r="143" customFormat="false" ht="15" hidden="false" customHeight="false" outlineLevel="0" collapsed="false">
      <c r="A143" s="0" t="s">
        <v>446</v>
      </c>
      <c r="B143" s="0" t="s">
        <v>447</v>
      </c>
      <c r="C143" s="0" t="s">
        <v>448</v>
      </c>
      <c r="D143" s="0" t="n">
        <v>1</v>
      </c>
      <c r="E143" s="6" t="n">
        <v>40746.4527777778</v>
      </c>
      <c r="F143" s="0" t="n">
        <v>0.42</v>
      </c>
      <c r="G143" s="0" t="n">
        <v>17920</v>
      </c>
      <c r="H143" s="0" t="s">
        <v>36</v>
      </c>
      <c r="I143" s="7" t="str">
        <f aca="false">UPPER(TRIM(B143))</f>
        <v>22546</v>
      </c>
      <c r="J143" s="7" t="str">
        <f aca="false">PROPER(TRIM(C143))</f>
        <v>Mini Jigsaw Purdey</v>
      </c>
      <c r="K143" s="7" t="str">
        <f aca="false">SUBSTITUTE(SUBSTITUTE(SUBSTITUTE(H143,"EIRE","Ireland"),"RSA","South Africa"),"USA","United States")</f>
        <v>United Kingdom</v>
      </c>
      <c r="L143" s="7" t="str">
        <f aca="false">IF(LEFT(A143,1)="C","Cancel","Sale")</f>
        <v>Sale</v>
      </c>
      <c r="M143" s="7" t="str">
        <f aca="false">IF(G143="","Guest",REPLACE(G143,3,2,"**"))</f>
        <v>17**0</v>
      </c>
      <c r="N143" s="7" t="str">
        <f aca="false">_xlfn.CONCAT(A143,"-",I143)</f>
        <v>560937-22546</v>
      </c>
      <c r="O143" s="7" t="str">
        <f aca="false">LOWER(SUBSTITUTE(TRIM(C143)," ","-"))</f>
        <v>mini-jigsaw-purdey</v>
      </c>
      <c r="P143" s="7" t="n">
        <f aca="false">IF(EXACT(C143,TRIM(C143)),0,1)</f>
        <v>0</v>
      </c>
    </row>
    <row r="144" customFormat="false" ht="15" hidden="false" customHeight="false" outlineLevel="0" collapsed="false">
      <c r="A144" s="0" t="s">
        <v>449</v>
      </c>
      <c r="B144" s="0" t="s">
        <v>450</v>
      </c>
      <c r="C144" s="0" t="s">
        <v>451</v>
      </c>
      <c r="D144" s="0" t="n">
        <v>4</v>
      </c>
      <c r="E144" s="6" t="n">
        <v>40746.4694444445</v>
      </c>
      <c r="F144" s="0" t="n">
        <v>3.29</v>
      </c>
      <c r="H144" s="0" t="s">
        <v>36</v>
      </c>
      <c r="I144" s="7" t="str">
        <f aca="false">UPPER(TRIM(B144))</f>
        <v>23168</v>
      </c>
      <c r="J144" s="7" t="str">
        <f aca="false">PROPER(TRIM(C144))</f>
        <v>Classic Cafe Sugar Dispenser</v>
      </c>
      <c r="K144" s="7" t="str">
        <f aca="false">SUBSTITUTE(SUBSTITUTE(SUBSTITUTE(H144,"EIRE","Ireland"),"RSA","South Africa"),"USA","United States")</f>
        <v>United Kingdom</v>
      </c>
      <c r="L144" s="7" t="str">
        <f aca="false">IF(LEFT(A144,1)="C","Cancel","Sale")</f>
        <v>Sale</v>
      </c>
      <c r="M144" s="7" t="str">
        <f aca="false">IF(G144="","Guest",REPLACE(G144,3,2,"**"))</f>
        <v>Guest</v>
      </c>
      <c r="N144" s="7" t="str">
        <f aca="false">_xlfn.CONCAT(A144,"-",I144)</f>
        <v>560938-23168</v>
      </c>
      <c r="O144" s="7" t="str">
        <f aca="false">LOWER(SUBSTITUTE(TRIM(C144)," ","-"))</f>
        <v>classic-cafe-sugar-dispenser</v>
      </c>
      <c r="P144" s="7" t="n">
        <f aca="false">IF(EXACT(C144,TRIM(C144)),0,1)</f>
        <v>0</v>
      </c>
    </row>
    <row r="145" customFormat="false" ht="15" hidden="false" customHeight="false" outlineLevel="0" collapsed="false">
      <c r="A145" s="0" t="s">
        <v>452</v>
      </c>
      <c r="B145" s="0" t="s">
        <v>453</v>
      </c>
      <c r="C145" s="0" t="s">
        <v>454</v>
      </c>
      <c r="D145" s="0" t="n">
        <v>1</v>
      </c>
      <c r="E145" s="6" t="n">
        <v>40749.50625</v>
      </c>
      <c r="F145" s="0" t="n">
        <v>4.95</v>
      </c>
      <c r="G145" s="0" t="n">
        <v>17841</v>
      </c>
      <c r="H145" s="0" t="s">
        <v>36</v>
      </c>
      <c r="I145" s="7" t="str">
        <f aca="false">UPPER(TRIM(B145))</f>
        <v>23298</v>
      </c>
      <c r="J145" s="7" t="str">
        <f aca="false">PROPER(TRIM(C145))</f>
        <v>Spotty Bunting</v>
      </c>
      <c r="K145" s="7" t="str">
        <f aca="false">SUBSTITUTE(SUBSTITUTE(SUBSTITUTE(H145,"EIRE","Ireland"),"RSA","South Africa"),"USA","United States")</f>
        <v>United Kingdom</v>
      </c>
      <c r="L145" s="7" t="str">
        <f aca="false">IF(LEFT(A145,1)="C","Cancel","Sale")</f>
        <v>Sale</v>
      </c>
      <c r="M145" s="7" t="str">
        <f aca="false">IF(G145="","Guest",REPLACE(G145,3,2,"**"))</f>
        <v>17**1</v>
      </c>
      <c r="N145" s="7" t="str">
        <f aca="false">_xlfn.CONCAT(A145,"-",I145)</f>
        <v>561113-23298</v>
      </c>
      <c r="O145" s="7" t="str">
        <f aca="false">LOWER(SUBSTITUTE(TRIM(C145)," ","-"))</f>
        <v>spotty-bunting</v>
      </c>
      <c r="P145" s="7" t="n">
        <f aca="false">IF(EXACT(C145,TRIM(C145)),0,1)</f>
        <v>0</v>
      </c>
    </row>
    <row r="146" customFormat="false" ht="15" hidden="false" customHeight="false" outlineLevel="0" collapsed="false">
      <c r="A146" s="0" t="s">
        <v>455</v>
      </c>
      <c r="B146" s="0" t="s">
        <v>456</v>
      </c>
      <c r="C146" s="0" t="s">
        <v>457</v>
      </c>
      <c r="D146" s="0" t="n">
        <v>24</v>
      </c>
      <c r="E146" s="6" t="n">
        <v>40750.5020833333</v>
      </c>
      <c r="F146" s="0" t="n">
        <v>0.42</v>
      </c>
      <c r="G146" s="0" t="n">
        <v>15513</v>
      </c>
      <c r="H146" s="0" t="s">
        <v>36</v>
      </c>
      <c r="I146" s="7" t="str">
        <f aca="false">UPPER(TRIM(B146))</f>
        <v>22030</v>
      </c>
      <c r="J146" s="7" t="str">
        <f aca="false">PROPER(TRIM(C146))</f>
        <v>Swallows Greeting Card</v>
      </c>
      <c r="K146" s="7" t="str">
        <f aca="false">SUBSTITUTE(SUBSTITUTE(SUBSTITUTE(H146,"EIRE","Ireland"),"RSA","South Africa"),"USA","United States")</f>
        <v>United Kingdom</v>
      </c>
      <c r="L146" s="7" t="str">
        <f aca="false">IF(LEFT(A146,1)="C","Cancel","Sale")</f>
        <v>Sale</v>
      </c>
      <c r="M146" s="7" t="str">
        <f aca="false">IF(G146="","Guest",REPLACE(G146,3,2,"**"))</f>
        <v>15**3</v>
      </c>
      <c r="N146" s="7" t="str">
        <f aca="false">_xlfn.CONCAT(A146,"-",I146)</f>
        <v>561258-22030</v>
      </c>
      <c r="O146" s="7" t="str">
        <f aca="false">LOWER(SUBSTITUTE(TRIM(C146)," ","-"))</f>
        <v>swallows-greeting-card</v>
      </c>
      <c r="P146" s="7" t="n">
        <f aca="false">IF(EXACT(C146,TRIM(C146)),0,1)</f>
        <v>0</v>
      </c>
    </row>
    <row r="147" customFormat="false" ht="15" hidden="false" customHeight="false" outlineLevel="0" collapsed="false">
      <c r="A147" s="0" t="s">
        <v>458</v>
      </c>
      <c r="B147" s="0" t="s">
        <v>459</v>
      </c>
      <c r="C147" s="0" t="s">
        <v>460</v>
      </c>
      <c r="D147" s="0" t="n">
        <v>12</v>
      </c>
      <c r="E147" s="6" t="n">
        <v>40751.5979166667</v>
      </c>
      <c r="F147" s="0" t="n">
        <v>1.45</v>
      </c>
      <c r="G147" s="0" t="n">
        <v>12397</v>
      </c>
      <c r="H147" s="0" t="s">
        <v>87</v>
      </c>
      <c r="I147" s="7" t="str">
        <f aca="false">UPPER(TRIM(B147))</f>
        <v>22969</v>
      </c>
      <c r="J147" s="7" t="str">
        <f aca="false">PROPER(TRIM(C147))</f>
        <v>Homemade Jam Scented Candles</v>
      </c>
      <c r="K147" s="7" t="str">
        <f aca="false">SUBSTITUTE(SUBSTITUTE(SUBSTITUTE(H147,"EIRE","Ireland"),"RSA","South Africa"),"USA","United States")</f>
        <v>Belgium</v>
      </c>
      <c r="L147" s="7" t="str">
        <f aca="false">IF(LEFT(A147,1)="C","Cancel","Sale")</f>
        <v>Sale</v>
      </c>
      <c r="M147" s="7" t="str">
        <f aca="false">IF(G147="","Guest",REPLACE(G147,3,2,"**"))</f>
        <v>12**7</v>
      </c>
      <c r="N147" s="7" t="str">
        <f aca="false">_xlfn.CONCAT(A147,"-",I147)</f>
        <v>561507-22969</v>
      </c>
      <c r="O147" s="7" t="str">
        <f aca="false">LOWER(SUBSTITUTE(TRIM(C147)," ","-"))</f>
        <v>homemade-jam-scented-candles</v>
      </c>
      <c r="P147" s="7" t="n">
        <f aca="false">IF(EXACT(C147,TRIM(C147)),0,1)</f>
        <v>0</v>
      </c>
    </row>
    <row r="148" customFormat="false" ht="15" hidden="false" customHeight="false" outlineLevel="0" collapsed="false">
      <c r="A148" s="0" t="s">
        <v>461</v>
      </c>
      <c r="B148" s="0" t="s">
        <v>462</v>
      </c>
      <c r="C148" s="0" t="s">
        <v>463</v>
      </c>
      <c r="D148" s="0" t="n">
        <v>12</v>
      </c>
      <c r="E148" s="6" t="n">
        <v>40752.66875</v>
      </c>
      <c r="F148" s="0" t="n">
        <v>1.45</v>
      </c>
      <c r="G148" s="0" t="n">
        <v>17071</v>
      </c>
      <c r="H148" s="0" t="s">
        <v>36</v>
      </c>
      <c r="I148" s="7" t="str">
        <f aca="false">UPPER(TRIM(B148))</f>
        <v>23196</v>
      </c>
      <c r="J148" s="7" t="str">
        <f aca="false">PROPER(TRIM(C148))</f>
        <v>Vintage Leaf Magnetic Notepad</v>
      </c>
      <c r="K148" s="7" t="str">
        <f aca="false">SUBSTITUTE(SUBSTITUTE(SUBSTITUTE(H148,"EIRE","Ireland"),"RSA","South Africa"),"USA","United States")</f>
        <v>United Kingdom</v>
      </c>
      <c r="L148" s="7" t="str">
        <f aca="false">IF(LEFT(A148,1)="C","Cancel","Sale")</f>
        <v>Sale</v>
      </c>
      <c r="M148" s="7" t="str">
        <f aca="false">IF(G148="","Guest",REPLACE(G148,3,2,"**"))</f>
        <v>17**1</v>
      </c>
      <c r="N148" s="7" t="str">
        <f aca="false">_xlfn.CONCAT(A148,"-",I148)</f>
        <v>561656-23196</v>
      </c>
      <c r="O148" s="7" t="str">
        <f aca="false">LOWER(SUBSTITUTE(TRIM(C148)," ","-"))</f>
        <v>vintage-leaf-magnetic-notepad</v>
      </c>
      <c r="P148" s="7" t="n">
        <f aca="false">IF(EXACT(C148,TRIM(C148)),0,1)</f>
        <v>0</v>
      </c>
    </row>
    <row r="149" customFormat="false" ht="15" hidden="false" customHeight="false" outlineLevel="0" collapsed="false">
      <c r="A149" s="0" t="s">
        <v>464</v>
      </c>
      <c r="B149" s="0" t="s">
        <v>386</v>
      </c>
      <c r="C149" s="0" t="s">
        <v>387</v>
      </c>
      <c r="D149" s="0" t="n">
        <v>1</v>
      </c>
      <c r="E149" s="6" t="n">
        <v>40753.6666666667</v>
      </c>
      <c r="F149" s="0" t="n">
        <v>2.46</v>
      </c>
      <c r="H149" s="0" t="s">
        <v>36</v>
      </c>
      <c r="I149" s="7" t="str">
        <f aca="false">UPPER(TRIM(B149))</f>
        <v>22975</v>
      </c>
      <c r="J149" s="7" t="str">
        <f aca="false">PROPER(TRIM(C149))</f>
        <v>Spaceboy Childrens Egg Cup</v>
      </c>
      <c r="K149" s="7" t="str">
        <f aca="false">SUBSTITUTE(SUBSTITUTE(SUBSTITUTE(H149,"EIRE","Ireland"),"RSA","South Africa"),"USA","United States")</f>
        <v>United Kingdom</v>
      </c>
      <c r="L149" s="7" t="str">
        <f aca="false">IF(LEFT(A149,1)="C","Cancel","Sale")</f>
        <v>Sale</v>
      </c>
      <c r="M149" s="7" t="str">
        <f aca="false">IF(G149="","Guest",REPLACE(G149,3,2,"**"))</f>
        <v>Guest</v>
      </c>
      <c r="N149" s="7" t="str">
        <f aca="false">_xlfn.CONCAT(A149,"-",I149)</f>
        <v>561820-22975</v>
      </c>
      <c r="O149" s="7" t="str">
        <f aca="false">LOWER(SUBSTITUTE(TRIM(C149)," ","-"))</f>
        <v>spaceboy-childrens-egg-cup</v>
      </c>
      <c r="P149" s="7" t="n">
        <f aca="false">IF(EXACT(C149,TRIM(C149)),0,1)</f>
        <v>0</v>
      </c>
    </row>
    <row r="150" customFormat="false" ht="15" hidden="false" customHeight="false" outlineLevel="0" collapsed="false">
      <c r="A150" s="0" t="s">
        <v>465</v>
      </c>
      <c r="B150" s="0" t="s">
        <v>466</v>
      </c>
      <c r="C150" s="0" t="s">
        <v>467</v>
      </c>
      <c r="D150" s="0" t="n">
        <v>1</v>
      </c>
      <c r="E150" s="6" t="n">
        <v>40756.5333333333</v>
      </c>
      <c r="F150" s="0" t="n">
        <v>12.5</v>
      </c>
      <c r="G150" s="0" t="n">
        <v>12749</v>
      </c>
      <c r="H150" s="0" t="s">
        <v>36</v>
      </c>
      <c r="I150" s="7" t="str">
        <f aca="false">UPPER(TRIM(B150))</f>
        <v>23018</v>
      </c>
      <c r="J150" s="7" t="str">
        <f aca="false">PROPER(TRIM(C150))</f>
        <v>Large Apothecary Measuring Jar</v>
      </c>
      <c r="K150" s="7" t="str">
        <f aca="false">SUBSTITUTE(SUBSTITUTE(SUBSTITUTE(H150,"EIRE","Ireland"),"RSA","South Africa"),"USA","United States")</f>
        <v>United Kingdom</v>
      </c>
      <c r="L150" s="7" t="str">
        <f aca="false">IF(LEFT(A150,1)="C","Cancel","Sale")</f>
        <v>Sale</v>
      </c>
      <c r="M150" s="7" t="str">
        <f aca="false">IF(G150="","Guest",REPLACE(G150,3,2,"**"))</f>
        <v>12**9</v>
      </c>
      <c r="N150" s="7" t="str">
        <f aca="false">_xlfn.CONCAT(A150,"-",I150)</f>
        <v>561926-23018</v>
      </c>
      <c r="O150" s="7" t="str">
        <f aca="false">LOWER(SUBSTITUTE(TRIM(C150)," ","-"))</f>
        <v>large-apothecary-measuring-jar</v>
      </c>
      <c r="P150" s="7" t="n">
        <f aca="false">IF(EXACT(C150,TRIM(C150)),0,1)</f>
        <v>1</v>
      </c>
    </row>
    <row r="151" customFormat="false" ht="15" hidden="false" customHeight="false" outlineLevel="0" collapsed="false">
      <c r="A151" s="0" t="s">
        <v>468</v>
      </c>
      <c r="B151" s="0" t="s">
        <v>469</v>
      </c>
      <c r="C151" s="0" t="s">
        <v>470</v>
      </c>
      <c r="D151" s="0" t="n">
        <v>12</v>
      </c>
      <c r="E151" s="6" t="n">
        <v>40757.5861111111</v>
      </c>
      <c r="F151" s="0" t="n">
        <v>1.25</v>
      </c>
      <c r="G151" s="0" t="n">
        <v>13850</v>
      </c>
      <c r="H151" s="0" t="s">
        <v>36</v>
      </c>
      <c r="I151" s="7" t="str">
        <f aca="false">UPPER(TRIM(B151))</f>
        <v>23436</v>
      </c>
      <c r="J151" s="7" t="str">
        <f aca="false">PROPER(TRIM(C151))</f>
        <v>Gift Bag Large Vintage Christmas</v>
      </c>
      <c r="K151" s="7" t="str">
        <f aca="false">SUBSTITUTE(SUBSTITUTE(SUBSTITUTE(H151,"EIRE","Ireland"),"RSA","South Africa"),"USA","United States")</f>
        <v>United Kingdom</v>
      </c>
      <c r="L151" s="7" t="str">
        <f aca="false">IF(LEFT(A151,1)="C","Cancel","Sale")</f>
        <v>Sale</v>
      </c>
      <c r="M151" s="7" t="str">
        <f aca="false">IF(G151="","Guest",REPLACE(G151,3,2,"**"))</f>
        <v>13**0</v>
      </c>
      <c r="N151" s="7" t="str">
        <f aca="false">_xlfn.CONCAT(A151,"-",I151)</f>
        <v>562101-23436</v>
      </c>
      <c r="O151" s="7" t="str">
        <f aca="false">LOWER(SUBSTITUTE(TRIM(C151)," ","-"))</f>
        <v>gift-bag-large-vintage-christmas</v>
      </c>
      <c r="P151" s="7" t="n">
        <f aca="false">IF(EXACT(C151,TRIM(C151)),0,1)</f>
        <v>0</v>
      </c>
    </row>
    <row r="152" customFormat="false" ht="15" hidden="false" customHeight="false" outlineLevel="0" collapsed="false">
      <c r="A152" s="0" t="s">
        <v>471</v>
      </c>
      <c r="B152" s="0" t="s">
        <v>472</v>
      </c>
      <c r="C152" s="0" t="s">
        <v>473</v>
      </c>
      <c r="D152" s="0" t="n">
        <v>-144</v>
      </c>
      <c r="E152" s="6" t="n">
        <v>40759.6152777778</v>
      </c>
      <c r="F152" s="0" t="n">
        <v>0.72</v>
      </c>
      <c r="G152" s="0" t="n">
        <v>14911</v>
      </c>
      <c r="H152" s="0" t="s">
        <v>80</v>
      </c>
      <c r="I152" s="7" t="str">
        <f aca="false">UPPER(TRIM(B152))</f>
        <v>22945</v>
      </c>
      <c r="J152" s="7" t="str">
        <f aca="false">PROPER(TRIM(C152))</f>
        <v>Christmas Metal Tags Assorted</v>
      </c>
      <c r="K152" s="7" t="str">
        <f aca="false">SUBSTITUTE(SUBSTITUTE(SUBSTITUTE(H152,"EIRE","Ireland"),"RSA","South Africa"),"USA","United States")</f>
        <v>Ireland</v>
      </c>
      <c r="L152" s="7" t="str">
        <f aca="false">IF(LEFT(A152,1)="C","Cancel","Sale")</f>
        <v>Cancel</v>
      </c>
      <c r="M152" s="7" t="str">
        <f aca="false">IF(G152="","Guest",REPLACE(G152,3,2,"**"))</f>
        <v>14**1</v>
      </c>
      <c r="N152" s="7" t="str">
        <f aca="false">_xlfn.CONCAT(A152,"-",I152)</f>
        <v>C562375-22945</v>
      </c>
      <c r="O152" s="7" t="str">
        <f aca="false">LOWER(SUBSTITUTE(TRIM(C152)," ","-"))</f>
        <v>christmas-metal-tags-assorted</v>
      </c>
      <c r="P152" s="7" t="n">
        <f aca="false">IF(EXACT(C152,TRIM(C152)),0,1)</f>
        <v>1</v>
      </c>
    </row>
    <row r="153" customFormat="false" ht="15" hidden="false" customHeight="false" outlineLevel="0" collapsed="false">
      <c r="A153" s="0" t="s">
        <v>474</v>
      </c>
      <c r="B153" s="0" t="s">
        <v>441</v>
      </c>
      <c r="C153" s="0" t="s">
        <v>442</v>
      </c>
      <c r="D153" s="0" t="n">
        <v>1</v>
      </c>
      <c r="E153" s="6" t="n">
        <v>40760.6965277778</v>
      </c>
      <c r="F153" s="0" t="n">
        <v>1.65</v>
      </c>
      <c r="G153" s="0" t="n">
        <v>13451</v>
      </c>
      <c r="H153" s="0" t="s">
        <v>36</v>
      </c>
      <c r="I153" s="7" t="str">
        <f aca="false">UPPER(TRIM(B153))</f>
        <v>22383</v>
      </c>
      <c r="J153" s="7" t="str">
        <f aca="false">PROPER(TRIM(C153))</f>
        <v>Lunch Bag Suki Design</v>
      </c>
      <c r="K153" s="7" t="str">
        <f aca="false">SUBSTITUTE(SUBSTITUTE(SUBSTITUTE(H153,"EIRE","Ireland"),"RSA","South Africa"),"USA","United States")</f>
        <v>United Kingdom</v>
      </c>
      <c r="L153" s="7" t="str">
        <f aca="false">IF(LEFT(A153,1)="C","Cancel","Sale")</f>
        <v>Sale</v>
      </c>
      <c r="M153" s="7" t="str">
        <f aca="false">IF(G153="","Guest",REPLACE(G153,3,2,"**"))</f>
        <v>13**1</v>
      </c>
      <c r="N153" s="7" t="str">
        <f aca="false">_xlfn.CONCAT(A153,"-",I153)</f>
        <v>562558-22383</v>
      </c>
      <c r="O153" s="7" t="str">
        <f aca="false">LOWER(SUBSTITUTE(TRIM(C153)," ","-"))</f>
        <v>lunch-bag-suki-design</v>
      </c>
      <c r="P153" s="7" t="n">
        <f aca="false">IF(EXACT(C153,TRIM(C153)),0,1)</f>
        <v>1</v>
      </c>
    </row>
    <row r="154" customFormat="false" ht="15" hidden="false" customHeight="false" outlineLevel="0" collapsed="false">
      <c r="A154" s="0" t="s">
        <v>475</v>
      </c>
      <c r="B154" s="0" t="s">
        <v>476</v>
      </c>
      <c r="C154" s="0" t="s">
        <v>477</v>
      </c>
      <c r="D154" s="0" t="n">
        <v>16</v>
      </c>
      <c r="E154" s="6" t="n">
        <v>40764.5402777778</v>
      </c>
      <c r="F154" s="0" t="n">
        <v>1.25</v>
      </c>
      <c r="G154" s="0" t="n">
        <v>17841</v>
      </c>
      <c r="H154" s="0" t="s">
        <v>36</v>
      </c>
      <c r="I154" s="7" t="str">
        <f aca="false">UPPER(TRIM(B154))</f>
        <v>22771</v>
      </c>
      <c r="J154" s="7" t="str">
        <f aca="false">PROPER(TRIM(C154))</f>
        <v>Clear Drawer Knob Acrylic Edwardian</v>
      </c>
      <c r="K154" s="7" t="str">
        <f aca="false">SUBSTITUTE(SUBSTITUTE(SUBSTITUTE(H154,"EIRE","Ireland"),"RSA","South Africa"),"USA","United States")</f>
        <v>United Kingdom</v>
      </c>
      <c r="L154" s="7" t="str">
        <f aca="false">IF(LEFT(A154,1)="C","Cancel","Sale")</f>
        <v>Sale</v>
      </c>
      <c r="M154" s="7" t="str">
        <f aca="false">IF(G154="","Guest",REPLACE(G154,3,2,"**"))</f>
        <v>17**1</v>
      </c>
      <c r="N154" s="7" t="str">
        <f aca="false">_xlfn.CONCAT(A154,"-",I154)</f>
        <v>562779-22771</v>
      </c>
      <c r="O154" s="7" t="str">
        <f aca="false">LOWER(SUBSTITUTE(TRIM(C154)," ","-"))</f>
        <v>clear-drawer-knob-acrylic-edwardian</v>
      </c>
      <c r="P154" s="7" t="n">
        <f aca="false">IF(EXACT(C154,TRIM(C154)),0,1)</f>
        <v>0</v>
      </c>
    </row>
    <row r="155" customFormat="false" ht="15" hidden="false" customHeight="false" outlineLevel="0" collapsed="false">
      <c r="A155" s="0" t="s">
        <v>478</v>
      </c>
      <c r="B155" s="0" t="s">
        <v>479</v>
      </c>
      <c r="C155" s="0" t="s">
        <v>480</v>
      </c>
      <c r="D155" s="0" t="n">
        <v>12</v>
      </c>
      <c r="E155" s="6" t="n">
        <v>40771.3923611111</v>
      </c>
      <c r="F155" s="0" t="n">
        <v>0.79</v>
      </c>
      <c r="G155" s="0" t="n">
        <v>13394</v>
      </c>
      <c r="H155" s="0" t="s">
        <v>36</v>
      </c>
      <c r="I155" s="7" t="str">
        <f aca="false">UPPER(TRIM(B155))</f>
        <v>47504H</v>
      </c>
      <c r="J155" s="7" t="str">
        <f aca="false">PROPER(TRIM(C155))</f>
        <v>English Rose Spirit Level</v>
      </c>
      <c r="K155" s="7" t="str">
        <f aca="false">SUBSTITUTE(SUBSTITUTE(SUBSTITUTE(H155,"EIRE","Ireland"),"RSA","South Africa"),"USA","United States")</f>
        <v>United Kingdom</v>
      </c>
      <c r="L155" s="7" t="str">
        <f aca="false">IF(LEFT(A155,1)="C","Cancel","Sale")</f>
        <v>Sale</v>
      </c>
      <c r="M155" s="7" t="str">
        <f aca="false">IF(G155="","Guest",REPLACE(G155,3,2,"**"))</f>
        <v>13**4</v>
      </c>
      <c r="N155" s="7" t="str">
        <f aca="false">_xlfn.CONCAT(A155,"-",I155)</f>
        <v>563369-47504H</v>
      </c>
      <c r="O155" s="7" t="str">
        <f aca="false">LOWER(SUBSTITUTE(TRIM(C155)," ","-"))</f>
        <v>english-rose-spirit-level</v>
      </c>
      <c r="P155" s="7" t="n">
        <f aca="false">IF(EXACT(C155,TRIM(C155)),0,1)</f>
        <v>1</v>
      </c>
    </row>
    <row r="156" customFormat="false" ht="15" hidden="false" customHeight="false" outlineLevel="0" collapsed="false">
      <c r="A156" s="0" t="s">
        <v>481</v>
      </c>
      <c r="B156" s="0" t="s">
        <v>482</v>
      </c>
      <c r="C156" s="0" t="s">
        <v>483</v>
      </c>
      <c r="D156" s="0" t="n">
        <v>24</v>
      </c>
      <c r="E156" s="6" t="n">
        <v>40772.5645833333</v>
      </c>
      <c r="F156" s="0" t="n">
        <v>0.29</v>
      </c>
      <c r="G156" s="0" t="n">
        <v>15786</v>
      </c>
      <c r="H156" s="0" t="s">
        <v>36</v>
      </c>
      <c r="I156" s="7" t="str">
        <f aca="false">UPPER(TRIM(B156))</f>
        <v>22615</v>
      </c>
      <c r="J156" s="7" t="str">
        <f aca="false">PROPER(TRIM(C156))</f>
        <v>Pack Of 12 Circus Parade Tissues</v>
      </c>
      <c r="K156" s="7" t="str">
        <f aca="false">SUBSTITUTE(SUBSTITUTE(SUBSTITUTE(H156,"EIRE","Ireland"),"RSA","South Africa"),"USA","United States")</f>
        <v>United Kingdom</v>
      </c>
      <c r="L156" s="7" t="str">
        <f aca="false">IF(LEFT(A156,1)="C","Cancel","Sale")</f>
        <v>Sale</v>
      </c>
      <c r="M156" s="7" t="str">
        <f aca="false">IF(G156="","Guest",REPLACE(G156,3,2,"**"))</f>
        <v>15**6</v>
      </c>
      <c r="N156" s="7" t="str">
        <f aca="false">_xlfn.CONCAT(A156,"-",I156)</f>
        <v>563557-22615</v>
      </c>
      <c r="O156" s="7" t="str">
        <f aca="false">LOWER(SUBSTITUTE(TRIM(C156)," ","-"))</f>
        <v>pack-of-12-circus-parade-tissues</v>
      </c>
      <c r="P156" s="7" t="n">
        <f aca="false">IF(EXACT(C156,TRIM(C156)),0,1)</f>
        <v>1</v>
      </c>
    </row>
    <row r="157" customFormat="false" ht="15" hidden="false" customHeight="false" outlineLevel="0" collapsed="false">
      <c r="A157" s="0" t="s">
        <v>484</v>
      </c>
      <c r="B157" s="0" t="s">
        <v>485</v>
      </c>
      <c r="C157" s="0" t="s">
        <v>486</v>
      </c>
      <c r="D157" s="0" t="n">
        <v>10</v>
      </c>
      <c r="E157" s="6" t="n">
        <v>40778.4145833333</v>
      </c>
      <c r="F157" s="0" t="n">
        <v>0.85</v>
      </c>
      <c r="G157" s="0" t="n">
        <v>15804</v>
      </c>
      <c r="H157" s="0" t="s">
        <v>36</v>
      </c>
      <c r="I157" s="7" t="str">
        <f aca="false">UPPER(TRIM(B157))</f>
        <v>16016</v>
      </c>
      <c r="J157" s="7" t="str">
        <f aca="false">PROPER(TRIM(C157))</f>
        <v>Large Chinese Style Scissor</v>
      </c>
      <c r="K157" s="7" t="str">
        <f aca="false">SUBSTITUTE(SUBSTITUTE(SUBSTITUTE(H157,"EIRE","Ireland"),"RSA","South Africa"),"USA","United States")</f>
        <v>United Kingdom</v>
      </c>
      <c r="L157" s="7" t="str">
        <f aca="false">IF(LEFT(A157,1)="C","Cancel","Sale")</f>
        <v>Sale</v>
      </c>
      <c r="M157" s="7" t="str">
        <f aca="false">IF(G157="","Guest",REPLACE(G157,3,2,"**"))</f>
        <v>15**4</v>
      </c>
      <c r="N157" s="7" t="str">
        <f aca="false">_xlfn.CONCAT(A157,"-",I157)</f>
        <v>564091-16016</v>
      </c>
      <c r="O157" s="7" t="str">
        <f aca="false">LOWER(SUBSTITUTE(TRIM(C157)," ","-"))</f>
        <v>large-chinese-style-scissor</v>
      </c>
      <c r="P157" s="7" t="n">
        <f aca="false">IF(EXACT(C157,TRIM(C157)),0,1)</f>
        <v>0</v>
      </c>
    </row>
    <row r="158" customFormat="false" ht="15" hidden="false" customHeight="false" outlineLevel="0" collapsed="false">
      <c r="A158" s="0" t="s">
        <v>487</v>
      </c>
      <c r="B158" s="0" t="s">
        <v>488</v>
      </c>
      <c r="C158" s="0" t="s">
        <v>66</v>
      </c>
      <c r="D158" s="0" t="n">
        <v>3</v>
      </c>
      <c r="E158" s="6" t="n">
        <v>40779.4</v>
      </c>
      <c r="F158" s="0" t="n">
        <v>6.63</v>
      </c>
      <c r="H158" s="0" t="s">
        <v>36</v>
      </c>
      <c r="I158" s="7" t="str">
        <f aca="false">UPPER(TRIM(B158))</f>
        <v>85123A</v>
      </c>
      <c r="J158" s="7" t="str">
        <f aca="false">PROPER(TRIM(C158))</f>
        <v>White Hanging Heart T-Light Holder</v>
      </c>
      <c r="K158" s="7" t="str">
        <f aca="false">SUBSTITUTE(SUBSTITUTE(SUBSTITUTE(H158,"EIRE","Ireland"),"RSA","South Africa"),"USA","United States")</f>
        <v>United Kingdom</v>
      </c>
      <c r="L158" s="7" t="str">
        <f aca="false">IF(LEFT(A158,1)="C","Cancel","Sale")</f>
        <v>Sale</v>
      </c>
      <c r="M158" s="7" t="str">
        <f aca="false">IF(G158="","Guest",REPLACE(G158,3,2,"**"))</f>
        <v>Guest</v>
      </c>
      <c r="N158" s="7" t="str">
        <f aca="false">_xlfn.CONCAT(A158,"-",I158)</f>
        <v>564221-85123A</v>
      </c>
      <c r="O158" s="7" t="str">
        <f aca="false">LOWER(SUBSTITUTE(TRIM(C158)," ","-"))</f>
        <v>white-hanging-heart-t-light-holder</v>
      </c>
      <c r="P158" s="7" t="n">
        <f aca="false">IF(EXACT(C158,TRIM(C158)),0,1)</f>
        <v>0</v>
      </c>
    </row>
    <row r="159" customFormat="false" ht="15" hidden="false" customHeight="false" outlineLevel="0" collapsed="false">
      <c r="A159" s="0" t="s">
        <v>489</v>
      </c>
      <c r="B159" s="0" t="s">
        <v>490</v>
      </c>
      <c r="C159" s="0" t="s">
        <v>491</v>
      </c>
      <c r="D159" s="0" t="n">
        <v>24</v>
      </c>
      <c r="E159" s="6" t="n">
        <v>40779.55</v>
      </c>
      <c r="F159" s="0" t="n">
        <v>1.65</v>
      </c>
      <c r="G159" s="0" t="n">
        <v>13890</v>
      </c>
      <c r="H159" s="0" t="s">
        <v>36</v>
      </c>
      <c r="I159" s="7" t="str">
        <f aca="false">UPPER(TRIM(B159))</f>
        <v>23103</v>
      </c>
      <c r="J159" s="7" t="str">
        <f aca="false">PROPER(TRIM(C159))</f>
        <v>Jingle Bell Heart Decoration</v>
      </c>
      <c r="K159" s="7" t="str">
        <f aca="false">SUBSTITUTE(SUBSTITUTE(SUBSTITUTE(H159,"EIRE","Ireland"),"RSA","South Africa"),"USA","United States")</f>
        <v>United Kingdom</v>
      </c>
      <c r="L159" s="7" t="str">
        <f aca="false">IF(LEFT(A159,1)="C","Cancel","Sale")</f>
        <v>Sale</v>
      </c>
      <c r="M159" s="7" t="str">
        <f aca="false">IF(G159="","Guest",REPLACE(G159,3,2,"**"))</f>
        <v>13**0</v>
      </c>
      <c r="N159" s="7" t="str">
        <f aca="false">_xlfn.CONCAT(A159,"-",I159)</f>
        <v>564317-23103</v>
      </c>
      <c r="O159" s="7" t="str">
        <f aca="false">LOWER(SUBSTITUTE(TRIM(C159)," ","-"))</f>
        <v>jingle-bell-heart-decoration</v>
      </c>
      <c r="P159" s="7" t="n">
        <f aca="false">IF(EXACT(C159,TRIM(C159)),0,1)</f>
        <v>0</v>
      </c>
    </row>
    <row r="160" customFormat="false" ht="15" hidden="false" customHeight="false" outlineLevel="0" collapsed="false">
      <c r="A160" s="0" t="s">
        <v>492</v>
      </c>
      <c r="B160" s="0" t="s">
        <v>493</v>
      </c>
      <c r="C160" s="0" t="s">
        <v>494</v>
      </c>
      <c r="D160" s="0" t="n">
        <v>72</v>
      </c>
      <c r="E160" s="6" t="n">
        <v>40781.4131944445</v>
      </c>
      <c r="F160" s="0" t="n">
        <v>1.04</v>
      </c>
      <c r="G160" s="0" t="n">
        <v>13340</v>
      </c>
      <c r="H160" s="0" t="s">
        <v>36</v>
      </c>
      <c r="I160" s="7" t="str">
        <f aca="false">UPPER(TRIM(B160))</f>
        <v>23350</v>
      </c>
      <c r="J160" s="7" t="str">
        <f aca="false">PROPER(TRIM(C160))</f>
        <v>Roll Wrap Vintage Spot</v>
      </c>
      <c r="K160" s="7" t="str">
        <f aca="false">SUBSTITUTE(SUBSTITUTE(SUBSTITUTE(H160,"EIRE","Ireland"),"RSA","South Africa"),"USA","United States")</f>
        <v>United Kingdom</v>
      </c>
      <c r="L160" s="7" t="str">
        <f aca="false">IF(LEFT(A160,1)="C","Cancel","Sale")</f>
        <v>Sale</v>
      </c>
      <c r="M160" s="7" t="str">
        <f aca="false">IF(G160="","Guest",REPLACE(G160,3,2,"**"))</f>
        <v>13**0</v>
      </c>
      <c r="N160" s="7" t="str">
        <f aca="false">_xlfn.CONCAT(A160,"-",I160)</f>
        <v>564561-23350</v>
      </c>
      <c r="O160" s="7" t="str">
        <f aca="false">LOWER(SUBSTITUTE(TRIM(C160)," ","-"))</f>
        <v>roll-wrap-vintage-spot</v>
      </c>
      <c r="P160" s="7" t="n">
        <f aca="false">IF(EXACT(C160,TRIM(C160)),0,1)</f>
        <v>1</v>
      </c>
    </row>
    <row r="161" customFormat="false" ht="15" hidden="false" customHeight="false" outlineLevel="0" collapsed="false">
      <c r="A161" s="0" t="s">
        <v>495</v>
      </c>
      <c r="B161" s="0" t="s">
        <v>496</v>
      </c>
      <c r="C161" s="0" t="s">
        <v>497</v>
      </c>
      <c r="D161" s="0" t="n">
        <v>1</v>
      </c>
      <c r="E161" s="6" t="n">
        <v>40785.4395833333</v>
      </c>
      <c r="F161" s="0" t="n">
        <v>7.46</v>
      </c>
      <c r="H161" s="0" t="s">
        <v>36</v>
      </c>
      <c r="I161" s="7" t="str">
        <f aca="false">UPPER(TRIM(B161))</f>
        <v>84660C</v>
      </c>
      <c r="J161" s="7" t="str">
        <f aca="false">PROPER(TRIM(C161))</f>
        <v>Pink Stitched Wall Clock</v>
      </c>
      <c r="K161" s="7" t="str">
        <f aca="false">SUBSTITUTE(SUBSTITUTE(SUBSTITUTE(H161,"EIRE","Ireland"),"RSA","South Africa"),"USA","United States")</f>
        <v>United Kingdom</v>
      </c>
      <c r="L161" s="7" t="str">
        <f aca="false">IF(LEFT(A161,1)="C","Cancel","Sale")</f>
        <v>Sale</v>
      </c>
      <c r="M161" s="7" t="str">
        <f aca="false">IF(G161="","Guest",REPLACE(G161,3,2,"**"))</f>
        <v>Guest</v>
      </c>
      <c r="N161" s="7" t="str">
        <f aca="false">_xlfn.CONCAT(A161,"-",I161)</f>
        <v>564756-84660C</v>
      </c>
      <c r="O161" s="7" t="str">
        <f aca="false">LOWER(SUBSTITUTE(TRIM(C161)," ","-"))</f>
        <v>pink-stitched-wall-clock</v>
      </c>
      <c r="P161" s="7" t="n">
        <f aca="false">IF(EXACT(C161,TRIM(C161)),0,1)</f>
        <v>0</v>
      </c>
    </row>
    <row r="162" customFormat="false" ht="15" hidden="false" customHeight="false" outlineLevel="0" collapsed="false">
      <c r="A162" s="0" t="s">
        <v>498</v>
      </c>
      <c r="B162" s="0" t="s">
        <v>499</v>
      </c>
      <c r="C162" s="0" t="s">
        <v>500</v>
      </c>
      <c r="D162" s="0" t="n">
        <v>1</v>
      </c>
      <c r="E162" s="6" t="n">
        <v>40786.3909722222</v>
      </c>
      <c r="F162" s="0" t="n">
        <v>5.79</v>
      </c>
      <c r="H162" s="0" t="s">
        <v>36</v>
      </c>
      <c r="I162" s="7" t="str">
        <f aca="false">UPPER(TRIM(B162))</f>
        <v>21936</v>
      </c>
      <c r="J162" s="7" t="str">
        <f aca="false">PROPER(TRIM(C162))</f>
        <v>Red Retrospot Picnic Bag</v>
      </c>
      <c r="K162" s="7" t="str">
        <f aca="false">SUBSTITUTE(SUBSTITUTE(SUBSTITUTE(H162,"EIRE","Ireland"),"RSA","South Africa"),"USA","United States")</f>
        <v>United Kingdom</v>
      </c>
      <c r="L162" s="7" t="str">
        <f aca="false">IF(LEFT(A162,1)="C","Cancel","Sale")</f>
        <v>Sale</v>
      </c>
      <c r="M162" s="7" t="str">
        <f aca="false">IF(G162="","Guest",REPLACE(G162,3,2,"**"))</f>
        <v>Guest</v>
      </c>
      <c r="N162" s="7" t="str">
        <f aca="false">_xlfn.CONCAT(A162,"-",I162)</f>
        <v>564857-21936</v>
      </c>
      <c r="O162" s="7" t="str">
        <f aca="false">LOWER(SUBSTITUTE(TRIM(C162)," ","-"))</f>
        <v>red-retrospot-picnic-bag</v>
      </c>
      <c r="P162" s="7" t="n">
        <f aca="false">IF(EXACT(C162,TRIM(C162)),0,1)</f>
        <v>0</v>
      </c>
    </row>
    <row r="163" customFormat="false" ht="15" hidden="false" customHeight="false" outlineLevel="0" collapsed="false">
      <c r="A163" s="0" t="s">
        <v>501</v>
      </c>
      <c r="B163" s="0" t="s">
        <v>502</v>
      </c>
      <c r="C163" s="0" t="s">
        <v>503</v>
      </c>
      <c r="D163" s="0" t="n">
        <v>5</v>
      </c>
      <c r="E163" s="6" t="n">
        <v>40788.3958333333</v>
      </c>
      <c r="F163" s="0" t="n">
        <v>2.95</v>
      </c>
      <c r="H163" s="0" t="s">
        <v>36</v>
      </c>
      <c r="I163" s="7" t="str">
        <f aca="false">UPPER(TRIM(B163))</f>
        <v>22804</v>
      </c>
      <c r="J163" s="7" t="str">
        <f aca="false">PROPER(TRIM(C163))</f>
        <v>Candleholder Pink Hanging Heart</v>
      </c>
      <c r="K163" s="7" t="str">
        <f aca="false">SUBSTITUTE(SUBSTITUTE(SUBSTITUTE(H163,"EIRE","Ireland"),"RSA","South Africa"),"USA","United States")</f>
        <v>United Kingdom</v>
      </c>
      <c r="L163" s="7" t="str">
        <f aca="false">IF(LEFT(A163,1)="C","Cancel","Sale")</f>
        <v>Sale</v>
      </c>
      <c r="M163" s="7" t="str">
        <f aca="false">IF(G163="","Guest",REPLACE(G163,3,2,"**"))</f>
        <v>Guest</v>
      </c>
      <c r="N163" s="7" t="str">
        <f aca="false">_xlfn.CONCAT(A163,"-",I163)</f>
        <v>565232-22804</v>
      </c>
      <c r="O163" s="7" t="str">
        <f aca="false">LOWER(SUBSTITUTE(TRIM(C163)," ","-"))</f>
        <v>candleholder-pink-hanging-heart</v>
      </c>
      <c r="P163" s="7" t="n">
        <f aca="false">IF(EXACT(C163,TRIM(C163)),0,1)</f>
        <v>0</v>
      </c>
    </row>
    <row r="164" customFormat="false" ht="15" hidden="false" customHeight="false" outlineLevel="0" collapsed="false">
      <c r="A164" s="0" t="s">
        <v>501</v>
      </c>
      <c r="B164" s="0" t="s">
        <v>504</v>
      </c>
      <c r="C164" s="0" t="s">
        <v>505</v>
      </c>
      <c r="D164" s="0" t="n">
        <v>1</v>
      </c>
      <c r="E164" s="6" t="n">
        <v>40788.3958333333</v>
      </c>
      <c r="F164" s="0" t="n">
        <v>8.29</v>
      </c>
      <c r="H164" s="0" t="s">
        <v>36</v>
      </c>
      <c r="I164" s="7" t="str">
        <f aca="false">UPPER(TRIM(B164))</f>
        <v>22200</v>
      </c>
      <c r="J164" s="7" t="str">
        <f aca="false">PROPER(TRIM(C164))</f>
        <v>Frying Pan Pink Polkadot</v>
      </c>
      <c r="K164" s="7" t="str">
        <f aca="false">SUBSTITUTE(SUBSTITUTE(SUBSTITUTE(H164,"EIRE","Ireland"),"RSA","South Africa"),"USA","United States")</f>
        <v>United Kingdom</v>
      </c>
      <c r="L164" s="7" t="str">
        <f aca="false">IF(LEFT(A164,1)="C","Cancel","Sale")</f>
        <v>Sale</v>
      </c>
      <c r="M164" s="7" t="str">
        <f aca="false">IF(G164="","Guest",REPLACE(G164,3,2,"**"))</f>
        <v>Guest</v>
      </c>
      <c r="N164" s="7" t="str">
        <f aca="false">_xlfn.CONCAT(A164,"-",I164)</f>
        <v>565232-22200</v>
      </c>
      <c r="O164" s="7" t="str">
        <f aca="false">LOWER(SUBSTITUTE(TRIM(C164)," ","-"))</f>
        <v>frying-pan-pink-polkadot</v>
      </c>
      <c r="P164" s="7" t="n">
        <f aca="false">IF(EXACT(C164,TRIM(C164)),0,1)</f>
        <v>0</v>
      </c>
    </row>
    <row r="165" customFormat="false" ht="15" hidden="false" customHeight="false" outlineLevel="0" collapsed="false">
      <c r="A165" s="0" t="s">
        <v>506</v>
      </c>
      <c r="B165" s="0" t="s">
        <v>507</v>
      </c>
      <c r="C165" s="0" t="s">
        <v>508</v>
      </c>
      <c r="D165" s="0" t="n">
        <v>1</v>
      </c>
      <c r="E165" s="6" t="n">
        <v>40788.4013888889</v>
      </c>
      <c r="F165" s="0" t="n">
        <v>4.13</v>
      </c>
      <c r="H165" s="0" t="s">
        <v>36</v>
      </c>
      <c r="I165" s="7" t="str">
        <f aca="false">UPPER(TRIM(B165))</f>
        <v>23207</v>
      </c>
      <c r="J165" s="7" t="str">
        <f aca="false">PROPER(TRIM(C165))</f>
        <v>Lunch Bag Alphabet Design</v>
      </c>
      <c r="K165" s="7" t="str">
        <f aca="false">SUBSTITUTE(SUBSTITUTE(SUBSTITUTE(H165,"EIRE","Ireland"),"RSA","South Africa"),"USA","United States")</f>
        <v>United Kingdom</v>
      </c>
      <c r="L165" s="7" t="str">
        <f aca="false">IF(LEFT(A165,1)="C","Cancel","Sale")</f>
        <v>Sale</v>
      </c>
      <c r="M165" s="7" t="str">
        <f aca="false">IF(G165="","Guest",REPLACE(G165,3,2,"**"))</f>
        <v>Guest</v>
      </c>
      <c r="N165" s="7" t="str">
        <f aca="false">_xlfn.CONCAT(A165,"-",I165)</f>
        <v>565234-23207</v>
      </c>
      <c r="O165" s="7" t="str">
        <f aca="false">LOWER(SUBSTITUTE(TRIM(C165)," ","-"))</f>
        <v>lunch-bag-alphabet-design</v>
      </c>
      <c r="P165" s="7" t="n">
        <f aca="false">IF(EXACT(C165,TRIM(C165)),0,1)</f>
        <v>0</v>
      </c>
    </row>
    <row r="166" customFormat="false" ht="15" hidden="false" customHeight="false" outlineLevel="0" collapsed="false">
      <c r="A166" s="0" t="s">
        <v>509</v>
      </c>
      <c r="B166" s="0" t="s">
        <v>510</v>
      </c>
      <c r="C166" s="0" t="s">
        <v>511</v>
      </c>
      <c r="D166" s="0" t="n">
        <v>1</v>
      </c>
      <c r="E166" s="6" t="n">
        <v>40790.6180555556</v>
      </c>
      <c r="F166" s="0" t="n">
        <v>3.25</v>
      </c>
      <c r="G166" s="0" t="n">
        <v>13548</v>
      </c>
      <c r="H166" s="0" t="s">
        <v>36</v>
      </c>
      <c r="I166" s="7" t="str">
        <f aca="false">UPPER(TRIM(B166))</f>
        <v>21035</v>
      </c>
      <c r="J166" s="7" t="str">
        <f aca="false">PROPER(TRIM(C166))</f>
        <v>Set/2 Red Retrospot Tea Towels</v>
      </c>
      <c r="K166" s="7" t="str">
        <f aca="false">SUBSTITUTE(SUBSTITUTE(SUBSTITUTE(H166,"EIRE","Ireland"),"RSA","South Africa"),"USA","United States")</f>
        <v>United Kingdom</v>
      </c>
      <c r="L166" s="7" t="str">
        <f aca="false">IF(LEFT(A166,1)="C","Cancel","Sale")</f>
        <v>Sale</v>
      </c>
      <c r="M166" s="7" t="str">
        <f aca="false">IF(G166="","Guest",REPLACE(G166,3,2,"**"))</f>
        <v>13**8</v>
      </c>
      <c r="N166" s="7" t="str">
        <f aca="false">_xlfn.CONCAT(A166,"-",I166)</f>
        <v>565445-21035</v>
      </c>
      <c r="O166" s="7" t="str">
        <f aca="false">LOWER(SUBSTITUTE(TRIM(C166)," ","-"))</f>
        <v>set/2-red-retrospot-tea-towels</v>
      </c>
      <c r="P166" s="7" t="n">
        <f aca="false">IF(EXACT(C166,TRIM(C166)),0,1)</f>
        <v>1</v>
      </c>
    </row>
    <row r="167" customFormat="false" ht="15" hidden="false" customHeight="false" outlineLevel="0" collapsed="false">
      <c r="A167" s="0" t="s">
        <v>512</v>
      </c>
      <c r="B167" s="0" t="s">
        <v>317</v>
      </c>
      <c r="C167" s="0" t="s">
        <v>318</v>
      </c>
      <c r="D167" s="0" t="n">
        <v>1</v>
      </c>
      <c r="E167" s="6" t="n">
        <v>40791.3798611111</v>
      </c>
      <c r="F167" s="0" t="n">
        <v>50</v>
      </c>
      <c r="G167" s="0" t="n">
        <v>14565</v>
      </c>
      <c r="H167" s="0" t="s">
        <v>36</v>
      </c>
      <c r="I167" s="7" t="str">
        <f aca="false">UPPER(TRIM(B167))</f>
        <v>C2</v>
      </c>
      <c r="J167" s="7" t="str">
        <f aca="false">PROPER(TRIM(C167))</f>
        <v>Carriage</v>
      </c>
      <c r="K167" s="7" t="str">
        <f aca="false">SUBSTITUTE(SUBSTITUTE(SUBSTITUTE(H167,"EIRE","Ireland"),"RSA","South Africa"),"USA","United States")</f>
        <v>United Kingdom</v>
      </c>
      <c r="L167" s="7" t="str">
        <f aca="false">IF(LEFT(A167,1)="C","Cancel","Sale")</f>
        <v>Sale</v>
      </c>
      <c r="M167" s="7" t="str">
        <f aca="false">IF(G167="","Guest",REPLACE(G167,3,2,"**"))</f>
        <v>14**5</v>
      </c>
      <c r="N167" s="7" t="str">
        <f aca="false">_xlfn.CONCAT(A167,"-",I167)</f>
        <v>565457-C2</v>
      </c>
      <c r="O167" s="7" t="str">
        <f aca="false">LOWER(SUBSTITUTE(TRIM(C167)," ","-"))</f>
        <v>carriage</v>
      </c>
      <c r="P167" s="7" t="n">
        <f aca="false">IF(EXACT(C167,TRIM(C167)),0,1)</f>
        <v>0</v>
      </c>
    </row>
    <row r="168" customFormat="false" ht="15" hidden="false" customHeight="false" outlineLevel="0" collapsed="false">
      <c r="A168" s="0" t="s">
        <v>513</v>
      </c>
      <c r="B168" s="0" t="s">
        <v>514</v>
      </c>
      <c r="C168" s="0" t="s">
        <v>515</v>
      </c>
      <c r="D168" s="0" t="n">
        <v>12</v>
      </c>
      <c r="E168" s="6" t="n">
        <v>40791.425</v>
      </c>
      <c r="F168" s="0" t="n">
        <v>1.45</v>
      </c>
      <c r="G168" s="0" t="n">
        <v>13931</v>
      </c>
      <c r="H168" s="0" t="s">
        <v>36</v>
      </c>
      <c r="I168" s="7" t="str">
        <f aca="false">UPPER(TRIM(B168))</f>
        <v>84987</v>
      </c>
      <c r="J168" s="7" t="str">
        <f aca="false">PROPER(TRIM(C168))</f>
        <v>Set Of 36 Teatime Paper Doilies</v>
      </c>
      <c r="K168" s="7" t="str">
        <f aca="false">SUBSTITUTE(SUBSTITUTE(SUBSTITUTE(H168,"EIRE","Ireland"),"RSA","South Africa"),"USA","United States")</f>
        <v>United Kingdom</v>
      </c>
      <c r="L168" s="7" t="str">
        <f aca="false">IF(LEFT(A168,1)="C","Cancel","Sale")</f>
        <v>Sale</v>
      </c>
      <c r="M168" s="7" t="str">
        <f aca="false">IF(G168="","Guest",REPLACE(G168,3,2,"**"))</f>
        <v>13**1</v>
      </c>
      <c r="N168" s="7" t="str">
        <f aca="false">_xlfn.CONCAT(A168,"-",I168)</f>
        <v>565471-84987</v>
      </c>
      <c r="O168" s="7" t="str">
        <f aca="false">LOWER(SUBSTITUTE(TRIM(C168)," ","-"))</f>
        <v>set-of-36-teatime-paper-doilies</v>
      </c>
      <c r="P168" s="7" t="n">
        <f aca="false">IF(EXACT(C168,TRIM(C168)),0,1)</f>
        <v>0</v>
      </c>
    </row>
    <row r="169" customFormat="false" ht="15" hidden="false" customHeight="false" outlineLevel="0" collapsed="false">
      <c r="A169" s="0" t="s">
        <v>516</v>
      </c>
      <c r="B169" s="0" t="s">
        <v>517</v>
      </c>
      <c r="C169" s="0" t="s">
        <v>518</v>
      </c>
      <c r="D169" s="0" t="n">
        <v>12</v>
      </c>
      <c r="E169" s="6" t="n">
        <v>40793.4326388889</v>
      </c>
      <c r="F169" s="0" t="n">
        <v>0.85</v>
      </c>
      <c r="G169" s="0" t="n">
        <v>14911</v>
      </c>
      <c r="H169" s="0" t="s">
        <v>80</v>
      </c>
      <c r="I169" s="7" t="str">
        <f aca="false">UPPER(TRIM(B169))</f>
        <v>22577</v>
      </c>
      <c r="J169" s="7" t="str">
        <f aca="false">PROPER(TRIM(C169))</f>
        <v>Wooden Heart Christmas Scandinavian</v>
      </c>
      <c r="K169" s="7" t="str">
        <f aca="false">SUBSTITUTE(SUBSTITUTE(SUBSTITUTE(H169,"EIRE","Ireland"),"RSA","South Africa"),"USA","United States")</f>
        <v>Ireland</v>
      </c>
      <c r="L169" s="7" t="str">
        <f aca="false">IF(LEFT(A169,1)="C","Cancel","Sale")</f>
        <v>Sale</v>
      </c>
      <c r="M169" s="7" t="str">
        <f aca="false">IF(G169="","Guest",REPLACE(G169,3,2,"**"))</f>
        <v>14**1</v>
      </c>
      <c r="N169" s="7" t="str">
        <f aca="false">_xlfn.CONCAT(A169,"-",I169)</f>
        <v>565800-22577</v>
      </c>
      <c r="O169" s="7" t="str">
        <f aca="false">LOWER(SUBSTITUTE(TRIM(C169)," ","-"))</f>
        <v>wooden-heart-christmas-scandinavian</v>
      </c>
      <c r="P169" s="7" t="n">
        <f aca="false">IF(EXACT(C169,TRIM(C169)),0,1)</f>
        <v>0</v>
      </c>
    </row>
    <row r="170" customFormat="false" ht="15" hidden="false" customHeight="false" outlineLevel="0" collapsed="false">
      <c r="A170" s="0" t="s">
        <v>519</v>
      </c>
      <c r="B170" s="0" t="s">
        <v>520</v>
      </c>
      <c r="C170" s="0" t="s">
        <v>521</v>
      </c>
      <c r="D170" s="0" t="n">
        <v>12</v>
      </c>
      <c r="E170" s="6" t="n">
        <v>40793.5923611111</v>
      </c>
      <c r="F170" s="0" t="n">
        <v>1.95</v>
      </c>
      <c r="G170" s="0" t="n">
        <v>14911</v>
      </c>
      <c r="H170" s="0" t="s">
        <v>80</v>
      </c>
      <c r="I170" s="7" t="str">
        <f aca="false">UPPER(TRIM(B170))</f>
        <v>22466</v>
      </c>
      <c r="J170" s="7" t="str">
        <f aca="false">PROPER(TRIM(C170))</f>
        <v>Fairy Tale Cottage Night Light</v>
      </c>
      <c r="K170" s="7" t="str">
        <f aca="false">SUBSTITUTE(SUBSTITUTE(SUBSTITUTE(H170,"EIRE","Ireland"),"RSA","South Africa"),"USA","United States")</f>
        <v>Ireland</v>
      </c>
      <c r="L170" s="7" t="str">
        <f aca="false">IF(LEFT(A170,1)="C","Cancel","Sale")</f>
        <v>Sale</v>
      </c>
      <c r="M170" s="7" t="str">
        <f aca="false">IF(G170="","Guest",REPLACE(G170,3,2,"**"))</f>
        <v>14**1</v>
      </c>
      <c r="N170" s="7" t="str">
        <f aca="false">_xlfn.CONCAT(A170,"-",I170)</f>
        <v>565857-22466</v>
      </c>
      <c r="O170" s="7" t="str">
        <f aca="false">LOWER(SUBSTITUTE(TRIM(C170)," ","-"))</f>
        <v>fairy-tale-cottage-night-light</v>
      </c>
      <c r="P170" s="7" t="n">
        <f aca="false">IF(EXACT(C170,TRIM(C170)),0,1)</f>
        <v>0</v>
      </c>
    </row>
    <row r="171" customFormat="false" ht="15" hidden="false" customHeight="false" outlineLevel="0" collapsed="false">
      <c r="A171" s="0" t="s">
        <v>522</v>
      </c>
      <c r="B171" s="0" t="s">
        <v>453</v>
      </c>
      <c r="C171" s="0" t="s">
        <v>454</v>
      </c>
      <c r="D171" s="0" t="n">
        <v>3</v>
      </c>
      <c r="E171" s="6" t="n">
        <v>40793.6666666667</v>
      </c>
      <c r="F171" s="0" t="n">
        <v>4.95</v>
      </c>
      <c r="G171" s="0" t="n">
        <v>14156</v>
      </c>
      <c r="H171" s="0" t="s">
        <v>80</v>
      </c>
      <c r="I171" s="7" t="str">
        <f aca="false">UPPER(TRIM(B171))</f>
        <v>23298</v>
      </c>
      <c r="J171" s="7" t="str">
        <f aca="false">PROPER(TRIM(C171))</f>
        <v>Spotty Bunting</v>
      </c>
      <c r="K171" s="7" t="str">
        <f aca="false">SUBSTITUTE(SUBSTITUTE(SUBSTITUTE(H171,"EIRE","Ireland"),"RSA","South Africa"),"USA","United States")</f>
        <v>Ireland</v>
      </c>
      <c r="L171" s="7" t="str">
        <f aca="false">IF(LEFT(A171,1)="C","Cancel","Sale")</f>
        <v>Sale</v>
      </c>
      <c r="M171" s="7" t="str">
        <f aca="false">IF(G171="","Guest",REPLACE(G171,3,2,"**"))</f>
        <v>14**6</v>
      </c>
      <c r="N171" s="7" t="str">
        <f aca="false">_xlfn.CONCAT(A171,"-",I171)</f>
        <v>565916-23298</v>
      </c>
      <c r="O171" s="7" t="str">
        <f aca="false">LOWER(SUBSTITUTE(TRIM(C171)," ","-"))</f>
        <v>spotty-bunting</v>
      </c>
      <c r="P171" s="7" t="n">
        <f aca="false">IF(EXACT(C171,TRIM(C171)),0,1)</f>
        <v>0</v>
      </c>
    </row>
    <row r="172" customFormat="false" ht="15" hidden="false" customHeight="false" outlineLevel="0" collapsed="false">
      <c r="A172" s="0" t="s">
        <v>523</v>
      </c>
      <c r="B172" s="0" t="s">
        <v>524</v>
      </c>
      <c r="C172" s="0" t="s">
        <v>525</v>
      </c>
      <c r="D172" s="0" t="n">
        <v>12</v>
      </c>
      <c r="E172" s="6" t="n">
        <v>40794.4222222222</v>
      </c>
      <c r="F172" s="0" t="n">
        <v>0.85</v>
      </c>
      <c r="H172" s="0" t="s">
        <v>80</v>
      </c>
      <c r="I172" s="7" t="str">
        <f aca="false">UPPER(TRIM(B172))</f>
        <v>22602</v>
      </c>
      <c r="J172" s="7" t="str">
        <f aca="false">PROPER(TRIM(C172))</f>
        <v>Retrospot Wooden Heart Decoration</v>
      </c>
      <c r="K172" s="7" t="str">
        <f aca="false">SUBSTITUTE(SUBSTITUTE(SUBSTITUTE(H172,"EIRE","Ireland"),"RSA","South Africa"),"USA","United States")</f>
        <v>Ireland</v>
      </c>
      <c r="L172" s="7" t="str">
        <f aca="false">IF(LEFT(A172,1)="C","Cancel","Sale")</f>
        <v>Sale</v>
      </c>
      <c r="M172" s="7" t="str">
        <f aca="false">IF(G172="","Guest",REPLACE(G172,3,2,"**"))</f>
        <v>Guest</v>
      </c>
      <c r="N172" s="7" t="str">
        <f aca="false">_xlfn.CONCAT(A172,"-",I172)</f>
        <v>565927-22602</v>
      </c>
      <c r="O172" s="7" t="str">
        <f aca="false">LOWER(SUBSTITUTE(TRIM(C172)," ","-"))</f>
        <v>retrospot-wooden-heart-decoration</v>
      </c>
      <c r="P172" s="7" t="n">
        <f aca="false">IF(EXACT(C172,TRIM(C172)),0,1)</f>
        <v>0</v>
      </c>
    </row>
    <row r="173" customFormat="false" ht="15" hidden="false" customHeight="false" outlineLevel="0" collapsed="false">
      <c r="A173" s="0" t="s">
        <v>526</v>
      </c>
      <c r="B173" s="0" t="s">
        <v>527</v>
      </c>
      <c r="C173" s="0" t="s">
        <v>528</v>
      </c>
      <c r="D173" s="0" t="n">
        <v>6</v>
      </c>
      <c r="E173" s="6" t="n">
        <v>40795.46875</v>
      </c>
      <c r="F173" s="0" t="n">
        <v>1.45</v>
      </c>
      <c r="G173" s="0" t="n">
        <v>15039</v>
      </c>
      <c r="H173" s="0" t="s">
        <v>36</v>
      </c>
      <c r="I173" s="7" t="str">
        <f aca="false">UPPER(TRIM(B173))</f>
        <v>21669</v>
      </c>
      <c r="J173" s="7" t="str">
        <f aca="false">PROPER(TRIM(C173))</f>
        <v>Blue Stripe Ceramic Drawer Knob</v>
      </c>
      <c r="K173" s="7" t="str">
        <f aca="false">SUBSTITUTE(SUBSTITUTE(SUBSTITUTE(H173,"EIRE","Ireland"),"RSA","South Africa"),"USA","United States")</f>
        <v>United Kingdom</v>
      </c>
      <c r="L173" s="7" t="str">
        <f aca="false">IF(LEFT(A173,1)="C","Cancel","Sale")</f>
        <v>Sale</v>
      </c>
      <c r="M173" s="7" t="str">
        <f aca="false">IF(G173="","Guest",REPLACE(G173,3,2,"**"))</f>
        <v>15**9</v>
      </c>
      <c r="N173" s="7" t="str">
        <f aca="false">_xlfn.CONCAT(A173,"-",I173)</f>
        <v>566123-21669</v>
      </c>
      <c r="O173" s="7" t="str">
        <f aca="false">LOWER(SUBSTITUTE(TRIM(C173)," ","-"))</f>
        <v>blue-stripe-ceramic-drawer-knob</v>
      </c>
      <c r="P173" s="7" t="n">
        <f aca="false">IF(EXACT(C173,TRIM(C173)),0,1)</f>
        <v>0</v>
      </c>
    </row>
    <row r="174" customFormat="false" ht="15" hidden="false" customHeight="false" outlineLevel="0" collapsed="false">
      <c r="A174" s="0" t="s">
        <v>529</v>
      </c>
      <c r="B174" s="0" t="s">
        <v>153</v>
      </c>
      <c r="C174" s="0" t="s">
        <v>154</v>
      </c>
      <c r="D174" s="0" t="n">
        <v>12</v>
      </c>
      <c r="E174" s="6" t="n">
        <v>40799.5361111111</v>
      </c>
      <c r="F174" s="0" t="n">
        <v>2.95</v>
      </c>
      <c r="G174" s="0" t="n">
        <v>13488</v>
      </c>
      <c r="H174" s="0" t="s">
        <v>36</v>
      </c>
      <c r="I174" s="7" t="str">
        <f aca="false">UPPER(TRIM(B174))</f>
        <v>22699</v>
      </c>
      <c r="J174" s="7" t="str">
        <f aca="false">PROPER(TRIM(C174))</f>
        <v>Roses Regency Teacup And Saucer</v>
      </c>
      <c r="K174" s="7" t="str">
        <f aca="false">SUBSTITUTE(SUBSTITUTE(SUBSTITUTE(H174,"EIRE","Ireland"),"RSA","South Africa"),"USA","United States")</f>
        <v>United Kingdom</v>
      </c>
      <c r="L174" s="7" t="str">
        <f aca="false">IF(LEFT(A174,1)="C","Cancel","Sale")</f>
        <v>Sale</v>
      </c>
      <c r="M174" s="7" t="str">
        <f aca="false">IF(G174="","Guest",REPLACE(G174,3,2,"**"))</f>
        <v>13**8</v>
      </c>
      <c r="N174" s="7" t="str">
        <f aca="false">_xlfn.CONCAT(A174,"-",I174)</f>
        <v>566572-22699</v>
      </c>
      <c r="O174" s="7" t="str">
        <f aca="false">LOWER(SUBSTITUTE(TRIM(C174)," ","-"))</f>
        <v>roses-regency-teacup-and-saucer</v>
      </c>
      <c r="P174" s="7" t="n">
        <f aca="false">IF(EXACT(C174,TRIM(C174)),0,1)</f>
        <v>1</v>
      </c>
    </row>
    <row r="175" customFormat="false" ht="15" hidden="false" customHeight="false" outlineLevel="0" collapsed="false">
      <c r="A175" s="0" t="s">
        <v>530</v>
      </c>
      <c r="B175" s="0" t="s">
        <v>531</v>
      </c>
      <c r="C175" s="0" t="s">
        <v>532</v>
      </c>
      <c r="D175" s="0" t="n">
        <v>24</v>
      </c>
      <c r="E175" s="6" t="n">
        <v>40800.4395833333</v>
      </c>
      <c r="F175" s="0" t="n">
        <v>0.85</v>
      </c>
      <c r="G175" s="0" t="n">
        <v>12971</v>
      </c>
      <c r="H175" s="0" t="s">
        <v>36</v>
      </c>
      <c r="I175" s="7" t="str">
        <f aca="false">UPPER(TRIM(B175))</f>
        <v>22579</v>
      </c>
      <c r="J175" s="7" t="str">
        <f aca="false">PROPER(TRIM(C175))</f>
        <v>Wooden Tree Christmas Scandinavian</v>
      </c>
      <c r="K175" s="7" t="str">
        <f aca="false">SUBSTITUTE(SUBSTITUTE(SUBSTITUTE(H175,"EIRE","Ireland"),"RSA","South Africa"),"USA","United States")</f>
        <v>United Kingdom</v>
      </c>
      <c r="L175" s="7" t="str">
        <f aca="false">IF(LEFT(A175,1)="C","Cancel","Sale")</f>
        <v>Sale</v>
      </c>
      <c r="M175" s="7" t="str">
        <f aca="false">IF(G175="","Guest",REPLACE(G175,3,2,"**"))</f>
        <v>12**1</v>
      </c>
      <c r="N175" s="7" t="str">
        <f aca="false">_xlfn.CONCAT(A175,"-",I175)</f>
        <v>566630-22579</v>
      </c>
      <c r="O175" s="7" t="str">
        <f aca="false">LOWER(SUBSTITUTE(TRIM(C175)," ","-"))</f>
        <v>wooden-tree-christmas-scandinavian</v>
      </c>
      <c r="P175" s="7" t="n">
        <f aca="false">IF(EXACT(C175,TRIM(C175)),0,1)</f>
        <v>0</v>
      </c>
    </row>
    <row r="176" customFormat="false" ht="15" hidden="false" customHeight="false" outlineLevel="0" collapsed="false">
      <c r="A176" s="0" t="s">
        <v>533</v>
      </c>
      <c r="B176" s="0" t="s">
        <v>534</v>
      </c>
      <c r="C176" s="0" t="s">
        <v>535</v>
      </c>
      <c r="D176" s="0" t="n">
        <v>12</v>
      </c>
      <c r="E176" s="6" t="n">
        <v>40801.6090277778</v>
      </c>
      <c r="F176" s="0" t="n">
        <v>4.95</v>
      </c>
      <c r="G176" s="0" t="n">
        <v>18259</v>
      </c>
      <c r="H176" s="0" t="s">
        <v>36</v>
      </c>
      <c r="I176" s="7" t="str">
        <f aca="false">UPPER(TRIM(B176))</f>
        <v>22111</v>
      </c>
      <c r="J176" s="7" t="str">
        <f aca="false">PROPER(TRIM(C176))</f>
        <v>Scottie Dog Hot Water Bottle</v>
      </c>
      <c r="K176" s="7" t="str">
        <f aca="false">SUBSTITUTE(SUBSTITUTE(SUBSTITUTE(H176,"EIRE","Ireland"),"RSA","South Africa"),"USA","United States")</f>
        <v>United Kingdom</v>
      </c>
      <c r="L176" s="7" t="str">
        <f aca="false">IF(LEFT(A176,1)="C","Cancel","Sale")</f>
        <v>Sale</v>
      </c>
      <c r="M176" s="7" t="str">
        <f aca="false">IF(G176="","Guest",REPLACE(G176,3,2,"**"))</f>
        <v>18**9</v>
      </c>
      <c r="N176" s="7" t="str">
        <f aca="false">_xlfn.CONCAT(A176,"-",I176)</f>
        <v>566917-22111</v>
      </c>
      <c r="O176" s="7" t="str">
        <f aca="false">LOWER(SUBSTITUTE(TRIM(C176)," ","-"))</f>
        <v>scottie-dog-hot-water-bottle</v>
      </c>
      <c r="P176" s="7" t="n">
        <f aca="false">IF(EXACT(C176,TRIM(C176)),0,1)</f>
        <v>0</v>
      </c>
    </row>
    <row r="177" customFormat="false" ht="15" hidden="false" customHeight="false" outlineLevel="0" collapsed="false">
      <c r="A177" s="0" t="s">
        <v>536</v>
      </c>
      <c r="B177" s="0" t="s">
        <v>537</v>
      </c>
      <c r="C177" s="0" t="s">
        <v>538</v>
      </c>
      <c r="D177" s="0" t="n">
        <v>10</v>
      </c>
      <c r="E177" s="6" t="n">
        <v>40805.4520833333</v>
      </c>
      <c r="F177" s="0" t="n">
        <v>2.08</v>
      </c>
      <c r="G177" s="0" t="n">
        <v>13562</v>
      </c>
      <c r="H177" s="0" t="s">
        <v>36</v>
      </c>
      <c r="I177" s="7" t="str">
        <f aca="false">UPPER(TRIM(B177))</f>
        <v>85099C</v>
      </c>
      <c r="J177" s="7" t="str">
        <f aca="false">PROPER(TRIM(C177))</f>
        <v>Jumbo Bag Baroque Black White</v>
      </c>
      <c r="K177" s="7" t="str">
        <f aca="false">SUBSTITUTE(SUBSTITUTE(SUBSTITUTE(H177,"EIRE","Ireland"),"RSA","South Africa"),"USA","United States")</f>
        <v>United Kingdom</v>
      </c>
      <c r="L177" s="7" t="str">
        <f aca="false">IF(LEFT(A177,1)="C","Cancel","Sale")</f>
        <v>Sale</v>
      </c>
      <c r="M177" s="7" t="str">
        <f aca="false">IF(G177="","Guest",REPLACE(G177,3,2,"**"))</f>
        <v>13**2</v>
      </c>
      <c r="N177" s="7" t="str">
        <f aca="false">_xlfn.CONCAT(A177,"-",I177)</f>
        <v>567206-85099C</v>
      </c>
      <c r="O177" s="7" t="str">
        <f aca="false">LOWER(SUBSTITUTE(TRIM(C177)," ","-"))</f>
        <v>jumbo-bag-baroque-black-white</v>
      </c>
      <c r="P177" s="7" t="n">
        <f aca="false">IF(EXACT(C177,TRIM(C177)),0,1)</f>
        <v>1</v>
      </c>
    </row>
    <row r="178" customFormat="false" ht="15" hidden="false" customHeight="false" outlineLevel="0" collapsed="false">
      <c r="A178" s="0" t="s">
        <v>539</v>
      </c>
      <c r="B178" s="0" t="s">
        <v>317</v>
      </c>
      <c r="C178" s="0" t="s">
        <v>318</v>
      </c>
      <c r="D178" s="0" t="n">
        <v>1</v>
      </c>
      <c r="E178" s="6" t="n">
        <v>40807.5159722222</v>
      </c>
      <c r="F178" s="0" t="n">
        <v>50</v>
      </c>
      <c r="G178" s="0" t="n">
        <v>14911</v>
      </c>
      <c r="H178" s="0" t="s">
        <v>80</v>
      </c>
      <c r="I178" s="7" t="str">
        <f aca="false">UPPER(TRIM(B178))</f>
        <v>C2</v>
      </c>
      <c r="J178" s="7" t="str">
        <f aca="false">PROPER(TRIM(C178))</f>
        <v>Carriage</v>
      </c>
      <c r="K178" s="7" t="str">
        <f aca="false">SUBSTITUTE(SUBSTITUTE(SUBSTITUTE(H178,"EIRE","Ireland"),"RSA","South Africa"),"USA","United States")</f>
        <v>Ireland</v>
      </c>
      <c r="L178" s="7" t="str">
        <f aca="false">IF(LEFT(A178,1)="C","Cancel","Sale")</f>
        <v>Sale</v>
      </c>
      <c r="M178" s="7" t="str">
        <f aca="false">IF(G178="","Guest",REPLACE(G178,3,2,"**"))</f>
        <v>14**1</v>
      </c>
      <c r="N178" s="7" t="str">
        <f aca="false">_xlfn.CONCAT(A178,"-",I178)</f>
        <v>567616-C2</v>
      </c>
      <c r="O178" s="7" t="str">
        <f aca="false">LOWER(SUBSTITUTE(TRIM(C178)," ","-"))</f>
        <v>carriage</v>
      </c>
      <c r="P178" s="7" t="n">
        <f aca="false">IF(EXACT(C178,TRIM(C178)),0,1)</f>
        <v>0</v>
      </c>
    </row>
    <row r="179" customFormat="false" ht="15" hidden="false" customHeight="false" outlineLevel="0" collapsed="false">
      <c r="A179" s="0" t="s">
        <v>540</v>
      </c>
      <c r="B179" s="0" t="s">
        <v>541</v>
      </c>
      <c r="C179" s="0" t="s">
        <v>542</v>
      </c>
      <c r="D179" s="0" t="n">
        <v>1</v>
      </c>
      <c r="E179" s="6" t="n">
        <v>40807.5319444445</v>
      </c>
      <c r="F179" s="0" t="n">
        <v>12.75</v>
      </c>
      <c r="G179" s="0" t="n">
        <v>14527</v>
      </c>
      <c r="H179" s="0" t="s">
        <v>36</v>
      </c>
      <c r="I179" s="7" t="str">
        <f aca="false">UPPER(TRIM(B179))</f>
        <v>22282</v>
      </c>
      <c r="J179" s="7" t="str">
        <f aca="false">PROPER(TRIM(C179))</f>
        <v>12 Egg House Painted Wood</v>
      </c>
      <c r="K179" s="7" t="str">
        <f aca="false">SUBSTITUTE(SUBSTITUTE(SUBSTITUTE(H179,"EIRE","Ireland"),"RSA","South Africa"),"USA","United States")</f>
        <v>United Kingdom</v>
      </c>
      <c r="L179" s="7" t="str">
        <f aca="false">IF(LEFT(A179,1)="C","Cancel","Sale")</f>
        <v>Sale</v>
      </c>
      <c r="M179" s="7" t="str">
        <f aca="false">IF(G179="","Guest",REPLACE(G179,3,2,"**"))</f>
        <v>14**7</v>
      </c>
      <c r="N179" s="7" t="str">
        <f aca="false">_xlfn.CONCAT(A179,"-",I179)</f>
        <v>567622-22282</v>
      </c>
      <c r="O179" s="7" t="str">
        <f aca="false">LOWER(SUBSTITUTE(TRIM(C179)," ","-"))</f>
        <v>12-egg-house-painted-wood</v>
      </c>
      <c r="P179" s="7" t="n">
        <f aca="false">IF(EXACT(C179,TRIM(C179)),0,1)</f>
        <v>0</v>
      </c>
    </row>
    <row r="180" customFormat="false" ht="15" hidden="false" customHeight="false" outlineLevel="0" collapsed="false">
      <c r="A180" s="0" t="s">
        <v>543</v>
      </c>
      <c r="B180" s="0" t="s">
        <v>544</v>
      </c>
      <c r="C180" s="0" t="s">
        <v>545</v>
      </c>
      <c r="D180" s="0" t="n">
        <v>4</v>
      </c>
      <c r="E180" s="6" t="n">
        <v>40807.6333333333</v>
      </c>
      <c r="F180" s="0" t="n">
        <v>1.65</v>
      </c>
      <c r="G180" s="0" t="n">
        <v>17758</v>
      </c>
      <c r="H180" s="0" t="s">
        <v>36</v>
      </c>
      <c r="I180" s="7" t="str">
        <f aca="false">UPPER(TRIM(B180))</f>
        <v>22075</v>
      </c>
      <c r="J180" s="7" t="str">
        <f aca="false">PROPER(TRIM(C180))</f>
        <v>6 Ribbons Elegant Christmas</v>
      </c>
      <c r="K180" s="7" t="str">
        <f aca="false">SUBSTITUTE(SUBSTITUTE(SUBSTITUTE(H180,"EIRE","Ireland"),"RSA","South Africa"),"USA","United States")</f>
        <v>United Kingdom</v>
      </c>
      <c r="L180" s="7" t="str">
        <f aca="false">IF(LEFT(A180,1)="C","Cancel","Sale")</f>
        <v>Sale</v>
      </c>
      <c r="M180" s="7" t="str">
        <f aca="false">IF(G180="","Guest",REPLACE(G180,3,2,"**"))</f>
        <v>17**8</v>
      </c>
      <c r="N180" s="7" t="str">
        <f aca="false">_xlfn.CONCAT(A180,"-",I180)</f>
        <v>567662-22075</v>
      </c>
      <c r="O180" s="7" t="str">
        <f aca="false">LOWER(SUBSTITUTE(TRIM(C180)," ","-"))</f>
        <v>6-ribbons-elegant-christmas</v>
      </c>
      <c r="P180" s="7" t="n">
        <f aca="false">IF(EXACT(C180,TRIM(C180)),0,1)</f>
        <v>1</v>
      </c>
    </row>
    <row r="181" customFormat="false" ht="15" hidden="false" customHeight="false" outlineLevel="0" collapsed="false">
      <c r="A181" s="0" t="s">
        <v>546</v>
      </c>
      <c r="B181" s="0" t="s">
        <v>547</v>
      </c>
      <c r="C181" s="0" t="s">
        <v>548</v>
      </c>
      <c r="D181" s="0" t="n">
        <v>1</v>
      </c>
      <c r="E181" s="6" t="n">
        <v>40807.6472222222</v>
      </c>
      <c r="F181" s="0" t="n">
        <v>2.46</v>
      </c>
      <c r="H181" s="0" t="s">
        <v>36</v>
      </c>
      <c r="I181" s="7" t="str">
        <f aca="false">UPPER(TRIM(B181))</f>
        <v>22673</v>
      </c>
      <c r="J181" s="7" t="str">
        <f aca="false">PROPER(TRIM(C181))</f>
        <v>French Garden Sign Blue Metal</v>
      </c>
      <c r="K181" s="7" t="str">
        <f aca="false">SUBSTITUTE(SUBSTITUTE(SUBSTITUTE(H181,"EIRE","Ireland"),"RSA","South Africa"),"USA","United States")</f>
        <v>United Kingdom</v>
      </c>
      <c r="L181" s="7" t="str">
        <f aca="false">IF(LEFT(A181,1)="C","Cancel","Sale")</f>
        <v>Sale</v>
      </c>
      <c r="M181" s="7" t="str">
        <f aca="false">IF(G181="","Guest",REPLACE(G181,3,2,"**"))</f>
        <v>Guest</v>
      </c>
      <c r="N181" s="7" t="str">
        <f aca="false">_xlfn.CONCAT(A181,"-",I181)</f>
        <v>567670-22673</v>
      </c>
      <c r="O181" s="7" t="str">
        <f aca="false">LOWER(SUBSTITUTE(TRIM(C181)," ","-"))</f>
        <v>french-garden-sign-blue-metal</v>
      </c>
      <c r="P181" s="7" t="n">
        <f aca="false">IF(EXACT(C181,TRIM(C181)),0,1)</f>
        <v>0</v>
      </c>
    </row>
    <row r="182" customFormat="false" ht="15" hidden="false" customHeight="false" outlineLevel="0" collapsed="false">
      <c r="A182" s="0" t="s">
        <v>549</v>
      </c>
      <c r="B182" s="0" t="s">
        <v>550</v>
      </c>
      <c r="C182" s="0" t="s">
        <v>551</v>
      </c>
      <c r="D182" s="0" t="n">
        <v>12</v>
      </c>
      <c r="E182" s="6" t="n">
        <v>40809.4263888889</v>
      </c>
      <c r="F182" s="0" t="n">
        <v>1.25</v>
      </c>
      <c r="G182" s="0" t="n">
        <v>13949</v>
      </c>
      <c r="H182" s="0" t="s">
        <v>36</v>
      </c>
      <c r="I182" s="7" t="str">
        <f aca="false">UPPER(TRIM(B182))</f>
        <v>21892</v>
      </c>
      <c r="J182" s="7" t="str">
        <f aca="false">PROPER(TRIM(C182))</f>
        <v>Traditional Wooden Catch Cup Game</v>
      </c>
      <c r="K182" s="7" t="str">
        <f aca="false">SUBSTITUTE(SUBSTITUTE(SUBSTITUTE(H182,"EIRE","Ireland"),"RSA","South Africa"),"USA","United States")</f>
        <v>United Kingdom</v>
      </c>
      <c r="L182" s="7" t="str">
        <f aca="false">IF(LEFT(A182,1)="C","Cancel","Sale")</f>
        <v>Sale</v>
      </c>
      <c r="M182" s="7" t="str">
        <f aca="false">IF(G182="","Guest",REPLACE(G182,3,2,"**"))</f>
        <v>13**9</v>
      </c>
      <c r="N182" s="7" t="str">
        <f aca="false">_xlfn.CONCAT(A182,"-",I182)</f>
        <v>567972-21892</v>
      </c>
      <c r="O182" s="7" t="str">
        <f aca="false">LOWER(SUBSTITUTE(TRIM(C182)," ","-"))</f>
        <v>traditional-wooden-catch-cup-game</v>
      </c>
      <c r="P182" s="7" t="n">
        <f aca="false">IF(EXACT(C182,TRIM(C182)),0,1)</f>
        <v>1</v>
      </c>
    </row>
    <row r="183" customFormat="false" ht="15" hidden="false" customHeight="false" outlineLevel="0" collapsed="false">
      <c r="A183" s="0" t="s">
        <v>552</v>
      </c>
      <c r="B183" s="0" t="s">
        <v>553</v>
      </c>
      <c r="C183" s="0" t="s">
        <v>554</v>
      </c>
      <c r="D183" s="0" t="n">
        <v>6</v>
      </c>
      <c r="E183" s="6" t="n">
        <v>40809.525</v>
      </c>
      <c r="F183" s="0" t="n">
        <v>3.75</v>
      </c>
      <c r="G183" s="0" t="n">
        <v>14911</v>
      </c>
      <c r="H183" s="0" t="s">
        <v>80</v>
      </c>
      <c r="I183" s="7" t="str">
        <f aca="false">UPPER(TRIM(B183))</f>
        <v>23358</v>
      </c>
      <c r="J183" s="7" t="str">
        <f aca="false">PROPER(TRIM(C183))</f>
        <v>Hot Stuff Hot Water Bottle</v>
      </c>
      <c r="K183" s="7" t="str">
        <f aca="false">SUBSTITUTE(SUBSTITUTE(SUBSTITUTE(H183,"EIRE","Ireland"),"RSA","South Africa"),"USA","United States")</f>
        <v>Ireland</v>
      </c>
      <c r="L183" s="7" t="str">
        <f aca="false">IF(LEFT(A183,1)="C","Cancel","Sale")</f>
        <v>Sale</v>
      </c>
      <c r="M183" s="7" t="str">
        <f aca="false">IF(G183="","Guest",REPLACE(G183,3,2,"**"))</f>
        <v>14**1</v>
      </c>
      <c r="N183" s="7" t="str">
        <f aca="false">_xlfn.CONCAT(A183,"-",I183)</f>
        <v>568048-23358</v>
      </c>
      <c r="O183" s="7" t="str">
        <f aca="false">LOWER(SUBSTITUTE(TRIM(C183)," ","-"))</f>
        <v>hot-stuff-hot-water-bottle</v>
      </c>
      <c r="P183" s="7" t="n">
        <f aca="false">IF(EXACT(C183,TRIM(C183)),0,1)</f>
        <v>0</v>
      </c>
    </row>
    <row r="184" customFormat="false" ht="15" hidden="false" customHeight="false" outlineLevel="0" collapsed="false">
      <c r="A184" s="0" t="s">
        <v>555</v>
      </c>
      <c r="B184" s="0" t="s">
        <v>488</v>
      </c>
      <c r="C184" s="0" t="s">
        <v>66</v>
      </c>
      <c r="D184" s="0" t="n">
        <v>4</v>
      </c>
      <c r="E184" s="6" t="n">
        <v>40809.5388888889</v>
      </c>
      <c r="F184" s="0" t="n">
        <v>6.63</v>
      </c>
      <c r="H184" s="0" t="s">
        <v>36</v>
      </c>
      <c r="I184" s="7" t="str">
        <f aca="false">UPPER(TRIM(B184))</f>
        <v>85123A</v>
      </c>
      <c r="J184" s="7" t="str">
        <f aca="false">PROPER(TRIM(C184))</f>
        <v>White Hanging Heart T-Light Holder</v>
      </c>
      <c r="K184" s="7" t="str">
        <f aca="false">SUBSTITUTE(SUBSTITUTE(SUBSTITUTE(H184,"EIRE","Ireland"),"RSA","South Africa"),"USA","United States")</f>
        <v>United Kingdom</v>
      </c>
      <c r="L184" s="7" t="str">
        <f aca="false">IF(LEFT(A184,1)="C","Cancel","Sale")</f>
        <v>Sale</v>
      </c>
      <c r="M184" s="7" t="str">
        <f aca="false">IF(G184="","Guest",REPLACE(G184,3,2,"**"))</f>
        <v>Guest</v>
      </c>
      <c r="N184" s="7" t="str">
        <f aca="false">_xlfn.CONCAT(A184,"-",I184)</f>
        <v>568057-85123A</v>
      </c>
      <c r="O184" s="7" t="str">
        <f aca="false">LOWER(SUBSTITUTE(TRIM(C184)," ","-"))</f>
        <v>white-hanging-heart-t-light-holder</v>
      </c>
      <c r="P184" s="7" t="n">
        <f aca="false">IF(EXACT(C184,TRIM(C184)),0,1)</f>
        <v>0</v>
      </c>
    </row>
    <row r="185" customFormat="false" ht="15" hidden="false" customHeight="false" outlineLevel="0" collapsed="false">
      <c r="A185" s="0" t="s">
        <v>556</v>
      </c>
      <c r="B185" s="0" t="s">
        <v>557</v>
      </c>
      <c r="D185" s="0" t="n">
        <v>-2</v>
      </c>
      <c r="E185" s="6" t="n">
        <v>40809.6076388889</v>
      </c>
      <c r="F185" s="0" t="n">
        <v>0</v>
      </c>
      <c r="H185" s="0" t="s">
        <v>36</v>
      </c>
      <c r="I185" s="7" t="str">
        <f aca="false">UPPER(TRIM(B185))</f>
        <v>44236</v>
      </c>
      <c r="J185" s="7" t="str">
        <f aca="false">PROPER(TRIM(C185))</f>
        <v/>
      </c>
      <c r="K185" s="7" t="str">
        <f aca="false">SUBSTITUTE(SUBSTITUTE(SUBSTITUTE(H185,"EIRE","Ireland"),"RSA","South Africa"),"USA","United States")</f>
        <v>United Kingdom</v>
      </c>
      <c r="L185" s="7" t="str">
        <f aca="false">IF(LEFT(A185,1)="C","Cancel","Sale")</f>
        <v>Sale</v>
      </c>
      <c r="M185" s="7" t="str">
        <f aca="false">IF(G185="","Guest",REPLACE(G185,3,2,"**"))</f>
        <v>Guest</v>
      </c>
      <c r="N185" s="7" t="str">
        <f aca="false">_xlfn.CONCAT(A185,"-",I185)</f>
        <v>568080-44236</v>
      </c>
      <c r="O185" s="7" t="str">
        <f aca="false">LOWER(SUBSTITUTE(TRIM(C185)," ","-"))</f>
        <v/>
      </c>
      <c r="P185" s="7" t="n">
        <f aca="false">IF(EXACT(C185,TRIM(C185)),0,1)</f>
        <v>0</v>
      </c>
    </row>
    <row r="186" customFormat="false" ht="15" hidden="false" customHeight="false" outlineLevel="0" collapsed="false">
      <c r="A186" s="0" t="s">
        <v>558</v>
      </c>
      <c r="B186" s="0" t="s">
        <v>559</v>
      </c>
      <c r="C186" s="0" t="s">
        <v>560</v>
      </c>
      <c r="D186" s="0" t="n">
        <v>12</v>
      </c>
      <c r="E186" s="6" t="n">
        <v>40811.5152777778</v>
      </c>
      <c r="F186" s="0" t="n">
        <v>6.35</v>
      </c>
      <c r="G186" s="0" t="n">
        <v>16133</v>
      </c>
      <c r="H186" s="0" t="s">
        <v>36</v>
      </c>
      <c r="I186" s="7" t="str">
        <f aca="false">UPPER(TRIM(B186))</f>
        <v>20749</v>
      </c>
      <c r="J186" s="7" t="str">
        <f aca="false">PROPER(TRIM(C186))</f>
        <v>Assorted Colour Mini Cases</v>
      </c>
      <c r="K186" s="7" t="str">
        <f aca="false">SUBSTITUTE(SUBSTITUTE(SUBSTITUTE(H186,"EIRE","Ireland"),"RSA","South Africa"),"USA","United States")</f>
        <v>United Kingdom</v>
      </c>
      <c r="L186" s="7" t="str">
        <f aca="false">IF(LEFT(A186,1)="C","Cancel","Sale")</f>
        <v>Sale</v>
      </c>
      <c r="M186" s="7" t="str">
        <f aca="false">IF(G186="","Guest",REPLACE(G186,3,2,"**"))</f>
        <v>16**3</v>
      </c>
      <c r="N186" s="7" t="str">
        <f aca="false">_xlfn.CONCAT(A186,"-",I186)</f>
        <v>568158-20749</v>
      </c>
      <c r="O186" s="7" t="str">
        <f aca="false">LOWER(SUBSTITUTE(TRIM(C186)," ","-"))</f>
        <v>assorted-colour-mini-cases</v>
      </c>
      <c r="P186" s="7" t="n">
        <f aca="false">IF(EXACT(C186,TRIM(C186)),0,1)</f>
        <v>0</v>
      </c>
    </row>
    <row r="187" customFormat="false" ht="15" hidden="false" customHeight="false" outlineLevel="0" collapsed="false">
      <c r="A187" s="0" t="s">
        <v>561</v>
      </c>
      <c r="B187" s="0" t="s">
        <v>562</v>
      </c>
      <c r="C187" s="0" t="s">
        <v>563</v>
      </c>
      <c r="D187" s="0" t="n">
        <v>12</v>
      </c>
      <c r="E187" s="6" t="n">
        <v>40812.5333333333</v>
      </c>
      <c r="F187" s="0" t="n">
        <v>1.45</v>
      </c>
      <c r="G187" s="0" t="n">
        <v>14911</v>
      </c>
      <c r="H187" s="0" t="s">
        <v>80</v>
      </c>
      <c r="I187" s="7" t="str">
        <f aca="false">UPPER(TRIM(B187))</f>
        <v>23198</v>
      </c>
      <c r="J187" s="7" t="str">
        <f aca="false">PROPER(TRIM(C187))</f>
        <v>Pantry Magnetic Shopping List</v>
      </c>
      <c r="K187" s="7" t="str">
        <f aca="false">SUBSTITUTE(SUBSTITUTE(SUBSTITUTE(H187,"EIRE","Ireland"),"RSA","South Africa"),"USA","United States")</f>
        <v>Ireland</v>
      </c>
      <c r="L187" s="7" t="str">
        <f aca="false">IF(LEFT(A187,1)="C","Cancel","Sale")</f>
        <v>Sale</v>
      </c>
      <c r="M187" s="7" t="str">
        <f aca="false">IF(G187="","Guest",REPLACE(G187,3,2,"**"))</f>
        <v>14**1</v>
      </c>
      <c r="N187" s="7" t="str">
        <f aca="false">_xlfn.CONCAT(A187,"-",I187)</f>
        <v>568310-23198</v>
      </c>
      <c r="O187" s="7" t="str">
        <f aca="false">LOWER(SUBSTITUTE(TRIM(C187)," ","-"))</f>
        <v>pantry-magnetic-shopping-list</v>
      </c>
      <c r="P187" s="7" t="n">
        <f aca="false">IF(EXACT(C187,TRIM(C187)),0,1)</f>
        <v>1</v>
      </c>
    </row>
    <row r="188" customFormat="false" ht="15" hidden="false" customHeight="false" outlineLevel="0" collapsed="false">
      <c r="A188" s="0" t="s">
        <v>564</v>
      </c>
      <c r="B188" s="0" t="s">
        <v>565</v>
      </c>
      <c r="C188" s="0" t="s">
        <v>566</v>
      </c>
      <c r="D188" s="0" t="n">
        <v>6</v>
      </c>
      <c r="E188" s="6" t="n">
        <v>40815.5888888889</v>
      </c>
      <c r="F188" s="0" t="n">
        <v>2.95</v>
      </c>
      <c r="G188" s="0" t="n">
        <v>15452</v>
      </c>
      <c r="H188" s="0" t="s">
        <v>36</v>
      </c>
      <c r="I188" s="7" t="str">
        <f aca="false">UPPER(TRIM(B188))</f>
        <v>23322</v>
      </c>
      <c r="J188" s="7" t="str">
        <f aca="false">PROPER(TRIM(C188))</f>
        <v>Large White Heart Of Wicker</v>
      </c>
      <c r="K188" s="7" t="str">
        <f aca="false">SUBSTITUTE(SUBSTITUTE(SUBSTITUTE(H188,"EIRE","Ireland"),"RSA","South Africa"),"USA","United States")</f>
        <v>United Kingdom</v>
      </c>
      <c r="L188" s="7" t="str">
        <f aca="false">IF(LEFT(A188,1)="C","Cancel","Sale")</f>
        <v>Sale</v>
      </c>
      <c r="M188" s="7" t="str">
        <f aca="false">IF(G188="","Guest",REPLACE(G188,3,2,"**"))</f>
        <v>15**2</v>
      </c>
      <c r="N188" s="7" t="str">
        <f aca="false">_xlfn.CONCAT(A188,"-",I188)</f>
        <v>568916-23322</v>
      </c>
      <c r="O188" s="7" t="str">
        <f aca="false">LOWER(SUBSTITUTE(TRIM(C188)," ","-"))</f>
        <v>large-white-heart-of-wicker</v>
      </c>
      <c r="P188" s="7" t="n">
        <f aca="false">IF(EXACT(C188,TRIM(C188)),0,1)</f>
        <v>0</v>
      </c>
    </row>
    <row r="189" customFormat="false" ht="15" hidden="false" customHeight="false" outlineLevel="0" collapsed="false">
      <c r="A189" s="0" t="s">
        <v>567</v>
      </c>
      <c r="B189" s="0" t="s">
        <v>444</v>
      </c>
      <c r="C189" s="0" t="s">
        <v>445</v>
      </c>
      <c r="D189" s="0" t="n">
        <v>10</v>
      </c>
      <c r="E189" s="6" t="n">
        <v>40815.6194444444</v>
      </c>
      <c r="F189" s="0" t="n">
        <v>2.08</v>
      </c>
      <c r="G189" s="0" t="n">
        <v>14239</v>
      </c>
      <c r="H189" s="0" t="s">
        <v>36</v>
      </c>
      <c r="I189" s="7" t="str">
        <f aca="false">UPPER(TRIM(B189))</f>
        <v>23344</v>
      </c>
      <c r="J189" s="7" t="str">
        <f aca="false">PROPER(TRIM(C189))</f>
        <v>Jumbo Bag 50'S Christmas</v>
      </c>
      <c r="K189" s="7" t="str">
        <f aca="false">SUBSTITUTE(SUBSTITUTE(SUBSTITUTE(H189,"EIRE","Ireland"),"RSA","South Africa"),"USA","United States")</f>
        <v>United Kingdom</v>
      </c>
      <c r="L189" s="7" t="str">
        <f aca="false">IF(LEFT(A189,1)="C","Cancel","Sale")</f>
        <v>Sale</v>
      </c>
      <c r="M189" s="7" t="str">
        <f aca="false">IF(G189="","Guest",REPLACE(G189,3,2,"**"))</f>
        <v>14**9</v>
      </c>
      <c r="N189" s="7" t="str">
        <f aca="false">_xlfn.CONCAT(A189,"-",I189)</f>
        <v>568945-23344</v>
      </c>
      <c r="O189" s="7" t="str">
        <f aca="false">LOWER(SUBSTITUTE(TRIM(C189)," ","-"))</f>
        <v>jumbo-bag-50's-christmas</v>
      </c>
      <c r="P189" s="7" t="n">
        <f aca="false">IF(EXACT(C189,TRIM(C189)),0,1)</f>
        <v>1</v>
      </c>
    </row>
    <row r="190" customFormat="false" ht="15" hidden="false" customHeight="false" outlineLevel="0" collapsed="false">
      <c r="A190" s="0" t="s">
        <v>568</v>
      </c>
      <c r="B190" s="0" t="s">
        <v>569</v>
      </c>
      <c r="C190" s="0" t="s">
        <v>570</v>
      </c>
      <c r="D190" s="0" t="n">
        <v>6</v>
      </c>
      <c r="E190" s="6" t="n">
        <v>40818.5597222222</v>
      </c>
      <c r="F190" s="0" t="n">
        <v>1.25</v>
      </c>
      <c r="G190" s="0" t="n">
        <v>16007</v>
      </c>
      <c r="H190" s="0" t="s">
        <v>36</v>
      </c>
      <c r="I190" s="7" t="str">
        <f aca="false">UPPER(TRIM(B190))</f>
        <v>21914</v>
      </c>
      <c r="J190" s="7" t="str">
        <f aca="false">PROPER(TRIM(C190))</f>
        <v>Blue Harmonica In Box</v>
      </c>
      <c r="K190" s="7" t="str">
        <f aca="false">SUBSTITUTE(SUBSTITUTE(SUBSTITUTE(H190,"EIRE","Ireland"),"RSA","South Africa"),"USA","United States")</f>
        <v>United Kingdom</v>
      </c>
      <c r="L190" s="7" t="str">
        <f aca="false">IF(LEFT(A190,1)="C","Cancel","Sale")</f>
        <v>Sale</v>
      </c>
      <c r="M190" s="7" t="str">
        <f aca="false">IF(G190="","Guest",REPLACE(G190,3,2,"**"))</f>
        <v>16**7</v>
      </c>
      <c r="N190" s="7" t="str">
        <f aca="false">_xlfn.CONCAT(A190,"-",I190)</f>
        <v>569220-21914</v>
      </c>
      <c r="O190" s="7" t="str">
        <f aca="false">LOWER(SUBSTITUTE(TRIM(C190)," ","-"))</f>
        <v>blue-harmonica-in-box</v>
      </c>
      <c r="P190" s="7" t="n">
        <f aca="false">IF(EXACT(C190,TRIM(C190)),0,1)</f>
        <v>1</v>
      </c>
    </row>
    <row r="191" customFormat="false" ht="15" hidden="false" customHeight="false" outlineLevel="0" collapsed="false">
      <c r="A191" s="0" t="s">
        <v>571</v>
      </c>
      <c r="B191" s="0" t="s">
        <v>572</v>
      </c>
      <c r="C191" s="0" t="s">
        <v>573</v>
      </c>
      <c r="D191" s="0" t="n">
        <v>36</v>
      </c>
      <c r="E191" s="6" t="n">
        <v>40820.38125</v>
      </c>
      <c r="F191" s="0" t="n">
        <v>0.42</v>
      </c>
      <c r="G191" s="0" t="n">
        <v>16253</v>
      </c>
      <c r="H191" s="0" t="s">
        <v>36</v>
      </c>
      <c r="I191" s="7" t="str">
        <f aca="false">UPPER(TRIM(B191))</f>
        <v>21509</v>
      </c>
      <c r="J191" s="7" t="str">
        <f aca="false">PROPER(TRIM(C191))</f>
        <v>Cowboys And Indians Birthday Card</v>
      </c>
      <c r="K191" s="7" t="str">
        <f aca="false">SUBSTITUTE(SUBSTITUTE(SUBSTITUTE(H191,"EIRE","Ireland"),"RSA","South Africa"),"USA","United States")</f>
        <v>United Kingdom</v>
      </c>
      <c r="L191" s="7" t="str">
        <f aca="false">IF(LEFT(A191,1)="C","Cancel","Sale")</f>
        <v>Sale</v>
      </c>
      <c r="M191" s="7" t="str">
        <f aca="false">IF(G191="","Guest",REPLACE(G191,3,2,"**"))</f>
        <v>16**3</v>
      </c>
      <c r="N191" s="7" t="str">
        <f aca="false">_xlfn.CONCAT(A191,"-",I191)</f>
        <v>569406-21509</v>
      </c>
      <c r="O191" s="7" t="str">
        <f aca="false">LOWER(SUBSTITUTE(TRIM(C191)," ","-"))</f>
        <v>cowboys-and-indians-birthday-card</v>
      </c>
      <c r="P191" s="7" t="n">
        <f aca="false">IF(EXACT(C191,TRIM(C191)),0,1)</f>
        <v>1</v>
      </c>
    </row>
    <row r="192" customFormat="false" ht="15" hidden="false" customHeight="false" outlineLevel="0" collapsed="false">
      <c r="A192" s="0" t="s">
        <v>574</v>
      </c>
      <c r="B192" s="0" t="s">
        <v>575</v>
      </c>
      <c r="C192" s="0" t="s">
        <v>576</v>
      </c>
      <c r="D192" s="0" t="n">
        <v>5</v>
      </c>
      <c r="E192" s="6" t="n">
        <v>40820.6923611111</v>
      </c>
      <c r="F192" s="0" t="n">
        <v>0.63</v>
      </c>
      <c r="H192" s="0" t="s">
        <v>36</v>
      </c>
      <c r="I192" s="7" t="str">
        <f aca="false">UPPER(TRIM(B192))</f>
        <v>22337</v>
      </c>
      <c r="J192" s="7" t="str">
        <f aca="false">PROPER(TRIM(C192))</f>
        <v>Angel Decoration Painted Zinc</v>
      </c>
      <c r="K192" s="7" t="str">
        <f aca="false">SUBSTITUTE(SUBSTITUTE(SUBSTITUTE(H192,"EIRE","Ireland"),"RSA","South Africa"),"USA","United States")</f>
        <v>United Kingdom</v>
      </c>
      <c r="L192" s="7" t="str">
        <f aca="false">IF(LEFT(A192,1)="C","Cancel","Sale")</f>
        <v>Sale</v>
      </c>
      <c r="M192" s="7" t="str">
        <f aca="false">IF(G192="","Guest",REPLACE(G192,3,2,"**"))</f>
        <v>Guest</v>
      </c>
      <c r="N192" s="7" t="str">
        <f aca="false">_xlfn.CONCAT(A192,"-",I192)</f>
        <v>569545-22337</v>
      </c>
      <c r="O192" s="7" t="str">
        <f aca="false">LOWER(SUBSTITUTE(TRIM(C192)," ","-"))</f>
        <v>angel-decoration-painted-zinc</v>
      </c>
      <c r="P192" s="7" t="n">
        <f aca="false">IF(EXACT(C192,TRIM(C192)),0,1)</f>
        <v>1</v>
      </c>
    </row>
    <row r="193" customFormat="false" ht="15" hidden="false" customHeight="false" outlineLevel="0" collapsed="false">
      <c r="A193" s="0" t="s">
        <v>577</v>
      </c>
      <c r="B193" s="0" t="s">
        <v>578</v>
      </c>
      <c r="C193" s="0" t="s">
        <v>579</v>
      </c>
      <c r="D193" s="0" t="n">
        <v>12</v>
      </c>
      <c r="E193" s="6" t="n">
        <v>40822.45</v>
      </c>
      <c r="F193" s="0" t="n">
        <v>1.45</v>
      </c>
      <c r="G193" s="0" t="n">
        <v>14911</v>
      </c>
      <c r="H193" s="0" t="s">
        <v>80</v>
      </c>
      <c r="I193" s="7" t="str">
        <f aca="false">UPPER(TRIM(B193))</f>
        <v>23268</v>
      </c>
      <c r="J193" s="7" t="str">
        <f aca="false">PROPER(TRIM(C193))</f>
        <v>Set Of 2 Ceramic Christmas Reindeer</v>
      </c>
      <c r="K193" s="7" t="str">
        <f aca="false">SUBSTITUTE(SUBSTITUTE(SUBSTITUTE(H193,"EIRE","Ireland"),"RSA","South Africa"),"USA","United States")</f>
        <v>Ireland</v>
      </c>
      <c r="L193" s="7" t="str">
        <f aca="false">IF(LEFT(A193,1)="C","Cancel","Sale")</f>
        <v>Sale</v>
      </c>
      <c r="M193" s="7" t="str">
        <f aca="false">IF(G193="","Guest",REPLACE(G193,3,2,"**"))</f>
        <v>14**1</v>
      </c>
      <c r="N193" s="7" t="str">
        <f aca="false">_xlfn.CONCAT(A193,"-",I193)</f>
        <v>569739-23268</v>
      </c>
      <c r="O193" s="7" t="str">
        <f aca="false">LOWER(SUBSTITUTE(TRIM(C193)," ","-"))</f>
        <v>set-of-2-ceramic-christmas-reindeer</v>
      </c>
      <c r="P193" s="7" t="n">
        <f aca="false">IF(EXACT(C193,TRIM(C193)),0,1)</f>
        <v>0</v>
      </c>
    </row>
    <row r="194" customFormat="false" ht="15" hidden="false" customHeight="false" outlineLevel="0" collapsed="false">
      <c r="A194" s="0" t="s">
        <v>580</v>
      </c>
      <c r="B194" s="0" t="s">
        <v>581</v>
      </c>
      <c r="C194" s="0" t="s">
        <v>582</v>
      </c>
      <c r="D194" s="0" t="n">
        <v>1</v>
      </c>
      <c r="E194" s="6" t="n">
        <v>40822.6722222222</v>
      </c>
      <c r="F194" s="0" t="n">
        <v>13.29</v>
      </c>
      <c r="H194" s="0" t="s">
        <v>36</v>
      </c>
      <c r="I194" s="7" t="str">
        <f aca="false">UPPER(TRIM(B194))</f>
        <v>22468</v>
      </c>
      <c r="J194" s="7" t="str">
        <f aca="false">PROPER(TRIM(C194))</f>
        <v>Babushka Lights String Of 10</v>
      </c>
      <c r="K194" s="7" t="str">
        <f aca="false">SUBSTITUTE(SUBSTITUTE(SUBSTITUTE(H194,"EIRE","Ireland"),"RSA","South Africa"),"USA","United States")</f>
        <v>United Kingdom</v>
      </c>
      <c r="L194" s="7" t="str">
        <f aca="false">IF(LEFT(A194,1)="C","Cancel","Sale")</f>
        <v>Sale</v>
      </c>
      <c r="M194" s="7" t="str">
        <f aca="false">IF(G194="","Guest",REPLACE(G194,3,2,"**"))</f>
        <v>Guest</v>
      </c>
      <c r="N194" s="7" t="str">
        <f aca="false">_xlfn.CONCAT(A194,"-",I194)</f>
        <v>569898-22468</v>
      </c>
      <c r="O194" s="7" t="str">
        <f aca="false">LOWER(SUBSTITUTE(TRIM(C194)," ","-"))</f>
        <v>babushka-lights-string-of-10</v>
      </c>
      <c r="P194" s="7" t="n">
        <f aca="false">IF(EXACT(C194,TRIM(C194)),0,1)</f>
        <v>0</v>
      </c>
    </row>
    <row r="195" customFormat="false" ht="15" hidden="false" customHeight="false" outlineLevel="0" collapsed="false">
      <c r="A195" s="0" t="s">
        <v>583</v>
      </c>
      <c r="B195" s="0" t="s">
        <v>493</v>
      </c>
      <c r="C195" s="0" t="s">
        <v>494</v>
      </c>
      <c r="D195" s="0" t="n">
        <v>12</v>
      </c>
      <c r="E195" s="6" t="n">
        <v>40823.3958333333</v>
      </c>
      <c r="F195" s="0" t="n">
        <v>1.25</v>
      </c>
      <c r="G195" s="0" t="n">
        <v>13359</v>
      </c>
      <c r="H195" s="0" t="s">
        <v>36</v>
      </c>
      <c r="I195" s="7" t="str">
        <f aca="false">UPPER(TRIM(B195))</f>
        <v>23350</v>
      </c>
      <c r="J195" s="7" t="str">
        <f aca="false">PROPER(TRIM(C195))</f>
        <v>Roll Wrap Vintage Spot</v>
      </c>
      <c r="K195" s="7" t="str">
        <f aca="false">SUBSTITUTE(SUBSTITUTE(SUBSTITUTE(H195,"EIRE","Ireland"),"RSA","South Africa"),"USA","United States")</f>
        <v>United Kingdom</v>
      </c>
      <c r="L195" s="7" t="str">
        <f aca="false">IF(LEFT(A195,1)="C","Cancel","Sale")</f>
        <v>Sale</v>
      </c>
      <c r="M195" s="7" t="str">
        <f aca="false">IF(G195="","Guest",REPLACE(G195,3,2,"**"))</f>
        <v>13**9</v>
      </c>
      <c r="N195" s="7" t="str">
        <f aca="false">_xlfn.CONCAT(A195,"-",I195)</f>
        <v>570008-23350</v>
      </c>
      <c r="O195" s="7" t="str">
        <f aca="false">LOWER(SUBSTITUTE(TRIM(C195)," ","-"))</f>
        <v>roll-wrap-vintage-spot</v>
      </c>
      <c r="P195" s="7" t="n">
        <f aca="false">IF(EXACT(C195,TRIM(C195)),0,1)</f>
        <v>1</v>
      </c>
    </row>
    <row r="196" customFormat="false" ht="15" hidden="false" customHeight="false" outlineLevel="0" collapsed="false">
      <c r="A196" s="0" t="s">
        <v>584</v>
      </c>
      <c r="B196" s="0" t="s">
        <v>585</v>
      </c>
      <c r="C196" s="0" t="s">
        <v>586</v>
      </c>
      <c r="D196" s="0" t="n">
        <v>6</v>
      </c>
      <c r="E196" s="6" t="n">
        <v>40823.4472222222</v>
      </c>
      <c r="F196" s="0" t="n">
        <v>1.95</v>
      </c>
      <c r="G196" s="0" t="n">
        <v>12740</v>
      </c>
      <c r="H196" s="0" t="s">
        <v>113</v>
      </c>
      <c r="I196" s="7" t="str">
        <f aca="false">UPPER(TRIM(B196))</f>
        <v>22432</v>
      </c>
      <c r="J196" s="7" t="str">
        <f aca="false">PROPER(TRIM(C196))</f>
        <v>Watering Can Pink Bunny</v>
      </c>
      <c r="K196" s="7" t="str">
        <f aca="false">SUBSTITUTE(SUBSTITUTE(SUBSTITUTE(H196,"EIRE","Ireland"),"RSA","South Africa"),"USA","United States")</f>
        <v>France</v>
      </c>
      <c r="L196" s="7" t="str">
        <f aca="false">IF(LEFT(A196,1)="C","Cancel","Sale")</f>
        <v>Sale</v>
      </c>
      <c r="M196" s="7" t="str">
        <f aca="false">IF(G196="","Guest",REPLACE(G196,3,2,"**"))</f>
        <v>12**0</v>
      </c>
      <c r="N196" s="7" t="str">
        <f aca="false">_xlfn.CONCAT(A196,"-",I196)</f>
        <v>570030-22432</v>
      </c>
      <c r="O196" s="7" t="str">
        <f aca="false">LOWER(SUBSTITUTE(TRIM(C196)," ","-"))</f>
        <v>watering-can-pink-bunny</v>
      </c>
      <c r="P196" s="7" t="n">
        <f aca="false">IF(EXACT(C196,TRIM(C196)),0,1)</f>
        <v>0</v>
      </c>
    </row>
    <row r="197" customFormat="false" ht="15" hidden="false" customHeight="false" outlineLevel="0" collapsed="false">
      <c r="A197" s="0" t="s">
        <v>587</v>
      </c>
      <c r="B197" s="0" t="s">
        <v>588</v>
      </c>
      <c r="C197" s="0" t="s">
        <v>589</v>
      </c>
      <c r="D197" s="0" t="n">
        <v>4</v>
      </c>
      <c r="E197" s="6" t="n">
        <v>40823.4763888889</v>
      </c>
      <c r="F197" s="0" t="n">
        <v>8.29</v>
      </c>
      <c r="H197" s="0" t="s">
        <v>36</v>
      </c>
      <c r="I197" s="7" t="str">
        <f aca="false">UPPER(TRIM(B197))</f>
        <v>84997B</v>
      </c>
      <c r="J197" s="7" t="str">
        <f aca="false">PROPER(TRIM(C197))</f>
        <v>Childrens Cutlery Retrospot Red</v>
      </c>
      <c r="K197" s="7" t="str">
        <f aca="false">SUBSTITUTE(SUBSTITUTE(SUBSTITUTE(H197,"EIRE","Ireland"),"RSA","South Africa"),"USA","United States")</f>
        <v>United Kingdom</v>
      </c>
      <c r="L197" s="7" t="str">
        <f aca="false">IF(LEFT(A197,1)="C","Cancel","Sale")</f>
        <v>Sale</v>
      </c>
      <c r="M197" s="7" t="str">
        <f aca="false">IF(G197="","Guest",REPLACE(G197,3,2,"**"))</f>
        <v>Guest</v>
      </c>
      <c r="N197" s="7" t="str">
        <f aca="false">_xlfn.CONCAT(A197,"-",I197)</f>
        <v>570087-84997B</v>
      </c>
      <c r="O197" s="7" t="str">
        <f aca="false">LOWER(SUBSTITUTE(TRIM(C197)," ","-"))</f>
        <v>childrens-cutlery-retrospot-red</v>
      </c>
      <c r="P197" s="7" t="n">
        <f aca="false">IF(EXACT(C197,TRIM(C197)),0,1)</f>
        <v>1</v>
      </c>
    </row>
    <row r="198" customFormat="false" ht="15" hidden="false" customHeight="false" outlineLevel="0" collapsed="false">
      <c r="A198" s="0" t="s">
        <v>590</v>
      </c>
      <c r="B198" s="0" t="s">
        <v>591</v>
      </c>
      <c r="C198" s="0" t="s">
        <v>592</v>
      </c>
      <c r="D198" s="0" t="n">
        <v>2</v>
      </c>
      <c r="E198" s="6" t="n">
        <v>40823.63125</v>
      </c>
      <c r="F198" s="0" t="n">
        <v>1.25</v>
      </c>
      <c r="H198" s="0" t="s">
        <v>36</v>
      </c>
      <c r="I198" s="7" t="str">
        <f aca="false">UPPER(TRIM(B198))</f>
        <v>35471D</v>
      </c>
      <c r="J198" s="7" t="str">
        <f aca="false">PROPER(TRIM(C198))</f>
        <v>Set Of 3 Bird Light Pink Feather</v>
      </c>
      <c r="K198" s="7" t="str">
        <f aca="false">SUBSTITUTE(SUBSTITUTE(SUBSTITUTE(H198,"EIRE","Ireland"),"RSA","South Africa"),"USA","United States")</f>
        <v>United Kingdom</v>
      </c>
      <c r="L198" s="7" t="str">
        <f aca="false">IF(LEFT(A198,1)="C","Cancel","Sale")</f>
        <v>Sale</v>
      </c>
      <c r="M198" s="7" t="str">
        <f aca="false">IF(G198="","Guest",REPLACE(G198,3,2,"**"))</f>
        <v>Guest</v>
      </c>
      <c r="N198" s="7" t="str">
        <f aca="false">_xlfn.CONCAT(A198,"-",I198)</f>
        <v>570187-35471D</v>
      </c>
      <c r="O198" s="7" t="str">
        <f aca="false">LOWER(SUBSTITUTE(TRIM(C198)," ","-"))</f>
        <v>set-of-3-bird-light-pink-feather</v>
      </c>
      <c r="P198" s="7" t="n">
        <f aca="false">IF(EXACT(C198,TRIM(C198)),0,1)</f>
        <v>1</v>
      </c>
    </row>
    <row r="199" customFormat="false" ht="15" hidden="false" customHeight="false" outlineLevel="0" collapsed="false">
      <c r="A199" s="0" t="s">
        <v>593</v>
      </c>
      <c r="B199" s="0" t="s">
        <v>594</v>
      </c>
      <c r="C199" s="0" t="s">
        <v>595</v>
      </c>
      <c r="D199" s="0" t="n">
        <v>12</v>
      </c>
      <c r="E199" s="6" t="n">
        <v>40826.5</v>
      </c>
      <c r="F199" s="0" t="n">
        <v>0.85</v>
      </c>
      <c r="G199" s="0" t="n">
        <v>14128</v>
      </c>
      <c r="H199" s="0" t="s">
        <v>36</v>
      </c>
      <c r="I199" s="7" t="str">
        <f aca="false">UPPER(TRIM(B199))</f>
        <v>23399</v>
      </c>
      <c r="J199" s="7" t="str">
        <f aca="false">PROPER(TRIM(C199))</f>
        <v>Home Sweet Home Hanging Heart</v>
      </c>
      <c r="K199" s="7" t="str">
        <f aca="false">SUBSTITUTE(SUBSTITUTE(SUBSTITUTE(H199,"EIRE","Ireland"),"RSA","South Africa"),"USA","United States")</f>
        <v>United Kingdom</v>
      </c>
      <c r="L199" s="7" t="str">
        <f aca="false">IF(LEFT(A199,1)="C","Cancel","Sale")</f>
        <v>Sale</v>
      </c>
      <c r="M199" s="7" t="str">
        <f aca="false">IF(G199="","Guest",REPLACE(G199,3,2,"**"))</f>
        <v>14**8</v>
      </c>
      <c r="N199" s="7" t="str">
        <f aca="false">_xlfn.CONCAT(A199,"-",I199)</f>
        <v>570293-23399</v>
      </c>
      <c r="O199" s="7" t="str">
        <f aca="false">LOWER(SUBSTITUTE(TRIM(C199)," ","-"))</f>
        <v>home-sweet-home-hanging-heart</v>
      </c>
      <c r="P199" s="7" t="n">
        <f aca="false">IF(EXACT(C199,TRIM(C199)),0,1)</f>
        <v>0</v>
      </c>
    </row>
    <row r="200" customFormat="false" ht="15" hidden="false" customHeight="false" outlineLevel="0" collapsed="false">
      <c r="A200" s="0" t="s">
        <v>596</v>
      </c>
      <c r="B200" s="0" t="s">
        <v>597</v>
      </c>
      <c r="C200" s="0" t="s">
        <v>598</v>
      </c>
      <c r="D200" s="0" t="n">
        <v>6</v>
      </c>
      <c r="E200" s="6" t="n">
        <v>40827.4465277778</v>
      </c>
      <c r="F200" s="0" t="n">
        <v>5.95</v>
      </c>
      <c r="G200" s="0" t="n">
        <v>12371</v>
      </c>
      <c r="H200" s="0" t="s">
        <v>365</v>
      </c>
      <c r="I200" s="7" t="str">
        <f aca="false">UPPER(TRIM(B200))</f>
        <v>23356</v>
      </c>
      <c r="J200" s="7" t="str">
        <f aca="false">PROPER(TRIM(C200))</f>
        <v>Love Hot Water Bottle</v>
      </c>
      <c r="K200" s="7" t="str">
        <f aca="false">SUBSTITUTE(SUBSTITUTE(SUBSTITUTE(H200,"EIRE","Ireland"),"RSA","South Africa"),"USA","United States")</f>
        <v>Switzerland</v>
      </c>
      <c r="L200" s="7" t="str">
        <f aca="false">IF(LEFT(A200,1)="C","Cancel","Sale")</f>
        <v>Sale</v>
      </c>
      <c r="M200" s="7" t="str">
        <f aca="false">IF(G200="","Guest",REPLACE(G200,3,2,"**"))</f>
        <v>12**1</v>
      </c>
      <c r="N200" s="7" t="str">
        <f aca="false">_xlfn.CONCAT(A200,"-",I200)</f>
        <v>570521-23356</v>
      </c>
      <c r="O200" s="7" t="str">
        <f aca="false">LOWER(SUBSTITUTE(TRIM(C200)," ","-"))</f>
        <v>love-hot-water-bottle</v>
      </c>
      <c r="P200" s="7" t="n">
        <f aca="false">IF(EXACT(C200,TRIM(C200)),0,1)</f>
        <v>0</v>
      </c>
    </row>
    <row r="201" customFormat="false" ht="15" hidden="false" customHeight="false" outlineLevel="0" collapsed="false">
      <c r="A201" s="0" t="s">
        <v>599</v>
      </c>
      <c r="B201" s="0" t="s">
        <v>600</v>
      </c>
      <c r="C201" s="0" t="s">
        <v>601</v>
      </c>
      <c r="D201" s="0" t="n">
        <v>1</v>
      </c>
      <c r="E201" s="6" t="n">
        <v>40829.6673611111</v>
      </c>
      <c r="F201" s="0" t="n">
        <v>12.75</v>
      </c>
      <c r="G201" s="0" t="n">
        <v>17614</v>
      </c>
      <c r="H201" s="0" t="s">
        <v>36</v>
      </c>
      <c r="I201" s="7" t="str">
        <f aca="false">UPPER(TRIM(B201))</f>
        <v>85066</v>
      </c>
      <c r="J201" s="7" t="str">
        <f aca="false">PROPER(TRIM(C201))</f>
        <v>Cream Sweetheart Mini Chest</v>
      </c>
      <c r="K201" s="7" t="str">
        <f aca="false">SUBSTITUTE(SUBSTITUTE(SUBSTITUTE(H201,"EIRE","Ireland"),"RSA","South Africa"),"USA","United States")</f>
        <v>United Kingdom</v>
      </c>
      <c r="L201" s="7" t="str">
        <f aca="false">IF(LEFT(A201,1)="C","Cancel","Sale")</f>
        <v>Sale</v>
      </c>
      <c r="M201" s="7" t="str">
        <f aca="false">IF(G201="","Guest",REPLACE(G201,3,2,"**"))</f>
        <v>17**4</v>
      </c>
      <c r="N201" s="7" t="str">
        <f aca="false">_xlfn.CONCAT(A201,"-",I201)</f>
        <v>571105-85066</v>
      </c>
      <c r="O201" s="7" t="str">
        <f aca="false">LOWER(SUBSTITUTE(TRIM(C201)," ","-"))</f>
        <v>cream-sweetheart-mini-chest</v>
      </c>
      <c r="P201" s="7" t="n">
        <f aca="false">IF(EXACT(C201,TRIM(C201)),0,1)</f>
        <v>0</v>
      </c>
    </row>
    <row r="202" customFormat="false" ht="15" hidden="false" customHeight="false" outlineLevel="0" collapsed="false">
      <c r="A202" s="0" t="s">
        <v>602</v>
      </c>
      <c r="B202" s="0" t="s">
        <v>603</v>
      </c>
      <c r="C202" s="0" t="s">
        <v>604</v>
      </c>
      <c r="D202" s="0" t="n">
        <v>6</v>
      </c>
      <c r="E202" s="6" t="n">
        <v>40830.6208333333</v>
      </c>
      <c r="F202" s="0" t="n">
        <v>3.75</v>
      </c>
      <c r="G202" s="0" t="n">
        <v>12744</v>
      </c>
      <c r="H202" s="0" t="s">
        <v>605</v>
      </c>
      <c r="I202" s="7" t="str">
        <f aca="false">UPPER(TRIM(B202))</f>
        <v>23229</v>
      </c>
      <c r="J202" s="7" t="str">
        <f aca="false">PROPER(TRIM(C202))</f>
        <v>Vintage Donkey Tail Game</v>
      </c>
      <c r="K202" s="7" t="str">
        <f aca="false">SUBSTITUTE(SUBSTITUTE(SUBSTITUTE(H202,"EIRE","Ireland"),"RSA","South Africa"),"USA","United States")</f>
        <v>Singapore</v>
      </c>
      <c r="L202" s="7" t="str">
        <f aca="false">IF(LEFT(A202,1)="C","Cancel","Sale")</f>
        <v>Sale</v>
      </c>
      <c r="M202" s="7" t="str">
        <f aca="false">IF(G202="","Guest",REPLACE(G202,3,2,"**"))</f>
        <v>12**4</v>
      </c>
      <c r="N202" s="7" t="str">
        <f aca="false">_xlfn.CONCAT(A202,"-",I202)</f>
        <v>571239-23229</v>
      </c>
      <c r="O202" s="7" t="str">
        <f aca="false">LOWER(SUBSTITUTE(TRIM(C202)," ","-"))</f>
        <v>vintage-donkey-tail-game</v>
      </c>
      <c r="P202" s="7" t="n">
        <f aca="false">IF(EXACT(C202,TRIM(C202)),0,1)</f>
        <v>1</v>
      </c>
    </row>
    <row r="203" customFormat="false" ht="15" hidden="false" customHeight="false" outlineLevel="0" collapsed="false">
      <c r="A203" s="0" t="s">
        <v>606</v>
      </c>
      <c r="B203" s="0" t="s">
        <v>607</v>
      </c>
      <c r="C203" s="0" t="s">
        <v>608</v>
      </c>
      <c r="D203" s="0" t="n">
        <v>4</v>
      </c>
      <c r="E203" s="6" t="n">
        <v>40830.6430555556</v>
      </c>
      <c r="F203" s="0" t="n">
        <v>4.15</v>
      </c>
      <c r="G203" s="0" t="n">
        <v>14595</v>
      </c>
      <c r="H203" s="0" t="s">
        <v>36</v>
      </c>
      <c r="I203" s="7" t="str">
        <f aca="false">UPPER(TRIM(B203))</f>
        <v>23388</v>
      </c>
      <c r="J203" s="7" t="str">
        <f aca="false">PROPER(TRIM(C203))</f>
        <v>Woodland Mini Backpack</v>
      </c>
      <c r="K203" s="7" t="str">
        <f aca="false">SUBSTITUTE(SUBSTITUTE(SUBSTITUTE(H203,"EIRE","Ireland"),"RSA","South Africa"),"USA","United States")</f>
        <v>United Kingdom</v>
      </c>
      <c r="L203" s="7" t="str">
        <f aca="false">IF(LEFT(A203,1)="C","Cancel","Sale")</f>
        <v>Sale</v>
      </c>
      <c r="M203" s="7" t="str">
        <f aca="false">IF(G203="","Guest",REPLACE(G203,3,2,"**"))</f>
        <v>14**5</v>
      </c>
      <c r="N203" s="7" t="str">
        <f aca="false">_xlfn.CONCAT(A203,"-",I203)</f>
        <v>571243-23388</v>
      </c>
      <c r="O203" s="7" t="str">
        <f aca="false">LOWER(SUBSTITUTE(TRIM(C203)," ","-"))</f>
        <v>woodland-mini-backpack</v>
      </c>
      <c r="P203" s="7" t="n">
        <f aca="false">IF(EXACT(C203,TRIM(C203)),0,1)</f>
        <v>0</v>
      </c>
    </row>
    <row r="204" customFormat="false" ht="15" hidden="false" customHeight="false" outlineLevel="0" collapsed="false">
      <c r="A204" s="0" t="s">
        <v>609</v>
      </c>
      <c r="B204" s="0" t="s">
        <v>610</v>
      </c>
      <c r="C204" s="0" t="s">
        <v>611</v>
      </c>
      <c r="D204" s="0" t="n">
        <v>24</v>
      </c>
      <c r="E204" s="6" t="n">
        <v>40832.6472222222</v>
      </c>
      <c r="F204" s="0" t="n">
        <v>3.75</v>
      </c>
      <c r="G204" s="0" t="n">
        <v>17183</v>
      </c>
      <c r="H204" s="0" t="s">
        <v>36</v>
      </c>
      <c r="I204" s="7" t="str">
        <f aca="false">UPPER(TRIM(B204))</f>
        <v>84029G</v>
      </c>
      <c r="J204" s="7" t="str">
        <f aca="false">PROPER(TRIM(C204))</f>
        <v>Knitted Union Flag Hot Water Bottle</v>
      </c>
      <c r="K204" s="7" t="str">
        <f aca="false">SUBSTITUTE(SUBSTITUTE(SUBSTITUTE(H204,"EIRE","Ireland"),"RSA","South Africa"),"USA","United States")</f>
        <v>United Kingdom</v>
      </c>
      <c r="L204" s="7" t="str">
        <f aca="false">IF(LEFT(A204,1)="C","Cancel","Sale")</f>
        <v>Sale</v>
      </c>
      <c r="M204" s="7" t="str">
        <f aca="false">IF(G204="","Guest",REPLACE(G204,3,2,"**"))</f>
        <v>17**3</v>
      </c>
      <c r="N204" s="7" t="str">
        <f aca="false">_xlfn.CONCAT(A204,"-",I204)</f>
        <v>571290-84029G</v>
      </c>
      <c r="O204" s="7" t="str">
        <f aca="false">LOWER(SUBSTITUTE(TRIM(C204)," ","-"))</f>
        <v>knitted-union-flag-hot-water-bottle</v>
      </c>
      <c r="P204" s="7" t="n">
        <f aca="false">IF(EXACT(C204,TRIM(C204)),0,1)</f>
        <v>0</v>
      </c>
    </row>
    <row r="205" customFormat="false" ht="15" hidden="false" customHeight="false" outlineLevel="0" collapsed="false">
      <c r="A205" s="0" t="s">
        <v>612</v>
      </c>
      <c r="B205" s="0" t="s">
        <v>613</v>
      </c>
      <c r="C205" s="0" t="s">
        <v>614</v>
      </c>
      <c r="D205" s="0" t="n">
        <v>12</v>
      </c>
      <c r="E205" s="6" t="n">
        <v>40833.4236111111</v>
      </c>
      <c r="F205" s="0" t="n">
        <v>1.25</v>
      </c>
      <c r="G205" s="0" t="n">
        <v>12475</v>
      </c>
      <c r="H205" s="0" t="s">
        <v>325</v>
      </c>
      <c r="I205" s="7" t="str">
        <f aca="false">UPPER(TRIM(B205))</f>
        <v>21915</v>
      </c>
      <c r="J205" s="7" t="str">
        <f aca="false">PROPER(TRIM(C205))</f>
        <v>Red Harmonica In Box</v>
      </c>
      <c r="K205" s="7" t="str">
        <f aca="false">SUBSTITUTE(SUBSTITUTE(SUBSTITUTE(H205,"EIRE","Ireland"),"RSA","South Africa"),"USA","United States")</f>
        <v>Germany</v>
      </c>
      <c r="L205" s="7" t="str">
        <f aca="false">IF(LEFT(A205,1)="C","Cancel","Sale")</f>
        <v>Sale</v>
      </c>
      <c r="M205" s="7" t="str">
        <f aca="false">IF(G205="","Guest",REPLACE(G205,3,2,"**"))</f>
        <v>12**5</v>
      </c>
      <c r="N205" s="7" t="str">
        <f aca="false">_xlfn.CONCAT(A205,"-",I205)</f>
        <v>571308-21915</v>
      </c>
      <c r="O205" s="7" t="str">
        <f aca="false">LOWER(SUBSTITUTE(TRIM(C205)," ","-"))</f>
        <v>red-harmonica-in-box</v>
      </c>
      <c r="P205" s="7" t="n">
        <f aca="false">IF(EXACT(C205,TRIM(C205)),0,1)</f>
        <v>1</v>
      </c>
    </row>
    <row r="206" customFormat="false" ht="15" hidden="false" customHeight="false" outlineLevel="0" collapsed="false">
      <c r="A206" s="0" t="s">
        <v>615</v>
      </c>
      <c r="B206" s="0" t="s">
        <v>616</v>
      </c>
      <c r="C206" s="0" t="s">
        <v>617</v>
      </c>
      <c r="D206" s="0" t="n">
        <v>1</v>
      </c>
      <c r="E206" s="6" t="n">
        <v>40833.6125</v>
      </c>
      <c r="F206" s="0" t="n">
        <v>0.42</v>
      </c>
      <c r="G206" s="0" t="n">
        <v>15033</v>
      </c>
      <c r="H206" s="0" t="s">
        <v>36</v>
      </c>
      <c r="I206" s="7" t="str">
        <f aca="false">UPPER(TRIM(B206))</f>
        <v>21703</v>
      </c>
      <c r="J206" s="7" t="str">
        <f aca="false">PROPER(TRIM(C206))</f>
        <v>Bag 125G Swirly Marbles</v>
      </c>
      <c r="K206" s="7" t="str">
        <f aca="false">SUBSTITUTE(SUBSTITUTE(SUBSTITUTE(H206,"EIRE","Ireland"),"RSA","South Africa"),"USA","United States")</f>
        <v>United Kingdom</v>
      </c>
      <c r="L206" s="7" t="str">
        <f aca="false">IF(LEFT(A206,1)="C","Cancel","Sale")</f>
        <v>Sale</v>
      </c>
      <c r="M206" s="7" t="str">
        <f aca="false">IF(G206="","Guest",REPLACE(G206,3,2,"**"))</f>
        <v>15**3</v>
      </c>
      <c r="N206" s="7" t="str">
        <f aca="false">_xlfn.CONCAT(A206,"-",I206)</f>
        <v>571475-21703</v>
      </c>
      <c r="O206" s="7" t="str">
        <f aca="false">LOWER(SUBSTITUTE(TRIM(C206)," ","-"))</f>
        <v>bag-125g-swirly-marbles</v>
      </c>
      <c r="P206" s="7" t="n">
        <f aca="false">IF(EXACT(C206,TRIM(C206)),0,1)</f>
        <v>0</v>
      </c>
    </row>
    <row r="207" customFormat="false" ht="15" hidden="false" customHeight="false" outlineLevel="0" collapsed="false">
      <c r="A207" s="0" t="s">
        <v>618</v>
      </c>
      <c r="B207" s="0" t="s">
        <v>619</v>
      </c>
      <c r="C207" s="0" t="s">
        <v>620</v>
      </c>
      <c r="D207" s="0" t="n">
        <v>4</v>
      </c>
      <c r="E207" s="6" t="n">
        <v>40834.4534722222</v>
      </c>
      <c r="F207" s="0" t="n">
        <v>2.55</v>
      </c>
      <c r="G207" s="0" t="n">
        <v>17073</v>
      </c>
      <c r="H207" s="0" t="s">
        <v>36</v>
      </c>
      <c r="I207" s="7" t="str">
        <f aca="false">UPPER(TRIM(B207))</f>
        <v>21587</v>
      </c>
      <c r="J207" s="7" t="str">
        <f aca="false">PROPER(TRIM(C207))</f>
        <v>Cosy Hour Giant Tube Matches</v>
      </c>
      <c r="K207" s="7" t="str">
        <f aca="false">SUBSTITUTE(SUBSTITUTE(SUBSTITUTE(H207,"EIRE","Ireland"),"RSA","South Africa"),"USA","United States")</f>
        <v>United Kingdom</v>
      </c>
      <c r="L207" s="7" t="str">
        <f aca="false">IF(LEFT(A207,1)="C","Cancel","Sale")</f>
        <v>Sale</v>
      </c>
      <c r="M207" s="7" t="str">
        <f aca="false">IF(G207="","Guest",REPLACE(G207,3,2,"**"))</f>
        <v>17**3</v>
      </c>
      <c r="N207" s="7" t="str">
        <f aca="false">_xlfn.CONCAT(A207,"-",I207)</f>
        <v>571601-21587</v>
      </c>
      <c r="O207" s="7" t="str">
        <f aca="false">LOWER(SUBSTITUTE(TRIM(C207)," ","-"))</f>
        <v>cosy-hour-giant-tube-matches</v>
      </c>
      <c r="P207" s="7" t="n">
        <f aca="false">IF(EXACT(C207,TRIM(C207)),0,1)</f>
        <v>0</v>
      </c>
    </row>
    <row r="208" customFormat="false" ht="15" hidden="false" customHeight="false" outlineLevel="0" collapsed="false">
      <c r="A208" s="0" t="s">
        <v>621</v>
      </c>
      <c r="B208" s="0" t="s">
        <v>622</v>
      </c>
      <c r="C208" s="0" t="s">
        <v>623</v>
      </c>
      <c r="D208" s="0" t="n">
        <v>6</v>
      </c>
      <c r="E208" s="6" t="n">
        <v>40834.5118055556</v>
      </c>
      <c r="F208" s="0" t="n">
        <v>6.25</v>
      </c>
      <c r="G208" s="0" t="n">
        <v>14298</v>
      </c>
      <c r="H208" s="0" t="s">
        <v>36</v>
      </c>
      <c r="I208" s="7" t="str">
        <f aca="false">UPPER(TRIM(B208))</f>
        <v>23531</v>
      </c>
      <c r="J208" s="7" t="str">
        <f aca="false">PROPER(TRIM(C208))</f>
        <v>Wall Art Big Love</v>
      </c>
      <c r="K208" s="7" t="str">
        <f aca="false">SUBSTITUTE(SUBSTITUTE(SUBSTITUTE(H208,"EIRE","Ireland"),"RSA","South Africa"),"USA","United States")</f>
        <v>United Kingdom</v>
      </c>
      <c r="L208" s="7" t="str">
        <f aca="false">IF(LEFT(A208,1)="C","Cancel","Sale")</f>
        <v>Sale</v>
      </c>
      <c r="M208" s="7" t="str">
        <f aca="false">IF(G208="","Guest",REPLACE(G208,3,2,"**"))</f>
        <v>14**8</v>
      </c>
      <c r="N208" s="7" t="str">
        <f aca="false">_xlfn.CONCAT(A208,"-",I208)</f>
        <v>571653-23531</v>
      </c>
      <c r="O208" s="7" t="str">
        <f aca="false">LOWER(SUBSTITUTE(TRIM(C208)," ","-"))</f>
        <v>wall-art-big-love</v>
      </c>
      <c r="P208" s="7" t="n">
        <f aca="false">IF(EXACT(C208,TRIM(C208)),0,1)</f>
        <v>1</v>
      </c>
    </row>
    <row r="209" customFormat="false" ht="15" hidden="false" customHeight="false" outlineLevel="0" collapsed="false">
      <c r="A209" s="0" t="s">
        <v>624</v>
      </c>
      <c r="B209" s="0" t="s">
        <v>625</v>
      </c>
      <c r="C209" s="0" t="s">
        <v>626</v>
      </c>
      <c r="D209" s="0" t="n">
        <v>1</v>
      </c>
      <c r="E209" s="6" t="n">
        <v>40834.5618055556</v>
      </c>
      <c r="F209" s="0" t="n">
        <v>4.95</v>
      </c>
      <c r="G209" s="0" t="n">
        <v>16910</v>
      </c>
      <c r="H209" s="0" t="s">
        <v>36</v>
      </c>
      <c r="I209" s="7" t="str">
        <f aca="false">UPPER(TRIM(B209))</f>
        <v>21485</v>
      </c>
      <c r="J209" s="7" t="str">
        <f aca="false">PROPER(TRIM(C209))</f>
        <v>Retrospot Heart Hot Water Bottle</v>
      </c>
      <c r="K209" s="7" t="str">
        <f aca="false">SUBSTITUTE(SUBSTITUTE(SUBSTITUTE(H209,"EIRE","Ireland"),"RSA","South Africa"),"USA","United States")</f>
        <v>United Kingdom</v>
      </c>
      <c r="L209" s="7" t="str">
        <f aca="false">IF(LEFT(A209,1)="C","Cancel","Sale")</f>
        <v>Sale</v>
      </c>
      <c r="M209" s="7" t="str">
        <f aca="false">IF(G209="","Guest",REPLACE(G209,3,2,"**"))</f>
        <v>16**0</v>
      </c>
      <c r="N209" s="7" t="str">
        <f aca="false">_xlfn.CONCAT(A209,"-",I209)</f>
        <v>571676-21485</v>
      </c>
      <c r="O209" s="7" t="str">
        <f aca="false">LOWER(SUBSTITUTE(TRIM(C209)," ","-"))</f>
        <v>retrospot-heart-hot-water-bottle</v>
      </c>
      <c r="P209" s="7" t="n">
        <f aca="false">IF(EXACT(C209,TRIM(C209)),0,1)</f>
        <v>0</v>
      </c>
    </row>
    <row r="210" customFormat="false" ht="15" hidden="false" customHeight="false" outlineLevel="0" collapsed="false">
      <c r="A210" s="0" t="s">
        <v>627</v>
      </c>
      <c r="B210" s="0" t="s">
        <v>628</v>
      </c>
      <c r="C210" s="0" t="s">
        <v>629</v>
      </c>
      <c r="D210" s="0" t="n">
        <v>60</v>
      </c>
      <c r="E210" s="6" t="n">
        <v>40836.5020833333</v>
      </c>
      <c r="F210" s="0" t="n">
        <v>2.1</v>
      </c>
      <c r="G210" s="0" t="n">
        <v>14646</v>
      </c>
      <c r="H210" s="0" t="s">
        <v>123</v>
      </c>
      <c r="I210" s="7" t="str">
        <f aca="false">UPPER(TRIM(B210))</f>
        <v>21559</v>
      </c>
      <c r="J210" s="7" t="str">
        <f aca="false">PROPER(TRIM(C210))</f>
        <v>Strawberry Lunch Box With Cutlery</v>
      </c>
      <c r="K210" s="7" t="str">
        <f aca="false">SUBSTITUTE(SUBSTITUTE(SUBSTITUTE(H210,"EIRE","Ireland"),"RSA","South Africa"),"USA","United States")</f>
        <v>Netherlands</v>
      </c>
      <c r="L210" s="7" t="str">
        <f aca="false">IF(LEFT(A210,1)="C","Cancel","Sale")</f>
        <v>Sale</v>
      </c>
      <c r="M210" s="7" t="str">
        <f aca="false">IF(G210="","Guest",REPLACE(G210,3,2,"**"))</f>
        <v>14**6</v>
      </c>
      <c r="N210" s="7" t="str">
        <f aca="false">_xlfn.CONCAT(A210,"-",I210)</f>
        <v>572035-21559</v>
      </c>
      <c r="O210" s="7" t="str">
        <f aca="false">LOWER(SUBSTITUTE(TRIM(C210)," ","-"))</f>
        <v>strawberry-lunch-box-with-cutlery</v>
      </c>
      <c r="P210" s="7" t="n">
        <f aca="false">IF(EXACT(C210,TRIM(C210)),0,1)</f>
        <v>0</v>
      </c>
    </row>
    <row r="211" customFormat="false" ht="15" hidden="false" customHeight="false" outlineLevel="0" collapsed="false">
      <c r="A211" s="0" t="s">
        <v>630</v>
      </c>
      <c r="B211" s="0" t="s">
        <v>292</v>
      </c>
      <c r="C211" s="0" t="s">
        <v>293</v>
      </c>
      <c r="D211" s="0" t="n">
        <v>1</v>
      </c>
      <c r="E211" s="6" t="n">
        <v>40836.5395833333</v>
      </c>
      <c r="F211" s="0" t="n">
        <v>8.25</v>
      </c>
      <c r="G211" s="0" t="n">
        <v>14606</v>
      </c>
      <c r="H211" s="0" t="s">
        <v>36</v>
      </c>
      <c r="I211" s="7" t="str">
        <f aca="false">UPPER(TRIM(B211))</f>
        <v>48187</v>
      </c>
      <c r="J211" s="7" t="str">
        <f aca="false">PROPER(TRIM(C211))</f>
        <v>Doormat New England</v>
      </c>
      <c r="K211" s="7" t="str">
        <f aca="false">SUBSTITUTE(SUBSTITUTE(SUBSTITUTE(H211,"EIRE","Ireland"),"RSA","South Africa"),"USA","United States")</f>
        <v>United Kingdom</v>
      </c>
      <c r="L211" s="7" t="str">
        <f aca="false">IF(LEFT(A211,1)="C","Cancel","Sale")</f>
        <v>Sale</v>
      </c>
      <c r="M211" s="7" t="str">
        <f aca="false">IF(G211="","Guest",REPLACE(G211,3,2,"**"))</f>
        <v>14**6</v>
      </c>
      <c r="N211" s="7" t="str">
        <f aca="false">_xlfn.CONCAT(A211,"-",I211)</f>
        <v>572063-48187</v>
      </c>
      <c r="O211" s="7" t="str">
        <f aca="false">LOWER(SUBSTITUTE(TRIM(C211)," ","-"))</f>
        <v>doormat-new-england</v>
      </c>
      <c r="P211" s="7" t="n">
        <f aca="false">IF(EXACT(C211,TRIM(C211)),0,1)</f>
        <v>0</v>
      </c>
    </row>
    <row r="212" customFormat="false" ht="15" hidden="false" customHeight="false" outlineLevel="0" collapsed="false">
      <c r="A212" s="0" t="s">
        <v>631</v>
      </c>
      <c r="B212" s="0" t="s">
        <v>44</v>
      </c>
      <c r="C212" s="0" t="s">
        <v>45</v>
      </c>
      <c r="D212" s="0" t="n">
        <v>2</v>
      </c>
      <c r="E212" s="6" t="n">
        <v>40839.5055555556</v>
      </c>
      <c r="F212" s="0" t="n">
        <v>2.25</v>
      </c>
      <c r="G212" s="0" t="n">
        <v>16744</v>
      </c>
      <c r="H212" s="0" t="s">
        <v>36</v>
      </c>
      <c r="I212" s="7" t="str">
        <f aca="false">UPPER(TRIM(B212))</f>
        <v>21578</v>
      </c>
      <c r="J212" s="7" t="str">
        <f aca="false">PROPER(TRIM(C212))</f>
        <v>Woodland Design Cotton Tote Bag</v>
      </c>
      <c r="K212" s="7" t="str">
        <f aca="false">SUBSTITUTE(SUBSTITUTE(SUBSTITUTE(H212,"EIRE","Ireland"),"RSA","South Africa"),"USA","United States")</f>
        <v>United Kingdom</v>
      </c>
      <c r="L212" s="7" t="str">
        <f aca="false">IF(LEFT(A212,1)="C","Cancel","Sale")</f>
        <v>Sale</v>
      </c>
      <c r="M212" s="7" t="str">
        <f aca="false">IF(G212="","Guest",REPLACE(G212,3,2,"**"))</f>
        <v>16**4</v>
      </c>
      <c r="N212" s="7" t="str">
        <f aca="false">_xlfn.CONCAT(A212,"-",I212)</f>
        <v>572284-21578</v>
      </c>
      <c r="O212" s="7" t="str">
        <f aca="false">LOWER(SUBSTITUTE(TRIM(C212)," ","-"))</f>
        <v>woodland-design-cotton-tote-bag</v>
      </c>
      <c r="P212" s="7" t="n">
        <f aca="false">IF(EXACT(C212,TRIM(C212)),0,1)</f>
        <v>1</v>
      </c>
    </row>
    <row r="213" customFormat="false" ht="15" hidden="false" customHeight="false" outlineLevel="0" collapsed="false">
      <c r="A213" s="0" t="s">
        <v>632</v>
      </c>
      <c r="B213" s="0" t="s">
        <v>633</v>
      </c>
      <c r="C213" s="0" t="s">
        <v>634</v>
      </c>
      <c r="D213" s="0" t="n">
        <v>6</v>
      </c>
      <c r="E213" s="6" t="n">
        <v>40839.5319444445</v>
      </c>
      <c r="F213" s="0" t="n">
        <v>0.39</v>
      </c>
      <c r="G213" s="0" t="n">
        <v>16931</v>
      </c>
      <c r="H213" s="0" t="s">
        <v>36</v>
      </c>
      <c r="I213" s="7" t="str">
        <f aca="false">UPPER(TRIM(B213))</f>
        <v>21823</v>
      </c>
      <c r="J213" s="7" t="str">
        <f aca="false">PROPER(TRIM(C213))</f>
        <v>Painted Metal Heart With Holly Bell</v>
      </c>
      <c r="K213" s="7" t="str">
        <f aca="false">SUBSTITUTE(SUBSTITUTE(SUBSTITUTE(H213,"EIRE","Ireland"),"RSA","South Africa"),"USA","United States")</f>
        <v>United Kingdom</v>
      </c>
      <c r="L213" s="7" t="str">
        <f aca="false">IF(LEFT(A213,1)="C","Cancel","Sale")</f>
        <v>Sale</v>
      </c>
      <c r="M213" s="7" t="str">
        <f aca="false">IF(G213="","Guest",REPLACE(G213,3,2,"**"))</f>
        <v>16**1</v>
      </c>
      <c r="N213" s="7" t="str">
        <f aca="false">_xlfn.CONCAT(A213,"-",I213)</f>
        <v>572291-21823</v>
      </c>
      <c r="O213" s="7" t="str">
        <f aca="false">LOWER(SUBSTITUTE(TRIM(C213)," ","-"))</f>
        <v>painted-metal-heart-with-holly-bell</v>
      </c>
      <c r="P213" s="7" t="n">
        <f aca="false">IF(EXACT(C213,TRIM(C213)),0,1)</f>
        <v>0</v>
      </c>
    </row>
    <row r="214" customFormat="false" ht="15" hidden="false" customHeight="false" outlineLevel="0" collapsed="false">
      <c r="A214" s="0" t="s">
        <v>635</v>
      </c>
      <c r="B214" s="0" t="s">
        <v>597</v>
      </c>
      <c r="C214" s="0" t="s">
        <v>598</v>
      </c>
      <c r="D214" s="0" t="n">
        <v>1</v>
      </c>
      <c r="E214" s="6" t="n">
        <v>40839.6576388889</v>
      </c>
      <c r="F214" s="0" t="n">
        <v>5.95</v>
      </c>
      <c r="G214" s="0" t="n">
        <v>15022</v>
      </c>
      <c r="H214" s="0" t="s">
        <v>36</v>
      </c>
      <c r="I214" s="7" t="str">
        <f aca="false">UPPER(TRIM(B214))</f>
        <v>23356</v>
      </c>
      <c r="J214" s="7" t="str">
        <f aca="false">PROPER(TRIM(C214))</f>
        <v>Love Hot Water Bottle</v>
      </c>
      <c r="K214" s="7" t="str">
        <f aca="false">SUBSTITUTE(SUBSTITUTE(SUBSTITUTE(H214,"EIRE","Ireland"),"RSA","South Africa"),"USA","United States")</f>
        <v>United Kingdom</v>
      </c>
      <c r="L214" s="7" t="str">
        <f aca="false">IF(LEFT(A214,1)="C","Cancel","Sale")</f>
        <v>Sale</v>
      </c>
      <c r="M214" s="7" t="str">
        <f aca="false">IF(G214="","Guest",REPLACE(G214,3,2,"**"))</f>
        <v>15**2</v>
      </c>
      <c r="N214" s="7" t="str">
        <f aca="false">_xlfn.CONCAT(A214,"-",I214)</f>
        <v>572312-23356</v>
      </c>
      <c r="O214" s="7" t="str">
        <f aca="false">LOWER(SUBSTITUTE(TRIM(C214)," ","-"))</f>
        <v>love-hot-water-bottle</v>
      </c>
      <c r="P214" s="7" t="n">
        <f aca="false">IF(EXACT(C214,TRIM(C214)),0,1)</f>
        <v>0</v>
      </c>
    </row>
    <row r="215" customFormat="false" ht="15" hidden="false" customHeight="false" outlineLevel="0" collapsed="false">
      <c r="A215" s="0" t="s">
        <v>636</v>
      </c>
      <c r="B215" s="0" t="s">
        <v>637</v>
      </c>
      <c r="C215" s="0" t="s">
        <v>638</v>
      </c>
      <c r="D215" s="0" t="n">
        <v>1</v>
      </c>
      <c r="E215" s="6" t="n">
        <v>40840.4284722222</v>
      </c>
      <c r="F215" s="0" t="n">
        <v>1.95</v>
      </c>
      <c r="G215" s="0" t="n">
        <v>16426</v>
      </c>
      <c r="H215" s="0" t="s">
        <v>36</v>
      </c>
      <c r="I215" s="7" t="str">
        <f aca="false">UPPER(TRIM(B215))</f>
        <v>22433</v>
      </c>
      <c r="J215" s="7" t="str">
        <f aca="false">PROPER(TRIM(C215))</f>
        <v>Watering Can Green Dinosaur</v>
      </c>
      <c r="K215" s="7" t="str">
        <f aca="false">SUBSTITUTE(SUBSTITUTE(SUBSTITUTE(H215,"EIRE","Ireland"),"RSA","South Africa"),"USA","United States")</f>
        <v>United Kingdom</v>
      </c>
      <c r="L215" s="7" t="str">
        <f aca="false">IF(LEFT(A215,1)="C","Cancel","Sale")</f>
        <v>Sale</v>
      </c>
      <c r="M215" s="7" t="str">
        <f aca="false">IF(G215="","Guest",REPLACE(G215,3,2,"**"))</f>
        <v>16**6</v>
      </c>
      <c r="N215" s="7" t="str">
        <f aca="false">_xlfn.CONCAT(A215,"-",I215)</f>
        <v>572330-22433</v>
      </c>
      <c r="O215" s="7" t="str">
        <f aca="false">LOWER(SUBSTITUTE(TRIM(C215)," ","-"))</f>
        <v>watering-can-green-dinosaur</v>
      </c>
      <c r="P215" s="7" t="n">
        <f aca="false">IF(EXACT(C215,TRIM(C215)),0,1)</f>
        <v>0</v>
      </c>
    </row>
    <row r="216" customFormat="false" ht="15" hidden="false" customHeight="false" outlineLevel="0" collapsed="false">
      <c r="A216" s="0" t="s">
        <v>639</v>
      </c>
      <c r="B216" s="0" t="s">
        <v>640</v>
      </c>
      <c r="C216" s="0" t="s">
        <v>641</v>
      </c>
      <c r="D216" s="0" t="n">
        <v>9</v>
      </c>
      <c r="E216" s="6" t="n">
        <v>40840.7131944444</v>
      </c>
      <c r="F216" s="0" t="n">
        <v>0.83</v>
      </c>
      <c r="G216" s="0" t="n">
        <v>14096</v>
      </c>
      <c r="H216" s="0" t="s">
        <v>36</v>
      </c>
      <c r="I216" s="7" t="str">
        <f aca="false">UPPER(TRIM(B216))</f>
        <v>51014L</v>
      </c>
      <c r="J216" s="7" t="str">
        <f aca="false">PROPER(TRIM(C216))</f>
        <v>Feather Pen,Light Pink</v>
      </c>
      <c r="K216" s="7" t="str">
        <f aca="false">SUBSTITUTE(SUBSTITUTE(SUBSTITUTE(H216,"EIRE","Ireland"),"RSA","South Africa"),"USA","United States")</f>
        <v>United Kingdom</v>
      </c>
      <c r="L216" s="7" t="str">
        <f aca="false">IF(LEFT(A216,1)="C","Cancel","Sale")</f>
        <v>Sale</v>
      </c>
      <c r="M216" s="7" t="str">
        <f aca="false">IF(G216="","Guest",REPLACE(G216,3,2,"**"))</f>
        <v>14**6</v>
      </c>
      <c r="N216" s="7" t="str">
        <f aca="false">_xlfn.CONCAT(A216,"-",I216)</f>
        <v>572552-51014L</v>
      </c>
      <c r="O216" s="7" t="str">
        <f aca="false">LOWER(SUBSTITUTE(TRIM(C216)," ","-"))</f>
        <v>feather-pen,light-pink</v>
      </c>
      <c r="P216" s="7" t="n">
        <f aca="false">IF(EXACT(C216,TRIM(C216)),0,1)</f>
        <v>0</v>
      </c>
    </row>
    <row r="217" customFormat="false" ht="15" hidden="false" customHeight="false" outlineLevel="0" collapsed="false">
      <c r="A217" s="0" t="s">
        <v>642</v>
      </c>
      <c r="B217" s="0" t="s">
        <v>643</v>
      </c>
      <c r="C217" s="0" t="s">
        <v>644</v>
      </c>
      <c r="D217" s="0" t="n">
        <v>24</v>
      </c>
      <c r="E217" s="6" t="n">
        <v>40842.4270833333</v>
      </c>
      <c r="F217" s="0" t="n">
        <v>2.1</v>
      </c>
      <c r="G217" s="0" t="n">
        <v>14051</v>
      </c>
      <c r="H217" s="0" t="s">
        <v>36</v>
      </c>
      <c r="I217" s="7" t="str">
        <f aca="false">UPPER(TRIM(B217))</f>
        <v>22633</v>
      </c>
      <c r="J217" s="7" t="str">
        <f aca="false">PROPER(TRIM(C217))</f>
        <v>Hand Warmer Union Jack</v>
      </c>
      <c r="K217" s="7" t="str">
        <f aca="false">SUBSTITUTE(SUBSTITUTE(SUBSTITUTE(H217,"EIRE","Ireland"),"RSA","South Africa"),"USA","United States")</f>
        <v>United Kingdom</v>
      </c>
      <c r="L217" s="7" t="str">
        <f aca="false">IF(LEFT(A217,1)="C","Cancel","Sale")</f>
        <v>Sale</v>
      </c>
      <c r="M217" s="7" t="str">
        <f aca="false">IF(G217="","Guest",REPLACE(G217,3,2,"**"))</f>
        <v>14**1</v>
      </c>
      <c r="N217" s="7" t="str">
        <f aca="false">_xlfn.CONCAT(A217,"-",I217)</f>
        <v>572769-22633</v>
      </c>
      <c r="O217" s="7" t="str">
        <f aca="false">LOWER(SUBSTITUTE(TRIM(C217)," ","-"))</f>
        <v>hand-warmer-union-jack</v>
      </c>
      <c r="P217" s="7" t="n">
        <f aca="false">IF(EXACT(C217,TRIM(C217)),0,1)</f>
        <v>0</v>
      </c>
    </row>
    <row r="218" customFormat="false" ht="15" hidden="false" customHeight="false" outlineLevel="0" collapsed="false">
      <c r="A218" s="0" t="s">
        <v>645</v>
      </c>
      <c r="B218" s="0" t="s">
        <v>646</v>
      </c>
      <c r="C218" s="0" t="s">
        <v>647</v>
      </c>
      <c r="D218" s="0" t="n">
        <v>6</v>
      </c>
      <c r="E218" s="6" t="n">
        <v>40842.5097222222</v>
      </c>
      <c r="F218" s="0" t="n">
        <v>2.49</v>
      </c>
      <c r="G218" s="0" t="n">
        <v>14550</v>
      </c>
      <c r="H218" s="0" t="s">
        <v>36</v>
      </c>
      <c r="I218" s="7" t="str">
        <f aca="false">UPPER(TRIM(B218))</f>
        <v>23319</v>
      </c>
      <c r="J218" s="7" t="str">
        <f aca="false">PROPER(TRIM(C218))</f>
        <v>Box Of 6 Mini 50'S Crackers</v>
      </c>
      <c r="K218" s="7" t="str">
        <f aca="false">SUBSTITUTE(SUBSTITUTE(SUBSTITUTE(H218,"EIRE","Ireland"),"RSA","South Africa"),"USA","United States")</f>
        <v>United Kingdom</v>
      </c>
      <c r="L218" s="7" t="str">
        <f aca="false">IF(LEFT(A218,1)="C","Cancel","Sale")</f>
        <v>Sale</v>
      </c>
      <c r="M218" s="7" t="str">
        <f aca="false">IF(G218="","Guest",REPLACE(G218,3,2,"**"))</f>
        <v>14**0</v>
      </c>
      <c r="N218" s="7" t="str">
        <f aca="false">_xlfn.CONCAT(A218,"-",I218)</f>
        <v>572846-23319</v>
      </c>
      <c r="O218" s="7" t="str">
        <f aca="false">LOWER(SUBSTITUTE(TRIM(C218)," ","-"))</f>
        <v>box-of-6-mini-50's-crackers</v>
      </c>
      <c r="P218" s="7" t="n">
        <f aca="false">IF(EXACT(C218,TRIM(C218)),0,1)</f>
        <v>0</v>
      </c>
    </row>
    <row r="219" customFormat="false" ht="15" hidden="false" customHeight="false" outlineLevel="0" collapsed="false">
      <c r="A219" s="0" t="s">
        <v>648</v>
      </c>
      <c r="B219" s="0" t="s">
        <v>469</v>
      </c>
      <c r="C219" s="0" t="s">
        <v>649</v>
      </c>
      <c r="D219" s="0" t="n">
        <v>5</v>
      </c>
      <c r="E219" s="6" t="n">
        <v>40842.5548611111</v>
      </c>
      <c r="F219" s="0" t="n">
        <v>1.25</v>
      </c>
      <c r="G219" s="0" t="n">
        <v>14598</v>
      </c>
      <c r="H219" s="0" t="s">
        <v>36</v>
      </c>
      <c r="I219" s="7" t="str">
        <f aca="false">UPPER(TRIM(B219))</f>
        <v>23436</v>
      </c>
      <c r="J219" s="7" t="str">
        <f aca="false">PROPER(TRIM(C219))</f>
        <v>Vintage Christmas Gift Bag Large</v>
      </c>
      <c r="K219" s="7" t="str">
        <f aca="false">SUBSTITUTE(SUBSTITUTE(SUBSTITUTE(H219,"EIRE","Ireland"),"RSA","South Africa"),"USA","United States")</f>
        <v>United Kingdom</v>
      </c>
      <c r="L219" s="7" t="str">
        <f aca="false">IF(LEFT(A219,1)="C","Cancel","Sale")</f>
        <v>Sale</v>
      </c>
      <c r="M219" s="7" t="str">
        <f aca="false">IF(G219="","Guest",REPLACE(G219,3,2,"**"))</f>
        <v>14**8</v>
      </c>
      <c r="N219" s="7" t="str">
        <f aca="false">_xlfn.CONCAT(A219,"-",I219)</f>
        <v>572867-23436</v>
      </c>
      <c r="O219" s="7" t="str">
        <f aca="false">LOWER(SUBSTITUTE(TRIM(C219)," ","-"))</f>
        <v>vintage-christmas-gift-bag-large</v>
      </c>
      <c r="P219" s="7" t="n">
        <f aca="false">IF(EXACT(C219,TRIM(C219)),0,1)</f>
        <v>1</v>
      </c>
    </row>
    <row r="220" customFormat="false" ht="15" hidden="false" customHeight="false" outlineLevel="0" collapsed="false">
      <c r="A220" s="0" t="s">
        <v>650</v>
      </c>
      <c r="B220" s="0" t="s">
        <v>651</v>
      </c>
      <c r="C220" s="0" t="s">
        <v>652</v>
      </c>
      <c r="D220" s="0" t="n">
        <v>1</v>
      </c>
      <c r="E220" s="6" t="n">
        <v>40843.6590277778</v>
      </c>
      <c r="F220" s="0" t="n">
        <v>2.49</v>
      </c>
      <c r="G220" s="0" t="n">
        <v>14525</v>
      </c>
      <c r="H220" s="0" t="s">
        <v>36</v>
      </c>
      <c r="I220" s="7" t="str">
        <f aca="false">UPPER(TRIM(B220))</f>
        <v>23163</v>
      </c>
      <c r="J220" s="7" t="str">
        <f aca="false">PROPER(TRIM(C220))</f>
        <v>Regency Sugar Tongs</v>
      </c>
      <c r="K220" s="7" t="str">
        <f aca="false">SUBSTITUTE(SUBSTITUTE(SUBSTITUTE(H220,"EIRE","Ireland"),"RSA","South Africa"),"USA","United States")</f>
        <v>United Kingdom</v>
      </c>
      <c r="L220" s="7" t="str">
        <f aca="false">IF(LEFT(A220,1)="C","Cancel","Sale")</f>
        <v>Sale</v>
      </c>
      <c r="M220" s="7" t="str">
        <f aca="false">IF(G220="","Guest",REPLACE(G220,3,2,"**"))</f>
        <v>14**5</v>
      </c>
      <c r="N220" s="7" t="str">
        <f aca="false">_xlfn.CONCAT(A220,"-",I220)</f>
        <v>573116-23163</v>
      </c>
      <c r="O220" s="7" t="str">
        <f aca="false">LOWER(SUBSTITUTE(TRIM(C220)," ","-"))</f>
        <v>regency-sugar-tongs</v>
      </c>
      <c r="P220" s="7" t="n">
        <f aca="false">IF(EXACT(C220,TRIM(C220)),0,1)</f>
        <v>0</v>
      </c>
    </row>
    <row r="221" customFormat="false" ht="15" hidden="false" customHeight="false" outlineLevel="0" collapsed="false">
      <c r="A221" s="0" t="s">
        <v>653</v>
      </c>
      <c r="B221" s="0" t="s">
        <v>654</v>
      </c>
      <c r="C221" s="0" t="s">
        <v>655</v>
      </c>
      <c r="D221" s="0" t="n">
        <v>36</v>
      </c>
      <c r="E221" s="6" t="n">
        <v>40844.5444444444</v>
      </c>
      <c r="F221" s="0" t="n">
        <v>1.45</v>
      </c>
      <c r="G221" s="0" t="n">
        <v>12678</v>
      </c>
      <c r="H221" s="0" t="s">
        <v>113</v>
      </c>
      <c r="I221" s="7" t="str">
        <f aca="false">UPPER(TRIM(B221))</f>
        <v>23497</v>
      </c>
      <c r="J221" s="7" t="str">
        <f aca="false">PROPER(TRIM(C221))</f>
        <v>Classic Chrome Bicycle Bell</v>
      </c>
      <c r="K221" s="7" t="str">
        <f aca="false">SUBSTITUTE(SUBSTITUTE(SUBSTITUTE(H221,"EIRE","Ireland"),"RSA","South Africa"),"USA","United States")</f>
        <v>France</v>
      </c>
      <c r="L221" s="7" t="str">
        <f aca="false">IF(LEFT(A221,1)="C","Cancel","Sale")</f>
        <v>Sale</v>
      </c>
      <c r="M221" s="7" t="str">
        <f aca="false">IF(G221="","Guest",REPLACE(G221,3,2,"**"))</f>
        <v>12**8</v>
      </c>
      <c r="N221" s="7" t="str">
        <f aca="false">_xlfn.CONCAT(A221,"-",I221)</f>
        <v>573273-23497</v>
      </c>
      <c r="O221" s="7" t="str">
        <f aca="false">LOWER(SUBSTITUTE(TRIM(C221)," ","-"))</f>
        <v>classic-chrome-bicycle-bell</v>
      </c>
      <c r="P221" s="7" t="n">
        <f aca="false">IF(EXACT(C221,TRIM(C221)),0,1)</f>
        <v>1</v>
      </c>
    </row>
    <row r="222" customFormat="false" ht="15" hidden="false" customHeight="false" outlineLevel="0" collapsed="false">
      <c r="A222" s="0" t="s">
        <v>656</v>
      </c>
      <c r="B222" s="0" t="s">
        <v>657</v>
      </c>
      <c r="C222" s="0" t="s">
        <v>658</v>
      </c>
      <c r="D222" s="0" t="n">
        <v>12</v>
      </c>
      <c r="E222" s="6" t="n">
        <v>40844.6736111111</v>
      </c>
      <c r="F222" s="0" t="n">
        <v>1.25</v>
      </c>
      <c r="G222" s="0" t="n">
        <v>16049</v>
      </c>
      <c r="H222" s="0" t="s">
        <v>36</v>
      </c>
      <c r="I222" s="7" t="str">
        <f aca="false">UPPER(TRIM(B222))</f>
        <v>85035C</v>
      </c>
      <c r="J222" s="7" t="str">
        <f aca="false">PROPER(TRIM(C222))</f>
        <v>Rose 3 Wick Morris Box Candle</v>
      </c>
      <c r="K222" s="7" t="str">
        <f aca="false">SUBSTITUTE(SUBSTITUTE(SUBSTITUTE(H222,"EIRE","Ireland"),"RSA","South Africa"),"USA","United States")</f>
        <v>United Kingdom</v>
      </c>
      <c r="L222" s="7" t="str">
        <f aca="false">IF(LEFT(A222,1)="C","Cancel","Sale")</f>
        <v>Sale</v>
      </c>
      <c r="M222" s="7" t="str">
        <f aca="false">IF(G222="","Guest",REPLACE(G222,3,2,"**"))</f>
        <v>16**9</v>
      </c>
      <c r="N222" s="7" t="str">
        <f aca="false">_xlfn.CONCAT(A222,"-",I222)</f>
        <v>573300-85035C</v>
      </c>
      <c r="O222" s="7" t="str">
        <f aca="false">LOWER(SUBSTITUTE(TRIM(C222)," ","-"))</f>
        <v>rose-3-wick-morris-box-candle</v>
      </c>
      <c r="P222" s="7" t="n">
        <f aca="false">IF(EXACT(C222,TRIM(C222)),0,1)</f>
        <v>0</v>
      </c>
    </row>
    <row r="223" customFormat="false" ht="15" hidden="false" customHeight="false" outlineLevel="0" collapsed="false">
      <c r="A223" s="0" t="s">
        <v>659</v>
      </c>
      <c r="B223" s="0" t="s">
        <v>660</v>
      </c>
      <c r="C223" s="0" t="s">
        <v>661</v>
      </c>
      <c r="D223" s="0" t="n">
        <v>3</v>
      </c>
      <c r="E223" s="6" t="n">
        <v>40846.4541666667</v>
      </c>
      <c r="F223" s="0" t="n">
        <v>1.45</v>
      </c>
      <c r="G223" s="0" t="n">
        <v>15708</v>
      </c>
      <c r="H223" s="0" t="s">
        <v>36</v>
      </c>
      <c r="I223" s="7" t="str">
        <f aca="false">UPPER(TRIM(B223))</f>
        <v>23197</v>
      </c>
      <c r="J223" s="7" t="str">
        <f aca="false">PROPER(TRIM(C223))</f>
        <v>Sketchbook Magnetic Shopping List</v>
      </c>
      <c r="K223" s="7" t="str">
        <f aca="false">SUBSTITUTE(SUBSTITUTE(SUBSTITUTE(H223,"EIRE","Ireland"),"RSA","South Africa"),"USA","United States")</f>
        <v>United Kingdom</v>
      </c>
      <c r="L223" s="7" t="str">
        <f aca="false">IF(LEFT(A223,1)="C","Cancel","Sale")</f>
        <v>Sale</v>
      </c>
      <c r="M223" s="7" t="str">
        <f aca="false">IF(G223="","Guest",REPLACE(G223,3,2,"**"))</f>
        <v>15**8</v>
      </c>
      <c r="N223" s="7" t="str">
        <f aca="false">_xlfn.CONCAT(A223,"-",I223)</f>
        <v>573323-23197</v>
      </c>
      <c r="O223" s="7" t="str">
        <f aca="false">LOWER(SUBSTITUTE(TRIM(C223)," ","-"))</f>
        <v>sketchbook-magnetic-shopping-list</v>
      </c>
      <c r="P223" s="7" t="n">
        <f aca="false">IF(EXACT(C223,TRIM(C223)),0,1)</f>
        <v>0</v>
      </c>
    </row>
    <row r="224" customFormat="false" ht="15" hidden="false" customHeight="false" outlineLevel="0" collapsed="false">
      <c r="A224" s="0" t="s">
        <v>659</v>
      </c>
      <c r="B224" s="0" t="s">
        <v>662</v>
      </c>
      <c r="C224" s="0" t="s">
        <v>663</v>
      </c>
      <c r="D224" s="0" t="n">
        <v>1</v>
      </c>
      <c r="E224" s="6" t="n">
        <v>40846.4541666667</v>
      </c>
      <c r="F224" s="0" t="n">
        <v>4.95</v>
      </c>
      <c r="G224" s="0" t="n">
        <v>15708</v>
      </c>
      <c r="H224" s="0" t="s">
        <v>36</v>
      </c>
      <c r="I224" s="7" t="str">
        <f aca="false">UPPER(TRIM(B224))</f>
        <v>23532</v>
      </c>
      <c r="J224" s="7" t="str">
        <f aca="false">PROPER(TRIM(C224))</f>
        <v>Wall Art Work Rest And Play</v>
      </c>
      <c r="K224" s="7" t="str">
        <f aca="false">SUBSTITUTE(SUBSTITUTE(SUBSTITUTE(H224,"EIRE","Ireland"),"RSA","South Africa"),"USA","United States")</f>
        <v>United Kingdom</v>
      </c>
      <c r="L224" s="7" t="str">
        <f aca="false">IF(LEFT(A224,1)="C","Cancel","Sale")</f>
        <v>Sale</v>
      </c>
      <c r="M224" s="7" t="str">
        <f aca="false">IF(G224="","Guest",REPLACE(G224,3,2,"**"))</f>
        <v>15**8</v>
      </c>
      <c r="N224" s="7" t="str">
        <f aca="false">_xlfn.CONCAT(A224,"-",I224)</f>
        <v>573323-23532</v>
      </c>
      <c r="O224" s="7" t="str">
        <f aca="false">LOWER(SUBSTITUTE(TRIM(C224)," ","-"))</f>
        <v>wall-art-work-rest-and-play</v>
      </c>
      <c r="P224" s="7" t="n">
        <f aca="false">IF(EXACT(C224,TRIM(C224)),0,1)</f>
        <v>1</v>
      </c>
    </row>
    <row r="225" customFormat="false" ht="15" hidden="false" customHeight="false" outlineLevel="0" collapsed="false">
      <c r="A225" s="0" t="s">
        <v>664</v>
      </c>
      <c r="B225" s="0" t="s">
        <v>665</v>
      </c>
      <c r="C225" s="0" t="s">
        <v>666</v>
      </c>
      <c r="D225" s="0" t="n">
        <v>10</v>
      </c>
      <c r="E225" s="6" t="n">
        <v>40846.5458333333</v>
      </c>
      <c r="F225" s="0" t="n">
        <v>2.08</v>
      </c>
      <c r="G225" s="0" t="n">
        <v>12597</v>
      </c>
      <c r="H225" s="0" t="s">
        <v>103</v>
      </c>
      <c r="I225" s="7" t="str">
        <f aca="false">UPPER(TRIM(B225))</f>
        <v>20712</v>
      </c>
      <c r="J225" s="7" t="str">
        <f aca="false">PROPER(TRIM(C225))</f>
        <v>Jumbo Bag Woodland Animals</v>
      </c>
      <c r="K225" s="7" t="str">
        <f aca="false">SUBSTITUTE(SUBSTITUTE(SUBSTITUTE(H225,"EIRE","Ireland"),"RSA","South Africa"),"USA","United States")</f>
        <v>Spain</v>
      </c>
      <c r="L225" s="7" t="str">
        <f aca="false">IF(LEFT(A225,1)="C","Cancel","Sale")</f>
        <v>Sale</v>
      </c>
      <c r="M225" s="7" t="str">
        <f aca="false">IF(G225="","Guest",REPLACE(G225,3,2,"**"))</f>
        <v>12**7</v>
      </c>
      <c r="N225" s="7" t="str">
        <f aca="false">_xlfn.CONCAT(A225,"-",I225)</f>
        <v>573362-20712</v>
      </c>
      <c r="O225" s="7" t="str">
        <f aca="false">LOWER(SUBSTITUTE(TRIM(C225)," ","-"))</f>
        <v>jumbo-bag-woodland-animals</v>
      </c>
      <c r="P225" s="7" t="n">
        <f aca="false">IF(EXACT(C225,TRIM(C225)),0,1)</f>
        <v>0</v>
      </c>
    </row>
    <row r="226" customFormat="false" ht="15" hidden="false" customHeight="false" outlineLevel="0" collapsed="false">
      <c r="A226" s="0" t="s">
        <v>667</v>
      </c>
      <c r="B226" s="0" t="s">
        <v>668</v>
      </c>
      <c r="C226" s="0" t="s">
        <v>669</v>
      </c>
      <c r="D226" s="0" t="n">
        <v>5</v>
      </c>
      <c r="E226" s="6" t="n">
        <v>40847.4284722222</v>
      </c>
      <c r="F226" s="0" t="n">
        <v>8.29</v>
      </c>
      <c r="H226" s="0" t="s">
        <v>36</v>
      </c>
      <c r="I226" s="7" t="str">
        <f aca="false">UPPER(TRIM(B226))</f>
        <v>22726</v>
      </c>
      <c r="J226" s="7" t="str">
        <f aca="false">PROPER(TRIM(C226))</f>
        <v>Alarm Clock Bakelike Green</v>
      </c>
      <c r="K226" s="7" t="str">
        <f aca="false">SUBSTITUTE(SUBSTITUTE(SUBSTITUTE(H226,"EIRE","Ireland"),"RSA","South Africa"),"USA","United States")</f>
        <v>United Kingdom</v>
      </c>
      <c r="L226" s="7" t="str">
        <f aca="false">IF(LEFT(A226,1)="C","Cancel","Sale")</f>
        <v>Sale</v>
      </c>
      <c r="M226" s="7" t="str">
        <f aca="false">IF(G226="","Guest",REPLACE(G226,3,2,"**"))</f>
        <v>Guest</v>
      </c>
      <c r="N226" s="7" t="str">
        <f aca="false">_xlfn.CONCAT(A226,"-",I226)</f>
        <v>573426-22726</v>
      </c>
      <c r="O226" s="7" t="str">
        <f aca="false">LOWER(SUBSTITUTE(TRIM(C226)," ","-"))</f>
        <v>alarm-clock-bakelike-green</v>
      </c>
      <c r="P226" s="7" t="n">
        <f aca="false">IF(EXACT(C226,TRIM(C226)),0,1)</f>
        <v>0</v>
      </c>
    </row>
    <row r="227" customFormat="false" ht="15" hidden="false" customHeight="false" outlineLevel="0" collapsed="false">
      <c r="A227" s="0" t="s">
        <v>670</v>
      </c>
      <c r="B227" s="0" t="s">
        <v>671</v>
      </c>
      <c r="C227" s="0" t="s">
        <v>672</v>
      </c>
      <c r="D227" s="0" t="n">
        <v>8</v>
      </c>
      <c r="E227" s="6" t="n">
        <v>40847.5173611111</v>
      </c>
      <c r="F227" s="0" t="n">
        <v>3.75</v>
      </c>
      <c r="G227" s="0" t="n">
        <v>12347</v>
      </c>
      <c r="H227" s="0" t="s">
        <v>673</v>
      </c>
      <c r="I227" s="7" t="str">
        <f aca="false">UPPER(TRIM(B227))</f>
        <v>22725</v>
      </c>
      <c r="J227" s="7" t="str">
        <f aca="false">PROPER(TRIM(C227))</f>
        <v>Alarm Clock Bakelike Chocolate</v>
      </c>
      <c r="K227" s="7" t="str">
        <f aca="false">SUBSTITUTE(SUBSTITUTE(SUBSTITUTE(H227,"EIRE","Ireland"),"RSA","South Africa"),"USA","United States")</f>
        <v>Iceland</v>
      </c>
      <c r="L227" s="7" t="str">
        <f aca="false">IF(LEFT(A227,1)="C","Cancel","Sale")</f>
        <v>Sale</v>
      </c>
      <c r="M227" s="7" t="str">
        <f aca="false">IF(G227="","Guest",REPLACE(G227,3,2,"**"))</f>
        <v>12**7</v>
      </c>
      <c r="N227" s="7" t="str">
        <f aca="false">_xlfn.CONCAT(A227,"-",I227)</f>
        <v>573511-22725</v>
      </c>
      <c r="O227" s="7" t="str">
        <f aca="false">LOWER(SUBSTITUTE(TRIM(C227)," ","-"))</f>
        <v>alarm-clock-bakelike-chocolate</v>
      </c>
      <c r="P227" s="7" t="n">
        <f aca="false">IF(EXACT(C227,TRIM(C227)),0,1)</f>
        <v>0</v>
      </c>
    </row>
    <row r="228" customFormat="false" ht="15" hidden="false" customHeight="false" outlineLevel="0" collapsed="false">
      <c r="A228" s="0" t="s">
        <v>674</v>
      </c>
      <c r="B228" s="0" t="s">
        <v>675</v>
      </c>
      <c r="C228" s="0" t="s">
        <v>676</v>
      </c>
      <c r="D228" s="0" t="n">
        <v>2</v>
      </c>
      <c r="E228" s="6" t="n">
        <v>40847.5451388889</v>
      </c>
      <c r="F228" s="0" t="n">
        <v>2.08</v>
      </c>
      <c r="G228" s="0" t="n">
        <v>17777</v>
      </c>
      <c r="H228" s="0" t="s">
        <v>36</v>
      </c>
      <c r="I228" s="7" t="str">
        <f aca="false">UPPER(TRIM(B228))</f>
        <v>23408</v>
      </c>
      <c r="J228" s="7" t="str">
        <f aca="false">PROPER(TRIM(C228))</f>
        <v>Photo Frame Linen And Lace Small</v>
      </c>
      <c r="K228" s="7" t="str">
        <f aca="false">SUBSTITUTE(SUBSTITUTE(SUBSTITUTE(H228,"EIRE","Ireland"),"RSA","South Africa"),"USA","United States")</f>
        <v>United Kingdom</v>
      </c>
      <c r="L228" s="7" t="str">
        <f aca="false">IF(LEFT(A228,1)="C","Cancel","Sale")</f>
        <v>Sale</v>
      </c>
      <c r="M228" s="7" t="str">
        <f aca="false">IF(G228="","Guest",REPLACE(G228,3,2,"**"))</f>
        <v>17**7</v>
      </c>
      <c r="N228" s="7" t="str">
        <f aca="false">_xlfn.CONCAT(A228,"-",I228)</f>
        <v>573543-23408</v>
      </c>
      <c r="O228" s="7" t="str">
        <f aca="false">LOWER(SUBSTITUTE(TRIM(C228)," ","-"))</f>
        <v>photo-frame-linen-and-lace-small</v>
      </c>
      <c r="P228" s="7" t="n">
        <f aca="false">IF(EXACT(C228,TRIM(C228)),0,1)</f>
        <v>0</v>
      </c>
    </row>
    <row r="229" customFormat="false" ht="15" hidden="false" customHeight="false" outlineLevel="0" collapsed="false">
      <c r="A229" s="0" t="s">
        <v>677</v>
      </c>
      <c r="B229" s="0" t="s">
        <v>305</v>
      </c>
      <c r="C229" s="0" t="s">
        <v>306</v>
      </c>
      <c r="D229" s="0" t="n">
        <v>2</v>
      </c>
      <c r="E229" s="6" t="n">
        <v>40847.5979166667</v>
      </c>
      <c r="F229" s="0" t="n">
        <v>8.29</v>
      </c>
      <c r="H229" s="0" t="s">
        <v>36</v>
      </c>
      <c r="I229" s="7" t="str">
        <f aca="false">UPPER(TRIM(B229))</f>
        <v>47566B</v>
      </c>
      <c r="J229" s="7" t="str">
        <f aca="false">PROPER(TRIM(C229))</f>
        <v>Tea Time Party Bunting</v>
      </c>
      <c r="K229" s="7" t="str">
        <f aca="false">SUBSTITUTE(SUBSTITUTE(SUBSTITUTE(H229,"EIRE","Ireland"),"RSA","South Africa"),"USA","United States")</f>
        <v>United Kingdom</v>
      </c>
      <c r="L229" s="7" t="str">
        <f aca="false">IF(LEFT(A229,1)="C","Cancel","Sale")</f>
        <v>Sale</v>
      </c>
      <c r="M229" s="7" t="str">
        <f aca="false">IF(G229="","Guest",REPLACE(G229,3,2,"**"))</f>
        <v>Guest</v>
      </c>
      <c r="N229" s="7" t="str">
        <f aca="false">_xlfn.CONCAT(A229,"-",I229)</f>
        <v>573580-47566B</v>
      </c>
      <c r="O229" s="7" t="str">
        <f aca="false">LOWER(SUBSTITUTE(TRIM(C229)," ","-"))</f>
        <v>tea-time-party-bunting</v>
      </c>
      <c r="P229" s="7" t="n">
        <f aca="false">IF(EXACT(C229,TRIM(C229)),0,1)</f>
        <v>0</v>
      </c>
    </row>
    <row r="230" customFormat="false" ht="15" hidden="false" customHeight="false" outlineLevel="0" collapsed="false">
      <c r="A230" s="0" t="s">
        <v>678</v>
      </c>
      <c r="B230" s="0" t="s">
        <v>679</v>
      </c>
      <c r="C230" s="0" t="s">
        <v>680</v>
      </c>
      <c r="D230" s="0" t="n">
        <v>7</v>
      </c>
      <c r="E230" s="6" t="n">
        <v>40847.6118055556</v>
      </c>
      <c r="F230" s="0" t="n">
        <v>0.83</v>
      </c>
      <c r="H230" s="0" t="s">
        <v>36</v>
      </c>
      <c r="I230" s="7" t="str">
        <f aca="false">UPPER(TRIM(B230))</f>
        <v>22995</v>
      </c>
      <c r="J230" s="7" t="str">
        <f aca="false">PROPER(TRIM(C230))</f>
        <v>Travel Card Wallet Suki</v>
      </c>
      <c r="K230" s="7" t="str">
        <f aca="false">SUBSTITUTE(SUBSTITUTE(SUBSTITUTE(H230,"EIRE","Ireland"),"RSA","South Africa"),"USA","United States")</f>
        <v>United Kingdom</v>
      </c>
      <c r="L230" s="7" t="str">
        <f aca="false">IF(LEFT(A230,1)="C","Cancel","Sale")</f>
        <v>Sale</v>
      </c>
      <c r="M230" s="7" t="str">
        <f aca="false">IF(G230="","Guest",REPLACE(G230,3,2,"**"))</f>
        <v>Guest</v>
      </c>
      <c r="N230" s="7" t="str">
        <f aca="false">_xlfn.CONCAT(A230,"-",I230)</f>
        <v>573585-22995</v>
      </c>
      <c r="O230" s="7" t="str">
        <f aca="false">LOWER(SUBSTITUTE(TRIM(C230)," ","-"))</f>
        <v>travel-card-wallet-suki</v>
      </c>
      <c r="P230" s="7" t="n">
        <f aca="false">IF(EXACT(C230,TRIM(C230)),0,1)</f>
        <v>0</v>
      </c>
    </row>
    <row r="231" customFormat="false" ht="15" hidden="false" customHeight="false" outlineLevel="0" collapsed="false">
      <c r="A231" s="0" t="s">
        <v>678</v>
      </c>
      <c r="B231" s="0" t="s">
        <v>681</v>
      </c>
      <c r="C231" s="0" t="s">
        <v>682</v>
      </c>
      <c r="D231" s="0" t="n">
        <v>1</v>
      </c>
      <c r="E231" s="6" t="n">
        <v>40847.6118055556</v>
      </c>
      <c r="F231" s="0" t="n">
        <v>9.15</v>
      </c>
      <c r="H231" s="0" t="s">
        <v>36</v>
      </c>
      <c r="I231" s="7" t="str">
        <f aca="false">UPPER(TRIM(B231))</f>
        <v>90184C</v>
      </c>
      <c r="J231" s="7" t="str">
        <f aca="false">PROPER(TRIM(C231))</f>
        <v>Black Chunky Bead Bracelet W Strap</v>
      </c>
      <c r="K231" s="7" t="str">
        <f aca="false">SUBSTITUTE(SUBSTITUTE(SUBSTITUTE(H231,"EIRE","Ireland"),"RSA","South Africa"),"USA","United States")</f>
        <v>United Kingdom</v>
      </c>
      <c r="L231" s="7" t="str">
        <f aca="false">IF(LEFT(A231,1)="C","Cancel","Sale")</f>
        <v>Sale</v>
      </c>
      <c r="M231" s="7" t="str">
        <f aca="false">IF(G231="","Guest",REPLACE(G231,3,2,"**"))</f>
        <v>Guest</v>
      </c>
      <c r="N231" s="7" t="str">
        <f aca="false">_xlfn.CONCAT(A231,"-",I231)</f>
        <v>573585-90184C</v>
      </c>
      <c r="O231" s="7" t="str">
        <f aca="false">LOWER(SUBSTITUTE(TRIM(C231)," ","-"))</f>
        <v>black-chunky-bead-bracelet-w-strap</v>
      </c>
      <c r="P231" s="7" t="n">
        <f aca="false">IF(EXACT(C231,TRIM(C231)),0,1)</f>
        <v>0</v>
      </c>
    </row>
    <row r="232" customFormat="false" ht="15" hidden="false" customHeight="false" outlineLevel="0" collapsed="false">
      <c r="A232" s="0" t="s">
        <v>683</v>
      </c>
      <c r="B232" s="0" t="s">
        <v>684</v>
      </c>
      <c r="C232" s="0" t="s">
        <v>685</v>
      </c>
      <c r="D232" s="0" t="n">
        <v>6</v>
      </c>
      <c r="E232" s="6" t="n">
        <v>40848.3916666667</v>
      </c>
      <c r="F232" s="0" t="n">
        <v>2.95</v>
      </c>
      <c r="G232" s="0" t="n">
        <v>14911</v>
      </c>
      <c r="H232" s="0" t="s">
        <v>80</v>
      </c>
      <c r="I232" s="7" t="str">
        <f aca="false">UPPER(TRIM(B232))</f>
        <v>22271</v>
      </c>
      <c r="J232" s="7" t="str">
        <f aca="false">PROPER(TRIM(C232))</f>
        <v>Feltcraft Doll Rosie</v>
      </c>
      <c r="K232" s="7" t="str">
        <f aca="false">SUBSTITUTE(SUBSTITUTE(SUBSTITUTE(H232,"EIRE","Ireland"),"RSA","South Africa"),"USA","United States")</f>
        <v>Ireland</v>
      </c>
      <c r="L232" s="7" t="str">
        <f aca="false">IF(LEFT(A232,1)="C","Cancel","Sale")</f>
        <v>Sale</v>
      </c>
      <c r="M232" s="7" t="str">
        <f aca="false">IF(G232="","Guest",REPLACE(G232,3,2,"**"))</f>
        <v>14**1</v>
      </c>
      <c r="N232" s="7" t="str">
        <f aca="false">_xlfn.CONCAT(A232,"-",I232)</f>
        <v>573748-22271</v>
      </c>
      <c r="O232" s="7" t="str">
        <f aca="false">LOWER(SUBSTITUTE(TRIM(C232)," ","-"))</f>
        <v>feltcraft-doll-rosie</v>
      </c>
      <c r="P232" s="7" t="n">
        <f aca="false">IF(EXACT(C232,TRIM(C232)),0,1)</f>
        <v>0</v>
      </c>
    </row>
    <row r="233" customFormat="false" ht="15" hidden="false" customHeight="false" outlineLevel="0" collapsed="false">
      <c r="A233" s="0" t="s">
        <v>686</v>
      </c>
      <c r="B233" s="0" t="s">
        <v>687</v>
      </c>
      <c r="C233" s="0" t="s">
        <v>688</v>
      </c>
      <c r="D233" s="0" t="n">
        <v>8</v>
      </c>
      <c r="E233" s="6" t="n">
        <v>40848.43125</v>
      </c>
      <c r="F233" s="0" t="n">
        <v>2.95</v>
      </c>
      <c r="G233" s="0" t="n">
        <v>13327</v>
      </c>
      <c r="H233" s="0" t="s">
        <v>36</v>
      </c>
      <c r="I233" s="7" t="str">
        <f aca="false">UPPER(TRIM(B233))</f>
        <v>22766</v>
      </c>
      <c r="J233" s="7" t="str">
        <f aca="false">PROPER(TRIM(C233))</f>
        <v>Photo Frame Cornice</v>
      </c>
      <c r="K233" s="7" t="str">
        <f aca="false">SUBSTITUTE(SUBSTITUTE(SUBSTITUTE(H233,"EIRE","Ireland"),"RSA","South Africa"),"USA","United States")</f>
        <v>United Kingdom</v>
      </c>
      <c r="L233" s="7" t="str">
        <f aca="false">IF(LEFT(A233,1)="C","Cancel","Sale")</f>
        <v>Sale</v>
      </c>
      <c r="M233" s="7" t="str">
        <f aca="false">IF(G233="","Guest",REPLACE(G233,3,2,"**"))</f>
        <v>13**7</v>
      </c>
      <c r="N233" s="7" t="str">
        <f aca="false">_xlfn.CONCAT(A233,"-",I233)</f>
        <v>573773-22766</v>
      </c>
      <c r="O233" s="7" t="str">
        <f aca="false">LOWER(SUBSTITUTE(TRIM(C233)," ","-"))</f>
        <v>photo-frame-cornice</v>
      </c>
      <c r="P233" s="7" t="n">
        <f aca="false">IF(EXACT(C233,TRIM(C233)),0,1)</f>
        <v>0</v>
      </c>
    </row>
    <row r="234" customFormat="false" ht="15" hidden="false" customHeight="false" outlineLevel="0" collapsed="false">
      <c r="A234" s="0" t="s">
        <v>689</v>
      </c>
      <c r="B234" s="0" t="s">
        <v>690</v>
      </c>
      <c r="C234" s="0" t="s">
        <v>691</v>
      </c>
      <c r="D234" s="0" t="n">
        <v>1</v>
      </c>
      <c r="E234" s="6" t="n">
        <v>40849.6479166667</v>
      </c>
      <c r="F234" s="0" t="n">
        <v>7.46</v>
      </c>
      <c r="H234" s="0" t="s">
        <v>36</v>
      </c>
      <c r="I234" s="7" t="str">
        <f aca="false">UPPER(TRIM(B234))</f>
        <v>23480</v>
      </c>
      <c r="J234" s="7" t="str">
        <f aca="false">PROPER(TRIM(C234))</f>
        <v>Mini Lights Woodland Mushrooms</v>
      </c>
      <c r="K234" s="7" t="str">
        <f aca="false">SUBSTITUTE(SUBSTITUTE(SUBSTITUTE(H234,"EIRE","Ireland"),"RSA","South Africa"),"USA","United States")</f>
        <v>United Kingdom</v>
      </c>
      <c r="L234" s="7" t="str">
        <f aca="false">IF(LEFT(A234,1)="C","Cancel","Sale")</f>
        <v>Sale</v>
      </c>
      <c r="M234" s="7" t="str">
        <f aca="false">IF(G234="","Guest",REPLACE(G234,3,2,"**"))</f>
        <v>Guest</v>
      </c>
      <c r="N234" s="7" t="str">
        <f aca="false">_xlfn.CONCAT(A234,"-",I234)</f>
        <v>574074-23480</v>
      </c>
      <c r="O234" s="7" t="str">
        <f aca="false">LOWER(SUBSTITUTE(TRIM(C234)," ","-"))</f>
        <v>mini-lights-woodland-mushrooms</v>
      </c>
      <c r="P234" s="7" t="n">
        <f aca="false">IF(EXACT(C234,TRIM(C234)),0,1)</f>
        <v>0</v>
      </c>
    </row>
    <row r="235" customFormat="false" ht="15" hidden="false" customHeight="false" outlineLevel="0" collapsed="false">
      <c r="A235" s="0" t="s">
        <v>692</v>
      </c>
      <c r="B235" s="0" t="s">
        <v>693</v>
      </c>
      <c r="C235" s="0" t="s">
        <v>694</v>
      </c>
      <c r="D235" s="0" t="n">
        <v>25</v>
      </c>
      <c r="E235" s="6" t="n">
        <v>40849.6479166667</v>
      </c>
      <c r="F235" s="0" t="n">
        <v>0.42</v>
      </c>
      <c r="G235" s="0" t="n">
        <v>16365</v>
      </c>
      <c r="H235" s="0" t="s">
        <v>36</v>
      </c>
      <c r="I235" s="7" t="str">
        <f aca="false">UPPER(TRIM(B235))</f>
        <v>16169E</v>
      </c>
      <c r="J235" s="7" t="str">
        <f aca="false">PROPER(TRIM(C235))</f>
        <v>Wrap 50'S Christmas</v>
      </c>
      <c r="K235" s="7" t="str">
        <f aca="false">SUBSTITUTE(SUBSTITUTE(SUBSTITUTE(H235,"EIRE","Ireland"),"RSA","South Africa"),"USA","United States")</f>
        <v>United Kingdom</v>
      </c>
      <c r="L235" s="7" t="str">
        <f aca="false">IF(LEFT(A235,1)="C","Cancel","Sale")</f>
        <v>Sale</v>
      </c>
      <c r="M235" s="7" t="str">
        <f aca="false">IF(G235="","Guest",REPLACE(G235,3,2,"**"))</f>
        <v>16**5</v>
      </c>
      <c r="N235" s="7" t="str">
        <f aca="false">_xlfn.CONCAT(A235,"-",I235)</f>
        <v>574075-16169E</v>
      </c>
      <c r="O235" s="7" t="str">
        <f aca="false">LOWER(SUBSTITUTE(TRIM(C235)," ","-"))</f>
        <v>wrap-50's-christmas</v>
      </c>
      <c r="P235" s="7" t="n">
        <f aca="false">IF(EXACT(C235,TRIM(C235)),0,1)</f>
        <v>1</v>
      </c>
    </row>
    <row r="236" customFormat="false" ht="15" hidden="false" customHeight="false" outlineLevel="0" collapsed="false">
      <c r="A236" s="0" t="s">
        <v>695</v>
      </c>
      <c r="B236" s="0" t="s">
        <v>696</v>
      </c>
      <c r="C236" s="0" t="s">
        <v>697</v>
      </c>
      <c r="D236" s="0" t="n">
        <v>1</v>
      </c>
      <c r="E236" s="6" t="n">
        <v>40850.6027777778</v>
      </c>
      <c r="F236" s="0" t="n">
        <v>3.29</v>
      </c>
      <c r="H236" s="0" t="s">
        <v>36</v>
      </c>
      <c r="I236" s="7" t="str">
        <f aca="false">UPPER(TRIM(B236))</f>
        <v>22621</v>
      </c>
      <c r="J236" s="7" t="str">
        <f aca="false">PROPER(TRIM(C236))</f>
        <v>Traditional Knitting Nancy</v>
      </c>
      <c r="K236" s="7" t="str">
        <f aca="false">SUBSTITUTE(SUBSTITUTE(SUBSTITUTE(H236,"EIRE","Ireland"),"RSA","South Africa"),"USA","United States")</f>
        <v>United Kingdom</v>
      </c>
      <c r="L236" s="7" t="str">
        <f aca="false">IF(LEFT(A236,1)="C","Cancel","Sale")</f>
        <v>Sale</v>
      </c>
      <c r="M236" s="7" t="str">
        <f aca="false">IF(G236="","Guest",REPLACE(G236,3,2,"**"))</f>
        <v>Guest</v>
      </c>
      <c r="N236" s="7" t="str">
        <f aca="false">_xlfn.CONCAT(A236,"-",I236)</f>
        <v>574270-22621</v>
      </c>
      <c r="O236" s="7" t="str">
        <f aca="false">LOWER(SUBSTITUTE(TRIM(C236)," ","-"))</f>
        <v>traditional-knitting-nancy</v>
      </c>
      <c r="P236" s="7" t="n">
        <f aca="false">IF(EXACT(C236,TRIM(C236)),0,1)</f>
        <v>0</v>
      </c>
    </row>
    <row r="237" customFormat="false" ht="15" hidden="false" customHeight="false" outlineLevel="0" collapsed="false">
      <c r="A237" s="0" t="s">
        <v>698</v>
      </c>
      <c r="B237" s="0" t="s">
        <v>105</v>
      </c>
      <c r="C237" s="0" t="s">
        <v>106</v>
      </c>
      <c r="D237" s="0" t="n">
        <v>4</v>
      </c>
      <c r="E237" s="6" t="n">
        <v>40850.6979166667</v>
      </c>
      <c r="F237" s="0" t="n">
        <v>1.95</v>
      </c>
      <c r="G237" s="0" t="n">
        <v>16409</v>
      </c>
      <c r="H237" s="0" t="s">
        <v>36</v>
      </c>
      <c r="I237" s="7" t="str">
        <f aca="false">UPPER(TRIM(B237))</f>
        <v>22812</v>
      </c>
      <c r="J237" s="7" t="str">
        <f aca="false">PROPER(TRIM(C237))</f>
        <v>Pack 3 Boxes Christmas Pannetone</v>
      </c>
      <c r="K237" s="7" t="str">
        <f aca="false">SUBSTITUTE(SUBSTITUTE(SUBSTITUTE(H237,"EIRE","Ireland"),"RSA","South Africa"),"USA","United States")</f>
        <v>United Kingdom</v>
      </c>
      <c r="L237" s="7" t="str">
        <f aca="false">IF(LEFT(A237,1)="C","Cancel","Sale")</f>
        <v>Sale</v>
      </c>
      <c r="M237" s="7" t="str">
        <f aca="false">IF(G237="","Guest",REPLACE(G237,3,2,"**"))</f>
        <v>16**9</v>
      </c>
      <c r="N237" s="7" t="str">
        <f aca="false">_xlfn.CONCAT(A237,"-",I237)</f>
        <v>574308-22812</v>
      </c>
      <c r="O237" s="7" t="str">
        <f aca="false">LOWER(SUBSTITUTE(TRIM(C237)," ","-"))</f>
        <v>pack-3-boxes-christmas-pannetone</v>
      </c>
      <c r="P237" s="7" t="n">
        <f aca="false">IF(EXACT(C237,TRIM(C237)),0,1)</f>
        <v>0</v>
      </c>
    </row>
    <row r="238" customFormat="false" ht="15" hidden="false" customHeight="false" outlineLevel="0" collapsed="false">
      <c r="A238" s="0" t="s">
        <v>699</v>
      </c>
      <c r="B238" s="0" t="s">
        <v>223</v>
      </c>
      <c r="C238" s="0" t="s">
        <v>224</v>
      </c>
      <c r="D238" s="0" t="n">
        <v>8</v>
      </c>
      <c r="E238" s="6" t="n">
        <v>40851.45</v>
      </c>
      <c r="F238" s="0" t="n">
        <v>8.29</v>
      </c>
      <c r="H238" s="0" t="s">
        <v>36</v>
      </c>
      <c r="I238" s="7" t="str">
        <f aca="false">UPPER(TRIM(B238))</f>
        <v>84997D</v>
      </c>
      <c r="J238" s="7" t="str">
        <f aca="false">PROPER(TRIM(C238))</f>
        <v>Childrens Cutlery Polkadot Pink</v>
      </c>
      <c r="K238" s="7" t="str">
        <f aca="false">SUBSTITUTE(SUBSTITUTE(SUBSTITUTE(H238,"EIRE","Ireland"),"RSA","South Africa"),"USA","United States")</f>
        <v>United Kingdom</v>
      </c>
      <c r="L238" s="7" t="str">
        <f aca="false">IF(LEFT(A238,1)="C","Cancel","Sale")</f>
        <v>Sale</v>
      </c>
      <c r="M238" s="7" t="str">
        <f aca="false">IF(G238="","Guest",REPLACE(G238,3,2,"**"))</f>
        <v>Guest</v>
      </c>
      <c r="N238" s="7" t="str">
        <f aca="false">_xlfn.CONCAT(A238,"-",I238)</f>
        <v>574356-84997D</v>
      </c>
      <c r="O238" s="7" t="str">
        <f aca="false">LOWER(SUBSTITUTE(TRIM(C238)," ","-"))</f>
        <v>childrens-cutlery-polkadot-pink</v>
      </c>
      <c r="P238" s="7" t="n">
        <f aca="false">IF(EXACT(C238,TRIM(C238)),0,1)</f>
        <v>0</v>
      </c>
    </row>
    <row r="239" customFormat="false" ht="15" hidden="false" customHeight="false" outlineLevel="0" collapsed="false">
      <c r="A239" s="0" t="s">
        <v>700</v>
      </c>
      <c r="B239" s="0" t="s">
        <v>701</v>
      </c>
      <c r="C239" s="0" t="s">
        <v>702</v>
      </c>
      <c r="D239" s="0" t="n">
        <v>10</v>
      </c>
      <c r="E239" s="6" t="n">
        <v>40851.5347222222</v>
      </c>
      <c r="F239" s="0" t="n">
        <v>2.08</v>
      </c>
      <c r="G239" s="0" t="n">
        <v>14388</v>
      </c>
      <c r="H239" s="0" t="s">
        <v>36</v>
      </c>
      <c r="I239" s="7" t="str">
        <f aca="false">UPPER(TRIM(B239))</f>
        <v>85099B</v>
      </c>
      <c r="J239" s="7" t="str">
        <f aca="false">PROPER(TRIM(C239))</f>
        <v>Jumbo Bag Red Retrospot</v>
      </c>
      <c r="K239" s="7" t="str">
        <f aca="false">SUBSTITUTE(SUBSTITUTE(SUBSTITUTE(H239,"EIRE","Ireland"),"RSA","South Africa"),"USA","United States")</f>
        <v>United Kingdom</v>
      </c>
      <c r="L239" s="7" t="str">
        <f aca="false">IF(LEFT(A239,1)="C","Cancel","Sale")</f>
        <v>Sale</v>
      </c>
      <c r="M239" s="7" t="str">
        <f aca="false">IF(G239="","Guest",REPLACE(G239,3,2,"**"))</f>
        <v>14**8</v>
      </c>
      <c r="N239" s="7" t="str">
        <f aca="false">_xlfn.CONCAT(A239,"-",I239)</f>
        <v>574484-85099B</v>
      </c>
      <c r="O239" s="7" t="str">
        <f aca="false">LOWER(SUBSTITUTE(TRIM(C239)," ","-"))</f>
        <v>jumbo-bag-red-retrospot</v>
      </c>
      <c r="P239" s="7" t="n">
        <f aca="false">IF(EXACT(C239,TRIM(C239)),0,1)</f>
        <v>0</v>
      </c>
    </row>
    <row r="240" customFormat="false" ht="15" hidden="false" customHeight="false" outlineLevel="0" collapsed="false">
      <c r="A240" s="0" t="s">
        <v>703</v>
      </c>
      <c r="B240" s="0" t="s">
        <v>704</v>
      </c>
      <c r="C240" s="0" t="s">
        <v>705</v>
      </c>
      <c r="D240" s="0" t="n">
        <v>10</v>
      </c>
      <c r="E240" s="6" t="n">
        <v>40851.5965277778</v>
      </c>
      <c r="F240" s="0" t="n">
        <v>1.65</v>
      </c>
      <c r="G240" s="0" t="n">
        <v>15676</v>
      </c>
      <c r="H240" s="0" t="s">
        <v>36</v>
      </c>
      <c r="I240" s="7" t="str">
        <f aca="false">UPPER(TRIM(B240))</f>
        <v>22384</v>
      </c>
      <c r="J240" s="7" t="str">
        <f aca="false">PROPER(TRIM(C240))</f>
        <v>Lunch Bag Pink Polkadot</v>
      </c>
      <c r="K240" s="7" t="str">
        <f aca="false">SUBSTITUTE(SUBSTITUTE(SUBSTITUTE(H240,"EIRE","Ireland"),"RSA","South Africa"),"USA","United States")</f>
        <v>United Kingdom</v>
      </c>
      <c r="L240" s="7" t="str">
        <f aca="false">IF(LEFT(A240,1)="C","Cancel","Sale")</f>
        <v>Sale</v>
      </c>
      <c r="M240" s="7" t="str">
        <f aca="false">IF(G240="","Guest",REPLACE(G240,3,2,"**"))</f>
        <v>15**6</v>
      </c>
      <c r="N240" s="7" t="str">
        <f aca="false">_xlfn.CONCAT(A240,"-",I240)</f>
        <v>574532-22384</v>
      </c>
      <c r="O240" s="7" t="str">
        <f aca="false">LOWER(SUBSTITUTE(TRIM(C240)," ","-"))</f>
        <v>lunch-bag-pink-polkadot</v>
      </c>
      <c r="P240" s="7" t="n">
        <f aca="false">IF(EXACT(C240,TRIM(C240)),0,1)</f>
        <v>0</v>
      </c>
    </row>
    <row r="241" customFormat="false" ht="15" hidden="false" customHeight="false" outlineLevel="0" collapsed="false">
      <c r="A241" s="0" t="s">
        <v>706</v>
      </c>
      <c r="B241" s="0" t="s">
        <v>707</v>
      </c>
      <c r="C241" s="0" t="s">
        <v>708</v>
      </c>
      <c r="D241" s="0" t="n">
        <v>12</v>
      </c>
      <c r="E241" s="6" t="n">
        <v>40853.4368055556</v>
      </c>
      <c r="F241" s="0" t="n">
        <v>1.45</v>
      </c>
      <c r="G241" s="0" t="n">
        <v>14936</v>
      </c>
      <c r="H241" s="0" t="s">
        <v>709</v>
      </c>
      <c r="I241" s="7" t="str">
        <f aca="false">UPPER(TRIM(B241))</f>
        <v>22961</v>
      </c>
      <c r="J241" s="7" t="str">
        <f aca="false">PROPER(TRIM(C241))</f>
        <v>Jam Making Set Printed</v>
      </c>
      <c r="K241" s="7" t="str">
        <f aca="false">SUBSTITUTE(SUBSTITUTE(SUBSTITUTE(H241,"EIRE","Ireland"),"RSA","South Africa"),"USA","United States")</f>
        <v>Channel Islands</v>
      </c>
      <c r="L241" s="7" t="str">
        <f aca="false">IF(LEFT(A241,1)="C","Cancel","Sale")</f>
        <v>Sale</v>
      </c>
      <c r="M241" s="7" t="str">
        <f aca="false">IF(G241="","Guest",REPLACE(G241,3,2,"**"))</f>
        <v>14**6</v>
      </c>
      <c r="N241" s="7" t="str">
        <f aca="false">_xlfn.CONCAT(A241,"-",I241)</f>
        <v>574587-22961</v>
      </c>
      <c r="O241" s="7" t="str">
        <f aca="false">LOWER(SUBSTITUTE(TRIM(C241)," ","-"))</f>
        <v>jam-making-set-printed</v>
      </c>
      <c r="P241" s="7" t="n">
        <f aca="false">IF(EXACT(C241,TRIM(C241)),0,1)</f>
        <v>0</v>
      </c>
    </row>
    <row r="242" customFormat="false" ht="15" hidden="false" customHeight="false" outlineLevel="0" collapsed="false">
      <c r="A242" s="0" t="s">
        <v>710</v>
      </c>
      <c r="B242" s="0" t="s">
        <v>711</v>
      </c>
      <c r="C242" s="0" t="s">
        <v>712</v>
      </c>
      <c r="D242" s="0" t="n">
        <v>5</v>
      </c>
      <c r="E242" s="6" t="n">
        <v>40853.6034722222</v>
      </c>
      <c r="F242" s="0" t="n">
        <v>0.42</v>
      </c>
      <c r="G242" s="0" t="n">
        <v>15427</v>
      </c>
      <c r="H242" s="0" t="s">
        <v>36</v>
      </c>
      <c r="I242" s="7" t="str">
        <f aca="false">UPPER(TRIM(B242))</f>
        <v>84596B</v>
      </c>
      <c r="J242" s="7" t="str">
        <f aca="false">PROPER(TRIM(C242))</f>
        <v>Small Dolly Mix Design Orange Bowl</v>
      </c>
      <c r="K242" s="7" t="str">
        <f aca="false">SUBSTITUTE(SUBSTITUTE(SUBSTITUTE(H242,"EIRE","Ireland"),"RSA","South Africa"),"USA","United States")</f>
        <v>United Kingdom</v>
      </c>
      <c r="L242" s="7" t="str">
        <f aca="false">IF(LEFT(A242,1)="C","Cancel","Sale")</f>
        <v>Sale</v>
      </c>
      <c r="M242" s="7" t="str">
        <f aca="false">IF(G242="","Guest",REPLACE(G242,3,2,"**"))</f>
        <v>15**7</v>
      </c>
      <c r="N242" s="7" t="str">
        <f aca="false">_xlfn.CONCAT(A242,"-",I242)</f>
        <v>574714-84596B</v>
      </c>
      <c r="O242" s="7" t="str">
        <f aca="false">LOWER(SUBSTITUTE(TRIM(C242)," ","-"))</f>
        <v>small-dolly-mix-design-orange-bowl</v>
      </c>
      <c r="P242" s="7" t="n">
        <f aca="false">IF(EXACT(C242,TRIM(C242)),0,1)</f>
        <v>0</v>
      </c>
    </row>
    <row r="243" customFormat="false" ht="15" hidden="false" customHeight="false" outlineLevel="0" collapsed="false">
      <c r="A243" s="0" t="s">
        <v>713</v>
      </c>
      <c r="B243" s="0" t="s">
        <v>613</v>
      </c>
      <c r="C243" s="0" t="s">
        <v>614</v>
      </c>
      <c r="D243" s="0" t="n">
        <v>12</v>
      </c>
      <c r="E243" s="6" t="n">
        <v>40853.6326388889</v>
      </c>
      <c r="F243" s="0" t="n">
        <v>1.25</v>
      </c>
      <c r="G243" s="0" t="n">
        <v>13523</v>
      </c>
      <c r="H243" s="0" t="s">
        <v>36</v>
      </c>
      <c r="I243" s="7" t="str">
        <f aca="false">UPPER(TRIM(B243))</f>
        <v>21915</v>
      </c>
      <c r="J243" s="7" t="str">
        <f aca="false">PROPER(TRIM(C243))</f>
        <v>Red Harmonica In Box</v>
      </c>
      <c r="K243" s="7" t="str">
        <f aca="false">SUBSTITUTE(SUBSTITUTE(SUBSTITUTE(H243,"EIRE","Ireland"),"RSA","South Africa"),"USA","United States")</f>
        <v>United Kingdom</v>
      </c>
      <c r="L243" s="7" t="str">
        <f aca="false">IF(LEFT(A243,1)="C","Cancel","Sale")</f>
        <v>Sale</v>
      </c>
      <c r="M243" s="7" t="str">
        <f aca="false">IF(G243="","Guest",REPLACE(G243,3,2,"**"))</f>
        <v>13**3</v>
      </c>
      <c r="N243" s="7" t="str">
        <f aca="false">_xlfn.CONCAT(A243,"-",I243)</f>
        <v>574732-21915</v>
      </c>
      <c r="O243" s="7" t="str">
        <f aca="false">LOWER(SUBSTITUTE(TRIM(C243)," ","-"))</f>
        <v>red-harmonica-in-box</v>
      </c>
      <c r="P243" s="7" t="n">
        <f aca="false">IF(EXACT(C243,TRIM(C243)),0,1)</f>
        <v>1</v>
      </c>
    </row>
    <row r="244" customFormat="false" ht="15" hidden="false" customHeight="false" outlineLevel="0" collapsed="false">
      <c r="A244" s="0" t="s">
        <v>714</v>
      </c>
      <c r="B244" s="0" t="s">
        <v>715</v>
      </c>
      <c r="C244" s="0" t="s">
        <v>716</v>
      </c>
      <c r="D244" s="0" t="n">
        <v>1</v>
      </c>
      <c r="E244" s="6" t="n">
        <v>40855.3951388889</v>
      </c>
      <c r="F244" s="0" t="n">
        <v>2.46</v>
      </c>
      <c r="H244" s="0" t="s">
        <v>36</v>
      </c>
      <c r="I244" s="7" t="str">
        <f aca="false">UPPER(TRIM(B244))</f>
        <v>84510A</v>
      </c>
      <c r="J244" s="7" t="str">
        <f aca="false">PROPER(TRIM(C244))</f>
        <v>Set Of 4 English Rose Coasters</v>
      </c>
      <c r="K244" s="7" t="str">
        <f aca="false">SUBSTITUTE(SUBSTITUTE(SUBSTITUTE(H244,"EIRE","Ireland"),"RSA","South Africa"),"USA","United States")</f>
        <v>United Kingdom</v>
      </c>
      <c r="L244" s="7" t="str">
        <f aca="false">IF(LEFT(A244,1)="C","Cancel","Sale")</f>
        <v>Sale</v>
      </c>
      <c r="M244" s="7" t="str">
        <f aca="false">IF(G244="","Guest",REPLACE(G244,3,2,"**"))</f>
        <v>Guest</v>
      </c>
      <c r="N244" s="7" t="str">
        <f aca="false">_xlfn.CONCAT(A244,"-",I244)</f>
        <v>574950-84510A</v>
      </c>
      <c r="O244" s="7" t="str">
        <f aca="false">LOWER(SUBSTITUTE(TRIM(C244)," ","-"))</f>
        <v>set-of-4-english-rose-coasters</v>
      </c>
      <c r="P244" s="7" t="n">
        <f aca="false">IF(EXACT(C244,TRIM(C244)),0,1)</f>
        <v>0</v>
      </c>
    </row>
    <row r="245" customFormat="false" ht="15" hidden="false" customHeight="false" outlineLevel="0" collapsed="false">
      <c r="A245" s="0" t="s">
        <v>717</v>
      </c>
      <c r="B245" s="0" t="s">
        <v>718</v>
      </c>
      <c r="C245" s="0" t="s">
        <v>719</v>
      </c>
      <c r="D245" s="0" t="n">
        <v>2</v>
      </c>
      <c r="E245" s="6" t="n">
        <v>40855.6416666667</v>
      </c>
      <c r="F245" s="0" t="n">
        <v>7.46</v>
      </c>
      <c r="H245" s="0" t="s">
        <v>36</v>
      </c>
      <c r="I245" s="7" t="str">
        <f aca="false">UPPER(TRIM(B245))</f>
        <v>21430</v>
      </c>
      <c r="J245" s="7" t="str">
        <f aca="false">PROPER(TRIM(C245))</f>
        <v>Set/3 Red Gingham Rose Storage Box</v>
      </c>
      <c r="K245" s="7" t="str">
        <f aca="false">SUBSTITUTE(SUBSTITUTE(SUBSTITUTE(H245,"EIRE","Ireland"),"RSA","South Africa"),"USA","United States")</f>
        <v>United Kingdom</v>
      </c>
      <c r="L245" s="7" t="str">
        <f aca="false">IF(LEFT(A245,1)="C","Cancel","Sale")</f>
        <v>Sale</v>
      </c>
      <c r="M245" s="7" t="str">
        <f aca="false">IF(G245="","Guest",REPLACE(G245,3,2,"**"))</f>
        <v>Guest</v>
      </c>
      <c r="N245" s="7" t="str">
        <f aca="false">_xlfn.CONCAT(A245,"-",I245)</f>
        <v>575138-21430</v>
      </c>
      <c r="O245" s="7" t="str">
        <f aca="false">LOWER(SUBSTITUTE(TRIM(C245)," ","-"))</f>
        <v>set/3-red-gingham-rose-storage-box</v>
      </c>
      <c r="P245" s="7" t="n">
        <f aca="false">IF(EXACT(C245,TRIM(C245)),0,1)</f>
        <v>0</v>
      </c>
    </row>
    <row r="246" customFormat="false" ht="15" hidden="false" customHeight="false" outlineLevel="0" collapsed="false">
      <c r="A246" s="0" t="s">
        <v>720</v>
      </c>
      <c r="B246" s="0" t="s">
        <v>721</v>
      </c>
      <c r="C246" s="0" t="s">
        <v>722</v>
      </c>
      <c r="D246" s="0" t="n">
        <v>3</v>
      </c>
      <c r="E246" s="6" t="n">
        <v>40858.5118055556</v>
      </c>
      <c r="F246" s="0" t="n">
        <v>2.1</v>
      </c>
      <c r="G246" s="0" t="n">
        <v>17238</v>
      </c>
      <c r="H246" s="0" t="s">
        <v>36</v>
      </c>
      <c r="I246" s="7" t="str">
        <f aca="false">UPPER(TRIM(B246))</f>
        <v>22866</v>
      </c>
      <c r="J246" s="7" t="str">
        <f aca="false">PROPER(TRIM(C246))</f>
        <v>Hand Warmer Scotty Dog Design</v>
      </c>
      <c r="K246" s="7" t="str">
        <f aca="false">SUBSTITUTE(SUBSTITUTE(SUBSTITUTE(H246,"EIRE","Ireland"),"RSA","South Africa"),"USA","United States")</f>
        <v>United Kingdom</v>
      </c>
      <c r="L246" s="7" t="str">
        <f aca="false">IF(LEFT(A246,1)="C","Cancel","Sale")</f>
        <v>Sale</v>
      </c>
      <c r="M246" s="7" t="str">
        <f aca="false">IF(G246="","Guest",REPLACE(G246,3,2,"**"))</f>
        <v>17**8</v>
      </c>
      <c r="N246" s="7" t="str">
        <f aca="false">_xlfn.CONCAT(A246,"-",I246)</f>
        <v>575852-22866</v>
      </c>
      <c r="O246" s="7" t="str">
        <f aca="false">LOWER(SUBSTITUTE(TRIM(C246)," ","-"))</f>
        <v>hand-warmer-scotty-dog-design</v>
      </c>
      <c r="P246" s="7" t="n">
        <f aca="false">IF(EXACT(C246,TRIM(C246)),0,1)</f>
        <v>0</v>
      </c>
    </row>
    <row r="247" customFormat="false" ht="15" hidden="false" customHeight="false" outlineLevel="0" collapsed="false">
      <c r="A247" s="0" t="s">
        <v>723</v>
      </c>
      <c r="B247" s="0" t="s">
        <v>724</v>
      </c>
      <c r="C247" s="0" t="s">
        <v>725</v>
      </c>
      <c r="D247" s="0" t="n">
        <v>2</v>
      </c>
      <c r="E247" s="6" t="n">
        <v>40858.7486111111</v>
      </c>
      <c r="F247" s="0" t="n">
        <v>4.96</v>
      </c>
      <c r="H247" s="0" t="s">
        <v>36</v>
      </c>
      <c r="I247" s="7" t="str">
        <f aca="false">UPPER(TRIM(B247))</f>
        <v>22639</v>
      </c>
      <c r="J247" s="7" t="str">
        <f aca="false">PROPER(TRIM(C247))</f>
        <v>Set Of 4 Napkin Charms Hearts</v>
      </c>
      <c r="K247" s="7" t="str">
        <f aca="false">SUBSTITUTE(SUBSTITUTE(SUBSTITUTE(H247,"EIRE","Ireland"),"RSA","South Africa"),"USA","United States")</f>
        <v>United Kingdom</v>
      </c>
      <c r="L247" s="7" t="str">
        <f aca="false">IF(LEFT(A247,1)="C","Cancel","Sale")</f>
        <v>Sale</v>
      </c>
      <c r="M247" s="7" t="str">
        <f aca="false">IF(G247="","Guest",REPLACE(G247,3,2,"**"))</f>
        <v>Guest</v>
      </c>
      <c r="N247" s="7" t="str">
        <f aca="false">_xlfn.CONCAT(A247,"-",I247)</f>
        <v>575930-22639</v>
      </c>
      <c r="O247" s="7" t="str">
        <f aca="false">LOWER(SUBSTITUTE(TRIM(C247)," ","-"))</f>
        <v>set-of-4-napkin-charms-hearts</v>
      </c>
      <c r="P247" s="7" t="n">
        <f aca="false">IF(EXACT(C247,TRIM(C247)),0,1)</f>
        <v>0</v>
      </c>
    </row>
    <row r="248" customFormat="false" ht="15" hidden="false" customHeight="false" outlineLevel="0" collapsed="false">
      <c r="A248" s="0" t="s">
        <v>726</v>
      </c>
      <c r="B248" s="0" t="s">
        <v>727</v>
      </c>
      <c r="C248" s="0" t="s">
        <v>728</v>
      </c>
      <c r="D248" s="0" t="n">
        <v>1</v>
      </c>
      <c r="E248" s="6" t="n">
        <v>40860.4930555556</v>
      </c>
      <c r="F248" s="0" t="n">
        <v>4.13</v>
      </c>
      <c r="H248" s="0" t="s">
        <v>36</v>
      </c>
      <c r="I248" s="7" t="str">
        <f aca="false">UPPER(TRIM(B248))</f>
        <v>22174</v>
      </c>
      <c r="J248" s="7" t="str">
        <f aca="false">PROPER(TRIM(C248))</f>
        <v>Photo Cube</v>
      </c>
      <c r="K248" s="7" t="str">
        <f aca="false">SUBSTITUTE(SUBSTITUTE(SUBSTITUTE(H248,"EIRE","Ireland"),"RSA","South Africa"),"USA","United States")</f>
        <v>United Kingdom</v>
      </c>
      <c r="L248" s="7" t="str">
        <f aca="false">IF(LEFT(A248,1)="C","Cancel","Sale")</f>
        <v>Sale</v>
      </c>
      <c r="M248" s="7" t="str">
        <f aca="false">IF(G248="","Guest",REPLACE(G248,3,2,"**"))</f>
        <v>Guest</v>
      </c>
      <c r="N248" s="7" t="str">
        <f aca="false">_xlfn.CONCAT(A248,"-",I248)</f>
        <v>575947-22174</v>
      </c>
      <c r="O248" s="7" t="str">
        <f aca="false">LOWER(SUBSTITUTE(TRIM(C248)," ","-"))</f>
        <v>photo-cube</v>
      </c>
      <c r="P248" s="7" t="n">
        <f aca="false">IF(EXACT(C248,TRIM(C248)),0,1)</f>
        <v>0</v>
      </c>
    </row>
    <row r="249" customFormat="false" ht="15" hidden="false" customHeight="false" outlineLevel="0" collapsed="false">
      <c r="A249" s="0" t="s">
        <v>729</v>
      </c>
      <c r="B249" s="0" t="s">
        <v>730</v>
      </c>
      <c r="C249" s="0" t="s">
        <v>731</v>
      </c>
      <c r="D249" s="0" t="n">
        <v>1</v>
      </c>
      <c r="E249" s="6" t="n">
        <v>40861.4611111111</v>
      </c>
      <c r="F249" s="0" t="n">
        <v>1.95</v>
      </c>
      <c r="G249" s="0" t="n">
        <v>16936</v>
      </c>
      <c r="H249" s="0" t="s">
        <v>36</v>
      </c>
      <c r="I249" s="7" t="str">
        <f aca="false">UPPER(TRIM(B249))</f>
        <v>22992</v>
      </c>
      <c r="J249" s="7" t="str">
        <f aca="false">PROPER(TRIM(C249))</f>
        <v>Revolver Wooden Ruler</v>
      </c>
      <c r="K249" s="7" t="str">
        <f aca="false">SUBSTITUTE(SUBSTITUTE(SUBSTITUTE(H249,"EIRE","Ireland"),"RSA","South Africa"),"USA","United States")</f>
        <v>United Kingdom</v>
      </c>
      <c r="L249" s="7" t="str">
        <f aca="false">IF(LEFT(A249,1)="C","Cancel","Sale")</f>
        <v>Sale</v>
      </c>
      <c r="M249" s="7" t="str">
        <f aca="false">IF(G249="","Guest",REPLACE(G249,3,2,"**"))</f>
        <v>16**6</v>
      </c>
      <c r="N249" s="7" t="str">
        <f aca="false">_xlfn.CONCAT(A249,"-",I249)</f>
        <v>576176-22992</v>
      </c>
      <c r="O249" s="7" t="str">
        <f aca="false">LOWER(SUBSTITUTE(TRIM(C249)," ","-"))</f>
        <v>revolver-wooden-ruler</v>
      </c>
      <c r="P249" s="7" t="n">
        <f aca="false">IF(EXACT(C249,TRIM(C249)),0,1)</f>
        <v>1</v>
      </c>
    </row>
    <row r="250" customFormat="false" ht="15" hidden="false" customHeight="false" outlineLevel="0" collapsed="false">
      <c r="A250" s="0" t="s">
        <v>732</v>
      </c>
      <c r="B250" s="0" t="s">
        <v>115</v>
      </c>
      <c r="C250" s="0" t="s">
        <v>116</v>
      </c>
      <c r="D250" s="0" t="n">
        <v>1</v>
      </c>
      <c r="E250" s="6" t="n">
        <v>40861.48125</v>
      </c>
      <c r="F250" s="0" t="n">
        <v>1.25</v>
      </c>
      <c r="G250" s="0" t="n">
        <v>14684</v>
      </c>
      <c r="H250" s="0" t="s">
        <v>36</v>
      </c>
      <c r="I250" s="7" t="str">
        <f aca="false">UPPER(TRIM(B250))</f>
        <v>20972</v>
      </c>
      <c r="J250" s="7" t="str">
        <f aca="false">PROPER(TRIM(C250))</f>
        <v>Pink Cream Felt Craft Trinket Box</v>
      </c>
      <c r="K250" s="7" t="str">
        <f aca="false">SUBSTITUTE(SUBSTITUTE(SUBSTITUTE(H250,"EIRE","Ireland"),"RSA","South Africa"),"USA","United States")</f>
        <v>United Kingdom</v>
      </c>
      <c r="L250" s="7" t="str">
        <f aca="false">IF(LEFT(A250,1)="C","Cancel","Sale")</f>
        <v>Sale</v>
      </c>
      <c r="M250" s="7" t="str">
        <f aca="false">IF(G250="","Guest",REPLACE(G250,3,2,"**"))</f>
        <v>14**4</v>
      </c>
      <c r="N250" s="7" t="str">
        <f aca="false">_xlfn.CONCAT(A250,"-",I250)</f>
        <v>576189-20972</v>
      </c>
      <c r="O250" s="7" t="str">
        <f aca="false">LOWER(SUBSTITUTE(TRIM(C250)," ","-"))</f>
        <v>pink-cream-felt-craft-trinket-box</v>
      </c>
      <c r="P250" s="7" t="n">
        <f aca="false">IF(EXACT(C250,TRIM(C250)),0,1)</f>
        <v>1</v>
      </c>
    </row>
    <row r="251" customFormat="false" ht="15" hidden="false" customHeight="false" outlineLevel="0" collapsed="false">
      <c r="A251" s="0" t="s">
        <v>733</v>
      </c>
      <c r="B251" s="0" t="s">
        <v>734</v>
      </c>
      <c r="C251" s="0" t="s">
        <v>735</v>
      </c>
      <c r="D251" s="0" t="n">
        <v>12</v>
      </c>
      <c r="E251" s="6" t="n">
        <v>40861.6381944444</v>
      </c>
      <c r="F251" s="0" t="n">
        <v>2.55</v>
      </c>
      <c r="G251" s="0" t="n">
        <v>13577</v>
      </c>
      <c r="H251" s="0" t="s">
        <v>36</v>
      </c>
      <c r="I251" s="7" t="str">
        <f aca="false">UPPER(TRIM(B251))</f>
        <v>23311</v>
      </c>
      <c r="J251" s="7" t="str">
        <f aca="false">PROPER(TRIM(C251))</f>
        <v>Vintage Christmas Stocking</v>
      </c>
      <c r="K251" s="7" t="str">
        <f aca="false">SUBSTITUTE(SUBSTITUTE(SUBSTITUTE(H251,"EIRE","Ireland"),"RSA","South Africa"),"USA","United States")</f>
        <v>United Kingdom</v>
      </c>
      <c r="L251" s="7" t="str">
        <f aca="false">IF(LEFT(A251,1)="C","Cancel","Sale")</f>
        <v>Sale</v>
      </c>
      <c r="M251" s="7" t="str">
        <f aca="false">IF(G251="","Guest",REPLACE(G251,3,2,"**"))</f>
        <v>13**7</v>
      </c>
      <c r="N251" s="7" t="str">
        <f aca="false">_xlfn.CONCAT(A251,"-",I251)</f>
        <v>576328-23311</v>
      </c>
      <c r="O251" s="7" t="str">
        <f aca="false">LOWER(SUBSTITUTE(TRIM(C251)," ","-"))</f>
        <v>vintage-christmas-stocking</v>
      </c>
      <c r="P251" s="7" t="n">
        <f aca="false">IF(EXACT(C251,TRIM(C251)),0,1)</f>
        <v>1</v>
      </c>
    </row>
    <row r="252" customFormat="false" ht="15" hidden="false" customHeight="false" outlineLevel="0" collapsed="false">
      <c r="A252" s="0" t="s">
        <v>736</v>
      </c>
      <c r="B252" s="0" t="s">
        <v>737</v>
      </c>
      <c r="C252" s="0" t="s">
        <v>738</v>
      </c>
      <c r="D252" s="0" t="n">
        <v>6</v>
      </c>
      <c r="E252" s="6" t="n">
        <v>40862.3895833333</v>
      </c>
      <c r="F252" s="0" t="n">
        <v>2.95</v>
      </c>
      <c r="G252" s="0" t="n">
        <v>16423</v>
      </c>
      <c r="H252" s="0" t="s">
        <v>36</v>
      </c>
      <c r="I252" s="7" t="str">
        <f aca="false">UPPER(TRIM(B252))</f>
        <v>22910</v>
      </c>
      <c r="J252" s="7" t="str">
        <f aca="false">PROPER(TRIM(C252))</f>
        <v>Paper Chain Kit Vintage Christmas</v>
      </c>
      <c r="K252" s="7" t="str">
        <f aca="false">SUBSTITUTE(SUBSTITUTE(SUBSTITUTE(H252,"EIRE","Ireland"),"RSA","South Africa"),"USA","United States")</f>
        <v>United Kingdom</v>
      </c>
      <c r="L252" s="7" t="str">
        <f aca="false">IF(LEFT(A252,1)="C","Cancel","Sale")</f>
        <v>Sale</v>
      </c>
      <c r="M252" s="7" t="str">
        <f aca="false">IF(G252="","Guest",REPLACE(G252,3,2,"**"))</f>
        <v>16**3</v>
      </c>
      <c r="N252" s="7" t="str">
        <f aca="false">_xlfn.CONCAT(A252,"-",I252)</f>
        <v>576379-22910</v>
      </c>
      <c r="O252" s="7" t="str">
        <f aca="false">LOWER(SUBSTITUTE(TRIM(C252)," ","-"))</f>
        <v>paper-chain-kit-vintage-christmas</v>
      </c>
      <c r="P252" s="7" t="n">
        <f aca="false">IF(EXACT(C252,TRIM(C252)),0,1)</f>
        <v>0</v>
      </c>
    </row>
    <row r="253" customFormat="false" ht="15" hidden="false" customHeight="false" outlineLevel="0" collapsed="false">
      <c r="A253" s="0" t="s">
        <v>739</v>
      </c>
      <c r="B253" s="0" t="s">
        <v>740</v>
      </c>
      <c r="C253" s="0" t="s">
        <v>741</v>
      </c>
      <c r="D253" s="0" t="n">
        <v>1</v>
      </c>
      <c r="E253" s="6" t="n">
        <v>40862.4840277778</v>
      </c>
      <c r="F253" s="0" t="n">
        <v>1.25</v>
      </c>
      <c r="G253" s="0" t="n">
        <v>17974</v>
      </c>
      <c r="H253" s="0" t="s">
        <v>36</v>
      </c>
      <c r="I253" s="7" t="str">
        <f aca="false">UPPER(TRIM(B253))</f>
        <v>20961</v>
      </c>
      <c r="J253" s="7" t="str">
        <f aca="false">PROPER(TRIM(C253))</f>
        <v>Strawberry Bath Sponge</v>
      </c>
      <c r="K253" s="7" t="str">
        <f aca="false">SUBSTITUTE(SUBSTITUTE(SUBSTITUTE(H253,"EIRE","Ireland"),"RSA","South Africa"),"USA","United States")</f>
        <v>United Kingdom</v>
      </c>
      <c r="L253" s="7" t="str">
        <f aca="false">IF(LEFT(A253,1)="C","Cancel","Sale")</f>
        <v>Sale</v>
      </c>
      <c r="M253" s="7" t="str">
        <f aca="false">IF(G253="","Guest",REPLACE(G253,3,2,"**"))</f>
        <v>17**4</v>
      </c>
      <c r="N253" s="7" t="str">
        <f aca="false">_xlfn.CONCAT(A253,"-",I253)</f>
        <v>576463-20961</v>
      </c>
      <c r="O253" s="7" t="str">
        <f aca="false">LOWER(SUBSTITUTE(TRIM(C253)," ","-"))</f>
        <v>strawberry-bath-sponge</v>
      </c>
      <c r="P253" s="7" t="n">
        <f aca="false">IF(EXACT(C253,TRIM(C253)),0,1)</f>
        <v>1</v>
      </c>
    </row>
    <row r="254" customFormat="false" ht="15" hidden="false" customHeight="false" outlineLevel="0" collapsed="false">
      <c r="A254" s="0" t="s">
        <v>742</v>
      </c>
      <c r="B254" s="0" t="s">
        <v>743</v>
      </c>
      <c r="C254" s="0" t="s">
        <v>744</v>
      </c>
      <c r="D254" s="0" t="n">
        <v>1</v>
      </c>
      <c r="E254" s="6" t="n">
        <v>40862.70625</v>
      </c>
      <c r="F254" s="0" t="n">
        <v>2.46</v>
      </c>
      <c r="H254" s="0" t="s">
        <v>36</v>
      </c>
      <c r="I254" s="7" t="str">
        <f aca="false">UPPER(TRIM(B254))</f>
        <v>22460</v>
      </c>
      <c r="J254" s="7" t="str">
        <f aca="false">PROPER(TRIM(C254))</f>
        <v>Embossed Glass Tealight Holder</v>
      </c>
      <c r="K254" s="7" t="str">
        <f aca="false">SUBSTITUTE(SUBSTITUTE(SUBSTITUTE(H254,"EIRE","Ireland"),"RSA","South Africa"),"USA","United States")</f>
        <v>United Kingdom</v>
      </c>
      <c r="L254" s="7" t="str">
        <f aca="false">IF(LEFT(A254,1)="C","Cancel","Sale")</f>
        <v>Sale</v>
      </c>
      <c r="M254" s="7" t="str">
        <f aca="false">IF(G254="","Guest",REPLACE(G254,3,2,"**"))</f>
        <v>Guest</v>
      </c>
      <c r="N254" s="7" t="str">
        <f aca="false">_xlfn.CONCAT(A254,"-",I254)</f>
        <v>576617-22460</v>
      </c>
      <c r="O254" s="7" t="str">
        <f aca="false">LOWER(SUBSTITUTE(TRIM(C254)," ","-"))</f>
        <v>embossed-glass-tealight-holder</v>
      </c>
      <c r="P254" s="7" t="n">
        <f aca="false">IF(EXACT(C254,TRIM(C254)),0,1)</f>
        <v>0</v>
      </c>
    </row>
    <row r="255" customFormat="false" ht="15" hidden="false" customHeight="false" outlineLevel="0" collapsed="false">
      <c r="A255" s="0" t="s">
        <v>745</v>
      </c>
      <c r="B255" s="0" t="s">
        <v>746</v>
      </c>
      <c r="C255" s="0" t="s">
        <v>747</v>
      </c>
      <c r="D255" s="0" t="n">
        <v>1</v>
      </c>
      <c r="E255" s="6" t="n">
        <v>40862.7083333333</v>
      </c>
      <c r="F255" s="0" t="n">
        <v>4.96</v>
      </c>
      <c r="H255" s="0" t="s">
        <v>36</v>
      </c>
      <c r="I255" s="7" t="str">
        <f aca="false">UPPER(TRIM(B255))</f>
        <v>22391</v>
      </c>
      <c r="J255" s="7" t="str">
        <f aca="false">PROPER(TRIM(C255))</f>
        <v>Paperweight Home Sweet Home</v>
      </c>
      <c r="K255" s="7" t="str">
        <f aca="false">SUBSTITUTE(SUBSTITUTE(SUBSTITUTE(H255,"EIRE","Ireland"),"RSA","South Africa"),"USA","United States")</f>
        <v>United Kingdom</v>
      </c>
      <c r="L255" s="7" t="str">
        <f aca="false">IF(LEFT(A255,1)="C","Cancel","Sale")</f>
        <v>Sale</v>
      </c>
      <c r="M255" s="7" t="str">
        <f aca="false">IF(G255="","Guest",REPLACE(G255,3,2,"**"))</f>
        <v>Guest</v>
      </c>
      <c r="N255" s="7" t="str">
        <f aca="false">_xlfn.CONCAT(A255,"-",I255)</f>
        <v>576618-22391</v>
      </c>
      <c r="O255" s="7" t="str">
        <f aca="false">LOWER(SUBSTITUTE(TRIM(C255)," ","-"))</f>
        <v>paperweight-home-sweet-home</v>
      </c>
      <c r="P255" s="7" t="n">
        <f aca="false">IF(EXACT(C255,TRIM(C255)),0,1)</f>
        <v>0</v>
      </c>
    </row>
    <row r="256" customFormat="false" ht="15" hidden="false" customHeight="false" outlineLevel="0" collapsed="false">
      <c r="A256" s="0" t="s">
        <v>745</v>
      </c>
      <c r="B256" s="0" t="s">
        <v>220</v>
      </c>
      <c r="C256" s="0" t="s">
        <v>221</v>
      </c>
      <c r="D256" s="0" t="n">
        <v>2</v>
      </c>
      <c r="E256" s="6" t="n">
        <v>40862.7083333333</v>
      </c>
      <c r="F256" s="0" t="n">
        <v>4.96</v>
      </c>
      <c r="H256" s="0" t="s">
        <v>36</v>
      </c>
      <c r="I256" s="7" t="str">
        <f aca="false">UPPER(TRIM(B256))</f>
        <v>22467</v>
      </c>
      <c r="J256" s="7" t="str">
        <f aca="false">PROPER(TRIM(C256))</f>
        <v>Gumball Coat Rack</v>
      </c>
      <c r="K256" s="7" t="str">
        <f aca="false">SUBSTITUTE(SUBSTITUTE(SUBSTITUTE(H256,"EIRE","Ireland"),"RSA","South Africa"),"USA","United States")</f>
        <v>United Kingdom</v>
      </c>
      <c r="L256" s="7" t="str">
        <f aca="false">IF(LEFT(A256,1)="C","Cancel","Sale")</f>
        <v>Sale</v>
      </c>
      <c r="M256" s="7" t="str">
        <f aca="false">IF(G256="","Guest",REPLACE(G256,3,2,"**"))</f>
        <v>Guest</v>
      </c>
      <c r="N256" s="7" t="str">
        <f aca="false">_xlfn.CONCAT(A256,"-",I256)</f>
        <v>576618-22467</v>
      </c>
      <c r="O256" s="7" t="str">
        <f aca="false">LOWER(SUBSTITUTE(TRIM(C256)," ","-"))</f>
        <v>gumball-coat-rack</v>
      </c>
      <c r="P256" s="7" t="n">
        <f aca="false">IF(EXACT(C256,TRIM(C256)),0,1)</f>
        <v>0</v>
      </c>
    </row>
    <row r="257" customFormat="false" ht="15" hidden="false" customHeight="false" outlineLevel="0" collapsed="false">
      <c r="A257" s="0" t="s">
        <v>748</v>
      </c>
      <c r="B257" s="0" t="s">
        <v>749</v>
      </c>
      <c r="C257" s="0" t="s">
        <v>750</v>
      </c>
      <c r="D257" s="0" t="n">
        <v>2</v>
      </c>
      <c r="E257" s="6" t="n">
        <v>40863.4694444445</v>
      </c>
      <c r="F257" s="0" t="n">
        <v>39.95</v>
      </c>
      <c r="G257" s="0" t="n">
        <v>15110</v>
      </c>
      <c r="H257" s="0" t="s">
        <v>36</v>
      </c>
      <c r="I257" s="7" t="str">
        <f aca="false">UPPER(TRIM(B257))</f>
        <v>84078A</v>
      </c>
      <c r="J257" s="7" t="str">
        <f aca="false">PROPER(TRIM(C257))</f>
        <v>Set/4 White Retro Storage Cubes</v>
      </c>
      <c r="K257" s="7" t="str">
        <f aca="false">SUBSTITUTE(SUBSTITUTE(SUBSTITUTE(H257,"EIRE","Ireland"),"RSA","South Africa"),"USA","United States")</f>
        <v>United Kingdom</v>
      </c>
      <c r="L257" s="7" t="str">
        <f aca="false">IF(LEFT(A257,1)="C","Cancel","Sale")</f>
        <v>Sale</v>
      </c>
      <c r="M257" s="7" t="str">
        <f aca="false">IF(G257="","Guest",REPLACE(G257,3,2,"**"))</f>
        <v>15**0</v>
      </c>
      <c r="N257" s="7" t="str">
        <f aca="false">_xlfn.CONCAT(A257,"-",I257)</f>
        <v>576660-84078A</v>
      </c>
      <c r="O257" s="7" t="str">
        <f aca="false">LOWER(SUBSTITUTE(TRIM(C257)," ","-"))</f>
        <v>set/4-white-retro-storage-cubes</v>
      </c>
      <c r="P257" s="7" t="n">
        <f aca="false">IF(EXACT(C257,TRIM(C257)),0,1)</f>
        <v>1</v>
      </c>
    </row>
    <row r="258" customFormat="false" ht="15" hidden="false" customHeight="false" outlineLevel="0" collapsed="false">
      <c r="A258" s="0" t="s">
        <v>751</v>
      </c>
      <c r="B258" s="0" t="s">
        <v>752</v>
      </c>
      <c r="C258" s="0" t="s">
        <v>753</v>
      </c>
      <c r="D258" s="0" t="n">
        <v>1</v>
      </c>
      <c r="E258" s="6" t="n">
        <v>40863.6611111111</v>
      </c>
      <c r="F258" s="0" t="n">
        <v>12.75</v>
      </c>
      <c r="G258" s="0" t="n">
        <v>12748</v>
      </c>
      <c r="H258" s="0" t="s">
        <v>36</v>
      </c>
      <c r="I258" s="7" t="str">
        <f aca="false">UPPER(TRIM(B258))</f>
        <v>21331</v>
      </c>
      <c r="J258" s="7" t="str">
        <f aca="false">PROPER(TRIM(C258))</f>
        <v>Moroccan Beaten Metal Dish Large</v>
      </c>
      <c r="K258" s="7" t="str">
        <f aca="false">SUBSTITUTE(SUBSTITUTE(SUBSTITUTE(H258,"EIRE","Ireland"),"RSA","South Africa"),"USA","United States")</f>
        <v>United Kingdom</v>
      </c>
      <c r="L258" s="7" t="str">
        <f aca="false">IF(LEFT(A258,1)="C","Cancel","Sale")</f>
        <v>Sale</v>
      </c>
      <c r="M258" s="7" t="str">
        <f aca="false">IF(G258="","Guest",REPLACE(G258,3,2,"**"))</f>
        <v>12**8</v>
      </c>
      <c r="N258" s="7" t="str">
        <f aca="false">_xlfn.CONCAT(A258,"-",I258)</f>
        <v>576857-21331</v>
      </c>
      <c r="O258" s="7" t="str">
        <f aca="false">LOWER(SUBSTITUTE(TRIM(C258)," ","-"))</f>
        <v>moroccan-beaten-metal-dish-large</v>
      </c>
      <c r="P258" s="7" t="n">
        <f aca="false">IF(EXACT(C258,TRIM(C258)),0,1)</f>
        <v>0</v>
      </c>
    </row>
    <row r="259" customFormat="false" ht="15" hidden="false" customHeight="false" outlineLevel="0" collapsed="false">
      <c r="A259" s="0" t="s">
        <v>754</v>
      </c>
      <c r="B259" s="0" t="s">
        <v>755</v>
      </c>
      <c r="C259" s="0" t="s">
        <v>756</v>
      </c>
      <c r="D259" s="0" t="n">
        <v>10</v>
      </c>
      <c r="E259" s="6" t="n">
        <v>40863.6666666667</v>
      </c>
      <c r="F259" s="0" t="n">
        <v>1.45</v>
      </c>
      <c r="G259" s="0" t="n">
        <v>18041</v>
      </c>
      <c r="H259" s="0" t="s">
        <v>36</v>
      </c>
      <c r="I259" s="7" t="str">
        <f aca="false">UPPER(TRIM(B259))</f>
        <v>21210</v>
      </c>
      <c r="J259" s="7" t="str">
        <f aca="false">PROPER(TRIM(C259))</f>
        <v>Set Of 72 Retrospot Paper Doilies</v>
      </c>
      <c r="K259" s="7" t="str">
        <f aca="false">SUBSTITUTE(SUBSTITUTE(SUBSTITUTE(H259,"EIRE","Ireland"),"RSA","South Africa"),"USA","United States")</f>
        <v>United Kingdom</v>
      </c>
      <c r="L259" s="7" t="str">
        <f aca="false">IF(LEFT(A259,1)="C","Cancel","Sale")</f>
        <v>Sale</v>
      </c>
      <c r="M259" s="7" t="str">
        <f aca="false">IF(G259="","Guest",REPLACE(G259,3,2,"**"))</f>
        <v>18**1</v>
      </c>
      <c r="N259" s="7" t="str">
        <f aca="false">_xlfn.CONCAT(A259,"-",I259)</f>
        <v>576861-21210</v>
      </c>
      <c r="O259" s="7" t="str">
        <f aca="false">LOWER(SUBSTITUTE(TRIM(C259)," ","-"))</f>
        <v>set-of-72-retrospot-paper-doilies</v>
      </c>
      <c r="P259" s="7" t="n">
        <f aca="false">IF(EXACT(C259,TRIM(C259)),0,1)</f>
        <v>1</v>
      </c>
    </row>
    <row r="260" customFormat="false" ht="15" hidden="false" customHeight="false" outlineLevel="0" collapsed="false">
      <c r="A260" s="0" t="s">
        <v>757</v>
      </c>
      <c r="B260" s="0" t="s">
        <v>758</v>
      </c>
      <c r="C260" s="0" t="s">
        <v>759</v>
      </c>
      <c r="D260" s="0" t="n">
        <v>12</v>
      </c>
      <c r="E260" s="6" t="n">
        <v>40864.5736111111</v>
      </c>
      <c r="F260" s="0" t="n">
        <v>2.1</v>
      </c>
      <c r="G260" s="0" t="n">
        <v>12449</v>
      </c>
      <c r="H260" s="0" t="s">
        <v>87</v>
      </c>
      <c r="I260" s="7" t="str">
        <f aca="false">UPPER(TRIM(B260))</f>
        <v>21285</v>
      </c>
      <c r="J260" s="7" t="str">
        <f aca="false">PROPER(TRIM(C260))</f>
        <v>Retrospot Candle Medium</v>
      </c>
      <c r="K260" s="7" t="str">
        <f aca="false">SUBSTITUTE(SUBSTITUTE(SUBSTITUTE(H260,"EIRE","Ireland"),"RSA","South Africa"),"USA","United States")</f>
        <v>Belgium</v>
      </c>
      <c r="L260" s="7" t="str">
        <f aca="false">IF(LEFT(A260,1)="C","Cancel","Sale")</f>
        <v>Sale</v>
      </c>
      <c r="M260" s="7" t="str">
        <f aca="false">IF(G260="","Guest",REPLACE(G260,3,2,"**"))</f>
        <v>12**9</v>
      </c>
      <c r="N260" s="7" t="str">
        <f aca="false">_xlfn.CONCAT(A260,"-",I260)</f>
        <v>577046-21285</v>
      </c>
      <c r="O260" s="7" t="str">
        <f aca="false">LOWER(SUBSTITUTE(TRIM(C260)," ","-"))</f>
        <v>retrospot-candle-medium</v>
      </c>
      <c r="P260" s="7" t="n">
        <f aca="false">IF(EXACT(C260,TRIM(C260)),0,1)</f>
        <v>1</v>
      </c>
    </row>
    <row r="261" customFormat="false" ht="15" hidden="false" customHeight="false" outlineLevel="0" collapsed="false">
      <c r="A261" s="0" t="s">
        <v>760</v>
      </c>
      <c r="B261" s="0" t="s">
        <v>761</v>
      </c>
      <c r="C261" s="0" t="s">
        <v>762</v>
      </c>
      <c r="D261" s="0" t="n">
        <v>6</v>
      </c>
      <c r="E261" s="6" t="n">
        <v>40865.4138888889</v>
      </c>
      <c r="F261" s="0" t="n">
        <v>2.1</v>
      </c>
      <c r="G261" s="0" t="n">
        <v>13050</v>
      </c>
      <c r="H261" s="0" t="s">
        <v>36</v>
      </c>
      <c r="I261" s="7" t="str">
        <f aca="false">UPPER(TRIM(B261))</f>
        <v>22144</v>
      </c>
      <c r="J261" s="7" t="str">
        <f aca="false">PROPER(TRIM(C261))</f>
        <v>Christmas Craft Little Friends</v>
      </c>
      <c r="K261" s="7" t="str">
        <f aca="false">SUBSTITUTE(SUBSTITUTE(SUBSTITUTE(H261,"EIRE","Ireland"),"RSA","South Africa"),"USA","United States")</f>
        <v>United Kingdom</v>
      </c>
      <c r="L261" s="7" t="str">
        <f aca="false">IF(LEFT(A261,1)="C","Cancel","Sale")</f>
        <v>Sale</v>
      </c>
      <c r="M261" s="7" t="str">
        <f aca="false">IF(G261="","Guest",REPLACE(G261,3,2,"**"))</f>
        <v>13**0</v>
      </c>
      <c r="N261" s="7" t="str">
        <f aca="false">_xlfn.CONCAT(A261,"-",I261)</f>
        <v>577155-22144</v>
      </c>
      <c r="O261" s="7" t="str">
        <f aca="false">LOWER(SUBSTITUTE(TRIM(C261)," ","-"))</f>
        <v>christmas-craft-little-friends</v>
      </c>
      <c r="P261" s="7" t="n">
        <f aca="false">IF(EXACT(C261,TRIM(C261)),0,1)</f>
        <v>0</v>
      </c>
    </row>
    <row r="262" customFormat="false" ht="15" hidden="false" customHeight="false" outlineLevel="0" collapsed="false">
      <c r="A262" s="0" t="s">
        <v>763</v>
      </c>
      <c r="B262" s="0" t="s">
        <v>764</v>
      </c>
      <c r="C262" s="0" t="s">
        <v>765</v>
      </c>
      <c r="D262" s="0" t="n">
        <v>10</v>
      </c>
      <c r="E262" s="6" t="n">
        <v>40865.4527777778</v>
      </c>
      <c r="F262" s="0" t="n">
        <v>1.25</v>
      </c>
      <c r="G262" s="0" t="n">
        <v>17159</v>
      </c>
      <c r="H262" s="0" t="s">
        <v>36</v>
      </c>
      <c r="I262" s="7" t="str">
        <f aca="false">UPPER(TRIM(B262))</f>
        <v>22479</v>
      </c>
      <c r="J262" s="7" t="str">
        <f aca="false">PROPER(TRIM(C262))</f>
        <v>Daisy Garden Marker</v>
      </c>
      <c r="K262" s="7" t="str">
        <f aca="false">SUBSTITUTE(SUBSTITUTE(SUBSTITUTE(H262,"EIRE","Ireland"),"RSA","South Africa"),"USA","United States")</f>
        <v>United Kingdom</v>
      </c>
      <c r="L262" s="7" t="str">
        <f aca="false">IF(LEFT(A262,1)="C","Cancel","Sale")</f>
        <v>Sale</v>
      </c>
      <c r="M262" s="7" t="str">
        <f aca="false">IF(G262="","Guest",REPLACE(G262,3,2,"**"))</f>
        <v>17**9</v>
      </c>
      <c r="N262" s="7" t="str">
        <f aca="false">_xlfn.CONCAT(A262,"-",I262)</f>
        <v>577171-22479</v>
      </c>
      <c r="O262" s="7" t="str">
        <f aca="false">LOWER(SUBSTITUTE(TRIM(C262)," ","-"))</f>
        <v>daisy-garden-marker</v>
      </c>
      <c r="P262" s="7" t="n">
        <f aca="false">IF(EXACT(C262,TRIM(C262)),0,1)</f>
        <v>0</v>
      </c>
    </row>
    <row r="263" customFormat="false" ht="15" hidden="false" customHeight="false" outlineLevel="0" collapsed="false">
      <c r="A263" s="0" t="s">
        <v>766</v>
      </c>
      <c r="B263" s="0" t="s">
        <v>767</v>
      </c>
      <c r="C263" s="0" t="s">
        <v>768</v>
      </c>
      <c r="D263" s="0" t="n">
        <v>1</v>
      </c>
      <c r="E263" s="6" t="n">
        <v>40867.4756944445</v>
      </c>
      <c r="F263" s="0" t="n">
        <v>2.95</v>
      </c>
      <c r="G263" s="0" t="n">
        <v>15009</v>
      </c>
      <c r="H263" s="0" t="s">
        <v>36</v>
      </c>
      <c r="I263" s="7" t="str">
        <f aca="false">UPPER(TRIM(B263))</f>
        <v>22364</v>
      </c>
      <c r="J263" s="7" t="str">
        <f aca="false">PROPER(TRIM(C263))</f>
        <v>Glass Jar Digestive Biscuits</v>
      </c>
      <c r="K263" s="7" t="str">
        <f aca="false">SUBSTITUTE(SUBSTITUTE(SUBSTITUTE(H263,"EIRE","Ireland"),"RSA","South Africa"),"USA","United States")</f>
        <v>United Kingdom</v>
      </c>
      <c r="L263" s="7" t="str">
        <f aca="false">IF(LEFT(A263,1)="C","Cancel","Sale")</f>
        <v>Sale</v>
      </c>
      <c r="M263" s="7" t="str">
        <f aca="false">IF(G263="","Guest",REPLACE(G263,3,2,"**"))</f>
        <v>15**9</v>
      </c>
      <c r="N263" s="7" t="str">
        <f aca="false">_xlfn.CONCAT(A263,"-",I263)</f>
        <v>577469-22364</v>
      </c>
      <c r="O263" s="7" t="str">
        <f aca="false">LOWER(SUBSTITUTE(TRIM(C263)," ","-"))</f>
        <v>glass-jar-digestive-biscuits</v>
      </c>
      <c r="P263" s="7" t="n">
        <f aca="false">IF(EXACT(C263,TRIM(C263)),0,1)</f>
        <v>0</v>
      </c>
    </row>
    <row r="264" customFormat="false" ht="15" hidden="false" customHeight="false" outlineLevel="0" collapsed="false">
      <c r="A264" s="0" t="s">
        <v>769</v>
      </c>
      <c r="B264" s="0" t="s">
        <v>770</v>
      </c>
      <c r="C264" s="0" t="s">
        <v>771</v>
      </c>
      <c r="D264" s="0" t="n">
        <v>24</v>
      </c>
      <c r="E264" s="6" t="n">
        <v>40868.4180555556</v>
      </c>
      <c r="F264" s="0" t="n">
        <v>0.39</v>
      </c>
      <c r="G264" s="0" t="n">
        <v>14911</v>
      </c>
      <c r="H264" s="0" t="s">
        <v>80</v>
      </c>
      <c r="I264" s="7" t="str">
        <f aca="false">UPPER(TRIM(B264))</f>
        <v>21985</v>
      </c>
      <c r="J264" s="7" t="str">
        <f aca="false">PROPER(TRIM(C264))</f>
        <v>Pack Of 12 Hearts Design Tissues</v>
      </c>
      <c r="K264" s="7" t="str">
        <f aca="false">SUBSTITUTE(SUBSTITUTE(SUBSTITUTE(H264,"EIRE","Ireland"),"RSA","South Africa"),"USA","United States")</f>
        <v>Ireland</v>
      </c>
      <c r="L264" s="7" t="str">
        <f aca="false">IF(LEFT(A264,1)="C","Cancel","Sale")</f>
        <v>Sale</v>
      </c>
      <c r="M264" s="7" t="str">
        <f aca="false">IF(G264="","Guest",REPLACE(G264,3,2,"**"))</f>
        <v>14**1</v>
      </c>
      <c r="N264" s="7" t="str">
        <f aca="false">_xlfn.CONCAT(A264,"-",I264)</f>
        <v>577613-21985</v>
      </c>
      <c r="O264" s="7" t="str">
        <f aca="false">LOWER(SUBSTITUTE(TRIM(C264)," ","-"))</f>
        <v>pack-of-12-hearts-design-tissues</v>
      </c>
      <c r="P264" s="7" t="n">
        <f aca="false">IF(EXACT(C264,TRIM(C264)),0,1)</f>
        <v>1</v>
      </c>
    </row>
    <row r="265" customFormat="false" ht="15" hidden="false" customHeight="false" outlineLevel="0" collapsed="false">
      <c r="A265" s="0" t="s">
        <v>772</v>
      </c>
      <c r="B265" s="0" t="s">
        <v>600</v>
      </c>
      <c r="C265" s="0" t="s">
        <v>601</v>
      </c>
      <c r="D265" s="0" t="n">
        <v>1</v>
      </c>
      <c r="E265" s="6" t="n">
        <v>40868.4819444444</v>
      </c>
      <c r="F265" s="0" t="n">
        <v>12.75</v>
      </c>
      <c r="G265" s="0" t="n">
        <v>14587</v>
      </c>
      <c r="H265" s="0" t="s">
        <v>36</v>
      </c>
      <c r="I265" s="7" t="str">
        <f aca="false">UPPER(TRIM(B265))</f>
        <v>85066</v>
      </c>
      <c r="J265" s="7" t="str">
        <f aca="false">PROPER(TRIM(C265))</f>
        <v>Cream Sweetheart Mini Chest</v>
      </c>
      <c r="K265" s="7" t="str">
        <f aca="false">SUBSTITUTE(SUBSTITUTE(SUBSTITUTE(H265,"EIRE","Ireland"),"RSA","South Africa"),"USA","United States")</f>
        <v>United Kingdom</v>
      </c>
      <c r="L265" s="7" t="str">
        <f aca="false">IF(LEFT(A265,1)="C","Cancel","Sale")</f>
        <v>Sale</v>
      </c>
      <c r="M265" s="7" t="str">
        <f aca="false">IF(G265="","Guest",REPLACE(G265,3,2,"**"))</f>
        <v>14**7</v>
      </c>
      <c r="N265" s="7" t="str">
        <f aca="false">_xlfn.CONCAT(A265,"-",I265)</f>
        <v>577691-85066</v>
      </c>
      <c r="O265" s="7" t="str">
        <f aca="false">LOWER(SUBSTITUTE(TRIM(C265)," ","-"))</f>
        <v>cream-sweetheart-mini-chest</v>
      </c>
      <c r="P265" s="7" t="n">
        <f aca="false">IF(EXACT(C265,TRIM(C265)),0,1)</f>
        <v>0</v>
      </c>
    </row>
    <row r="266" customFormat="false" ht="15" hidden="false" customHeight="false" outlineLevel="0" collapsed="false">
      <c r="A266" s="0" t="s">
        <v>773</v>
      </c>
      <c r="B266" s="0" t="s">
        <v>774</v>
      </c>
      <c r="C266" s="0" t="s">
        <v>775</v>
      </c>
      <c r="D266" s="0" t="n">
        <v>1</v>
      </c>
      <c r="E266" s="6" t="n">
        <v>40868.5041666667</v>
      </c>
      <c r="F266" s="0" t="n">
        <v>5.95</v>
      </c>
      <c r="G266" s="0" t="n">
        <v>14449</v>
      </c>
      <c r="H266" s="0" t="s">
        <v>36</v>
      </c>
      <c r="I266" s="7" t="str">
        <f aca="false">UPPER(TRIM(B266))</f>
        <v>21624</v>
      </c>
      <c r="J266" s="7" t="str">
        <f aca="false">PROPER(TRIM(C266))</f>
        <v>Vintage Union Jack Doorstop</v>
      </c>
      <c r="K266" s="7" t="str">
        <f aca="false">SUBSTITUTE(SUBSTITUTE(SUBSTITUTE(H266,"EIRE","Ireland"),"RSA","South Africa"),"USA","United States")</f>
        <v>United Kingdom</v>
      </c>
      <c r="L266" s="7" t="str">
        <f aca="false">IF(LEFT(A266,1)="C","Cancel","Sale")</f>
        <v>Sale</v>
      </c>
      <c r="M266" s="7" t="str">
        <f aca="false">IF(G266="","Guest",REPLACE(G266,3,2,"**"))</f>
        <v>14**9</v>
      </c>
      <c r="N266" s="7" t="str">
        <f aca="false">_xlfn.CONCAT(A266,"-",I266)</f>
        <v>577700-21624</v>
      </c>
      <c r="O266" s="7" t="str">
        <f aca="false">LOWER(SUBSTITUTE(TRIM(C266)," ","-"))</f>
        <v>vintage-union-jack-doorstop</v>
      </c>
      <c r="P266" s="7" t="n">
        <f aca="false">IF(EXACT(C266,TRIM(C266)),0,1)</f>
        <v>0</v>
      </c>
    </row>
    <row r="267" customFormat="false" ht="15" hidden="false" customHeight="false" outlineLevel="0" collapsed="false">
      <c r="A267" s="0" t="s">
        <v>776</v>
      </c>
      <c r="B267" s="0" t="s">
        <v>777</v>
      </c>
      <c r="C267" s="0" t="s">
        <v>778</v>
      </c>
      <c r="D267" s="0" t="n">
        <v>2</v>
      </c>
      <c r="E267" s="6" t="n">
        <v>40868.6375</v>
      </c>
      <c r="F267" s="0" t="n">
        <v>10.79</v>
      </c>
      <c r="H267" s="0" t="s">
        <v>36</v>
      </c>
      <c r="I267" s="7" t="str">
        <f aca="false">UPPER(TRIM(B267))</f>
        <v>23424</v>
      </c>
      <c r="J267" s="7" t="str">
        <f aca="false">PROPER(TRIM(C267))</f>
        <v>Gingham Recipe Book Box</v>
      </c>
      <c r="K267" s="7" t="str">
        <f aca="false">SUBSTITUTE(SUBSTITUTE(SUBSTITUTE(H267,"EIRE","Ireland"),"RSA","South Africa"),"USA","United States")</f>
        <v>United Kingdom</v>
      </c>
      <c r="L267" s="7" t="str">
        <f aca="false">IF(LEFT(A267,1)="C","Cancel","Sale")</f>
        <v>Sale</v>
      </c>
      <c r="M267" s="7" t="str">
        <f aca="false">IF(G267="","Guest",REPLACE(G267,3,2,"**"))</f>
        <v>Guest</v>
      </c>
      <c r="N267" s="7" t="str">
        <f aca="false">_xlfn.CONCAT(A267,"-",I267)</f>
        <v>577768-23424</v>
      </c>
      <c r="O267" s="7" t="str">
        <f aca="false">LOWER(SUBSTITUTE(TRIM(C267)," ","-"))</f>
        <v>gingham-recipe-book-box</v>
      </c>
      <c r="P267" s="7" t="n">
        <f aca="false">IF(EXACT(C267,TRIM(C267)),0,1)</f>
        <v>0</v>
      </c>
    </row>
    <row r="268" customFormat="false" ht="15" hidden="false" customHeight="false" outlineLevel="0" collapsed="false">
      <c r="A268" s="0" t="s">
        <v>779</v>
      </c>
      <c r="B268" s="0" t="s">
        <v>780</v>
      </c>
      <c r="C268" s="0" t="s">
        <v>781</v>
      </c>
      <c r="D268" s="0" t="n">
        <v>1</v>
      </c>
      <c r="E268" s="6" t="n">
        <v>40869.6548611111</v>
      </c>
      <c r="F268" s="0" t="n">
        <v>5.79</v>
      </c>
      <c r="H268" s="0" t="s">
        <v>36</v>
      </c>
      <c r="I268" s="7" t="str">
        <f aca="false">UPPER(TRIM(B268))</f>
        <v>20914</v>
      </c>
      <c r="J268" s="7" t="str">
        <f aca="false">PROPER(TRIM(C268))</f>
        <v>Set/5 Red Retrospot Lid Glass Bowls</v>
      </c>
      <c r="K268" s="7" t="str">
        <f aca="false">SUBSTITUTE(SUBSTITUTE(SUBSTITUTE(H268,"EIRE","Ireland"),"RSA","South Africa"),"USA","United States")</f>
        <v>United Kingdom</v>
      </c>
      <c r="L268" s="7" t="str">
        <f aca="false">IF(LEFT(A268,1)="C","Cancel","Sale")</f>
        <v>Sale</v>
      </c>
      <c r="M268" s="7" t="str">
        <f aca="false">IF(G268="","Guest",REPLACE(G268,3,2,"**"))</f>
        <v>Guest</v>
      </c>
      <c r="N268" s="7" t="str">
        <f aca="false">_xlfn.CONCAT(A268,"-",I268)</f>
        <v>578067-20914</v>
      </c>
      <c r="O268" s="7" t="str">
        <f aca="false">LOWER(SUBSTITUTE(TRIM(C268)," ","-"))</f>
        <v>set/5-red-retrospot-lid-glass-bowls</v>
      </c>
      <c r="P268" s="7" t="n">
        <f aca="false">IF(EXACT(C268,TRIM(C268)),0,1)</f>
        <v>0</v>
      </c>
    </row>
    <row r="269" customFormat="false" ht="15" hidden="false" customHeight="false" outlineLevel="0" collapsed="false">
      <c r="A269" s="0" t="s">
        <v>782</v>
      </c>
      <c r="B269" s="0" t="s">
        <v>295</v>
      </c>
      <c r="C269" s="0" t="s">
        <v>296</v>
      </c>
      <c r="D269" s="0" t="n">
        <v>1</v>
      </c>
      <c r="E269" s="6" t="n">
        <v>40870.6618055556</v>
      </c>
      <c r="F269" s="0" t="n">
        <v>3.75</v>
      </c>
      <c r="G269" s="0" t="n">
        <v>17290</v>
      </c>
      <c r="H269" s="0" t="s">
        <v>36</v>
      </c>
      <c r="I269" s="7" t="str">
        <f aca="false">UPPER(TRIM(B269))</f>
        <v>21913</v>
      </c>
      <c r="J269" s="7" t="str">
        <f aca="false">PROPER(TRIM(C269))</f>
        <v>Vintage Seaside Jigsaw Puzzles</v>
      </c>
      <c r="K269" s="7" t="str">
        <f aca="false">SUBSTITUTE(SUBSTITUTE(SUBSTITUTE(H269,"EIRE","Ireland"),"RSA","South Africa"),"USA","United States")</f>
        <v>United Kingdom</v>
      </c>
      <c r="L269" s="7" t="str">
        <f aca="false">IF(LEFT(A269,1)="C","Cancel","Sale")</f>
        <v>Sale</v>
      </c>
      <c r="M269" s="7" t="str">
        <f aca="false">IF(G269="","Guest",REPLACE(G269,3,2,"**"))</f>
        <v>17**0</v>
      </c>
      <c r="N269" s="7" t="str">
        <f aca="false">_xlfn.CONCAT(A269,"-",I269)</f>
        <v>578307-21913</v>
      </c>
      <c r="O269" s="7" t="str">
        <f aca="false">LOWER(SUBSTITUTE(TRIM(C269)," ","-"))</f>
        <v>vintage-seaside-jigsaw-puzzles</v>
      </c>
      <c r="P269" s="7" t="n">
        <f aca="false">IF(EXACT(C269,TRIM(C269)),0,1)</f>
        <v>0</v>
      </c>
    </row>
    <row r="270" customFormat="false" ht="15" hidden="false" customHeight="false" outlineLevel="0" collapsed="false">
      <c r="A270" s="0" t="s">
        <v>783</v>
      </c>
      <c r="B270" s="0" t="s">
        <v>784</v>
      </c>
      <c r="C270" s="0" t="s">
        <v>785</v>
      </c>
      <c r="D270" s="0" t="n">
        <v>2</v>
      </c>
      <c r="E270" s="6" t="n">
        <v>40871.3895833333</v>
      </c>
      <c r="F270" s="0" t="n">
        <v>12.46</v>
      </c>
      <c r="H270" s="0" t="s">
        <v>36</v>
      </c>
      <c r="I270" s="7" t="str">
        <f aca="false">UPPER(TRIM(B270))</f>
        <v>23534</v>
      </c>
      <c r="J270" s="7" t="str">
        <f aca="false">PROPER(TRIM(C270))</f>
        <v>Wall Art Stop For Tea</v>
      </c>
      <c r="K270" s="7" t="str">
        <f aca="false">SUBSTITUTE(SUBSTITUTE(SUBSTITUTE(H270,"EIRE","Ireland"),"RSA","South Africa"),"USA","United States")</f>
        <v>United Kingdom</v>
      </c>
      <c r="L270" s="7" t="str">
        <f aca="false">IF(LEFT(A270,1)="C","Cancel","Sale")</f>
        <v>Sale</v>
      </c>
      <c r="M270" s="7" t="str">
        <f aca="false">IF(G270="","Guest",REPLACE(G270,3,2,"**"))</f>
        <v>Guest</v>
      </c>
      <c r="N270" s="7" t="str">
        <f aca="false">_xlfn.CONCAT(A270,"-",I270)</f>
        <v>578344-23534</v>
      </c>
      <c r="O270" s="7" t="str">
        <f aca="false">LOWER(SUBSTITUTE(TRIM(C270)," ","-"))</f>
        <v>wall-art-stop-for-tea</v>
      </c>
      <c r="P270" s="7" t="n">
        <f aca="false">IF(EXACT(C270,TRIM(C270)),0,1)</f>
        <v>1</v>
      </c>
    </row>
    <row r="271" customFormat="false" ht="15" hidden="false" customHeight="false" outlineLevel="0" collapsed="false">
      <c r="A271" s="0" t="s">
        <v>786</v>
      </c>
      <c r="B271" s="0" t="s">
        <v>787</v>
      </c>
      <c r="C271" s="0" t="s">
        <v>788</v>
      </c>
      <c r="D271" s="0" t="n">
        <v>1</v>
      </c>
      <c r="E271" s="6" t="n">
        <v>40871.3930555556</v>
      </c>
      <c r="F271" s="0" t="n">
        <v>0.83</v>
      </c>
      <c r="H271" s="0" t="s">
        <v>36</v>
      </c>
      <c r="I271" s="7" t="str">
        <f aca="false">UPPER(TRIM(B271))</f>
        <v>22999</v>
      </c>
      <c r="J271" s="7" t="str">
        <f aca="false">PROPER(TRIM(C271))</f>
        <v>Travel Card Wallet Vintage Leaf</v>
      </c>
      <c r="K271" s="7" t="str">
        <f aca="false">SUBSTITUTE(SUBSTITUTE(SUBSTITUTE(H271,"EIRE","Ireland"),"RSA","South Africa"),"USA","United States")</f>
        <v>United Kingdom</v>
      </c>
      <c r="L271" s="7" t="str">
        <f aca="false">IF(LEFT(A271,1)="C","Cancel","Sale")</f>
        <v>Sale</v>
      </c>
      <c r="M271" s="7" t="str">
        <f aca="false">IF(G271="","Guest",REPLACE(G271,3,2,"**"))</f>
        <v>Guest</v>
      </c>
      <c r="N271" s="7" t="str">
        <f aca="false">_xlfn.CONCAT(A271,"-",I271)</f>
        <v>578347-22999</v>
      </c>
      <c r="O271" s="7" t="str">
        <f aca="false">LOWER(SUBSTITUTE(TRIM(C271)," ","-"))</f>
        <v>travel-card-wallet-vintage-leaf</v>
      </c>
      <c r="P271" s="7" t="n">
        <f aca="false">IF(EXACT(C271,TRIM(C271)),0,1)</f>
        <v>0</v>
      </c>
    </row>
    <row r="272" customFormat="false" ht="15" hidden="false" customHeight="false" outlineLevel="0" collapsed="false">
      <c r="A272" s="0" t="s">
        <v>789</v>
      </c>
      <c r="B272" s="0" t="s">
        <v>790</v>
      </c>
      <c r="C272" s="0" t="s">
        <v>791</v>
      </c>
      <c r="D272" s="0" t="n">
        <v>1</v>
      </c>
      <c r="E272" s="6" t="n">
        <v>40871.4652777778</v>
      </c>
      <c r="F272" s="0" t="n">
        <v>1.95</v>
      </c>
      <c r="G272" s="0" t="n">
        <v>14698</v>
      </c>
      <c r="H272" s="0" t="s">
        <v>36</v>
      </c>
      <c r="I272" s="7" t="str">
        <f aca="false">UPPER(TRIM(B272))</f>
        <v>23452</v>
      </c>
      <c r="J272" s="7" t="str">
        <f aca="false">PROPER(TRIM(C272))</f>
        <v>Heart Mini Portrait Frame</v>
      </c>
      <c r="K272" s="7" t="str">
        <f aca="false">SUBSTITUTE(SUBSTITUTE(SUBSTITUTE(H272,"EIRE","Ireland"),"RSA","South Africa"),"USA","United States")</f>
        <v>United Kingdom</v>
      </c>
      <c r="L272" s="7" t="str">
        <f aca="false">IF(LEFT(A272,1)="C","Cancel","Sale")</f>
        <v>Sale</v>
      </c>
      <c r="M272" s="7" t="str">
        <f aca="false">IF(G272="","Guest",REPLACE(G272,3,2,"**"))</f>
        <v>14**8</v>
      </c>
      <c r="N272" s="7" t="str">
        <f aca="false">_xlfn.CONCAT(A272,"-",I272)</f>
        <v>578369-23452</v>
      </c>
      <c r="O272" s="7" t="str">
        <f aca="false">LOWER(SUBSTITUTE(TRIM(C272)," ","-"))</f>
        <v>heart-mini-portrait-frame</v>
      </c>
      <c r="P272" s="7" t="n">
        <f aca="false">IF(EXACT(C272,TRIM(C272)),0,1)</f>
        <v>0</v>
      </c>
    </row>
    <row r="273" customFormat="false" ht="15" hidden="false" customHeight="false" outlineLevel="0" collapsed="false">
      <c r="A273" s="0" t="s">
        <v>792</v>
      </c>
      <c r="B273" s="0" t="s">
        <v>793</v>
      </c>
      <c r="C273" s="0" t="s">
        <v>794</v>
      </c>
      <c r="D273" s="0" t="n">
        <v>3</v>
      </c>
      <c r="E273" s="6" t="n">
        <v>40872.5729166667</v>
      </c>
      <c r="F273" s="0" t="n">
        <v>1.25</v>
      </c>
      <c r="G273" s="0" t="n">
        <v>16764</v>
      </c>
      <c r="H273" s="0" t="s">
        <v>36</v>
      </c>
      <c r="I273" s="7" t="str">
        <f aca="false">UPPER(TRIM(B273))</f>
        <v>84836</v>
      </c>
      <c r="J273" s="7" t="str">
        <f aca="false">PROPER(TRIM(C273))</f>
        <v>Zinc Metal Heart Decoration</v>
      </c>
      <c r="K273" s="7" t="str">
        <f aca="false">SUBSTITUTE(SUBSTITUTE(SUBSTITUTE(H273,"EIRE","Ireland"),"RSA","South Africa"),"USA","United States")</f>
        <v>United Kingdom</v>
      </c>
      <c r="L273" s="7" t="str">
        <f aca="false">IF(LEFT(A273,1)="C","Cancel","Sale")</f>
        <v>Sale</v>
      </c>
      <c r="M273" s="7" t="str">
        <f aca="false">IF(G273="","Guest",REPLACE(G273,3,2,"**"))</f>
        <v>16**4</v>
      </c>
      <c r="N273" s="7" t="str">
        <f aca="false">_xlfn.CONCAT(A273,"-",I273)</f>
        <v>578817-84836</v>
      </c>
      <c r="O273" s="7" t="str">
        <f aca="false">LOWER(SUBSTITUTE(TRIM(C273)," ","-"))</f>
        <v>zinc-metal-heart-decoration</v>
      </c>
      <c r="P273" s="7" t="n">
        <f aca="false">IF(EXACT(C273,TRIM(C273)),0,1)</f>
        <v>0</v>
      </c>
    </row>
    <row r="274" customFormat="false" ht="15" hidden="false" customHeight="false" outlineLevel="0" collapsed="false">
      <c r="A274" s="0" t="s">
        <v>795</v>
      </c>
      <c r="B274" s="0" t="s">
        <v>308</v>
      </c>
      <c r="C274" s="0" t="s">
        <v>309</v>
      </c>
      <c r="D274" s="0" t="n">
        <v>3</v>
      </c>
      <c r="E274" s="6" t="n">
        <v>40872.6763888889</v>
      </c>
      <c r="F274" s="0" t="n">
        <v>3.29</v>
      </c>
      <c r="H274" s="0" t="s">
        <v>36</v>
      </c>
      <c r="I274" s="7" t="str">
        <f aca="false">UPPER(TRIM(B274))</f>
        <v>23300</v>
      </c>
      <c r="J274" s="7" t="str">
        <f aca="false">PROPER(TRIM(C274))</f>
        <v>Gardeners Kneeling Pad Cup Of Tea</v>
      </c>
      <c r="K274" s="7" t="str">
        <f aca="false">SUBSTITUTE(SUBSTITUTE(SUBSTITUTE(H274,"EIRE","Ireland"),"RSA","South Africa"),"USA","United States")</f>
        <v>United Kingdom</v>
      </c>
      <c r="L274" s="7" t="str">
        <f aca="false">IF(LEFT(A274,1)="C","Cancel","Sale")</f>
        <v>Sale</v>
      </c>
      <c r="M274" s="7" t="str">
        <f aca="false">IF(G274="","Guest",REPLACE(G274,3,2,"**"))</f>
        <v>Guest</v>
      </c>
      <c r="N274" s="7" t="str">
        <f aca="false">_xlfn.CONCAT(A274,"-",I274)</f>
        <v>578844-23300</v>
      </c>
      <c r="O274" s="7" t="str">
        <f aca="false">LOWER(SUBSTITUTE(TRIM(C274)," ","-"))</f>
        <v>gardeners-kneeling-pad-cup-of-tea</v>
      </c>
      <c r="P274" s="7" t="n">
        <f aca="false">IF(EXACT(C274,TRIM(C274)),0,1)</f>
        <v>1</v>
      </c>
    </row>
    <row r="275" customFormat="false" ht="15" hidden="false" customHeight="false" outlineLevel="0" collapsed="false">
      <c r="A275" s="0" t="s">
        <v>796</v>
      </c>
      <c r="B275" s="0" t="s">
        <v>797</v>
      </c>
      <c r="C275" s="0" t="s">
        <v>798</v>
      </c>
      <c r="D275" s="0" t="n">
        <v>7</v>
      </c>
      <c r="E275" s="6" t="n">
        <v>40874.5416666667</v>
      </c>
      <c r="F275" s="0" t="n">
        <v>2.95</v>
      </c>
      <c r="G275" s="0" t="n">
        <v>16923</v>
      </c>
      <c r="H275" s="0" t="s">
        <v>36</v>
      </c>
      <c r="I275" s="7" t="str">
        <f aca="false">UPPER(TRIM(B275))</f>
        <v>22697</v>
      </c>
      <c r="J275" s="7" t="str">
        <f aca="false">PROPER(TRIM(C275))</f>
        <v>Green Regency Teacup And Saucer</v>
      </c>
      <c r="K275" s="7" t="str">
        <f aca="false">SUBSTITUTE(SUBSTITUTE(SUBSTITUTE(H275,"EIRE","Ireland"),"RSA","South Africa"),"USA","United States")</f>
        <v>United Kingdom</v>
      </c>
      <c r="L275" s="7" t="str">
        <f aca="false">IF(LEFT(A275,1)="C","Cancel","Sale")</f>
        <v>Sale</v>
      </c>
      <c r="M275" s="7" t="str">
        <f aca="false">IF(G275="","Guest",REPLACE(G275,3,2,"**"))</f>
        <v>16**3</v>
      </c>
      <c r="N275" s="7" t="str">
        <f aca="false">_xlfn.CONCAT(A275,"-",I275)</f>
        <v>578936-22697</v>
      </c>
      <c r="O275" s="7" t="str">
        <f aca="false">LOWER(SUBSTITUTE(TRIM(C275)," ","-"))</f>
        <v>green-regency-teacup-and-saucer</v>
      </c>
      <c r="P275" s="7" t="n">
        <f aca="false">IF(EXACT(C275,TRIM(C275)),0,1)</f>
        <v>0</v>
      </c>
    </row>
    <row r="276" customFormat="false" ht="15" hidden="false" customHeight="false" outlineLevel="0" collapsed="false">
      <c r="A276" s="0" t="s">
        <v>799</v>
      </c>
      <c r="B276" s="0" t="s">
        <v>800</v>
      </c>
      <c r="C276" s="0" t="s">
        <v>801</v>
      </c>
      <c r="D276" s="0" t="n">
        <v>4</v>
      </c>
      <c r="E276" s="6" t="n">
        <v>40874.5618055556</v>
      </c>
      <c r="F276" s="0" t="n">
        <v>0.39</v>
      </c>
      <c r="G276" s="0" t="n">
        <v>17288</v>
      </c>
      <c r="H276" s="0" t="s">
        <v>36</v>
      </c>
      <c r="I276" s="7" t="str">
        <f aca="false">UPPER(TRIM(B276))</f>
        <v>35964</v>
      </c>
      <c r="J276" s="7" t="str">
        <f aca="false">PROPER(TRIM(C276))</f>
        <v>Folkart Clip On Stars</v>
      </c>
      <c r="K276" s="7" t="str">
        <f aca="false">SUBSTITUTE(SUBSTITUTE(SUBSTITUTE(H276,"EIRE","Ireland"),"RSA","South Africa"),"USA","United States")</f>
        <v>United Kingdom</v>
      </c>
      <c r="L276" s="7" t="str">
        <f aca="false">IF(LEFT(A276,1)="C","Cancel","Sale")</f>
        <v>Sale</v>
      </c>
      <c r="M276" s="7" t="str">
        <f aca="false">IF(G276="","Guest",REPLACE(G276,3,2,"**"))</f>
        <v>17**8</v>
      </c>
      <c r="N276" s="7" t="str">
        <f aca="false">_xlfn.CONCAT(A276,"-",I276)</f>
        <v>578942-35964</v>
      </c>
      <c r="O276" s="7" t="str">
        <f aca="false">LOWER(SUBSTITUTE(TRIM(C276)," ","-"))</f>
        <v>folkart-clip-on-stars</v>
      </c>
      <c r="P276" s="7" t="n">
        <f aca="false">IF(EXACT(C276,TRIM(C276)),0,1)</f>
        <v>0</v>
      </c>
    </row>
    <row r="277" customFormat="false" ht="15" hidden="false" customHeight="false" outlineLevel="0" collapsed="false">
      <c r="A277" s="0" t="s">
        <v>802</v>
      </c>
      <c r="B277" s="0" t="s">
        <v>803</v>
      </c>
      <c r="C277" s="0" t="s">
        <v>804</v>
      </c>
      <c r="D277" s="0" t="n">
        <v>72</v>
      </c>
      <c r="E277" s="6" t="n">
        <v>40875.4118055556</v>
      </c>
      <c r="F277" s="0" t="n">
        <v>0.39</v>
      </c>
      <c r="G277" s="0" t="n">
        <v>12906</v>
      </c>
      <c r="H277" s="0" t="s">
        <v>36</v>
      </c>
      <c r="I277" s="7" t="str">
        <f aca="false">UPPER(TRIM(B277))</f>
        <v>22616</v>
      </c>
      <c r="J277" s="7" t="str">
        <f aca="false">PROPER(TRIM(C277))</f>
        <v>Pack Of 12 London Tissues</v>
      </c>
      <c r="K277" s="7" t="str">
        <f aca="false">SUBSTITUTE(SUBSTITUTE(SUBSTITUTE(H277,"EIRE","Ireland"),"RSA","South Africa"),"USA","United States")</f>
        <v>United Kingdom</v>
      </c>
      <c r="L277" s="7" t="str">
        <f aca="false">IF(LEFT(A277,1)="C","Cancel","Sale")</f>
        <v>Sale</v>
      </c>
      <c r="M277" s="7" t="str">
        <f aca="false">IF(G277="","Guest",REPLACE(G277,3,2,"**"))</f>
        <v>12**6</v>
      </c>
      <c r="N277" s="7" t="str">
        <f aca="false">_xlfn.CONCAT(A277,"-",I277)</f>
        <v>579014-22616</v>
      </c>
      <c r="O277" s="7" t="str">
        <f aca="false">LOWER(SUBSTITUTE(TRIM(C277)," ","-"))</f>
        <v>pack-of-12-london-tissues</v>
      </c>
      <c r="P277" s="7" t="n">
        <f aca="false">IF(EXACT(C277,TRIM(C277)),0,1)</f>
        <v>1</v>
      </c>
    </row>
    <row r="278" customFormat="false" ht="15" hidden="false" customHeight="false" outlineLevel="0" collapsed="false">
      <c r="A278" s="0" t="s">
        <v>805</v>
      </c>
      <c r="B278" s="0" t="s">
        <v>806</v>
      </c>
      <c r="C278" s="0" t="s">
        <v>807</v>
      </c>
      <c r="D278" s="0" t="n">
        <v>12</v>
      </c>
      <c r="E278" s="6" t="n">
        <v>40875.5472222222</v>
      </c>
      <c r="F278" s="0" t="n">
        <v>1.25</v>
      </c>
      <c r="G278" s="0" t="n">
        <v>13882</v>
      </c>
      <c r="H278" s="0" t="s">
        <v>36</v>
      </c>
      <c r="I278" s="7" t="str">
        <f aca="false">UPPER(TRIM(B278))</f>
        <v>21615</v>
      </c>
      <c r="J278" s="7" t="str">
        <f aca="false">PROPER(TRIM(C278))</f>
        <v>4 Lavender Botanical Dinner Candles</v>
      </c>
      <c r="K278" s="7" t="str">
        <f aca="false">SUBSTITUTE(SUBSTITUTE(SUBSTITUTE(H278,"EIRE","Ireland"),"RSA","South Africa"),"USA","United States")</f>
        <v>United Kingdom</v>
      </c>
      <c r="L278" s="7" t="str">
        <f aca="false">IF(LEFT(A278,1)="C","Cancel","Sale")</f>
        <v>Sale</v>
      </c>
      <c r="M278" s="7" t="str">
        <f aca="false">IF(G278="","Guest",REPLACE(G278,3,2,"**"))</f>
        <v>13**2</v>
      </c>
      <c r="N278" s="7" t="str">
        <f aca="false">_xlfn.CONCAT(A278,"-",I278)</f>
        <v>579143-21615</v>
      </c>
      <c r="O278" s="7" t="str">
        <f aca="false">LOWER(SUBSTITUTE(TRIM(C278)," ","-"))</f>
        <v>4-lavender-botanical-dinner-candles</v>
      </c>
      <c r="P278" s="7" t="n">
        <f aca="false">IF(EXACT(C278,TRIM(C278)),0,1)</f>
        <v>0</v>
      </c>
    </row>
    <row r="279" customFormat="false" ht="15" hidden="false" customHeight="false" outlineLevel="0" collapsed="false">
      <c r="A279" s="0" t="s">
        <v>808</v>
      </c>
      <c r="B279" s="0" t="s">
        <v>809</v>
      </c>
      <c r="C279" s="0" t="s">
        <v>810</v>
      </c>
      <c r="D279" s="0" t="n">
        <v>2</v>
      </c>
      <c r="E279" s="6" t="n">
        <v>40875.5555555556</v>
      </c>
      <c r="F279" s="0" t="n">
        <v>1.65</v>
      </c>
      <c r="G279" s="0" t="n">
        <v>13263</v>
      </c>
      <c r="H279" s="0" t="s">
        <v>36</v>
      </c>
      <c r="I279" s="7" t="str">
        <f aca="false">UPPER(TRIM(B279))</f>
        <v>23321</v>
      </c>
      <c r="J279" s="7" t="str">
        <f aca="false">PROPER(TRIM(C279))</f>
        <v>Small White Heart Of Wicker</v>
      </c>
      <c r="K279" s="7" t="str">
        <f aca="false">SUBSTITUTE(SUBSTITUTE(SUBSTITUTE(H279,"EIRE","Ireland"),"RSA","South Africa"),"USA","United States")</f>
        <v>United Kingdom</v>
      </c>
      <c r="L279" s="7" t="str">
        <f aca="false">IF(LEFT(A279,1)="C","Cancel","Sale")</f>
        <v>Sale</v>
      </c>
      <c r="M279" s="7" t="str">
        <f aca="false">IF(G279="","Guest",REPLACE(G279,3,2,"**"))</f>
        <v>13**3</v>
      </c>
      <c r="N279" s="7" t="str">
        <f aca="false">_xlfn.CONCAT(A279,"-",I279)</f>
        <v>579147-23321</v>
      </c>
      <c r="O279" s="7" t="str">
        <f aca="false">LOWER(SUBSTITUTE(TRIM(C279)," ","-"))</f>
        <v>small-white-heart-of-wicker</v>
      </c>
      <c r="P279" s="7" t="n">
        <f aca="false">IF(EXACT(C279,TRIM(C279)),0,1)</f>
        <v>0</v>
      </c>
    </row>
    <row r="280" customFormat="false" ht="15" hidden="false" customHeight="false" outlineLevel="0" collapsed="false">
      <c r="A280" s="0" t="s">
        <v>811</v>
      </c>
      <c r="B280" s="0" t="s">
        <v>812</v>
      </c>
      <c r="C280" s="0" t="s">
        <v>813</v>
      </c>
      <c r="D280" s="0" t="n">
        <v>1</v>
      </c>
      <c r="E280" s="6" t="n">
        <v>40875.6465277778</v>
      </c>
      <c r="F280" s="0" t="n">
        <v>1.63</v>
      </c>
      <c r="H280" s="0" t="s">
        <v>36</v>
      </c>
      <c r="I280" s="7" t="str">
        <f aca="false">UPPER(TRIM(B280))</f>
        <v>22962</v>
      </c>
      <c r="J280" s="7" t="str">
        <f aca="false">PROPER(TRIM(C280))</f>
        <v>Jam Jar With Pink Lid</v>
      </c>
      <c r="K280" s="7" t="str">
        <f aca="false">SUBSTITUTE(SUBSTITUTE(SUBSTITUTE(H280,"EIRE","Ireland"),"RSA","South Africa"),"USA","United States")</f>
        <v>United Kingdom</v>
      </c>
      <c r="L280" s="7" t="str">
        <f aca="false">IF(LEFT(A280,1)="C","Cancel","Sale")</f>
        <v>Sale</v>
      </c>
      <c r="M280" s="7" t="str">
        <f aca="false">IF(G280="","Guest",REPLACE(G280,3,2,"**"))</f>
        <v>Guest</v>
      </c>
      <c r="N280" s="7" t="str">
        <f aca="false">_xlfn.CONCAT(A280,"-",I280)</f>
        <v>579187-22962</v>
      </c>
      <c r="O280" s="7" t="str">
        <f aca="false">LOWER(SUBSTITUTE(TRIM(C280)," ","-"))</f>
        <v>jam-jar-with-pink-lid</v>
      </c>
      <c r="P280" s="7" t="n">
        <f aca="false">IF(EXACT(C280,TRIM(C280)),0,1)</f>
        <v>0</v>
      </c>
    </row>
    <row r="281" customFormat="false" ht="15" hidden="false" customHeight="false" outlineLevel="0" collapsed="false">
      <c r="A281" s="0" t="s">
        <v>811</v>
      </c>
      <c r="B281" s="0" t="s">
        <v>814</v>
      </c>
      <c r="C281" s="0" t="s">
        <v>815</v>
      </c>
      <c r="D281" s="0" t="n">
        <v>2</v>
      </c>
      <c r="E281" s="6" t="n">
        <v>40875.6465277778</v>
      </c>
      <c r="F281" s="0" t="n">
        <v>3.29</v>
      </c>
      <c r="H281" s="0" t="s">
        <v>36</v>
      </c>
      <c r="I281" s="7" t="str">
        <f aca="false">UPPER(TRIM(B281))</f>
        <v>22195</v>
      </c>
      <c r="J281" s="7" t="str">
        <f aca="false">PROPER(TRIM(C281))</f>
        <v>Large Heart Measuring Spoons</v>
      </c>
      <c r="K281" s="7" t="str">
        <f aca="false">SUBSTITUTE(SUBSTITUTE(SUBSTITUTE(H281,"EIRE","Ireland"),"RSA","South Africa"),"USA","United States")</f>
        <v>United Kingdom</v>
      </c>
      <c r="L281" s="7" t="str">
        <f aca="false">IF(LEFT(A281,1)="C","Cancel","Sale")</f>
        <v>Sale</v>
      </c>
      <c r="M281" s="7" t="str">
        <f aca="false">IF(G281="","Guest",REPLACE(G281,3,2,"**"))</f>
        <v>Guest</v>
      </c>
      <c r="N281" s="7" t="str">
        <f aca="false">_xlfn.CONCAT(A281,"-",I281)</f>
        <v>579187-22195</v>
      </c>
      <c r="O281" s="7" t="str">
        <f aca="false">LOWER(SUBSTITUTE(TRIM(C281)," ","-"))</f>
        <v>large-heart-measuring-spoons</v>
      </c>
      <c r="P281" s="7" t="n">
        <f aca="false">IF(EXACT(C281,TRIM(C281)),0,1)</f>
        <v>0</v>
      </c>
    </row>
    <row r="282" customFormat="false" ht="15" hidden="false" customHeight="false" outlineLevel="0" collapsed="false">
      <c r="A282" s="0" t="s">
        <v>811</v>
      </c>
      <c r="B282" s="0" t="s">
        <v>350</v>
      </c>
      <c r="C282" s="0" t="s">
        <v>351</v>
      </c>
      <c r="D282" s="0" t="n">
        <v>3</v>
      </c>
      <c r="E282" s="6" t="n">
        <v>40875.6465277778</v>
      </c>
      <c r="F282" s="0" t="n">
        <v>1.63</v>
      </c>
      <c r="H282" s="0" t="s">
        <v>36</v>
      </c>
      <c r="I282" s="7" t="str">
        <f aca="false">UPPER(TRIM(B282))</f>
        <v>23287</v>
      </c>
      <c r="J282" s="7" t="str">
        <f aca="false">PROPER(TRIM(C282))</f>
        <v>Red Vintage Spot Beaker</v>
      </c>
      <c r="K282" s="7" t="str">
        <f aca="false">SUBSTITUTE(SUBSTITUTE(SUBSTITUTE(H282,"EIRE","Ireland"),"RSA","South Africa"),"USA","United States")</f>
        <v>United Kingdom</v>
      </c>
      <c r="L282" s="7" t="str">
        <f aca="false">IF(LEFT(A282,1)="C","Cancel","Sale")</f>
        <v>Sale</v>
      </c>
      <c r="M282" s="7" t="str">
        <f aca="false">IF(G282="","Guest",REPLACE(G282,3,2,"**"))</f>
        <v>Guest</v>
      </c>
      <c r="N282" s="7" t="str">
        <f aca="false">_xlfn.CONCAT(A282,"-",I282)</f>
        <v>579187-23287</v>
      </c>
      <c r="O282" s="7" t="str">
        <f aca="false">LOWER(SUBSTITUTE(TRIM(C282)," ","-"))</f>
        <v>red-vintage-spot-beaker</v>
      </c>
      <c r="P282" s="7" t="n">
        <f aca="false">IF(EXACT(C282,TRIM(C282)),0,1)</f>
        <v>0</v>
      </c>
    </row>
    <row r="283" customFormat="false" ht="15" hidden="false" customHeight="false" outlineLevel="0" collapsed="false">
      <c r="A283" s="0" t="s">
        <v>816</v>
      </c>
      <c r="B283" s="0" t="s">
        <v>588</v>
      </c>
      <c r="C283" s="0" t="s">
        <v>589</v>
      </c>
      <c r="D283" s="0" t="n">
        <v>5</v>
      </c>
      <c r="E283" s="6" t="n">
        <v>40876.4729166667</v>
      </c>
      <c r="F283" s="0" t="n">
        <v>8.29</v>
      </c>
      <c r="H283" s="0" t="s">
        <v>36</v>
      </c>
      <c r="I283" s="7" t="str">
        <f aca="false">UPPER(TRIM(B283))</f>
        <v>84997B</v>
      </c>
      <c r="J283" s="7" t="str">
        <f aca="false">PROPER(TRIM(C283))</f>
        <v>Childrens Cutlery Retrospot Red</v>
      </c>
      <c r="K283" s="7" t="str">
        <f aca="false">SUBSTITUTE(SUBSTITUTE(SUBSTITUTE(H283,"EIRE","Ireland"),"RSA","South Africa"),"USA","United States")</f>
        <v>United Kingdom</v>
      </c>
      <c r="L283" s="7" t="str">
        <f aca="false">IF(LEFT(A283,1)="C","Cancel","Sale")</f>
        <v>Sale</v>
      </c>
      <c r="M283" s="7" t="str">
        <f aca="false">IF(G283="","Guest",REPLACE(G283,3,2,"**"))</f>
        <v>Guest</v>
      </c>
      <c r="N283" s="7" t="str">
        <f aca="false">_xlfn.CONCAT(A283,"-",I283)</f>
        <v>579291-84997B</v>
      </c>
      <c r="O283" s="7" t="str">
        <f aca="false">LOWER(SUBSTITUTE(TRIM(C283)," ","-"))</f>
        <v>childrens-cutlery-retrospot-red</v>
      </c>
      <c r="P283" s="7" t="n">
        <f aca="false">IF(EXACT(C283,TRIM(C283)),0,1)</f>
        <v>1</v>
      </c>
    </row>
    <row r="284" customFormat="false" ht="15" hidden="false" customHeight="false" outlineLevel="0" collapsed="false">
      <c r="A284" s="0" t="s">
        <v>817</v>
      </c>
      <c r="B284" s="0" t="s">
        <v>818</v>
      </c>
      <c r="C284" s="0" t="s">
        <v>819</v>
      </c>
      <c r="D284" s="0" t="n">
        <v>-1</v>
      </c>
      <c r="E284" s="6" t="n">
        <v>40877.6027777778</v>
      </c>
      <c r="F284" s="0" t="n">
        <v>14.95</v>
      </c>
      <c r="G284" s="0" t="n">
        <v>16956</v>
      </c>
      <c r="H284" s="0" t="s">
        <v>36</v>
      </c>
      <c r="I284" s="7" t="str">
        <f aca="false">UPPER(TRIM(B284))</f>
        <v>22762</v>
      </c>
      <c r="J284" s="7" t="str">
        <f aca="false">PROPER(TRIM(C284))</f>
        <v>Cupboard 3 Drawer Ma Campagne</v>
      </c>
      <c r="K284" s="7" t="str">
        <f aca="false">SUBSTITUTE(SUBSTITUTE(SUBSTITUTE(H284,"EIRE","Ireland"),"RSA","South Africa"),"USA","United States")</f>
        <v>United Kingdom</v>
      </c>
      <c r="L284" s="7" t="str">
        <f aca="false">IF(LEFT(A284,1)="C","Cancel","Sale")</f>
        <v>Cancel</v>
      </c>
      <c r="M284" s="7" t="str">
        <f aca="false">IF(G284="","Guest",REPLACE(G284,3,2,"**"))</f>
        <v>16**6</v>
      </c>
      <c r="N284" s="7" t="str">
        <f aca="false">_xlfn.CONCAT(A284,"-",I284)</f>
        <v>C579739-22762</v>
      </c>
      <c r="O284" s="7" t="str">
        <f aca="false">LOWER(SUBSTITUTE(TRIM(C284)," ","-"))</f>
        <v>cupboard-3-drawer-ma-campagne</v>
      </c>
      <c r="P284" s="7" t="n">
        <f aca="false">IF(EXACT(C284,TRIM(C284)),0,1)</f>
        <v>0</v>
      </c>
    </row>
    <row r="285" customFormat="false" ht="15" hidden="false" customHeight="false" outlineLevel="0" collapsed="false">
      <c r="A285" s="0" t="s">
        <v>820</v>
      </c>
      <c r="B285" s="0" t="s">
        <v>821</v>
      </c>
      <c r="C285" s="0" t="s">
        <v>822</v>
      </c>
      <c r="D285" s="0" t="n">
        <v>3</v>
      </c>
      <c r="E285" s="6" t="n">
        <v>40877.6340277778</v>
      </c>
      <c r="F285" s="0" t="n">
        <v>0.42</v>
      </c>
      <c r="H285" s="0" t="s">
        <v>36</v>
      </c>
      <c r="I285" s="7" t="str">
        <f aca="false">UPPER(TRIM(B285))</f>
        <v>22816</v>
      </c>
      <c r="J285" s="7" t="str">
        <f aca="false">PROPER(TRIM(C285))</f>
        <v>Card Motorbike Santa</v>
      </c>
      <c r="K285" s="7" t="str">
        <f aca="false">SUBSTITUTE(SUBSTITUTE(SUBSTITUTE(H285,"EIRE","Ireland"),"RSA","South Africa"),"USA","United States")</f>
        <v>United Kingdom</v>
      </c>
      <c r="L285" s="7" t="str">
        <f aca="false">IF(LEFT(A285,1)="C","Cancel","Sale")</f>
        <v>Sale</v>
      </c>
      <c r="M285" s="7" t="str">
        <f aca="false">IF(G285="","Guest",REPLACE(G285,3,2,"**"))</f>
        <v>Guest</v>
      </c>
      <c r="N285" s="7" t="str">
        <f aca="false">_xlfn.CONCAT(A285,"-",I285)</f>
        <v>579777-22816</v>
      </c>
      <c r="O285" s="7" t="str">
        <f aca="false">LOWER(SUBSTITUTE(TRIM(C285)," ","-"))</f>
        <v>card-motorbike-santa</v>
      </c>
      <c r="P285" s="7" t="n">
        <f aca="false">IF(EXACT(C285,TRIM(C285)),0,1)</f>
        <v>0</v>
      </c>
    </row>
    <row r="286" customFormat="false" ht="15" hidden="false" customHeight="false" outlineLevel="0" collapsed="false">
      <c r="A286" s="0" t="s">
        <v>823</v>
      </c>
      <c r="B286" s="0" t="s">
        <v>824</v>
      </c>
      <c r="C286" s="0" t="s">
        <v>825</v>
      </c>
      <c r="D286" s="0" t="n">
        <v>4</v>
      </c>
      <c r="E286" s="6" t="n">
        <v>40878.3694444444</v>
      </c>
      <c r="F286" s="0" t="n">
        <v>3.75</v>
      </c>
      <c r="G286" s="0" t="n">
        <v>14911</v>
      </c>
      <c r="H286" s="0" t="s">
        <v>80</v>
      </c>
      <c r="I286" s="7" t="str">
        <f aca="false">UPPER(TRIM(B286))</f>
        <v>22749</v>
      </c>
      <c r="J286" s="7" t="str">
        <f aca="false">PROPER(TRIM(C286))</f>
        <v>Feltcraft Princess Charlotte Doll</v>
      </c>
      <c r="K286" s="7" t="str">
        <f aca="false">SUBSTITUTE(SUBSTITUTE(SUBSTITUTE(H286,"EIRE","Ireland"),"RSA","South Africa"),"USA","United States")</f>
        <v>Ireland</v>
      </c>
      <c r="L286" s="7" t="str">
        <f aca="false">IF(LEFT(A286,1)="C","Cancel","Sale")</f>
        <v>Sale</v>
      </c>
      <c r="M286" s="7" t="str">
        <f aca="false">IF(G286="","Guest",REPLACE(G286,3,2,"**"))</f>
        <v>14**1</v>
      </c>
      <c r="N286" s="7" t="str">
        <f aca="false">_xlfn.CONCAT(A286,"-",I286)</f>
        <v>579910-22749</v>
      </c>
      <c r="O286" s="7" t="str">
        <f aca="false">LOWER(SUBSTITUTE(TRIM(C286)," ","-"))</f>
        <v>feltcraft-princess-charlotte-doll</v>
      </c>
      <c r="P286" s="7" t="n">
        <f aca="false">IF(EXACT(C286,TRIM(C286)),0,1)</f>
        <v>0</v>
      </c>
    </row>
    <row r="287" customFormat="false" ht="15" hidden="false" customHeight="false" outlineLevel="0" collapsed="false">
      <c r="A287" s="0" t="s">
        <v>826</v>
      </c>
      <c r="B287" s="0" t="s">
        <v>827</v>
      </c>
      <c r="C287" s="0" t="s">
        <v>828</v>
      </c>
      <c r="D287" s="0" t="n">
        <v>1</v>
      </c>
      <c r="E287" s="6" t="n">
        <v>40878.6819444444</v>
      </c>
      <c r="F287" s="0" t="n">
        <v>8.29</v>
      </c>
      <c r="H287" s="0" t="s">
        <v>36</v>
      </c>
      <c r="I287" s="7" t="str">
        <f aca="false">UPPER(TRIM(B287))</f>
        <v>22189</v>
      </c>
      <c r="J287" s="7" t="str">
        <f aca="false">PROPER(TRIM(C287))</f>
        <v>Cream Heart Card Holder</v>
      </c>
      <c r="K287" s="7" t="str">
        <f aca="false">SUBSTITUTE(SUBSTITUTE(SUBSTITUTE(H287,"EIRE","Ireland"),"RSA","South Africa"),"USA","United States")</f>
        <v>United Kingdom</v>
      </c>
      <c r="L287" s="7" t="str">
        <f aca="false">IF(LEFT(A287,1)="C","Cancel","Sale")</f>
        <v>Sale</v>
      </c>
      <c r="M287" s="7" t="str">
        <f aca="false">IF(G287="","Guest",REPLACE(G287,3,2,"**"))</f>
        <v>Guest</v>
      </c>
      <c r="N287" s="7" t="str">
        <f aca="false">_xlfn.CONCAT(A287,"-",I287)</f>
        <v>580115-22189</v>
      </c>
      <c r="O287" s="7" t="str">
        <f aca="false">LOWER(SUBSTITUTE(TRIM(C287)," ","-"))</f>
        <v>cream-heart-card-holder</v>
      </c>
      <c r="P287" s="7" t="n">
        <f aca="false">IF(EXACT(C287,TRIM(C287)),0,1)</f>
        <v>0</v>
      </c>
    </row>
    <row r="288" customFormat="false" ht="15" hidden="false" customHeight="false" outlineLevel="0" collapsed="false">
      <c r="A288" s="0" t="s">
        <v>829</v>
      </c>
      <c r="B288" s="0" t="s">
        <v>734</v>
      </c>
      <c r="C288" s="0" t="s">
        <v>735</v>
      </c>
      <c r="D288" s="0" t="n">
        <v>6</v>
      </c>
      <c r="E288" s="6" t="n">
        <v>40878.7166666667</v>
      </c>
      <c r="F288" s="0" t="n">
        <v>2.55</v>
      </c>
      <c r="H288" s="0" t="s">
        <v>80</v>
      </c>
      <c r="I288" s="7" t="str">
        <f aca="false">UPPER(TRIM(B288))</f>
        <v>23311</v>
      </c>
      <c r="J288" s="7" t="str">
        <f aca="false">PROPER(TRIM(C288))</f>
        <v>Vintage Christmas Stocking</v>
      </c>
      <c r="K288" s="7" t="str">
        <f aca="false">SUBSTITUTE(SUBSTITUTE(SUBSTITUTE(H288,"EIRE","Ireland"),"RSA","South Africa"),"USA","United States")</f>
        <v>Ireland</v>
      </c>
      <c r="L288" s="7" t="str">
        <f aca="false">IF(LEFT(A288,1)="C","Cancel","Sale")</f>
        <v>Sale</v>
      </c>
      <c r="M288" s="7" t="str">
        <f aca="false">IF(G288="","Guest",REPLACE(G288,3,2,"**"))</f>
        <v>Guest</v>
      </c>
      <c r="N288" s="7" t="str">
        <f aca="false">_xlfn.CONCAT(A288,"-",I288)</f>
        <v>580124-23311</v>
      </c>
      <c r="O288" s="7" t="str">
        <f aca="false">LOWER(SUBSTITUTE(TRIM(C288)," ","-"))</f>
        <v>vintage-christmas-stocking</v>
      </c>
      <c r="P288" s="7" t="n">
        <f aca="false">IF(EXACT(C288,TRIM(C288)),0,1)</f>
        <v>1</v>
      </c>
    </row>
    <row r="289" customFormat="false" ht="15" hidden="false" customHeight="false" outlineLevel="0" collapsed="false">
      <c r="A289" s="0" t="s">
        <v>830</v>
      </c>
      <c r="B289" s="0" t="s">
        <v>831</v>
      </c>
      <c r="C289" s="0" t="s">
        <v>832</v>
      </c>
      <c r="D289" s="0" t="n">
        <v>8</v>
      </c>
      <c r="E289" s="6" t="n">
        <v>40879.55</v>
      </c>
      <c r="F289" s="0" t="n">
        <v>1.95</v>
      </c>
      <c r="G289" s="0" t="n">
        <v>15123</v>
      </c>
      <c r="H289" s="0" t="s">
        <v>36</v>
      </c>
      <c r="I289" s="7" t="str">
        <f aca="false">UPPER(TRIM(B289))</f>
        <v>23580</v>
      </c>
      <c r="J289" s="7" t="str">
        <f aca="false">PROPER(TRIM(C289))</f>
        <v>Snack Tray Happy Forest</v>
      </c>
      <c r="K289" s="7" t="str">
        <f aca="false">SUBSTITUTE(SUBSTITUTE(SUBSTITUTE(H289,"EIRE","Ireland"),"RSA","South Africa"),"USA","United States")</f>
        <v>United Kingdom</v>
      </c>
      <c r="L289" s="7" t="str">
        <f aca="false">IF(LEFT(A289,1)="C","Cancel","Sale")</f>
        <v>Sale</v>
      </c>
      <c r="M289" s="7" t="str">
        <f aca="false">IF(G289="","Guest",REPLACE(G289,3,2,"**"))</f>
        <v>15**3</v>
      </c>
      <c r="N289" s="7" t="str">
        <f aca="false">_xlfn.CONCAT(A289,"-",I289)</f>
        <v>580279-23580</v>
      </c>
      <c r="O289" s="7" t="str">
        <f aca="false">LOWER(SUBSTITUTE(TRIM(C289)," ","-"))</f>
        <v>snack-tray-happy-forest</v>
      </c>
      <c r="P289" s="7" t="n">
        <f aca="false">IF(EXACT(C289,TRIM(C289)),0,1)</f>
        <v>1</v>
      </c>
    </row>
    <row r="290" customFormat="false" ht="15" hidden="false" customHeight="false" outlineLevel="0" collapsed="false">
      <c r="A290" s="0" t="s">
        <v>833</v>
      </c>
      <c r="B290" s="0" t="s">
        <v>834</v>
      </c>
      <c r="C290" s="0" t="s">
        <v>835</v>
      </c>
      <c r="D290" s="0" t="n">
        <v>6</v>
      </c>
      <c r="E290" s="6" t="n">
        <v>40879.6041666667</v>
      </c>
      <c r="F290" s="0" t="n">
        <v>2.89</v>
      </c>
      <c r="G290" s="0" t="n">
        <v>14250</v>
      </c>
      <c r="H290" s="0" t="s">
        <v>36</v>
      </c>
      <c r="I290" s="7" t="str">
        <f aca="false">UPPER(TRIM(B290))</f>
        <v>23517</v>
      </c>
      <c r="J290" s="7" t="str">
        <f aca="false">PROPER(TRIM(C290))</f>
        <v>Embroidered Ribbon Reel Rebecca</v>
      </c>
      <c r="K290" s="7" t="str">
        <f aca="false">SUBSTITUTE(SUBSTITUTE(SUBSTITUTE(H290,"EIRE","Ireland"),"RSA","South Africa"),"USA","United States")</f>
        <v>United Kingdom</v>
      </c>
      <c r="L290" s="7" t="str">
        <f aca="false">IF(LEFT(A290,1)="C","Cancel","Sale")</f>
        <v>Sale</v>
      </c>
      <c r="M290" s="7" t="str">
        <f aca="false">IF(G290="","Guest",REPLACE(G290,3,2,"**"))</f>
        <v>14**0</v>
      </c>
      <c r="N290" s="7" t="str">
        <f aca="false">_xlfn.CONCAT(A290,"-",I290)</f>
        <v>580308-23517</v>
      </c>
      <c r="O290" s="7" t="str">
        <f aca="false">LOWER(SUBSTITUTE(TRIM(C290)," ","-"))</f>
        <v>embroidered-ribbon-reel-rebecca</v>
      </c>
      <c r="P290" s="7" t="n">
        <f aca="false">IF(EXACT(C290,TRIM(C290)),0,1)</f>
        <v>1</v>
      </c>
    </row>
    <row r="291" customFormat="false" ht="15" hidden="false" customHeight="false" outlineLevel="0" collapsed="false">
      <c r="A291" s="0" t="s">
        <v>836</v>
      </c>
      <c r="B291" s="0" t="s">
        <v>544</v>
      </c>
      <c r="C291" s="0" t="s">
        <v>545</v>
      </c>
      <c r="D291" s="0" t="n">
        <v>6</v>
      </c>
      <c r="E291" s="6" t="n">
        <v>40879.69375</v>
      </c>
      <c r="F291" s="0" t="n">
        <v>1.63</v>
      </c>
      <c r="H291" s="0" t="s">
        <v>36</v>
      </c>
      <c r="I291" s="7" t="str">
        <f aca="false">UPPER(TRIM(B291))</f>
        <v>22075</v>
      </c>
      <c r="J291" s="7" t="str">
        <f aca="false">PROPER(TRIM(C291))</f>
        <v>6 Ribbons Elegant Christmas</v>
      </c>
      <c r="K291" s="7" t="str">
        <f aca="false">SUBSTITUTE(SUBSTITUTE(SUBSTITUTE(H291,"EIRE","Ireland"),"RSA","South Africa"),"USA","United States")</f>
        <v>United Kingdom</v>
      </c>
      <c r="L291" s="7" t="str">
        <f aca="false">IF(LEFT(A291,1)="C","Cancel","Sale")</f>
        <v>Sale</v>
      </c>
      <c r="M291" s="7" t="str">
        <f aca="false">IF(G291="","Guest",REPLACE(G291,3,2,"**"))</f>
        <v>Guest</v>
      </c>
      <c r="N291" s="7" t="str">
        <f aca="false">_xlfn.CONCAT(A291,"-",I291)</f>
        <v>580367-22075</v>
      </c>
      <c r="O291" s="7" t="str">
        <f aca="false">LOWER(SUBSTITUTE(TRIM(C291)," ","-"))</f>
        <v>6-ribbons-elegant-christmas</v>
      </c>
      <c r="P291" s="7" t="n">
        <f aca="false">IF(EXACT(C291,TRIM(C291)),0,1)</f>
        <v>1</v>
      </c>
    </row>
    <row r="292" customFormat="false" ht="15" hidden="false" customHeight="false" outlineLevel="0" collapsed="false">
      <c r="A292" s="0" t="s">
        <v>837</v>
      </c>
      <c r="B292" s="0" t="s">
        <v>838</v>
      </c>
      <c r="C292" s="0" t="s">
        <v>839</v>
      </c>
      <c r="D292" s="0" t="n">
        <v>3</v>
      </c>
      <c r="E292" s="6" t="n">
        <v>40882.5208333333</v>
      </c>
      <c r="F292" s="0" t="n">
        <v>1.95</v>
      </c>
      <c r="G292" s="0" t="n">
        <v>14649</v>
      </c>
      <c r="H292" s="0" t="s">
        <v>36</v>
      </c>
      <c r="I292" s="7" t="str">
        <f aca="false">UPPER(TRIM(B292))</f>
        <v>23493</v>
      </c>
      <c r="J292" s="7" t="str">
        <f aca="false">PROPER(TRIM(C292))</f>
        <v>Vintage Doily Travel Sewing Kit</v>
      </c>
      <c r="K292" s="7" t="str">
        <f aca="false">SUBSTITUTE(SUBSTITUTE(SUBSTITUTE(H292,"EIRE","Ireland"),"RSA","South Africa"),"USA","United States")</f>
        <v>United Kingdom</v>
      </c>
      <c r="L292" s="7" t="str">
        <f aca="false">IF(LEFT(A292,1)="C","Cancel","Sale")</f>
        <v>Sale</v>
      </c>
      <c r="M292" s="7" t="str">
        <f aca="false">IF(G292="","Guest",REPLACE(G292,3,2,"**"))</f>
        <v>14**9</v>
      </c>
      <c r="N292" s="7" t="str">
        <f aca="false">_xlfn.CONCAT(A292,"-",I292)</f>
        <v>580635-23493</v>
      </c>
      <c r="O292" s="7" t="str">
        <f aca="false">LOWER(SUBSTITUTE(TRIM(C292)," ","-"))</f>
        <v>vintage-doily-travel-sewing-kit</v>
      </c>
      <c r="P292" s="7" t="n">
        <f aca="false">IF(EXACT(C292,TRIM(C292)),0,1)</f>
        <v>0</v>
      </c>
    </row>
    <row r="293" customFormat="false" ht="15" hidden="false" customHeight="false" outlineLevel="0" collapsed="false">
      <c r="A293" s="0" t="s">
        <v>840</v>
      </c>
      <c r="B293" s="0" t="s">
        <v>841</v>
      </c>
      <c r="C293" s="0" t="s">
        <v>842</v>
      </c>
      <c r="D293" s="0" t="n">
        <v>2</v>
      </c>
      <c r="E293" s="6" t="n">
        <v>40882.6513888889</v>
      </c>
      <c r="F293" s="0" t="n">
        <v>2.95</v>
      </c>
      <c r="G293" s="0" t="n">
        <v>15550</v>
      </c>
      <c r="H293" s="0" t="s">
        <v>36</v>
      </c>
      <c r="I293" s="7" t="str">
        <f aca="false">UPPER(TRIM(B293))</f>
        <v>22083</v>
      </c>
      <c r="J293" s="7" t="str">
        <f aca="false">PROPER(TRIM(C293))</f>
        <v>Paper Chain Kit Retrospot</v>
      </c>
      <c r="K293" s="7" t="str">
        <f aca="false">SUBSTITUTE(SUBSTITUTE(SUBSTITUTE(H293,"EIRE","Ireland"),"RSA","South Africa"),"USA","United States")</f>
        <v>United Kingdom</v>
      </c>
      <c r="L293" s="7" t="str">
        <f aca="false">IF(LEFT(A293,1)="C","Cancel","Sale")</f>
        <v>Sale</v>
      </c>
      <c r="M293" s="7" t="str">
        <f aca="false">IF(G293="","Guest",REPLACE(G293,3,2,"**"))</f>
        <v>15**0</v>
      </c>
      <c r="N293" s="7" t="str">
        <f aca="false">_xlfn.CONCAT(A293,"-",I293)</f>
        <v>580688-22083</v>
      </c>
      <c r="O293" s="7" t="str">
        <f aca="false">LOWER(SUBSTITUTE(TRIM(C293)," ","-"))</f>
        <v>paper-chain-kit-retrospot</v>
      </c>
      <c r="P293" s="7" t="n">
        <f aca="false">IF(EXACT(C293,TRIM(C293)),0,1)</f>
        <v>0</v>
      </c>
    </row>
    <row r="294" customFormat="false" ht="15" hidden="false" customHeight="false" outlineLevel="0" collapsed="false">
      <c r="A294" s="0" t="s">
        <v>843</v>
      </c>
      <c r="B294" s="0" t="s">
        <v>844</v>
      </c>
      <c r="C294" s="0" t="s">
        <v>845</v>
      </c>
      <c r="D294" s="0" t="n">
        <v>2</v>
      </c>
      <c r="E294" s="6" t="n">
        <v>40883.4618055556</v>
      </c>
      <c r="F294" s="0" t="n">
        <v>0.83</v>
      </c>
      <c r="G294" s="0" t="n">
        <v>14562</v>
      </c>
      <c r="H294" s="0" t="s">
        <v>36</v>
      </c>
      <c r="I294" s="7" t="str">
        <f aca="false">UPPER(TRIM(B294))</f>
        <v>23280</v>
      </c>
      <c r="J294" s="7" t="str">
        <f aca="false">PROPER(TRIM(C294))</f>
        <v>Folding Butterfly Mirror Hot Pink</v>
      </c>
      <c r="K294" s="7" t="str">
        <f aca="false">SUBSTITUTE(SUBSTITUTE(SUBSTITUTE(H294,"EIRE","Ireland"),"RSA","South Africa"),"USA","United States")</f>
        <v>United Kingdom</v>
      </c>
      <c r="L294" s="7" t="str">
        <f aca="false">IF(LEFT(A294,1)="C","Cancel","Sale")</f>
        <v>Sale</v>
      </c>
      <c r="M294" s="7" t="str">
        <f aca="false">IF(G294="","Guest",REPLACE(G294,3,2,"**"))</f>
        <v>14**2</v>
      </c>
      <c r="N294" s="7" t="str">
        <f aca="false">_xlfn.CONCAT(A294,"-",I294)</f>
        <v>580776-23280</v>
      </c>
      <c r="O294" s="7" t="str">
        <f aca="false">LOWER(SUBSTITUTE(TRIM(C294)," ","-"))</f>
        <v>folding-butterfly-mirror-hot-pink</v>
      </c>
      <c r="P294" s="7" t="n">
        <f aca="false">IF(EXACT(C294,TRIM(C294)),0,1)</f>
        <v>1</v>
      </c>
    </row>
    <row r="295" customFormat="false" ht="15" hidden="false" customHeight="false" outlineLevel="0" collapsed="false">
      <c r="A295" s="0" t="s">
        <v>846</v>
      </c>
      <c r="B295" s="0" t="s">
        <v>847</v>
      </c>
      <c r="C295" s="0" t="s">
        <v>848</v>
      </c>
      <c r="D295" s="0" t="n">
        <v>24</v>
      </c>
      <c r="E295" s="6" t="n">
        <v>40883.6847222222</v>
      </c>
      <c r="F295" s="0" t="n">
        <v>0.83</v>
      </c>
      <c r="H295" s="0" t="s">
        <v>36</v>
      </c>
      <c r="I295" s="7" t="str">
        <f aca="false">UPPER(TRIM(B295))</f>
        <v>85199S</v>
      </c>
      <c r="J295" s="7" t="str">
        <f aca="false">PROPER(TRIM(C295))</f>
        <v>Small Hanging Ivory/Red Wood Bird</v>
      </c>
      <c r="K295" s="7" t="str">
        <f aca="false">SUBSTITUTE(SUBSTITUTE(SUBSTITUTE(H295,"EIRE","Ireland"),"RSA","South Africa"),"USA","United States")</f>
        <v>United Kingdom</v>
      </c>
      <c r="L295" s="7" t="str">
        <f aca="false">IF(LEFT(A295,1)="C","Cancel","Sale")</f>
        <v>Sale</v>
      </c>
      <c r="M295" s="7" t="str">
        <f aca="false">IF(G295="","Guest",REPLACE(G295,3,2,"**"))</f>
        <v>Guest</v>
      </c>
      <c r="N295" s="7" t="str">
        <f aca="false">_xlfn.CONCAT(A295,"-",I295)</f>
        <v>580983-85199S</v>
      </c>
      <c r="O295" s="7" t="str">
        <f aca="false">LOWER(SUBSTITUTE(TRIM(C295)," ","-"))</f>
        <v>small-hanging-ivory/red-wood-bird</v>
      </c>
      <c r="P295" s="7" t="n">
        <f aca="false">IF(EXACT(C295,TRIM(C295)),0,1)</f>
        <v>0</v>
      </c>
    </row>
    <row r="296" customFormat="false" ht="15" hidden="false" customHeight="false" outlineLevel="0" collapsed="false">
      <c r="A296" s="0" t="s">
        <v>849</v>
      </c>
      <c r="B296" s="0" t="s">
        <v>850</v>
      </c>
      <c r="C296" s="0" t="s">
        <v>851</v>
      </c>
      <c r="D296" s="0" t="n">
        <v>2</v>
      </c>
      <c r="E296" s="6" t="n">
        <v>40884.6993055556</v>
      </c>
      <c r="F296" s="0" t="n">
        <v>6.35</v>
      </c>
      <c r="G296" s="0" t="n">
        <v>17735</v>
      </c>
      <c r="H296" s="0" t="s">
        <v>36</v>
      </c>
      <c r="I296" s="7" t="str">
        <f aca="false">UPPER(TRIM(B296))</f>
        <v>22845</v>
      </c>
      <c r="J296" s="7" t="str">
        <f aca="false">PROPER(TRIM(C296))</f>
        <v>Vintage Cream Cat Food Container</v>
      </c>
      <c r="K296" s="7" t="str">
        <f aca="false">SUBSTITUTE(SUBSTITUTE(SUBSTITUTE(H296,"EIRE","Ireland"),"RSA","South Africa"),"USA","United States")</f>
        <v>United Kingdom</v>
      </c>
      <c r="L296" s="7" t="str">
        <f aca="false">IF(LEFT(A296,1)="C","Cancel","Sale")</f>
        <v>Sale</v>
      </c>
      <c r="M296" s="7" t="str">
        <f aca="false">IF(G296="","Guest",REPLACE(G296,3,2,"**"))</f>
        <v>17**5</v>
      </c>
      <c r="N296" s="7" t="str">
        <f aca="false">_xlfn.CONCAT(A296,"-",I296)</f>
        <v>581188-22845</v>
      </c>
      <c r="O296" s="7" t="str">
        <f aca="false">LOWER(SUBSTITUTE(TRIM(C296)," ","-"))</f>
        <v>vintage-cream-cat-food-container</v>
      </c>
      <c r="P296" s="7" t="n">
        <f aca="false">IF(EXACT(C296,TRIM(C296)),0,1)</f>
        <v>0</v>
      </c>
    </row>
    <row r="297" customFormat="false" ht="15" hidden="false" customHeight="false" outlineLevel="0" collapsed="false">
      <c r="A297" s="0" t="s">
        <v>852</v>
      </c>
      <c r="B297" s="0" t="s">
        <v>853</v>
      </c>
      <c r="C297" s="0" t="s">
        <v>854</v>
      </c>
      <c r="D297" s="0" t="n">
        <v>1</v>
      </c>
      <c r="E297" s="6" t="n">
        <v>40884.7055555556</v>
      </c>
      <c r="F297" s="0" t="n">
        <v>3.75</v>
      </c>
      <c r="G297" s="0" t="n">
        <v>17449</v>
      </c>
      <c r="H297" s="0" t="s">
        <v>36</v>
      </c>
      <c r="I297" s="7" t="str">
        <f aca="false">UPPER(TRIM(B297))</f>
        <v>22730</v>
      </c>
      <c r="J297" s="7" t="str">
        <f aca="false">PROPER(TRIM(C297))</f>
        <v>Alarm Clock Bakelike Ivory</v>
      </c>
      <c r="K297" s="7" t="str">
        <f aca="false">SUBSTITUTE(SUBSTITUTE(SUBSTITUTE(H297,"EIRE","Ireland"),"RSA","South Africa"),"USA","United States")</f>
        <v>United Kingdom</v>
      </c>
      <c r="L297" s="7" t="str">
        <f aca="false">IF(LEFT(A297,1)="C","Cancel","Sale")</f>
        <v>Sale</v>
      </c>
      <c r="M297" s="7" t="str">
        <f aca="false">IF(G297="","Guest",REPLACE(G297,3,2,"**"))</f>
        <v>17**9</v>
      </c>
      <c r="N297" s="7" t="str">
        <f aca="false">_xlfn.CONCAT(A297,"-",I297)</f>
        <v>581191-22730</v>
      </c>
      <c r="O297" s="7" t="str">
        <f aca="false">LOWER(SUBSTITUTE(TRIM(C297)," ","-"))</f>
        <v>alarm-clock-bakelike-ivory</v>
      </c>
      <c r="P297" s="7" t="n">
        <f aca="false">IF(EXACT(C297,TRIM(C297)),0,1)</f>
        <v>0</v>
      </c>
    </row>
    <row r="298" customFormat="false" ht="15" hidden="false" customHeight="false" outlineLevel="0" collapsed="false">
      <c r="A298" s="0" t="s">
        <v>855</v>
      </c>
      <c r="B298" s="0" t="s">
        <v>856</v>
      </c>
      <c r="C298" s="0" t="s">
        <v>857</v>
      </c>
      <c r="D298" s="0" t="n">
        <v>12</v>
      </c>
      <c r="E298" s="6" t="n">
        <v>40885.3888888889</v>
      </c>
      <c r="F298" s="0" t="n">
        <v>0.61</v>
      </c>
      <c r="H298" s="0" t="s">
        <v>36</v>
      </c>
      <c r="I298" s="7" t="str">
        <f aca="false">UPPER(TRIM(B298))</f>
        <v>35953</v>
      </c>
      <c r="J298" s="7" t="str">
        <f aca="false">PROPER(TRIM(C298))</f>
        <v>Folkart Star Christmas Decorations</v>
      </c>
      <c r="K298" s="7" t="str">
        <f aca="false">SUBSTITUTE(SUBSTITUTE(SUBSTITUTE(H298,"EIRE","Ireland"),"RSA","South Africa"),"USA","United States")</f>
        <v>United Kingdom</v>
      </c>
      <c r="L298" s="7" t="str">
        <f aca="false">IF(LEFT(A298,1)="C","Cancel","Sale")</f>
        <v>Sale</v>
      </c>
      <c r="M298" s="7" t="str">
        <f aca="false">IF(G298="","Guest",REPLACE(G298,3,2,"**"))</f>
        <v>Guest</v>
      </c>
      <c r="N298" s="7" t="str">
        <f aca="false">_xlfn.CONCAT(A298,"-",I298)</f>
        <v>581217-35953</v>
      </c>
      <c r="O298" s="7" t="str">
        <f aca="false">LOWER(SUBSTITUTE(TRIM(C298)," ","-"))</f>
        <v>folkart-star-christmas-decorations</v>
      </c>
      <c r="P298" s="7" t="n">
        <f aca="false">IF(EXACT(C298,TRIM(C298)),0,1)</f>
        <v>0</v>
      </c>
    </row>
    <row r="299" customFormat="false" ht="15" hidden="false" customHeight="false" outlineLevel="0" collapsed="false">
      <c r="A299" s="0" t="s">
        <v>858</v>
      </c>
      <c r="B299" s="0" t="s">
        <v>859</v>
      </c>
      <c r="C299" s="0" t="s">
        <v>860</v>
      </c>
      <c r="D299" s="0" t="n">
        <v>1</v>
      </c>
      <c r="E299" s="6" t="n">
        <v>40885.3944444444</v>
      </c>
      <c r="F299" s="0" t="n">
        <v>3.29</v>
      </c>
      <c r="H299" s="0" t="s">
        <v>36</v>
      </c>
      <c r="I299" s="7" t="str">
        <f aca="false">UPPER(TRIM(B299))</f>
        <v>85025B</v>
      </c>
      <c r="J299" s="7" t="str">
        <f aca="false">PROPER(TRIM(C299))</f>
        <v>Eau De Nile Heart Shape Photo Frame</v>
      </c>
      <c r="K299" s="7" t="str">
        <f aca="false">SUBSTITUTE(SUBSTITUTE(SUBSTITUTE(H299,"EIRE","Ireland"),"RSA","South Africa"),"USA","United States")</f>
        <v>United Kingdom</v>
      </c>
      <c r="L299" s="7" t="str">
        <f aca="false">IF(LEFT(A299,1)="C","Cancel","Sale")</f>
        <v>Sale</v>
      </c>
      <c r="M299" s="7" t="str">
        <f aca="false">IF(G299="","Guest",REPLACE(G299,3,2,"**"))</f>
        <v>Guest</v>
      </c>
      <c r="N299" s="7" t="str">
        <f aca="false">_xlfn.CONCAT(A299,"-",I299)</f>
        <v>581219-85025B</v>
      </c>
      <c r="O299" s="7" t="str">
        <f aca="false">LOWER(SUBSTITUTE(TRIM(C299)," ","-"))</f>
        <v>eau-de-nile-heart-shape-photo-frame</v>
      </c>
      <c r="P299" s="7" t="n">
        <f aca="false">IF(EXACT(C299,TRIM(C299)),0,1)</f>
        <v>0</v>
      </c>
    </row>
    <row r="300" customFormat="false" ht="15" hidden="false" customHeight="false" outlineLevel="0" collapsed="false">
      <c r="A300" s="0" t="s">
        <v>861</v>
      </c>
      <c r="B300" s="0" t="s">
        <v>862</v>
      </c>
      <c r="C300" s="0" t="s">
        <v>863</v>
      </c>
      <c r="D300" s="0" t="n">
        <v>1</v>
      </c>
      <c r="E300" s="6" t="n">
        <v>40885.4729166667</v>
      </c>
      <c r="F300" s="0" t="n">
        <v>9.13</v>
      </c>
      <c r="H300" s="0" t="s">
        <v>36</v>
      </c>
      <c r="I300" s="7" t="str">
        <f aca="false">UPPER(TRIM(B300))</f>
        <v>84030E</v>
      </c>
      <c r="J300" s="7" t="str">
        <f aca="false">PROPER(TRIM(C300))</f>
        <v>English Rose Hot Water Bottle</v>
      </c>
      <c r="K300" s="7" t="str">
        <f aca="false">SUBSTITUTE(SUBSTITUTE(SUBSTITUTE(H300,"EIRE","Ireland"),"RSA","South Africa"),"USA","United States")</f>
        <v>United Kingdom</v>
      </c>
      <c r="L300" s="7" t="str">
        <f aca="false">IF(LEFT(A300,1)="C","Cancel","Sale")</f>
        <v>Sale</v>
      </c>
      <c r="M300" s="7" t="str">
        <f aca="false">IF(G300="","Guest",REPLACE(G300,3,2,"**"))</f>
        <v>Guest</v>
      </c>
      <c r="N300" s="7" t="str">
        <f aca="false">_xlfn.CONCAT(A300,"-",I300)</f>
        <v>581256-84030E</v>
      </c>
      <c r="O300" s="7" t="str">
        <f aca="false">LOWER(SUBSTITUTE(TRIM(C300)," ","-"))</f>
        <v>english-rose-hot-water-bottle</v>
      </c>
      <c r="P300" s="7" t="n">
        <f aca="false">IF(EXACT(C300,TRIM(C300)),0,1)</f>
        <v>0</v>
      </c>
    </row>
    <row r="301" customFormat="false" ht="15" hidden="false" customHeight="false" outlineLevel="0" collapsed="false">
      <c r="A301" s="0" t="s">
        <v>864</v>
      </c>
      <c r="B301" s="0" t="s">
        <v>730</v>
      </c>
      <c r="C301" s="0" t="s">
        <v>731</v>
      </c>
      <c r="D301" s="0" t="n">
        <v>12</v>
      </c>
      <c r="E301" s="6" t="n">
        <v>40886.5111111111</v>
      </c>
      <c r="F301" s="0" t="n">
        <v>1.95</v>
      </c>
      <c r="G301" s="0" t="n">
        <v>12713</v>
      </c>
      <c r="H301" s="0" t="s">
        <v>325</v>
      </c>
      <c r="I301" s="7" t="str">
        <f aca="false">UPPER(TRIM(B301))</f>
        <v>22992</v>
      </c>
      <c r="J301" s="7" t="str">
        <f aca="false">PROPER(TRIM(C301))</f>
        <v>Revolver Wooden Ruler</v>
      </c>
      <c r="K301" s="7" t="str">
        <f aca="false">SUBSTITUTE(SUBSTITUTE(SUBSTITUTE(H301,"EIRE","Ireland"),"RSA","South Africa"),"USA","United States")</f>
        <v>Germany</v>
      </c>
      <c r="L301" s="7" t="str">
        <f aca="false">IF(LEFT(A301,1)="C","Cancel","Sale")</f>
        <v>Sale</v>
      </c>
      <c r="M301" s="7" t="str">
        <f aca="false">IF(G301="","Guest",REPLACE(G301,3,2,"**"))</f>
        <v>12**3</v>
      </c>
      <c r="N301" s="7" t="str">
        <f aca="false">_xlfn.CONCAT(A301,"-",I301)</f>
        <v>581578-22992</v>
      </c>
      <c r="O301" s="7" t="str">
        <f aca="false">LOWER(SUBSTITUTE(TRIM(C301)," ","-"))</f>
        <v>revolver-wooden-ruler</v>
      </c>
      <c r="P301" s="7" t="n">
        <f aca="false">IF(EXACT(C301,TRIM(C301)),0,1)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" t="s">
        <v>865</v>
      </c>
      <c r="B1" s="2" t="s">
        <v>866</v>
      </c>
    </row>
    <row r="2" customFormat="false" ht="15" hidden="false" customHeight="false" outlineLevel="0" collapsed="false">
      <c r="A2" s="0" t="s">
        <v>867</v>
      </c>
      <c r="B2" s="7" t="n">
        <f aca="false">SUM(Lines!P2:P301)</f>
        <v>83</v>
      </c>
    </row>
    <row r="3" customFormat="false" ht="15" hidden="false" customHeight="false" outlineLevel="0" collapsed="false">
      <c r="A3" s="0" t="s">
        <v>868</v>
      </c>
      <c r="B3" s="7" t="n">
        <f aca="false">COUNTIF(Lines!L2:L301,"Cancel")</f>
        <v>5</v>
      </c>
    </row>
    <row r="4" customFormat="false" ht="15" hidden="false" customHeight="false" outlineLevel="0" collapsed="false">
      <c r="A4" s="0" t="s">
        <v>869</v>
      </c>
      <c r="B4" s="7" t="n">
        <f aca="false">COUNTIF(Lines!M2:M301,"Guest")</f>
        <v>95</v>
      </c>
    </row>
    <row r="5" customFormat="false" ht="15" hidden="false" customHeight="false" outlineLevel="0" collapsed="false">
      <c r="A5" s="0" t="s">
        <v>870</v>
      </c>
      <c r="B5" s="7" t="n">
        <f aca="false">SUMPRODUCT(--NOT(EXACT(Lines!B2:B301,Lines!I2:I301)))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2026-10-30T04:33:18Z</dcterms:created>
  <dc:creator>openpyxl</dc:creator>
  <dc:description/>
  <dc:language>en-US</dc:language>
  <cp:lastModifiedBy/>
  <dcterms:modified xsi:type="dcterms:W3CDTF">2026-10-30T04:33:18Z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